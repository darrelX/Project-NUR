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50057821\Documents\"/>
    </mc:Choice>
  </mc:AlternateContent>
  <xr:revisionPtr revIDLastSave="0" documentId="8_{6F46D9A3-E0DE-4B83-A869-C99DC70B229B}" xr6:coauthVersionLast="47" xr6:coauthVersionMax="47" xr10:uidLastSave="{00000000-0000-0000-0000-000000000000}"/>
  <bookViews>
    <workbookView xWindow="-110" yWindow="-110" windowWidth="19420" windowHeight="12300" tabRatio="853" firstSheet="18" activeTab="19" xr2:uid="{8BAF1804-F9F1-471B-8F90-A3E00106D08F}"/>
  </bookViews>
  <sheets>
    <sheet name="cell downs 01062026 8h16" sheetId="515" r:id="rId1"/>
    <sheet name="cell downs 01062026 13h" sheetId="520" r:id="rId2"/>
    <sheet name="cell downs 01062026 17h03" sheetId="524" r:id="rId3"/>
    <sheet name="cell downs 02062026 8h14" sheetId="527" r:id="rId4"/>
    <sheet name="cell downs 02062026 13h25" sheetId="530" r:id="rId5"/>
    <sheet name="cell downs 03062026 8h20" sheetId="539" r:id="rId6"/>
    <sheet name="cell downs 02062026 17h07" sheetId="535" r:id="rId7"/>
    <sheet name="cell downs 03062026 13h" sheetId="541" r:id="rId8"/>
    <sheet name="cell downs 03062026 16h27" sheetId="546" r:id="rId9"/>
    <sheet name="cell downs 04062026 8h37" sheetId="548" r:id="rId10"/>
    <sheet name="cell downs 04062026 12h46" sheetId="550" r:id="rId11"/>
    <sheet name="cell downs 04062026 17h04" sheetId="554" r:id="rId12"/>
    <sheet name="cell downs 05062026 8h40" sheetId="556" r:id="rId13"/>
    <sheet name="cell downs 05062026 13h02" sheetId="558" r:id="rId14"/>
    <sheet name="cell downs 05062026 17h38" sheetId="560" r:id="rId15"/>
    <sheet name="cell downs 06062026 8h45" sheetId="562" r:id="rId16"/>
    <sheet name="cell downs 06062026 13h15" sheetId="564" r:id="rId17"/>
    <sheet name="cell downs 06062026 16h35" sheetId="565" r:id="rId18"/>
    <sheet name="cell downs 07062026 9h35" sheetId="567" r:id="rId19"/>
    <sheet name="cell downs 07062026 13h27" sheetId="568" r:id="rId20"/>
    <sheet name="Sheet2" sheetId="563" r:id="rId21"/>
    <sheet name="Rapport" sheetId="15" r:id="rId22"/>
    <sheet name="Breackdown-Global" sheetId="11" r:id="rId23"/>
    <sheet name="New" sheetId="13" r:id="rId24"/>
    <sheet name="UP" sheetId="16" r:id="rId25"/>
    <sheet name="TREND Cell Nokia" sheetId="12" r:id="rId26"/>
    <sheet name="cell downs 06062026 16h35 (2)" sheetId="566" r:id="rId27"/>
    <sheet name="cell downs 07062026 13h27 (2)" sheetId="569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1" hidden="1">'cell downs 01062026 13h'!$A$1:$AE$49</definedName>
    <definedName name="_xlnm._FilterDatabase" localSheetId="2" hidden="1">'cell downs 01062026 17h03'!$A$1:$AE$47</definedName>
    <definedName name="_xlnm._FilterDatabase" localSheetId="0" hidden="1">'cell downs 01062026 8h16'!$A$1:$AE$55</definedName>
    <definedName name="_xlnm._FilterDatabase" localSheetId="4" hidden="1">'cell downs 02062026 13h25'!$A$1:$AE$67</definedName>
    <definedName name="_xlnm._FilterDatabase" localSheetId="6" hidden="1">'cell downs 02062026 17h07'!$A$1:$AE$66</definedName>
    <definedName name="_xlnm._FilterDatabase" localSheetId="3" hidden="1">'cell downs 02062026 8h14'!$A$1:$AE$58</definedName>
    <definedName name="_xlnm._FilterDatabase" localSheetId="7" hidden="1">'cell downs 03062026 13h'!$A$1:$AE$74</definedName>
    <definedName name="_xlnm._FilterDatabase" localSheetId="8" hidden="1">'cell downs 03062026 16h27'!$A$1:$AE$76</definedName>
    <definedName name="_xlnm._FilterDatabase" localSheetId="5" hidden="1">'cell downs 03062026 8h20'!$A$1:$AE$77</definedName>
    <definedName name="_xlnm._FilterDatabase" localSheetId="10" hidden="1">'cell downs 04062026 12h46'!$A$1:$AE$78</definedName>
    <definedName name="_xlnm._FilterDatabase" localSheetId="11" hidden="1">'cell downs 04062026 17h04'!$A$1:$AE$83</definedName>
    <definedName name="_xlnm._FilterDatabase" localSheetId="9" hidden="1">'cell downs 04062026 8h37'!$A$1:$AE$79</definedName>
    <definedName name="_xlnm._FilterDatabase" localSheetId="13" hidden="1">'cell downs 05062026 13h02'!$A$1:$AE$77</definedName>
    <definedName name="_xlnm._FilterDatabase" localSheetId="14" hidden="1">'cell downs 05062026 17h38'!$A$1:$AE$75</definedName>
    <definedName name="_xlnm._FilterDatabase" localSheetId="12" hidden="1">'cell downs 05062026 8h40'!$A$1:$AE$74</definedName>
    <definedName name="_xlnm._FilterDatabase" localSheetId="16" hidden="1">'cell downs 06062026 13h15'!$A$1:$AE$63</definedName>
    <definedName name="_xlnm._FilterDatabase" localSheetId="17" hidden="1">'cell downs 06062026 16h35'!$A$1:$AE$70</definedName>
    <definedName name="_xlnm._FilterDatabase" localSheetId="26" hidden="1">'cell downs 06062026 16h35 (2)'!$A$1:$AE$92</definedName>
    <definedName name="_xlnm._FilterDatabase" localSheetId="15" hidden="1">'cell downs 06062026 8h45'!$A$1:$AE$65</definedName>
    <definedName name="_xlnm._FilterDatabase" localSheetId="19" hidden="1">'cell downs 07062026 13h27'!$A$1:$AE$74</definedName>
    <definedName name="_xlnm._FilterDatabase" localSheetId="27" hidden="1">'cell downs 07062026 13h27 (2)'!$A$1:$AE$96</definedName>
    <definedName name="_xlnm._FilterDatabase" localSheetId="18" hidden="1">'cell downs 07062026 9h35'!$A$1:$AE$63</definedName>
    <definedName name="_xlnm._FilterDatabase" localSheetId="21" hidden="1">Rapport!#REF!</definedName>
    <definedName name="camusat_ocm">'[1]CAMUSAT OCM DB'!$A$1:$G$431</definedName>
    <definedName name="ihs_ocm">'[1]IHS OCM DB'!$A$1:$U$1703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1" l="1"/>
  <c r="I5" i="11"/>
  <c r="J5" i="11"/>
  <c r="K5" i="11"/>
  <c r="L5" i="11"/>
  <c r="M5" i="11"/>
  <c r="N5" i="11"/>
  <c r="O5" i="11"/>
  <c r="P5" i="11"/>
  <c r="H11" i="11"/>
  <c r="I11" i="11"/>
  <c r="J11" i="11"/>
  <c r="K11" i="11"/>
  <c r="L11" i="11"/>
  <c r="M11" i="11"/>
  <c r="N11" i="11"/>
  <c r="O11" i="11"/>
  <c r="P11" i="11"/>
  <c r="H12" i="11"/>
  <c r="I12" i="11"/>
  <c r="J12" i="11"/>
  <c r="K12" i="11"/>
  <c r="L12" i="11"/>
  <c r="M12" i="11"/>
  <c r="N12" i="11"/>
  <c r="O12" i="11"/>
  <c r="P12" i="11"/>
  <c r="H14" i="11"/>
  <c r="I14" i="11"/>
  <c r="J14" i="11"/>
  <c r="K14" i="11"/>
  <c r="L14" i="11"/>
  <c r="M14" i="11"/>
  <c r="N14" i="11"/>
  <c r="O14" i="11"/>
  <c r="P14" i="11"/>
  <c r="H15" i="11"/>
  <c r="I15" i="11"/>
  <c r="J15" i="11"/>
  <c r="K15" i="11"/>
  <c r="L15" i="11"/>
  <c r="M15" i="11"/>
  <c r="N15" i="11"/>
  <c r="O15" i="11"/>
  <c r="P15" i="11"/>
  <c r="H16" i="11"/>
  <c r="I16" i="11"/>
  <c r="J16" i="11"/>
  <c r="K16" i="11"/>
  <c r="L16" i="11"/>
  <c r="M16" i="11"/>
  <c r="N16" i="11"/>
  <c r="O16" i="11"/>
  <c r="P16" i="11"/>
  <c r="D4" i="11"/>
  <c r="D5" i="11"/>
  <c r="D6" i="11"/>
  <c r="D7" i="11"/>
  <c r="D8" i="11"/>
  <c r="D9" i="11"/>
  <c r="D10" i="11"/>
  <c r="D11" i="11"/>
  <c r="D12" i="11"/>
  <c r="D13" i="11"/>
  <c r="D14" i="11"/>
  <c r="D15" i="11"/>
  <c r="D3" i="11"/>
  <c r="C4" i="11"/>
  <c r="C5" i="11"/>
  <c r="C6" i="11"/>
  <c r="C7" i="11"/>
  <c r="C8" i="11"/>
  <c r="C9" i="11"/>
  <c r="C10" i="11"/>
  <c r="C11" i="11"/>
  <c r="C12" i="11"/>
  <c r="C13" i="11"/>
  <c r="C14" i="11"/>
  <c r="C15" i="11"/>
  <c r="C3" i="11"/>
  <c r="I3" i="567"/>
  <c r="I4" i="567"/>
  <c r="I5" i="567"/>
  <c r="I6" i="567"/>
  <c r="I7" i="567"/>
  <c r="I8" i="567"/>
  <c r="I9" i="567"/>
  <c r="I10" i="567"/>
  <c r="I11" i="567"/>
  <c r="I12" i="567"/>
  <c r="I13" i="567"/>
  <c r="I14" i="567"/>
  <c r="I15" i="567"/>
  <c r="I16" i="567"/>
  <c r="I17" i="567"/>
  <c r="I18" i="567"/>
  <c r="I19" i="567"/>
  <c r="I20" i="567"/>
  <c r="I21" i="567"/>
  <c r="I22" i="567"/>
  <c r="I23" i="567"/>
  <c r="I24" i="567"/>
  <c r="I25" i="567"/>
  <c r="I26" i="567"/>
  <c r="I27" i="567"/>
  <c r="I28" i="567"/>
  <c r="I29" i="567"/>
  <c r="I30" i="567"/>
  <c r="I31" i="567"/>
  <c r="I32" i="567"/>
  <c r="I33" i="567"/>
  <c r="I34" i="567"/>
  <c r="I35" i="567"/>
  <c r="I36" i="567"/>
  <c r="I37" i="567"/>
  <c r="I38" i="567"/>
  <c r="I39" i="567"/>
  <c r="I40" i="567"/>
  <c r="I41" i="567"/>
  <c r="I42" i="567"/>
  <c r="I43" i="567"/>
  <c r="I44" i="567"/>
  <c r="I45" i="567"/>
  <c r="I46" i="567"/>
  <c r="I47" i="567"/>
  <c r="I48" i="567"/>
  <c r="I49" i="567"/>
  <c r="I50" i="567"/>
  <c r="I51" i="567"/>
  <c r="I52" i="567"/>
  <c r="I53" i="567"/>
  <c r="I54" i="567"/>
  <c r="I55" i="567"/>
  <c r="I56" i="567"/>
  <c r="I57" i="567"/>
  <c r="I58" i="567"/>
  <c r="I59" i="567"/>
  <c r="I60" i="567"/>
  <c r="I61" i="567"/>
  <c r="I62" i="567"/>
  <c r="I63" i="567"/>
  <c r="I2" i="567"/>
  <c r="E4" i="11"/>
  <c r="E10" i="11"/>
  <c r="E11" i="11"/>
  <c r="E13" i="11"/>
  <c r="E14" i="11"/>
  <c r="E15" i="11"/>
  <c r="B15" i="11"/>
  <c r="B14" i="11"/>
  <c r="B13" i="11"/>
  <c r="B11" i="11"/>
  <c r="B10" i="11"/>
  <c r="B4" i="11"/>
  <c r="Z96" i="569"/>
  <c r="Y96" i="569"/>
  <c r="X96" i="569"/>
  <c r="W96" i="569"/>
  <c r="V96" i="569"/>
  <c r="Z95" i="569"/>
  <c r="Y95" i="569"/>
  <c r="X95" i="569"/>
  <c r="W95" i="569"/>
  <c r="V95" i="569"/>
  <c r="Z94" i="569"/>
  <c r="Y94" i="569"/>
  <c r="X94" i="569"/>
  <c r="W94" i="569"/>
  <c r="V94" i="569"/>
  <c r="Z93" i="569"/>
  <c r="Y93" i="569"/>
  <c r="X93" i="569"/>
  <c r="W93" i="569"/>
  <c r="V93" i="569"/>
  <c r="Z92" i="569"/>
  <c r="Y92" i="569"/>
  <c r="X92" i="569"/>
  <c r="W92" i="569"/>
  <c r="V92" i="569"/>
  <c r="Z91" i="569"/>
  <c r="Y91" i="569"/>
  <c r="X91" i="569"/>
  <c r="W91" i="569"/>
  <c r="V91" i="569"/>
  <c r="Z90" i="569"/>
  <c r="Y90" i="569"/>
  <c r="X90" i="569"/>
  <c r="W90" i="569"/>
  <c r="V90" i="569"/>
  <c r="Z89" i="569"/>
  <c r="Y89" i="569"/>
  <c r="X89" i="569"/>
  <c r="W89" i="569"/>
  <c r="V89" i="569"/>
  <c r="Z88" i="569"/>
  <c r="Y88" i="569"/>
  <c r="X88" i="569"/>
  <c r="W88" i="569"/>
  <c r="V88" i="569"/>
  <c r="Z87" i="569"/>
  <c r="Y87" i="569"/>
  <c r="X87" i="569"/>
  <c r="W87" i="569"/>
  <c r="V87" i="569"/>
  <c r="Z86" i="569"/>
  <c r="Y86" i="569"/>
  <c r="X86" i="569"/>
  <c r="W86" i="569"/>
  <c r="V86" i="569"/>
  <c r="Z85" i="569"/>
  <c r="Y85" i="569"/>
  <c r="X85" i="569"/>
  <c r="W85" i="569"/>
  <c r="V85" i="569"/>
  <c r="Z84" i="569"/>
  <c r="Y84" i="569"/>
  <c r="X84" i="569"/>
  <c r="W84" i="569"/>
  <c r="V84" i="569"/>
  <c r="Z83" i="569"/>
  <c r="Y83" i="569"/>
  <c r="X83" i="569"/>
  <c r="W83" i="569"/>
  <c r="V83" i="569"/>
  <c r="Z82" i="569"/>
  <c r="Y82" i="569"/>
  <c r="X82" i="569"/>
  <c r="W82" i="569"/>
  <c r="V82" i="569"/>
  <c r="Z81" i="569"/>
  <c r="Y81" i="569"/>
  <c r="X81" i="569"/>
  <c r="W81" i="569"/>
  <c r="V81" i="569"/>
  <c r="Z80" i="569"/>
  <c r="Y80" i="569"/>
  <c r="X80" i="569"/>
  <c r="W80" i="569"/>
  <c r="V80" i="569"/>
  <c r="Z79" i="569"/>
  <c r="Y79" i="569"/>
  <c r="X79" i="569"/>
  <c r="W79" i="569"/>
  <c r="V79" i="569"/>
  <c r="Z78" i="569"/>
  <c r="Y78" i="569"/>
  <c r="X78" i="569"/>
  <c r="W78" i="569"/>
  <c r="V78" i="569"/>
  <c r="Z77" i="569"/>
  <c r="Y77" i="569"/>
  <c r="X77" i="569"/>
  <c r="W77" i="569"/>
  <c r="V77" i="569"/>
  <c r="Z76" i="569"/>
  <c r="Y76" i="569"/>
  <c r="X76" i="569"/>
  <c r="W76" i="569"/>
  <c r="V76" i="569"/>
  <c r="Z75" i="569"/>
  <c r="Y75" i="569"/>
  <c r="X75" i="569"/>
  <c r="W75" i="569"/>
  <c r="V75" i="569"/>
  <c r="Z74" i="569"/>
  <c r="Y74" i="569"/>
  <c r="X74" i="569"/>
  <c r="W74" i="569"/>
  <c r="V74" i="569"/>
  <c r="Z73" i="569"/>
  <c r="Y73" i="569"/>
  <c r="X73" i="569"/>
  <c r="W73" i="569"/>
  <c r="V73" i="569"/>
  <c r="Z72" i="569"/>
  <c r="Y72" i="569"/>
  <c r="X72" i="569"/>
  <c r="W72" i="569"/>
  <c r="V72" i="569"/>
  <c r="Z71" i="569"/>
  <c r="Y71" i="569"/>
  <c r="X71" i="569"/>
  <c r="W71" i="569"/>
  <c r="V71" i="569"/>
  <c r="Z70" i="569"/>
  <c r="Y70" i="569"/>
  <c r="X70" i="569"/>
  <c r="W70" i="569"/>
  <c r="V70" i="569"/>
  <c r="Z69" i="569"/>
  <c r="Y69" i="569"/>
  <c r="X69" i="569"/>
  <c r="W69" i="569"/>
  <c r="V69" i="569"/>
  <c r="Z68" i="569"/>
  <c r="Y68" i="569"/>
  <c r="X68" i="569"/>
  <c r="W68" i="569"/>
  <c r="V68" i="569"/>
  <c r="Z67" i="569"/>
  <c r="Y67" i="569"/>
  <c r="X67" i="569"/>
  <c r="W67" i="569"/>
  <c r="V67" i="569"/>
  <c r="Z66" i="569"/>
  <c r="Y66" i="569"/>
  <c r="X66" i="569"/>
  <c r="W66" i="569"/>
  <c r="V66" i="569"/>
  <c r="Z65" i="569"/>
  <c r="Y65" i="569"/>
  <c r="X65" i="569"/>
  <c r="W65" i="569"/>
  <c r="V65" i="569"/>
  <c r="Z64" i="569"/>
  <c r="Y64" i="569"/>
  <c r="X64" i="569"/>
  <c r="W64" i="569"/>
  <c r="V64" i="569"/>
  <c r="Z63" i="569"/>
  <c r="Y63" i="569"/>
  <c r="X63" i="569"/>
  <c r="W63" i="569"/>
  <c r="V63" i="569"/>
  <c r="Z62" i="569"/>
  <c r="Y62" i="569"/>
  <c r="X62" i="569"/>
  <c r="W62" i="569"/>
  <c r="V62" i="569"/>
  <c r="Z61" i="569"/>
  <c r="Y61" i="569"/>
  <c r="X61" i="569"/>
  <c r="W61" i="569"/>
  <c r="V61" i="569"/>
  <c r="Z60" i="569"/>
  <c r="Y60" i="569"/>
  <c r="X60" i="569"/>
  <c r="W60" i="569"/>
  <c r="V60" i="569"/>
  <c r="Z59" i="569"/>
  <c r="Y59" i="569"/>
  <c r="X59" i="569"/>
  <c r="W59" i="569"/>
  <c r="V59" i="569"/>
  <c r="Z58" i="569"/>
  <c r="Y58" i="569"/>
  <c r="X58" i="569"/>
  <c r="W58" i="569"/>
  <c r="V58" i="569"/>
  <c r="Z57" i="569"/>
  <c r="Y57" i="569"/>
  <c r="X57" i="569"/>
  <c r="W57" i="569"/>
  <c r="V57" i="569"/>
  <c r="Z56" i="569"/>
  <c r="Y56" i="569"/>
  <c r="X56" i="569"/>
  <c r="W56" i="569"/>
  <c r="V56" i="569"/>
  <c r="Z55" i="569"/>
  <c r="Y55" i="569"/>
  <c r="X55" i="569"/>
  <c r="W55" i="569"/>
  <c r="V55" i="569"/>
  <c r="Z54" i="569"/>
  <c r="Y54" i="569"/>
  <c r="X54" i="569"/>
  <c r="W54" i="569"/>
  <c r="V54" i="569"/>
  <c r="Z53" i="569"/>
  <c r="Y53" i="569"/>
  <c r="X53" i="569"/>
  <c r="W53" i="569"/>
  <c r="V53" i="569"/>
  <c r="Z52" i="569"/>
  <c r="Y52" i="569"/>
  <c r="X52" i="569"/>
  <c r="W52" i="569"/>
  <c r="V52" i="569"/>
  <c r="Z51" i="569"/>
  <c r="Y51" i="569"/>
  <c r="X51" i="569"/>
  <c r="W51" i="569"/>
  <c r="V51" i="569"/>
  <c r="Z50" i="569"/>
  <c r="Y50" i="569"/>
  <c r="X50" i="569"/>
  <c r="W50" i="569"/>
  <c r="V50" i="569"/>
  <c r="Z49" i="569"/>
  <c r="Y49" i="569"/>
  <c r="X49" i="569"/>
  <c r="W49" i="569"/>
  <c r="V49" i="569"/>
  <c r="Z48" i="569"/>
  <c r="Y48" i="569"/>
  <c r="X48" i="569"/>
  <c r="W48" i="569"/>
  <c r="V48" i="569"/>
  <c r="Z47" i="569"/>
  <c r="Y47" i="569"/>
  <c r="X47" i="569"/>
  <c r="W47" i="569"/>
  <c r="V47" i="569"/>
  <c r="Z46" i="569"/>
  <c r="Y46" i="569"/>
  <c r="X46" i="569"/>
  <c r="W46" i="569"/>
  <c r="V46" i="569"/>
  <c r="Z45" i="569"/>
  <c r="Y45" i="569"/>
  <c r="X45" i="569"/>
  <c r="W45" i="569"/>
  <c r="V45" i="569"/>
  <c r="Z44" i="569"/>
  <c r="Y44" i="569"/>
  <c r="X44" i="569"/>
  <c r="W44" i="569"/>
  <c r="V44" i="569"/>
  <c r="Z43" i="569"/>
  <c r="Y43" i="569"/>
  <c r="X43" i="569"/>
  <c r="W43" i="569"/>
  <c r="V43" i="569"/>
  <c r="Z42" i="569"/>
  <c r="Y42" i="569"/>
  <c r="X42" i="569"/>
  <c r="W42" i="569"/>
  <c r="V42" i="569"/>
  <c r="Z41" i="569"/>
  <c r="Y41" i="569"/>
  <c r="X41" i="569"/>
  <c r="W41" i="569"/>
  <c r="V41" i="569"/>
  <c r="Z40" i="569"/>
  <c r="Y40" i="569"/>
  <c r="X40" i="569"/>
  <c r="W40" i="569"/>
  <c r="V40" i="569"/>
  <c r="Z39" i="569"/>
  <c r="Y39" i="569"/>
  <c r="X39" i="569"/>
  <c r="W39" i="569"/>
  <c r="V39" i="569"/>
  <c r="Z38" i="569"/>
  <c r="Y38" i="569"/>
  <c r="X38" i="569"/>
  <c r="W38" i="569"/>
  <c r="V38" i="569"/>
  <c r="Z37" i="569"/>
  <c r="Y37" i="569"/>
  <c r="X37" i="569"/>
  <c r="W37" i="569"/>
  <c r="V37" i="569"/>
  <c r="Z36" i="569"/>
  <c r="Y36" i="569"/>
  <c r="X36" i="569"/>
  <c r="W36" i="569"/>
  <c r="V36" i="569"/>
  <c r="Z35" i="569"/>
  <c r="Y35" i="569"/>
  <c r="X35" i="569"/>
  <c r="W35" i="569"/>
  <c r="V35" i="569"/>
  <c r="Z34" i="569"/>
  <c r="Y34" i="569"/>
  <c r="X34" i="569"/>
  <c r="W34" i="569"/>
  <c r="V34" i="569"/>
  <c r="Z33" i="569"/>
  <c r="Y33" i="569"/>
  <c r="X33" i="569"/>
  <c r="W33" i="569"/>
  <c r="V33" i="569"/>
  <c r="Z32" i="569"/>
  <c r="Y32" i="569"/>
  <c r="X32" i="569"/>
  <c r="W32" i="569"/>
  <c r="V32" i="569"/>
  <c r="Z31" i="569"/>
  <c r="Y31" i="569"/>
  <c r="X31" i="569"/>
  <c r="W31" i="569"/>
  <c r="V31" i="569"/>
  <c r="Z30" i="569"/>
  <c r="Y30" i="569"/>
  <c r="X30" i="569"/>
  <c r="W30" i="569"/>
  <c r="V30" i="569"/>
  <c r="Z29" i="569"/>
  <c r="Y29" i="569"/>
  <c r="X29" i="569"/>
  <c r="W29" i="569"/>
  <c r="V29" i="569"/>
  <c r="Z28" i="569"/>
  <c r="Y28" i="569"/>
  <c r="X28" i="569"/>
  <c r="W28" i="569"/>
  <c r="V28" i="569"/>
  <c r="Z27" i="569"/>
  <c r="Y27" i="569"/>
  <c r="X27" i="569"/>
  <c r="W27" i="569"/>
  <c r="V27" i="569"/>
  <c r="Z26" i="569"/>
  <c r="Y26" i="569"/>
  <c r="X26" i="569"/>
  <c r="W26" i="569"/>
  <c r="V26" i="569"/>
  <c r="Z25" i="569"/>
  <c r="Y25" i="569"/>
  <c r="X25" i="569"/>
  <c r="W25" i="569"/>
  <c r="V25" i="569"/>
  <c r="Z24" i="569"/>
  <c r="Y24" i="569"/>
  <c r="X24" i="569"/>
  <c r="W24" i="569"/>
  <c r="V24" i="569"/>
  <c r="Z23" i="569"/>
  <c r="Y23" i="569"/>
  <c r="X23" i="569"/>
  <c r="W23" i="569"/>
  <c r="V23" i="569"/>
  <c r="Z22" i="569"/>
  <c r="Y22" i="569"/>
  <c r="X22" i="569"/>
  <c r="W22" i="569"/>
  <c r="V22" i="569"/>
  <c r="Z21" i="569"/>
  <c r="Y21" i="569"/>
  <c r="X21" i="569"/>
  <c r="W21" i="569"/>
  <c r="V21" i="569"/>
  <c r="Z20" i="569"/>
  <c r="Y20" i="569"/>
  <c r="X20" i="569"/>
  <c r="W20" i="569"/>
  <c r="V20" i="569"/>
  <c r="Z19" i="569"/>
  <c r="Y19" i="569"/>
  <c r="X19" i="569"/>
  <c r="W19" i="569"/>
  <c r="V19" i="569"/>
  <c r="Z18" i="569"/>
  <c r="Y18" i="569"/>
  <c r="X18" i="569"/>
  <c r="W18" i="569"/>
  <c r="V18" i="569"/>
  <c r="Z17" i="569"/>
  <c r="Y17" i="569"/>
  <c r="X17" i="569"/>
  <c r="W17" i="569"/>
  <c r="V17" i="569"/>
  <c r="Z16" i="569"/>
  <c r="Y16" i="569"/>
  <c r="X16" i="569"/>
  <c r="W16" i="569"/>
  <c r="V16" i="569"/>
  <c r="Z15" i="569"/>
  <c r="Y15" i="569"/>
  <c r="X15" i="569"/>
  <c r="W15" i="569"/>
  <c r="V15" i="569"/>
  <c r="Z14" i="569"/>
  <c r="Y14" i="569"/>
  <c r="X14" i="569"/>
  <c r="W14" i="569"/>
  <c r="V14" i="569"/>
  <c r="Z13" i="569"/>
  <c r="Y13" i="569"/>
  <c r="X13" i="569"/>
  <c r="W13" i="569"/>
  <c r="V13" i="569"/>
  <c r="Z12" i="569"/>
  <c r="Y12" i="569"/>
  <c r="X12" i="569"/>
  <c r="W12" i="569"/>
  <c r="V12" i="569"/>
  <c r="Z11" i="569"/>
  <c r="Y11" i="569"/>
  <c r="X11" i="569"/>
  <c r="W11" i="569"/>
  <c r="V11" i="569"/>
  <c r="Z10" i="569"/>
  <c r="Y10" i="569"/>
  <c r="X10" i="569"/>
  <c r="W10" i="569"/>
  <c r="V10" i="569"/>
  <c r="Z9" i="569"/>
  <c r="Y9" i="569"/>
  <c r="X9" i="569"/>
  <c r="W9" i="569"/>
  <c r="V9" i="569"/>
  <c r="Z8" i="569"/>
  <c r="Y8" i="569"/>
  <c r="X8" i="569"/>
  <c r="W8" i="569"/>
  <c r="V8" i="569"/>
  <c r="Z7" i="569"/>
  <c r="Y7" i="569"/>
  <c r="X7" i="569"/>
  <c r="W7" i="569"/>
  <c r="V7" i="569"/>
  <c r="Z6" i="569"/>
  <c r="Y6" i="569"/>
  <c r="X6" i="569"/>
  <c r="W6" i="569"/>
  <c r="V6" i="569"/>
  <c r="Z5" i="569"/>
  <c r="Y5" i="569"/>
  <c r="X5" i="569"/>
  <c r="W5" i="569"/>
  <c r="V5" i="569"/>
  <c r="Z4" i="569"/>
  <c r="Y4" i="569"/>
  <c r="X4" i="569"/>
  <c r="W4" i="569"/>
  <c r="V4" i="569"/>
  <c r="Z3" i="569"/>
  <c r="Y3" i="569"/>
  <c r="X3" i="569"/>
  <c r="W3" i="569"/>
  <c r="V3" i="569"/>
  <c r="Z2" i="569"/>
  <c r="Y2" i="569"/>
  <c r="X2" i="569"/>
  <c r="W2" i="569"/>
  <c r="V2" i="569"/>
  <c r="S7" i="15"/>
  <c r="S6" i="15"/>
  <c r="V2" i="568"/>
  <c r="W2" i="568"/>
  <c r="X2" i="568"/>
  <c r="Y2" i="568"/>
  <c r="N6" i="11" s="1"/>
  <c r="Z2" i="568"/>
  <c r="V3" i="568"/>
  <c r="W3" i="568"/>
  <c r="X3" i="568"/>
  <c r="Y3" i="568"/>
  <c r="Z3" i="568"/>
  <c r="V4" i="568"/>
  <c r="W4" i="568"/>
  <c r="X4" i="568"/>
  <c r="Y4" i="568"/>
  <c r="Z4" i="568"/>
  <c r="V5" i="568"/>
  <c r="W5" i="568"/>
  <c r="X5" i="568"/>
  <c r="Y5" i="568"/>
  <c r="Z5" i="568"/>
  <c r="V6" i="568"/>
  <c r="W6" i="568"/>
  <c r="X6" i="568"/>
  <c r="Y6" i="568"/>
  <c r="Z6" i="568"/>
  <c r="V7" i="568"/>
  <c r="W7" i="568"/>
  <c r="X7" i="568"/>
  <c r="Y7" i="568"/>
  <c r="Z7" i="568"/>
  <c r="V8" i="568"/>
  <c r="W8" i="568"/>
  <c r="X8" i="568"/>
  <c r="Y8" i="568"/>
  <c r="Z8" i="568"/>
  <c r="V9" i="568"/>
  <c r="W9" i="568"/>
  <c r="X9" i="568"/>
  <c r="Y9" i="568"/>
  <c r="O9" i="11" s="1"/>
  <c r="Z9" i="568"/>
  <c r="V10" i="568"/>
  <c r="W10" i="568"/>
  <c r="X10" i="568"/>
  <c r="Y10" i="568"/>
  <c r="Z10" i="568"/>
  <c r="V11" i="568"/>
  <c r="W11" i="568"/>
  <c r="X11" i="568"/>
  <c r="Y11" i="568"/>
  <c r="Z11" i="568"/>
  <c r="V12" i="568"/>
  <c r="W12" i="568"/>
  <c r="X12" i="568"/>
  <c r="Y12" i="568"/>
  <c r="Z12" i="568"/>
  <c r="V13" i="568"/>
  <c r="W13" i="568"/>
  <c r="X13" i="568"/>
  <c r="Y13" i="568"/>
  <c r="Z13" i="568"/>
  <c r="V14" i="568"/>
  <c r="W14" i="568"/>
  <c r="X14" i="568"/>
  <c r="Y14" i="568"/>
  <c r="Z14" i="568"/>
  <c r="V15" i="568"/>
  <c r="W15" i="568"/>
  <c r="X15" i="568"/>
  <c r="Y15" i="568"/>
  <c r="Z15" i="568"/>
  <c r="V16" i="568"/>
  <c r="W16" i="568"/>
  <c r="X16" i="568"/>
  <c r="Y16" i="568"/>
  <c r="Z16" i="568"/>
  <c r="V17" i="568"/>
  <c r="W17" i="568"/>
  <c r="X17" i="568"/>
  <c r="Y17" i="568"/>
  <c r="Z17" i="568"/>
  <c r="V18" i="568"/>
  <c r="W18" i="568"/>
  <c r="X18" i="568"/>
  <c r="Y18" i="568"/>
  <c r="Z18" i="568"/>
  <c r="V19" i="568"/>
  <c r="W19" i="568"/>
  <c r="X19" i="568"/>
  <c r="Y19" i="568"/>
  <c r="Z19" i="568"/>
  <c r="V20" i="568"/>
  <c r="W20" i="568"/>
  <c r="X20" i="568"/>
  <c r="Y20" i="568"/>
  <c r="Z20" i="568"/>
  <c r="V21" i="568"/>
  <c r="W21" i="568"/>
  <c r="X21" i="568"/>
  <c r="Y21" i="568"/>
  <c r="Z21" i="568"/>
  <c r="V22" i="568"/>
  <c r="W22" i="568"/>
  <c r="X22" i="568"/>
  <c r="Y22" i="568"/>
  <c r="Z22" i="568"/>
  <c r="V23" i="568"/>
  <c r="W23" i="568"/>
  <c r="X23" i="568"/>
  <c r="Y23" i="568"/>
  <c r="Z23" i="568"/>
  <c r="V24" i="568"/>
  <c r="W24" i="568"/>
  <c r="X24" i="568"/>
  <c r="Y24" i="568"/>
  <c r="Z24" i="568"/>
  <c r="V25" i="568"/>
  <c r="W25" i="568"/>
  <c r="X25" i="568"/>
  <c r="Y25" i="568"/>
  <c r="Z25" i="568"/>
  <c r="V26" i="568"/>
  <c r="W26" i="568"/>
  <c r="X26" i="568"/>
  <c r="Y26" i="568"/>
  <c r="Z26" i="568"/>
  <c r="V27" i="568"/>
  <c r="W27" i="568"/>
  <c r="X27" i="568"/>
  <c r="Y27" i="568"/>
  <c r="Z27" i="568"/>
  <c r="V28" i="568"/>
  <c r="W28" i="568"/>
  <c r="X28" i="568"/>
  <c r="Y28" i="568"/>
  <c r="Z28" i="568"/>
  <c r="V29" i="568"/>
  <c r="W29" i="568"/>
  <c r="X29" i="568"/>
  <c r="Y29" i="568"/>
  <c r="Z29" i="568"/>
  <c r="V30" i="568"/>
  <c r="W30" i="568"/>
  <c r="X30" i="568"/>
  <c r="Y30" i="568"/>
  <c r="Z30" i="568"/>
  <c r="V31" i="568"/>
  <c r="W31" i="568"/>
  <c r="X31" i="568"/>
  <c r="Y31" i="568"/>
  <c r="Z31" i="568"/>
  <c r="V32" i="568"/>
  <c r="W32" i="568"/>
  <c r="X32" i="568"/>
  <c r="Y32" i="568"/>
  <c r="Z32" i="568"/>
  <c r="V33" i="568"/>
  <c r="W33" i="568"/>
  <c r="X33" i="568"/>
  <c r="Y33" i="568"/>
  <c r="Z33" i="568"/>
  <c r="V34" i="568"/>
  <c r="W34" i="568"/>
  <c r="X34" i="568"/>
  <c r="Y34" i="568"/>
  <c r="Z34" i="568"/>
  <c r="V35" i="568"/>
  <c r="W35" i="568"/>
  <c r="X35" i="568"/>
  <c r="Y35" i="568"/>
  <c r="Z35" i="568"/>
  <c r="V36" i="568"/>
  <c r="W36" i="568"/>
  <c r="X36" i="568"/>
  <c r="Y36" i="568"/>
  <c r="Z36" i="568"/>
  <c r="V37" i="568"/>
  <c r="W37" i="568"/>
  <c r="X37" i="568"/>
  <c r="Y37" i="568"/>
  <c r="Z37" i="568"/>
  <c r="V38" i="568"/>
  <c r="W38" i="568"/>
  <c r="X38" i="568"/>
  <c r="Y38" i="568"/>
  <c r="Z38" i="568"/>
  <c r="V39" i="568"/>
  <c r="W39" i="568"/>
  <c r="X39" i="568"/>
  <c r="Y39" i="568"/>
  <c r="Z39" i="568"/>
  <c r="V40" i="568"/>
  <c r="W40" i="568"/>
  <c r="X40" i="568"/>
  <c r="Y40" i="568"/>
  <c r="Z40" i="568"/>
  <c r="V41" i="568"/>
  <c r="W41" i="568"/>
  <c r="X41" i="568"/>
  <c r="Y41" i="568"/>
  <c r="Z41" i="568"/>
  <c r="V42" i="568"/>
  <c r="W42" i="568"/>
  <c r="X42" i="568"/>
  <c r="Y42" i="568"/>
  <c r="Z42" i="568"/>
  <c r="V43" i="568"/>
  <c r="W43" i="568"/>
  <c r="X43" i="568"/>
  <c r="Y43" i="568"/>
  <c r="Z43" i="568"/>
  <c r="V44" i="568"/>
  <c r="W44" i="568"/>
  <c r="X44" i="568"/>
  <c r="Y44" i="568"/>
  <c r="K13" i="11" s="1"/>
  <c r="Z44" i="568"/>
  <c r="V45" i="568"/>
  <c r="W45" i="568"/>
  <c r="X45" i="568"/>
  <c r="Y45" i="568"/>
  <c r="Z45" i="568"/>
  <c r="V46" i="568"/>
  <c r="W46" i="568"/>
  <c r="X46" i="568"/>
  <c r="Y46" i="568"/>
  <c r="Z46" i="568"/>
  <c r="V47" i="568"/>
  <c r="W47" i="568"/>
  <c r="X47" i="568"/>
  <c r="Y47" i="568"/>
  <c r="Z47" i="568"/>
  <c r="V48" i="568"/>
  <c r="W48" i="568"/>
  <c r="X48" i="568"/>
  <c r="Y48" i="568"/>
  <c r="Z48" i="568"/>
  <c r="V49" i="568"/>
  <c r="W49" i="568"/>
  <c r="X49" i="568"/>
  <c r="Y49" i="568"/>
  <c r="Z49" i="568"/>
  <c r="V50" i="568"/>
  <c r="W50" i="568"/>
  <c r="X50" i="568"/>
  <c r="Y50" i="568"/>
  <c r="Z50" i="568"/>
  <c r="V51" i="568"/>
  <c r="W51" i="568"/>
  <c r="X51" i="568"/>
  <c r="Y51" i="568"/>
  <c r="Z51" i="568"/>
  <c r="V52" i="568"/>
  <c r="W52" i="568"/>
  <c r="X52" i="568"/>
  <c r="Y52" i="568"/>
  <c r="Z52" i="568"/>
  <c r="V53" i="568"/>
  <c r="W53" i="568"/>
  <c r="X53" i="568"/>
  <c r="Y53" i="568"/>
  <c r="Z53" i="568"/>
  <c r="V54" i="568"/>
  <c r="W54" i="568"/>
  <c r="X54" i="568"/>
  <c r="Y54" i="568"/>
  <c r="Z54" i="568"/>
  <c r="V55" i="568"/>
  <c r="W55" i="568"/>
  <c r="X55" i="568"/>
  <c r="Y55" i="568"/>
  <c r="Z55" i="568"/>
  <c r="V56" i="568"/>
  <c r="W56" i="568"/>
  <c r="X56" i="568"/>
  <c r="Y56" i="568"/>
  <c r="Z56" i="568"/>
  <c r="V57" i="568"/>
  <c r="W57" i="568"/>
  <c r="X57" i="568"/>
  <c r="Y57" i="568"/>
  <c r="Z57" i="568"/>
  <c r="V58" i="568"/>
  <c r="W58" i="568"/>
  <c r="X58" i="568"/>
  <c r="Y58" i="568"/>
  <c r="Z58" i="568"/>
  <c r="V59" i="568"/>
  <c r="W59" i="568"/>
  <c r="X59" i="568"/>
  <c r="Y59" i="568"/>
  <c r="Z59" i="568"/>
  <c r="V60" i="568"/>
  <c r="W60" i="568"/>
  <c r="X60" i="568"/>
  <c r="Y60" i="568"/>
  <c r="Z60" i="568"/>
  <c r="I4" i="11" s="1"/>
  <c r="V61" i="568"/>
  <c r="W61" i="568"/>
  <c r="X61" i="568"/>
  <c r="Y61" i="568"/>
  <c r="Z61" i="568"/>
  <c r="V62" i="568"/>
  <c r="W62" i="568"/>
  <c r="X62" i="568"/>
  <c r="Y62" i="568"/>
  <c r="Z62" i="568"/>
  <c r="V63" i="568"/>
  <c r="W63" i="568"/>
  <c r="X63" i="568"/>
  <c r="Y63" i="568"/>
  <c r="Z63" i="568"/>
  <c r="V64" i="568"/>
  <c r="W64" i="568"/>
  <c r="X64" i="568"/>
  <c r="Y64" i="568"/>
  <c r="Z64" i="568"/>
  <c r="V65" i="568"/>
  <c r="W65" i="568"/>
  <c r="X65" i="568"/>
  <c r="Y65" i="568"/>
  <c r="Z65" i="568"/>
  <c r="V66" i="568"/>
  <c r="W66" i="568"/>
  <c r="X66" i="568"/>
  <c r="Y66" i="568"/>
  <c r="Z66" i="568"/>
  <c r="V67" i="568"/>
  <c r="W67" i="568"/>
  <c r="X67" i="568"/>
  <c r="Y67" i="568"/>
  <c r="Z67" i="568"/>
  <c r="V68" i="568"/>
  <c r="W68" i="568"/>
  <c r="X68" i="568"/>
  <c r="Y68" i="568"/>
  <c r="Z68" i="568"/>
  <c r="V69" i="568"/>
  <c r="W69" i="568"/>
  <c r="X69" i="568"/>
  <c r="Y69" i="568"/>
  <c r="Z69" i="568"/>
  <c r="V70" i="568"/>
  <c r="W70" i="568"/>
  <c r="X70" i="568"/>
  <c r="Y70" i="568"/>
  <c r="Z70" i="568"/>
  <c r="V71" i="568"/>
  <c r="W71" i="568"/>
  <c r="X71" i="568"/>
  <c r="Y71" i="568"/>
  <c r="Z71" i="568"/>
  <c r="V72" i="568"/>
  <c r="W72" i="568"/>
  <c r="X72" i="568"/>
  <c r="Y72" i="568"/>
  <c r="Z72" i="568"/>
  <c r="V73" i="568"/>
  <c r="W73" i="568"/>
  <c r="X73" i="568"/>
  <c r="Y73" i="568"/>
  <c r="Z73" i="568"/>
  <c r="V74" i="568"/>
  <c r="W74" i="568"/>
  <c r="X74" i="568"/>
  <c r="Y74" i="568"/>
  <c r="Z74" i="568"/>
  <c r="H8" i="11" l="1"/>
  <c r="I7" i="11"/>
  <c r="M4" i="11"/>
  <c r="O6" i="11"/>
  <c r="O13" i="11"/>
  <c r="H7" i="11"/>
  <c r="P13" i="11"/>
  <c r="J4" i="11"/>
  <c r="J10" i="11"/>
  <c r="J8" i="11"/>
  <c r="L13" i="11"/>
  <c r="K10" i="11"/>
  <c r="M6" i="11"/>
  <c r="M8" i="11"/>
  <c r="E8" i="11"/>
  <c r="L4" i="11"/>
  <c r="L8" i="11"/>
  <c r="K4" i="11"/>
  <c r="N13" i="11"/>
  <c r="I10" i="11"/>
  <c r="M13" i="11"/>
  <c r="H10" i="11"/>
  <c r="L6" i="11"/>
  <c r="I8" i="11"/>
  <c r="M9" i="11"/>
  <c r="O7" i="11"/>
  <c r="K9" i="11"/>
  <c r="M7" i="11"/>
  <c r="J9" i="11"/>
  <c r="L7" i="11"/>
  <c r="E5" i="11"/>
  <c r="H6" i="11"/>
  <c r="P10" i="11"/>
  <c r="I9" i="11"/>
  <c r="K7" i="11"/>
  <c r="P9" i="11"/>
  <c r="K6" i="11"/>
  <c r="J13" i="11"/>
  <c r="N9" i="11"/>
  <c r="P7" i="11"/>
  <c r="I6" i="11"/>
  <c r="I13" i="11"/>
  <c r="L9" i="11"/>
  <c r="N7" i="11"/>
  <c r="U13" i="15"/>
  <c r="H4" i="11"/>
  <c r="O10" i="11"/>
  <c r="H9" i="11"/>
  <c r="J7" i="11"/>
  <c r="E9" i="11"/>
  <c r="J6" i="11"/>
  <c r="H13" i="11"/>
  <c r="E6" i="11"/>
  <c r="P4" i="11"/>
  <c r="N10" i="11"/>
  <c r="P8" i="11"/>
  <c r="K8" i="11"/>
  <c r="E12" i="11"/>
  <c r="E7" i="11"/>
  <c r="O4" i="11"/>
  <c r="M10" i="11"/>
  <c r="O8" i="11"/>
  <c r="E3" i="11"/>
  <c r="N4" i="11"/>
  <c r="L10" i="11"/>
  <c r="N8" i="11"/>
  <c r="P6" i="11"/>
  <c r="U14" i="15"/>
  <c r="U28" i="15"/>
  <c r="U21" i="15"/>
  <c r="U15" i="15"/>
  <c r="U11" i="15"/>
  <c r="U5" i="15"/>
  <c r="U12" i="15"/>
  <c r="U4" i="15"/>
  <c r="U3" i="15"/>
  <c r="V2" i="567" l="1"/>
  <c r="W2" i="567"/>
  <c r="X2" i="567"/>
  <c r="Y2" i="567"/>
  <c r="Z2" i="567"/>
  <c r="V3" i="567"/>
  <c r="W3" i="567"/>
  <c r="X3" i="567"/>
  <c r="Y3" i="567"/>
  <c r="Z3" i="567"/>
  <c r="V4" i="567"/>
  <c r="W4" i="567"/>
  <c r="X4" i="567"/>
  <c r="Y4" i="567"/>
  <c r="Z4" i="567"/>
  <c r="V5" i="567"/>
  <c r="W5" i="567"/>
  <c r="X5" i="567"/>
  <c r="Y5" i="567"/>
  <c r="Z5" i="567"/>
  <c r="V6" i="567"/>
  <c r="W6" i="567"/>
  <c r="X6" i="567"/>
  <c r="Y6" i="567"/>
  <c r="Z6" i="567"/>
  <c r="V7" i="567"/>
  <c r="W7" i="567"/>
  <c r="X7" i="567"/>
  <c r="Y7" i="567"/>
  <c r="Z7" i="567"/>
  <c r="V8" i="567"/>
  <c r="W8" i="567"/>
  <c r="X8" i="567"/>
  <c r="Y8" i="567"/>
  <c r="Z8" i="567"/>
  <c r="V9" i="567"/>
  <c r="W9" i="567"/>
  <c r="X9" i="567"/>
  <c r="Y9" i="567"/>
  <c r="Z9" i="567"/>
  <c r="V10" i="567"/>
  <c r="W10" i="567"/>
  <c r="X10" i="567"/>
  <c r="Y10" i="567"/>
  <c r="Z10" i="567"/>
  <c r="V11" i="567"/>
  <c r="W11" i="567"/>
  <c r="X11" i="567"/>
  <c r="Y11" i="567"/>
  <c r="Z11" i="567"/>
  <c r="V12" i="567"/>
  <c r="W12" i="567"/>
  <c r="X12" i="567"/>
  <c r="Y12" i="567"/>
  <c r="Z12" i="567"/>
  <c r="V13" i="567"/>
  <c r="W13" i="567"/>
  <c r="X13" i="567"/>
  <c r="Y13" i="567"/>
  <c r="Z13" i="567"/>
  <c r="V14" i="567"/>
  <c r="W14" i="567"/>
  <c r="X14" i="567"/>
  <c r="Y14" i="567"/>
  <c r="Z14" i="567"/>
  <c r="V15" i="567"/>
  <c r="W15" i="567"/>
  <c r="X15" i="567"/>
  <c r="Y15" i="567"/>
  <c r="Z15" i="567"/>
  <c r="V16" i="567"/>
  <c r="W16" i="567"/>
  <c r="X16" i="567"/>
  <c r="Y16" i="567"/>
  <c r="Z16" i="567"/>
  <c r="V17" i="567"/>
  <c r="W17" i="567"/>
  <c r="X17" i="567"/>
  <c r="Y17" i="567"/>
  <c r="Z17" i="567"/>
  <c r="V18" i="567"/>
  <c r="W18" i="567"/>
  <c r="X18" i="567"/>
  <c r="Y18" i="567"/>
  <c r="Z18" i="567"/>
  <c r="V19" i="567"/>
  <c r="W19" i="567"/>
  <c r="X19" i="567"/>
  <c r="Y19" i="567"/>
  <c r="Z19" i="567"/>
  <c r="V20" i="567"/>
  <c r="W20" i="567"/>
  <c r="X20" i="567"/>
  <c r="Y20" i="567"/>
  <c r="Z20" i="567"/>
  <c r="V21" i="567"/>
  <c r="W21" i="567"/>
  <c r="X21" i="567"/>
  <c r="Y21" i="567"/>
  <c r="Z21" i="567"/>
  <c r="V22" i="567"/>
  <c r="W22" i="567"/>
  <c r="X22" i="567"/>
  <c r="Y22" i="567"/>
  <c r="Z22" i="567"/>
  <c r="V23" i="567"/>
  <c r="W23" i="567"/>
  <c r="X23" i="567"/>
  <c r="Y23" i="567"/>
  <c r="Z23" i="567"/>
  <c r="V24" i="567"/>
  <c r="W24" i="567"/>
  <c r="X24" i="567"/>
  <c r="Y24" i="567"/>
  <c r="Z24" i="567"/>
  <c r="V25" i="567"/>
  <c r="W25" i="567"/>
  <c r="X25" i="567"/>
  <c r="Y25" i="567"/>
  <c r="Z25" i="567"/>
  <c r="V26" i="567"/>
  <c r="W26" i="567"/>
  <c r="X26" i="567"/>
  <c r="Y26" i="567"/>
  <c r="Z26" i="567"/>
  <c r="V27" i="567"/>
  <c r="W27" i="567"/>
  <c r="X27" i="567"/>
  <c r="Y27" i="567"/>
  <c r="Z27" i="567"/>
  <c r="V28" i="567"/>
  <c r="W28" i="567"/>
  <c r="X28" i="567"/>
  <c r="Y28" i="567"/>
  <c r="Z28" i="567"/>
  <c r="V29" i="567"/>
  <c r="W29" i="567"/>
  <c r="X29" i="567"/>
  <c r="Y29" i="567"/>
  <c r="Z29" i="567"/>
  <c r="V30" i="567"/>
  <c r="W30" i="567"/>
  <c r="X30" i="567"/>
  <c r="Y30" i="567"/>
  <c r="Z30" i="567"/>
  <c r="V31" i="567"/>
  <c r="W31" i="567"/>
  <c r="X31" i="567"/>
  <c r="Y31" i="567"/>
  <c r="Z31" i="567"/>
  <c r="V32" i="567"/>
  <c r="W32" i="567"/>
  <c r="X32" i="567"/>
  <c r="Y32" i="567"/>
  <c r="Z32" i="567"/>
  <c r="V33" i="567"/>
  <c r="W33" i="567"/>
  <c r="X33" i="567"/>
  <c r="Y33" i="567"/>
  <c r="Z33" i="567"/>
  <c r="V34" i="567"/>
  <c r="W34" i="567"/>
  <c r="X34" i="567"/>
  <c r="Y34" i="567"/>
  <c r="Z34" i="567"/>
  <c r="V35" i="567"/>
  <c r="W35" i="567"/>
  <c r="X35" i="567"/>
  <c r="Y35" i="567"/>
  <c r="Z35" i="567"/>
  <c r="V36" i="567"/>
  <c r="W36" i="567"/>
  <c r="X36" i="567"/>
  <c r="Y36" i="567"/>
  <c r="Z36" i="567"/>
  <c r="V37" i="567"/>
  <c r="W37" i="567"/>
  <c r="X37" i="567"/>
  <c r="Y37" i="567"/>
  <c r="Z37" i="567"/>
  <c r="V38" i="567"/>
  <c r="W38" i="567"/>
  <c r="X38" i="567"/>
  <c r="Y38" i="567"/>
  <c r="Z38" i="567"/>
  <c r="V39" i="567"/>
  <c r="W39" i="567"/>
  <c r="X39" i="567"/>
  <c r="Y39" i="567"/>
  <c r="Z39" i="567"/>
  <c r="V40" i="567"/>
  <c r="W40" i="567"/>
  <c r="X40" i="567"/>
  <c r="Y40" i="567"/>
  <c r="Z40" i="567"/>
  <c r="V41" i="567"/>
  <c r="W41" i="567"/>
  <c r="X41" i="567"/>
  <c r="Y41" i="567"/>
  <c r="Z41" i="567"/>
  <c r="V42" i="567"/>
  <c r="W42" i="567"/>
  <c r="X42" i="567"/>
  <c r="Y42" i="567"/>
  <c r="Z42" i="567"/>
  <c r="V43" i="567"/>
  <c r="W43" i="567"/>
  <c r="X43" i="567"/>
  <c r="Y43" i="567"/>
  <c r="Z43" i="567"/>
  <c r="V44" i="567"/>
  <c r="W44" i="567"/>
  <c r="X44" i="567"/>
  <c r="Y44" i="567"/>
  <c r="Z44" i="567"/>
  <c r="V45" i="567"/>
  <c r="W45" i="567"/>
  <c r="X45" i="567"/>
  <c r="Y45" i="567"/>
  <c r="Z45" i="567"/>
  <c r="V46" i="567"/>
  <c r="W46" i="567"/>
  <c r="X46" i="567"/>
  <c r="Y46" i="567"/>
  <c r="Z46" i="567"/>
  <c r="V47" i="567"/>
  <c r="W47" i="567"/>
  <c r="X47" i="567"/>
  <c r="Y47" i="567"/>
  <c r="Z47" i="567"/>
  <c r="V48" i="567"/>
  <c r="W48" i="567"/>
  <c r="X48" i="567"/>
  <c r="Y48" i="567"/>
  <c r="Z48" i="567"/>
  <c r="V49" i="567"/>
  <c r="W49" i="567"/>
  <c r="X49" i="567"/>
  <c r="Y49" i="567"/>
  <c r="Z49" i="567"/>
  <c r="V50" i="567"/>
  <c r="W50" i="567"/>
  <c r="X50" i="567"/>
  <c r="Y50" i="567"/>
  <c r="Z50" i="567"/>
  <c r="V51" i="567"/>
  <c r="W51" i="567"/>
  <c r="X51" i="567"/>
  <c r="Y51" i="567"/>
  <c r="Z51" i="567"/>
  <c r="V52" i="567"/>
  <c r="W52" i="567"/>
  <c r="X52" i="567"/>
  <c r="Y52" i="567"/>
  <c r="Z52" i="567"/>
  <c r="V53" i="567"/>
  <c r="W53" i="567"/>
  <c r="X53" i="567"/>
  <c r="Y53" i="567"/>
  <c r="Z53" i="567"/>
  <c r="V54" i="567"/>
  <c r="W54" i="567"/>
  <c r="X54" i="567"/>
  <c r="Y54" i="567"/>
  <c r="Z54" i="567"/>
  <c r="V55" i="567"/>
  <c r="W55" i="567"/>
  <c r="X55" i="567"/>
  <c r="Y55" i="567"/>
  <c r="Z55" i="567"/>
  <c r="V56" i="567"/>
  <c r="W56" i="567"/>
  <c r="X56" i="567"/>
  <c r="Y56" i="567"/>
  <c r="Z56" i="567"/>
  <c r="V57" i="567"/>
  <c r="W57" i="567"/>
  <c r="X57" i="567"/>
  <c r="Y57" i="567"/>
  <c r="Z57" i="567"/>
  <c r="V58" i="567"/>
  <c r="W58" i="567"/>
  <c r="X58" i="567"/>
  <c r="Y58" i="567"/>
  <c r="Z58" i="567"/>
  <c r="V59" i="567"/>
  <c r="W59" i="567"/>
  <c r="X59" i="567"/>
  <c r="Y59" i="567"/>
  <c r="Z59" i="567"/>
  <c r="V60" i="567"/>
  <c r="W60" i="567"/>
  <c r="X60" i="567"/>
  <c r="Y60" i="567"/>
  <c r="Z60" i="567"/>
  <c r="V61" i="567"/>
  <c r="W61" i="567"/>
  <c r="X61" i="567"/>
  <c r="Y61" i="567"/>
  <c r="Z61" i="567"/>
  <c r="V62" i="567"/>
  <c r="W62" i="567"/>
  <c r="X62" i="567"/>
  <c r="Y62" i="567"/>
  <c r="Z62" i="567"/>
  <c r="V63" i="567"/>
  <c r="W63" i="567"/>
  <c r="X63" i="567"/>
  <c r="Y63" i="567"/>
  <c r="Z63" i="567"/>
  <c r="B8" i="11" l="1"/>
  <c r="B3" i="11"/>
  <c r="T13" i="15"/>
  <c r="B5" i="11"/>
  <c r="B6" i="11"/>
  <c r="B9" i="11"/>
  <c r="T21" i="15"/>
  <c r="T14" i="15"/>
  <c r="B12" i="11"/>
  <c r="T28" i="15"/>
  <c r="T15" i="15"/>
  <c r="B7" i="11"/>
  <c r="T6" i="15"/>
  <c r="T12" i="15"/>
  <c r="T11" i="15"/>
  <c r="T4" i="15"/>
  <c r="T5" i="15"/>
  <c r="T3" i="15"/>
  <c r="Z92" i="566"/>
  <c r="Y92" i="566"/>
  <c r="X92" i="566"/>
  <c r="W92" i="566"/>
  <c r="V92" i="566"/>
  <c r="Z91" i="566"/>
  <c r="Y91" i="566"/>
  <c r="X91" i="566"/>
  <c r="W91" i="566"/>
  <c r="V91" i="566"/>
  <c r="Z90" i="566"/>
  <c r="Y90" i="566"/>
  <c r="X90" i="566"/>
  <c r="W90" i="566"/>
  <c r="V90" i="566"/>
  <c r="Z89" i="566"/>
  <c r="Y89" i="566"/>
  <c r="X89" i="566"/>
  <c r="W89" i="566"/>
  <c r="V89" i="566"/>
  <c r="Z88" i="566"/>
  <c r="Y88" i="566"/>
  <c r="X88" i="566"/>
  <c r="W88" i="566"/>
  <c r="V88" i="566"/>
  <c r="Z87" i="566"/>
  <c r="Y87" i="566"/>
  <c r="X87" i="566"/>
  <c r="W87" i="566"/>
  <c r="V87" i="566"/>
  <c r="Z86" i="566"/>
  <c r="Y86" i="566"/>
  <c r="X86" i="566"/>
  <c r="W86" i="566"/>
  <c r="V86" i="566"/>
  <c r="Z85" i="566"/>
  <c r="Y85" i="566"/>
  <c r="X85" i="566"/>
  <c r="W85" i="566"/>
  <c r="V85" i="566"/>
  <c r="Z84" i="566"/>
  <c r="Y84" i="566"/>
  <c r="X84" i="566"/>
  <c r="W84" i="566"/>
  <c r="V84" i="566"/>
  <c r="Z83" i="566"/>
  <c r="Y83" i="566"/>
  <c r="X83" i="566"/>
  <c r="W83" i="566"/>
  <c r="V83" i="566"/>
  <c r="Z82" i="566"/>
  <c r="Y82" i="566"/>
  <c r="X82" i="566"/>
  <c r="W82" i="566"/>
  <c r="V82" i="566"/>
  <c r="Z81" i="566"/>
  <c r="Y81" i="566"/>
  <c r="X81" i="566"/>
  <c r="W81" i="566"/>
  <c r="V81" i="566"/>
  <c r="Z80" i="566"/>
  <c r="Y80" i="566"/>
  <c r="X80" i="566"/>
  <c r="W80" i="566"/>
  <c r="V80" i="566"/>
  <c r="Z79" i="566"/>
  <c r="Y79" i="566"/>
  <c r="X79" i="566"/>
  <c r="W79" i="566"/>
  <c r="V79" i="566"/>
  <c r="Z78" i="566"/>
  <c r="Y78" i="566"/>
  <c r="X78" i="566"/>
  <c r="W78" i="566"/>
  <c r="V78" i="566"/>
  <c r="Z77" i="566"/>
  <c r="Y77" i="566"/>
  <c r="X77" i="566"/>
  <c r="W77" i="566"/>
  <c r="V77" i="566"/>
  <c r="Z76" i="566"/>
  <c r="Y76" i="566"/>
  <c r="X76" i="566"/>
  <c r="W76" i="566"/>
  <c r="V76" i="566"/>
  <c r="Z75" i="566"/>
  <c r="Y75" i="566"/>
  <c r="X75" i="566"/>
  <c r="W75" i="566"/>
  <c r="V75" i="566"/>
  <c r="Z74" i="566"/>
  <c r="Y74" i="566"/>
  <c r="X74" i="566"/>
  <c r="W74" i="566"/>
  <c r="V74" i="566"/>
  <c r="Z73" i="566"/>
  <c r="Y73" i="566"/>
  <c r="X73" i="566"/>
  <c r="W73" i="566"/>
  <c r="V73" i="566"/>
  <c r="Z72" i="566"/>
  <c r="Y72" i="566"/>
  <c r="X72" i="566"/>
  <c r="W72" i="566"/>
  <c r="V72" i="566"/>
  <c r="Z71" i="566"/>
  <c r="Y71" i="566"/>
  <c r="X71" i="566"/>
  <c r="W71" i="566"/>
  <c r="V71" i="566"/>
  <c r="Z70" i="566"/>
  <c r="Y70" i="566"/>
  <c r="X70" i="566"/>
  <c r="W70" i="566"/>
  <c r="V70" i="566"/>
  <c r="Z69" i="566"/>
  <c r="Y69" i="566"/>
  <c r="X69" i="566"/>
  <c r="W69" i="566"/>
  <c r="V69" i="566"/>
  <c r="Z68" i="566"/>
  <c r="Y68" i="566"/>
  <c r="X68" i="566"/>
  <c r="W68" i="566"/>
  <c r="V68" i="566"/>
  <c r="Z67" i="566"/>
  <c r="Y67" i="566"/>
  <c r="X67" i="566"/>
  <c r="W67" i="566"/>
  <c r="V67" i="566"/>
  <c r="Z66" i="566"/>
  <c r="Y66" i="566"/>
  <c r="X66" i="566"/>
  <c r="W66" i="566"/>
  <c r="V66" i="566"/>
  <c r="Z65" i="566"/>
  <c r="Y65" i="566"/>
  <c r="X65" i="566"/>
  <c r="W65" i="566"/>
  <c r="V65" i="566"/>
  <c r="Z64" i="566"/>
  <c r="Y64" i="566"/>
  <c r="X64" i="566"/>
  <c r="W64" i="566"/>
  <c r="V64" i="566"/>
  <c r="Z63" i="566"/>
  <c r="Y63" i="566"/>
  <c r="X63" i="566"/>
  <c r="W63" i="566"/>
  <c r="V63" i="566"/>
  <c r="Z62" i="566"/>
  <c r="Y62" i="566"/>
  <c r="X62" i="566"/>
  <c r="W62" i="566"/>
  <c r="V62" i="566"/>
  <c r="Z61" i="566"/>
  <c r="Y61" i="566"/>
  <c r="X61" i="566"/>
  <c r="W61" i="566"/>
  <c r="V61" i="566"/>
  <c r="Z60" i="566"/>
  <c r="Y60" i="566"/>
  <c r="X60" i="566"/>
  <c r="W60" i="566"/>
  <c r="V60" i="566"/>
  <c r="Z59" i="566"/>
  <c r="Y59" i="566"/>
  <c r="X59" i="566"/>
  <c r="W59" i="566"/>
  <c r="V59" i="566"/>
  <c r="Z58" i="566"/>
  <c r="Y58" i="566"/>
  <c r="X58" i="566"/>
  <c r="W58" i="566"/>
  <c r="V58" i="566"/>
  <c r="Z57" i="566"/>
  <c r="Y57" i="566"/>
  <c r="X57" i="566"/>
  <c r="W57" i="566"/>
  <c r="V57" i="566"/>
  <c r="Z56" i="566"/>
  <c r="Y56" i="566"/>
  <c r="X56" i="566"/>
  <c r="W56" i="566"/>
  <c r="V56" i="566"/>
  <c r="Z55" i="566"/>
  <c r="Y55" i="566"/>
  <c r="X55" i="566"/>
  <c r="W55" i="566"/>
  <c r="V55" i="566"/>
  <c r="Z54" i="566"/>
  <c r="Y54" i="566"/>
  <c r="X54" i="566"/>
  <c r="W54" i="566"/>
  <c r="V54" i="566"/>
  <c r="Z53" i="566"/>
  <c r="Y53" i="566"/>
  <c r="X53" i="566"/>
  <c r="W53" i="566"/>
  <c r="V53" i="566"/>
  <c r="Z52" i="566"/>
  <c r="Y52" i="566"/>
  <c r="X52" i="566"/>
  <c r="W52" i="566"/>
  <c r="V52" i="566"/>
  <c r="Z51" i="566"/>
  <c r="Y51" i="566"/>
  <c r="X51" i="566"/>
  <c r="W51" i="566"/>
  <c r="V51" i="566"/>
  <c r="Z50" i="566"/>
  <c r="Y50" i="566"/>
  <c r="X50" i="566"/>
  <c r="W50" i="566"/>
  <c r="V50" i="566"/>
  <c r="Z49" i="566"/>
  <c r="Y49" i="566"/>
  <c r="X49" i="566"/>
  <c r="W49" i="566"/>
  <c r="V49" i="566"/>
  <c r="Z48" i="566"/>
  <c r="Y48" i="566"/>
  <c r="X48" i="566"/>
  <c r="W48" i="566"/>
  <c r="V48" i="566"/>
  <c r="Z47" i="566"/>
  <c r="Y47" i="566"/>
  <c r="X47" i="566"/>
  <c r="W47" i="566"/>
  <c r="V47" i="566"/>
  <c r="Z46" i="566"/>
  <c r="Y46" i="566"/>
  <c r="X46" i="566"/>
  <c r="W46" i="566"/>
  <c r="V46" i="566"/>
  <c r="Z45" i="566"/>
  <c r="Y45" i="566"/>
  <c r="X45" i="566"/>
  <c r="W45" i="566"/>
  <c r="V45" i="566"/>
  <c r="Z44" i="566"/>
  <c r="Y44" i="566"/>
  <c r="X44" i="566"/>
  <c r="W44" i="566"/>
  <c r="V44" i="566"/>
  <c r="Z43" i="566"/>
  <c r="Y43" i="566"/>
  <c r="X43" i="566"/>
  <c r="W43" i="566"/>
  <c r="V43" i="566"/>
  <c r="Z42" i="566"/>
  <c r="Y42" i="566"/>
  <c r="X42" i="566"/>
  <c r="W42" i="566"/>
  <c r="V42" i="566"/>
  <c r="Z41" i="566"/>
  <c r="Y41" i="566"/>
  <c r="X41" i="566"/>
  <c r="W41" i="566"/>
  <c r="V41" i="566"/>
  <c r="Z40" i="566"/>
  <c r="Y40" i="566"/>
  <c r="X40" i="566"/>
  <c r="W40" i="566"/>
  <c r="V40" i="566"/>
  <c r="Z39" i="566"/>
  <c r="Y39" i="566"/>
  <c r="X39" i="566"/>
  <c r="W39" i="566"/>
  <c r="V39" i="566"/>
  <c r="Z38" i="566"/>
  <c r="Y38" i="566"/>
  <c r="X38" i="566"/>
  <c r="W38" i="566"/>
  <c r="V38" i="566"/>
  <c r="Z37" i="566"/>
  <c r="Y37" i="566"/>
  <c r="X37" i="566"/>
  <c r="W37" i="566"/>
  <c r="V37" i="566"/>
  <c r="Z36" i="566"/>
  <c r="Y36" i="566"/>
  <c r="X36" i="566"/>
  <c r="W36" i="566"/>
  <c r="V36" i="566"/>
  <c r="Z35" i="566"/>
  <c r="Y35" i="566"/>
  <c r="X35" i="566"/>
  <c r="W35" i="566"/>
  <c r="V35" i="566"/>
  <c r="Z34" i="566"/>
  <c r="Y34" i="566"/>
  <c r="X34" i="566"/>
  <c r="W34" i="566"/>
  <c r="V34" i="566"/>
  <c r="Z33" i="566"/>
  <c r="Y33" i="566"/>
  <c r="X33" i="566"/>
  <c r="W33" i="566"/>
  <c r="V33" i="566"/>
  <c r="Z32" i="566"/>
  <c r="Y32" i="566"/>
  <c r="X32" i="566"/>
  <c r="W32" i="566"/>
  <c r="V32" i="566"/>
  <c r="Z31" i="566"/>
  <c r="Y31" i="566"/>
  <c r="X31" i="566"/>
  <c r="W31" i="566"/>
  <c r="V31" i="566"/>
  <c r="Z30" i="566"/>
  <c r="Y30" i="566"/>
  <c r="X30" i="566"/>
  <c r="W30" i="566"/>
  <c r="V30" i="566"/>
  <c r="Z29" i="566"/>
  <c r="Y29" i="566"/>
  <c r="X29" i="566"/>
  <c r="W29" i="566"/>
  <c r="V29" i="566"/>
  <c r="Z28" i="566"/>
  <c r="Y28" i="566"/>
  <c r="X28" i="566"/>
  <c r="W28" i="566"/>
  <c r="V28" i="566"/>
  <c r="Z27" i="566"/>
  <c r="Y27" i="566"/>
  <c r="X27" i="566"/>
  <c r="W27" i="566"/>
  <c r="V27" i="566"/>
  <c r="Z26" i="566"/>
  <c r="Y26" i="566"/>
  <c r="X26" i="566"/>
  <c r="W26" i="566"/>
  <c r="V26" i="566"/>
  <c r="Z25" i="566"/>
  <c r="Y25" i="566"/>
  <c r="X25" i="566"/>
  <c r="W25" i="566"/>
  <c r="V25" i="566"/>
  <c r="Z24" i="566"/>
  <c r="Y24" i="566"/>
  <c r="X24" i="566"/>
  <c r="W24" i="566"/>
  <c r="V24" i="566"/>
  <c r="Z23" i="566"/>
  <c r="Y23" i="566"/>
  <c r="X23" i="566"/>
  <c r="W23" i="566"/>
  <c r="V23" i="566"/>
  <c r="Z22" i="566"/>
  <c r="Y22" i="566"/>
  <c r="X22" i="566"/>
  <c r="W22" i="566"/>
  <c r="V22" i="566"/>
  <c r="Z21" i="566"/>
  <c r="Y21" i="566"/>
  <c r="X21" i="566"/>
  <c r="W21" i="566"/>
  <c r="V21" i="566"/>
  <c r="Z20" i="566"/>
  <c r="Y20" i="566"/>
  <c r="X20" i="566"/>
  <c r="W20" i="566"/>
  <c r="V20" i="566"/>
  <c r="Z19" i="566"/>
  <c r="Y19" i="566"/>
  <c r="X19" i="566"/>
  <c r="W19" i="566"/>
  <c r="V19" i="566"/>
  <c r="Z18" i="566"/>
  <c r="Y18" i="566"/>
  <c r="X18" i="566"/>
  <c r="W18" i="566"/>
  <c r="V18" i="566"/>
  <c r="Z17" i="566"/>
  <c r="Y17" i="566"/>
  <c r="X17" i="566"/>
  <c r="W17" i="566"/>
  <c r="V17" i="566"/>
  <c r="Z16" i="566"/>
  <c r="Y16" i="566"/>
  <c r="X16" i="566"/>
  <c r="W16" i="566"/>
  <c r="V16" i="566"/>
  <c r="Z15" i="566"/>
  <c r="Y15" i="566"/>
  <c r="X15" i="566"/>
  <c r="W15" i="566"/>
  <c r="V15" i="566"/>
  <c r="Z14" i="566"/>
  <c r="Y14" i="566"/>
  <c r="X14" i="566"/>
  <c r="W14" i="566"/>
  <c r="V14" i="566"/>
  <c r="Z13" i="566"/>
  <c r="Y13" i="566"/>
  <c r="X13" i="566"/>
  <c r="W13" i="566"/>
  <c r="V13" i="566"/>
  <c r="Z12" i="566"/>
  <c r="Y12" i="566"/>
  <c r="X12" i="566"/>
  <c r="W12" i="566"/>
  <c r="V12" i="566"/>
  <c r="Z11" i="566"/>
  <c r="Y11" i="566"/>
  <c r="X11" i="566"/>
  <c r="W11" i="566"/>
  <c r="V11" i="566"/>
  <c r="Z10" i="566"/>
  <c r="Y10" i="566"/>
  <c r="X10" i="566"/>
  <c r="W10" i="566"/>
  <c r="V10" i="566"/>
  <c r="Z9" i="566"/>
  <c r="Y9" i="566"/>
  <c r="X9" i="566"/>
  <c r="W9" i="566"/>
  <c r="V9" i="566"/>
  <c r="Z8" i="566"/>
  <c r="Y8" i="566"/>
  <c r="X8" i="566"/>
  <c r="W8" i="566"/>
  <c r="V8" i="566"/>
  <c r="Z7" i="566"/>
  <c r="Y7" i="566"/>
  <c r="X7" i="566"/>
  <c r="W7" i="566"/>
  <c r="V7" i="566"/>
  <c r="Z6" i="566"/>
  <c r="Y6" i="566"/>
  <c r="X6" i="566"/>
  <c r="W6" i="566"/>
  <c r="V6" i="566"/>
  <c r="Z5" i="566"/>
  <c r="Y5" i="566"/>
  <c r="X5" i="566"/>
  <c r="W5" i="566"/>
  <c r="V5" i="566"/>
  <c r="Z4" i="566"/>
  <c r="Y4" i="566"/>
  <c r="X4" i="566"/>
  <c r="W4" i="566"/>
  <c r="V4" i="566"/>
  <c r="Z3" i="566"/>
  <c r="Y3" i="566"/>
  <c r="X3" i="566"/>
  <c r="W3" i="566"/>
  <c r="V3" i="566"/>
  <c r="Z2" i="566"/>
  <c r="Y2" i="566"/>
  <c r="X2" i="566"/>
  <c r="W2" i="566"/>
  <c r="V2" i="566"/>
  <c r="X2" i="564"/>
  <c r="V2" i="565"/>
  <c r="W2" i="565"/>
  <c r="X2" i="565"/>
  <c r="Y2" i="565"/>
  <c r="Z2" i="565"/>
  <c r="V3" i="565"/>
  <c r="W3" i="565"/>
  <c r="X3" i="565"/>
  <c r="Y3" i="565"/>
  <c r="Z3" i="565"/>
  <c r="V4" i="565"/>
  <c r="W4" i="565"/>
  <c r="X4" i="565"/>
  <c r="Y4" i="565"/>
  <c r="Z4" i="565"/>
  <c r="V5" i="565"/>
  <c r="W5" i="565"/>
  <c r="X5" i="565"/>
  <c r="Y5" i="565"/>
  <c r="Z5" i="565"/>
  <c r="V6" i="565"/>
  <c r="W6" i="565"/>
  <c r="X6" i="565"/>
  <c r="Y6" i="565"/>
  <c r="Z6" i="565"/>
  <c r="V7" i="565"/>
  <c r="W7" i="565"/>
  <c r="X7" i="565"/>
  <c r="Y7" i="565"/>
  <c r="Z7" i="565"/>
  <c r="V8" i="565"/>
  <c r="W8" i="565"/>
  <c r="X8" i="565"/>
  <c r="Y8" i="565"/>
  <c r="Z8" i="565"/>
  <c r="V9" i="565"/>
  <c r="W9" i="565"/>
  <c r="X9" i="565"/>
  <c r="Y9" i="565"/>
  <c r="Z9" i="565"/>
  <c r="V10" i="565"/>
  <c r="W10" i="565"/>
  <c r="X10" i="565"/>
  <c r="Y10" i="565"/>
  <c r="Z10" i="565"/>
  <c r="V11" i="565"/>
  <c r="W11" i="565"/>
  <c r="X11" i="565"/>
  <c r="Y11" i="565"/>
  <c r="Z11" i="565"/>
  <c r="V12" i="565"/>
  <c r="W12" i="565"/>
  <c r="X12" i="565"/>
  <c r="Y12" i="565"/>
  <c r="Z12" i="565"/>
  <c r="V13" i="565"/>
  <c r="W13" i="565"/>
  <c r="X13" i="565"/>
  <c r="Y13" i="565"/>
  <c r="Z13" i="565"/>
  <c r="V14" i="565"/>
  <c r="W14" i="565"/>
  <c r="X14" i="565"/>
  <c r="Y14" i="565"/>
  <c r="Z14" i="565"/>
  <c r="V15" i="565"/>
  <c r="W15" i="565"/>
  <c r="X15" i="565"/>
  <c r="Y15" i="565"/>
  <c r="Z15" i="565"/>
  <c r="V16" i="565"/>
  <c r="W16" i="565"/>
  <c r="X16" i="565"/>
  <c r="Y16" i="565"/>
  <c r="Z16" i="565"/>
  <c r="V17" i="565"/>
  <c r="W17" i="565"/>
  <c r="X17" i="565"/>
  <c r="Y17" i="565"/>
  <c r="Z17" i="565"/>
  <c r="V18" i="565"/>
  <c r="W18" i="565"/>
  <c r="X18" i="565"/>
  <c r="Y18" i="565"/>
  <c r="Z18" i="565"/>
  <c r="V19" i="565"/>
  <c r="W19" i="565"/>
  <c r="X19" i="565"/>
  <c r="Y19" i="565"/>
  <c r="Z19" i="565"/>
  <c r="V20" i="565"/>
  <c r="W20" i="565"/>
  <c r="X20" i="565"/>
  <c r="Y20" i="565"/>
  <c r="Z20" i="565"/>
  <c r="V21" i="565"/>
  <c r="W21" i="565"/>
  <c r="X21" i="565"/>
  <c r="Y21" i="565"/>
  <c r="Z21" i="565"/>
  <c r="V22" i="565"/>
  <c r="W22" i="565"/>
  <c r="X22" i="565"/>
  <c r="Y22" i="565"/>
  <c r="Z22" i="565"/>
  <c r="V23" i="565"/>
  <c r="W23" i="565"/>
  <c r="X23" i="565"/>
  <c r="Y23" i="565"/>
  <c r="Z23" i="565"/>
  <c r="V24" i="565"/>
  <c r="W24" i="565"/>
  <c r="X24" i="565"/>
  <c r="Y24" i="565"/>
  <c r="Z24" i="565"/>
  <c r="V25" i="565"/>
  <c r="W25" i="565"/>
  <c r="X25" i="565"/>
  <c r="Y25" i="565"/>
  <c r="Z25" i="565"/>
  <c r="V26" i="565"/>
  <c r="W26" i="565"/>
  <c r="X26" i="565"/>
  <c r="Y26" i="565"/>
  <c r="Z26" i="565"/>
  <c r="V27" i="565"/>
  <c r="W27" i="565"/>
  <c r="X27" i="565"/>
  <c r="Y27" i="565"/>
  <c r="Z27" i="565"/>
  <c r="V28" i="565"/>
  <c r="W28" i="565"/>
  <c r="X28" i="565"/>
  <c r="Y28" i="565"/>
  <c r="Z28" i="565"/>
  <c r="V29" i="565"/>
  <c r="W29" i="565"/>
  <c r="X29" i="565"/>
  <c r="Y29" i="565"/>
  <c r="Z29" i="565"/>
  <c r="V30" i="565"/>
  <c r="W30" i="565"/>
  <c r="X30" i="565"/>
  <c r="Y30" i="565"/>
  <c r="Z30" i="565"/>
  <c r="V31" i="565"/>
  <c r="W31" i="565"/>
  <c r="X31" i="565"/>
  <c r="Y31" i="565"/>
  <c r="Z31" i="565"/>
  <c r="V32" i="565"/>
  <c r="W32" i="565"/>
  <c r="X32" i="565"/>
  <c r="Y32" i="565"/>
  <c r="Z32" i="565"/>
  <c r="V33" i="565"/>
  <c r="W33" i="565"/>
  <c r="X33" i="565"/>
  <c r="Y33" i="565"/>
  <c r="Z33" i="565"/>
  <c r="V34" i="565"/>
  <c r="W34" i="565"/>
  <c r="X34" i="565"/>
  <c r="Y34" i="565"/>
  <c r="Z34" i="565"/>
  <c r="V35" i="565"/>
  <c r="W35" i="565"/>
  <c r="X35" i="565"/>
  <c r="Y35" i="565"/>
  <c r="Z35" i="565"/>
  <c r="V36" i="565"/>
  <c r="W36" i="565"/>
  <c r="X36" i="565"/>
  <c r="Y36" i="565"/>
  <c r="Z36" i="565"/>
  <c r="V37" i="565"/>
  <c r="W37" i="565"/>
  <c r="X37" i="565"/>
  <c r="Y37" i="565"/>
  <c r="Z37" i="565"/>
  <c r="V38" i="565"/>
  <c r="W38" i="565"/>
  <c r="X38" i="565"/>
  <c r="Y38" i="565"/>
  <c r="Z38" i="565"/>
  <c r="V39" i="565"/>
  <c r="W39" i="565"/>
  <c r="X39" i="565"/>
  <c r="Y39" i="565"/>
  <c r="Z39" i="565"/>
  <c r="V40" i="565"/>
  <c r="W40" i="565"/>
  <c r="X40" i="565"/>
  <c r="Y40" i="565"/>
  <c r="Z40" i="565"/>
  <c r="V41" i="565"/>
  <c r="W41" i="565"/>
  <c r="X41" i="565"/>
  <c r="Y41" i="565"/>
  <c r="Z41" i="565"/>
  <c r="V42" i="565"/>
  <c r="W42" i="565"/>
  <c r="X42" i="565"/>
  <c r="Y42" i="565"/>
  <c r="Z42" i="565"/>
  <c r="V43" i="565"/>
  <c r="W43" i="565"/>
  <c r="X43" i="565"/>
  <c r="Y43" i="565"/>
  <c r="Z43" i="565"/>
  <c r="V44" i="565"/>
  <c r="W44" i="565"/>
  <c r="X44" i="565"/>
  <c r="Y44" i="565"/>
  <c r="Z44" i="565"/>
  <c r="V45" i="565"/>
  <c r="W45" i="565"/>
  <c r="X45" i="565"/>
  <c r="Y45" i="565"/>
  <c r="Z45" i="565"/>
  <c r="V46" i="565"/>
  <c r="W46" i="565"/>
  <c r="X46" i="565"/>
  <c r="Y46" i="565"/>
  <c r="Z46" i="565"/>
  <c r="V47" i="565"/>
  <c r="W47" i="565"/>
  <c r="X47" i="565"/>
  <c r="Y47" i="565"/>
  <c r="Z47" i="565"/>
  <c r="V48" i="565"/>
  <c r="W48" i="565"/>
  <c r="X48" i="565"/>
  <c r="Y48" i="565"/>
  <c r="Z48" i="565"/>
  <c r="V49" i="565"/>
  <c r="W49" i="565"/>
  <c r="X49" i="565"/>
  <c r="Y49" i="565"/>
  <c r="Z49" i="565"/>
  <c r="V50" i="565"/>
  <c r="W50" i="565"/>
  <c r="X50" i="565"/>
  <c r="Y50" i="565"/>
  <c r="Z50" i="565"/>
  <c r="V51" i="565"/>
  <c r="W51" i="565"/>
  <c r="X51" i="565"/>
  <c r="Y51" i="565"/>
  <c r="Z51" i="565"/>
  <c r="V52" i="565"/>
  <c r="W52" i="565"/>
  <c r="X52" i="565"/>
  <c r="Y52" i="565"/>
  <c r="Z52" i="565"/>
  <c r="V53" i="565"/>
  <c r="W53" i="565"/>
  <c r="X53" i="565"/>
  <c r="Y53" i="565"/>
  <c r="Z53" i="565"/>
  <c r="V54" i="565"/>
  <c r="W54" i="565"/>
  <c r="X54" i="565"/>
  <c r="Y54" i="565"/>
  <c r="Z54" i="565"/>
  <c r="V55" i="565"/>
  <c r="W55" i="565"/>
  <c r="X55" i="565"/>
  <c r="Y55" i="565"/>
  <c r="Z55" i="565"/>
  <c r="V56" i="565"/>
  <c r="W56" i="565"/>
  <c r="X56" i="565"/>
  <c r="Y56" i="565"/>
  <c r="Z56" i="565"/>
  <c r="V57" i="565"/>
  <c r="W57" i="565"/>
  <c r="X57" i="565"/>
  <c r="Y57" i="565"/>
  <c r="Z57" i="565"/>
  <c r="V58" i="565"/>
  <c r="W58" i="565"/>
  <c r="X58" i="565"/>
  <c r="Y58" i="565"/>
  <c r="Z58" i="565"/>
  <c r="V59" i="565"/>
  <c r="W59" i="565"/>
  <c r="X59" i="565"/>
  <c r="Y59" i="565"/>
  <c r="Z59" i="565"/>
  <c r="V60" i="565"/>
  <c r="W60" i="565"/>
  <c r="X60" i="565"/>
  <c r="Y60" i="565"/>
  <c r="Z60" i="565"/>
  <c r="V61" i="565"/>
  <c r="W61" i="565"/>
  <c r="X61" i="565"/>
  <c r="Y61" i="565"/>
  <c r="Z61" i="565"/>
  <c r="V62" i="565"/>
  <c r="W62" i="565"/>
  <c r="X62" i="565"/>
  <c r="Y62" i="565"/>
  <c r="Z62" i="565"/>
  <c r="V63" i="565"/>
  <c r="W63" i="565"/>
  <c r="X63" i="565"/>
  <c r="Y63" i="565"/>
  <c r="Z63" i="565"/>
  <c r="V64" i="565"/>
  <c r="W64" i="565"/>
  <c r="X64" i="565"/>
  <c r="Y64" i="565"/>
  <c r="Z64" i="565"/>
  <c r="V65" i="565"/>
  <c r="W65" i="565"/>
  <c r="X65" i="565"/>
  <c r="Y65" i="565"/>
  <c r="Z65" i="565"/>
  <c r="V66" i="565"/>
  <c r="W66" i="565"/>
  <c r="X66" i="565"/>
  <c r="Y66" i="565"/>
  <c r="Z66" i="565"/>
  <c r="V67" i="565"/>
  <c r="W67" i="565"/>
  <c r="X67" i="565"/>
  <c r="Y67" i="565"/>
  <c r="Z67" i="565"/>
  <c r="V68" i="565"/>
  <c r="W68" i="565"/>
  <c r="X68" i="565"/>
  <c r="Y68" i="565"/>
  <c r="Z68" i="565"/>
  <c r="V69" i="565"/>
  <c r="W69" i="565"/>
  <c r="X69" i="565"/>
  <c r="Y69" i="565"/>
  <c r="Z69" i="565"/>
  <c r="V70" i="565"/>
  <c r="W70" i="565"/>
  <c r="X70" i="565"/>
  <c r="Y70" i="565"/>
  <c r="Z70" i="565"/>
  <c r="Q15" i="15"/>
  <c r="V2" i="564"/>
  <c r="W2" i="564"/>
  <c r="Z2" i="564"/>
  <c r="V3" i="564"/>
  <c r="W3" i="564"/>
  <c r="X3" i="564"/>
  <c r="Z3" i="564"/>
  <c r="V4" i="564"/>
  <c r="W4" i="564"/>
  <c r="X4" i="564"/>
  <c r="Z4" i="564"/>
  <c r="V5" i="564"/>
  <c r="W5" i="564"/>
  <c r="X5" i="564"/>
  <c r="Z5" i="564"/>
  <c r="V6" i="564"/>
  <c r="W6" i="564"/>
  <c r="X6" i="564"/>
  <c r="Z6" i="564"/>
  <c r="V7" i="564"/>
  <c r="W7" i="564"/>
  <c r="X7" i="564"/>
  <c r="Z7" i="564"/>
  <c r="V8" i="564"/>
  <c r="W8" i="564"/>
  <c r="X8" i="564"/>
  <c r="Z8" i="564"/>
  <c r="V9" i="564"/>
  <c r="W9" i="564"/>
  <c r="X9" i="564"/>
  <c r="Z9" i="564"/>
  <c r="V10" i="564"/>
  <c r="W10" i="564"/>
  <c r="X10" i="564"/>
  <c r="Z10" i="564"/>
  <c r="V11" i="564"/>
  <c r="W11" i="564"/>
  <c r="X11" i="564"/>
  <c r="Z11" i="564"/>
  <c r="V12" i="564"/>
  <c r="W12" i="564"/>
  <c r="X12" i="564"/>
  <c r="Z12" i="564"/>
  <c r="V13" i="564"/>
  <c r="W13" i="564"/>
  <c r="X13" i="564"/>
  <c r="Z13" i="564"/>
  <c r="V14" i="564"/>
  <c r="W14" i="564"/>
  <c r="X14" i="564"/>
  <c r="Z14" i="564"/>
  <c r="V15" i="564"/>
  <c r="W15" i="564"/>
  <c r="X15" i="564"/>
  <c r="Z15" i="564"/>
  <c r="V16" i="564"/>
  <c r="W16" i="564"/>
  <c r="X16" i="564"/>
  <c r="Z16" i="564"/>
  <c r="V17" i="564"/>
  <c r="W17" i="564"/>
  <c r="X17" i="564"/>
  <c r="Z17" i="564"/>
  <c r="V18" i="564"/>
  <c r="W18" i="564"/>
  <c r="X18" i="564"/>
  <c r="Z18" i="564"/>
  <c r="V19" i="564"/>
  <c r="W19" i="564"/>
  <c r="X19" i="564"/>
  <c r="Z19" i="564"/>
  <c r="V20" i="564"/>
  <c r="W20" i="564"/>
  <c r="X20" i="564"/>
  <c r="Z20" i="564"/>
  <c r="V21" i="564"/>
  <c r="W21" i="564"/>
  <c r="X21" i="564"/>
  <c r="Z21" i="564"/>
  <c r="V22" i="564"/>
  <c r="W22" i="564"/>
  <c r="X22" i="564"/>
  <c r="Z22" i="564"/>
  <c r="V23" i="564"/>
  <c r="W23" i="564"/>
  <c r="X23" i="564"/>
  <c r="Z23" i="564"/>
  <c r="V24" i="564"/>
  <c r="W24" i="564"/>
  <c r="X24" i="564"/>
  <c r="Z24" i="564"/>
  <c r="V25" i="564"/>
  <c r="W25" i="564"/>
  <c r="X25" i="564"/>
  <c r="Z25" i="564"/>
  <c r="V26" i="564"/>
  <c r="W26" i="564"/>
  <c r="X26" i="564"/>
  <c r="Z26" i="564"/>
  <c r="V27" i="564"/>
  <c r="W27" i="564"/>
  <c r="X27" i="564"/>
  <c r="Z27" i="564"/>
  <c r="V28" i="564"/>
  <c r="W28" i="564"/>
  <c r="X28" i="564"/>
  <c r="Z28" i="564"/>
  <c r="V29" i="564"/>
  <c r="W29" i="564"/>
  <c r="X29" i="564"/>
  <c r="Z29" i="564"/>
  <c r="V30" i="564"/>
  <c r="W30" i="564"/>
  <c r="X30" i="564"/>
  <c r="Z30" i="564"/>
  <c r="V31" i="564"/>
  <c r="W31" i="564"/>
  <c r="X31" i="564"/>
  <c r="Z31" i="564"/>
  <c r="V32" i="564"/>
  <c r="W32" i="564"/>
  <c r="X32" i="564"/>
  <c r="Z32" i="564"/>
  <c r="V33" i="564"/>
  <c r="W33" i="564"/>
  <c r="X33" i="564"/>
  <c r="Z33" i="564"/>
  <c r="V34" i="564"/>
  <c r="W34" i="564"/>
  <c r="X34" i="564"/>
  <c r="Z34" i="564"/>
  <c r="V35" i="564"/>
  <c r="W35" i="564"/>
  <c r="X35" i="564"/>
  <c r="Z35" i="564"/>
  <c r="V36" i="564"/>
  <c r="W36" i="564"/>
  <c r="X36" i="564"/>
  <c r="Z36" i="564"/>
  <c r="V37" i="564"/>
  <c r="W37" i="564"/>
  <c r="X37" i="564"/>
  <c r="Z37" i="564"/>
  <c r="V38" i="564"/>
  <c r="W38" i="564"/>
  <c r="X38" i="564"/>
  <c r="Z38" i="564"/>
  <c r="V39" i="564"/>
  <c r="W39" i="564"/>
  <c r="X39" i="564"/>
  <c r="Z39" i="564"/>
  <c r="V40" i="564"/>
  <c r="W40" i="564"/>
  <c r="X40" i="564"/>
  <c r="Z40" i="564"/>
  <c r="V41" i="564"/>
  <c r="W41" i="564"/>
  <c r="X41" i="564"/>
  <c r="Z41" i="564"/>
  <c r="V42" i="564"/>
  <c r="W42" i="564"/>
  <c r="X42" i="564"/>
  <c r="Z42" i="564"/>
  <c r="V43" i="564"/>
  <c r="W43" i="564"/>
  <c r="X43" i="564"/>
  <c r="Z43" i="564"/>
  <c r="V44" i="564"/>
  <c r="W44" i="564"/>
  <c r="X44" i="564"/>
  <c r="Z44" i="564"/>
  <c r="V45" i="564"/>
  <c r="W45" i="564"/>
  <c r="X45" i="564"/>
  <c r="Z45" i="564"/>
  <c r="V46" i="564"/>
  <c r="W46" i="564"/>
  <c r="X46" i="564"/>
  <c r="Z46" i="564"/>
  <c r="V47" i="564"/>
  <c r="W47" i="564"/>
  <c r="X47" i="564"/>
  <c r="Z47" i="564"/>
  <c r="V48" i="564"/>
  <c r="W48" i="564"/>
  <c r="X48" i="564"/>
  <c r="Z48" i="564"/>
  <c r="V49" i="564"/>
  <c r="W49" i="564"/>
  <c r="X49" i="564"/>
  <c r="Z49" i="564"/>
  <c r="V50" i="564"/>
  <c r="W50" i="564"/>
  <c r="X50" i="564"/>
  <c r="Z50" i="564"/>
  <c r="V51" i="564"/>
  <c r="W51" i="564"/>
  <c r="X51" i="564"/>
  <c r="Z51" i="564"/>
  <c r="V52" i="564"/>
  <c r="W52" i="564"/>
  <c r="X52" i="564"/>
  <c r="Z52" i="564"/>
  <c r="V53" i="564"/>
  <c r="W53" i="564"/>
  <c r="X53" i="564"/>
  <c r="Z53" i="564"/>
  <c r="V54" i="564"/>
  <c r="W54" i="564"/>
  <c r="X54" i="564"/>
  <c r="Z54" i="564"/>
  <c r="V55" i="564"/>
  <c r="W55" i="564"/>
  <c r="X55" i="564"/>
  <c r="Z55" i="564"/>
  <c r="V56" i="564"/>
  <c r="W56" i="564"/>
  <c r="X56" i="564"/>
  <c r="Z56" i="564"/>
  <c r="V57" i="564"/>
  <c r="W57" i="564"/>
  <c r="X57" i="564"/>
  <c r="Z57" i="564"/>
  <c r="V58" i="564"/>
  <c r="W58" i="564"/>
  <c r="X58" i="564"/>
  <c r="Z58" i="564"/>
  <c r="V59" i="564"/>
  <c r="W59" i="564"/>
  <c r="X59" i="564"/>
  <c r="Z59" i="564"/>
  <c r="V60" i="564"/>
  <c r="W60" i="564"/>
  <c r="X60" i="564"/>
  <c r="Z60" i="564"/>
  <c r="V61" i="564"/>
  <c r="W61" i="564"/>
  <c r="X61" i="564"/>
  <c r="Z61" i="564"/>
  <c r="V62" i="564"/>
  <c r="W62" i="564"/>
  <c r="X62" i="564"/>
  <c r="Z62" i="564"/>
  <c r="V63" i="564"/>
  <c r="W63" i="564"/>
  <c r="X63" i="564"/>
  <c r="Z63" i="564"/>
  <c r="I2" i="564"/>
  <c r="Y2" i="564" s="1"/>
  <c r="I3" i="564"/>
  <c r="Y3" i="564" s="1"/>
  <c r="I4" i="564"/>
  <c r="Y4" i="564" s="1"/>
  <c r="I5" i="564"/>
  <c r="Y5" i="564" s="1"/>
  <c r="I6" i="564"/>
  <c r="Y6" i="564" s="1"/>
  <c r="I7" i="564"/>
  <c r="Y7" i="564" s="1"/>
  <c r="I8" i="564"/>
  <c r="Y8" i="564" s="1"/>
  <c r="I9" i="564"/>
  <c r="Y9" i="564" s="1"/>
  <c r="I10" i="564"/>
  <c r="Y10" i="564" s="1"/>
  <c r="I11" i="564"/>
  <c r="Y11" i="564" s="1"/>
  <c r="I12" i="564"/>
  <c r="Y12" i="564" s="1"/>
  <c r="I13" i="564"/>
  <c r="Y13" i="564" s="1"/>
  <c r="I14" i="564"/>
  <c r="Y14" i="564" s="1"/>
  <c r="I15" i="564"/>
  <c r="Y15" i="564" s="1"/>
  <c r="I16" i="564"/>
  <c r="Y16" i="564" s="1"/>
  <c r="I17" i="564"/>
  <c r="Y17" i="564" s="1"/>
  <c r="I18" i="564"/>
  <c r="Y18" i="564" s="1"/>
  <c r="I19" i="564"/>
  <c r="Y19" i="564" s="1"/>
  <c r="I20" i="564"/>
  <c r="Y20" i="564" s="1"/>
  <c r="I21" i="564"/>
  <c r="Y21" i="564" s="1"/>
  <c r="I22" i="564"/>
  <c r="Y22" i="564" s="1"/>
  <c r="I23" i="564"/>
  <c r="Y23" i="564" s="1"/>
  <c r="I24" i="564"/>
  <c r="Y24" i="564" s="1"/>
  <c r="I25" i="564"/>
  <c r="Y25" i="564" s="1"/>
  <c r="I26" i="564"/>
  <c r="Y26" i="564" s="1"/>
  <c r="I27" i="564"/>
  <c r="Y27" i="564" s="1"/>
  <c r="I28" i="564"/>
  <c r="Y28" i="564" s="1"/>
  <c r="I29" i="564"/>
  <c r="Y29" i="564" s="1"/>
  <c r="I30" i="564"/>
  <c r="Y30" i="564" s="1"/>
  <c r="I31" i="564"/>
  <c r="Y31" i="564" s="1"/>
  <c r="I32" i="564"/>
  <c r="Y32" i="564" s="1"/>
  <c r="I33" i="564"/>
  <c r="Y33" i="564" s="1"/>
  <c r="I34" i="564"/>
  <c r="Y34" i="564" s="1"/>
  <c r="I35" i="564"/>
  <c r="Y35" i="564" s="1"/>
  <c r="I36" i="564"/>
  <c r="Y36" i="564" s="1"/>
  <c r="I37" i="564"/>
  <c r="Y37" i="564" s="1"/>
  <c r="I38" i="564"/>
  <c r="Y38" i="564" s="1"/>
  <c r="I39" i="564"/>
  <c r="Y39" i="564" s="1"/>
  <c r="I40" i="564"/>
  <c r="Y40" i="564" s="1"/>
  <c r="I41" i="564"/>
  <c r="Y41" i="564" s="1"/>
  <c r="I42" i="564"/>
  <c r="Y42" i="564" s="1"/>
  <c r="I43" i="564"/>
  <c r="Y43" i="564" s="1"/>
  <c r="I44" i="564"/>
  <c r="Y44" i="564" s="1"/>
  <c r="I45" i="564"/>
  <c r="Y45" i="564" s="1"/>
  <c r="I46" i="564"/>
  <c r="Y46" i="564" s="1"/>
  <c r="I47" i="564"/>
  <c r="Y47" i="564" s="1"/>
  <c r="I48" i="564"/>
  <c r="Y48" i="564" s="1"/>
  <c r="I49" i="564"/>
  <c r="Y49" i="564" s="1"/>
  <c r="I50" i="564"/>
  <c r="Y50" i="564" s="1"/>
  <c r="I51" i="564"/>
  <c r="Y51" i="564" s="1"/>
  <c r="I52" i="564"/>
  <c r="Y52" i="564" s="1"/>
  <c r="I53" i="564"/>
  <c r="Y53" i="564" s="1"/>
  <c r="I54" i="564"/>
  <c r="Y54" i="564" s="1"/>
  <c r="I55" i="564"/>
  <c r="Y55" i="564" s="1"/>
  <c r="I56" i="564"/>
  <c r="Y56" i="564" s="1"/>
  <c r="I57" i="564"/>
  <c r="Y57" i="564" s="1"/>
  <c r="I58" i="564"/>
  <c r="Y58" i="564" s="1"/>
  <c r="I59" i="564"/>
  <c r="Y59" i="564" s="1"/>
  <c r="I60" i="564"/>
  <c r="Y60" i="564" s="1"/>
  <c r="I61" i="564"/>
  <c r="Y61" i="564" s="1"/>
  <c r="I62" i="564"/>
  <c r="Y62" i="564" s="1"/>
  <c r="I63" i="564"/>
  <c r="Y63" i="564" s="1"/>
  <c r="I2" i="562"/>
  <c r="Y2" i="562" s="1"/>
  <c r="I3" i="562"/>
  <c r="Y3" i="562" s="1"/>
  <c r="I4" i="562"/>
  <c r="Y4" i="562" s="1"/>
  <c r="I5" i="562"/>
  <c r="Y5" i="562" s="1"/>
  <c r="I6" i="562"/>
  <c r="Y6" i="562" s="1"/>
  <c r="I7" i="562"/>
  <c r="Y7" i="562" s="1"/>
  <c r="I8" i="562"/>
  <c r="Y8" i="562" s="1"/>
  <c r="I9" i="562"/>
  <c r="Y9" i="562" s="1"/>
  <c r="I10" i="562"/>
  <c r="Y10" i="562" s="1"/>
  <c r="I11" i="562"/>
  <c r="Y11" i="562" s="1"/>
  <c r="I12" i="562"/>
  <c r="Y12" i="562" s="1"/>
  <c r="I13" i="562"/>
  <c r="Y13" i="562" s="1"/>
  <c r="I14" i="562"/>
  <c r="Y14" i="562" s="1"/>
  <c r="I15" i="562"/>
  <c r="Y15" i="562" s="1"/>
  <c r="I16" i="562"/>
  <c r="Y16" i="562" s="1"/>
  <c r="I17" i="562"/>
  <c r="Y17" i="562" s="1"/>
  <c r="I18" i="562"/>
  <c r="Y18" i="562" s="1"/>
  <c r="I19" i="562"/>
  <c r="Y19" i="562" s="1"/>
  <c r="I20" i="562"/>
  <c r="Y20" i="562" s="1"/>
  <c r="I21" i="562"/>
  <c r="Y21" i="562" s="1"/>
  <c r="I22" i="562"/>
  <c r="Y22" i="562" s="1"/>
  <c r="I23" i="562"/>
  <c r="Y23" i="562" s="1"/>
  <c r="I24" i="562"/>
  <c r="Y24" i="562" s="1"/>
  <c r="I25" i="562"/>
  <c r="Y25" i="562" s="1"/>
  <c r="I26" i="562"/>
  <c r="Y26" i="562" s="1"/>
  <c r="I27" i="562"/>
  <c r="Y27" i="562" s="1"/>
  <c r="I28" i="562"/>
  <c r="Y28" i="562" s="1"/>
  <c r="I29" i="562"/>
  <c r="Y29" i="562" s="1"/>
  <c r="I30" i="562"/>
  <c r="Y30" i="562" s="1"/>
  <c r="I31" i="562"/>
  <c r="Y31" i="562" s="1"/>
  <c r="I32" i="562"/>
  <c r="Y32" i="562" s="1"/>
  <c r="I33" i="562"/>
  <c r="Y33" i="562" s="1"/>
  <c r="I34" i="562"/>
  <c r="Y34" i="562" s="1"/>
  <c r="I35" i="562"/>
  <c r="Y35" i="562" s="1"/>
  <c r="I36" i="562"/>
  <c r="Y36" i="562" s="1"/>
  <c r="I37" i="562"/>
  <c r="Y37" i="562" s="1"/>
  <c r="I38" i="562"/>
  <c r="Y38" i="562" s="1"/>
  <c r="I39" i="562"/>
  <c r="Y39" i="562" s="1"/>
  <c r="I40" i="562"/>
  <c r="Y40" i="562" s="1"/>
  <c r="I41" i="562"/>
  <c r="Y41" i="562" s="1"/>
  <c r="I42" i="562"/>
  <c r="Y42" i="562" s="1"/>
  <c r="I43" i="562"/>
  <c r="Y43" i="562" s="1"/>
  <c r="I44" i="562"/>
  <c r="Y44" i="562" s="1"/>
  <c r="I45" i="562"/>
  <c r="Y45" i="562" s="1"/>
  <c r="I46" i="562"/>
  <c r="Y46" i="562" s="1"/>
  <c r="I47" i="562"/>
  <c r="Y47" i="562" s="1"/>
  <c r="I48" i="562"/>
  <c r="Y48" i="562" s="1"/>
  <c r="I49" i="562"/>
  <c r="Y49" i="562" s="1"/>
  <c r="I50" i="562"/>
  <c r="Y50" i="562" s="1"/>
  <c r="I51" i="562"/>
  <c r="Y51" i="562" s="1"/>
  <c r="I52" i="562"/>
  <c r="Y52" i="562" s="1"/>
  <c r="I53" i="562"/>
  <c r="Y53" i="562" s="1"/>
  <c r="I54" i="562"/>
  <c r="Y54" i="562" s="1"/>
  <c r="I55" i="562"/>
  <c r="Y55" i="562" s="1"/>
  <c r="I56" i="562"/>
  <c r="Y56" i="562" s="1"/>
  <c r="I57" i="562"/>
  <c r="Y57" i="562" s="1"/>
  <c r="I58" i="562"/>
  <c r="Y58" i="562" s="1"/>
  <c r="I59" i="562"/>
  <c r="Y59" i="562" s="1"/>
  <c r="I60" i="562"/>
  <c r="Y60" i="562" s="1"/>
  <c r="I61" i="562"/>
  <c r="Y61" i="562" s="1"/>
  <c r="I62" i="562"/>
  <c r="Y62" i="562" s="1"/>
  <c r="I63" i="562"/>
  <c r="Y63" i="562" s="1"/>
  <c r="I64" i="562"/>
  <c r="Y64" i="562" s="1"/>
  <c r="I65" i="562"/>
  <c r="Y65" i="562" s="1"/>
  <c r="V2" i="562"/>
  <c r="W2" i="562"/>
  <c r="X2" i="562"/>
  <c r="Z2" i="562"/>
  <c r="V3" i="562"/>
  <c r="W3" i="562"/>
  <c r="X3" i="562"/>
  <c r="Z3" i="562"/>
  <c r="V4" i="562"/>
  <c r="W4" i="562"/>
  <c r="X4" i="562"/>
  <c r="Z4" i="562"/>
  <c r="V5" i="562"/>
  <c r="W5" i="562"/>
  <c r="X5" i="562"/>
  <c r="Z5" i="562"/>
  <c r="V6" i="562"/>
  <c r="W6" i="562"/>
  <c r="X6" i="562"/>
  <c r="Z6" i="562"/>
  <c r="V7" i="562"/>
  <c r="W7" i="562"/>
  <c r="X7" i="562"/>
  <c r="Z7" i="562"/>
  <c r="V8" i="562"/>
  <c r="W8" i="562"/>
  <c r="X8" i="562"/>
  <c r="Z8" i="562"/>
  <c r="V9" i="562"/>
  <c r="W9" i="562"/>
  <c r="X9" i="562"/>
  <c r="Z9" i="562"/>
  <c r="V10" i="562"/>
  <c r="W10" i="562"/>
  <c r="X10" i="562"/>
  <c r="Z10" i="562"/>
  <c r="V11" i="562"/>
  <c r="W11" i="562"/>
  <c r="X11" i="562"/>
  <c r="Z11" i="562"/>
  <c r="V12" i="562"/>
  <c r="W12" i="562"/>
  <c r="X12" i="562"/>
  <c r="Z12" i="562"/>
  <c r="Q28" i="15" s="1"/>
  <c r="V13" i="562"/>
  <c r="W13" i="562"/>
  <c r="X13" i="562"/>
  <c r="Z13" i="562"/>
  <c r="V14" i="562"/>
  <c r="W14" i="562"/>
  <c r="X14" i="562"/>
  <c r="Z14" i="562"/>
  <c r="V15" i="562"/>
  <c r="W15" i="562"/>
  <c r="X15" i="562"/>
  <c r="Z15" i="562"/>
  <c r="V16" i="562"/>
  <c r="W16" i="562"/>
  <c r="X16" i="562"/>
  <c r="Z16" i="562"/>
  <c r="V17" i="562"/>
  <c r="W17" i="562"/>
  <c r="X17" i="562"/>
  <c r="Z17" i="562"/>
  <c r="V18" i="562"/>
  <c r="W18" i="562"/>
  <c r="X18" i="562"/>
  <c r="Z18" i="562"/>
  <c r="V19" i="562"/>
  <c r="W19" i="562"/>
  <c r="X19" i="562"/>
  <c r="Z19" i="562"/>
  <c r="V20" i="562"/>
  <c r="W20" i="562"/>
  <c r="X20" i="562"/>
  <c r="Z20" i="562"/>
  <c r="V21" i="562"/>
  <c r="W21" i="562"/>
  <c r="X21" i="562"/>
  <c r="Z21" i="562"/>
  <c r="Q6" i="15" s="1"/>
  <c r="V22" i="562"/>
  <c r="W22" i="562"/>
  <c r="X22" i="562"/>
  <c r="Z22" i="562"/>
  <c r="V23" i="562"/>
  <c r="W23" i="562"/>
  <c r="X23" i="562"/>
  <c r="Z23" i="562"/>
  <c r="V24" i="562"/>
  <c r="W24" i="562"/>
  <c r="X24" i="562"/>
  <c r="Z24" i="562"/>
  <c r="Q21" i="15" s="1"/>
  <c r="V25" i="562"/>
  <c r="W25" i="562"/>
  <c r="X25" i="562"/>
  <c r="Z25" i="562"/>
  <c r="V26" i="562"/>
  <c r="W26" i="562"/>
  <c r="X26" i="562"/>
  <c r="Z26" i="562"/>
  <c r="V27" i="562"/>
  <c r="W27" i="562"/>
  <c r="X27" i="562"/>
  <c r="Z27" i="562"/>
  <c r="V28" i="562"/>
  <c r="W28" i="562"/>
  <c r="X28" i="562"/>
  <c r="Z28" i="562"/>
  <c r="V29" i="562"/>
  <c r="W29" i="562"/>
  <c r="X29" i="562"/>
  <c r="Z29" i="562"/>
  <c r="V30" i="562"/>
  <c r="W30" i="562"/>
  <c r="X30" i="562"/>
  <c r="Z30" i="562"/>
  <c r="V31" i="562"/>
  <c r="W31" i="562"/>
  <c r="X31" i="562"/>
  <c r="Z31" i="562"/>
  <c r="V32" i="562"/>
  <c r="W32" i="562"/>
  <c r="X32" i="562"/>
  <c r="Z32" i="562"/>
  <c r="V33" i="562"/>
  <c r="W33" i="562"/>
  <c r="X33" i="562"/>
  <c r="Z33" i="562"/>
  <c r="V34" i="562"/>
  <c r="W34" i="562"/>
  <c r="X34" i="562"/>
  <c r="Z34" i="562"/>
  <c r="V35" i="562"/>
  <c r="W35" i="562"/>
  <c r="X35" i="562"/>
  <c r="Z35" i="562"/>
  <c r="V36" i="562"/>
  <c r="W36" i="562"/>
  <c r="X36" i="562"/>
  <c r="Z36" i="562"/>
  <c r="V37" i="562"/>
  <c r="W37" i="562"/>
  <c r="X37" i="562"/>
  <c r="Z37" i="562"/>
  <c r="V38" i="562"/>
  <c r="W38" i="562"/>
  <c r="X38" i="562"/>
  <c r="Z38" i="562"/>
  <c r="V39" i="562"/>
  <c r="W39" i="562"/>
  <c r="X39" i="562"/>
  <c r="Z39" i="562"/>
  <c r="V40" i="562"/>
  <c r="W40" i="562"/>
  <c r="X40" i="562"/>
  <c r="Z40" i="562"/>
  <c r="V41" i="562"/>
  <c r="W41" i="562"/>
  <c r="X41" i="562"/>
  <c r="Z41" i="562"/>
  <c r="V42" i="562"/>
  <c r="W42" i="562"/>
  <c r="X42" i="562"/>
  <c r="Z42" i="562"/>
  <c r="V43" i="562"/>
  <c r="W43" i="562"/>
  <c r="X43" i="562"/>
  <c r="Z43" i="562"/>
  <c r="V44" i="562"/>
  <c r="W44" i="562"/>
  <c r="X44" i="562"/>
  <c r="Z44" i="562"/>
  <c r="V45" i="562"/>
  <c r="W45" i="562"/>
  <c r="X45" i="562"/>
  <c r="Z45" i="562"/>
  <c r="V46" i="562"/>
  <c r="W46" i="562"/>
  <c r="X46" i="562"/>
  <c r="Z46" i="562"/>
  <c r="V47" i="562"/>
  <c r="W47" i="562"/>
  <c r="X47" i="562"/>
  <c r="Z47" i="562"/>
  <c r="V48" i="562"/>
  <c r="W48" i="562"/>
  <c r="X48" i="562"/>
  <c r="Z48" i="562"/>
  <c r="V49" i="562"/>
  <c r="W49" i="562"/>
  <c r="X49" i="562"/>
  <c r="Z49" i="562"/>
  <c r="V50" i="562"/>
  <c r="W50" i="562"/>
  <c r="X50" i="562"/>
  <c r="Z50" i="562"/>
  <c r="V51" i="562"/>
  <c r="W51" i="562"/>
  <c r="X51" i="562"/>
  <c r="Z51" i="562"/>
  <c r="V52" i="562"/>
  <c r="W52" i="562"/>
  <c r="X52" i="562"/>
  <c r="Z52" i="562"/>
  <c r="V53" i="562"/>
  <c r="W53" i="562"/>
  <c r="X53" i="562"/>
  <c r="Z53" i="562"/>
  <c r="Q13" i="15" s="1"/>
  <c r="V54" i="562"/>
  <c r="W54" i="562"/>
  <c r="X54" i="562"/>
  <c r="Z54" i="562"/>
  <c r="V55" i="562"/>
  <c r="W55" i="562"/>
  <c r="X55" i="562"/>
  <c r="Z55" i="562"/>
  <c r="V56" i="562"/>
  <c r="W56" i="562"/>
  <c r="X56" i="562"/>
  <c r="Z56" i="562"/>
  <c r="V57" i="562"/>
  <c r="W57" i="562"/>
  <c r="X57" i="562"/>
  <c r="Z57" i="562"/>
  <c r="V58" i="562"/>
  <c r="W58" i="562"/>
  <c r="X58" i="562"/>
  <c r="Z58" i="562"/>
  <c r="V59" i="562"/>
  <c r="W59" i="562"/>
  <c r="X59" i="562"/>
  <c r="Z59" i="562"/>
  <c r="V60" i="562"/>
  <c r="W60" i="562"/>
  <c r="X60" i="562"/>
  <c r="Z60" i="562"/>
  <c r="V61" i="562"/>
  <c r="W61" i="562"/>
  <c r="X61" i="562"/>
  <c r="Z61" i="562"/>
  <c r="V62" i="562"/>
  <c r="W62" i="562"/>
  <c r="X62" i="562"/>
  <c r="Z62" i="562"/>
  <c r="V63" i="562"/>
  <c r="W63" i="562"/>
  <c r="X63" i="562"/>
  <c r="Z63" i="562"/>
  <c r="V64" i="562"/>
  <c r="W64" i="562"/>
  <c r="X64" i="562"/>
  <c r="Z64" i="562"/>
  <c r="V65" i="562"/>
  <c r="W65" i="562"/>
  <c r="X65" i="562"/>
  <c r="Z65" i="562"/>
  <c r="T7" i="15" l="1"/>
  <c r="R15" i="15"/>
  <c r="R14" i="15"/>
  <c r="R13" i="15"/>
  <c r="R28" i="15"/>
  <c r="S13" i="15"/>
  <c r="S14" i="15"/>
  <c r="S21" i="15"/>
  <c r="S15" i="15"/>
  <c r="S28" i="15"/>
  <c r="R21" i="15"/>
  <c r="R12" i="15"/>
  <c r="S5" i="15"/>
  <c r="S11" i="15"/>
  <c r="S4" i="15"/>
  <c r="S12" i="15"/>
  <c r="S3" i="15"/>
  <c r="R11" i="15"/>
  <c r="R6" i="15"/>
  <c r="R4" i="15"/>
  <c r="R3" i="15"/>
  <c r="R5" i="15"/>
  <c r="Q14" i="15"/>
  <c r="Q12" i="15"/>
  <c r="Q5" i="15"/>
  <c r="Q11" i="15"/>
  <c r="Q4" i="15"/>
  <c r="Q3" i="15"/>
  <c r="Q7" i="15" s="1"/>
  <c r="R7" i="15" l="1"/>
  <c r="O13" i="15"/>
  <c r="I2" i="560"/>
  <c r="Y2" i="560" s="1"/>
  <c r="I3" i="560"/>
  <c r="Y3" i="560" s="1"/>
  <c r="I4" i="560"/>
  <c r="Y4" i="560" s="1"/>
  <c r="I5" i="560"/>
  <c r="Y5" i="560" s="1"/>
  <c r="I6" i="560"/>
  <c r="Y6" i="560" s="1"/>
  <c r="I7" i="560"/>
  <c r="Y7" i="560" s="1"/>
  <c r="I8" i="560"/>
  <c r="Y8" i="560" s="1"/>
  <c r="I9" i="560"/>
  <c r="Y9" i="560" s="1"/>
  <c r="I10" i="560"/>
  <c r="Y10" i="560" s="1"/>
  <c r="I11" i="560"/>
  <c r="Y11" i="560" s="1"/>
  <c r="I12" i="560"/>
  <c r="Y12" i="560" s="1"/>
  <c r="I13" i="560"/>
  <c r="Y13" i="560" s="1"/>
  <c r="I14" i="560"/>
  <c r="Y14" i="560" s="1"/>
  <c r="I15" i="560"/>
  <c r="Y15" i="560" s="1"/>
  <c r="I16" i="560"/>
  <c r="Y16" i="560" s="1"/>
  <c r="I17" i="560"/>
  <c r="Y17" i="560" s="1"/>
  <c r="I18" i="560"/>
  <c r="Y18" i="560" s="1"/>
  <c r="I19" i="560"/>
  <c r="Y19" i="560" s="1"/>
  <c r="I20" i="560"/>
  <c r="Y20" i="560" s="1"/>
  <c r="I21" i="560"/>
  <c r="Y21" i="560" s="1"/>
  <c r="I22" i="560"/>
  <c r="Y22" i="560" s="1"/>
  <c r="I23" i="560"/>
  <c r="Y23" i="560" s="1"/>
  <c r="I24" i="560"/>
  <c r="Y24" i="560" s="1"/>
  <c r="I25" i="560"/>
  <c r="Y25" i="560" s="1"/>
  <c r="I26" i="560"/>
  <c r="Y26" i="560" s="1"/>
  <c r="I27" i="560"/>
  <c r="Y27" i="560" s="1"/>
  <c r="I28" i="560"/>
  <c r="Y28" i="560" s="1"/>
  <c r="I29" i="560"/>
  <c r="Y29" i="560" s="1"/>
  <c r="I30" i="560"/>
  <c r="Y30" i="560" s="1"/>
  <c r="I31" i="560"/>
  <c r="Y31" i="560" s="1"/>
  <c r="I32" i="560"/>
  <c r="Y32" i="560" s="1"/>
  <c r="I33" i="560"/>
  <c r="Y33" i="560" s="1"/>
  <c r="I34" i="560"/>
  <c r="Y34" i="560" s="1"/>
  <c r="I35" i="560"/>
  <c r="Y35" i="560" s="1"/>
  <c r="I36" i="560"/>
  <c r="Y36" i="560" s="1"/>
  <c r="I37" i="560"/>
  <c r="Y37" i="560" s="1"/>
  <c r="I38" i="560"/>
  <c r="Y38" i="560" s="1"/>
  <c r="I39" i="560"/>
  <c r="Y39" i="560" s="1"/>
  <c r="I40" i="560"/>
  <c r="Y40" i="560" s="1"/>
  <c r="I41" i="560"/>
  <c r="Y41" i="560" s="1"/>
  <c r="I42" i="560"/>
  <c r="Y42" i="560" s="1"/>
  <c r="I43" i="560"/>
  <c r="Y43" i="560" s="1"/>
  <c r="I44" i="560"/>
  <c r="Y44" i="560" s="1"/>
  <c r="I45" i="560"/>
  <c r="Y45" i="560" s="1"/>
  <c r="I46" i="560"/>
  <c r="Y46" i="560" s="1"/>
  <c r="I47" i="560"/>
  <c r="Y47" i="560" s="1"/>
  <c r="I48" i="560"/>
  <c r="Y48" i="560" s="1"/>
  <c r="I49" i="560"/>
  <c r="Y49" i="560" s="1"/>
  <c r="I50" i="560"/>
  <c r="Y50" i="560" s="1"/>
  <c r="I51" i="560"/>
  <c r="Y51" i="560" s="1"/>
  <c r="I52" i="560"/>
  <c r="Y52" i="560" s="1"/>
  <c r="I53" i="560"/>
  <c r="Y53" i="560" s="1"/>
  <c r="I54" i="560"/>
  <c r="Y54" i="560" s="1"/>
  <c r="I55" i="560"/>
  <c r="Y55" i="560" s="1"/>
  <c r="I56" i="560"/>
  <c r="Y56" i="560" s="1"/>
  <c r="I57" i="560"/>
  <c r="Y57" i="560" s="1"/>
  <c r="I58" i="560"/>
  <c r="Y58" i="560" s="1"/>
  <c r="I59" i="560"/>
  <c r="Y59" i="560" s="1"/>
  <c r="I60" i="560"/>
  <c r="Y60" i="560" s="1"/>
  <c r="I61" i="560"/>
  <c r="Y61" i="560" s="1"/>
  <c r="I62" i="560"/>
  <c r="Y62" i="560" s="1"/>
  <c r="I63" i="560"/>
  <c r="Y63" i="560" s="1"/>
  <c r="I64" i="560"/>
  <c r="Y64" i="560" s="1"/>
  <c r="I65" i="560"/>
  <c r="Y65" i="560" s="1"/>
  <c r="I66" i="560"/>
  <c r="Y66" i="560" s="1"/>
  <c r="I67" i="560"/>
  <c r="Y67" i="560" s="1"/>
  <c r="I68" i="560"/>
  <c r="Y68" i="560" s="1"/>
  <c r="I69" i="560"/>
  <c r="Y69" i="560" s="1"/>
  <c r="I70" i="560"/>
  <c r="Y70" i="560" s="1"/>
  <c r="I71" i="560"/>
  <c r="Y71" i="560" s="1"/>
  <c r="I72" i="560"/>
  <c r="Y72" i="560" s="1"/>
  <c r="I73" i="560"/>
  <c r="Y73" i="560" s="1"/>
  <c r="I74" i="560"/>
  <c r="Y74" i="560" s="1"/>
  <c r="I75" i="560"/>
  <c r="Y75" i="560" s="1"/>
  <c r="V2" i="560"/>
  <c r="W2" i="560"/>
  <c r="X2" i="560"/>
  <c r="Z2" i="560"/>
  <c r="V3" i="560"/>
  <c r="W3" i="560"/>
  <c r="X3" i="560"/>
  <c r="Z3" i="560"/>
  <c r="V4" i="560"/>
  <c r="W4" i="560"/>
  <c r="X4" i="560"/>
  <c r="Z4" i="560"/>
  <c r="V5" i="560"/>
  <c r="W5" i="560"/>
  <c r="X5" i="560"/>
  <c r="Z5" i="560"/>
  <c r="V6" i="560"/>
  <c r="W6" i="560"/>
  <c r="X6" i="560"/>
  <c r="Z6" i="560"/>
  <c r="V7" i="560"/>
  <c r="W7" i="560"/>
  <c r="X7" i="560"/>
  <c r="Z7" i="560"/>
  <c r="V8" i="560"/>
  <c r="W8" i="560"/>
  <c r="X8" i="560"/>
  <c r="Z8" i="560"/>
  <c r="V9" i="560"/>
  <c r="W9" i="560"/>
  <c r="X9" i="560"/>
  <c r="Z9" i="560"/>
  <c r="V10" i="560"/>
  <c r="W10" i="560"/>
  <c r="X10" i="560"/>
  <c r="Z10" i="560"/>
  <c r="V11" i="560"/>
  <c r="W11" i="560"/>
  <c r="X11" i="560"/>
  <c r="Z11" i="560"/>
  <c r="V12" i="560"/>
  <c r="W12" i="560"/>
  <c r="X12" i="560"/>
  <c r="Z12" i="560"/>
  <c r="V13" i="560"/>
  <c r="W13" i="560"/>
  <c r="X13" i="560"/>
  <c r="Z13" i="560"/>
  <c r="V14" i="560"/>
  <c r="W14" i="560"/>
  <c r="X14" i="560"/>
  <c r="Z14" i="560"/>
  <c r="V15" i="560"/>
  <c r="W15" i="560"/>
  <c r="X15" i="560"/>
  <c r="Z15" i="560"/>
  <c r="V16" i="560"/>
  <c r="W16" i="560"/>
  <c r="X16" i="560"/>
  <c r="Z16" i="560"/>
  <c r="V17" i="560"/>
  <c r="W17" i="560"/>
  <c r="X17" i="560"/>
  <c r="Z17" i="560"/>
  <c r="V18" i="560"/>
  <c r="W18" i="560"/>
  <c r="X18" i="560"/>
  <c r="Z18" i="560"/>
  <c r="V19" i="560"/>
  <c r="W19" i="560"/>
  <c r="X19" i="560"/>
  <c r="Z19" i="560"/>
  <c r="V20" i="560"/>
  <c r="W20" i="560"/>
  <c r="X20" i="560"/>
  <c r="Z20" i="560"/>
  <c r="V21" i="560"/>
  <c r="W21" i="560"/>
  <c r="X21" i="560"/>
  <c r="Z21" i="560"/>
  <c r="V22" i="560"/>
  <c r="W22" i="560"/>
  <c r="X22" i="560"/>
  <c r="Z22" i="560"/>
  <c r="V23" i="560"/>
  <c r="W23" i="560"/>
  <c r="X23" i="560"/>
  <c r="Z23" i="560"/>
  <c r="V24" i="560"/>
  <c r="W24" i="560"/>
  <c r="X24" i="560"/>
  <c r="Z24" i="560"/>
  <c r="V25" i="560"/>
  <c r="W25" i="560"/>
  <c r="X25" i="560"/>
  <c r="Z25" i="560"/>
  <c r="V26" i="560"/>
  <c r="W26" i="560"/>
  <c r="X26" i="560"/>
  <c r="Z26" i="560"/>
  <c r="V27" i="560"/>
  <c r="W27" i="560"/>
  <c r="X27" i="560"/>
  <c r="Z27" i="560"/>
  <c r="V28" i="560"/>
  <c r="W28" i="560"/>
  <c r="X28" i="560"/>
  <c r="Z28" i="560"/>
  <c r="V29" i="560"/>
  <c r="W29" i="560"/>
  <c r="X29" i="560"/>
  <c r="Z29" i="560"/>
  <c r="V30" i="560"/>
  <c r="W30" i="560"/>
  <c r="X30" i="560"/>
  <c r="Z30" i="560"/>
  <c r="V31" i="560"/>
  <c r="W31" i="560"/>
  <c r="X31" i="560"/>
  <c r="Z31" i="560"/>
  <c r="P21" i="15" s="1"/>
  <c r="V32" i="560"/>
  <c r="W32" i="560"/>
  <c r="X32" i="560"/>
  <c r="Z32" i="560"/>
  <c r="V33" i="560"/>
  <c r="W33" i="560"/>
  <c r="X33" i="560"/>
  <c r="Z33" i="560"/>
  <c r="V34" i="560"/>
  <c r="W34" i="560"/>
  <c r="X34" i="560"/>
  <c r="Z34" i="560"/>
  <c r="V35" i="560"/>
  <c r="W35" i="560"/>
  <c r="X35" i="560"/>
  <c r="Z35" i="560"/>
  <c r="V36" i="560"/>
  <c r="W36" i="560"/>
  <c r="X36" i="560"/>
  <c r="Z36" i="560"/>
  <c r="V37" i="560"/>
  <c r="W37" i="560"/>
  <c r="X37" i="560"/>
  <c r="Z37" i="560"/>
  <c r="V38" i="560"/>
  <c r="W38" i="560"/>
  <c r="X38" i="560"/>
  <c r="Z38" i="560"/>
  <c r="V39" i="560"/>
  <c r="W39" i="560"/>
  <c r="X39" i="560"/>
  <c r="Z39" i="560"/>
  <c r="V40" i="560"/>
  <c r="W40" i="560"/>
  <c r="X40" i="560"/>
  <c r="Z40" i="560"/>
  <c r="V41" i="560"/>
  <c r="W41" i="560"/>
  <c r="X41" i="560"/>
  <c r="Z41" i="560"/>
  <c r="V42" i="560"/>
  <c r="W42" i="560"/>
  <c r="X42" i="560"/>
  <c r="Z42" i="560"/>
  <c r="V43" i="560"/>
  <c r="W43" i="560"/>
  <c r="X43" i="560"/>
  <c r="Z43" i="560"/>
  <c r="V44" i="560"/>
  <c r="W44" i="560"/>
  <c r="X44" i="560"/>
  <c r="Z44" i="560"/>
  <c r="V45" i="560"/>
  <c r="W45" i="560"/>
  <c r="X45" i="560"/>
  <c r="Z45" i="560"/>
  <c r="V46" i="560"/>
  <c r="W46" i="560"/>
  <c r="X46" i="560"/>
  <c r="Z46" i="560"/>
  <c r="V47" i="560"/>
  <c r="W47" i="560"/>
  <c r="X47" i="560"/>
  <c r="Z47" i="560"/>
  <c r="V48" i="560"/>
  <c r="W48" i="560"/>
  <c r="X48" i="560"/>
  <c r="Z48" i="560"/>
  <c r="V49" i="560"/>
  <c r="W49" i="560"/>
  <c r="X49" i="560"/>
  <c r="Z49" i="560"/>
  <c r="V50" i="560"/>
  <c r="W50" i="560"/>
  <c r="X50" i="560"/>
  <c r="Z50" i="560"/>
  <c r="V51" i="560"/>
  <c r="W51" i="560"/>
  <c r="X51" i="560"/>
  <c r="Z51" i="560"/>
  <c r="V52" i="560"/>
  <c r="W52" i="560"/>
  <c r="X52" i="560"/>
  <c r="Z52" i="560"/>
  <c r="V53" i="560"/>
  <c r="W53" i="560"/>
  <c r="X53" i="560"/>
  <c r="Z53" i="560"/>
  <c r="V54" i="560"/>
  <c r="W54" i="560"/>
  <c r="X54" i="560"/>
  <c r="Z54" i="560"/>
  <c r="V55" i="560"/>
  <c r="W55" i="560"/>
  <c r="X55" i="560"/>
  <c r="Z55" i="560"/>
  <c r="V56" i="560"/>
  <c r="W56" i="560"/>
  <c r="X56" i="560"/>
  <c r="Z56" i="560"/>
  <c r="V57" i="560"/>
  <c r="W57" i="560"/>
  <c r="X57" i="560"/>
  <c r="Z57" i="560"/>
  <c r="V58" i="560"/>
  <c r="W58" i="560"/>
  <c r="X58" i="560"/>
  <c r="Z58" i="560"/>
  <c r="V59" i="560"/>
  <c r="W59" i="560"/>
  <c r="X59" i="560"/>
  <c r="Z59" i="560"/>
  <c r="V60" i="560"/>
  <c r="W60" i="560"/>
  <c r="X60" i="560"/>
  <c r="Z60" i="560"/>
  <c r="V61" i="560"/>
  <c r="W61" i="560"/>
  <c r="X61" i="560"/>
  <c r="Z61" i="560"/>
  <c r="V62" i="560"/>
  <c r="W62" i="560"/>
  <c r="X62" i="560"/>
  <c r="Z62" i="560"/>
  <c r="V63" i="560"/>
  <c r="W63" i="560"/>
  <c r="X63" i="560"/>
  <c r="Z63" i="560"/>
  <c r="V64" i="560"/>
  <c r="W64" i="560"/>
  <c r="X64" i="560"/>
  <c r="Z64" i="560"/>
  <c r="V65" i="560"/>
  <c r="W65" i="560"/>
  <c r="X65" i="560"/>
  <c r="Z65" i="560"/>
  <c r="V66" i="560"/>
  <c r="W66" i="560"/>
  <c r="X66" i="560"/>
  <c r="Z66" i="560"/>
  <c r="V67" i="560"/>
  <c r="W67" i="560"/>
  <c r="X67" i="560"/>
  <c r="Z67" i="560"/>
  <c r="V68" i="560"/>
  <c r="W68" i="560"/>
  <c r="X68" i="560"/>
  <c r="Z68" i="560"/>
  <c r="V69" i="560"/>
  <c r="W69" i="560"/>
  <c r="X69" i="560"/>
  <c r="Z69" i="560"/>
  <c r="V70" i="560"/>
  <c r="W70" i="560"/>
  <c r="X70" i="560"/>
  <c r="Z70" i="560"/>
  <c r="V71" i="560"/>
  <c r="W71" i="560"/>
  <c r="X71" i="560"/>
  <c r="Z71" i="560"/>
  <c r="V72" i="560"/>
  <c r="W72" i="560"/>
  <c r="X72" i="560"/>
  <c r="Z72" i="560"/>
  <c r="V73" i="560"/>
  <c r="W73" i="560"/>
  <c r="X73" i="560"/>
  <c r="Z73" i="560"/>
  <c r="V74" i="560"/>
  <c r="W74" i="560"/>
  <c r="X74" i="560"/>
  <c r="Z74" i="560"/>
  <c r="V75" i="560"/>
  <c r="W75" i="560"/>
  <c r="X75" i="560"/>
  <c r="Z75" i="560"/>
  <c r="I2" i="558"/>
  <c r="Y2" i="558" s="1"/>
  <c r="I3" i="558"/>
  <c r="Y3" i="558" s="1"/>
  <c r="I4" i="558"/>
  <c r="Y4" i="558" s="1"/>
  <c r="I5" i="558"/>
  <c r="Y5" i="558" s="1"/>
  <c r="I6" i="558"/>
  <c r="Y6" i="558" s="1"/>
  <c r="I7" i="558"/>
  <c r="Y7" i="558" s="1"/>
  <c r="I8" i="558"/>
  <c r="Y8" i="558" s="1"/>
  <c r="I9" i="558"/>
  <c r="Y9" i="558" s="1"/>
  <c r="I10" i="558"/>
  <c r="Y10" i="558" s="1"/>
  <c r="I11" i="558"/>
  <c r="Y11" i="558" s="1"/>
  <c r="I12" i="558"/>
  <c r="Y12" i="558" s="1"/>
  <c r="I13" i="558"/>
  <c r="Y13" i="558" s="1"/>
  <c r="I14" i="558"/>
  <c r="Y14" i="558" s="1"/>
  <c r="I15" i="558"/>
  <c r="Y15" i="558" s="1"/>
  <c r="I16" i="558"/>
  <c r="Y16" i="558" s="1"/>
  <c r="I17" i="558"/>
  <c r="Y17" i="558" s="1"/>
  <c r="I18" i="558"/>
  <c r="Y18" i="558" s="1"/>
  <c r="I19" i="558"/>
  <c r="Y19" i="558" s="1"/>
  <c r="I20" i="558"/>
  <c r="Y20" i="558" s="1"/>
  <c r="I21" i="558"/>
  <c r="Y21" i="558" s="1"/>
  <c r="I22" i="558"/>
  <c r="Y22" i="558" s="1"/>
  <c r="I23" i="558"/>
  <c r="Y23" i="558" s="1"/>
  <c r="I24" i="558"/>
  <c r="Y24" i="558" s="1"/>
  <c r="I25" i="558"/>
  <c r="Y25" i="558" s="1"/>
  <c r="I26" i="558"/>
  <c r="Y26" i="558" s="1"/>
  <c r="I27" i="558"/>
  <c r="Y27" i="558" s="1"/>
  <c r="I28" i="558"/>
  <c r="Y28" i="558" s="1"/>
  <c r="I29" i="558"/>
  <c r="Y29" i="558" s="1"/>
  <c r="I30" i="558"/>
  <c r="Y30" i="558" s="1"/>
  <c r="I31" i="558"/>
  <c r="Y31" i="558" s="1"/>
  <c r="I32" i="558"/>
  <c r="Y32" i="558" s="1"/>
  <c r="I33" i="558"/>
  <c r="Y33" i="558" s="1"/>
  <c r="I34" i="558"/>
  <c r="Y34" i="558" s="1"/>
  <c r="I35" i="558"/>
  <c r="Y35" i="558" s="1"/>
  <c r="I36" i="558"/>
  <c r="Y36" i="558" s="1"/>
  <c r="I37" i="558"/>
  <c r="Y37" i="558" s="1"/>
  <c r="I38" i="558"/>
  <c r="Y38" i="558" s="1"/>
  <c r="I39" i="558"/>
  <c r="Y39" i="558" s="1"/>
  <c r="I40" i="558"/>
  <c r="Y40" i="558" s="1"/>
  <c r="I41" i="558"/>
  <c r="Y41" i="558" s="1"/>
  <c r="I42" i="558"/>
  <c r="Y42" i="558" s="1"/>
  <c r="I43" i="558"/>
  <c r="Y43" i="558" s="1"/>
  <c r="I44" i="558"/>
  <c r="Y44" i="558" s="1"/>
  <c r="I45" i="558"/>
  <c r="Y45" i="558" s="1"/>
  <c r="I46" i="558"/>
  <c r="Y46" i="558" s="1"/>
  <c r="I47" i="558"/>
  <c r="Y47" i="558" s="1"/>
  <c r="I48" i="558"/>
  <c r="Y48" i="558" s="1"/>
  <c r="I49" i="558"/>
  <c r="Y49" i="558" s="1"/>
  <c r="I50" i="558"/>
  <c r="Y50" i="558" s="1"/>
  <c r="I51" i="558"/>
  <c r="Y51" i="558" s="1"/>
  <c r="I52" i="558"/>
  <c r="Y52" i="558" s="1"/>
  <c r="I53" i="558"/>
  <c r="Y53" i="558" s="1"/>
  <c r="I54" i="558"/>
  <c r="Y54" i="558" s="1"/>
  <c r="I55" i="558"/>
  <c r="Y55" i="558" s="1"/>
  <c r="I56" i="558"/>
  <c r="Y56" i="558" s="1"/>
  <c r="I57" i="558"/>
  <c r="Y57" i="558" s="1"/>
  <c r="I58" i="558"/>
  <c r="Y58" i="558" s="1"/>
  <c r="I59" i="558"/>
  <c r="Y59" i="558" s="1"/>
  <c r="I60" i="558"/>
  <c r="Y60" i="558" s="1"/>
  <c r="I61" i="558"/>
  <c r="Y61" i="558" s="1"/>
  <c r="I62" i="558"/>
  <c r="Y62" i="558" s="1"/>
  <c r="I63" i="558"/>
  <c r="Y63" i="558" s="1"/>
  <c r="I64" i="558"/>
  <c r="Y64" i="558" s="1"/>
  <c r="I65" i="558"/>
  <c r="Y65" i="558" s="1"/>
  <c r="I66" i="558"/>
  <c r="Y66" i="558" s="1"/>
  <c r="I67" i="558"/>
  <c r="Y67" i="558" s="1"/>
  <c r="I68" i="558"/>
  <c r="Y68" i="558" s="1"/>
  <c r="I69" i="558"/>
  <c r="Y69" i="558" s="1"/>
  <c r="I70" i="558"/>
  <c r="Y70" i="558" s="1"/>
  <c r="I71" i="558"/>
  <c r="Y71" i="558" s="1"/>
  <c r="I72" i="558"/>
  <c r="Y72" i="558" s="1"/>
  <c r="I73" i="558"/>
  <c r="Y73" i="558" s="1"/>
  <c r="I74" i="558"/>
  <c r="Y74" i="558" s="1"/>
  <c r="I75" i="558"/>
  <c r="Y75" i="558" s="1"/>
  <c r="I76" i="558"/>
  <c r="Y76" i="558" s="1"/>
  <c r="I77" i="558"/>
  <c r="Y77" i="558" s="1"/>
  <c r="V2" i="558"/>
  <c r="W2" i="558"/>
  <c r="X2" i="558"/>
  <c r="Z2" i="558"/>
  <c r="V3" i="558"/>
  <c r="W3" i="558"/>
  <c r="X3" i="558"/>
  <c r="Z3" i="558"/>
  <c r="V4" i="558"/>
  <c r="W4" i="558"/>
  <c r="X4" i="558"/>
  <c r="Z4" i="558"/>
  <c r="V5" i="558"/>
  <c r="W5" i="558"/>
  <c r="X5" i="558"/>
  <c r="Z5" i="558"/>
  <c r="V6" i="558"/>
  <c r="W6" i="558"/>
  <c r="X6" i="558"/>
  <c r="Z6" i="558"/>
  <c r="V7" i="558"/>
  <c r="W7" i="558"/>
  <c r="X7" i="558"/>
  <c r="Z7" i="558"/>
  <c r="V8" i="558"/>
  <c r="W8" i="558"/>
  <c r="X8" i="558"/>
  <c r="Z8" i="558"/>
  <c r="V9" i="558"/>
  <c r="W9" i="558"/>
  <c r="X9" i="558"/>
  <c r="Z9" i="558"/>
  <c r="V10" i="558"/>
  <c r="W10" i="558"/>
  <c r="X10" i="558"/>
  <c r="Z10" i="558"/>
  <c r="V11" i="558"/>
  <c r="W11" i="558"/>
  <c r="X11" i="558"/>
  <c r="Z11" i="558"/>
  <c r="V12" i="558"/>
  <c r="W12" i="558"/>
  <c r="X12" i="558"/>
  <c r="Z12" i="558"/>
  <c r="V13" i="558"/>
  <c r="W13" i="558"/>
  <c r="X13" i="558"/>
  <c r="Z13" i="558"/>
  <c r="V14" i="558"/>
  <c r="W14" i="558"/>
  <c r="X14" i="558"/>
  <c r="Z14" i="558"/>
  <c r="V15" i="558"/>
  <c r="W15" i="558"/>
  <c r="X15" i="558"/>
  <c r="Z15" i="558"/>
  <c r="V16" i="558"/>
  <c r="W16" i="558"/>
  <c r="X16" i="558"/>
  <c r="Z16" i="558"/>
  <c r="V17" i="558"/>
  <c r="W17" i="558"/>
  <c r="X17" i="558"/>
  <c r="Z17" i="558"/>
  <c r="V18" i="558"/>
  <c r="W18" i="558"/>
  <c r="X18" i="558"/>
  <c r="Z18" i="558"/>
  <c r="V19" i="558"/>
  <c r="W19" i="558"/>
  <c r="X19" i="558"/>
  <c r="Z19" i="558"/>
  <c r="V20" i="558"/>
  <c r="W20" i="558"/>
  <c r="X20" i="558"/>
  <c r="Z20" i="558"/>
  <c r="V21" i="558"/>
  <c r="W21" i="558"/>
  <c r="X21" i="558"/>
  <c r="Z21" i="558"/>
  <c r="V22" i="558"/>
  <c r="W22" i="558"/>
  <c r="X22" i="558"/>
  <c r="Z22" i="558"/>
  <c r="V23" i="558"/>
  <c r="W23" i="558"/>
  <c r="X23" i="558"/>
  <c r="Z23" i="558"/>
  <c r="V24" i="558"/>
  <c r="W24" i="558"/>
  <c r="X24" i="558"/>
  <c r="Z24" i="558"/>
  <c r="V25" i="558"/>
  <c r="W25" i="558"/>
  <c r="X25" i="558"/>
  <c r="Z25" i="558"/>
  <c r="V26" i="558"/>
  <c r="W26" i="558"/>
  <c r="X26" i="558"/>
  <c r="Z26" i="558"/>
  <c r="V27" i="558"/>
  <c r="W27" i="558"/>
  <c r="X27" i="558"/>
  <c r="Z27" i="558"/>
  <c r="V28" i="558"/>
  <c r="W28" i="558"/>
  <c r="X28" i="558"/>
  <c r="Z28" i="558"/>
  <c r="V29" i="558"/>
  <c r="W29" i="558"/>
  <c r="X29" i="558"/>
  <c r="Z29" i="558"/>
  <c r="V30" i="558"/>
  <c r="W30" i="558"/>
  <c r="X30" i="558"/>
  <c r="Z30" i="558"/>
  <c r="V31" i="558"/>
  <c r="W31" i="558"/>
  <c r="X31" i="558"/>
  <c r="Z31" i="558"/>
  <c r="V32" i="558"/>
  <c r="W32" i="558"/>
  <c r="X32" i="558"/>
  <c r="Z32" i="558"/>
  <c r="V33" i="558"/>
  <c r="W33" i="558"/>
  <c r="X33" i="558"/>
  <c r="Z33" i="558"/>
  <c r="V34" i="558"/>
  <c r="W34" i="558"/>
  <c r="X34" i="558"/>
  <c r="Z34" i="558"/>
  <c r="V35" i="558"/>
  <c r="W35" i="558"/>
  <c r="X35" i="558"/>
  <c r="Z35" i="558"/>
  <c r="V36" i="558"/>
  <c r="W36" i="558"/>
  <c r="X36" i="558"/>
  <c r="Z36" i="558"/>
  <c r="V37" i="558"/>
  <c r="W37" i="558"/>
  <c r="X37" i="558"/>
  <c r="Z37" i="558"/>
  <c r="V38" i="558"/>
  <c r="W38" i="558"/>
  <c r="X38" i="558"/>
  <c r="Z38" i="558"/>
  <c r="V39" i="558"/>
  <c r="W39" i="558"/>
  <c r="X39" i="558"/>
  <c r="Z39" i="558"/>
  <c r="V40" i="558"/>
  <c r="W40" i="558"/>
  <c r="X40" i="558"/>
  <c r="Z40" i="558"/>
  <c r="V41" i="558"/>
  <c r="W41" i="558"/>
  <c r="X41" i="558"/>
  <c r="Z41" i="558"/>
  <c r="V42" i="558"/>
  <c r="W42" i="558"/>
  <c r="X42" i="558"/>
  <c r="Z42" i="558"/>
  <c r="V43" i="558"/>
  <c r="W43" i="558"/>
  <c r="X43" i="558"/>
  <c r="Z43" i="558"/>
  <c r="V44" i="558"/>
  <c r="W44" i="558"/>
  <c r="X44" i="558"/>
  <c r="Z44" i="558"/>
  <c r="V45" i="558"/>
  <c r="W45" i="558"/>
  <c r="X45" i="558"/>
  <c r="Z45" i="558"/>
  <c r="V46" i="558"/>
  <c r="W46" i="558"/>
  <c r="X46" i="558"/>
  <c r="Z46" i="558"/>
  <c r="V47" i="558"/>
  <c r="W47" i="558"/>
  <c r="X47" i="558"/>
  <c r="Z47" i="558"/>
  <c r="V48" i="558"/>
  <c r="W48" i="558"/>
  <c r="X48" i="558"/>
  <c r="Z48" i="558"/>
  <c r="V49" i="558"/>
  <c r="W49" i="558"/>
  <c r="X49" i="558"/>
  <c r="Z49" i="558"/>
  <c r="V50" i="558"/>
  <c r="W50" i="558"/>
  <c r="X50" i="558"/>
  <c r="Z50" i="558"/>
  <c r="V51" i="558"/>
  <c r="W51" i="558"/>
  <c r="X51" i="558"/>
  <c r="Z51" i="558"/>
  <c r="V52" i="558"/>
  <c r="W52" i="558"/>
  <c r="X52" i="558"/>
  <c r="Z52" i="558"/>
  <c r="V53" i="558"/>
  <c r="W53" i="558"/>
  <c r="X53" i="558"/>
  <c r="Z53" i="558"/>
  <c r="V54" i="558"/>
  <c r="W54" i="558"/>
  <c r="X54" i="558"/>
  <c r="Z54" i="558"/>
  <c r="V55" i="558"/>
  <c r="W55" i="558"/>
  <c r="X55" i="558"/>
  <c r="Z55" i="558"/>
  <c r="V56" i="558"/>
  <c r="W56" i="558"/>
  <c r="X56" i="558"/>
  <c r="Z56" i="558"/>
  <c r="V57" i="558"/>
  <c r="W57" i="558"/>
  <c r="X57" i="558"/>
  <c r="Z57" i="558"/>
  <c r="V58" i="558"/>
  <c r="W58" i="558"/>
  <c r="X58" i="558"/>
  <c r="Z58" i="558"/>
  <c r="V59" i="558"/>
  <c r="W59" i="558"/>
  <c r="X59" i="558"/>
  <c r="Z59" i="558"/>
  <c r="V60" i="558"/>
  <c r="W60" i="558"/>
  <c r="X60" i="558"/>
  <c r="Z60" i="558"/>
  <c r="V61" i="558"/>
  <c r="W61" i="558"/>
  <c r="X61" i="558"/>
  <c r="Z61" i="558"/>
  <c r="V62" i="558"/>
  <c r="W62" i="558"/>
  <c r="X62" i="558"/>
  <c r="Z62" i="558"/>
  <c r="V63" i="558"/>
  <c r="W63" i="558"/>
  <c r="X63" i="558"/>
  <c r="Z63" i="558"/>
  <c r="V64" i="558"/>
  <c r="W64" i="558"/>
  <c r="X64" i="558"/>
  <c r="Z64" i="558"/>
  <c r="V65" i="558"/>
  <c r="W65" i="558"/>
  <c r="X65" i="558"/>
  <c r="Z65" i="558"/>
  <c r="V66" i="558"/>
  <c r="W66" i="558"/>
  <c r="X66" i="558"/>
  <c r="Z66" i="558"/>
  <c r="V67" i="558"/>
  <c r="W67" i="558"/>
  <c r="X67" i="558"/>
  <c r="Z67" i="558"/>
  <c r="V68" i="558"/>
  <c r="W68" i="558"/>
  <c r="X68" i="558"/>
  <c r="Z68" i="558"/>
  <c r="V69" i="558"/>
  <c r="W69" i="558"/>
  <c r="X69" i="558"/>
  <c r="Z69" i="558"/>
  <c r="V70" i="558"/>
  <c r="W70" i="558"/>
  <c r="X70" i="558"/>
  <c r="Z70" i="558"/>
  <c r="V71" i="558"/>
  <c r="W71" i="558"/>
  <c r="X71" i="558"/>
  <c r="Z71" i="558"/>
  <c r="V72" i="558"/>
  <c r="W72" i="558"/>
  <c r="X72" i="558"/>
  <c r="Z72" i="558"/>
  <c r="V73" i="558"/>
  <c r="W73" i="558"/>
  <c r="X73" i="558"/>
  <c r="Z73" i="558"/>
  <c r="V74" i="558"/>
  <c r="W74" i="558"/>
  <c r="X74" i="558"/>
  <c r="Z74" i="558"/>
  <c r="V75" i="558"/>
  <c r="W75" i="558"/>
  <c r="X75" i="558"/>
  <c r="Z75" i="558"/>
  <c r="V76" i="558"/>
  <c r="W76" i="558"/>
  <c r="X76" i="558"/>
  <c r="Z76" i="558"/>
  <c r="V77" i="558"/>
  <c r="W77" i="558"/>
  <c r="X77" i="558"/>
  <c r="Z77" i="558"/>
  <c r="P6" i="15" l="1"/>
  <c r="O28" i="15"/>
  <c r="P13" i="15"/>
  <c r="P15" i="15"/>
  <c r="P28" i="15"/>
  <c r="P12" i="15"/>
  <c r="P14" i="15"/>
  <c r="O21" i="15"/>
  <c r="O15" i="15"/>
  <c r="O12" i="15"/>
  <c r="O14" i="15"/>
  <c r="P5" i="15"/>
  <c r="P4" i="15"/>
  <c r="O11" i="15"/>
  <c r="O5" i="15"/>
  <c r="O6" i="15"/>
  <c r="O4" i="15"/>
  <c r="O3" i="15"/>
  <c r="P11" i="15"/>
  <c r="P3" i="15"/>
  <c r="V2" i="556"/>
  <c r="W2" i="556"/>
  <c r="X2" i="556"/>
  <c r="Y2" i="556"/>
  <c r="Z2" i="556"/>
  <c r="V3" i="556"/>
  <c r="W3" i="556"/>
  <c r="X3" i="556"/>
  <c r="Y3" i="556"/>
  <c r="Z3" i="556"/>
  <c r="V4" i="556"/>
  <c r="W4" i="556"/>
  <c r="X4" i="556"/>
  <c r="Y4" i="556"/>
  <c r="Z4" i="556"/>
  <c r="V5" i="556"/>
  <c r="W5" i="556"/>
  <c r="X5" i="556"/>
  <c r="Y5" i="556"/>
  <c r="Z5" i="556"/>
  <c r="V6" i="556"/>
  <c r="W6" i="556"/>
  <c r="X6" i="556"/>
  <c r="Y6" i="556"/>
  <c r="Z6" i="556"/>
  <c r="V7" i="556"/>
  <c r="W7" i="556"/>
  <c r="X7" i="556"/>
  <c r="Y7" i="556"/>
  <c r="Z7" i="556"/>
  <c r="V8" i="556"/>
  <c r="W8" i="556"/>
  <c r="X8" i="556"/>
  <c r="Y8" i="556"/>
  <c r="Z8" i="556"/>
  <c r="V9" i="556"/>
  <c r="W9" i="556"/>
  <c r="X9" i="556"/>
  <c r="Y9" i="556"/>
  <c r="Z9" i="556"/>
  <c r="V10" i="556"/>
  <c r="W10" i="556"/>
  <c r="X10" i="556"/>
  <c r="Y10" i="556"/>
  <c r="Z10" i="556"/>
  <c r="V11" i="556"/>
  <c r="W11" i="556"/>
  <c r="X11" i="556"/>
  <c r="Y11" i="556"/>
  <c r="Z11" i="556"/>
  <c r="V12" i="556"/>
  <c r="W12" i="556"/>
  <c r="X12" i="556"/>
  <c r="Y12" i="556"/>
  <c r="Z12" i="556"/>
  <c r="V13" i="556"/>
  <c r="W13" i="556"/>
  <c r="X13" i="556"/>
  <c r="Y13" i="556"/>
  <c r="Z13" i="556"/>
  <c r="V14" i="556"/>
  <c r="W14" i="556"/>
  <c r="X14" i="556"/>
  <c r="Y14" i="556"/>
  <c r="Z14" i="556"/>
  <c r="V15" i="556"/>
  <c r="W15" i="556"/>
  <c r="X15" i="556"/>
  <c r="Y15" i="556"/>
  <c r="Z15" i="556"/>
  <c r="V16" i="556"/>
  <c r="W16" i="556"/>
  <c r="X16" i="556"/>
  <c r="Y16" i="556"/>
  <c r="Z16" i="556"/>
  <c r="V17" i="556"/>
  <c r="W17" i="556"/>
  <c r="X17" i="556"/>
  <c r="Y17" i="556"/>
  <c r="Z17" i="556"/>
  <c r="V18" i="556"/>
  <c r="W18" i="556"/>
  <c r="X18" i="556"/>
  <c r="Y18" i="556"/>
  <c r="Z18" i="556"/>
  <c r="V19" i="556"/>
  <c r="W19" i="556"/>
  <c r="X19" i="556"/>
  <c r="Y19" i="556"/>
  <c r="Z19" i="556"/>
  <c r="V20" i="556"/>
  <c r="W20" i="556"/>
  <c r="X20" i="556"/>
  <c r="Y20" i="556"/>
  <c r="Z20" i="556"/>
  <c r="V21" i="556"/>
  <c r="W21" i="556"/>
  <c r="X21" i="556"/>
  <c r="Y21" i="556"/>
  <c r="Z21" i="556"/>
  <c r="V22" i="556"/>
  <c r="W22" i="556"/>
  <c r="X22" i="556"/>
  <c r="Y22" i="556"/>
  <c r="Z22" i="556"/>
  <c r="V23" i="556"/>
  <c r="W23" i="556"/>
  <c r="X23" i="556"/>
  <c r="Y23" i="556"/>
  <c r="Z23" i="556"/>
  <c r="V24" i="556"/>
  <c r="W24" i="556"/>
  <c r="X24" i="556"/>
  <c r="Y24" i="556"/>
  <c r="Z24" i="556"/>
  <c r="V25" i="556"/>
  <c r="W25" i="556"/>
  <c r="X25" i="556"/>
  <c r="Y25" i="556"/>
  <c r="Z25" i="556"/>
  <c r="V26" i="556"/>
  <c r="W26" i="556"/>
  <c r="X26" i="556"/>
  <c r="Y26" i="556"/>
  <c r="Z26" i="556"/>
  <c r="V27" i="556"/>
  <c r="W27" i="556"/>
  <c r="X27" i="556"/>
  <c r="Y27" i="556"/>
  <c r="Z27" i="556"/>
  <c r="V28" i="556"/>
  <c r="W28" i="556"/>
  <c r="X28" i="556"/>
  <c r="Y28" i="556"/>
  <c r="Z28" i="556"/>
  <c r="V29" i="556"/>
  <c r="W29" i="556"/>
  <c r="X29" i="556"/>
  <c r="Y29" i="556"/>
  <c r="Z29" i="556"/>
  <c r="V30" i="556"/>
  <c r="W30" i="556"/>
  <c r="X30" i="556"/>
  <c r="Y30" i="556"/>
  <c r="Z30" i="556"/>
  <c r="V31" i="556"/>
  <c r="W31" i="556"/>
  <c r="X31" i="556"/>
  <c r="Y31" i="556"/>
  <c r="Z31" i="556"/>
  <c r="V32" i="556"/>
  <c r="W32" i="556"/>
  <c r="X32" i="556"/>
  <c r="Y32" i="556"/>
  <c r="Z32" i="556"/>
  <c r="V33" i="556"/>
  <c r="W33" i="556"/>
  <c r="X33" i="556"/>
  <c r="Y33" i="556"/>
  <c r="Z33" i="556"/>
  <c r="V34" i="556"/>
  <c r="W34" i="556"/>
  <c r="X34" i="556"/>
  <c r="Y34" i="556"/>
  <c r="Z34" i="556"/>
  <c r="V35" i="556"/>
  <c r="W35" i="556"/>
  <c r="X35" i="556"/>
  <c r="Y35" i="556"/>
  <c r="Z35" i="556"/>
  <c r="V36" i="556"/>
  <c r="W36" i="556"/>
  <c r="X36" i="556"/>
  <c r="Y36" i="556"/>
  <c r="Z36" i="556"/>
  <c r="V37" i="556"/>
  <c r="W37" i="556"/>
  <c r="X37" i="556"/>
  <c r="Y37" i="556"/>
  <c r="Z37" i="556"/>
  <c r="V38" i="556"/>
  <c r="W38" i="556"/>
  <c r="X38" i="556"/>
  <c r="Y38" i="556"/>
  <c r="Z38" i="556"/>
  <c r="V39" i="556"/>
  <c r="W39" i="556"/>
  <c r="X39" i="556"/>
  <c r="Y39" i="556"/>
  <c r="Z39" i="556"/>
  <c r="V40" i="556"/>
  <c r="W40" i="556"/>
  <c r="X40" i="556"/>
  <c r="Y40" i="556"/>
  <c r="Z40" i="556"/>
  <c r="V41" i="556"/>
  <c r="W41" i="556"/>
  <c r="X41" i="556"/>
  <c r="Y41" i="556"/>
  <c r="Z41" i="556"/>
  <c r="V42" i="556"/>
  <c r="W42" i="556"/>
  <c r="X42" i="556"/>
  <c r="Y42" i="556"/>
  <c r="Z42" i="556"/>
  <c r="V43" i="556"/>
  <c r="W43" i="556"/>
  <c r="X43" i="556"/>
  <c r="Y43" i="556"/>
  <c r="Z43" i="556"/>
  <c r="V44" i="556"/>
  <c r="W44" i="556"/>
  <c r="X44" i="556"/>
  <c r="Y44" i="556"/>
  <c r="Z44" i="556"/>
  <c r="V45" i="556"/>
  <c r="W45" i="556"/>
  <c r="X45" i="556"/>
  <c r="Y45" i="556"/>
  <c r="Z45" i="556"/>
  <c r="V46" i="556"/>
  <c r="W46" i="556"/>
  <c r="X46" i="556"/>
  <c r="Y46" i="556"/>
  <c r="Z46" i="556"/>
  <c r="V47" i="556"/>
  <c r="W47" i="556"/>
  <c r="X47" i="556"/>
  <c r="Y47" i="556"/>
  <c r="Z47" i="556"/>
  <c r="V48" i="556"/>
  <c r="W48" i="556"/>
  <c r="X48" i="556"/>
  <c r="Y48" i="556"/>
  <c r="Z48" i="556"/>
  <c r="V49" i="556"/>
  <c r="W49" i="556"/>
  <c r="X49" i="556"/>
  <c r="Y49" i="556"/>
  <c r="Z49" i="556"/>
  <c r="V50" i="556"/>
  <c r="W50" i="556"/>
  <c r="X50" i="556"/>
  <c r="Y50" i="556"/>
  <c r="Z50" i="556"/>
  <c r="V51" i="556"/>
  <c r="W51" i="556"/>
  <c r="X51" i="556"/>
  <c r="Y51" i="556"/>
  <c r="Z51" i="556"/>
  <c r="V52" i="556"/>
  <c r="W52" i="556"/>
  <c r="X52" i="556"/>
  <c r="Y52" i="556"/>
  <c r="Z52" i="556"/>
  <c r="V53" i="556"/>
  <c r="W53" i="556"/>
  <c r="X53" i="556"/>
  <c r="Y53" i="556"/>
  <c r="Z53" i="556"/>
  <c r="V54" i="556"/>
  <c r="W54" i="556"/>
  <c r="X54" i="556"/>
  <c r="Y54" i="556"/>
  <c r="Z54" i="556"/>
  <c r="V55" i="556"/>
  <c r="W55" i="556"/>
  <c r="X55" i="556"/>
  <c r="Y55" i="556"/>
  <c r="Z55" i="556"/>
  <c r="V56" i="556"/>
  <c r="W56" i="556"/>
  <c r="X56" i="556"/>
  <c r="Y56" i="556"/>
  <c r="Z56" i="556"/>
  <c r="V57" i="556"/>
  <c r="W57" i="556"/>
  <c r="X57" i="556"/>
  <c r="Y57" i="556"/>
  <c r="Z57" i="556"/>
  <c r="V58" i="556"/>
  <c r="W58" i="556"/>
  <c r="X58" i="556"/>
  <c r="Y58" i="556"/>
  <c r="Z58" i="556"/>
  <c r="V59" i="556"/>
  <c r="W59" i="556"/>
  <c r="X59" i="556"/>
  <c r="Y59" i="556"/>
  <c r="Z59" i="556"/>
  <c r="V60" i="556"/>
  <c r="W60" i="556"/>
  <c r="X60" i="556"/>
  <c r="Y60" i="556"/>
  <c r="Z60" i="556"/>
  <c r="V61" i="556"/>
  <c r="W61" i="556"/>
  <c r="X61" i="556"/>
  <c r="Y61" i="556"/>
  <c r="Z61" i="556"/>
  <c r="V62" i="556"/>
  <c r="W62" i="556"/>
  <c r="X62" i="556"/>
  <c r="Y62" i="556"/>
  <c r="Z62" i="556"/>
  <c r="V63" i="556"/>
  <c r="W63" i="556"/>
  <c r="X63" i="556"/>
  <c r="Y63" i="556"/>
  <c r="Z63" i="556"/>
  <c r="V64" i="556"/>
  <c r="W64" i="556"/>
  <c r="X64" i="556"/>
  <c r="Y64" i="556"/>
  <c r="Z64" i="556"/>
  <c r="V65" i="556"/>
  <c r="W65" i="556"/>
  <c r="X65" i="556"/>
  <c r="Y65" i="556"/>
  <c r="Z65" i="556"/>
  <c r="V66" i="556"/>
  <c r="W66" i="556"/>
  <c r="X66" i="556"/>
  <c r="Y66" i="556"/>
  <c r="Z66" i="556"/>
  <c r="V67" i="556"/>
  <c r="W67" i="556"/>
  <c r="X67" i="556"/>
  <c r="Y67" i="556"/>
  <c r="Z67" i="556"/>
  <c r="V68" i="556"/>
  <c r="W68" i="556"/>
  <c r="X68" i="556"/>
  <c r="Y68" i="556"/>
  <c r="Z68" i="556"/>
  <c r="V69" i="556"/>
  <c r="W69" i="556"/>
  <c r="X69" i="556"/>
  <c r="Y69" i="556"/>
  <c r="Z69" i="556"/>
  <c r="V70" i="556"/>
  <c r="W70" i="556"/>
  <c r="X70" i="556"/>
  <c r="Y70" i="556"/>
  <c r="Z70" i="556"/>
  <c r="V71" i="556"/>
  <c r="W71" i="556"/>
  <c r="X71" i="556"/>
  <c r="Y71" i="556"/>
  <c r="Z71" i="556"/>
  <c r="V72" i="556"/>
  <c r="W72" i="556"/>
  <c r="X72" i="556"/>
  <c r="Y72" i="556"/>
  <c r="Z72" i="556"/>
  <c r="V73" i="556"/>
  <c r="W73" i="556"/>
  <c r="X73" i="556"/>
  <c r="Y73" i="556"/>
  <c r="Z73" i="556"/>
  <c r="V74" i="556"/>
  <c r="W74" i="556"/>
  <c r="X74" i="556"/>
  <c r="Y74" i="556"/>
  <c r="Z74" i="556"/>
  <c r="P7" i="15" l="1"/>
  <c r="N5" i="15"/>
  <c r="N28" i="15"/>
  <c r="N15" i="15"/>
  <c r="N13" i="15"/>
  <c r="N21" i="15"/>
  <c r="N14" i="15"/>
  <c r="O7" i="15"/>
  <c r="N12" i="15"/>
  <c r="N6" i="15"/>
  <c r="N11" i="15"/>
  <c r="N3" i="15"/>
  <c r="N4" i="15"/>
  <c r="I3" i="554"/>
  <c r="Y3" i="554" s="1"/>
  <c r="I4" i="554"/>
  <c r="Y4" i="554" s="1"/>
  <c r="I5" i="554"/>
  <c r="Y5" i="554" s="1"/>
  <c r="I6" i="554"/>
  <c r="Y6" i="554" s="1"/>
  <c r="I7" i="554"/>
  <c r="Y7" i="554" s="1"/>
  <c r="I8" i="554"/>
  <c r="Y8" i="554" s="1"/>
  <c r="I9" i="554"/>
  <c r="Y9" i="554" s="1"/>
  <c r="I10" i="554"/>
  <c r="Y10" i="554" s="1"/>
  <c r="I11" i="554"/>
  <c r="Y11" i="554" s="1"/>
  <c r="I12" i="554"/>
  <c r="Y12" i="554" s="1"/>
  <c r="I13" i="554"/>
  <c r="Y13" i="554" s="1"/>
  <c r="I14" i="554"/>
  <c r="Y14" i="554" s="1"/>
  <c r="I15" i="554"/>
  <c r="Y15" i="554" s="1"/>
  <c r="I16" i="554"/>
  <c r="Y16" i="554" s="1"/>
  <c r="I17" i="554"/>
  <c r="Y17" i="554" s="1"/>
  <c r="I18" i="554"/>
  <c r="Y18" i="554" s="1"/>
  <c r="I19" i="554"/>
  <c r="Y19" i="554" s="1"/>
  <c r="I20" i="554"/>
  <c r="Y20" i="554" s="1"/>
  <c r="I21" i="554"/>
  <c r="Y21" i="554" s="1"/>
  <c r="I22" i="554"/>
  <c r="Y22" i="554" s="1"/>
  <c r="I23" i="554"/>
  <c r="Y23" i="554" s="1"/>
  <c r="I24" i="554"/>
  <c r="Y24" i="554" s="1"/>
  <c r="I25" i="554"/>
  <c r="Y25" i="554" s="1"/>
  <c r="I26" i="554"/>
  <c r="Y26" i="554" s="1"/>
  <c r="I27" i="554"/>
  <c r="Y27" i="554" s="1"/>
  <c r="I28" i="554"/>
  <c r="Y28" i="554" s="1"/>
  <c r="I29" i="554"/>
  <c r="Y29" i="554" s="1"/>
  <c r="I30" i="554"/>
  <c r="Y30" i="554" s="1"/>
  <c r="I31" i="554"/>
  <c r="Y31" i="554" s="1"/>
  <c r="I32" i="554"/>
  <c r="Y32" i="554" s="1"/>
  <c r="I33" i="554"/>
  <c r="Y33" i="554" s="1"/>
  <c r="I34" i="554"/>
  <c r="Y34" i="554" s="1"/>
  <c r="I35" i="554"/>
  <c r="Y35" i="554" s="1"/>
  <c r="I36" i="554"/>
  <c r="Y36" i="554" s="1"/>
  <c r="I37" i="554"/>
  <c r="Y37" i="554" s="1"/>
  <c r="I38" i="554"/>
  <c r="Y38" i="554" s="1"/>
  <c r="I39" i="554"/>
  <c r="Y39" i="554" s="1"/>
  <c r="I40" i="554"/>
  <c r="Y40" i="554" s="1"/>
  <c r="I41" i="554"/>
  <c r="Y41" i="554" s="1"/>
  <c r="I42" i="554"/>
  <c r="Y42" i="554" s="1"/>
  <c r="I43" i="554"/>
  <c r="Y43" i="554" s="1"/>
  <c r="I44" i="554"/>
  <c r="Y44" i="554" s="1"/>
  <c r="I45" i="554"/>
  <c r="Y45" i="554" s="1"/>
  <c r="I46" i="554"/>
  <c r="Y46" i="554" s="1"/>
  <c r="I47" i="554"/>
  <c r="Y47" i="554" s="1"/>
  <c r="I48" i="554"/>
  <c r="Y48" i="554" s="1"/>
  <c r="I49" i="554"/>
  <c r="Y49" i="554" s="1"/>
  <c r="I50" i="554"/>
  <c r="Y50" i="554" s="1"/>
  <c r="I51" i="554"/>
  <c r="Y51" i="554" s="1"/>
  <c r="I52" i="554"/>
  <c r="Y52" i="554" s="1"/>
  <c r="I53" i="554"/>
  <c r="Y53" i="554" s="1"/>
  <c r="I54" i="554"/>
  <c r="Y54" i="554" s="1"/>
  <c r="I55" i="554"/>
  <c r="Y55" i="554" s="1"/>
  <c r="I56" i="554"/>
  <c r="Y56" i="554" s="1"/>
  <c r="I57" i="554"/>
  <c r="Y57" i="554" s="1"/>
  <c r="I58" i="554"/>
  <c r="Y58" i="554" s="1"/>
  <c r="I59" i="554"/>
  <c r="Y59" i="554" s="1"/>
  <c r="I60" i="554"/>
  <c r="Y60" i="554" s="1"/>
  <c r="I61" i="554"/>
  <c r="Y61" i="554" s="1"/>
  <c r="I62" i="554"/>
  <c r="Y62" i="554" s="1"/>
  <c r="I63" i="554"/>
  <c r="Y63" i="554" s="1"/>
  <c r="I64" i="554"/>
  <c r="Y64" i="554" s="1"/>
  <c r="I65" i="554"/>
  <c r="Y65" i="554" s="1"/>
  <c r="I66" i="554"/>
  <c r="Y66" i="554" s="1"/>
  <c r="I67" i="554"/>
  <c r="Y67" i="554" s="1"/>
  <c r="I68" i="554"/>
  <c r="Y68" i="554" s="1"/>
  <c r="I69" i="554"/>
  <c r="Y69" i="554" s="1"/>
  <c r="I70" i="554"/>
  <c r="Y70" i="554" s="1"/>
  <c r="I71" i="554"/>
  <c r="Y71" i="554" s="1"/>
  <c r="I72" i="554"/>
  <c r="Y72" i="554" s="1"/>
  <c r="I73" i="554"/>
  <c r="Y73" i="554" s="1"/>
  <c r="I74" i="554"/>
  <c r="Y74" i="554" s="1"/>
  <c r="I75" i="554"/>
  <c r="Y75" i="554" s="1"/>
  <c r="I76" i="554"/>
  <c r="Y76" i="554" s="1"/>
  <c r="I77" i="554"/>
  <c r="Y77" i="554" s="1"/>
  <c r="I78" i="554"/>
  <c r="Y78" i="554" s="1"/>
  <c r="I79" i="554"/>
  <c r="Y79" i="554" s="1"/>
  <c r="I80" i="554"/>
  <c r="Y80" i="554" s="1"/>
  <c r="I81" i="554"/>
  <c r="Y81" i="554" s="1"/>
  <c r="I82" i="554"/>
  <c r="Y82" i="554" s="1"/>
  <c r="I83" i="554"/>
  <c r="Y83" i="554" s="1"/>
  <c r="I2" i="554"/>
  <c r="Y2" i="554" s="1"/>
  <c r="I3" i="550"/>
  <c r="I4" i="550"/>
  <c r="I5" i="550"/>
  <c r="I6" i="550"/>
  <c r="I7" i="550"/>
  <c r="I8" i="550"/>
  <c r="I9" i="550"/>
  <c r="I10" i="550"/>
  <c r="I11" i="550"/>
  <c r="I12" i="550"/>
  <c r="I13" i="550"/>
  <c r="I14" i="550"/>
  <c r="I15" i="550"/>
  <c r="I16" i="550"/>
  <c r="I17" i="550"/>
  <c r="I18" i="550"/>
  <c r="I19" i="550"/>
  <c r="I20" i="550"/>
  <c r="I21" i="550"/>
  <c r="I22" i="550"/>
  <c r="I23" i="550"/>
  <c r="I24" i="550"/>
  <c r="I25" i="550"/>
  <c r="I26" i="550"/>
  <c r="I27" i="550"/>
  <c r="I28" i="550"/>
  <c r="I29" i="550"/>
  <c r="I30" i="550"/>
  <c r="I31" i="550"/>
  <c r="I32" i="550"/>
  <c r="I33" i="550"/>
  <c r="I34" i="550"/>
  <c r="I35" i="550"/>
  <c r="I36" i="550"/>
  <c r="I37" i="550"/>
  <c r="I38" i="550"/>
  <c r="I39" i="550"/>
  <c r="I40" i="550"/>
  <c r="I41" i="550"/>
  <c r="I42" i="550"/>
  <c r="I43" i="550"/>
  <c r="I44" i="550"/>
  <c r="I45" i="550"/>
  <c r="I46" i="550"/>
  <c r="I47" i="550"/>
  <c r="I48" i="550"/>
  <c r="I49" i="550"/>
  <c r="I50" i="550"/>
  <c r="I51" i="550"/>
  <c r="I52" i="550"/>
  <c r="I53" i="550"/>
  <c r="I54" i="550"/>
  <c r="I55" i="550"/>
  <c r="I56" i="550"/>
  <c r="I57" i="550"/>
  <c r="I58" i="550"/>
  <c r="I59" i="550"/>
  <c r="I60" i="550"/>
  <c r="I61" i="550"/>
  <c r="I62" i="550"/>
  <c r="I63" i="550"/>
  <c r="I64" i="550"/>
  <c r="I65" i="550"/>
  <c r="I66" i="550"/>
  <c r="I67" i="550"/>
  <c r="I68" i="550"/>
  <c r="I69" i="550"/>
  <c r="I70" i="550"/>
  <c r="I71" i="550"/>
  <c r="I72" i="550"/>
  <c r="I73" i="550"/>
  <c r="I74" i="550"/>
  <c r="I75" i="550"/>
  <c r="I76" i="550"/>
  <c r="I77" i="550"/>
  <c r="I78" i="550"/>
  <c r="I2" i="550"/>
  <c r="Z83" i="554"/>
  <c r="X83" i="554"/>
  <c r="W83" i="554"/>
  <c r="V83" i="554"/>
  <c r="Z82" i="554"/>
  <c r="X82" i="554"/>
  <c r="W82" i="554"/>
  <c r="V82" i="554"/>
  <c r="Z81" i="554"/>
  <c r="X81" i="554"/>
  <c r="W81" i="554"/>
  <c r="V81" i="554"/>
  <c r="Z80" i="554"/>
  <c r="X80" i="554"/>
  <c r="W80" i="554"/>
  <c r="V80" i="554"/>
  <c r="Z79" i="554"/>
  <c r="X79" i="554"/>
  <c r="W79" i="554"/>
  <c r="V79" i="554"/>
  <c r="Z78" i="554"/>
  <c r="X78" i="554"/>
  <c r="W78" i="554"/>
  <c r="V78" i="554"/>
  <c r="Z77" i="554"/>
  <c r="X77" i="554"/>
  <c r="W77" i="554"/>
  <c r="V77" i="554"/>
  <c r="Z76" i="554"/>
  <c r="X76" i="554"/>
  <c r="W76" i="554"/>
  <c r="V76" i="554"/>
  <c r="Z75" i="554"/>
  <c r="X75" i="554"/>
  <c r="W75" i="554"/>
  <c r="V75" i="554"/>
  <c r="Z74" i="554"/>
  <c r="X74" i="554"/>
  <c r="W74" i="554"/>
  <c r="V74" i="554"/>
  <c r="Z73" i="554"/>
  <c r="X73" i="554"/>
  <c r="W73" i="554"/>
  <c r="V73" i="554"/>
  <c r="Z72" i="554"/>
  <c r="X72" i="554"/>
  <c r="W72" i="554"/>
  <c r="V72" i="554"/>
  <c r="Z71" i="554"/>
  <c r="X71" i="554"/>
  <c r="W71" i="554"/>
  <c r="V71" i="554"/>
  <c r="Z70" i="554"/>
  <c r="X70" i="554"/>
  <c r="W70" i="554"/>
  <c r="V70" i="554"/>
  <c r="Z69" i="554"/>
  <c r="X69" i="554"/>
  <c r="W69" i="554"/>
  <c r="V69" i="554"/>
  <c r="Z68" i="554"/>
  <c r="X68" i="554"/>
  <c r="W68" i="554"/>
  <c r="V68" i="554"/>
  <c r="Z67" i="554"/>
  <c r="X67" i="554"/>
  <c r="W67" i="554"/>
  <c r="V67" i="554"/>
  <c r="Z66" i="554"/>
  <c r="X66" i="554"/>
  <c r="W66" i="554"/>
  <c r="V66" i="554"/>
  <c r="Z65" i="554"/>
  <c r="X65" i="554"/>
  <c r="W65" i="554"/>
  <c r="V65" i="554"/>
  <c r="Z64" i="554"/>
  <c r="X64" i="554"/>
  <c r="W64" i="554"/>
  <c r="V64" i="554"/>
  <c r="Z63" i="554"/>
  <c r="X63" i="554"/>
  <c r="W63" i="554"/>
  <c r="V63" i="554"/>
  <c r="Z62" i="554"/>
  <c r="X62" i="554"/>
  <c r="W62" i="554"/>
  <c r="V62" i="554"/>
  <c r="Z61" i="554"/>
  <c r="X61" i="554"/>
  <c r="W61" i="554"/>
  <c r="V61" i="554"/>
  <c r="Z60" i="554"/>
  <c r="X60" i="554"/>
  <c r="W60" i="554"/>
  <c r="V60" i="554"/>
  <c r="Z59" i="554"/>
  <c r="X59" i="554"/>
  <c r="W59" i="554"/>
  <c r="V59" i="554"/>
  <c r="Z58" i="554"/>
  <c r="X58" i="554"/>
  <c r="W58" i="554"/>
  <c r="V58" i="554"/>
  <c r="Z57" i="554"/>
  <c r="X57" i="554"/>
  <c r="W57" i="554"/>
  <c r="V57" i="554"/>
  <c r="Z56" i="554"/>
  <c r="X56" i="554"/>
  <c r="W56" i="554"/>
  <c r="V56" i="554"/>
  <c r="Z55" i="554"/>
  <c r="X55" i="554"/>
  <c r="W55" i="554"/>
  <c r="V55" i="554"/>
  <c r="Z54" i="554"/>
  <c r="X54" i="554"/>
  <c r="W54" i="554"/>
  <c r="V54" i="554"/>
  <c r="Z53" i="554"/>
  <c r="X53" i="554"/>
  <c r="W53" i="554"/>
  <c r="V53" i="554"/>
  <c r="Z52" i="554"/>
  <c r="X52" i="554"/>
  <c r="W52" i="554"/>
  <c r="V52" i="554"/>
  <c r="Z51" i="554"/>
  <c r="X51" i="554"/>
  <c r="W51" i="554"/>
  <c r="V51" i="554"/>
  <c r="Z50" i="554"/>
  <c r="X50" i="554"/>
  <c r="W50" i="554"/>
  <c r="V50" i="554"/>
  <c r="Z49" i="554"/>
  <c r="X49" i="554"/>
  <c r="W49" i="554"/>
  <c r="V49" i="554"/>
  <c r="Z48" i="554"/>
  <c r="X48" i="554"/>
  <c r="W48" i="554"/>
  <c r="V48" i="554"/>
  <c r="Z47" i="554"/>
  <c r="X47" i="554"/>
  <c r="W47" i="554"/>
  <c r="V47" i="554"/>
  <c r="Z46" i="554"/>
  <c r="X46" i="554"/>
  <c r="W46" i="554"/>
  <c r="V46" i="554"/>
  <c r="Z45" i="554"/>
  <c r="X45" i="554"/>
  <c r="W45" i="554"/>
  <c r="V45" i="554"/>
  <c r="Z44" i="554"/>
  <c r="X44" i="554"/>
  <c r="W44" i="554"/>
  <c r="V44" i="554"/>
  <c r="Z43" i="554"/>
  <c r="X43" i="554"/>
  <c r="W43" i="554"/>
  <c r="V43" i="554"/>
  <c r="Z42" i="554"/>
  <c r="X42" i="554"/>
  <c r="W42" i="554"/>
  <c r="V42" i="554"/>
  <c r="Z41" i="554"/>
  <c r="X41" i="554"/>
  <c r="W41" i="554"/>
  <c r="V41" i="554"/>
  <c r="Z40" i="554"/>
  <c r="X40" i="554"/>
  <c r="W40" i="554"/>
  <c r="V40" i="554"/>
  <c r="Z39" i="554"/>
  <c r="X39" i="554"/>
  <c r="W39" i="554"/>
  <c r="V39" i="554"/>
  <c r="Z38" i="554"/>
  <c r="X38" i="554"/>
  <c r="W38" i="554"/>
  <c r="V38" i="554"/>
  <c r="Z37" i="554"/>
  <c r="X37" i="554"/>
  <c r="W37" i="554"/>
  <c r="V37" i="554"/>
  <c r="Z36" i="554"/>
  <c r="X36" i="554"/>
  <c r="W36" i="554"/>
  <c r="V36" i="554"/>
  <c r="Z35" i="554"/>
  <c r="X35" i="554"/>
  <c r="W35" i="554"/>
  <c r="V35" i="554"/>
  <c r="Z34" i="554"/>
  <c r="X34" i="554"/>
  <c r="W34" i="554"/>
  <c r="V34" i="554"/>
  <c r="Z33" i="554"/>
  <c r="X33" i="554"/>
  <c r="W33" i="554"/>
  <c r="V33" i="554"/>
  <c r="Z32" i="554"/>
  <c r="X32" i="554"/>
  <c r="W32" i="554"/>
  <c r="V32" i="554"/>
  <c r="Z31" i="554"/>
  <c r="X31" i="554"/>
  <c r="W31" i="554"/>
  <c r="V31" i="554"/>
  <c r="Z30" i="554"/>
  <c r="X30" i="554"/>
  <c r="W30" i="554"/>
  <c r="V30" i="554"/>
  <c r="Z29" i="554"/>
  <c r="X29" i="554"/>
  <c r="W29" i="554"/>
  <c r="V29" i="554"/>
  <c r="Z28" i="554"/>
  <c r="X28" i="554"/>
  <c r="W28" i="554"/>
  <c r="V28" i="554"/>
  <c r="Z27" i="554"/>
  <c r="X27" i="554"/>
  <c r="W27" i="554"/>
  <c r="V27" i="554"/>
  <c r="Z26" i="554"/>
  <c r="X26" i="554"/>
  <c r="W26" i="554"/>
  <c r="V26" i="554"/>
  <c r="Z25" i="554"/>
  <c r="X25" i="554"/>
  <c r="W25" i="554"/>
  <c r="V25" i="554"/>
  <c r="Z24" i="554"/>
  <c r="X24" i="554"/>
  <c r="W24" i="554"/>
  <c r="V24" i="554"/>
  <c r="Z23" i="554"/>
  <c r="X23" i="554"/>
  <c r="W23" i="554"/>
  <c r="V23" i="554"/>
  <c r="Z22" i="554"/>
  <c r="X22" i="554"/>
  <c r="W22" i="554"/>
  <c r="V22" i="554"/>
  <c r="Z21" i="554"/>
  <c r="X21" i="554"/>
  <c r="W21" i="554"/>
  <c r="V21" i="554"/>
  <c r="Z20" i="554"/>
  <c r="X20" i="554"/>
  <c r="W20" i="554"/>
  <c r="V20" i="554"/>
  <c r="Z19" i="554"/>
  <c r="X19" i="554"/>
  <c r="W19" i="554"/>
  <c r="V19" i="554"/>
  <c r="Z18" i="554"/>
  <c r="X18" i="554"/>
  <c r="W18" i="554"/>
  <c r="V18" i="554"/>
  <c r="Z17" i="554"/>
  <c r="X17" i="554"/>
  <c r="W17" i="554"/>
  <c r="V17" i="554"/>
  <c r="Z16" i="554"/>
  <c r="X16" i="554"/>
  <c r="W16" i="554"/>
  <c r="V16" i="554"/>
  <c r="Z15" i="554"/>
  <c r="X15" i="554"/>
  <c r="W15" i="554"/>
  <c r="V15" i="554"/>
  <c r="Z14" i="554"/>
  <c r="X14" i="554"/>
  <c r="W14" i="554"/>
  <c r="V14" i="554"/>
  <c r="Z13" i="554"/>
  <c r="X13" i="554"/>
  <c r="W13" i="554"/>
  <c r="V13" i="554"/>
  <c r="Z12" i="554"/>
  <c r="X12" i="554"/>
  <c r="W12" i="554"/>
  <c r="V12" i="554"/>
  <c r="Z11" i="554"/>
  <c r="X11" i="554"/>
  <c r="W11" i="554"/>
  <c r="V11" i="554"/>
  <c r="Z10" i="554"/>
  <c r="X10" i="554"/>
  <c r="W10" i="554"/>
  <c r="V10" i="554"/>
  <c r="Z9" i="554"/>
  <c r="X9" i="554"/>
  <c r="W9" i="554"/>
  <c r="V9" i="554"/>
  <c r="Z8" i="554"/>
  <c r="X8" i="554"/>
  <c r="W8" i="554"/>
  <c r="V8" i="554"/>
  <c r="Z7" i="554"/>
  <c r="X7" i="554"/>
  <c r="W7" i="554"/>
  <c r="V7" i="554"/>
  <c r="Z6" i="554"/>
  <c r="X6" i="554"/>
  <c r="W6" i="554"/>
  <c r="V6" i="554"/>
  <c r="Z5" i="554"/>
  <c r="X5" i="554"/>
  <c r="W5" i="554"/>
  <c r="V5" i="554"/>
  <c r="Z4" i="554"/>
  <c r="X4" i="554"/>
  <c r="W4" i="554"/>
  <c r="V4" i="554"/>
  <c r="Z3" i="554"/>
  <c r="X3" i="554"/>
  <c r="W3" i="554"/>
  <c r="V3" i="554"/>
  <c r="Z2" i="554"/>
  <c r="X2" i="554"/>
  <c r="W2" i="554"/>
  <c r="V2" i="554"/>
  <c r="M6" i="15" l="1"/>
  <c r="N7" i="15"/>
  <c r="C16" i="11"/>
  <c r="M28" i="15"/>
  <c r="M21" i="15"/>
  <c r="M14" i="15"/>
  <c r="M15" i="15"/>
  <c r="M13" i="15"/>
  <c r="M4" i="15"/>
  <c r="M5" i="15"/>
  <c r="M12" i="15"/>
  <c r="M3" i="15"/>
  <c r="M7" i="15" s="1"/>
  <c r="M11" i="15"/>
  <c r="X2" i="548" l="1"/>
  <c r="Z78" i="550"/>
  <c r="Y78" i="550"/>
  <c r="X78" i="550"/>
  <c r="W78" i="550"/>
  <c r="V78" i="550"/>
  <c r="Z77" i="550"/>
  <c r="Y77" i="550"/>
  <c r="X77" i="550"/>
  <c r="W77" i="550"/>
  <c r="V77" i="550"/>
  <c r="Z76" i="550"/>
  <c r="Y76" i="550"/>
  <c r="X76" i="550"/>
  <c r="W76" i="550"/>
  <c r="V76" i="550"/>
  <c r="Z75" i="550"/>
  <c r="Y75" i="550"/>
  <c r="X75" i="550"/>
  <c r="W75" i="550"/>
  <c r="V75" i="550"/>
  <c r="Z74" i="550"/>
  <c r="Y74" i="550"/>
  <c r="X74" i="550"/>
  <c r="W74" i="550"/>
  <c r="V74" i="550"/>
  <c r="Z73" i="550"/>
  <c r="Y73" i="550"/>
  <c r="X73" i="550"/>
  <c r="W73" i="550"/>
  <c r="V73" i="550"/>
  <c r="Z72" i="550"/>
  <c r="Y72" i="550"/>
  <c r="X72" i="550"/>
  <c r="W72" i="550"/>
  <c r="V72" i="550"/>
  <c r="Z71" i="550"/>
  <c r="Y71" i="550"/>
  <c r="X71" i="550"/>
  <c r="W71" i="550"/>
  <c r="V71" i="550"/>
  <c r="Z70" i="550"/>
  <c r="Y70" i="550"/>
  <c r="X70" i="550"/>
  <c r="W70" i="550"/>
  <c r="V70" i="550"/>
  <c r="Z69" i="550"/>
  <c r="Y69" i="550"/>
  <c r="X69" i="550"/>
  <c r="W69" i="550"/>
  <c r="V69" i="550"/>
  <c r="Z68" i="550"/>
  <c r="Y68" i="550"/>
  <c r="X68" i="550"/>
  <c r="W68" i="550"/>
  <c r="V68" i="550"/>
  <c r="Z67" i="550"/>
  <c r="Y67" i="550"/>
  <c r="X67" i="550"/>
  <c r="W67" i="550"/>
  <c r="V67" i="550"/>
  <c r="Z66" i="550"/>
  <c r="Y66" i="550"/>
  <c r="X66" i="550"/>
  <c r="W66" i="550"/>
  <c r="V66" i="550"/>
  <c r="Z65" i="550"/>
  <c r="Y65" i="550"/>
  <c r="X65" i="550"/>
  <c r="W65" i="550"/>
  <c r="V65" i="550"/>
  <c r="Z64" i="550"/>
  <c r="Y64" i="550"/>
  <c r="X64" i="550"/>
  <c r="W64" i="550"/>
  <c r="V64" i="550"/>
  <c r="Z63" i="550"/>
  <c r="Y63" i="550"/>
  <c r="X63" i="550"/>
  <c r="W63" i="550"/>
  <c r="V63" i="550"/>
  <c r="Z62" i="550"/>
  <c r="Y62" i="550"/>
  <c r="X62" i="550"/>
  <c r="W62" i="550"/>
  <c r="V62" i="550"/>
  <c r="Z61" i="550"/>
  <c r="Y61" i="550"/>
  <c r="X61" i="550"/>
  <c r="W61" i="550"/>
  <c r="V61" i="550"/>
  <c r="Z60" i="550"/>
  <c r="Y60" i="550"/>
  <c r="X60" i="550"/>
  <c r="W60" i="550"/>
  <c r="V60" i="550"/>
  <c r="Z59" i="550"/>
  <c r="Y59" i="550"/>
  <c r="X59" i="550"/>
  <c r="W59" i="550"/>
  <c r="V59" i="550"/>
  <c r="Z58" i="550"/>
  <c r="Y58" i="550"/>
  <c r="X58" i="550"/>
  <c r="W58" i="550"/>
  <c r="V58" i="550"/>
  <c r="Z57" i="550"/>
  <c r="Y57" i="550"/>
  <c r="X57" i="550"/>
  <c r="W57" i="550"/>
  <c r="V57" i="550"/>
  <c r="Z56" i="550"/>
  <c r="Y56" i="550"/>
  <c r="X56" i="550"/>
  <c r="W56" i="550"/>
  <c r="V56" i="550"/>
  <c r="Z55" i="550"/>
  <c r="Y55" i="550"/>
  <c r="X55" i="550"/>
  <c r="W55" i="550"/>
  <c r="V55" i="550"/>
  <c r="Z54" i="550"/>
  <c r="Y54" i="550"/>
  <c r="X54" i="550"/>
  <c r="W54" i="550"/>
  <c r="V54" i="550"/>
  <c r="Z53" i="550"/>
  <c r="Y53" i="550"/>
  <c r="X53" i="550"/>
  <c r="W53" i="550"/>
  <c r="V53" i="550"/>
  <c r="Z52" i="550"/>
  <c r="Y52" i="550"/>
  <c r="X52" i="550"/>
  <c r="W52" i="550"/>
  <c r="V52" i="550"/>
  <c r="Z51" i="550"/>
  <c r="Y51" i="550"/>
  <c r="X51" i="550"/>
  <c r="W51" i="550"/>
  <c r="V51" i="550"/>
  <c r="Z50" i="550"/>
  <c r="Y50" i="550"/>
  <c r="X50" i="550"/>
  <c r="W50" i="550"/>
  <c r="V50" i="550"/>
  <c r="Z49" i="550"/>
  <c r="Y49" i="550"/>
  <c r="X49" i="550"/>
  <c r="W49" i="550"/>
  <c r="V49" i="550"/>
  <c r="Z48" i="550"/>
  <c r="Y48" i="550"/>
  <c r="X48" i="550"/>
  <c r="W48" i="550"/>
  <c r="V48" i="550"/>
  <c r="Z47" i="550"/>
  <c r="Y47" i="550"/>
  <c r="X47" i="550"/>
  <c r="W47" i="550"/>
  <c r="V47" i="550"/>
  <c r="Z46" i="550"/>
  <c r="Y46" i="550"/>
  <c r="X46" i="550"/>
  <c r="W46" i="550"/>
  <c r="V46" i="550"/>
  <c r="Z45" i="550"/>
  <c r="Y45" i="550"/>
  <c r="X45" i="550"/>
  <c r="W45" i="550"/>
  <c r="V45" i="550"/>
  <c r="Z44" i="550"/>
  <c r="Y44" i="550"/>
  <c r="X44" i="550"/>
  <c r="W44" i="550"/>
  <c r="V44" i="550"/>
  <c r="Z43" i="550"/>
  <c r="Y43" i="550"/>
  <c r="X43" i="550"/>
  <c r="W43" i="550"/>
  <c r="V43" i="550"/>
  <c r="Z42" i="550"/>
  <c r="Y42" i="550"/>
  <c r="X42" i="550"/>
  <c r="W42" i="550"/>
  <c r="V42" i="550"/>
  <c r="Z41" i="550"/>
  <c r="Y41" i="550"/>
  <c r="X41" i="550"/>
  <c r="W41" i="550"/>
  <c r="V41" i="550"/>
  <c r="Z40" i="550"/>
  <c r="Y40" i="550"/>
  <c r="X40" i="550"/>
  <c r="W40" i="550"/>
  <c r="V40" i="550"/>
  <c r="Z39" i="550"/>
  <c r="Y39" i="550"/>
  <c r="X39" i="550"/>
  <c r="W39" i="550"/>
  <c r="V39" i="550"/>
  <c r="Z38" i="550"/>
  <c r="Y38" i="550"/>
  <c r="X38" i="550"/>
  <c r="W38" i="550"/>
  <c r="V38" i="550"/>
  <c r="Z37" i="550"/>
  <c r="Y37" i="550"/>
  <c r="X37" i="550"/>
  <c r="W37" i="550"/>
  <c r="V37" i="550"/>
  <c r="Z36" i="550"/>
  <c r="Y36" i="550"/>
  <c r="X36" i="550"/>
  <c r="W36" i="550"/>
  <c r="V36" i="550"/>
  <c r="Z35" i="550"/>
  <c r="Y35" i="550"/>
  <c r="X35" i="550"/>
  <c r="W35" i="550"/>
  <c r="V35" i="550"/>
  <c r="Z34" i="550"/>
  <c r="Y34" i="550"/>
  <c r="X34" i="550"/>
  <c r="W34" i="550"/>
  <c r="V34" i="550"/>
  <c r="Z33" i="550"/>
  <c r="Y33" i="550"/>
  <c r="X33" i="550"/>
  <c r="W33" i="550"/>
  <c r="V33" i="550"/>
  <c r="Z32" i="550"/>
  <c r="Y32" i="550"/>
  <c r="X32" i="550"/>
  <c r="W32" i="550"/>
  <c r="V32" i="550"/>
  <c r="Z31" i="550"/>
  <c r="Y31" i="550"/>
  <c r="X31" i="550"/>
  <c r="W31" i="550"/>
  <c r="V31" i="550"/>
  <c r="Z30" i="550"/>
  <c r="Y30" i="550"/>
  <c r="X30" i="550"/>
  <c r="W30" i="550"/>
  <c r="V30" i="550"/>
  <c r="Z29" i="550"/>
  <c r="Y29" i="550"/>
  <c r="X29" i="550"/>
  <c r="W29" i="550"/>
  <c r="V29" i="550"/>
  <c r="Z28" i="550"/>
  <c r="Y28" i="550"/>
  <c r="X28" i="550"/>
  <c r="W28" i="550"/>
  <c r="V28" i="550"/>
  <c r="Z27" i="550"/>
  <c r="Y27" i="550"/>
  <c r="X27" i="550"/>
  <c r="W27" i="550"/>
  <c r="V27" i="550"/>
  <c r="Z26" i="550"/>
  <c r="Y26" i="550"/>
  <c r="X26" i="550"/>
  <c r="W26" i="550"/>
  <c r="V26" i="550"/>
  <c r="Z25" i="550"/>
  <c r="Y25" i="550"/>
  <c r="X25" i="550"/>
  <c r="W25" i="550"/>
  <c r="V25" i="550"/>
  <c r="Z24" i="550"/>
  <c r="Y24" i="550"/>
  <c r="X24" i="550"/>
  <c r="W24" i="550"/>
  <c r="V24" i="550"/>
  <c r="Z23" i="550"/>
  <c r="Y23" i="550"/>
  <c r="X23" i="550"/>
  <c r="W23" i="550"/>
  <c r="V23" i="550"/>
  <c r="Z22" i="550"/>
  <c r="Y22" i="550"/>
  <c r="X22" i="550"/>
  <c r="W22" i="550"/>
  <c r="V22" i="550"/>
  <c r="Z21" i="550"/>
  <c r="Y21" i="550"/>
  <c r="X21" i="550"/>
  <c r="W21" i="550"/>
  <c r="V21" i="550"/>
  <c r="Z20" i="550"/>
  <c r="Y20" i="550"/>
  <c r="X20" i="550"/>
  <c r="W20" i="550"/>
  <c r="V20" i="550"/>
  <c r="Z19" i="550"/>
  <c r="Y19" i="550"/>
  <c r="X19" i="550"/>
  <c r="W19" i="550"/>
  <c r="V19" i="550"/>
  <c r="Z18" i="550"/>
  <c r="Y18" i="550"/>
  <c r="X18" i="550"/>
  <c r="W18" i="550"/>
  <c r="V18" i="550"/>
  <c r="Z17" i="550"/>
  <c r="Y17" i="550"/>
  <c r="X17" i="550"/>
  <c r="W17" i="550"/>
  <c r="V17" i="550"/>
  <c r="Z16" i="550"/>
  <c r="Y16" i="550"/>
  <c r="X16" i="550"/>
  <c r="W16" i="550"/>
  <c r="V16" i="550"/>
  <c r="Z15" i="550"/>
  <c r="Y15" i="550"/>
  <c r="X15" i="550"/>
  <c r="W15" i="550"/>
  <c r="V15" i="550"/>
  <c r="Z14" i="550"/>
  <c r="Y14" i="550"/>
  <c r="X14" i="550"/>
  <c r="W14" i="550"/>
  <c r="V14" i="550"/>
  <c r="Z13" i="550"/>
  <c r="Y13" i="550"/>
  <c r="X13" i="550"/>
  <c r="W13" i="550"/>
  <c r="V13" i="550"/>
  <c r="Z12" i="550"/>
  <c r="Y12" i="550"/>
  <c r="X12" i="550"/>
  <c r="W12" i="550"/>
  <c r="V12" i="550"/>
  <c r="Z11" i="550"/>
  <c r="Y11" i="550"/>
  <c r="X11" i="550"/>
  <c r="W11" i="550"/>
  <c r="V11" i="550"/>
  <c r="Z10" i="550"/>
  <c r="Y10" i="550"/>
  <c r="X10" i="550"/>
  <c r="W10" i="550"/>
  <c r="V10" i="550"/>
  <c r="Z9" i="550"/>
  <c r="Y9" i="550"/>
  <c r="X9" i="550"/>
  <c r="W9" i="550"/>
  <c r="V9" i="550"/>
  <c r="Z8" i="550"/>
  <c r="Y8" i="550"/>
  <c r="X8" i="550"/>
  <c r="W8" i="550"/>
  <c r="V8" i="550"/>
  <c r="Z7" i="550"/>
  <c r="Y7" i="550"/>
  <c r="X7" i="550"/>
  <c r="W7" i="550"/>
  <c r="V7" i="550"/>
  <c r="Z6" i="550"/>
  <c r="Y6" i="550"/>
  <c r="X6" i="550"/>
  <c r="W6" i="550"/>
  <c r="V6" i="550"/>
  <c r="Z5" i="550"/>
  <c r="Y5" i="550"/>
  <c r="X5" i="550"/>
  <c r="W5" i="550"/>
  <c r="V5" i="550"/>
  <c r="Z4" i="550"/>
  <c r="Y4" i="550"/>
  <c r="X4" i="550"/>
  <c r="W4" i="550"/>
  <c r="V4" i="550"/>
  <c r="Z3" i="550"/>
  <c r="Y3" i="550"/>
  <c r="X3" i="550"/>
  <c r="W3" i="550"/>
  <c r="V3" i="550"/>
  <c r="Z2" i="550"/>
  <c r="Y2" i="550"/>
  <c r="X2" i="550"/>
  <c r="W2" i="550"/>
  <c r="V2" i="550"/>
  <c r="X79" i="548"/>
  <c r="X73" i="548"/>
  <c r="X72" i="548"/>
  <c r="X67" i="548"/>
  <c r="X50" i="548"/>
  <c r="X34" i="548"/>
  <c r="X27" i="548"/>
  <c r="X19" i="548"/>
  <c r="X5" i="548"/>
  <c r="I2" i="548"/>
  <c r="I3" i="548"/>
  <c r="I4" i="548"/>
  <c r="I5" i="548"/>
  <c r="I6" i="548"/>
  <c r="I7" i="548"/>
  <c r="I8" i="548"/>
  <c r="I9" i="548"/>
  <c r="I10" i="548"/>
  <c r="I11" i="548"/>
  <c r="I12" i="548"/>
  <c r="I13" i="548"/>
  <c r="I14" i="548"/>
  <c r="I15" i="548"/>
  <c r="I16" i="548"/>
  <c r="I17" i="548"/>
  <c r="I18" i="548"/>
  <c r="I19" i="548"/>
  <c r="I20" i="548"/>
  <c r="I21" i="548"/>
  <c r="I22" i="548"/>
  <c r="I23" i="548"/>
  <c r="I24" i="548"/>
  <c r="I25" i="548"/>
  <c r="I26" i="548"/>
  <c r="I27" i="548"/>
  <c r="I28" i="548"/>
  <c r="I29" i="548"/>
  <c r="I30" i="548"/>
  <c r="I31" i="548"/>
  <c r="I32" i="548"/>
  <c r="I33" i="548"/>
  <c r="I34" i="548"/>
  <c r="I35" i="548"/>
  <c r="I36" i="548"/>
  <c r="I37" i="548"/>
  <c r="I38" i="548"/>
  <c r="I39" i="548"/>
  <c r="I40" i="548"/>
  <c r="I41" i="548"/>
  <c r="I42" i="548"/>
  <c r="I43" i="548"/>
  <c r="I44" i="548"/>
  <c r="I45" i="548"/>
  <c r="I46" i="548"/>
  <c r="I47" i="548"/>
  <c r="I48" i="548"/>
  <c r="I49" i="548"/>
  <c r="I50" i="548"/>
  <c r="I51" i="548"/>
  <c r="I52" i="548"/>
  <c r="I53" i="548"/>
  <c r="I54" i="548"/>
  <c r="I55" i="548"/>
  <c r="I56" i="548"/>
  <c r="I57" i="548"/>
  <c r="I58" i="548"/>
  <c r="I59" i="548"/>
  <c r="I60" i="548"/>
  <c r="I61" i="548"/>
  <c r="I62" i="548"/>
  <c r="I63" i="548"/>
  <c r="I64" i="548"/>
  <c r="I65" i="548"/>
  <c r="I66" i="548"/>
  <c r="I67" i="548"/>
  <c r="I68" i="548"/>
  <c r="I69" i="548"/>
  <c r="I70" i="548"/>
  <c r="I71" i="548"/>
  <c r="I72" i="548"/>
  <c r="I73" i="548"/>
  <c r="I74" i="548"/>
  <c r="I75" i="548"/>
  <c r="I76" i="548"/>
  <c r="I77" i="548"/>
  <c r="I78" i="548"/>
  <c r="I79" i="548"/>
  <c r="L5" i="15" l="1"/>
  <c r="L28" i="15"/>
  <c r="L15" i="15"/>
  <c r="L14" i="15"/>
  <c r="L21" i="15"/>
  <c r="L13" i="15"/>
  <c r="L12" i="15"/>
  <c r="L6" i="15"/>
  <c r="L4" i="15"/>
  <c r="L11" i="15"/>
  <c r="L3" i="15"/>
  <c r="V2" i="548"/>
  <c r="W2" i="548"/>
  <c r="Y2" i="548"/>
  <c r="Z2" i="548"/>
  <c r="V3" i="548"/>
  <c r="W3" i="548"/>
  <c r="X3" i="548"/>
  <c r="Y3" i="548"/>
  <c r="Z3" i="548"/>
  <c r="V4" i="548"/>
  <c r="W4" i="548"/>
  <c r="X4" i="548"/>
  <c r="Y4" i="548"/>
  <c r="Z4" i="548"/>
  <c r="V5" i="548"/>
  <c r="W5" i="548"/>
  <c r="Y5" i="548"/>
  <c r="Z5" i="548"/>
  <c r="V6" i="548"/>
  <c r="W6" i="548"/>
  <c r="X6" i="548"/>
  <c r="Y6" i="548"/>
  <c r="Z6" i="548"/>
  <c r="V7" i="548"/>
  <c r="W7" i="548"/>
  <c r="X7" i="548"/>
  <c r="Y7" i="548"/>
  <c r="Z7" i="548"/>
  <c r="V8" i="548"/>
  <c r="W8" i="548"/>
  <c r="X8" i="548"/>
  <c r="Y8" i="548"/>
  <c r="Z8" i="548"/>
  <c r="V9" i="548"/>
  <c r="W9" i="548"/>
  <c r="X9" i="548"/>
  <c r="Y9" i="548"/>
  <c r="Z9" i="548"/>
  <c r="V10" i="548"/>
  <c r="W10" i="548"/>
  <c r="X10" i="548"/>
  <c r="Y10" i="548"/>
  <c r="Z10" i="548"/>
  <c r="V11" i="548"/>
  <c r="W11" i="548"/>
  <c r="X11" i="548"/>
  <c r="Y11" i="548"/>
  <c r="Z11" i="548"/>
  <c r="V12" i="548"/>
  <c r="W12" i="548"/>
  <c r="X12" i="548"/>
  <c r="Y12" i="548"/>
  <c r="Z12" i="548"/>
  <c r="V13" i="548"/>
  <c r="W13" i="548"/>
  <c r="X13" i="548"/>
  <c r="Y13" i="548"/>
  <c r="Z13" i="548"/>
  <c r="V14" i="548"/>
  <c r="W14" i="548"/>
  <c r="X14" i="548"/>
  <c r="Y14" i="548"/>
  <c r="Z14" i="548"/>
  <c r="V15" i="548"/>
  <c r="W15" i="548"/>
  <c r="X15" i="548"/>
  <c r="Y15" i="548"/>
  <c r="Z15" i="548"/>
  <c r="V16" i="548"/>
  <c r="W16" i="548"/>
  <c r="X16" i="548"/>
  <c r="Y16" i="548"/>
  <c r="Z16" i="548"/>
  <c r="V17" i="548"/>
  <c r="W17" i="548"/>
  <c r="X17" i="548"/>
  <c r="Y17" i="548"/>
  <c r="Z17" i="548"/>
  <c r="V18" i="548"/>
  <c r="W18" i="548"/>
  <c r="X18" i="548"/>
  <c r="Y18" i="548"/>
  <c r="Z18" i="548"/>
  <c r="V19" i="548"/>
  <c r="W19" i="548"/>
  <c r="Y19" i="548"/>
  <c r="Z19" i="548"/>
  <c r="V20" i="548"/>
  <c r="W20" i="548"/>
  <c r="X20" i="548"/>
  <c r="Y20" i="548"/>
  <c r="Z20" i="548"/>
  <c r="V21" i="548"/>
  <c r="W21" i="548"/>
  <c r="X21" i="548"/>
  <c r="Y21" i="548"/>
  <c r="Z21" i="548"/>
  <c r="V22" i="548"/>
  <c r="W22" i="548"/>
  <c r="X22" i="548"/>
  <c r="Y22" i="548"/>
  <c r="Z22" i="548"/>
  <c r="V23" i="548"/>
  <c r="W23" i="548"/>
  <c r="X23" i="548"/>
  <c r="Y23" i="548"/>
  <c r="Z23" i="548"/>
  <c r="V24" i="548"/>
  <c r="W24" i="548"/>
  <c r="X24" i="548"/>
  <c r="Y24" i="548"/>
  <c r="Z24" i="548"/>
  <c r="V25" i="548"/>
  <c r="W25" i="548"/>
  <c r="X25" i="548"/>
  <c r="Y25" i="548"/>
  <c r="Z25" i="548"/>
  <c r="V26" i="548"/>
  <c r="W26" i="548"/>
  <c r="X26" i="548"/>
  <c r="Y26" i="548"/>
  <c r="Z26" i="548"/>
  <c r="V27" i="548"/>
  <c r="W27" i="548"/>
  <c r="Y27" i="548"/>
  <c r="Z27" i="548"/>
  <c r="V28" i="548"/>
  <c r="W28" i="548"/>
  <c r="X28" i="548"/>
  <c r="Y28" i="548"/>
  <c r="Z28" i="548"/>
  <c r="V29" i="548"/>
  <c r="W29" i="548"/>
  <c r="X29" i="548"/>
  <c r="Y29" i="548"/>
  <c r="Z29" i="548"/>
  <c r="V30" i="548"/>
  <c r="W30" i="548"/>
  <c r="X30" i="548"/>
  <c r="Y30" i="548"/>
  <c r="Z30" i="548"/>
  <c r="V31" i="548"/>
  <c r="W31" i="548"/>
  <c r="X31" i="548"/>
  <c r="Y31" i="548"/>
  <c r="Z31" i="548"/>
  <c r="V32" i="548"/>
  <c r="W32" i="548"/>
  <c r="X32" i="548"/>
  <c r="Y32" i="548"/>
  <c r="Z32" i="548"/>
  <c r="V33" i="548"/>
  <c r="W33" i="548"/>
  <c r="X33" i="548"/>
  <c r="Y33" i="548"/>
  <c r="Z33" i="548"/>
  <c r="V34" i="548"/>
  <c r="W34" i="548"/>
  <c r="Y34" i="548"/>
  <c r="Z34" i="548"/>
  <c r="V35" i="548"/>
  <c r="W35" i="548"/>
  <c r="X35" i="548"/>
  <c r="Y35" i="548"/>
  <c r="Z35" i="548"/>
  <c r="V36" i="548"/>
  <c r="W36" i="548"/>
  <c r="X36" i="548"/>
  <c r="Y36" i="548"/>
  <c r="Z36" i="548"/>
  <c r="V37" i="548"/>
  <c r="W37" i="548"/>
  <c r="X37" i="548"/>
  <c r="Y37" i="548"/>
  <c r="Z37" i="548"/>
  <c r="V38" i="548"/>
  <c r="W38" i="548"/>
  <c r="X38" i="548"/>
  <c r="Y38" i="548"/>
  <c r="Z38" i="548"/>
  <c r="V39" i="548"/>
  <c r="W39" i="548"/>
  <c r="X39" i="548"/>
  <c r="Y39" i="548"/>
  <c r="Z39" i="548"/>
  <c r="V40" i="548"/>
  <c r="W40" i="548"/>
  <c r="X40" i="548"/>
  <c r="Y40" i="548"/>
  <c r="Z40" i="548"/>
  <c r="V41" i="548"/>
  <c r="W41" i="548"/>
  <c r="X41" i="548"/>
  <c r="Y41" i="548"/>
  <c r="Z41" i="548"/>
  <c r="V42" i="548"/>
  <c r="W42" i="548"/>
  <c r="X42" i="548"/>
  <c r="Y42" i="548"/>
  <c r="Z42" i="548"/>
  <c r="V43" i="548"/>
  <c r="W43" i="548"/>
  <c r="X43" i="548"/>
  <c r="Y43" i="548"/>
  <c r="Z43" i="548"/>
  <c r="V44" i="548"/>
  <c r="W44" i="548"/>
  <c r="X44" i="548"/>
  <c r="Y44" i="548"/>
  <c r="Z44" i="548"/>
  <c r="V45" i="548"/>
  <c r="W45" i="548"/>
  <c r="X45" i="548"/>
  <c r="Y45" i="548"/>
  <c r="Z45" i="548"/>
  <c r="V46" i="548"/>
  <c r="W46" i="548"/>
  <c r="X46" i="548"/>
  <c r="Y46" i="548"/>
  <c r="Z46" i="548"/>
  <c r="V47" i="548"/>
  <c r="W47" i="548"/>
  <c r="X47" i="548"/>
  <c r="Y47" i="548"/>
  <c r="Z47" i="548"/>
  <c r="V48" i="548"/>
  <c r="W48" i="548"/>
  <c r="X48" i="548"/>
  <c r="Y48" i="548"/>
  <c r="Z48" i="548"/>
  <c r="V49" i="548"/>
  <c r="W49" i="548"/>
  <c r="X49" i="548"/>
  <c r="Y49" i="548"/>
  <c r="Z49" i="548"/>
  <c r="V50" i="548"/>
  <c r="W50" i="548"/>
  <c r="Y50" i="548"/>
  <c r="Z50" i="548"/>
  <c r="V51" i="548"/>
  <c r="W51" i="548"/>
  <c r="X51" i="548"/>
  <c r="Y51" i="548"/>
  <c r="Z51" i="548"/>
  <c r="V52" i="548"/>
  <c r="W52" i="548"/>
  <c r="X52" i="548"/>
  <c r="Y52" i="548"/>
  <c r="Z52" i="548"/>
  <c r="V53" i="548"/>
  <c r="W53" i="548"/>
  <c r="X53" i="548"/>
  <c r="Y53" i="548"/>
  <c r="Z53" i="548"/>
  <c r="V54" i="548"/>
  <c r="W54" i="548"/>
  <c r="X54" i="548"/>
  <c r="Y54" i="548"/>
  <c r="Z54" i="548"/>
  <c r="V55" i="548"/>
  <c r="W55" i="548"/>
  <c r="X55" i="548"/>
  <c r="Y55" i="548"/>
  <c r="Z55" i="548"/>
  <c r="V56" i="548"/>
  <c r="W56" i="548"/>
  <c r="X56" i="548"/>
  <c r="Y56" i="548"/>
  <c r="Z56" i="548"/>
  <c r="V57" i="548"/>
  <c r="W57" i="548"/>
  <c r="X57" i="548"/>
  <c r="Y57" i="548"/>
  <c r="Z57" i="548"/>
  <c r="V58" i="548"/>
  <c r="W58" i="548"/>
  <c r="X58" i="548"/>
  <c r="Y58" i="548"/>
  <c r="Z58" i="548"/>
  <c r="V59" i="548"/>
  <c r="W59" i="548"/>
  <c r="X59" i="548"/>
  <c r="Y59" i="548"/>
  <c r="Z59" i="548"/>
  <c r="V60" i="548"/>
  <c r="W60" i="548"/>
  <c r="X60" i="548"/>
  <c r="Y60" i="548"/>
  <c r="Z60" i="548"/>
  <c r="V61" i="548"/>
  <c r="W61" i="548"/>
  <c r="X61" i="548"/>
  <c r="Y61" i="548"/>
  <c r="Z61" i="548"/>
  <c r="V62" i="548"/>
  <c r="W62" i="548"/>
  <c r="X62" i="548"/>
  <c r="Y62" i="548"/>
  <c r="Z62" i="548"/>
  <c r="V63" i="548"/>
  <c r="W63" i="548"/>
  <c r="X63" i="548"/>
  <c r="Y63" i="548"/>
  <c r="Z63" i="548"/>
  <c r="V64" i="548"/>
  <c r="W64" i="548"/>
  <c r="X64" i="548"/>
  <c r="Y64" i="548"/>
  <c r="Z64" i="548"/>
  <c r="V65" i="548"/>
  <c r="W65" i="548"/>
  <c r="X65" i="548"/>
  <c r="Y65" i="548"/>
  <c r="Z65" i="548"/>
  <c r="V66" i="548"/>
  <c r="W66" i="548"/>
  <c r="X66" i="548"/>
  <c r="Y66" i="548"/>
  <c r="Z66" i="548"/>
  <c r="V67" i="548"/>
  <c r="W67" i="548"/>
  <c r="Y67" i="548"/>
  <c r="Z67" i="548"/>
  <c r="V68" i="548"/>
  <c r="W68" i="548"/>
  <c r="X68" i="548"/>
  <c r="Y68" i="548"/>
  <c r="Z68" i="548"/>
  <c r="V69" i="548"/>
  <c r="W69" i="548"/>
  <c r="X69" i="548"/>
  <c r="Y69" i="548"/>
  <c r="Z69" i="548"/>
  <c r="V70" i="548"/>
  <c r="W70" i="548"/>
  <c r="X70" i="548"/>
  <c r="Y70" i="548"/>
  <c r="Z70" i="548"/>
  <c r="V71" i="548"/>
  <c r="W71" i="548"/>
  <c r="X71" i="548"/>
  <c r="Y71" i="548"/>
  <c r="Z71" i="548"/>
  <c r="V72" i="548"/>
  <c r="W72" i="548"/>
  <c r="Y72" i="548"/>
  <c r="Z72" i="548"/>
  <c r="V73" i="548"/>
  <c r="W73" i="548"/>
  <c r="Y73" i="548"/>
  <c r="Z73" i="548"/>
  <c r="V74" i="548"/>
  <c r="W74" i="548"/>
  <c r="X74" i="548"/>
  <c r="Y74" i="548"/>
  <c r="Z74" i="548"/>
  <c r="V75" i="548"/>
  <c r="W75" i="548"/>
  <c r="X75" i="548"/>
  <c r="Y75" i="548"/>
  <c r="Z75" i="548"/>
  <c r="V76" i="548"/>
  <c r="W76" i="548"/>
  <c r="X76" i="548"/>
  <c r="Y76" i="548"/>
  <c r="Z76" i="548"/>
  <c r="V77" i="548"/>
  <c r="W77" i="548"/>
  <c r="X77" i="548"/>
  <c r="Y77" i="548"/>
  <c r="Z77" i="548"/>
  <c r="V78" i="548"/>
  <c r="W78" i="548"/>
  <c r="X78" i="548"/>
  <c r="Y78" i="548"/>
  <c r="Z78" i="548"/>
  <c r="V79" i="548"/>
  <c r="W79" i="548"/>
  <c r="Y79" i="548"/>
  <c r="Z79" i="548"/>
  <c r="X72" i="546"/>
  <c r="X73" i="546"/>
  <c r="X74" i="546"/>
  <c r="X75" i="546"/>
  <c r="X76" i="546"/>
  <c r="X5" i="546"/>
  <c r="X6" i="546"/>
  <c r="X7" i="546"/>
  <c r="X8" i="546"/>
  <c r="X9" i="546"/>
  <c r="X10" i="546"/>
  <c r="X11" i="546"/>
  <c r="X12" i="546"/>
  <c r="X13" i="546"/>
  <c r="X14" i="546"/>
  <c r="X15" i="546"/>
  <c r="X16" i="546"/>
  <c r="X17" i="546"/>
  <c r="X18" i="546"/>
  <c r="X19" i="546"/>
  <c r="X20" i="546"/>
  <c r="X21" i="546"/>
  <c r="X22" i="546"/>
  <c r="X23" i="546"/>
  <c r="X24" i="546"/>
  <c r="X25" i="546"/>
  <c r="X26" i="546"/>
  <c r="X27" i="546"/>
  <c r="X28" i="546"/>
  <c r="X29" i="546"/>
  <c r="X30" i="546"/>
  <c r="X31" i="546"/>
  <c r="X32" i="546"/>
  <c r="X33" i="546"/>
  <c r="X34" i="546"/>
  <c r="X35" i="546"/>
  <c r="X36" i="546"/>
  <c r="X37" i="546"/>
  <c r="X38" i="546"/>
  <c r="X39" i="546"/>
  <c r="X40" i="546"/>
  <c r="X41" i="546"/>
  <c r="X42" i="546"/>
  <c r="X43" i="546"/>
  <c r="X44" i="546"/>
  <c r="X45" i="546"/>
  <c r="X46" i="546"/>
  <c r="X47" i="546"/>
  <c r="X48" i="546"/>
  <c r="X49" i="546"/>
  <c r="X50" i="546"/>
  <c r="X51" i="546"/>
  <c r="X52" i="546"/>
  <c r="X53" i="546"/>
  <c r="X54" i="546"/>
  <c r="X55" i="546"/>
  <c r="X56" i="546"/>
  <c r="X57" i="546"/>
  <c r="X58" i="546"/>
  <c r="X59" i="546"/>
  <c r="X60" i="546"/>
  <c r="X61" i="546"/>
  <c r="X62" i="546"/>
  <c r="X63" i="546"/>
  <c r="X64" i="546"/>
  <c r="X65" i="546"/>
  <c r="X66" i="546"/>
  <c r="X67" i="546"/>
  <c r="X68" i="546"/>
  <c r="X69" i="546"/>
  <c r="X70" i="546"/>
  <c r="X71" i="546"/>
  <c r="X2" i="546"/>
  <c r="I3" i="546"/>
  <c r="Y3" i="546" s="1"/>
  <c r="I4" i="546"/>
  <c r="Y4" i="546" s="1"/>
  <c r="I5" i="546"/>
  <c r="Y5" i="546" s="1"/>
  <c r="I6" i="546"/>
  <c r="Y6" i="546" s="1"/>
  <c r="I7" i="546"/>
  <c r="Y7" i="546" s="1"/>
  <c r="I8" i="546"/>
  <c r="Y8" i="546" s="1"/>
  <c r="I9" i="546"/>
  <c r="Y9" i="546" s="1"/>
  <c r="I10" i="546"/>
  <c r="Y10" i="546" s="1"/>
  <c r="I11" i="546"/>
  <c r="Y11" i="546" s="1"/>
  <c r="I12" i="546"/>
  <c r="Y12" i="546" s="1"/>
  <c r="I13" i="546"/>
  <c r="Y13" i="546" s="1"/>
  <c r="I14" i="546"/>
  <c r="Y14" i="546" s="1"/>
  <c r="I15" i="546"/>
  <c r="Y15" i="546" s="1"/>
  <c r="I16" i="546"/>
  <c r="Y16" i="546" s="1"/>
  <c r="I17" i="546"/>
  <c r="Y17" i="546" s="1"/>
  <c r="I18" i="546"/>
  <c r="Y18" i="546" s="1"/>
  <c r="I19" i="546"/>
  <c r="Y19" i="546" s="1"/>
  <c r="I20" i="546"/>
  <c r="Y20" i="546" s="1"/>
  <c r="I21" i="546"/>
  <c r="Y21" i="546" s="1"/>
  <c r="I22" i="546"/>
  <c r="Y22" i="546" s="1"/>
  <c r="I23" i="546"/>
  <c r="Y23" i="546" s="1"/>
  <c r="I24" i="546"/>
  <c r="Y24" i="546" s="1"/>
  <c r="I25" i="546"/>
  <c r="Y25" i="546" s="1"/>
  <c r="I26" i="546"/>
  <c r="Y26" i="546" s="1"/>
  <c r="I27" i="546"/>
  <c r="Y27" i="546" s="1"/>
  <c r="I28" i="546"/>
  <c r="Y28" i="546" s="1"/>
  <c r="I29" i="546"/>
  <c r="Y29" i="546" s="1"/>
  <c r="I30" i="546"/>
  <c r="Y30" i="546" s="1"/>
  <c r="I31" i="546"/>
  <c r="Y31" i="546" s="1"/>
  <c r="I32" i="546"/>
  <c r="Y32" i="546" s="1"/>
  <c r="I33" i="546"/>
  <c r="Y33" i="546" s="1"/>
  <c r="I34" i="546"/>
  <c r="Y34" i="546" s="1"/>
  <c r="I35" i="546"/>
  <c r="Y35" i="546" s="1"/>
  <c r="I36" i="546"/>
  <c r="Y36" i="546" s="1"/>
  <c r="I37" i="546"/>
  <c r="Y37" i="546" s="1"/>
  <c r="I38" i="546"/>
  <c r="Y38" i="546" s="1"/>
  <c r="I39" i="546"/>
  <c r="Y39" i="546" s="1"/>
  <c r="I40" i="546"/>
  <c r="Y40" i="546" s="1"/>
  <c r="I41" i="546"/>
  <c r="Y41" i="546" s="1"/>
  <c r="I42" i="546"/>
  <c r="Y42" i="546" s="1"/>
  <c r="I43" i="546"/>
  <c r="Y43" i="546" s="1"/>
  <c r="I44" i="546"/>
  <c r="Y44" i="546" s="1"/>
  <c r="I45" i="546"/>
  <c r="Y45" i="546" s="1"/>
  <c r="I46" i="546"/>
  <c r="Y46" i="546" s="1"/>
  <c r="I47" i="546"/>
  <c r="Y47" i="546" s="1"/>
  <c r="I48" i="546"/>
  <c r="Y48" i="546" s="1"/>
  <c r="I49" i="546"/>
  <c r="Y49" i="546" s="1"/>
  <c r="I50" i="546"/>
  <c r="Y50" i="546" s="1"/>
  <c r="I51" i="546"/>
  <c r="Y51" i="546" s="1"/>
  <c r="I52" i="546"/>
  <c r="Y52" i="546" s="1"/>
  <c r="I53" i="546"/>
  <c r="Y53" i="546" s="1"/>
  <c r="I54" i="546"/>
  <c r="Y54" i="546" s="1"/>
  <c r="I55" i="546"/>
  <c r="Y55" i="546" s="1"/>
  <c r="I56" i="546"/>
  <c r="Y56" i="546" s="1"/>
  <c r="I57" i="546"/>
  <c r="Y57" i="546" s="1"/>
  <c r="I58" i="546"/>
  <c r="Y58" i="546" s="1"/>
  <c r="I59" i="546"/>
  <c r="Y59" i="546" s="1"/>
  <c r="I60" i="546"/>
  <c r="Y60" i="546" s="1"/>
  <c r="I61" i="546"/>
  <c r="Y61" i="546" s="1"/>
  <c r="I62" i="546"/>
  <c r="Y62" i="546" s="1"/>
  <c r="I63" i="546"/>
  <c r="Y63" i="546" s="1"/>
  <c r="I64" i="546"/>
  <c r="Y64" i="546" s="1"/>
  <c r="I65" i="546"/>
  <c r="Y65" i="546" s="1"/>
  <c r="I66" i="546"/>
  <c r="Y66" i="546" s="1"/>
  <c r="I67" i="546"/>
  <c r="Y67" i="546" s="1"/>
  <c r="I68" i="546"/>
  <c r="Y68" i="546" s="1"/>
  <c r="I69" i="546"/>
  <c r="Y69" i="546" s="1"/>
  <c r="I70" i="546"/>
  <c r="Y70" i="546" s="1"/>
  <c r="I71" i="546"/>
  <c r="Y71" i="546" s="1"/>
  <c r="I72" i="546"/>
  <c r="Y72" i="546" s="1"/>
  <c r="I73" i="546"/>
  <c r="Y73" i="546" s="1"/>
  <c r="I74" i="546"/>
  <c r="Y74" i="546" s="1"/>
  <c r="I75" i="546"/>
  <c r="Y75" i="546" s="1"/>
  <c r="I76" i="546"/>
  <c r="Y76" i="546" s="1"/>
  <c r="I2" i="546"/>
  <c r="Y2" i="546" s="1"/>
  <c r="V2" i="546"/>
  <c r="W2" i="546"/>
  <c r="Z2" i="546"/>
  <c r="V3" i="546"/>
  <c r="W3" i="546"/>
  <c r="X3" i="546"/>
  <c r="Z3" i="546"/>
  <c r="V4" i="546"/>
  <c r="W4" i="546"/>
  <c r="X4" i="546"/>
  <c r="Z4" i="546"/>
  <c r="V5" i="546"/>
  <c r="W5" i="546"/>
  <c r="Z5" i="546"/>
  <c r="V6" i="546"/>
  <c r="W6" i="546"/>
  <c r="Z6" i="546"/>
  <c r="V7" i="546"/>
  <c r="W7" i="546"/>
  <c r="Z7" i="546"/>
  <c r="V8" i="546"/>
  <c r="W8" i="546"/>
  <c r="Z8" i="546"/>
  <c r="V9" i="546"/>
  <c r="W9" i="546"/>
  <c r="Z9" i="546"/>
  <c r="V10" i="546"/>
  <c r="W10" i="546"/>
  <c r="Z10" i="546"/>
  <c r="V11" i="546"/>
  <c r="W11" i="546"/>
  <c r="Z11" i="546"/>
  <c r="V12" i="546"/>
  <c r="W12" i="546"/>
  <c r="Z12" i="546"/>
  <c r="V13" i="546"/>
  <c r="W13" i="546"/>
  <c r="Z13" i="546"/>
  <c r="V14" i="546"/>
  <c r="W14" i="546"/>
  <c r="Z14" i="546"/>
  <c r="V15" i="546"/>
  <c r="W15" i="546"/>
  <c r="Z15" i="546"/>
  <c r="V16" i="546"/>
  <c r="W16" i="546"/>
  <c r="Z16" i="546"/>
  <c r="V17" i="546"/>
  <c r="W17" i="546"/>
  <c r="Z17" i="546"/>
  <c r="V18" i="546"/>
  <c r="W18" i="546"/>
  <c r="Z18" i="546"/>
  <c r="V19" i="546"/>
  <c r="W19" i="546"/>
  <c r="Z19" i="546"/>
  <c r="V20" i="546"/>
  <c r="W20" i="546"/>
  <c r="Z20" i="546"/>
  <c r="V21" i="546"/>
  <c r="W21" i="546"/>
  <c r="Z21" i="546"/>
  <c r="V22" i="546"/>
  <c r="W22" i="546"/>
  <c r="Z22" i="546"/>
  <c r="V23" i="546"/>
  <c r="W23" i="546"/>
  <c r="Z23" i="546"/>
  <c r="V24" i="546"/>
  <c r="W24" i="546"/>
  <c r="Z24" i="546"/>
  <c r="V25" i="546"/>
  <c r="W25" i="546"/>
  <c r="Z25" i="546"/>
  <c r="V26" i="546"/>
  <c r="W26" i="546"/>
  <c r="Z26" i="546"/>
  <c r="V27" i="546"/>
  <c r="W27" i="546"/>
  <c r="Z27" i="546"/>
  <c r="V28" i="546"/>
  <c r="W28" i="546"/>
  <c r="Z28" i="546"/>
  <c r="V29" i="546"/>
  <c r="W29" i="546"/>
  <c r="Z29" i="546"/>
  <c r="V30" i="546"/>
  <c r="W30" i="546"/>
  <c r="Z30" i="546"/>
  <c r="V31" i="546"/>
  <c r="W31" i="546"/>
  <c r="Z31" i="546"/>
  <c r="V32" i="546"/>
  <c r="W32" i="546"/>
  <c r="Z32" i="546"/>
  <c r="V33" i="546"/>
  <c r="W33" i="546"/>
  <c r="Z33" i="546"/>
  <c r="V34" i="546"/>
  <c r="W34" i="546"/>
  <c r="Z34" i="546"/>
  <c r="V35" i="546"/>
  <c r="W35" i="546"/>
  <c r="Z35" i="546"/>
  <c r="V36" i="546"/>
  <c r="W36" i="546"/>
  <c r="Z36" i="546"/>
  <c r="V37" i="546"/>
  <c r="W37" i="546"/>
  <c r="Z37" i="546"/>
  <c r="V38" i="546"/>
  <c r="W38" i="546"/>
  <c r="Z38" i="546"/>
  <c r="V39" i="546"/>
  <c r="W39" i="546"/>
  <c r="Z39" i="546"/>
  <c r="V40" i="546"/>
  <c r="W40" i="546"/>
  <c r="Z40" i="546"/>
  <c r="V41" i="546"/>
  <c r="W41" i="546"/>
  <c r="Z41" i="546"/>
  <c r="V42" i="546"/>
  <c r="W42" i="546"/>
  <c r="Z42" i="546"/>
  <c r="V43" i="546"/>
  <c r="W43" i="546"/>
  <c r="Z43" i="546"/>
  <c r="V44" i="546"/>
  <c r="W44" i="546"/>
  <c r="Z44" i="546"/>
  <c r="V45" i="546"/>
  <c r="W45" i="546"/>
  <c r="Z45" i="546"/>
  <c r="V46" i="546"/>
  <c r="W46" i="546"/>
  <c r="Z46" i="546"/>
  <c r="V47" i="546"/>
  <c r="W47" i="546"/>
  <c r="Z47" i="546"/>
  <c r="V48" i="546"/>
  <c r="W48" i="546"/>
  <c r="Z48" i="546"/>
  <c r="V49" i="546"/>
  <c r="W49" i="546"/>
  <c r="Z49" i="546"/>
  <c r="V50" i="546"/>
  <c r="W50" i="546"/>
  <c r="Z50" i="546"/>
  <c r="V51" i="546"/>
  <c r="W51" i="546"/>
  <c r="Z51" i="546"/>
  <c r="V52" i="546"/>
  <c r="W52" i="546"/>
  <c r="Z52" i="546"/>
  <c r="V53" i="546"/>
  <c r="W53" i="546"/>
  <c r="Z53" i="546"/>
  <c r="V54" i="546"/>
  <c r="W54" i="546"/>
  <c r="Z54" i="546"/>
  <c r="V55" i="546"/>
  <c r="W55" i="546"/>
  <c r="Z55" i="546"/>
  <c r="V56" i="546"/>
  <c r="W56" i="546"/>
  <c r="Z56" i="546"/>
  <c r="V57" i="546"/>
  <c r="W57" i="546"/>
  <c r="Z57" i="546"/>
  <c r="V58" i="546"/>
  <c r="W58" i="546"/>
  <c r="Z58" i="546"/>
  <c r="V59" i="546"/>
  <c r="W59" i="546"/>
  <c r="Z59" i="546"/>
  <c r="V60" i="546"/>
  <c r="W60" i="546"/>
  <c r="Z60" i="546"/>
  <c r="V61" i="546"/>
  <c r="W61" i="546"/>
  <c r="Z61" i="546"/>
  <c r="V62" i="546"/>
  <c r="W62" i="546"/>
  <c r="Z62" i="546"/>
  <c r="V63" i="546"/>
  <c r="W63" i="546"/>
  <c r="Z63" i="546"/>
  <c r="V64" i="546"/>
  <c r="W64" i="546"/>
  <c r="Z64" i="546"/>
  <c r="V65" i="546"/>
  <c r="W65" i="546"/>
  <c r="Z65" i="546"/>
  <c r="V66" i="546"/>
  <c r="W66" i="546"/>
  <c r="Z66" i="546"/>
  <c r="V67" i="546"/>
  <c r="W67" i="546"/>
  <c r="Z67" i="546"/>
  <c r="V68" i="546"/>
  <c r="W68" i="546"/>
  <c r="Z68" i="546"/>
  <c r="V69" i="546"/>
  <c r="W69" i="546"/>
  <c r="Z69" i="546"/>
  <c r="V70" i="546"/>
  <c r="W70" i="546"/>
  <c r="Z70" i="546"/>
  <c r="V71" i="546"/>
  <c r="W71" i="546"/>
  <c r="Z71" i="546"/>
  <c r="V72" i="546"/>
  <c r="W72" i="546"/>
  <c r="Z72" i="546"/>
  <c r="V73" i="546"/>
  <c r="W73" i="546"/>
  <c r="Z73" i="546"/>
  <c r="V74" i="546"/>
  <c r="W74" i="546"/>
  <c r="Z74" i="546"/>
  <c r="V75" i="546"/>
  <c r="W75" i="546"/>
  <c r="Z75" i="546"/>
  <c r="V76" i="546"/>
  <c r="W76" i="546"/>
  <c r="Z76" i="546"/>
  <c r="K28" i="15" l="1"/>
  <c r="K15" i="15"/>
  <c r="K14" i="15"/>
  <c r="K21" i="15"/>
  <c r="K13" i="15"/>
  <c r="L7" i="15"/>
  <c r="K12" i="15"/>
  <c r="K5" i="15"/>
  <c r="K6" i="15"/>
  <c r="K4" i="15"/>
  <c r="K11" i="15"/>
  <c r="K3" i="15"/>
  <c r="J6" i="15"/>
  <c r="J28" i="15"/>
  <c r="J13" i="15"/>
  <c r="J15" i="15"/>
  <c r="J14" i="15"/>
  <c r="J12" i="15"/>
  <c r="J21" i="15"/>
  <c r="J29" i="15"/>
  <c r="J5" i="15"/>
  <c r="J4" i="15"/>
  <c r="J3" i="15"/>
  <c r="J11" i="15"/>
  <c r="V2" i="541"/>
  <c r="W2" i="541"/>
  <c r="X2" i="541"/>
  <c r="Z2" i="541"/>
  <c r="V3" i="541"/>
  <c r="W3" i="541"/>
  <c r="X3" i="541"/>
  <c r="Z3" i="541"/>
  <c r="V4" i="541"/>
  <c r="W4" i="541"/>
  <c r="X4" i="541"/>
  <c r="Z4" i="541"/>
  <c r="V5" i="541"/>
  <c r="W5" i="541"/>
  <c r="X5" i="541"/>
  <c r="Z5" i="541"/>
  <c r="V6" i="541"/>
  <c r="W6" i="541"/>
  <c r="X6" i="541"/>
  <c r="Z6" i="541"/>
  <c r="V7" i="541"/>
  <c r="W7" i="541"/>
  <c r="X7" i="541"/>
  <c r="Z7" i="541"/>
  <c r="V8" i="541"/>
  <c r="W8" i="541"/>
  <c r="X8" i="541"/>
  <c r="Z8" i="541"/>
  <c r="V9" i="541"/>
  <c r="W9" i="541"/>
  <c r="X9" i="541"/>
  <c r="Z9" i="541"/>
  <c r="V10" i="541"/>
  <c r="W10" i="541"/>
  <c r="X10" i="541"/>
  <c r="Z10" i="541"/>
  <c r="V11" i="541"/>
  <c r="W11" i="541"/>
  <c r="X11" i="541"/>
  <c r="Z11" i="541"/>
  <c r="V12" i="541"/>
  <c r="W12" i="541"/>
  <c r="X12" i="541"/>
  <c r="Z12" i="541"/>
  <c r="V13" i="541"/>
  <c r="W13" i="541"/>
  <c r="X13" i="541"/>
  <c r="Z13" i="541"/>
  <c r="V14" i="541"/>
  <c r="W14" i="541"/>
  <c r="X14" i="541"/>
  <c r="Z14" i="541"/>
  <c r="V15" i="541"/>
  <c r="W15" i="541"/>
  <c r="X15" i="541"/>
  <c r="Z15" i="541"/>
  <c r="V16" i="541"/>
  <c r="W16" i="541"/>
  <c r="X16" i="541"/>
  <c r="Z16" i="541"/>
  <c r="V17" i="541"/>
  <c r="W17" i="541"/>
  <c r="X17" i="541"/>
  <c r="Z17" i="541"/>
  <c r="V18" i="541"/>
  <c r="W18" i="541"/>
  <c r="X18" i="541"/>
  <c r="Z18" i="541"/>
  <c r="V19" i="541"/>
  <c r="W19" i="541"/>
  <c r="X19" i="541"/>
  <c r="Z19" i="541"/>
  <c r="V20" i="541"/>
  <c r="W20" i="541"/>
  <c r="X20" i="541"/>
  <c r="Z20" i="541"/>
  <c r="V21" i="541"/>
  <c r="W21" i="541"/>
  <c r="X21" i="541"/>
  <c r="Z21" i="541"/>
  <c r="V22" i="541"/>
  <c r="W22" i="541"/>
  <c r="X22" i="541"/>
  <c r="Z22" i="541"/>
  <c r="V23" i="541"/>
  <c r="W23" i="541"/>
  <c r="X23" i="541"/>
  <c r="Z23" i="541"/>
  <c r="V24" i="541"/>
  <c r="W24" i="541"/>
  <c r="X24" i="541"/>
  <c r="Z24" i="541"/>
  <c r="V25" i="541"/>
  <c r="W25" i="541"/>
  <c r="X25" i="541"/>
  <c r="Z25" i="541"/>
  <c r="V26" i="541"/>
  <c r="W26" i="541"/>
  <c r="X26" i="541"/>
  <c r="Z26" i="541"/>
  <c r="V27" i="541"/>
  <c r="W27" i="541"/>
  <c r="X27" i="541"/>
  <c r="Z27" i="541"/>
  <c r="V28" i="541"/>
  <c r="W28" i="541"/>
  <c r="X28" i="541"/>
  <c r="Z28" i="541"/>
  <c r="V29" i="541"/>
  <c r="W29" i="541"/>
  <c r="X29" i="541"/>
  <c r="Z29" i="541"/>
  <c r="V30" i="541"/>
  <c r="W30" i="541"/>
  <c r="X30" i="541"/>
  <c r="Z30" i="541"/>
  <c r="V31" i="541"/>
  <c r="W31" i="541"/>
  <c r="X31" i="541"/>
  <c r="Z31" i="541"/>
  <c r="V32" i="541"/>
  <c r="W32" i="541"/>
  <c r="X32" i="541"/>
  <c r="Z32" i="541"/>
  <c r="V33" i="541"/>
  <c r="W33" i="541"/>
  <c r="X33" i="541"/>
  <c r="Z33" i="541"/>
  <c r="V34" i="541"/>
  <c r="W34" i="541"/>
  <c r="X34" i="541"/>
  <c r="Z34" i="541"/>
  <c r="V35" i="541"/>
  <c r="W35" i="541"/>
  <c r="X35" i="541"/>
  <c r="Z35" i="541"/>
  <c r="V36" i="541"/>
  <c r="W36" i="541"/>
  <c r="X36" i="541"/>
  <c r="Z36" i="541"/>
  <c r="V37" i="541"/>
  <c r="W37" i="541"/>
  <c r="X37" i="541"/>
  <c r="Z37" i="541"/>
  <c r="V38" i="541"/>
  <c r="W38" i="541"/>
  <c r="X38" i="541"/>
  <c r="Z38" i="541"/>
  <c r="V39" i="541"/>
  <c r="W39" i="541"/>
  <c r="X39" i="541"/>
  <c r="Z39" i="541"/>
  <c r="V40" i="541"/>
  <c r="W40" i="541"/>
  <c r="X40" i="541"/>
  <c r="Z40" i="541"/>
  <c r="V41" i="541"/>
  <c r="W41" i="541"/>
  <c r="X41" i="541"/>
  <c r="Z41" i="541"/>
  <c r="V42" i="541"/>
  <c r="W42" i="541"/>
  <c r="X42" i="541"/>
  <c r="Z42" i="541"/>
  <c r="V43" i="541"/>
  <c r="W43" i="541"/>
  <c r="X43" i="541"/>
  <c r="Z43" i="541"/>
  <c r="V44" i="541"/>
  <c r="W44" i="541"/>
  <c r="X44" i="541"/>
  <c r="Z44" i="541"/>
  <c r="V45" i="541"/>
  <c r="W45" i="541"/>
  <c r="X45" i="541"/>
  <c r="Z45" i="541"/>
  <c r="V46" i="541"/>
  <c r="W46" i="541"/>
  <c r="X46" i="541"/>
  <c r="Z46" i="541"/>
  <c r="V47" i="541"/>
  <c r="W47" i="541"/>
  <c r="X47" i="541"/>
  <c r="Z47" i="541"/>
  <c r="V48" i="541"/>
  <c r="W48" i="541"/>
  <c r="X48" i="541"/>
  <c r="Z48" i="541"/>
  <c r="V49" i="541"/>
  <c r="W49" i="541"/>
  <c r="X49" i="541"/>
  <c r="Z49" i="541"/>
  <c r="V50" i="541"/>
  <c r="W50" i="541"/>
  <c r="X50" i="541"/>
  <c r="Z50" i="541"/>
  <c r="V51" i="541"/>
  <c r="W51" i="541"/>
  <c r="X51" i="541"/>
  <c r="Z51" i="541"/>
  <c r="V52" i="541"/>
  <c r="W52" i="541"/>
  <c r="X52" i="541"/>
  <c r="Z52" i="541"/>
  <c r="V53" i="541"/>
  <c r="W53" i="541"/>
  <c r="X53" i="541"/>
  <c r="Z53" i="541"/>
  <c r="V54" i="541"/>
  <c r="W54" i="541"/>
  <c r="X54" i="541"/>
  <c r="Z54" i="541"/>
  <c r="V55" i="541"/>
  <c r="W55" i="541"/>
  <c r="X55" i="541"/>
  <c r="Z55" i="541"/>
  <c r="V56" i="541"/>
  <c r="W56" i="541"/>
  <c r="X56" i="541"/>
  <c r="Z56" i="541"/>
  <c r="V57" i="541"/>
  <c r="W57" i="541"/>
  <c r="X57" i="541"/>
  <c r="Z57" i="541"/>
  <c r="V58" i="541"/>
  <c r="W58" i="541"/>
  <c r="X58" i="541"/>
  <c r="Z58" i="541"/>
  <c r="V59" i="541"/>
  <c r="W59" i="541"/>
  <c r="X59" i="541"/>
  <c r="Z59" i="541"/>
  <c r="V60" i="541"/>
  <c r="W60" i="541"/>
  <c r="X60" i="541"/>
  <c r="Z60" i="541"/>
  <c r="V61" i="541"/>
  <c r="W61" i="541"/>
  <c r="X61" i="541"/>
  <c r="Z61" i="541"/>
  <c r="V62" i="541"/>
  <c r="W62" i="541"/>
  <c r="X62" i="541"/>
  <c r="Z62" i="541"/>
  <c r="V63" i="541"/>
  <c r="W63" i="541"/>
  <c r="X63" i="541"/>
  <c r="Z63" i="541"/>
  <c r="V64" i="541"/>
  <c r="W64" i="541"/>
  <c r="X64" i="541"/>
  <c r="Z64" i="541"/>
  <c r="V65" i="541"/>
  <c r="W65" i="541"/>
  <c r="X65" i="541"/>
  <c r="Z65" i="541"/>
  <c r="V66" i="541"/>
  <c r="W66" i="541"/>
  <c r="X66" i="541"/>
  <c r="Z66" i="541"/>
  <c r="V67" i="541"/>
  <c r="W67" i="541"/>
  <c r="X67" i="541"/>
  <c r="Z67" i="541"/>
  <c r="V68" i="541"/>
  <c r="W68" i="541"/>
  <c r="X68" i="541"/>
  <c r="Z68" i="541"/>
  <c r="V69" i="541"/>
  <c r="W69" i="541"/>
  <c r="X69" i="541"/>
  <c r="Z69" i="541"/>
  <c r="V70" i="541"/>
  <c r="W70" i="541"/>
  <c r="X70" i="541"/>
  <c r="Z70" i="541"/>
  <c r="V71" i="541"/>
  <c r="W71" i="541"/>
  <c r="X71" i="541"/>
  <c r="Z71" i="541"/>
  <c r="V72" i="541"/>
  <c r="W72" i="541"/>
  <c r="X72" i="541"/>
  <c r="Z72" i="541"/>
  <c r="V73" i="541"/>
  <c r="W73" i="541"/>
  <c r="X73" i="541"/>
  <c r="Z73" i="541"/>
  <c r="V74" i="541"/>
  <c r="W74" i="541"/>
  <c r="X74" i="541"/>
  <c r="Z74" i="541"/>
  <c r="I2" i="541"/>
  <c r="Y2" i="541" s="1"/>
  <c r="I3" i="541"/>
  <c r="Y3" i="541" s="1"/>
  <c r="I4" i="541"/>
  <c r="Y4" i="541" s="1"/>
  <c r="I5" i="541"/>
  <c r="Y5" i="541" s="1"/>
  <c r="I6" i="541"/>
  <c r="Y6" i="541" s="1"/>
  <c r="I7" i="541"/>
  <c r="Y7" i="541" s="1"/>
  <c r="I8" i="541"/>
  <c r="Y8" i="541" s="1"/>
  <c r="I9" i="541"/>
  <c r="Y9" i="541" s="1"/>
  <c r="I10" i="541"/>
  <c r="Y10" i="541" s="1"/>
  <c r="I11" i="541"/>
  <c r="Y11" i="541" s="1"/>
  <c r="I12" i="541"/>
  <c r="Y12" i="541" s="1"/>
  <c r="I13" i="541"/>
  <c r="Y13" i="541" s="1"/>
  <c r="I14" i="541"/>
  <c r="Y14" i="541" s="1"/>
  <c r="I15" i="541"/>
  <c r="Y15" i="541" s="1"/>
  <c r="I16" i="541"/>
  <c r="Y16" i="541" s="1"/>
  <c r="I17" i="541"/>
  <c r="Y17" i="541" s="1"/>
  <c r="I18" i="541"/>
  <c r="Y18" i="541" s="1"/>
  <c r="I19" i="541"/>
  <c r="Y19" i="541" s="1"/>
  <c r="I20" i="541"/>
  <c r="Y20" i="541" s="1"/>
  <c r="I21" i="541"/>
  <c r="Y21" i="541" s="1"/>
  <c r="I22" i="541"/>
  <c r="Y22" i="541" s="1"/>
  <c r="I23" i="541"/>
  <c r="Y23" i="541" s="1"/>
  <c r="I24" i="541"/>
  <c r="Y24" i="541" s="1"/>
  <c r="I25" i="541"/>
  <c r="Y25" i="541" s="1"/>
  <c r="I26" i="541"/>
  <c r="Y26" i="541" s="1"/>
  <c r="I27" i="541"/>
  <c r="Y27" i="541" s="1"/>
  <c r="I28" i="541"/>
  <c r="Y28" i="541" s="1"/>
  <c r="I29" i="541"/>
  <c r="Y29" i="541" s="1"/>
  <c r="I30" i="541"/>
  <c r="Y30" i="541" s="1"/>
  <c r="I31" i="541"/>
  <c r="Y31" i="541" s="1"/>
  <c r="I32" i="541"/>
  <c r="Y32" i="541" s="1"/>
  <c r="I33" i="541"/>
  <c r="Y33" i="541" s="1"/>
  <c r="I34" i="541"/>
  <c r="Y34" i="541" s="1"/>
  <c r="I35" i="541"/>
  <c r="Y35" i="541" s="1"/>
  <c r="I36" i="541"/>
  <c r="Y36" i="541" s="1"/>
  <c r="I37" i="541"/>
  <c r="Y37" i="541" s="1"/>
  <c r="I38" i="541"/>
  <c r="Y38" i="541" s="1"/>
  <c r="I39" i="541"/>
  <c r="Y39" i="541" s="1"/>
  <c r="I40" i="541"/>
  <c r="Y40" i="541" s="1"/>
  <c r="I41" i="541"/>
  <c r="Y41" i="541" s="1"/>
  <c r="I42" i="541"/>
  <c r="Y42" i="541" s="1"/>
  <c r="I43" i="541"/>
  <c r="Y43" i="541" s="1"/>
  <c r="I44" i="541"/>
  <c r="Y44" i="541" s="1"/>
  <c r="I45" i="541"/>
  <c r="Y45" i="541" s="1"/>
  <c r="I46" i="541"/>
  <c r="Y46" i="541" s="1"/>
  <c r="I47" i="541"/>
  <c r="Y47" i="541" s="1"/>
  <c r="I48" i="541"/>
  <c r="Y48" i="541" s="1"/>
  <c r="I49" i="541"/>
  <c r="Y49" i="541" s="1"/>
  <c r="I50" i="541"/>
  <c r="Y50" i="541" s="1"/>
  <c r="I51" i="541"/>
  <c r="Y51" i="541" s="1"/>
  <c r="I52" i="541"/>
  <c r="Y52" i="541" s="1"/>
  <c r="I53" i="541"/>
  <c r="Y53" i="541" s="1"/>
  <c r="I54" i="541"/>
  <c r="Y54" i="541" s="1"/>
  <c r="I55" i="541"/>
  <c r="Y55" i="541" s="1"/>
  <c r="I56" i="541"/>
  <c r="Y56" i="541" s="1"/>
  <c r="I57" i="541"/>
  <c r="Y57" i="541" s="1"/>
  <c r="I58" i="541"/>
  <c r="Y58" i="541" s="1"/>
  <c r="I59" i="541"/>
  <c r="Y59" i="541" s="1"/>
  <c r="I60" i="541"/>
  <c r="Y60" i="541" s="1"/>
  <c r="I61" i="541"/>
  <c r="Y61" i="541" s="1"/>
  <c r="I62" i="541"/>
  <c r="Y62" i="541" s="1"/>
  <c r="I63" i="541"/>
  <c r="Y63" i="541" s="1"/>
  <c r="I64" i="541"/>
  <c r="Y64" i="541" s="1"/>
  <c r="I65" i="541"/>
  <c r="Y65" i="541" s="1"/>
  <c r="I66" i="541"/>
  <c r="Y66" i="541" s="1"/>
  <c r="I67" i="541"/>
  <c r="Y67" i="541" s="1"/>
  <c r="I68" i="541"/>
  <c r="Y68" i="541" s="1"/>
  <c r="I69" i="541"/>
  <c r="Y69" i="541" s="1"/>
  <c r="I70" i="541"/>
  <c r="Y70" i="541" s="1"/>
  <c r="I71" i="541"/>
  <c r="Y71" i="541" s="1"/>
  <c r="I72" i="541"/>
  <c r="Y72" i="541" s="1"/>
  <c r="I73" i="541"/>
  <c r="Y73" i="541" s="1"/>
  <c r="I74" i="541"/>
  <c r="Y74" i="541" s="1"/>
  <c r="I2" i="539"/>
  <c r="I3" i="539"/>
  <c r="I4" i="539"/>
  <c r="I5" i="539"/>
  <c r="I6" i="539"/>
  <c r="I7" i="539"/>
  <c r="I8" i="539"/>
  <c r="I9" i="539"/>
  <c r="I10" i="539"/>
  <c r="I11" i="539"/>
  <c r="I12" i="539"/>
  <c r="I13" i="539"/>
  <c r="I14" i="539"/>
  <c r="I15" i="539"/>
  <c r="I16" i="539"/>
  <c r="I17" i="539"/>
  <c r="I18" i="539"/>
  <c r="I19" i="539"/>
  <c r="I20" i="539"/>
  <c r="I21" i="539"/>
  <c r="I22" i="539"/>
  <c r="I23" i="539"/>
  <c r="I24" i="539"/>
  <c r="I25" i="539"/>
  <c r="I26" i="539"/>
  <c r="I27" i="539"/>
  <c r="I28" i="539"/>
  <c r="I29" i="539"/>
  <c r="I30" i="539"/>
  <c r="I31" i="539"/>
  <c r="I32" i="539"/>
  <c r="I33" i="539"/>
  <c r="I34" i="539"/>
  <c r="I35" i="539"/>
  <c r="I36" i="539"/>
  <c r="I37" i="539"/>
  <c r="I38" i="539"/>
  <c r="I39" i="539"/>
  <c r="I40" i="539"/>
  <c r="I41" i="539"/>
  <c r="I42" i="539"/>
  <c r="I43" i="539"/>
  <c r="I44" i="539"/>
  <c r="I45" i="539"/>
  <c r="I46" i="539"/>
  <c r="I47" i="539"/>
  <c r="I48" i="539"/>
  <c r="I49" i="539"/>
  <c r="I50" i="539"/>
  <c r="I51" i="539"/>
  <c r="I52" i="539"/>
  <c r="I53" i="539"/>
  <c r="I54" i="539"/>
  <c r="I55" i="539"/>
  <c r="I56" i="539"/>
  <c r="I57" i="539"/>
  <c r="I58" i="539"/>
  <c r="I59" i="539"/>
  <c r="I60" i="539"/>
  <c r="I61" i="539"/>
  <c r="I62" i="539"/>
  <c r="I63" i="539"/>
  <c r="I64" i="539"/>
  <c r="I65" i="539"/>
  <c r="I66" i="539"/>
  <c r="I67" i="539"/>
  <c r="I68" i="539"/>
  <c r="I69" i="539"/>
  <c r="I70" i="539"/>
  <c r="I71" i="539"/>
  <c r="I72" i="539"/>
  <c r="I73" i="539"/>
  <c r="I74" i="539"/>
  <c r="I75" i="539"/>
  <c r="I76" i="539"/>
  <c r="I77" i="539"/>
  <c r="K7" i="15" l="1"/>
  <c r="J7" i="15"/>
  <c r="I13" i="15"/>
  <c r="I28" i="15"/>
  <c r="I21" i="15"/>
  <c r="I14" i="15"/>
  <c r="I15" i="15"/>
  <c r="I29" i="15"/>
  <c r="I12" i="15"/>
  <c r="I11" i="15"/>
  <c r="I6" i="15"/>
  <c r="I5" i="15"/>
  <c r="I4" i="15"/>
  <c r="I3" i="15"/>
  <c r="I3" i="535"/>
  <c r="I4" i="535"/>
  <c r="I5" i="535"/>
  <c r="I6" i="535"/>
  <c r="I7" i="535"/>
  <c r="I8" i="535"/>
  <c r="I9" i="535"/>
  <c r="I10" i="535"/>
  <c r="I11" i="535"/>
  <c r="I12" i="535"/>
  <c r="I13" i="535"/>
  <c r="I14" i="535"/>
  <c r="I15" i="535"/>
  <c r="I16" i="535"/>
  <c r="I17" i="535"/>
  <c r="I18" i="535"/>
  <c r="I19" i="535"/>
  <c r="I20" i="535"/>
  <c r="I21" i="535"/>
  <c r="I22" i="535"/>
  <c r="I23" i="535"/>
  <c r="I24" i="535"/>
  <c r="I25" i="535"/>
  <c r="I26" i="535"/>
  <c r="I27" i="535"/>
  <c r="I28" i="535"/>
  <c r="I29" i="535"/>
  <c r="I30" i="535"/>
  <c r="I31" i="535"/>
  <c r="I32" i="535"/>
  <c r="I33" i="535"/>
  <c r="I34" i="535"/>
  <c r="I35" i="535"/>
  <c r="I36" i="535"/>
  <c r="I37" i="535"/>
  <c r="I38" i="535"/>
  <c r="I39" i="535"/>
  <c r="I40" i="535"/>
  <c r="I41" i="535"/>
  <c r="I42" i="535"/>
  <c r="I43" i="535"/>
  <c r="I44" i="535"/>
  <c r="I45" i="535"/>
  <c r="I46" i="535"/>
  <c r="I47" i="535"/>
  <c r="I48" i="535"/>
  <c r="I49" i="535"/>
  <c r="I50" i="535"/>
  <c r="I51" i="535"/>
  <c r="I52" i="535"/>
  <c r="I53" i="535"/>
  <c r="I54" i="535"/>
  <c r="I55" i="535"/>
  <c r="I56" i="535"/>
  <c r="I57" i="535"/>
  <c r="I58" i="535"/>
  <c r="I59" i="535"/>
  <c r="I60" i="535"/>
  <c r="I61" i="535"/>
  <c r="I62" i="535"/>
  <c r="I63" i="535"/>
  <c r="I64" i="535"/>
  <c r="I65" i="535"/>
  <c r="I66" i="535"/>
  <c r="V2" i="539"/>
  <c r="W2" i="539"/>
  <c r="X2" i="539"/>
  <c r="Y2" i="539"/>
  <c r="Z2" i="539"/>
  <c r="V3" i="539"/>
  <c r="W3" i="539"/>
  <c r="X3" i="539"/>
  <c r="Y3" i="539"/>
  <c r="Z3" i="539"/>
  <c r="V4" i="539"/>
  <c r="W4" i="539"/>
  <c r="X4" i="539"/>
  <c r="Y4" i="539"/>
  <c r="Z4" i="539"/>
  <c r="V5" i="539"/>
  <c r="W5" i="539"/>
  <c r="X5" i="539"/>
  <c r="Y5" i="539"/>
  <c r="Z5" i="539"/>
  <c r="V6" i="539"/>
  <c r="W6" i="539"/>
  <c r="X6" i="539"/>
  <c r="Y6" i="539"/>
  <c r="Z6" i="539"/>
  <c r="V7" i="539"/>
  <c r="W7" i="539"/>
  <c r="X7" i="539"/>
  <c r="Y7" i="539"/>
  <c r="Z7" i="539"/>
  <c r="V8" i="539"/>
  <c r="W8" i="539"/>
  <c r="X8" i="539"/>
  <c r="Y8" i="539"/>
  <c r="Z8" i="539"/>
  <c r="V9" i="539"/>
  <c r="W9" i="539"/>
  <c r="X9" i="539"/>
  <c r="Y9" i="539"/>
  <c r="Z9" i="539"/>
  <c r="V10" i="539"/>
  <c r="W10" i="539"/>
  <c r="X10" i="539"/>
  <c r="Y10" i="539"/>
  <c r="Z10" i="539"/>
  <c r="V11" i="539"/>
  <c r="W11" i="539"/>
  <c r="X11" i="539"/>
  <c r="Y11" i="539"/>
  <c r="Z11" i="539"/>
  <c r="V12" i="539"/>
  <c r="W12" i="539"/>
  <c r="X12" i="539"/>
  <c r="Y12" i="539"/>
  <c r="Z12" i="539"/>
  <c r="V13" i="539"/>
  <c r="W13" i="539"/>
  <c r="X13" i="539"/>
  <c r="Y13" i="539"/>
  <c r="Z13" i="539"/>
  <c r="V14" i="539"/>
  <c r="W14" i="539"/>
  <c r="X14" i="539"/>
  <c r="Y14" i="539"/>
  <c r="Z14" i="539"/>
  <c r="V15" i="539"/>
  <c r="W15" i="539"/>
  <c r="X15" i="539"/>
  <c r="Y15" i="539"/>
  <c r="Z15" i="539"/>
  <c r="V16" i="539"/>
  <c r="W16" i="539"/>
  <c r="X16" i="539"/>
  <c r="Y16" i="539"/>
  <c r="Z16" i="539"/>
  <c r="V17" i="539"/>
  <c r="W17" i="539"/>
  <c r="X17" i="539"/>
  <c r="Y17" i="539"/>
  <c r="Z17" i="539"/>
  <c r="V18" i="539"/>
  <c r="W18" i="539"/>
  <c r="X18" i="539"/>
  <c r="Y18" i="539"/>
  <c r="Z18" i="539"/>
  <c r="V19" i="539"/>
  <c r="W19" i="539"/>
  <c r="X19" i="539"/>
  <c r="Y19" i="539"/>
  <c r="Z19" i="539"/>
  <c r="V20" i="539"/>
  <c r="W20" i="539"/>
  <c r="X20" i="539"/>
  <c r="Y20" i="539"/>
  <c r="Z20" i="539"/>
  <c r="V21" i="539"/>
  <c r="W21" i="539"/>
  <c r="X21" i="539"/>
  <c r="Y21" i="539"/>
  <c r="Z21" i="539"/>
  <c r="V22" i="539"/>
  <c r="W22" i="539"/>
  <c r="X22" i="539"/>
  <c r="Y22" i="539"/>
  <c r="Z22" i="539"/>
  <c r="V23" i="539"/>
  <c r="W23" i="539"/>
  <c r="X23" i="539"/>
  <c r="Y23" i="539"/>
  <c r="Z23" i="539"/>
  <c r="V24" i="539"/>
  <c r="W24" i="539"/>
  <c r="X24" i="539"/>
  <c r="Y24" i="539"/>
  <c r="Z24" i="539"/>
  <c r="V25" i="539"/>
  <c r="W25" i="539"/>
  <c r="X25" i="539"/>
  <c r="Y25" i="539"/>
  <c r="Z25" i="539"/>
  <c r="V26" i="539"/>
  <c r="W26" i="539"/>
  <c r="X26" i="539"/>
  <c r="Y26" i="539"/>
  <c r="Z26" i="539"/>
  <c r="V27" i="539"/>
  <c r="W27" i="539"/>
  <c r="X27" i="539"/>
  <c r="Y27" i="539"/>
  <c r="Z27" i="539"/>
  <c r="V28" i="539"/>
  <c r="W28" i="539"/>
  <c r="X28" i="539"/>
  <c r="Y28" i="539"/>
  <c r="Z28" i="539"/>
  <c r="V29" i="539"/>
  <c r="W29" i="539"/>
  <c r="X29" i="539"/>
  <c r="Y29" i="539"/>
  <c r="Z29" i="539"/>
  <c r="V30" i="539"/>
  <c r="W30" i="539"/>
  <c r="X30" i="539"/>
  <c r="Y30" i="539"/>
  <c r="Z30" i="539"/>
  <c r="V31" i="539"/>
  <c r="W31" i="539"/>
  <c r="X31" i="539"/>
  <c r="Y31" i="539"/>
  <c r="Z31" i="539"/>
  <c r="V32" i="539"/>
  <c r="W32" i="539"/>
  <c r="X32" i="539"/>
  <c r="Y32" i="539"/>
  <c r="Z32" i="539"/>
  <c r="V33" i="539"/>
  <c r="W33" i="539"/>
  <c r="X33" i="539"/>
  <c r="Y33" i="539"/>
  <c r="Z33" i="539"/>
  <c r="V34" i="539"/>
  <c r="W34" i="539"/>
  <c r="X34" i="539"/>
  <c r="Y34" i="539"/>
  <c r="Z34" i="539"/>
  <c r="V35" i="539"/>
  <c r="W35" i="539"/>
  <c r="X35" i="539"/>
  <c r="Y35" i="539"/>
  <c r="Z35" i="539"/>
  <c r="V36" i="539"/>
  <c r="W36" i="539"/>
  <c r="X36" i="539"/>
  <c r="Y36" i="539"/>
  <c r="Z36" i="539"/>
  <c r="V37" i="539"/>
  <c r="W37" i="539"/>
  <c r="X37" i="539"/>
  <c r="Y37" i="539"/>
  <c r="Z37" i="539"/>
  <c r="V38" i="539"/>
  <c r="W38" i="539"/>
  <c r="X38" i="539"/>
  <c r="Y38" i="539"/>
  <c r="Z38" i="539"/>
  <c r="V39" i="539"/>
  <c r="W39" i="539"/>
  <c r="X39" i="539"/>
  <c r="Y39" i="539"/>
  <c r="Z39" i="539"/>
  <c r="V40" i="539"/>
  <c r="W40" i="539"/>
  <c r="X40" i="539"/>
  <c r="Y40" i="539"/>
  <c r="Z40" i="539"/>
  <c r="V41" i="539"/>
  <c r="W41" i="539"/>
  <c r="X41" i="539"/>
  <c r="Y41" i="539"/>
  <c r="Z41" i="539"/>
  <c r="V42" i="539"/>
  <c r="W42" i="539"/>
  <c r="X42" i="539"/>
  <c r="Y42" i="539"/>
  <c r="Z42" i="539"/>
  <c r="V43" i="539"/>
  <c r="W43" i="539"/>
  <c r="X43" i="539"/>
  <c r="Y43" i="539"/>
  <c r="Z43" i="539"/>
  <c r="V44" i="539"/>
  <c r="W44" i="539"/>
  <c r="X44" i="539"/>
  <c r="Y44" i="539"/>
  <c r="Z44" i="539"/>
  <c r="V45" i="539"/>
  <c r="W45" i="539"/>
  <c r="X45" i="539"/>
  <c r="Y45" i="539"/>
  <c r="Z45" i="539"/>
  <c r="V46" i="539"/>
  <c r="W46" i="539"/>
  <c r="X46" i="539"/>
  <c r="Y46" i="539"/>
  <c r="Z46" i="539"/>
  <c r="V47" i="539"/>
  <c r="W47" i="539"/>
  <c r="X47" i="539"/>
  <c r="Y47" i="539"/>
  <c r="Z47" i="539"/>
  <c r="V48" i="539"/>
  <c r="W48" i="539"/>
  <c r="X48" i="539"/>
  <c r="Y48" i="539"/>
  <c r="Z48" i="539"/>
  <c r="V49" i="539"/>
  <c r="W49" i="539"/>
  <c r="X49" i="539"/>
  <c r="Y49" i="539"/>
  <c r="Z49" i="539"/>
  <c r="V50" i="539"/>
  <c r="W50" i="539"/>
  <c r="X50" i="539"/>
  <c r="Y50" i="539"/>
  <c r="Z50" i="539"/>
  <c r="V51" i="539"/>
  <c r="W51" i="539"/>
  <c r="X51" i="539"/>
  <c r="Y51" i="539"/>
  <c r="Z51" i="539"/>
  <c r="V52" i="539"/>
  <c r="W52" i="539"/>
  <c r="X52" i="539"/>
  <c r="Y52" i="539"/>
  <c r="Z52" i="539"/>
  <c r="V53" i="539"/>
  <c r="W53" i="539"/>
  <c r="X53" i="539"/>
  <c r="Y53" i="539"/>
  <c r="Z53" i="539"/>
  <c r="V54" i="539"/>
  <c r="W54" i="539"/>
  <c r="X54" i="539"/>
  <c r="Y54" i="539"/>
  <c r="Z54" i="539"/>
  <c r="V55" i="539"/>
  <c r="W55" i="539"/>
  <c r="X55" i="539"/>
  <c r="Y55" i="539"/>
  <c r="Z55" i="539"/>
  <c r="V56" i="539"/>
  <c r="W56" i="539"/>
  <c r="X56" i="539"/>
  <c r="Y56" i="539"/>
  <c r="Z56" i="539"/>
  <c r="V57" i="539"/>
  <c r="W57" i="539"/>
  <c r="X57" i="539"/>
  <c r="Y57" i="539"/>
  <c r="Z57" i="539"/>
  <c r="V58" i="539"/>
  <c r="W58" i="539"/>
  <c r="X58" i="539"/>
  <c r="Y58" i="539"/>
  <c r="Z58" i="539"/>
  <c r="V59" i="539"/>
  <c r="W59" i="539"/>
  <c r="X59" i="539"/>
  <c r="Y59" i="539"/>
  <c r="Z59" i="539"/>
  <c r="V60" i="539"/>
  <c r="W60" i="539"/>
  <c r="X60" i="539"/>
  <c r="Y60" i="539"/>
  <c r="Z60" i="539"/>
  <c r="V61" i="539"/>
  <c r="W61" i="539"/>
  <c r="X61" i="539"/>
  <c r="Y61" i="539"/>
  <c r="Z61" i="539"/>
  <c r="V62" i="539"/>
  <c r="W62" i="539"/>
  <c r="X62" i="539"/>
  <c r="Y62" i="539"/>
  <c r="Z62" i="539"/>
  <c r="V63" i="539"/>
  <c r="W63" i="539"/>
  <c r="X63" i="539"/>
  <c r="Y63" i="539"/>
  <c r="Z63" i="539"/>
  <c r="V64" i="539"/>
  <c r="W64" i="539"/>
  <c r="X64" i="539"/>
  <c r="Y64" i="539"/>
  <c r="Z64" i="539"/>
  <c r="V65" i="539"/>
  <c r="W65" i="539"/>
  <c r="X65" i="539"/>
  <c r="Y65" i="539"/>
  <c r="Z65" i="539"/>
  <c r="V66" i="539"/>
  <c r="W66" i="539"/>
  <c r="X66" i="539"/>
  <c r="Y66" i="539"/>
  <c r="Z66" i="539"/>
  <c r="V67" i="539"/>
  <c r="W67" i="539"/>
  <c r="X67" i="539"/>
  <c r="Y67" i="539"/>
  <c r="Z67" i="539"/>
  <c r="V68" i="539"/>
  <c r="W68" i="539"/>
  <c r="X68" i="539"/>
  <c r="Y68" i="539"/>
  <c r="Z68" i="539"/>
  <c r="V69" i="539"/>
  <c r="W69" i="539"/>
  <c r="X69" i="539"/>
  <c r="Y69" i="539"/>
  <c r="Z69" i="539"/>
  <c r="V70" i="539"/>
  <c r="W70" i="539"/>
  <c r="X70" i="539"/>
  <c r="Y70" i="539"/>
  <c r="Z70" i="539"/>
  <c r="V71" i="539"/>
  <c r="W71" i="539"/>
  <c r="X71" i="539"/>
  <c r="Y71" i="539"/>
  <c r="Z71" i="539"/>
  <c r="V72" i="539"/>
  <c r="W72" i="539"/>
  <c r="X72" i="539"/>
  <c r="Y72" i="539"/>
  <c r="Z72" i="539"/>
  <c r="V73" i="539"/>
  <c r="W73" i="539"/>
  <c r="X73" i="539"/>
  <c r="Y73" i="539"/>
  <c r="Z73" i="539"/>
  <c r="V74" i="539"/>
  <c r="W74" i="539"/>
  <c r="X74" i="539"/>
  <c r="Y74" i="539"/>
  <c r="Z74" i="539"/>
  <c r="V75" i="539"/>
  <c r="W75" i="539"/>
  <c r="X75" i="539"/>
  <c r="Y75" i="539"/>
  <c r="Z75" i="539"/>
  <c r="V76" i="539"/>
  <c r="W76" i="539"/>
  <c r="X76" i="539"/>
  <c r="Y76" i="539"/>
  <c r="Z76" i="539"/>
  <c r="V77" i="539"/>
  <c r="W77" i="539"/>
  <c r="X77" i="539"/>
  <c r="Y77" i="539"/>
  <c r="Z77" i="539"/>
  <c r="X3" i="535"/>
  <c r="X4" i="535"/>
  <c r="X5" i="535"/>
  <c r="X6" i="535"/>
  <c r="X7" i="535"/>
  <c r="X8" i="535"/>
  <c r="X9" i="535"/>
  <c r="X10" i="535"/>
  <c r="X11" i="535"/>
  <c r="X12" i="535"/>
  <c r="X13" i="535"/>
  <c r="X14" i="535"/>
  <c r="X15" i="535"/>
  <c r="X16" i="535"/>
  <c r="X17" i="535"/>
  <c r="X18" i="535"/>
  <c r="X19" i="535"/>
  <c r="X20" i="535"/>
  <c r="X21" i="535"/>
  <c r="X22" i="535"/>
  <c r="X23" i="535"/>
  <c r="X24" i="535"/>
  <c r="X25" i="535"/>
  <c r="X26" i="535"/>
  <c r="X27" i="535"/>
  <c r="X28" i="535"/>
  <c r="X29" i="535"/>
  <c r="X30" i="535"/>
  <c r="X31" i="535"/>
  <c r="X32" i="535"/>
  <c r="X33" i="535"/>
  <c r="X34" i="535"/>
  <c r="X35" i="535"/>
  <c r="X36" i="535"/>
  <c r="X37" i="535"/>
  <c r="X38" i="535"/>
  <c r="X39" i="535"/>
  <c r="X40" i="535"/>
  <c r="X41" i="535"/>
  <c r="X42" i="535"/>
  <c r="X43" i="535"/>
  <c r="X44" i="535"/>
  <c r="X45" i="535"/>
  <c r="X46" i="535"/>
  <c r="X47" i="535"/>
  <c r="X48" i="535"/>
  <c r="X49" i="535"/>
  <c r="X50" i="535"/>
  <c r="X51" i="535"/>
  <c r="X52" i="535"/>
  <c r="X53" i="535"/>
  <c r="X54" i="535"/>
  <c r="X55" i="535"/>
  <c r="X56" i="535"/>
  <c r="X57" i="535"/>
  <c r="X58" i="535"/>
  <c r="X59" i="535"/>
  <c r="X60" i="535"/>
  <c r="X61" i="535"/>
  <c r="X62" i="535"/>
  <c r="X63" i="535"/>
  <c r="X64" i="535"/>
  <c r="X65" i="535"/>
  <c r="X66" i="535"/>
  <c r="H15" i="15" l="1"/>
  <c r="H28" i="15"/>
  <c r="I7" i="15"/>
  <c r="H29" i="15"/>
  <c r="H21" i="15"/>
  <c r="H14" i="15"/>
  <c r="H6" i="15"/>
  <c r="H4" i="15"/>
  <c r="H5" i="15"/>
  <c r="H3" i="15"/>
  <c r="H13" i="15"/>
  <c r="H12" i="15"/>
  <c r="H11" i="15"/>
  <c r="Y3" i="535"/>
  <c r="Y4" i="535"/>
  <c r="Y5" i="535"/>
  <c r="Y6" i="535"/>
  <c r="Y7" i="535"/>
  <c r="Y8" i="535"/>
  <c r="Y9" i="535"/>
  <c r="Y10" i="535"/>
  <c r="Y11" i="535"/>
  <c r="Y12" i="535"/>
  <c r="Y13" i="535"/>
  <c r="Y14" i="535"/>
  <c r="Y15" i="535"/>
  <c r="Y16" i="535"/>
  <c r="Y17" i="535"/>
  <c r="Y18" i="535"/>
  <c r="Y19" i="535"/>
  <c r="Y20" i="535"/>
  <c r="Y21" i="535"/>
  <c r="Y22" i="535"/>
  <c r="Y23" i="535"/>
  <c r="Y24" i="535"/>
  <c r="Y25" i="535"/>
  <c r="Y26" i="535"/>
  <c r="Y27" i="535"/>
  <c r="Y28" i="535"/>
  <c r="Y29" i="535"/>
  <c r="Y30" i="535"/>
  <c r="Y31" i="535"/>
  <c r="Y32" i="535"/>
  <c r="Y33" i="535"/>
  <c r="Y34" i="535"/>
  <c r="Y35" i="535"/>
  <c r="Y36" i="535"/>
  <c r="Y37" i="535"/>
  <c r="Y38" i="535"/>
  <c r="Y39" i="535"/>
  <c r="Y40" i="535"/>
  <c r="Y41" i="535"/>
  <c r="Y42" i="535"/>
  <c r="Y43" i="535"/>
  <c r="Y44" i="535"/>
  <c r="Y45" i="535"/>
  <c r="Y46" i="535"/>
  <c r="Y47" i="535"/>
  <c r="Y48" i="535"/>
  <c r="Y49" i="535"/>
  <c r="Y50" i="535"/>
  <c r="Y51" i="535"/>
  <c r="Y52" i="535"/>
  <c r="Y53" i="535"/>
  <c r="Y54" i="535"/>
  <c r="Y55" i="535"/>
  <c r="Y56" i="535"/>
  <c r="Y57" i="535"/>
  <c r="Y58" i="535"/>
  <c r="Y59" i="535"/>
  <c r="Y60" i="535"/>
  <c r="Y61" i="535"/>
  <c r="Y62" i="535"/>
  <c r="Y63" i="535"/>
  <c r="Y64" i="535"/>
  <c r="Y65" i="535"/>
  <c r="Y66" i="535"/>
  <c r="I2" i="535"/>
  <c r="Y2" i="535" s="1"/>
  <c r="W24" i="530"/>
  <c r="Z66" i="535"/>
  <c r="W66" i="535"/>
  <c r="V66" i="535"/>
  <c r="Z65" i="535"/>
  <c r="W65" i="535"/>
  <c r="V65" i="535"/>
  <c r="Z64" i="535"/>
  <c r="W64" i="535"/>
  <c r="V64" i="535"/>
  <c r="Z63" i="535"/>
  <c r="W63" i="535"/>
  <c r="V63" i="535"/>
  <c r="Z62" i="535"/>
  <c r="W62" i="535"/>
  <c r="V62" i="535"/>
  <c r="Z61" i="535"/>
  <c r="W61" i="535"/>
  <c r="V61" i="535"/>
  <c r="Z60" i="535"/>
  <c r="W60" i="535"/>
  <c r="V60" i="535"/>
  <c r="Z59" i="535"/>
  <c r="W59" i="535"/>
  <c r="V59" i="535"/>
  <c r="Z58" i="535"/>
  <c r="W58" i="535"/>
  <c r="V58" i="535"/>
  <c r="Z57" i="535"/>
  <c r="W57" i="535"/>
  <c r="V57" i="535"/>
  <c r="Z56" i="535"/>
  <c r="W56" i="535"/>
  <c r="V56" i="535"/>
  <c r="Z55" i="535"/>
  <c r="W55" i="535"/>
  <c r="V55" i="535"/>
  <c r="Z54" i="535"/>
  <c r="W54" i="535"/>
  <c r="V54" i="535"/>
  <c r="Z53" i="535"/>
  <c r="W53" i="535"/>
  <c r="V53" i="535"/>
  <c r="Z52" i="535"/>
  <c r="W52" i="535"/>
  <c r="V52" i="535"/>
  <c r="Z51" i="535"/>
  <c r="W51" i="535"/>
  <c r="V51" i="535"/>
  <c r="Z50" i="535"/>
  <c r="W50" i="535"/>
  <c r="V50" i="535"/>
  <c r="Z49" i="535"/>
  <c r="W49" i="535"/>
  <c r="V49" i="535"/>
  <c r="Z48" i="535"/>
  <c r="W48" i="535"/>
  <c r="V48" i="535"/>
  <c r="Z47" i="535"/>
  <c r="W47" i="535"/>
  <c r="V47" i="535"/>
  <c r="Z46" i="535"/>
  <c r="W46" i="535"/>
  <c r="V46" i="535"/>
  <c r="Z45" i="535"/>
  <c r="W45" i="535"/>
  <c r="V45" i="535"/>
  <c r="Z44" i="535"/>
  <c r="W44" i="535"/>
  <c r="V44" i="535"/>
  <c r="Z43" i="535"/>
  <c r="W43" i="535"/>
  <c r="V43" i="535"/>
  <c r="Z42" i="535"/>
  <c r="W42" i="535"/>
  <c r="V42" i="535"/>
  <c r="Z41" i="535"/>
  <c r="W41" i="535"/>
  <c r="V41" i="535"/>
  <c r="Z40" i="535"/>
  <c r="W40" i="535"/>
  <c r="V40" i="535"/>
  <c r="Z39" i="535"/>
  <c r="W39" i="535"/>
  <c r="V39" i="535"/>
  <c r="Z38" i="535"/>
  <c r="W38" i="535"/>
  <c r="V38" i="535"/>
  <c r="Z37" i="535"/>
  <c r="W37" i="535"/>
  <c r="V37" i="535"/>
  <c r="Z36" i="535"/>
  <c r="W36" i="535"/>
  <c r="V36" i="535"/>
  <c r="Z35" i="535"/>
  <c r="W35" i="535"/>
  <c r="V35" i="535"/>
  <c r="Z34" i="535"/>
  <c r="W34" i="535"/>
  <c r="V34" i="535"/>
  <c r="Z33" i="535"/>
  <c r="W33" i="535"/>
  <c r="V33" i="535"/>
  <c r="Z32" i="535"/>
  <c r="W32" i="535"/>
  <c r="V32" i="535"/>
  <c r="Z31" i="535"/>
  <c r="W31" i="535"/>
  <c r="V31" i="535"/>
  <c r="Z30" i="535"/>
  <c r="W30" i="535"/>
  <c r="V30" i="535"/>
  <c r="Z29" i="535"/>
  <c r="W29" i="535"/>
  <c r="V29" i="535"/>
  <c r="Z28" i="535"/>
  <c r="W28" i="535"/>
  <c r="V28" i="535"/>
  <c r="Z27" i="535"/>
  <c r="W27" i="535"/>
  <c r="V27" i="535"/>
  <c r="Z26" i="535"/>
  <c r="W26" i="535"/>
  <c r="V26" i="535"/>
  <c r="Z25" i="535"/>
  <c r="W25" i="535"/>
  <c r="V25" i="535"/>
  <c r="Z24" i="535"/>
  <c r="W24" i="535"/>
  <c r="V24" i="535"/>
  <c r="Z23" i="535"/>
  <c r="W23" i="535"/>
  <c r="V23" i="535"/>
  <c r="Z22" i="535"/>
  <c r="W22" i="535"/>
  <c r="V22" i="535"/>
  <c r="Z21" i="535"/>
  <c r="W21" i="535"/>
  <c r="V21" i="535"/>
  <c r="Z20" i="535"/>
  <c r="W20" i="535"/>
  <c r="V20" i="535"/>
  <c r="Z19" i="535"/>
  <c r="W19" i="535"/>
  <c r="V19" i="535"/>
  <c r="Z18" i="535"/>
  <c r="W18" i="535"/>
  <c r="V18" i="535"/>
  <c r="Z17" i="535"/>
  <c r="W17" i="535"/>
  <c r="V17" i="535"/>
  <c r="Z16" i="535"/>
  <c r="W16" i="535"/>
  <c r="V16" i="535"/>
  <c r="Z15" i="535"/>
  <c r="W15" i="535"/>
  <c r="V15" i="535"/>
  <c r="Z14" i="535"/>
  <c r="W14" i="535"/>
  <c r="V14" i="535"/>
  <c r="Z13" i="535"/>
  <c r="W13" i="535"/>
  <c r="V13" i="535"/>
  <c r="Z12" i="535"/>
  <c r="W12" i="535"/>
  <c r="V12" i="535"/>
  <c r="Z11" i="535"/>
  <c r="W11" i="535"/>
  <c r="V11" i="535"/>
  <c r="Z10" i="535"/>
  <c r="W10" i="535"/>
  <c r="V10" i="535"/>
  <c r="Z9" i="535"/>
  <c r="W9" i="535"/>
  <c r="V9" i="535"/>
  <c r="Z8" i="535"/>
  <c r="W8" i="535"/>
  <c r="V8" i="535"/>
  <c r="Z7" i="535"/>
  <c r="W7" i="535"/>
  <c r="V7" i="535"/>
  <c r="Z6" i="535"/>
  <c r="W6" i="535"/>
  <c r="V6" i="535"/>
  <c r="Z5" i="535"/>
  <c r="W5" i="535"/>
  <c r="V5" i="535"/>
  <c r="Z4" i="535"/>
  <c r="W4" i="535"/>
  <c r="V4" i="535"/>
  <c r="Z3" i="535"/>
  <c r="W3" i="535"/>
  <c r="V3" i="535"/>
  <c r="Z2" i="535"/>
  <c r="X2" i="535"/>
  <c r="W2" i="535"/>
  <c r="V2" i="535"/>
  <c r="H7" i="15" l="1"/>
  <c r="G6" i="15"/>
  <c r="G5" i="15"/>
  <c r="G11" i="15"/>
  <c r="G3" i="15"/>
  <c r="G14" i="15"/>
  <c r="G13" i="15"/>
  <c r="G15" i="15"/>
  <c r="G4" i="15"/>
  <c r="G21" i="15"/>
  <c r="G12" i="15"/>
  <c r="G28" i="15"/>
  <c r="G7" i="15" l="1"/>
  <c r="I2" i="530"/>
  <c r="Y2" i="530" s="1"/>
  <c r="I3" i="530"/>
  <c r="Y3" i="530" s="1"/>
  <c r="I4" i="530"/>
  <c r="Y4" i="530" s="1"/>
  <c r="I5" i="530"/>
  <c r="Y5" i="530" s="1"/>
  <c r="I6" i="530"/>
  <c r="Y6" i="530" s="1"/>
  <c r="I7" i="530"/>
  <c r="Y7" i="530" s="1"/>
  <c r="I8" i="530"/>
  <c r="Y8" i="530" s="1"/>
  <c r="I9" i="530"/>
  <c r="Y9" i="530" s="1"/>
  <c r="I10" i="530"/>
  <c r="Y10" i="530" s="1"/>
  <c r="I11" i="530"/>
  <c r="Y11" i="530" s="1"/>
  <c r="I12" i="530"/>
  <c r="Y12" i="530" s="1"/>
  <c r="I13" i="530"/>
  <c r="Y13" i="530" s="1"/>
  <c r="I14" i="530"/>
  <c r="Y14" i="530" s="1"/>
  <c r="I15" i="530"/>
  <c r="Y15" i="530" s="1"/>
  <c r="I16" i="530"/>
  <c r="Y16" i="530" s="1"/>
  <c r="I17" i="530"/>
  <c r="Y17" i="530" s="1"/>
  <c r="I18" i="530"/>
  <c r="Y18" i="530" s="1"/>
  <c r="I19" i="530"/>
  <c r="Y19" i="530" s="1"/>
  <c r="I20" i="530"/>
  <c r="Y20" i="530" s="1"/>
  <c r="I21" i="530"/>
  <c r="Y21" i="530" s="1"/>
  <c r="I22" i="530"/>
  <c r="Y22" i="530" s="1"/>
  <c r="I23" i="530"/>
  <c r="Y23" i="530" s="1"/>
  <c r="I24" i="530"/>
  <c r="Y24" i="530" s="1"/>
  <c r="I25" i="530"/>
  <c r="Y25" i="530" s="1"/>
  <c r="I26" i="530"/>
  <c r="Y26" i="530" s="1"/>
  <c r="I27" i="530"/>
  <c r="Y27" i="530" s="1"/>
  <c r="I28" i="530"/>
  <c r="Y28" i="530" s="1"/>
  <c r="I29" i="530"/>
  <c r="Y29" i="530" s="1"/>
  <c r="I30" i="530"/>
  <c r="Y30" i="530" s="1"/>
  <c r="I31" i="530"/>
  <c r="Y31" i="530" s="1"/>
  <c r="I32" i="530"/>
  <c r="Y32" i="530" s="1"/>
  <c r="I33" i="530"/>
  <c r="Y33" i="530" s="1"/>
  <c r="I34" i="530"/>
  <c r="Y34" i="530" s="1"/>
  <c r="I35" i="530"/>
  <c r="Y35" i="530" s="1"/>
  <c r="I36" i="530"/>
  <c r="Y36" i="530" s="1"/>
  <c r="I37" i="530"/>
  <c r="Y37" i="530" s="1"/>
  <c r="I38" i="530"/>
  <c r="Y38" i="530" s="1"/>
  <c r="I39" i="530"/>
  <c r="Y39" i="530" s="1"/>
  <c r="I40" i="530"/>
  <c r="Y40" i="530" s="1"/>
  <c r="I41" i="530"/>
  <c r="Y41" i="530" s="1"/>
  <c r="I42" i="530"/>
  <c r="Y42" i="530" s="1"/>
  <c r="I43" i="530"/>
  <c r="Y43" i="530" s="1"/>
  <c r="I44" i="530"/>
  <c r="Y44" i="530" s="1"/>
  <c r="I45" i="530"/>
  <c r="Y45" i="530" s="1"/>
  <c r="I46" i="530"/>
  <c r="Y46" i="530" s="1"/>
  <c r="I47" i="530"/>
  <c r="Y47" i="530" s="1"/>
  <c r="I48" i="530"/>
  <c r="Y48" i="530" s="1"/>
  <c r="I49" i="530"/>
  <c r="Y49" i="530" s="1"/>
  <c r="I50" i="530"/>
  <c r="Y50" i="530" s="1"/>
  <c r="I51" i="530"/>
  <c r="Y51" i="530" s="1"/>
  <c r="I52" i="530"/>
  <c r="Y52" i="530" s="1"/>
  <c r="I53" i="530"/>
  <c r="Y53" i="530" s="1"/>
  <c r="I54" i="530"/>
  <c r="Y54" i="530" s="1"/>
  <c r="I55" i="530"/>
  <c r="Y55" i="530" s="1"/>
  <c r="I56" i="530"/>
  <c r="Y56" i="530" s="1"/>
  <c r="I57" i="530"/>
  <c r="Y57" i="530" s="1"/>
  <c r="I58" i="530"/>
  <c r="Y58" i="530" s="1"/>
  <c r="I59" i="530"/>
  <c r="Y59" i="530" s="1"/>
  <c r="I60" i="530"/>
  <c r="Y60" i="530" s="1"/>
  <c r="I61" i="530"/>
  <c r="Y61" i="530" s="1"/>
  <c r="I62" i="530"/>
  <c r="Y62" i="530" s="1"/>
  <c r="I63" i="530"/>
  <c r="Y63" i="530" s="1"/>
  <c r="I64" i="530"/>
  <c r="Y64" i="530" s="1"/>
  <c r="I65" i="530"/>
  <c r="Y65" i="530" s="1"/>
  <c r="I66" i="530"/>
  <c r="Y66" i="530" s="1"/>
  <c r="I67" i="530"/>
  <c r="Y67" i="530" s="1"/>
  <c r="X67" i="530"/>
  <c r="X66" i="530"/>
  <c r="X65" i="530"/>
  <c r="X64" i="530"/>
  <c r="X63" i="530"/>
  <c r="X62" i="530"/>
  <c r="X61" i="530"/>
  <c r="X60" i="530"/>
  <c r="X59" i="530"/>
  <c r="X58" i="530"/>
  <c r="X57" i="530"/>
  <c r="X56" i="530"/>
  <c r="X55" i="530"/>
  <c r="X54" i="530"/>
  <c r="X53" i="530"/>
  <c r="X52" i="530"/>
  <c r="X50" i="530"/>
  <c r="X47" i="530"/>
  <c r="X19" i="530"/>
  <c r="X18" i="530"/>
  <c r="X17" i="530"/>
  <c r="X15" i="530"/>
  <c r="X2" i="530"/>
  <c r="X3" i="530"/>
  <c r="X4" i="530"/>
  <c r="X5" i="530"/>
  <c r="X6" i="530"/>
  <c r="X7" i="530"/>
  <c r="X8" i="530"/>
  <c r="X9" i="530"/>
  <c r="X10" i="530"/>
  <c r="X11" i="530"/>
  <c r="X12" i="530"/>
  <c r="X13" i="530"/>
  <c r="X14" i="530"/>
  <c r="X16" i="530"/>
  <c r="X20" i="530"/>
  <c r="X21" i="530"/>
  <c r="X22" i="530"/>
  <c r="X23" i="530"/>
  <c r="X24" i="530"/>
  <c r="X25" i="530"/>
  <c r="X26" i="530"/>
  <c r="X27" i="530"/>
  <c r="X28" i="530"/>
  <c r="X29" i="530"/>
  <c r="X30" i="530"/>
  <c r="X31" i="530"/>
  <c r="X32" i="530"/>
  <c r="X33" i="530"/>
  <c r="X34" i="530"/>
  <c r="X35" i="530"/>
  <c r="X36" i="530"/>
  <c r="X37" i="530"/>
  <c r="X38" i="530"/>
  <c r="X39" i="530"/>
  <c r="X40" i="530"/>
  <c r="X41" i="530"/>
  <c r="X42" i="530"/>
  <c r="X43" i="530"/>
  <c r="X44" i="530"/>
  <c r="X45" i="530"/>
  <c r="X46" i="530"/>
  <c r="X48" i="530"/>
  <c r="X49" i="530"/>
  <c r="X51" i="530"/>
  <c r="V2" i="530"/>
  <c r="W2" i="530"/>
  <c r="Z2" i="530"/>
  <c r="V3" i="530"/>
  <c r="W3" i="530"/>
  <c r="Z3" i="530"/>
  <c r="V4" i="530"/>
  <c r="W4" i="530"/>
  <c r="Z4" i="530"/>
  <c r="V5" i="530"/>
  <c r="W5" i="530"/>
  <c r="Z5" i="530"/>
  <c r="V6" i="530"/>
  <c r="W6" i="530"/>
  <c r="Z6" i="530"/>
  <c r="V7" i="530"/>
  <c r="W7" i="530"/>
  <c r="Z7" i="530"/>
  <c r="V8" i="530"/>
  <c r="W8" i="530"/>
  <c r="Z8" i="530"/>
  <c r="V9" i="530"/>
  <c r="W9" i="530"/>
  <c r="Z9" i="530"/>
  <c r="V10" i="530"/>
  <c r="W10" i="530"/>
  <c r="Z10" i="530"/>
  <c r="V11" i="530"/>
  <c r="W11" i="530"/>
  <c r="Z11" i="530"/>
  <c r="V12" i="530"/>
  <c r="W12" i="530"/>
  <c r="Z12" i="530"/>
  <c r="V13" i="530"/>
  <c r="W13" i="530"/>
  <c r="Z13" i="530"/>
  <c r="V14" i="530"/>
  <c r="W14" i="530"/>
  <c r="Z14" i="530"/>
  <c r="V15" i="530"/>
  <c r="W15" i="530"/>
  <c r="Z15" i="530"/>
  <c r="V16" i="530"/>
  <c r="W16" i="530"/>
  <c r="Z16" i="530"/>
  <c r="V17" i="530"/>
  <c r="W17" i="530"/>
  <c r="Z17" i="530"/>
  <c r="V18" i="530"/>
  <c r="W18" i="530"/>
  <c r="Z18" i="530"/>
  <c r="V19" i="530"/>
  <c r="W19" i="530"/>
  <c r="Z19" i="530"/>
  <c r="V20" i="530"/>
  <c r="W20" i="530"/>
  <c r="Z20" i="530"/>
  <c r="V21" i="530"/>
  <c r="W21" i="530"/>
  <c r="Z21" i="530"/>
  <c r="V22" i="530"/>
  <c r="W22" i="530"/>
  <c r="Z22" i="530"/>
  <c r="V23" i="530"/>
  <c r="W23" i="530"/>
  <c r="Z23" i="530"/>
  <c r="V24" i="530"/>
  <c r="Z24" i="530"/>
  <c r="V25" i="530"/>
  <c r="W25" i="530"/>
  <c r="Z25" i="530"/>
  <c r="V26" i="530"/>
  <c r="W26" i="530"/>
  <c r="Z26" i="530"/>
  <c r="V27" i="530"/>
  <c r="W27" i="530"/>
  <c r="Z27" i="530"/>
  <c r="V28" i="530"/>
  <c r="W28" i="530"/>
  <c r="Z28" i="530"/>
  <c r="V29" i="530"/>
  <c r="W29" i="530"/>
  <c r="Z29" i="530"/>
  <c r="V30" i="530"/>
  <c r="W30" i="530"/>
  <c r="Z30" i="530"/>
  <c r="V31" i="530"/>
  <c r="W31" i="530"/>
  <c r="Z31" i="530"/>
  <c r="V32" i="530"/>
  <c r="W32" i="530"/>
  <c r="Z32" i="530"/>
  <c r="V33" i="530"/>
  <c r="W33" i="530"/>
  <c r="Z33" i="530"/>
  <c r="V34" i="530"/>
  <c r="W34" i="530"/>
  <c r="Z34" i="530"/>
  <c r="V35" i="530"/>
  <c r="W35" i="530"/>
  <c r="Z35" i="530"/>
  <c r="V36" i="530"/>
  <c r="W36" i="530"/>
  <c r="Z36" i="530"/>
  <c r="V37" i="530"/>
  <c r="W37" i="530"/>
  <c r="Z37" i="530"/>
  <c r="V38" i="530"/>
  <c r="W38" i="530"/>
  <c r="Z38" i="530"/>
  <c r="V39" i="530"/>
  <c r="W39" i="530"/>
  <c r="Z39" i="530"/>
  <c r="V40" i="530"/>
  <c r="W40" i="530"/>
  <c r="Z40" i="530"/>
  <c r="V41" i="530"/>
  <c r="W41" i="530"/>
  <c r="Z41" i="530"/>
  <c r="V42" i="530"/>
  <c r="W42" i="530"/>
  <c r="Z42" i="530"/>
  <c r="V43" i="530"/>
  <c r="W43" i="530"/>
  <c r="Z43" i="530"/>
  <c r="V44" i="530"/>
  <c r="W44" i="530"/>
  <c r="Z44" i="530"/>
  <c r="V45" i="530"/>
  <c r="W45" i="530"/>
  <c r="Z45" i="530"/>
  <c r="V46" i="530"/>
  <c r="W46" i="530"/>
  <c r="Z46" i="530"/>
  <c r="V47" i="530"/>
  <c r="W47" i="530"/>
  <c r="Z47" i="530"/>
  <c r="V48" i="530"/>
  <c r="W48" i="530"/>
  <c r="Z48" i="530"/>
  <c r="V49" i="530"/>
  <c r="W49" i="530"/>
  <c r="Z49" i="530"/>
  <c r="V50" i="530"/>
  <c r="W50" i="530"/>
  <c r="Z50" i="530"/>
  <c r="V51" i="530"/>
  <c r="W51" i="530"/>
  <c r="Z51" i="530"/>
  <c r="V52" i="530"/>
  <c r="W52" i="530"/>
  <c r="Z52" i="530"/>
  <c r="V53" i="530"/>
  <c r="W53" i="530"/>
  <c r="Z53" i="530"/>
  <c r="V54" i="530"/>
  <c r="W54" i="530"/>
  <c r="Z54" i="530"/>
  <c r="V55" i="530"/>
  <c r="W55" i="530"/>
  <c r="Z55" i="530"/>
  <c r="V56" i="530"/>
  <c r="W56" i="530"/>
  <c r="Z56" i="530"/>
  <c r="V57" i="530"/>
  <c r="W57" i="530"/>
  <c r="Z57" i="530"/>
  <c r="V58" i="530"/>
  <c r="W58" i="530"/>
  <c r="Z58" i="530"/>
  <c r="V59" i="530"/>
  <c r="W59" i="530"/>
  <c r="Z59" i="530"/>
  <c r="V60" i="530"/>
  <c r="W60" i="530"/>
  <c r="Z60" i="530"/>
  <c r="V61" i="530"/>
  <c r="W61" i="530"/>
  <c r="Z61" i="530"/>
  <c r="V62" i="530"/>
  <c r="W62" i="530"/>
  <c r="Z62" i="530"/>
  <c r="V63" i="530"/>
  <c r="W63" i="530"/>
  <c r="Z63" i="530"/>
  <c r="V64" i="530"/>
  <c r="W64" i="530"/>
  <c r="Z64" i="530"/>
  <c r="V65" i="530"/>
  <c r="W65" i="530"/>
  <c r="Z65" i="530"/>
  <c r="V66" i="530"/>
  <c r="W66" i="530"/>
  <c r="Z66" i="530"/>
  <c r="V67" i="530"/>
  <c r="W67" i="530"/>
  <c r="Z67" i="530"/>
  <c r="F2" i="527"/>
  <c r="G2" i="527"/>
  <c r="F3" i="527"/>
  <c r="G3" i="527"/>
  <c r="F4" i="527"/>
  <c r="G4" i="527"/>
  <c r="F5" i="527"/>
  <c r="G5" i="527"/>
  <c r="F6" i="527"/>
  <c r="G6" i="527"/>
  <c r="F7" i="527"/>
  <c r="G7" i="527"/>
  <c r="F8" i="527"/>
  <c r="G8" i="527"/>
  <c r="F9" i="527"/>
  <c r="G9" i="527"/>
  <c r="F10" i="527"/>
  <c r="G10" i="527"/>
  <c r="F11" i="527"/>
  <c r="G11" i="527"/>
  <c r="F12" i="527"/>
  <c r="G12" i="527"/>
  <c r="F13" i="527"/>
  <c r="G13" i="527"/>
  <c r="F14" i="527"/>
  <c r="G14" i="527"/>
  <c r="F15" i="527"/>
  <c r="G15" i="527"/>
  <c r="F16" i="527"/>
  <c r="G16" i="527"/>
  <c r="F17" i="527"/>
  <c r="G17" i="527"/>
  <c r="F18" i="527"/>
  <c r="G18" i="527"/>
  <c r="F19" i="527"/>
  <c r="G19" i="527"/>
  <c r="F20" i="527"/>
  <c r="G20" i="527"/>
  <c r="F21" i="527"/>
  <c r="G21" i="527"/>
  <c r="F22" i="527"/>
  <c r="G22" i="527"/>
  <c r="F23" i="527"/>
  <c r="G23" i="527"/>
  <c r="F24" i="527"/>
  <c r="G24" i="527"/>
  <c r="F25" i="527"/>
  <c r="G25" i="527"/>
  <c r="F26" i="527"/>
  <c r="G26" i="527"/>
  <c r="F27" i="527"/>
  <c r="G27" i="527"/>
  <c r="F28" i="527"/>
  <c r="G28" i="527"/>
  <c r="F29" i="527"/>
  <c r="G29" i="527"/>
  <c r="F30" i="527"/>
  <c r="G30" i="527"/>
  <c r="F31" i="527"/>
  <c r="G31" i="527"/>
  <c r="F32" i="527"/>
  <c r="G32" i="527"/>
  <c r="F33" i="527"/>
  <c r="G33" i="527"/>
  <c r="F34" i="527"/>
  <c r="G34" i="527"/>
  <c r="F35" i="527"/>
  <c r="G35" i="527"/>
  <c r="F36" i="527"/>
  <c r="G36" i="527"/>
  <c r="F37" i="527"/>
  <c r="G37" i="527"/>
  <c r="F38" i="527"/>
  <c r="G38" i="527"/>
  <c r="F39" i="527"/>
  <c r="G39" i="527"/>
  <c r="F40" i="527"/>
  <c r="G40" i="527"/>
  <c r="F41" i="527"/>
  <c r="G41" i="527"/>
  <c r="F42" i="527"/>
  <c r="G42" i="527"/>
  <c r="F43" i="527"/>
  <c r="G43" i="527"/>
  <c r="F44" i="527"/>
  <c r="G44" i="527"/>
  <c r="F45" i="527"/>
  <c r="G45" i="527"/>
  <c r="F46" i="527"/>
  <c r="G46" i="527"/>
  <c r="F47" i="527"/>
  <c r="G47" i="527"/>
  <c r="F48" i="527"/>
  <c r="G48" i="527"/>
  <c r="F49" i="527"/>
  <c r="G49" i="527"/>
  <c r="F50" i="527"/>
  <c r="G50" i="527"/>
  <c r="F51" i="527"/>
  <c r="G51" i="527"/>
  <c r="F52" i="527"/>
  <c r="G52" i="527"/>
  <c r="F53" i="527"/>
  <c r="G53" i="527"/>
  <c r="F54" i="527"/>
  <c r="G54" i="527"/>
  <c r="F55" i="527"/>
  <c r="G55" i="527"/>
  <c r="F56" i="527"/>
  <c r="G56" i="527"/>
  <c r="F57" i="527"/>
  <c r="G57" i="527"/>
  <c r="F58" i="527"/>
  <c r="G58" i="527"/>
  <c r="X58" i="527"/>
  <c r="X57" i="527"/>
  <c r="X56" i="527"/>
  <c r="X13" i="527"/>
  <c r="X11" i="527"/>
  <c r="X10" i="527"/>
  <c r="X9" i="527"/>
  <c r="I2" i="527"/>
  <c r="Y2" i="527" s="1"/>
  <c r="I3" i="527"/>
  <c r="Y3" i="527" s="1"/>
  <c r="I4" i="527"/>
  <c r="Y4" i="527" s="1"/>
  <c r="I5" i="527"/>
  <c r="Y5" i="527" s="1"/>
  <c r="I6" i="527"/>
  <c r="Y6" i="527" s="1"/>
  <c r="I7" i="527"/>
  <c r="Y7" i="527" s="1"/>
  <c r="I8" i="527"/>
  <c r="Y8" i="527" s="1"/>
  <c r="I9" i="527"/>
  <c r="Y9" i="527" s="1"/>
  <c r="I10" i="527"/>
  <c r="Y10" i="527" s="1"/>
  <c r="I11" i="527"/>
  <c r="Y11" i="527" s="1"/>
  <c r="I12" i="527"/>
  <c r="Y12" i="527" s="1"/>
  <c r="I13" i="527"/>
  <c r="Y13" i="527" s="1"/>
  <c r="I14" i="527"/>
  <c r="Y14" i="527" s="1"/>
  <c r="I15" i="527"/>
  <c r="Y15" i="527" s="1"/>
  <c r="I16" i="527"/>
  <c r="Y16" i="527" s="1"/>
  <c r="I17" i="527"/>
  <c r="Y17" i="527" s="1"/>
  <c r="I18" i="527"/>
  <c r="Y18" i="527" s="1"/>
  <c r="I19" i="527"/>
  <c r="Y19" i="527" s="1"/>
  <c r="I20" i="527"/>
  <c r="Y20" i="527" s="1"/>
  <c r="I21" i="527"/>
  <c r="Y21" i="527" s="1"/>
  <c r="I22" i="527"/>
  <c r="Y22" i="527" s="1"/>
  <c r="I23" i="527"/>
  <c r="Y23" i="527" s="1"/>
  <c r="I24" i="527"/>
  <c r="Y24" i="527" s="1"/>
  <c r="I25" i="527"/>
  <c r="Y25" i="527" s="1"/>
  <c r="I26" i="527"/>
  <c r="Y26" i="527" s="1"/>
  <c r="I27" i="527"/>
  <c r="Y27" i="527" s="1"/>
  <c r="I28" i="527"/>
  <c r="Y28" i="527" s="1"/>
  <c r="I29" i="527"/>
  <c r="Y29" i="527" s="1"/>
  <c r="I30" i="527"/>
  <c r="Y30" i="527" s="1"/>
  <c r="I31" i="527"/>
  <c r="Y31" i="527" s="1"/>
  <c r="I32" i="527"/>
  <c r="Y32" i="527" s="1"/>
  <c r="I33" i="527"/>
  <c r="Y33" i="527" s="1"/>
  <c r="I34" i="527"/>
  <c r="Y34" i="527" s="1"/>
  <c r="I35" i="527"/>
  <c r="Y35" i="527" s="1"/>
  <c r="I36" i="527"/>
  <c r="Y36" i="527" s="1"/>
  <c r="I37" i="527"/>
  <c r="Y37" i="527" s="1"/>
  <c r="I38" i="527"/>
  <c r="Y38" i="527" s="1"/>
  <c r="I39" i="527"/>
  <c r="Y39" i="527" s="1"/>
  <c r="I40" i="527"/>
  <c r="Y40" i="527" s="1"/>
  <c r="I41" i="527"/>
  <c r="Y41" i="527" s="1"/>
  <c r="I42" i="527"/>
  <c r="Y42" i="527" s="1"/>
  <c r="I43" i="527"/>
  <c r="Y43" i="527" s="1"/>
  <c r="I44" i="527"/>
  <c r="Y44" i="527" s="1"/>
  <c r="I45" i="527"/>
  <c r="Y45" i="527" s="1"/>
  <c r="I46" i="527"/>
  <c r="Y46" i="527" s="1"/>
  <c r="I47" i="527"/>
  <c r="Y47" i="527" s="1"/>
  <c r="I48" i="527"/>
  <c r="Y48" i="527" s="1"/>
  <c r="I49" i="527"/>
  <c r="Y49" i="527" s="1"/>
  <c r="I50" i="527"/>
  <c r="Y50" i="527" s="1"/>
  <c r="I51" i="527"/>
  <c r="Y51" i="527" s="1"/>
  <c r="I52" i="527"/>
  <c r="Y52" i="527" s="1"/>
  <c r="I53" i="527"/>
  <c r="Y53" i="527" s="1"/>
  <c r="I54" i="527"/>
  <c r="Y54" i="527" s="1"/>
  <c r="I55" i="527"/>
  <c r="Y55" i="527" s="1"/>
  <c r="I56" i="527"/>
  <c r="Y56" i="527" s="1"/>
  <c r="I57" i="527"/>
  <c r="Y57" i="527" s="1"/>
  <c r="I58" i="527"/>
  <c r="Y58" i="527" s="1"/>
  <c r="V2" i="527"/>
  <c r="W2" i="527"/>
  <c r="X2" i="527"/>
  <c r="Z2" i="527"/>
  <c r="V3" i="527"/>
  <c r="W3" i="527"/>
  <c r="X3" i="527"/>
  <c r="Z3" i="527"/>
  <c r="V4" i="527"/>
  <c r="W4" i="527"/>
  <c r="X4" i="527"/>
  <c r="Z4" i="527"/>
  <c r="V5" i="527"/>
  <c r="W5" i="527"/>
  <c r="X5" i="527"/>
  <c r="Z5" i="527"/>
  <c r="V6" i="527"/>
  <c r="W6" i="527"/>
  <c r="X6" i="527"/>
  <c r="Z6" i="527"/>
  <c r="V7" i="527"/>
  <c r="W7" i="527"/>
  <c r="X7" i="527"/>
  <c r="Z7" i="527"/>
  <c r="V8" i="527"/>
  <c r="W8" i="527"/>
  <c r="X8" i="527"/>
  <c r="Z8" i="527"/>
  <c r="V9" i="527"/>
  <c r="W9" i="527"/>
  <c r="Z9" i="527"/>
  <c r="V10" i="527"/>
  <c r="W10" i="527"/>
  <c r="Z10" i="527"/>
  <c r="V11" i="527"/>
  <c r="W11" i="527"/>
  <c r="Z11" i="527"/>
  <c r="V12" i="527"/>
  <c r="W12" i="527"/>
  <c r="X12" i="527"/>
  <c r="Z12" i="527"/>
  <c r="V13" i="527"/>
  <c r="W13" i="527"/>
  <c r="Z13" i="527"/>
  <c r="V14" i="527"/>
  <c r="W14" i="527"/>
  <c r="X14" i="527"/>
  <c r="Z14" i="527"/>
  <c r="V15" i="527"/>
  <c r="W15" i="527"/>
  <c r="X15" i="527"/>
  <c r="Z15" i="527"/>
  <c r="V16" i="527"/>
  <c r="W16" i="527"/>
  <c r="X16" i="527"/>
  <c r="Z16" i="527"/>
  <c r="V17" i="527"/>
  <c r="W17" i="527"/>
  <c r="X17" i="527"/>
  <c r="Z17" i="527"/>
  <c r="V18" i="527"/>
  <c r="W18" i="527"/>
  <c r="X18" i="527"/>
  <c r="Z18" i="527"/>
  <c r="V19" i="527"/>
  <c r="W19" i="527"/>
  <c r="X19" i="527"/>
  <c r="Z19" i="527"/>
  <c r="V20" i="527"/>
  <c r="W20" i="527"/>
  <c r="X20" i="527"/>
  <c r="Z20" i="527"/>
  <c r="V21" i="527"/>
  <c r="W21" i="527"/>
  <c r="X21" i="527"/>
  <c r="Z21" i="527"/>
  <c r="V22" i="527"/>
  <c r="W22" i="527"/>
  <c r="X22" i="527"/>
  <c r="Z22" i="527"/>
  <c r="V23" i="527"/>
  <c r="W23" i="527"/>
  <c r="X23" i="527"/>
  <c r="Z23" i="527"/>
  <c r="V24" i="527"/>
  <c r="W24" i="527"/>
  <c r="X24" i="527"/>
  <c r="Z24" i="527"/>
  <c r="V25" i="527"/>
  <c r="W25" i="527"/>
  <c r="X25" i="527"/>
  <c r="Z25" i="527"/>
  <c r="V26" i="527"/>
  <c r="W26" i="527"/>
  <c r="X26" i="527"/>
  <c r="Z26" i="527"/>
  <c r="V27" i="527"/>
  <c r="W27" i="527"/>
  <c r="X27" i="527"/>
  <c r="Z27" i="527"/>
  <c r="V28" i="527"/>
  <c r="W28" i="527"/>
  <c r="X28" i="527"/>
  <c r="Z28" i="527"/>
  <c r="V29" i="527"/>
  <c r="W29" i="527"/>
  <c r="X29" i="527"/>
  <c r="Z29" i="527"/>
  <c r="V30" i="527"/>
  <c r="W30" i="527"/>
  <c r="X30" i="527"/>
  <c r="Z30" i="527"/>
  <c r="V31" i="527"/>
  <c r="W31" i="527"/>
  <c r="X31" i="527"/>
  <c r="Z31" i="527"/>
  <c r="V32" i="527"/>
  <c r="W32" i="527"/>
  <c r="X32" i="527"/>
  <c r="Z32" i="527"/>
  <c r="V33" i="527"/>
  <c r="W33" i="527"/>
  <c r="X33" i="527"/>
  <c r="Z33" i="527"/>
  <c r="V34" i="527"/>
  <c r="W34" i="527"/>
  <c r="X34" i="527"/>
  <c r="Z34" i="527"/>
  <c r="V35" i="527"/>
  <c r="W35" i="527"/>
  <c r="X35" i="527"/>
  <c r="Z35" i="527"/>
  <c r="V36" i="527"/>
  <c r="W36" i="527"/>
  <c r="X36" i="527"/>
  <c r="Z36" i="527"/>
  <c r="V37" i="527"/>
  <c r="W37" i="527"/>
  <c r="X37" i="527"/>
  <c r="Z37" i="527"/>
  <c r="V38" i="527"/>
  <c r="W38" i="527"/>
  <c r="X38" i="527"/>
  <c r="Z38" i="527"/>
  <c r="V39" i="527"/>
  <c r="W39" i="527"/>
  <c r="X39" i="527"/>
  <c r="Z39" i="527"/>
  <c r="V40" i="527"/>
  <c r="W40" i="527"/>
  <c r="X40" i="527"/>
  <c r="Z40" i="527"/>
  <c r="V41" i="527"/>
  <c r="W41" i="527"/>
  <c r="X41" i="527"/>
  <c r="Z41" i="527"/>
  <c r="V42" i="527"/>
  <c r="W42" i="527"/>
  <c r="X42" i="527"/>
  <c r="Z42" i="527"/>
  <c r="V43" i="527"/>
  <c r="W43" i="527"/>
  <c r="X43" i="527"/>
  <c r="Z43" i="527"/>
  <c r="V44" i="527"/>
  <c r="W44" i="527"/>
  <c r="X44" i="527"/>
  <c r="Z44" i="527"/>
  <c r="V45" i="527"/>
  <c r="W45" i="527"/>
  <c r="X45" i="527"/>
  <c r="Z45" i="527"/>
  <c r="V46" i="527"/>
  <c r="W46" i="527"/>
  <c r="X46" i="527"/>
  <c r="Z46" i="527"/>
  <c r="V47" i="527"/>
  <c r="W47" i="527"/>
  <c r="X47" i="527"/>
  <c r="Z47" i="527"/>
  <c r="V48" i="527"/>
  <c r="W48" i="527"/>
  <c r="X48" i="527"/>
  <c r="Z48" i="527"/>
  <c r="V49" i="527"/>
  <c r="W49" i="527"/>
  <c r="X49" i="527"/>
  <c r="Z49" i="527"/>
  <c r="V50" i="527"/>
  <c r="W50" i="527"/>
  <c r="X50" i="527"/>
  <c r="Z50" i="527"/>
  <c r="V51" i="527"/>
  <c r="W51" i="527"/>
  <c r="X51" i="527"/>
  <c r="Z51" i="527"/>
  <c r="V52" i="527"/>
  <c r="W52" i="527"/>
  <c r="X52" i="527"/>
  <c r="Z52" i="527"/>
  <c r="V53" i="527"/>
  <c r="W53" i="527"/>
  <c r="X53" i="527"/>
  <c r="Z53" i="527"/>
  <c r="V54" i="527"/>
  <c r="W54" i="527"/>
  <c r="X54" i="527"/>
  <c r="Z54" i="527"/>
  <c r="V55" i="527"/>
  <c r="W55" i="527"/>
  <c r="X55" i="527"/>
  <c r="Z55" i="527"/>
  <c r="V56" i="527"/>
  <c r="W56" i="527"/>
  <c r="Z56" i="527"/>
  <c r="V57" i="527"/>
  <c r="W57" i="527"/>
  <c r="Z57" i="527"/>
  <c r="V58" i="527"/>
  <c r="W58" i="527"/>
  <c r="Z58" i="527"/>
  <c r="X3" i="524"/>
  <c r="X4" i="524"/>
  <c r="X5" i="524"/>
  <c r="X6" i="524"/>
  <c r="X7" i="524"/>
  <c r="X8" i="524"/>
  <c r="X9" i="524"/>
  <c r="X10" i="524"/>
  <c r="X11" i="524"/>
  <c r="X12" i="524"/>
  <c r="X13" i="524"/>
  <c r="X14" i="524"/>
  <c r="X15" i="524"/>
  <c r="X16" i="524"/>
  <c r="X17" i="524"/>
  <c r="X18" i="524"/>
  <c r="X19" i="524"/>
  <c r="X20" i="524"/>
  <c r="X21" i="524"/>
  <c r="X22" i="524"/>
  <c r="X23" i="524"/>
  <c r="X24" i="524"/>
  <c r="X25" i="524"/>
  <c r="X26" i="524"/>
  <c r="X27" i="524"/>
  <c r="X28" i="524"/>
  <c r="X29" i="524"/>
  <c r="X30" i="524"/>
  <c r="X31" i="524"/>
  <c r="X32" i="524"/>
  <c r="X33" i="524"/>
  <c r="X34" i="524"/>
  <c r="X35" i="524"/>
  <c r="X36" i="524"/>
  <c r="X37" i="524"/>
  <c r="X38" i="524"/>
  <c r="X39" i="524"/>
  <c r="X40" i="524"/>
  <c r="X41" i="524"/>
  <c r="X42" i="524"/>
  <c r="X43" i="524"/>
  <c r="X44" i="524"/>
  <c r="X45" i="524"/>
  <c r="X46" i="524"/>
  <c r="X47" i="524"/>
  <c r="I3" i="524"/>
  <c r="Y3" i="524" s="1"/>
  <c r="I4" i="524"/>
  <c r="Y4" i="524" s="1"/>
  <c r="I5" i="524"/>
  <c r="Y5" i="524" s="1"/>
  <c r="I6" i="524"/>
  <c r="Y6" i="524" s="1"/>
  <c r="I7" i="524"/>
  <c r="Y7" i="524" s="1"/>
  <c r="I8" i="524"/>
  <c r="Y8" i="524" s="1"/>
  <c r="I9" i="524"/>
  <c r="Y9" i="524" s="1"/>
  <c r="I10" i="524"/>
  <c r="Y10" i="524" s="1"/>
  <c r="I11" i="524"/>
  <c r="Y11" i="524" s="1"/>
  <c r="I12" i="524"/>
  <c r="Y12" i="524" s="1"/>
  <c r="I13" i="524"/>
  <c r="Y13" i="524" s="1"/>
  <c r="I14" i="524"/>
  <c r="Y14" i="524" s="1"/>
  <c r="I15" i="524"/>
  <c r="Y15" i="524" s="1"/>
  <c r="I16" i="524"/>
  <c r="Y16" i="524" s="1"/>
  <c r="I17" i="524"/>
  <c r="Y17" i="524" s="1"/>
  <c r="I18" i="524"/>
  <c r="Y18" i="524" s="1"/>
  <c r="I19" i="524"/>
  <c r="Y19" i="524" s="1"/>
  <c r="I20" i="524"/>
  <c r="Y20" i="524" s="1"/>
  <c r="I21" i="524"/>
  <c r="Y21" i="524" s="1"/>
  <c r="I22" i="524"/>
  <c r="Y22" i="524" s="1"/>
  <c r="I23" i="524"/>
  <c r="Y23" i="524" s="1"/>
  <c r="I24" i="524"/>
  <c r="Y24" i="524" s="1"/>
  <c r="I25" i="524"/>
  <c r="Y25" i="524" s="1"/>
  <c r="I26" i="524"/>
  <c r="Y26" i="524" s="1"/>
  <c r="I27" i="524"/>
  <c r="Y27" i="524" s="1"/>
  <c r="I28" i="524"/>
  <c r="Y28" i="524" s="1"/>
  <c r="I29" i="524"/>
  <c r="Y29" i="524" s="1"/>
  <c r="I30" i="524"/>
  <c r="Y30" i="524" s="1"/>
  <c r="I31" i="524"/>
  <c r="Y31" i="524" s="1"/>
  <c r="I32" i="524"/>
  <c r="Y32" i="524" s="1"/>
  <c r="I33" i="524"/>
  <c r="Y33" i="524" s="1"/>
  <c r="I34" i="524"/>
  <c r="Y34" i="524" s="1"/>
  <c r="I35" i="524"/>
  <c r="Y35" i="524" s="1"/>
  <c r="I36" i="524"/>
  <c r="Y36" i="524" s="1"/>
  <c r="I37" i="524"/>
  <c r="Y37" i="524" s="1"/>
  <c r="I38" i="524"/>
  <c r="Y38" i="524" s="1"/>
  <c r="I39" i="524"/>
  <c r="Y39" i="524" s="1"/>
  <c r="I40" i="524"/>
  <c r="Y40" i="524" s="1"/>
  <c r="I41" i="524"/>
  <c r="Y41" i="524" s="1"/>
  <c r="I42" i="524"/>
  <c r="Y42" i="524" s="1"/>
  <c r="I43" i="524"/>
  <c r="Y43" i="524" s="1"/>
  <c r="I44" i="524"/>
  <c r="Y44" i="524" s="1"/>
  <c r="I45" i="524"/>
  <c r="Y45" i="524" s="1"/>
  <c r="I46" i="524"/>
  <c r="Y46" i="524" s="1"/>
  <c r="I47" i="524"/>
  <c r="Y47" i="524" s="1"/>
  <c r="I2" i="524"/>
  <c r="Y2" i="524" s="1"/>
  <c r="X2" i="524"/>
  <c r="V41" i="520"/>
  <c r="V2" i="524"/>
  <c r="W2" i="524"/>
  <c r="Z2" i="524"/>
  <c r="V3" i="524"/>
  <c r="W3" i="524"/>
  <c r="Z3" i="524"/>
  <c r="V4" i="524"/>
  <c r="W4" i="524"/>
  <c r="Z4" i="524"/>
  <c r="V5" i="524"/>
  <c r="W5" i="524"/>
  <c r="Z5" i="524"/>
  <c r="V6" i="524"/>
  <c r="W6" i="524"/>
  <c r="Z6" i="524"/>
  <c r="V7" i="524"/>
  <c r="W7" i="524"/>
  <c r="Z7" i="524"/>
  <c r="V8" i="524"/>
  <c r="W8" i="524"/>
  <c r="Z8" i="524"/>
  <c r="V9" i="524"/>
  <c r="W9" i="524"/>
  <c r="Z9" i="524"/>
  <c r="V10" i="524"/>
  <c r="W10" i="524"/>
  <c r="Z10" i="524"/>
  <c r="V11" i="524"/>
  <c r="W11" i="524"/>
  <c r="Z11" i="524"/>
  <c r="V12" i="524"/>
  <c r="W12" i="524"/>
  <c r="Z12" i="524"/>
  <c r="V13" i="524"/>
  <c r="W13" i="524"/>
  <c r="Z13" i="524"/>
  <c r="V14" i="524"/>
  <c r="W14" i="524"/>
  <c r="Z14" i="524"/>
  <c r="V15" i="524"/>
  <c r="W15" i="524"/>
  <c r="Z15" i="524"/>
  <c r="V16" i="524"/>
  <c r="W16" i="524"/>
  <c r="Z16" i="524"/>
  <c r="D28" i="15" s="1"/>
  <c r="V17" i="524"/>
  <c r="W17" i="524"/>
  <c r="Z17" i="524"/>
  <c r="V18" i="524"/>
  <c r="W18" i="524"/>
  <c r="Z18" i="524"/>
  <c r="V19" i="524"/>
  <c r="W19" i="524"/>
  <c r="Z19" i="524"/>
  <c r="V20" i="524"/>
  <c r="W20" i="524"/>
  <c r="Z20" i="524"/>
  <c r="V21" i="524"/>
  <c r="W21" i="524"/>
  <c r="Z21" i="524"/>
  <c r="V22" i="524"/>
  <c r="W22" i="524"/>
  <c r="Z22" i="524"/>
  <c r="V23" i="524"/>
  <c r="W23" i="524"/>
  <c r="Z23" i="524"/>
  <c r="V24" i="524"/>
  <c r="W24" i="524"/>
  <c r="Z24" i="524"/>
  <c r="V25" i="524"/>
  <c r="W25" i="524"/>
  <c r="Z25" i="524"/>
  <c r="V26" i="524"/>
  <c r="W26" i="524"/>
  <c r="Z26" i="524"/>
  <c r="V27" i="524"/>
  <c r="W27" i="524"/>
  <c r="Z27" i="524"/>
  <c r="V28" i="524"/>
  <c r="W28" i="524"/>
  <c r="Z28" i="524"/>
  <c r="V29" i="524"/>
  <c r="W29" i="524"/>
  <c r="Z29" i="524"/>
  <c r="V30" i="524"/>
  <c r="W30" i="524"/>
  <c r="Z30" i="524"/>
  <c r="V31" i="524"/>
  <c r="W31" i="524"/>
  <c r="Z31" i="524"/>
  <c r="V32" i="524"/>
  <c r="W32" i="524"/>
  <c r="Z32" i="524"/>
  <c r="V33" i="524"/>
  <c r="W33" i="524"/>
  <c r="Z33" i="524"/>
  <c r="V34" i="524"/>
  <c r="W34" i="524"/>
  <c r="Z34" i="524"/>
  <c r="V35" i="524"/>
  <c r="W35" i="524"/>
  <c r="Z35" i="524"/>
  <c r="V36" i="524"/>
  <c r="W36" i="524"/>
  <c r="Z36" i="524"/>
  <c r="V37" i="524"/>
  <c r="W37" i="524"/>
  <c r="Z37" i="524"/>
  <c r="V38" i="524"/>
  <c r="W38" i="524"/>
  <c r="Z38" i="524"/>
  <c r="V39" i="524"/>
  <c r="W39" i="524"/>
  <c r="Z39" i="524"/>
  <c r="V40" i="524"/>
  <c r="W40" i="524"/>
  <c r="Z40" i="524"/>
  <c r="V41" i="524"/>
  <c r="W41" i="524"/>
  <c r="Z41" i="524"/>
  <c r="V42" i="524"/>
  <c r="W42" i="524"/>
  <c r="Z42" i="524"/>
  <c r="V43" i="524"/>
  <c r="W43" i="524"/>
  <c r="Z43" i="524"/>
  <c r="V44" i="524"/>
  <c r="W44" i="524"/>
  <c r="Z44" i="524"/>
  <c r="V45" i="524"/>
  <c r="W45" i="524"/>
  <c r="Z45" i="524"/>
  <c r="V46" i="524"/>
  <c r="W46" i="524"/>
  <c r="Z46" i="524"/>
  <c r="V47" i="524"/>
  <c r="W47" i="524"/>
  <c r="Z47" i="524"/>
  <c r="F2" i="524"/>
  <c r="G2" i="524"/>
  <c r="F3" i="524"/>
  <c r="G3" i="524"/>
  <c r="F4" i="524"/>
  <c r="G4" i="524"/>
  <c r="F5" i="524"/>
  <c r="G5" i="524"/>
  <c r="F6" i="524"/>
  <c r="G6" i="524"/>
  <c r="F7" i="524"/>
  <c r="G7" i="524"/>
  <c r="F8" i="524"/>
  <c r="G8" i="524"/>
  <c r="F9" i="524"/>
  <c r="G9" i="524"/>
  <c r="F10" i="524"/>
  <c r="G10" i="524"/>
  <c r="F11" i="524"/>
  <c r="G11" i="524"/>
  <c r="F12" i="524"/>
  <c r="G12" i="524"/>
  <c r="F13" i="524"/>
  <c r="G13" i="524"/>
  <c r="F14" i="524"/>
  <c r="G14" i="524"/>
  <c r="F15" i="524"/>
  <c r="G15" i="524"/>
  <c r="F16" i="524"/>
  <c r="G16" i="524"/>
  <c r="F17" i="524"/>
  <c r="G17" i="524"/>
  <c r="F18" i="524"/>
  <c r="G18" i="524"/>
  <c r="F19" i="524"/>
  <c r="G19" i="524"/>
  <c r="F20" i="524"/>
  <c r="G20" i="524"/>
  <c r="F21" i="524"/>
  <c r="G21" i="524"/>
  <c r="F22" i="524"/>
  <c r="G22" i="524"/>
  <c r="F23" i="524"/>
  <c r="G23" i="524"/>
  <c r="F24" i="524"/>
  <c r="G24" i="524"/>
  <c r="F25" i="524"/>
  <c r="G25" i="524"/>
  <c r="F26" i="524"/>
  <c r="G26" i="524"/>
  <c r="F27" i="524"/>
  <c r="G27" i="524"/>
  <c r="F28" i="524"/>
  <c r="G28" i="524"/>
  <c r="F29" i="524"/>
  <c r="G29" i="524"/>
  <c r="F30" i="524"/>
  <c r="G30" i="524"/>
  <c r="F31" i="524"/>
  <c r="G31" i="524"/>
  <c r="F32" i="524"/>
  <c r="G32" i="524"/>
  <c r="F33" i="524"/>
  <c r="G33" i="524"/>
  <c r="F34" i="524"/>
  <c r="G34" i="524"/>
  <c r="F35" i="524"/>
  <c r="G35" i="524"/>
  <c r="F36" i="524"/>
  <c r="G36" i="524"/>
  <c r="F37" i="524"/>
  <c r="G37" i="524"/>
  <c r="F38" i="524"/>
  <c r="G38" i="524"/>
  <c r="F39" i="524"/>
  <c r="G39" i="524"/>
  <c r="F40" i="524"/>
  <c r="G40" i="524"/>
  <c r="F41" i="524"/>
  <c r="G41" i="524"/>
  <c r="F42" i="524"/>
  <c r="G42" i="524"/>
  <c r="F43" i="524"/>
  <c r="G43" i="524"/>
  <c r="F44" i="524"/>
  <c r="G44" i="524"/>
  <c r="F45" i="524"/>
  <c r="G45" i="524"/>
  <c r="F46" i="524"/>
  <c r="G46" i="524"/>
  <c r="F47" i="524"/>
  <c r="G47" i="524"/>
  <c r="X44" i="520"/>
  <c r="E28" i="15" l="1"/>
  <c r="E14" i="15"/>
  <c r="E21" i="15"/>
  <c r="E29" i="15"/>
  <c r="E15" i="15"/>
  <c r="F14" i="15"/>
  <c r="F21" i="15"/>
  <c r="F12" i="15"/>
  <c r="F29" i="15"/>
  <c r="F15" i="15"/>
  <c r="F28" i="15"/>
  <c r="F4" i="15"/>
  <c r="E13" i="15"/>
  <c r="E12" i="15"/>
  <c r="E3" i="15"/>
  <c r="F6" i="15"/>
  <c r="E6" i="15"/>
  <c r="E11" i="15"/>
  <c r="F11" i="15"/>
  <c r="F5" i="15"/>
  <c r="F3" i="15"/>
  <c r="D6" i="15"/>
  <c r="E5" i="15"/>
  <c r="E4" i="15"/>
  <c r="D29" i="15"/>
  <c r="D15" i="15"/>
  <c r="D14" i="15"/>
  <c r="D21" i="15"/>
  <c r="D13" i="15"/>
  <c r="D12" i="15"/>
  <c r="D11" i="15"/>
  <c r="D5" i="15"/>
  <c r="D4" i="15"/>
  <c r="D3" i="15"/>
  <c r="I15" i="520"/>
  <c r="Y15" i="520" s="1"/>
  <c r="I16" i="520"/>
  <c r="Y16" i="520" s="1"/>
  <c r="I17" i="520"/>
  <c r="Y17" i="520" s="1"/>
  <c r="I31" i="520"/>
  <c r="Y31" i="520" s="1"/>
  <c r="I29" i="520"/>
  <c r="Y29" i="520" s="1"/>
  <c r="I42" i="520"/>
  <c r="Y42" i="520" s="1"/>
  <c r="I43" i="520"/>
  <c r="Y43" i="520" s="1"/>
  <c r="I19" i="520"/>
  <c r="Y19" i="520" s="1"/>
  <c r="I20" i="520"/>
  <c r="Y20" i="520" s="1"/>
  <c r="I49" i="520"/>
  <c r="Y49" i="520" s="1"/>
  <c r="I22" i="520"/>
  <c r="Y22" i="520" s="1"/>
  <c r="I38" i="520"/>
  <c r="Y38" i="520" s="1"/>
  <c r="I4" i="520"/>
  <c r="Y4" i="520" s="1"/>
  <c r="I48" i="520"/>
  <c r="Y48" i="520" s="1"/>
  <c r="I32" i="520"/>
  <c r="Y32" i="520" s="1"/>
  <c r="I33" i="520"/>
  <c r="Y33" i="520" s="1"/>
  <c r="I18" i="520"/>
  <c r="Y18" i="520" s="1"/>
  <c r="I34" i="520"/>
  <c r="Y34" i="520" s="1"/>
  <c r="I36" i="520"/>
  <c r="Y36" i="520" s="1"/>
  <c r="I37" i="520"/>
  <c r="Y37" i="520" s="1"/>
  <c r="I3" i="520"/>
  <c r="Y3" i="520" s="1"/>
  <c r="I24" i="520"/>
  <c r="Y24" i="520" s="1"/>
  <c r="I25" i="520"/>
  <c r="Y25" i="520" s="1"/>
  <c r="I26" i="520"/>
  <c r="Y26" i="520" s="1"/>
  <c r="I27" i="520"/>
  <c r="Y27" i="520" s="1"/>
  <c r="I28" i="520"/>
  <c r="Y28" i="520" s="1"/>
  <c r="I35" i="520"/>
  <c r="Y35" i="520" s="1"/>
  <c r="I2" i="520"/>
  <c r="Y2" i="520" s="1"/>
  <c r="I30" i="520"/>
  <c r="Y30" i="520" s="1"/>
  <c r="I39" i="520"/>
  <c r="Y39" i="520" s="1"/>
  <c r="I40" i="520"/>
  <c r="Y40" i="520" s="1"/>
  <c r="I5" i="520"/>
  <c r="Y5" i="520" s="1"/>
  <c r="I6" i="520"/>
  <c r="Y6" i="520" s="1"/>
  <c r="I7" i="520"/>
  <c r="Y7" i="520" s="1"/>
  <c r="I8" i="520"/>
  <c r="Y8" i="520" s="1"/>
  <c r="I9" i="520"/>
  <c r="Y9" i="520" s="1"/>
  <c r="I10" i="520"/>
  <c r="Y10" i="520" s="1"/>
  <c r="I23" i="520"/>
  <c r="Y23" i="520" s="1"/>
  <c r="I21" i="520"/>
  <c r="Y21" i="520" s="1"/>
  <c r="I45" i="520"/>
  <c r="Y45" i="520" s="1"/>
  <c r="I46" i="520"/>
  <c r="Y46" i="520" s="1"/>
  <c r="I47" i="520"/>
  <c r="Y47" i="520" s="1"/>
  <c r="I11" i="520"/>
  <c r="Y11" i="520" s="1"/>
  <c r="I12" i="520"/>
  <c r="Y12" i="520" s="1"/>
  <c r="I13" i="520"/>
  <c r="Y13" i="520" s="1"/>
  <c r="I14" i="520"/>
  <c r="Y14" i="520" s="1"/>
  <c r="I44" i="520"/>
  <c r="Y44" i="520" s="1"/>
  <c r="I41" i="520"/>
  <c r="Y41" i="520" s="1"/>
  <c r="X15" i="520"/>
  <c r="X16" i="520"/>
  <c r="X17" i="520"/>
  <c r="X31" i="520"/>
  <c r="X29" i="520"/>
  <c r="X42" i="520"/>
  <c r="X43" i="520"/>
  <c r="X19" i="520"/>
  <c r="X20" i="520"/>
  <c r="X49" i="520"/>
  <c r="X22" i="520"/>
  <c r="X38" i="520"/>
  <c r="X4" i="520"/>
  <c r="X48" i="520"/>
  <c r="X32" i="520"/>
  <c r="X33" i="520"/>
  <c r="X18" i="520"/>
  <c r="X34" i="520"/>
  <c r="X36" i="520"/>
  <c r="X37" i="520"/>
  <c r="X3" i="520"/>
  <c r="X24" i="520"/>
  <c r="X25" i="520"/>
  <c r="X26" i="520"/>
  <c r="X27" i="520"/>
  <c r="X28" i="520"/>
  <c r="X35" i="520"/>
  <c r="X2" i="520"/>
  <c r="X30" i="520"/>
  <c r="X39" i="520"/>
  <c r="X40" i="520"/>
  <c r="X5" i="520"/>
  <c r="X6" i="520"/>
  <c r="X7" i="520"/>
  <c r="X8" i="520"/>
  <c r="X9" i="520"/>
  <c r="X10" i="520"/>
  <c r="X23" i="520"/>
  <c r="X21" i="520"/>
  <c r="X45" i="520"/>
  <c r="X46" i="520"/>
  <c r="X47" i="520"/>
  <c r="X11" i="520"/>
  <c r="X12" i="520"/>
  <c r="X13" i="520"/>
  <c r="X14" i="520"/>
  <c r="X41" i="520"/>
  <c r="Z44" i="520"/>
  <c r="W44" i="520"/>
  <c r="V44" i="520"/>
  <c r="G44" i="520"/>
  <c r="F44" i="520"/>
  <c r="Z14" i="520"/>
  <c r="W14" i="520"/>
  <c r="V14" i="520"/>
  <c r="G14" i="520"/>
  <c r="F14" i="520"/>
  <c r="Z13" i="520"/>
  <c r="W13" i="520"/>
  <c r="V13" i="520"/>
  <c r="G13" i="520"/>
  <c r="F13" i="520"/>
  <c r="Z12" i="520"/>
  <c r="W12" i="520"/>
  <c r="V12" i="520"/>
  <c r="G12" i="520"/>
  <c r="F12" i="520"/>
  <c r="Z11" i="520"/>
  <c r="W11" i="520"/>
  <c r="V11" i="520"/>
  <c r="G11" i="520"/>
  <c r="F11" i="520"/>
  <c r="Z47" i="520"/>
  <c r="W47" i="520"/>
  <c r="V47" i="520"/>
  <c r="G47" i="520"/>
  <c r="F47" i="520"/>
  <c r="Z46" i="520"/>
  <c r="W46" i="520"/>
  <c r="V46" i="520"/>
  <c r="G46" i="520"/>
  <c r="F46" i="520"/>
  <c r="Z45" i="520"/>
  <c r="W45" i="520"/>
  <c r="V45" i="520"/>
  <c r="G45" i="520"/>
  <c r="F45" i="520"/>
  <c r="Z21" i="520"/>
  <c r="W21" i="520"/>
  <c r="V21" i="520"/>
  <c r="G21" i="520"/>
  <c r="F21" i="520"/>
  <c r="Z23" i="520"/>
  <c r="W23" i="520"/>
  <c r="V23" i="520"/>
  <c r="G23" i="520"/>
  <c r="F23" i="520"/>
  <c r="Z10" i="520"/>
  <c r="W10" i="520"/>
  <c r="V10" i="520"/>
  <c r="G10" i="520"/>
  <c r="F10" i="520"/>
  <c r="Z9" i="520"/>
  <c r="W9" i="520"/>
  <c r="V9" i="520"/>
  <c r="G9" i="520"/>
  <c r="F9" i="520"/>
  <c r="Z8" i="520"/>
  <c r="W8" i="520"/>
  <c r="V8" i="520"/>
  <c r="G8" i="520"/>
  <c r="F8" i="520"/>
  <c r="Z7" i="520"/>
  <c r="W7" i="520"/>
  <c r="V7" i="520"/>
  <c r="G7" i="520"/>
  <c r="F7" i="520"/>
  <c r="Z6" i="520"/>
  <c r="W6" i="520"/>
  <c r="V6" i="520"/>
  <c r="G6" i="520"/>
  <c r="F6" i="520"/>
  <c r="Z5" i="520"/>
  <c r="W5" i="520"/>
  <c r="V5" i="520"/>
  <c r="G5" i="520"/>
  <c r="F5" i="520"/>
  <c r="Z40" i="520"/>
  <c r="W40" i="520"/>
  <c r="V40" i="520"/>
  <c r="G40" i="520"/>
  <c r="F40" i="520"/>
  <c r="Z39" i="520"/>
  <c r="W39" i="520"/>
  <c r="V39" i="520"/>
  <c r="G39" i="520"/>
  <c r="F39" i="520"/>
  <c r="Z30" i="520"/>
  <c r="W30" i="520"/>
  <c r="V30" i="520"/>
  <c r="G30" i="520"/>
  <c r="F30" i="520"/>
  <c r="Z2" i="520"/>
  <c r="W2" i="520"/>
  <c r="V2" i="520"/>
  <c r="G2" i="520"/>
  <c r="F2" i="520"/>
  <c r="Z35" i="520"/>
  <c r="W35" i="520"/>
  <c r="V35" i="520"/>
  <c r="G35" i="520"/>
  <c r="F35" i="520"/>
  <c r="Z28" i="520"/>
  <c r="W28" i="520"/>
  <c r="V28" i="520"/>
  <c r="G28" i="520"/>
  <c r="F28" i="520"/>
  <c r="Z27" i="520"/>
  <c r="W27" i="520"/>
  <c r="V27" i="520"/>
  <c r="G27" i="520"/>
  <c r="F27" i="520"/>
  <c r="Z26" i="520"/>
  <c r="W26" i="520"/>
  <c r="V26" i="520"/>
  <c r="G26" i="520"/>
  <c r="F26" i="520"/>
  <c r="Z25" i="520"/>
  <c r="W25" i="520"/>
  <c r="V25" i="520"/>
  <c r="G25" i="520"/>
  <c r="F25" i="520"/>
  <c r="Z24" i="520"/>
  <c r="W24" i="520"/>
  <c r="V24" i="520"/>
  <c r="G24" i="520"/>
  <c r="F24" i="520"/>
  <c r="Z3" i="520"/>
  <c r="W3" i="520"/>
  <c r="V3" i="520"/>
  <c r="G3" i="520"/>
  <c r="F3" i="520"/>
  <c r="Z37" i="520"/>
  <c r="W37" i="520"/>
  <c r="V37" i="520"/>
  <c r="G37" i="520"/>
  <c r="F37" i="520"/>
  <c r="Z36" i="520"/>
  <c r="W36" i="520"/>
  <c r="V36" i="520"/>
  <c r="G36" i="520"/>
  <c r="F36" i="520"/>
  <c r="Z34" i="520"/>
  <c r="W34" i="520"/>
  <c r="V34" i="520"/>
  <c r="G34" i="520"/>
  <c r="F34" i="520"/>
  <c r="Z18" i="520"/>
  <c r="W18" i="520"/>
  <c r="V18" i="520"/>
  <c r="G18" i="520"/>
  <c r="F18" i="520"/>
  <c r="Z33" i="520"/>
  <c r="W33" i="520"/>
  <c r="V33" i="520"/>
  <c r="G33" i="520"/>
  <c r="F33" i="520"/>
  <c r="Z32" i="520"/>
  <c r="W32" i="520"/>
  <c r="V32" i="520"/>
  <c r="G32" i="520"/>
  <c r="F32" i="520"/>
  <c r="Z48" i="520"/>
  <c r="W48" i="520"/>
  <c r="V48" i="520"/>
  <c r="G48" i="520"/>
  <c r="F48" i="520"/>
  <c r="Z4" i="520"/>
  <c r="W4" i="520"/>
  <c r="V4" i="520"/>
  <c r="G4" i="520"/>
  <c r="F4" i="520"/>
  <c r="Z38" i="520"/>
  <c r="W38" i="520"/>
  <c r="V38" i="520"/>
  <c r="G38" i="520"/>
  <c r="F38" i="520"/>
  <c r="Z22" i="520"/>
  <c r="W22" i="520"/>
  <c r="V22" i="520"/>
  <c r="G22" i="520"/>
  <c r="F22" i="520"/>
  <c r="Z49" i="520"/>
  <c r="W49" i="520"/>
  <c r="V49" i="520"/>
  <c r="G49" i="520"/>
  <c r="F49" i="520"/>
  <c r="Z20" i="520"/>
  <c r="W20" i="520"/>
  <c r="V20" i="520"/>
  <c r="G20" i="520"/>
  <c r="F20" i="520"/>
  <c r="Z19" i="520"/>
  <c r="W19" i="520"/>
  <c r="V19" i="520"/>
  <c r="G19" i="520"/>
  <c r="F19" i="520"/>
  <c r="Z43" i="520"/>
  <c r="W43" i="520"/>
  <c r="V43" i="520"/>
  <c r="G43" i="520"/>
  <c r="F43" i="520"/>
  <c r="Z42" i="520"/>
  <c r="W42" i="520"/>
  <c r="V42" i="520"/>
  <c r="G42" i="520"/>
  <c r="F42" i="520"/>
  <c r="Z29" i="520"/>
  <c r="W29" i="520"/>
  <c r="V29" i="520"/>
  <c r="G29" i="520"/>
  <c r="F29" i="520"/>
  <c r="Z31" i="520"/>
  <c r="W31" i="520"/>
  <c r="V31" i="520"/>
  <c r="G31" i="520"/>
  <c r="F31" i="520"/>
  <c r="Z17" i="520"/>
  <c r="W17" i="520"/>
  <c r="V17" i="520"/>
  <c r="G17" i="520"/>
  <c r="F17" i="520"/>
  <c r="Z16" i="520"/>
  <c r="W16" i="520"/>
  <c r="V16" i="520"/>
  <c r="G16" i="520"/>
  <c r="F16" i="520"/>
  <c r="Z15" i="520"/>
  <c r="W15" i="520"/>
  <c r="V15" i="520"/>
  <c r="G15" i="520"/>
  <c r="F15" i="520"/>
  <c r="Z41" i="520"/>
  <c r="W41" i="520"/>
  <c r="G41" i="520"/>
  <c r="F41" i="520"/>
  <c r="I3" i="515"/>
  <c r="I4" i="515"/>
  <c r="I5" i="515"/>
  <c r="I6" i="515"/>
  <c r="I7" i="515"/>
  <c r="I8" i="515"/>
  <c r="I9" i="515"/>
  <c r="I10" i="515"/>
  <c r="I11" i="515"/>
  <c r="I12" i="515"/>
  <c r="I13" i="515"/>
  <c r="I14" i="515"/>
  <c r="I15" i="515"/>
  <c r="I16" i="515"/>
  <c r="I17" i="515"/>
  <c r="I18" i="515"/>
  <c r="I19" i="515"/>
  <c r="I20" i="515"/>
  <c r="I21" i="515"/>
  <c r="I22" i="515"/>
  <c r="I23" i="515"/>
  <c r="I24" i="515"/>
  <c r="I25" i="515"/>
  <c r="I26" i="515"/>
  <c r="I27" i="515"/>
  <c r="I28" i="515"/>
  <c r="I29" i="515"/>
  <c r="I30" i="515"/>
  <c r="I31" i="515"/>
  <c r="I32" i="515"/>
  <c r="I33" i="515"/>
  <c r="I34" i="515"/>
  <c r="I35" i="515"/>
  <c r="I36" i="515"/>
  <c r="I37" i="515"/>
  <c r="I38" i="515"/>
  <c r="I39" i="515"/>
  <c r="I40" i="515"/>
  <c r="I41" i="515"/>
  <c r="I42" i="515"/>
  <c r="I43" i="515"/>
  <c r="I44" i="515"/>
  <c r="I45" i="515"/>
  <c r="I46" i="515"/>
  <c r="I47" i="515"/>
  <c r="I48" i="515"/>
  <c r="I49" i="515"/>
  <c r="I50" i="515"/>
  <c r="I51" i="515"/>
  <c r="I52" i="515"/>
  <c r="I53" i="515"/>
  <c r="I54" i="515"/>
  <c r="I55" i="515"/>
  <c r="I2" i="515"/>
  <c r="X54" i="515"/>
  <c r="X53" i="515"/>
  <c r="X52" i="515"/>
  <c r="X51" i="515"/>
  <c r="X50" i="515"/>
  <c r="X49" i="515"/>
  <c r="X48" i="515"/>
  <c r="X47" i="515"/>
  <c r="X46" i="515"/>
  <c r="X45" i="515"/>
  <c r="X44" i="515"/>
  <c r="X41" i="515"/>
  <c r="X40" i="515"/>
  <c r="X33" i="515"/>
  <c r="X29" i="515"/>
  <c r="X28" i="515"/>
  <c r="X27" i="515"/>
  <c r="X26" i="515"/>
  <c r="X25" i="515"/>
  <c r="X24" i="515"/>
  <c r="X23" i="515"/>
  <c r="X22" i="515"/>
  <c r="X21" i="515"/>
  <c r="X20" i="515"/>
  <c r="X19" i="515"/>
  <c r="X17" i="515"/>
  <c r="X16" i="515"/>
  <c r="X15" i="515"/>
  <c r="X14" i="515"/>
  <c r="X13" i="515"/>
  <c r="X18" i="515"/>
  <c r="X55" i="515"/>
  <c r="X43" i="515"/>
  <c r="X42" i="515"/>
  <c r="X39" i="515"/>
  <c r="X38" i="515"/>
  <c r="X37" i="515"/>
  <c r="X36" i="515"/>
  <c r="X35" i="515"/>
  <c r="X34" i="515"/>
  <c r="X32" i="515"/>
  <c r="X31" i="515"/>
  <c r="X30" i="515"/>
  <c r="D7" i="15" l="1"/>
  <c r="F7" i="15"/>
  <c r="E7" i="15"/>
  <c r="C28" i="15"/>
  <c r="C21" i="15"/>
  <c r="C29" i="15"/>
  <c r="C15" i="15"/>
  <c r="C14" i="15"/>
  <c r="C13" i="15"/>
  <c r="C12" i="15"/>
  <c r="C5" i="15"/>
  <c r="C6" i="15"/>
  <c r="C4" i="15"/>
  <c r="C11" i="15"/>
  <c r="C3" i="15"/>
  <c r="Z55" i="515"/>
  <c r="Y55" i="515"/>
  <c r="W55" i="515"/>
  <c r="V55" i="515"/>
  <c r="G55" i="515"/>
  <c r="F55" i="515"/>
  <c r="C7" i="15" l="1"/>
  <c r="X9" i="515"/>
  <c r="X11" i="515"/>
  <c r="X12" i="515"/>
  <c r="X10" i="515"/>
  <c r="X8" i="515"/>
  <c r="X7" i="515"/>
  <c r="X6" i="515"/>
  <c r="X3" i="515"/>
  <c r="X2" i="515"/>
  <c r="X4" i="515"/>
  <c r="X5" i="515"/>
  <c r="V2" i="515"/>
  <c r="W2" i="515"/>
  <c r="Y2" i="515"/>
  <c r="Z2" i="515"/>
  <c r="V3" i="515"/>
  <c r="W3" i="515"/>
  <c r="Y3" i="515"/>
  <c r="Z3" i="515"/>
  <c r="V4" i="515"/>
  <c r="W4" i="515"/>
  <c r="Y4" i="515"/>
  <c r="Z4" i="515"/>
  <c r="V5" i="515"/>
  <c r="W5" i="515"/>
  <c r="Y5" i="515"/>
  <c r="Z5" i="515"/>
  <c r="V6" i="515"/>
  <c r="W6" i="515"/>
  <c r="Y6" i="515"/>
  <c r="Z6" i="515"/>
  <c r="V7" i="515"/>
  <c r="W7" i="515"/>
  <c r="Y7" i="515"/>
  <c r="Z7" i="515"/>
  <c r="V8" i="515"/>
  <c r="W8" i="515"/>
  <c r="Y8" i="515"/>
  <c r="Z8" i="515"/>
  <c r="V9" i="515"/>
  <c r="W9" i="515"/>
  <c r="Y9" i="515"/>
  <c r="Z9" i="515"/>
  <c r="V10" i="515"/>
  <c r="W10" i="515"/>
  <c r="Y10" i="515"/>
  <c r="Z10" i="515"/>
  <c r="V11" i="515"/>
  <c r="W11" i="515"/>
  <c r="Y11" i="515"/>
  <c r="Z11" i="515"/>
  <c r="V12" i="515"/>
  <c r="W12" i="515"/>
  <c r="Y12" i="515"/>
  <c r="Z12" i="515"/>
  <c r="V13" i="515"/>
  <c r="W13" i="515"/>
  <c r="Y13" i="515"/>
  <c r="Z13" i="515"/>
  <c r="V14" i="515"/>
  <c r="W14" i="515"/>
  <c r="Y14" i="515"/>
  <c r="Z14" i="515"/>
  <c r="V15" i="515"/>
  <c r="W15" i="515"/>
  <c r="Y15" i="515"/>
  <c r="Z15" i="515"/>
  <c r="V16" i="515"/>
  <c r="W16" i="515"/>
  <c r="Y16" i="515"/>
  <c r="Z16" i="515"/>
  <c r="V17" i="515"/>
  <c r="W17" i="515"/>
  <c r="Y17" i="515"/>
  <c r="Z17" i="515"/>
  <c r="V18" i="515"/>
  <c r="W18" i="515"/>
  <c r="Y18" i="515"/>
  <c r="Z18" i="515"/>
  <c r="V19" i="515"/>
  <c r="W19" i="515"/>
  <c r="Y19" i="515"/>
  <c r="Z19" i="515"/>
  <c r="V20" i="515"/>
  <c r="W20" i="515"/>
  <c r="Y20" i="515"/>
  <c r="Z20" i="515"/>
  <c r="V21" i="515"/>
  <c r="W21" i="515"/>
  <c r="Y21" i="515"/>
  <c r="Z21" i="515"/>
  <c r="V22" i="515"/>
  <c r="W22" i="515"/>
  <c r="Y22" i="515"/>
  <c r="Z22" i="515"/>
  <c r="V23" i="515"/>
  <c r="W23" i="515"/>
  <c r="Y23" i="515"/>
  <c r="Z23" i="515"/>
  <c r="V24" i="515"/>
  <c r="W24" i="515"/>
  <c r="Y24" i="515"/>
  <c r="Z24" i="515"/>
  <c r="V25" i="515"/>
  <c r="W25" i="515"/>
  <c r="Y25" i="515"/>
  <c r="Z25" i="515"/>
  <c r="V26" i="515"/>
  <c r="W26" i="515"/>
  <c r="Y26" i="515"/>
  <c r="Z26" i="515"/>
  <c r="V27" i="515"/>
  <c r="W27" i="515"/>
  <c r="Y27" i="515"/>
  <c r="Z27" i="515"/>
  <c r="V28" i="515"/>
  <c r="W28" i="515"/>
  <c r="Y28" i="515"/>
  <c r="Z28" i="515"/>
  <c r="V29" i="515"/>
  <c r="W29" i="515"/>
  <c r="Y29" i="515"/>
  <c r="Z29" i="515"/>
  <c r="V30" i="515"/>
  <c r="W30" i="515"/>
  <c r="Y30" i="515"/>
  <c r="Z30" i="515"/>
  <c r="V31" i="515"/>
  <c r="W31" i="515"/>
  <c r="Y31" i="515"/>
  <c r="Z31" i="515"/>
  <c r="V32" i="515"/>
  <c r="W32" i="515"/>
  <c r="Y32" i="515"/>
  <c r="Z32" i="515"/>
  <c r="V33" i="515"/>
  <c r="W33" i="515"/>
  <c r="Y33" i="515"/>
  <c r="Z33" i="515"/>
  <c r="V34" i="515"/>
  <c r="W34" i="515"/>
  <c r="Y34" i="515"/>
  <c r="Z34" i="515"/>
  <c r="V35" i="515"/>
  <c r="W35" i="515"/>
  <c r="Y35" i="515"/>
  <c r="Z35" i="515"/>
  <c r="V36" i="515"/>
  <c r="W36" i="515"/>
  <c r="Y36" i="515"/>
  <c r="Z36" i="515"/>
  <c r="V37" i="515"/>
  <c r="W37" i="515"/>
  <c r="Y37" i="515"/>
  <c r="Z37" i="515"/>
  <c r="V38" i="515"/>
  <c r="W38" i="515"/>
  <c r="Y38" i="515"/>
  <c r="Z38" i="515"/>
  <c r="V39" i="515"/>
  <c r="W39" i="515"/>
  <c r="Y39" i="515"/>
  <c r="Z39" i="515"/>
  <c r="V40" i="515"/>
  <c r="W40" i="515"/>
  <c r="Y40" i="515"/>
  <c r="Z40" i="515"/>
  <c r="V41" i="515"/>
  <c r="W41" i="515"/>
  <c r="Y41" i="515"/>
  <c r="Z41" i="515"/>
  <c r="V42" i="515"/>
  <c r="W42" i="515"/>
  <c r="Y42" i="515"/>
  <c r="Z42" i="515"/>
  <c r="V43" i="515"/>
  <c r="W43" i="515"/>
  <c r="Y43" i="515"/>
  <c r="Z43" i="515"/>
  <c r="V44" i="515"/>
  <c r="W44" i="515"/>
  <c r="Y44" i="515"/>
  <c r="Z44" i="515"/>
  <c r="V45" i="515"/>
  <c r="W45" i="515"/>
  <c r="Y45" i="515"/>
  <c r="Z45" i="515"/>
  <c r="V46" i="515"/>
  <c r="W46" i="515"/>
  <c r="Y46" i="515"/>
  <c r="Z46" i="515"/>
  <c r="V47" i="515"/>
  <c r="W47" i="515"/>
  <c r="Y47" i="515"/>
  <c r="Z47" i="515"/>
  <c r="V48" i="515"/>
  <c r="W48" i="515"/>
  <c r="Y48" i="515"/>
  <c r="Z48" i="515"/>
  <c r="V49" i="515"/>
  <c r="W49" i="515"/>
  <c r="Y49" i="515"/>
  <c r="Z49" i="515"/>
  <c r="V50" i="515"/>
  <c r="W50" i="515"/>
  <c r="Y50" i="515"/>
  <c r="Z50" i="515"/>
  <c r="V51" i="515"/>
  <c r="W51" i="515"/>
  <c r="Y51" i="515"/>
  <c r="Z51" i="515"/>
  <c r="V52" i="515"/>
  <c r="W52" i="515"/>
  <c r="Y52" i="515"/>
  <c r="Z52" i="515"/>
  <c r="V53" i="515"/>
  <c r="W53" i="515"/>
  <c r="Y53" i="515"/>
  <c r="Z53" i="515"/>
  <c r="V54" i="515"/>
  <c r="W54" i="515"/>
  <c r="Y54" i="515"/>
  <c r="Z54" i="515"/>
  <c r="F2" i="515"/>
  <c r="G2" i="515"/>
  <c r="F3" i="515"/>
  <c r="G3" i="515"/>
  <c r="F4" i="515"/>
  <c r="G4" i="515"/>
  <c r="F5" i="515"/>
  <c r="G5" i="515"/>
  <c r="F6" i="515"/>
  <c r="G6" i="515"/>
  <c r="F7" i="515"/>
  <c r="G7" i="515"/>
  <c r="F8" i="515"/>
  <c r="G8" i="515"/>
  <c r="F9" i="515"/>
  <c r="G9" i="515"/>
  <c r="F10" i="515"/>
  <c r="G10" i="515"/>
  <c r="F11" i="515"/>
  <c r="G11" i="515"/>
  <c r="F12" i="515"/>
  <c r="G12" i="515"/>
  <c r="F13" i="515"/>
  <c r="G13" i="515"/>
  <c r="F14" i="515"/>
  <c r="G14" i="515"/>
  <c r="F15" i="515"/>
  <c r="G15" i="515"/>
  <c r="F16" i="515"/>
  <c r="G16" i="515"/>
  <c r="F17" i="515"/>
  <c r="G17" i="515"/>
  <c r="F18" i="515"/>
  <c r="G18" i="515"/>
  <c r="F19" i="515"/>
  <c r="G19" i="515"/>
  <c r="F20" i="515"/>
  <c r="G20" i="515"/>
  <c r="F21" i="515"/>
  <c r="G21" i="515"/>
  <c r="F22" i="515"/>
  <c r="G22" i="515"/>
  <c r="F23" i="515"/>
  <c r="G23" i="515"/>
  <c r="F24" i="515"/>
  <c r="G24" i="515"/>
  <c r="F25" i="515"/>
  <c r="G25" i="515"/>
  <c r="F26" i="515"/>
  <c r="G26" i="515"/>
  <c r="F27" i="515"/>
  <c r="G27" i="515"/>
  <c r="F28" i="515"/>
  <c r="G28" i="515"/>
  <c r="F29" i="515"/>
  <c r="G29" i="515"/>
  <c r="F30" i="515"/>
  <c r="G30" i="515"/>
  <c r="F31" i="515"/>
  <c r="G31" i="515"/>
  <c r="F32" i="515"/>
  <c r="G32" i="515"/>
  <c r="F33" i="515"/>
  <c r="G33" i="515"/>
  <c r="F34" i="515"/>
  <c r="G34" i="515"/>
  <c r="F35" i="515"/>
  <c r="G35" i="515"/>
  <c r="F36" i="515"/>
  <c r="G36" i="515"/>
  <c r="F37" i="515"/>
  <c r="G37" i="515"/>
  <c r="F38" i="515"/>
  <c r="G38" i="515"/>
  <c r="F39" i="515"/>
  <c r="G39" i="515"/>
  <c r="F40" i="515"/>
  <c r="G40" i="515"/>
  <c r="F41" i="515"/>
  <c r="G41" i="515"/>
  <c r="F42" i="515"/>
  <c r="G42" i="515"/>
  <c r="F43" i="515"/>
  <c r="G43" i="515"/>
  <c r="F44" i="515"/>
  <c r="G44" i="515"/>
  <c r="F45" i="515"/>
  <c r="G45" i="515"/>
  <c r="F46" i="515"/>
  <c r="G46" i="515"/>
  <c r="F47" i="515"/>
  <c r="G47" i="515"/>
  <c r="F48" i="515"/>
  <c r="G48" i="515"/>
  <c r="F49" i="515"/>
  <c r="G49" i="515"/>
  <c r="F50" i="515"/>
  <c r="G50" i="515"/>
  <c r="F51" i="515"/>
  <c r="G51" i="515"/>
  <c r="F52" i="515"/>
  <c r="G52" i="515"/>
  <c r="F53" i="515"/>
  <c r="G53" i="515"/>
  <c r="F54" i="515"/>
  <c r="G54" i="515"/>
  <c r="B3" i="15" l="1"/>
  <c r="B15" i="15"/>
  <c r="B14" i="15"/>
  <c r="B13" i="15"/>
  <c r="B12" i="15"/>
  <c r="B4" i="15"/>
  <c r="B6" i="15"/>
  <c r="B5" i="15"/>
  <c r="B11" i="15"/>
  <c r="B7" i="15" l="1"/>
  <c r="Q11" i="11" l="1"/>
  <c r="Q5" i="11"/>
  <c r="Q16" i="11"/>
  <c r="Q14" i="11"/>
  <c r="Q4" i="11" l="1"/>
  <c r="Q10" i="11"/>
  <c r="Q12" i="11"/>
  <c r="Q15" i="11"/>
  <c r="Q6" i="11"/>
  <c r="Q13" i="11"/>
  <c r="Q8" i="11"/>
  <c r="Q9" i="11"/>
  <c r="Q7" i="11"/>
  <c r="E16" i="11" l="1"/>
  <c r="B111" i="12" l="1"/>
  <c r="B110" i="12"/>
  <c r="B109" i="12"/>
  <c r="B108" i="12"/>
  <c r="B107" i="12"/>
  <c r="D16" i="11" l="1"/>
  <c r="B16" i="11" l="1"/>
  <c r="H17" i="11" l="1"/>
  <c r="N17" i="11"/>
  <c r="I17" i="11"/>
  <c r="J17" i="11"/>
  <c r="P17" i="11"/>
  <c r="M17" i="11"/>
  <c r="O17" i="11"/>
  <c r="K17" i="11"/>
  <c r="L17" i="11"/>
  <c r="Q17" i="11" l="1"/>
</calcChain>
</file>

<file path=xl/sharedStrings.xml><?xml version="1.0" encoding="utf-8"?>
<sst xmlns="http://schemas.openxmlformats.org/spreadsheetml/2006/main" count="25383" uniqueCount="2751">
  <si>
    <t>Controlling Object Name</t>
  </si>
  <si>
    <t>site code</t>
  </si>
  <si>
    <t>Tickets</t>
  </si>
  <si>
    <t>Type</t>
  </si>
  <si>
    <t>User Additional Information</t>
  </si>
  <si>
    <t>Powerco</t>
  </si>
  <si>
    <t>Topo energy</t>
  </si>
  <si>
    <t>Alarm Time</t>
  </si>
  <si>
    <t>Duration</t>
  </si>
  <si>
    <t>Technology</t>
  </si>
  <si>
    <t>Problem</t>
  </si>
  <si>
    <t>AP</t>
  </si>
  <si>
    <t>Supplementary Information</t>
  </si>
  <si>
    <t>Diagnostic Info</t>
  </si>
  <si>
    <t>Action PLAN</t>
  </si>
  <si>
    <t>Action de resolution</t>
  </si>
  <si>
    <t>Date de resolution</t>
  </si>
  <si>
    <t>Comment</t>
  </si>
  <si>
    <t>RCA</t>
  </si>
  <si>
    <t>Causes</t>
  </si>
  <si>
    <t>SBC</t>
  </si>
  <si>
    <t>Ville</t>
  </si>
  <si>
    <t>Regoin</t>
  </si>
  <si>
    <t>Temps</t>
  </si>
  <si>
    <t>Nombre</t>
  </si>
  <si>
    <t>STATUT Cells</t>
  </si>
  <si>
    <t>Ages Cells</t>
  </si>
  <si>
    <t>Jour d'extraction</t>
  </si>
  <si>
    <t>SEMAINE</t>
  </si>
  <si>
    <t>ETD,ETA,</t>
  </si>
  <si>
    <t>faulty_cells=LTE:all</t>
  </si>
  <si>
    <t>No connection to unit</t>
  </si>
  <si>
    <t>HAMMER_OU-NO</t>
  </si>
  <si>
    <t>VSWR major alarm</t>
  </si>
  <si>
    <t>faulty_cells=GSM:all</t>
  </si>
  <si>
    <t>faulty_cells=LTE:11,12,13</t>
  </si>
  <si>
    <t>OCM</t>
  </si>
  <si>
    <t>faulty_cells=LTE:23</t>
  </si>
  <si>
    <t>TX out of order</t>
  </si>
  <si>
    <t>faulty_cells=WCDMA:all</t>
  </si>
  <si>
    <t>TELEINFRA</t>
  </si>
  <si>
    <t>BTS configuration error (not enough HW for LCR)</t>
  </si>
  <si>
    <t>1868 supplAlarmInfo=Not enough link capacity on fronthaul or internal connections or SFP(s) for cell detected additionalFaultID=1868</t>
  </si>
  <si>
    <t>faulty_cells=GSM:all;LTE:21,22,23</t>
  </si>
  <si>
    <t>Critical BER detected on the optical connection to Radio Module</t>
  </si>
  <si>
    <t>AFRO</t>
  </si>
  <si>
    <t>Unit RNW configuration failure</t>
  </si>
  <si>
    <t>faulty_cells=LTE:21,22,23</t>
  </si>
  <si>
    <t>faulty_cells=LTE:22</t>
  </si>
  <si>
    <t>faulty_cells=LTE:13</t>
  </si>
  <si>
    <t>OCM SPMS</t>
  </si>
  <si>
    <t>BO RAN</t>
  </si>
  <si>
    <t>4H&lt;T&lt;8H</t>
  </si>
  <si>
    <t>TowerCo</t>
  </si>
  <si>
    <t>Grid-Gen</t>
  </si>
  <si>
    <t>2H&lt;T&lt;4H</t>
  </si>
  <si>
    <t>T&gt;72H</t>
  </si>
  <si>
    <t>16H&lt;T&lt;24H</t>
  </si>
  <si>
    <t>8H&lt;T&lt;16H</t>
  </si>
  <si>
    <t>STATUT CELLS DOWN</t>
  </si>
  <si>
    <t>Nbre Cell Down</t>
  </si>
  <si>
    <t>Old Cases</t>
  </si>
  <si>
    <t>New Cases</t>
  </si>
  <si>
    <t>Nbre Cell Down  Resolus</t>
  </si>
  <si>
    <t xml:space="preserve">Taux de Resolution </t>
  </si>
  <si>
    <t>STATUT CELLS PAR OWNER</t>
  </si>
  <si>
    <t>FME</t>
  </si>
  <si>
    <t xml:space="preserve">BO </t>
  </si>
  <si>
    <t>PowerCO</t>
  </si>
  <si>
    <t>SPARES (HW SPMS &amp; OCM SPMS)</t>
  </si>
  <si>
    <t>STATUT PowerCo</t>
  </si>
  <si>
    <t>IHS</t>
  </si>
  <si>
    <t>Camusat</t>
  </si>
  <si>
    <t>MTN</t>
  </si>
  <si>
    <t>STATUT SPARES</t>
  </si>
  <si>
    <t>HW SPMS</t>
  </si>
  <si>
    <t>NEW CASE</t>
  </si>
  <si>
    <t>UP</t>
  </si>
  <si>
    <t>Region/Ville</t>
  </si>
  <si>
    <t>T&lt;1H</t>
  </si>
  <si>
    <t>1H&lt;T&lt;2H</t>
  </si>
  <si>
    <t>24H&lt;T&lt;48H</t>
  </si>
  <si>
    <t>48H&lt;T&lt;72H</t>
  </si>
  <si>
    <t>TOTAL</t>
  </si>
  <si>
    <t>BO TX</t>
  </si>
  <si>
    <t>HAMMER_LT-SW</t>
  </si>
  <si>
    <t>`</t>
  </si>
  <si>
    <t>Huawei/Nokia</t>
  </si>
  <si>
    <t>Grand Total</t>
  </si>
  <si>
    <t>Dates</t>
  </si>
  <si>
    <t>Initial</t>
  </si>
  <si>
    <t>ONGOING</t>
  </si>
  <si>
    <t>25/09/2024 13h</t>
  </si>
  <si>
    <t>25/09/2024 18h</t>
  </si>
  <si>
    <t>26/09/2024 9h</t>
  </si>
  <si>
    <t>26/09/2024 13h</t>
  </si>
  <si>
    <t>26/09/2024 18h</t>
  </si>
  <si>
    <t>27/09/2024 9h</t>
  </si>
  <si>
    <t>27/09/2024 13h</t>
  </si>
  <si>
    <t>27/09/2024 18h</t>
  </si>
  <si>
    <t>28/09/2024 9h</t>
  </si>
  <si>
    <t>28/09/2024 13h</t>
  </si>
  <si>
    <t>29/09/2024 9h</t>
  </si>
  <si>
    <t>29/09/2024 13h</t>
  </si>
  <si>
    <t>29/09/2024 18h</t>
  </si>
  <si>
    <t>30/09/2024 9h</t>
  </si>
  <si>
    <t>30/09/2024 13h</t>
  </si>
  <si>
    <t>30/09/2024 17h</t>
  </si>
  <si>
    <t>01/10/2024 9h</t>
  </si>
  <si>
    <t>01/10/2024 13h</t>
  </si>
  <si>
    <t>01/10/2024 17h</t>
  </si>
  <si>
    <t>02/10/2024 9h</t>
  </si>
  <si>
    <t>02/10/2024 13h</t>
  </si>
  <si>
    <t>02/10/2024 17h</t>
  </si>
  <si>
    <t>03/10/2024 9h</t>
  </si>
  <si>
    <t>03/10/2024 13h</t>
  </si>
  <si>
    <t>03/10/2024 17h</t>
  </si>
  <si>
    <t>04/10/2024 9h</t>
  </si>
  <si>
    <t>04/10/2024 13h</t>
  </si>
  <si>
    <t>04/10/2024 17h</t>
  </si>
  <si>
    <t>05/10/2024 9h</t>
  </si>
  <si>
    <t>05/10/2024 13h</t>
  </si>
  <si>
    <t>05/10/2024 17h</t>
  </si>
  <si>
    <t>06/10/2024 9h</t>
  </si>
  <si>
    <t>06/10/2024 13h</t>
  </si>
  <si>
    <t>07/10/2024 9h</t>
  </si>
  <si>
    <t>07/10/2024 13h</t>
  </si>
  <si>
    <t>07/10/2024 17h</t>
  </si>
  <si>
    <t>08/10/2024 9h</t>
  </si>
  <si>
    <t>08/10/2024 14h</t>
  </si>
  <si>
    <t>08/10/2024 18h</t>
  </si>
  <si>
    <t>09/10/2024 9h</t>
  </si>
  <si>
    <t>09/10/2024 14h</t>
  </si>
  <si>
    <t>09/10/2024 17h</t>
  </si>
  <si>
    <t>10/10/2024 9h</t>
  </si>
  <si>
    <t>10/10/2024 14h</t>
  </si>
  <si>
    <t>10/10/2024 18h</t>
  </si>
  <si>
    <t>11/10/2024 9h</t>
  </si>
  <si>
    <t>11/10/2024 13h</t>
  </si>
  <si>
    <t>11/10/2024 17h</t>
  </si>
  <si>
    <t>12/10/2024 12h</t>
  </si>
  <si>
    <t>12/10/2024 17h</t>
  </si>
  <si>
    <t>13/10/2024 8h</t>
  </si>
  <si>
    <t>13/10/2024 14h</t>
  </si>
  <si>
    <t>14/10/2024 8h</t>
  </si>
  <si>
    <t>14/10/2024 14h</t>
  </si>
  <si>
    <t>14/10/2024 17h</t>
  </si>
  <si>
    <t>15/10/2024 9h</t>
  </si>
  <si>
    <t>15/10/2024 13h</t>
  </si>
  <si>
    <t>15/10/2024 17h</t>
  </si>
  <si>
    <t>16/10/2024 9h</t>
  </si>
  <si>
    <t>16/10/2024 14h</t>
  </si>
  <si>
    <t>16/10/2024 17h</t>
  </si>
  <si>
    <t>17/10/2024 9h</t>
  </si>
  <si>
    <t>17/10/2024 14h</t>
  </si>
  <si>
    <t>17/10/2024 17h</t>
  </si>
  <si>
    <t>18/10/2024 9h</t>
  </si>
  <si>
    <t>18/10/2024 14h</t>
  </si>
  <si>
    <t>18/10/2024 18h</t>
  </si>
  <si>
    <t>19/10/2024 9h</t>
  </si>
  <si>
    <t>19/10/2024 12h</t>
  </si>
  <si>
    <t>19/10/2024 16h</t>
  </si>
  <si>
    <t>20/10/2024 9h</t>
  </si>
  <si>
    <t>20/10/2024 12h</t>
  </si>
  <si>
    <t>21/10/2024 9h</t>
  </si>
  <si>
    <t>21/10/2024 15h</t>
  </si>
  <si>
    <t>21/10/2024 18h</t>
  </si>
  <si>
    <t>22/10/2024 9h</t>
  </si>
  <si>
    <t>22/10/2024 13h</t>
  </si>
  <si>
    <t>22/10/2024 17h</t>
  </si>
  <si>
    <t>23/10/2024 9h</t>
  </si>
  <si>
    <t>23/10/2024 13h</t>
  </si>
  <si>
    <t>23/10/2024 17h</t>
  </si>
  <si>
    <t>24/10/2024 9h</t>
  </si>
  <si>
    <t>24/10/2024 17h</t>
  </si>
  <si>
    <t>24/10/2024 19h</t>
  </si>
  <si>
    <t>25/10/2024 9h</t>
  </si>
  <si>
    <t>25/10/2024 13h</t>
  </si>
  <si>
    <t>25/10/2024 16h</t>
  </si>
  <si>
    <t>26/10/2024 9h</t>
  </si>
  <si>
    <t>26/10/2024 13h</t>
  </si>
  <si>
    <t>26/10/2024 17h</t>
  </si>
  <si>
    <t>28/10/2024 9h</t>
  </si>
  <si>
    <t>28/10/2024 13h</t>
  </si>
  <si>
    <t>28/10/2024 18h</t>
  </si>
  <si>
    <t>29/10/2024 9h</t>
  </si>
  <si>
    <t>29/10/2024 13h</t>
  </si>
  <si>
    <t>29/10/2024 17h</t>
  </si>
  <si>
    <t>30/10/2024 9h</t>
  </si>
  <si>
    <t>30/10/2024 16h</t>
  </si>
  <si>
    <t>31/10/2024 9h</t>
  </si>
  <si>
    <t>31/10/2024 16h</t>
  </si>
  <si>
    <t>01/11/2024 9H</t>
  </si>
  <si>
    <t>01/11/2024 16H</t>
  </si>
  <si>
    <t>02/11/2024 9H</t>
  </si>
  <si>
    <t>02/11/2024 13H</t>
  </si>
  <si>
    <t>02/11/2024 16H</t>
  </si>
  <si>
    <t>03/11/2024 9H</t>
  </si>
  <si>
    <t>03/11/2024 13H</t>
  </si>
  <si>
    <t>03/11/2024 16H</t>
  </si>
  <si>
    <t>04/11/2024 9H</t>
  </si>
  <si>
    <t>04/11/2024 16H</t>
  </si>
  <si>
    <t>05/11/2024 9H</t>
  </si>
  <si>
    <t>05/11/2024 16H</t>
  </si>
  <si>
    <t>06/11/2024 9H</t>
  </si>
  <si>
    <t>06/11/2024 16H</t>
  </si>
  <si>
    <t>07/11/2024 9H</t>
  </si>
  <si>
    <t>07/11/2024 16H</t>
  </si>
  <si>
    <t>08/11/2024 9H</t>
  </si>
  <si>
    <t>08/11/2024 16H</t>
  </si>
  <si>
    <t>09/11/2024 16H</t>
  </si>
  <si>
    <t>10/11/2024 16H</t>
  </si>
  <si>
    <t>11/11/2024 9H</t>
  </si>
  <si>
    <t>11/11/2024 16H</t>
  </si>
  <si>
    <t>12/11/2024 9H</t>
  </si>
  <si>
    <t>12/11/2024 14H</t>
  </si>
  <si>
    <t>13/11/2024 9H</t>
  </si>
  <si>
    <t>13/11/2024 14H</t>
  </si>
  <si>
    <t>14/11/2024 9H</t>
  </si>
  <si>
    <t>14/11/2024 14H</t>
  </si>
  <si>
    <t>15/11/2024 9H</t>
  </si>
  <si>
    <t>16/11/2024 9H</t>
  </si>
  <si>
    <t>16/11/2024 13H</t>
  </si>
  <si>
    <t>16/11/2024 17H</t>
  </si>
  <si>
    <t>17/11/2024 9H</t>
  </si>
  <si>
    <t>17/11/2024 13H</t>
  </si>
  <si>
    <t>17/11/2024 17H</t>
  </si>
  <si>
    <t>18/11/2024 9H</t>
  </si>
  <si>
    <t>18/11/2024 13H</t>
  </si>
  <si>
    <t>18/11/2024 17H</t>
  </si>
  <si>
    <t>19/11/2024 9H</t>
  </si>
  <si>
    <t>19/11/2024 13H</t>
  </si>
  <si>
    <t>19/11/2024 17H</t>
  </si>
  <si>
    <t>20/11/2024 9H</t>
  </si>
  <si>
    <t>20/11/2024 13H</t>
  </si>
  <si>
    <t>20/11/2024 17H</t>
  </si>
  <si>
    <t>21/11/2024 9H</t>
  </si>
  <si>
    <t>21/11/2024 14H</t>
  </si>
  <si>
    <t>21/11/2024 17H</t>
  </si>
  <si>
    <t>22/11/2024 9H</t>
  </si>
  <si>
    <t>22/11/2024 13H</t>
  </si>
  <si>
    <t>22/11/2024 17H</t>
  </si>
  <si>
    <t>23/11/2024 9H</t>
  </si>
  <si>
    <t>23/11/2024 17H</t>
  </si>
  <si>
    <t>24/11/2024 9H</t>
  </si>
  <si>
    <t>24/11/2024 13H</t>
  </si>
  <si>
    <t>24/11/2024 17H</t>
  </si>
  <si>
    <t>25/11/2024 9H</t>
  </si>
  <si>
    <t>25/11/2024 16H</t>
  </si>
  <si>
    <t>25/11/2024 18H</t>
  </si>
  <si>
    <t>26/11/2024 9H</t>
  </si>
  <si>
    <t>26/11/2024 16H</t>
  </si>
  <si>
    <t>26/11/2024 18H</t>
  </si>
  <si>
    <t>27/11/2024 9H</t>
  </si>
  <si>
    <t>27/11/2024 13H</t>
  </si>
  <si>
    <t>27/11/2024 17H</t>
  </si>
  <si>
    <t>28/11/2024 9H</t>
  </si>
  <si>
    <t>28/11/2024 14H</t>
  </si>
  <si>
    <t>28/11/2024 17H</t>
  </si>
  <si>
    <t>29/11/2024 9H</t>
  </si>
  <si>
    <t>29/11/2024 14H</t>
  </si>
  <si>
    <t>30/11/2024 9H</t>
  </si>
  <si>
    <t>01/12/2024 9H</t>
  </si>
  <si>
    <t>02/12/2024 13H</t>
  </si>
  <si>
    <t>02/12/2024 17H</t>
  </si>
  <si>
    <t>03/12/2024 9H</t>
  </si>
  <si>
    <t>03/12/2024 13H</t>
  </si>
  <si>
    <t>03/12/2024 17H</t>
  </si>
  <si>
    <t>04/12/2024 9H</t>
  </si>
  <si>
    <t>04/12/2024 13H</t>
  </si>
  <si>
    <t>04/12/2024 17H</t>
  </si>
  <si>
    <t>05/12/2024 9H</t>
  </si>
  <si>
    <t>05/12/2024 13H</t>
  </si>
  <si>
    <t>05/12/2024 17H</t>
  </si>
  <si>
    <t>06/12/2024 9H</t>
  </si>
  <si>
    <t>06/12/2024 14H</t>
  </si>
  <si>
    <t>06/12/2024 17H</t>
  </si>
  <si>
    <t>07/12/2024 8H</t>
  </si>
  <si>
    <t>07/12/2024 13H</t>
  </si>
  <si>
    <t>07/12/2024 17H</t>
  </si>
  <si>
    <t>08/12/2024 8H</t>
  </si>
  <si>
    <t>08/12/2024 13H</t>
  </si>
  <si>
    <t>08/12/2024 17H</t>
  </si>
  <si>
    <t>09/12/2024 10H</t>
  </si>
  <si>
    <t>09/12/2024 14H</t>
  </si>
  <si>
    <t>09/12/2024 17H</t>
  </si>
  <si>
    <t>10/12/2024 10H30</t>
  </si>
  <si>
    <t>10/12/2024 14H30</t>
  </si>
  <si>
    <t>11/12/2024 7H</t>
  </si>
  <si>
    <t>11/12/2024 10H</t>
  </si>
  <si>
    <t>11/12/2024 14H</t>
  </si>
  <si>
    <t>12/12/2024 8H</t>
  </si>
  <si>
    <t>12/12/2024 10H</t>
  </si>
  <si>
    <t>12/12/2024 14H</t>
  </si>
  <si>
    <t>13/12/2024 10H30</t>
  </si>
  <si>
    <t>13/12/2024 14H30</t>
  </si>
  <si>
    <t>13/12/2024 18H</t>
  </si>
  <si>
    <t>14/12/2024 9H</t>
  </si>
  <si>
    <t>14/12/2024 14H</t>
  </si>
  <si>
    <t>14/12/2024 18H</t>
  </si>
  <si>
    <t>15/12/2024 9H</t>
  </si>
  <si>
    <t>15/12/2024 14H</t>
  </si>
  <si>
    <t>15/12/2024 17H</t>
  </si>
  <si>
    <t>16/12/2024 10H</t>
  </si>
  <si>
    <t>16/12/2024 14H</t>
  </si>
  <si>
    <t>17/12/2024 7H30</t>
  </si>
  <si>
    <t>17/12/2024 10H</t>
  </si>
  <si>
    <t>17/12/2024 15H</t>
  </si>
  <si>
    <t>18/12/2024 7h</t>
  </si>
  <si>
    <t>18/12/2024 10H30</t>
  </si>
  <si>
    <t>18/12/2024 14H30</t>
  </si>
  <si>
    <t>19/12/2024 10H</t>
  </si>
  <si>
    <t>19/12/2024 14H</t>
  </si>
  <si>
    <t>20/12/2024 8H</t>
  </si>
  <si>
    <t>20/12/2024 10H</t>
  </si>
  <si>
    <t>20/12/2024 14H</t>
  </si>
  <si>
    <t>21/12/2024 9H</t>
  </si>
  <si>
    <t>21/12/2024 17H</t>
  </si>
  <si>
    <t>22/12/2024 9H</t>
  </si>
  <si>
    <t>22/12/2024 12H</t>
  </si>
  <si>
    <t>22/12/2024 16H</t>
  </si>
  <si>
    <t>23/12/2024 10H</t>
  </si>
  <si>
    <t>23/12/2024 14H</t>
  </si>
  <si>
    <t>24/12/2024 8H</t>
  </si>
  <si>
    <t>24/12/2024 10H</t>
  </si>
  <si>
    <t>24/12/2024 16H</t>
  </si>
  <si>
    <t>26/12/2024 11H</t>
  </si>
  <si>
    <t>26/12/2024 14H</t>
  </si>
  <si>
    <t>27/12/2024 8H</t>
  </si>
  <si>
    <t>27/12/2024 11H</t>
  </si>
  <si>
    <t>27/12/2024 15H</t>
  </si>
  <si>
    <t>28/12/2024 8H30</t>
  </si>
  <si>
    <t>28/12/2024 13H30</t>
  </si>
  <si>
    <t>28/12/2024 18H30</t>
  </si>
  <si>
    <t>29/12/2024 7H</t>
  </si>
  <si>
    <t>29/12/2024 14H</t>
  </si>
  <si>
    <t>29/12/2024 17H30</t>
  </si>
  <si>
    <t>30/12/2024 10H</t>
  </si>
  <si>
    <t>30/12/2024 15H</t>
  </si>
  <si>
    <t>31/12/2024 8H</t>
  </si>
  <si>
    <t>31/12/2024 10H</t>
  </si>
  <si>
    <t>31/12/2024 15H</t>
  </si>
  <si>
    <t>02/1/2025 8H</t>
  </si>
  <si>
    <t>02/1/2025 10H30</t>
  </si>
  <si>
    <t>02/1/2025 14H30</t>
  </si>
  <si>
    <t>03/1/2025 7H30</t>
  </si>
  <si>
    <t>03/1/2025 10H30</t>
  </si>
  <si>
    <t>03/1/2025 14H31</t>
  </si>
  <si>
    <t>04/1/2025 8H</t>
  </si>
  <si>
    <t>04/1/2025 13H</t>
  </si>
  <si>
    <t>04/1/2025 18H</t>
  </si>
  <si>
    <t>05/1/2025 9H</t>
  </si>
  <si>
    <t>05/1/2025 13H</t>
  </si>
  <si>
    <t>06/1/2025 11H</t>
  </si>
  <si>
    <t>06/1/2025 15H</t>
  </si>
  <si>
    <t>07/1/2025 11H</t>
  </si>
  <si>
    <t>07/1/2025 15H</t>
  </si>
  <si>
    <t>08/1/2025 8H</t>
  </si>
  <si>
    <t>08/1/2025 11H</t>
  </si>
  <si>
    <t>08/1/2025 15H</t>
  </si>
  <si>
    <t>09/1/2025 8H</t>
  </si>
  <si>
    <t>09/1/2025 11H</t>
  </si>
  <si>
    <t>09/1/2025 15H</t>
  </si>
  <si>
    <t>10/1/2025 8H</t>
  </si>
  <si>
    <t>10/1/2025 11H</t>
  </si>
  <si>
    <t>10/1/2025 15H</t>
  </si>
  <si>
    <t>11/1/2025 9H</t>
  </si>
  <si>
    <t>11/1/2025 12H</t>
  </si>
  <si>
    <t>11/1/2025 15H</t>
  </si>
  <si>
    <t>12/1/2025 10H</t>
  </si>
  <si>
    <t>12/1/2025 12H</t>
  </si>
  <si>
    <t>13/1/2025 8H</t>
  </si>
  <si>
    <t>13/1/2025 11H</t>
  </si>
  <si>
    <t>13/1/2025 15H</t>
  </si>
  <si>
    <t>14/1/2025 11H</t>
  </si>
  <si>
    <t>14/1/2025 15H</t>
  </si>
  <si>
    <t>15/1/2025 8H</t>
  </si>
  <si>
    <t>15/1/2025 11H</t>
  </si>
  <si>
    <t>15/1/2025 15H</t>
  </si>
  <si>
    <t>16/1/2025 11H</t>
  </si>
  <si>
    <t>16/1/2025 15H</t>
  </si>
  <si>
    <t>17/1/2025 8H</t>
  </si>
  <si>
    <t>17/1/2025 15H</t>
  </si>
  <si>
    <t>18/1/2025 7H</t>
  </si>
  <si>
    <t>18/1/2025 13H</t>
  </si>
  <si>
    <t>18/1/2025 18H</t>
  </si>
  <si>
    <t>19/1/2025 8H</t>
  </si>
  <si>
    <t>19/1/2025 13H</t>
  </si>
  <si>
    <t>20/1/2025 7H</t>
  </si>
  <si>
    <t>20/1/2025 11H</t>
  </si>
  <si>
    <t>20/1/2025 15H</t>
  </si>
  <si>
    <t>21/1/2025 8H</t>
  </si>
  <si>
    <t>21/1/2025 11H</t>
  </si>
  <si>
    <t>21/1/2025 15H</t>
  </si>
  <si>
    <t>22/1/2025 8H</t>
  </si>
  <si>
    <t>22/1/2025 11H</t>
  </si>
  <si>
    <t>22/1/2025 15H</t>
  </si>
  <si>
    <t>23/1/2025 8H</t>
  </si>
  <si>
    <t>23/1/2025 15H</t>
  </si>
  <si>
    <t>23/1/2025 18H</t>
  </si>
  <si>
    <t>24/1/2025 8H</t>
  </si>
  <si>
    <t>24/1/2025 11H</t>
  </si>
  <si>
    <t>24/1/2025 15H</t>
  </si>
  <si>
    <t>25/1/2025 9H</t>
  </si>
  <si>
    <t>25/1/2025 13H</t>
  </si>
  <si>
    <t>25/1/2025 17H</t>
  </si>
  <si>
    <t>26/1/2025 9H</t>
  </si>
  <si>
    <t>26/1/2025 13H</t>
  </si>
  <si>
    <t>26/1/2025 17H</t>
  </si>
  <si>
    <t>27/1/2025 11H</t>
  </si>
  <si>
    <t>27/1/2025 15H</t>
  </si>
  <si>
    <t>27/1/2025 18H</t>
  </si>
  <si>
    <t>28/1/2025 8H</t>
  </si>
  <si>
    <t>28/1/2025 11H</t>
  </si>
  <si>
    <t>28/1/2025 15H</t>
  </si>
  <si>
    <t>28/1/2025 18H</t>
  </si>
  <si>
    <t>29/1/2025 8H</t>
  </si>
  <si>
    <t>29/1/2025 12H</t>
  </si>
  <si>
    <t>29/1/2025 15H</t>
  </si>
  <si>
    <t>30/1/2025 11H</t>
  </si>
  <si>
    <t>30/1/2025 15H</t>
  </si>
  <si>
    <t>31/1/2025 7H</t>
  </si>
  <si>
    <t>31/1/2025 10H30</t>
  </si>
  <si>
    <t>31/1/2025 14H30</t>
  </si>
  <si>
    <t>01/2/2025 9H</t>
  </si>
  <si>
    <t>01/2/2025 14H</t>
  </si>
  <si>
    <t>02/2/2025 8H</t>
  </si>
  <si>
    <t>02/2/2025 14H</t>
  </si>
  <si>
    <t>03/2/2025 10H</t>
  </si>
  <si>
    <t>03/2/2025 18H</t>
  </si>
  <si>
    <t>04/2/2025 8H30</t>
  </si>
  <si>
    <t>04/2/2025 11H30</t>
  </si>
  <si>
    <t>04/2/2025 14H30</t>
  </si>
  <si>
    <t>04/2/2025 18H</t>
  </si>
  <si>
    <t>05/2/2025 8H</t>
  </si>
  <si>
    <t>05/2/2025 11H</t>
  </si>
  <si>
    <t>05/2/2025 15H</t>
  </si>
  <si>
    <t>05/2/2025 18H</t>
  </si>
  <si>
    <t>06/2/2025 8H</t>
  </si>
  <si>
    <t>06/2/2025 11H</t>
  </si>
  <si>
    <t>06/2/2025 15H</t>
  </si>
  <si>
    <t>07/2/2025 8H</t>
  </si>
  <si>
    <t>07/2/2025 11H</t>
  </si>
  <si>
    <t>07/2/2025 15H</t>
  </si>
  <si>
    <t>08/2/2025 8H30</t>
  </si>
  <si>
    <t>08/2/2025 13H</t>
  </si>
  <si>
    <t>09/2/2025 8H30</t>
  </si>
  <si>
    <t>09/2/2025 13H30</t>
  </si>
  <si>
    <t>09/2/2025 17H30</t>
  </si>
  <si>
    <t>10/2/2025 7H</t>
  </si>
  <si>
    <t>10/2/2025 13H</t>
  </si>
  <si>
    <t>10/2/2025 17H</t>
  </si>
  <si>
    <t>11/2/2025 7H</t>
  </si>
  <si>
    <t>11/2/2025 13H</t>
  </si>
  <si>
    <t>11/2/2025 18H</t>
  </si>
  <si>
    <t>12/2/2025 11H</t>
  </si>
  <si>
    <t>12/2/2025 15H</t>
  </si>
  <si>
    <t>13/2/2025 7H</t>
  </si>
  <si>
    <t>13/2/2025 11H</t>
  </si>
  <si>
    <t>13/2/2025 15H</t>
  </si>
  <si>
    <t>14/2/2025 8H</t>
  </si>
  <si>
    <t>14/2/2025 11H</t>
  </si>
  <si>
    <t>14/2/2025 15H</t>
  </si>
  <si>
    <t>14/2/2025 18H</t>
  </si>
  <si>
    <t>15/2/2025 9H</t>
  </si>
  <si>
    <t>15/2/2025 13H</t>
  </si>
  <si>
    <t>15/2/2025 17H</t>
  </si>
  <si>
    <t>16/2/2025 9H</t>
  </si>
  <si>
    <t>16/2/2025 13H</t>
  </si>
  <si>
    <t>16/2/2025 17H</t>
  </si>
  <si>
    <t>17/2/2025 7H</t>
  </si>
  <si>
    <t>17/2/2025 11H</t>
  </si>
  <si>
    <t>17/2/2025 15H</t>
  </si>
  <si>
    <t>18/2/2025 7H</t>
  </si>
  <si>
    <t>18/2/2025 11H</t>
  </si>
  <si>
    <t>18/2/2025 15H</t>
  </si>
  <si>
    <t>19/2/2025 7H</t>
  </si>
  <si>
    <t>19/2/2025 11H</t>
  </si>
  <si>
    <t>19/2/2025 15H</t>
  </si>
  <si>
    <t>20/2/2025 7H</t>
  </si>
  <si>
    <t>20/2/2025 11H</t>
  </si>
  <si>
    <t>20/2/2025 15H</t>
  </si>
  <si>
    <t>21/2/2025 9H</t>
  </si>
  <si>
    <t>21/2/2025 12H</t>
  </si>
  <si>
    <t>21/2/2025 15H</t>
  </si>
  <si>
    <t>22/2/2025 9H</t>
  </si>
  <si>
    <t>22/2/2025 12H</t>
  </si>
  <si>
    <t>23/2/2025 9H</t>
  </si>
  <si>
    <t>23/2/2025 12H</t>
  </si>
  <si>
    <t>23/2/2025 15H</t>
  </si>
  <si>
    <t>24/2/2025 7H</t>
  </si>
  <si>
    <t>24/2/2025 11H</t>
  </si>
  <si>
    <t>24/2/2025 15H</t>
  </si>
  <si>
    <t>25/2/2025 8H</t>
  </si>
  <si>
    <t>25/2/2025 11H</t>
  </si>
  <si>
    <t>25/2/2025 15H</t>
  </si>
  <si>
    <t>26/2/2025 7H30</t>
  </si>
  <si>
    <t>26/2/2025 11H</t>
  </si>
  <si>
    <t>26/2/2025 15H</t>
  </si>
  <si>
    <t>27/2/2025 9H</t>
  </si>
  <si>
    <t>27/2/2025 11H</t>
  </si>
  <si>
    <t>27/2/2025 15H</t>
  </si>
  <si>
    <t>28/2/2025 8H</t>
  </si>
  <si>
    <t>28/2/2025 11H</t>
  </si>
  <si>
    <t>28/2/2025 15H</t>
  </si>
  <si>
    <t>01/03/2025 10H</t>
  </si>
  <si>
    <t>01/03/2025 14H</t>
  </si>
  <si>
    <t>02/03/2025 10H</t>
  </si>
  <si>
    <t>02/03/2025 13H</t>
  </si>
  <si>
    <t>02/03/2025 16H</t>
  </si>
  <si>
    <t>03/03/2025 8H</t>
  </si>
  <si>
    <t>03/03/2025 11H</t>
  </si>
  <si>
    <t>03/03/2025 15H</t>
  </si>
  <si>
    <t>04/03/2025 7H</t>
  </si>
  <si>
    <t>04/03/2025 11H</t>
  </si>
  <si>
    <t>04/03/2025 15H</t>
  </si>
  <si>
    <t>05/03/2025 7H</t>
  </si>
  <si>
    <t>05/03/2025 11H</t>
  </si>
  <si>
    <t>05/03/2025 15H</t>
  </si>
  <si>
    <t>06/03/2025 7H</t>
  </si>
  <si>
    <t>06/03/2025 11H</t>
  </si>
  <si>
    <t>06/03/2025 15H</t>
  </si>
  <si>
    <t>07/03/2025 7H</t>
  </si>
  <si>
    <t>07/03/2025 11H</t>
  </si>
  <si>
    <t>07/03/2025 15H</t>
  </si>
  <si>
    <t>10/03/2025 7H</t>
  </si>
  <si>
    <t>10/03/2025 11H</t>
  </si>
  <si>
    <t>10/03/2025 15H</t>
  </si>
  <si>
    <t>11/03/2025 7H</t>
  </si>
  <si>
    <t>11/03/2025 11H</t>
  </si>
  <si>
    <t>11/03/2025 15H</t>
  </si>
  <si>
    <t>12/03/2025 8H</t>
  </si>
  <si>
    <t>12/03/2025 11H</t>
  </si>
  <si>
    <t>12/03/2025 15H</t>
  </si>
  <si>
    <t>13/03/2025 8H</t>
  </si>
  <si>
    <t>13/03/2025 11H</t>
  </si>
  <si>
    <t>13/03/2025 15H</t>
  </si>
  <si>
    <t>14/03/2025 7H</t>
  </si>
  <si>
    <t>14/03/2025 11H</t>
  </si>
  <si>
    <t>14/03/2025 15H</t>
  </si>
  <si>
    <t>15/03/2025 8H</t>
  </si>
  <si>
    <t>15/03/2025 13H</t>
  </si>
  <si>
    <t>15/03/2025 16H</t>
  </si>
  <si>
    <t>16/03/2025 9H</t>
  </si>
  <si>
    <t>16/03/2025 13H</t>
  </si>
  <si>
    <t>16/03/2025 16H</t>
  </si>
  <si>
    <t>17/03/2025 7H</t>
  </si>
  <si>
    <t>17/03/2025 11H</t>
  </si>
  <si>
    <t>17/03/2025 15H</t>
  </si>
  <si>
    <t>18/03/2025 7H</t>
  </si>
  <si>
    <t>18/03/2025 11H</t>
  </si>
  <si>
    <t>18/03/2025 15H</t>
  </si>
  <si>
    <t>19/03/2025 8H</t>
  </si>
  <si>
    <t>19/03/2025 11H</t>
  </si>
  <si>
    <t>19/03/2025 15H</t>
  </si>
  <si>
    <t>20/03/2025 8H</t>
  </si>
  <si>
    <t>20/03/2025 11H</t>
  </si>
  <si>
    <t>20/03/2025 15H</t>
  </si>
  <si>
    <t>21/03/2025 8H</t>
  </si>
  <si>
    <t>21/03/2025 11H</t>
  </si>
  <si>
    <t>21/03/2025 15H</t>
  </si>
  <si>
    <t>22/03/2025 9H</t>
  </si>
  <si>
    <t>22/03/2025 13H</t>
  </si>
  <si>
    <t>23/03/2025 10H</t>
  </si>
  <si>
    <t>23/03/2025 15H</t>
  </si>
  <si>
    <t>24/03/2025 7H</t>
  </si>
  <si>
    <t>24/03/2025 11H</t>
  </si>
  <si>
    <t>24/03/2025 15H</t>
  </si>
  <si>
    <t>25/03/2025 7H</t>
  </si>
  <si>
    <t>25/03/2025 11H</t>
  </si>
  <si>
    <t>25/03/2025 15H</t>
  </si>
  <si>
    <t>26/03/2025 8H</t>
  </si>
  <si>
    <t>26/03/2025 11H</t>
  </si>
  <si>
    <t>26/03/2025 15H</t>
  </si>
  <si>
    <t>27/03/2025 8H</t>
  </si>
  <si>
    <t>27/03/2025 11H</t>
  </si>
  <si>
    <t>27/03/2025 15H</t>
  </si>
  <si>
    <t>28/03/2025 8H</t>
  </si>
  <si>
    <t>28/03/2025 11H</t>
  </si>
  <si>
    <t>28/03/2025 15H</t>
  </si>
  <si>
    <t>29/03/2025 8H</t>
  </si>
  <si>
    <t>29/03/2025 13H</t>
  </si>
  <si>
    <t>29/03/2025 16H</t>
  </si>
  <si>
    <t>30/03/2025 9H</t>
  </si>
  <si>
    <t>30/03/2025 13H</t>
  </si>
  <si>
    <t>30/03/2025 15H</t>
  </si>
  <si>
    <t>01/04/2025 8H</t>
  </si>
  <si>
    <t>01/04/2025 11H</t>
  </si>
  <si>
    <t>01/04/2025 15H</t>
  </si>
  <si>
    <t>02/04/2025 7H</t>
  </si>
  <si>
    <t>02/04/2025 11H</t>
  </si>
  <si>
    <t>02/04/2025 15H</t>
  </si>
  <si>
    <t>03/04/2025 8H</t>
  </si>
  <si>
    <t>03/04/2025 11H</t>
  </si>
  <si>
    <t>03/04/2025 15H</t>
  </si>
  <si>
    <t>04/04/2025 7H</t>
  </si>
  <si>
    <t>04/04/2025 11H</t>
  </si>
  <si>
    <t>04/04/2025 15H</t>
  </si>
  <si>
    <t>05/04/2025 9H</t>
  </si>
  <si>
    <t>05/04/2025 14H</t>
  </si>
  <si>
    <t>06/04/2025 11H</t>
  </si>
  <si>
    <t>06/04/2025 16H</t>
  </si>
  <si>
    <t>07/04/2025 9H</t>
  </si>
  <si>
    <t>07/04/2025 11H</t>
  </si>
  <si>
    <t>07/04/2025 15H</t>
  </si>
  <si>
    <t>08/04/2025 8H</t>
  </si>
  <si>
    <t>08/04/2025 11H</t>
  </si>
  <si>
    <t>08/04/2025 15H</t>
  </si>
  <si>
    <t>09/04/2025 8H</t>
  </si>
  <si>
    <t>09/04/2025 11H</t>
  </si>
  <si>
    <t>09/04/2025 15H</t>
  </si>
  <si>
    <t>10/04/2025 11H</t>
  </si>
  <si>
    <t>10/04/2025 15H</t>
  </si>
  <si>
    <t>11/04/2025 8H</t>
  </si>
  <si>
    <t>11/04/2025 15H</t>
  </si>
  <si>
    <t>12/04/2025 8H</t>
  </si>
  <si>
    <t>12/04/2025 14H</t>
  </si>
  <si>
    <t>13/04/2025 8H</t>
  </si>
  <si>
    <t>13/04/2025 13H</t>
  </si>
  <si>
    <t>14/04/2025 8H</t>
  </si>
  <si>
    <t>14/04/2025 11H</t>
  </si>
  <si>
    <t>14/04/2025 15H</t>
  </si>
  <si>
    <t>15/04/2025 8H</t>
  </si>
  <si>
    <t>15/04/2025 11H</t>
  </si>
  <si>
    <t>15/04/2025 15H</t>
  </si>
  <si>
    <t>16/04/2025 8H</t>
  </si>
  <si>
    <t>16/04/2025 11H</t>
  </si>
  <si>
    <t>16/04/2025 15H</t>
  </si>
  <si>
    <t>17/04/2025 8H</t>
  </si>
  <si>
    <t>17/04/2025 11H</t>
  </si>
  <si>
    <t>17/04/2025 15H</t>
  </si>
  <si>
    <t>18/04/2025 9H</t>
  </si>
  <si>
    <t>19/04/2025 10H</t>
  </si>
  <si>
    <t>19/04/2025 14H</t>
  </si>
  <si>
    <t>20/04/2025 9H</t>
  </si>
  <si>
    <t>20/04/2025 15H</t>
  </si>
  <si>
    <t>21/04/2025 8H</t>
  </si>
  <si>
    <t>21/04/2025 11H</t>
  </si>
  <si>
    <t>21/04/2025 15H</t>
  </si>
  <si>
    <t>22/04/2025 8H</t>
  </si>
  <si>
    <t>22/04/2025 11H</t>
  </si>
  <si>
    <t>22/04/2025 15H</t>
  </si>
  <si>
    <t>23/04/2025 8H</t>
  </si>
  <si>
    <t>23/04/2025 11H</t>
  </si>
  <si>
    <t>23/04/2025 15H</t>
  </si>
  <si>
    <t>24/04/2025 8H</t>
  </si>
  <si>
    <t>24/04/2025 11H</t>
  </si>
  <si>
    <t>24/04/2025 15H</t>
  </si>
  <si>
    <t>25/04/2025 8H</t>
  </si>
  <si>
    <t>25/04/2025 11H</t>
  </si>
  <si>
    <t>25/04/2025 15H</t>
  </si>
  <si>
    <t>26/04/2025 11H</t>
  </si>
  <si>
    <t>26/04/2025 15H</t>
  </si>
  <si>
    <t>27/04/2025 8H</t>
  </si>
  <si>
    <t>27/04/2025 13H</t>
  </si>
  <si>
    <t>27/04/2025 18H</t>
  </si>
  <si>
    <t>28/04/2025 9H</t>
  </si>
  <si>
    <t>28/04/2025 11H</t>
  </si>
  <si>
    <t>28/04/2025 16H</t>
  </si>
  <si>
    <t>29/04/2025 8H</t>
  </si>
  <si>
    <t>29/04/2025 11H</t>
  </si>
  <si>
    <t>29/04/2025 16H</t>
  </si>
  <si>
    <t>30/04/2025 8H</t>
  </si>
  <si>
    <t>30/04/2025 11H</t>
  </si>
  <si>
    <t>30/04/2025 16H</t>
  </si>
  <si>
    <t>02/05/2025 8H</t>
  </si>
  <si>
    <t>02/05/2025 11H</t>
  </si>
  <si>
    <t>02/05/2025 16H</t>
  </si>
  <si>
    <t>03/05/2025 11H</t>
  </si>
  <si>
    <t>03/05/2025 15H</t>
  </si>
  <si>
    <t>04/05/2025 10H</t>
  </si>
  <si>
    <t>04/05/2025 13H</t>
  </si>
  <si>
    <t>05/05/2025 9H</t>
  </si>
  <si>
    <t>05/05/2025 11H</t>
  </si>
  <si>
    <t>05/05/2025 15H</t>
  </si>
  <si>
    <t>06/05/2025 8H</t>
  </si>
  <si>
    <t>06/05/2025 11H</t>
  </si>
  <si>
    <t>06/05/2025 16H</t>
  </si>
  <si>
    <t>07/05/2025 8H</t>
  </si>
  <si>
    <t>07/05/2025 11H</t>
  </si>
  <si>
    <t>07/05/2025 15H</t>
  </si>
  <si>
    <t>08/05/2025 8H</t>
  </si>
  <si>
    <t>08/05/2025 11H</t>
  </si>
  <si>
    <t>08/05/2025 15H</t>
  </si>
  <si>
    <t>09/05/2025 8H</t>
  </si>
  <si>
    <t>09/05/2025 11H</t>
  </si>
  <si>
    <t>09/05/2025 15H</t>
  </si>
  <si>
    <t>10/05/2025 9H</t>
  </si>
  <si>
    <t>10/05/2025 13H</t>
  </si>
  <si>
    <t>11/05/2025 9H</t>
  </si>
  <si>
    <t>11/05/2025 14H</t>
  </si>
  <si>
    <t>12/05/2025 8H</t>
  </si>
  <si>
    <t>12/05/2025 1H</t>
  </si>
  <si>
    <t>12/05/2025 11H</t>
  </si>
  <si>
    <t>13/05/2025 8H</t>
  </si>
  <si>
    <t>13/05/2025 11H</t>
  </si>
  <si>
    <t>13/05/2025 16H</t>
  </si>
  <si>
    <t>14/05/2025 9H</t>
  </si>
  <si>
    <t>14/05/2025 11H</t>
  </si>
  <si>
    <t>14/05/2025 16H</t>
  </si>
  <si>
    <t>15/05/2025 8H</t>
  </si>
  <si>
    <t>15/05/2025 11H</t>
  </si>
  <si>
    <t>15/05/2025 16H</t>
  </si>
  <si>
    <t>16/05/2025 8H</t>
  </si>
  <si>
    <t>16/05/2025 11H</t>
  </si>
  <si>
    <t>16/05/2025 16H</t>
  </si>
  <si>
    <t>17/05/2025 11H</t>
  </si>
  <si>
    <t>17/05/2025 15H</t>
  </si>
  <si>
    <t>18/05/2025 12h</t>
  </si>
  <si>
    <t>18/05/2025 15h</t>
  </si>
  <si>
    <t>19/05/2025 10h</t>
  </si>
  <si>
    <t>21/05/2025 9h</t>
  </si>
  <si>
    <t>21/05/2025 11h</t>
  </si>
  <si>
    <t>21/05/2025 16h</t>
  </si>
  <si>
    <t>22/05/2025 9h</t>
  </si>
  <si>
    <t>22/05/2025 11h</t>
  </si>
  <si>
    <t>22/05/2025 16h</t>
  </si>
  <si>
    <t>23/05/2025 9h</t>
  </si>
  <si>
    <t>23/05/2025 11h</t>
  </si>
  <si>
    <t>23/05/2025 16h</t>
  </si>
  <si>
    <t>24/05/2025 9h</t>
  </si>
  <si>
    <t>24/05/2025 14h</t>
  </si>
  <si>
    <t>24/05/2025 16h</t>
  </si>
  <si>
    <t>25/05/2025 10h</t>
  </si>
  <si>
    <t>25/05/2025 15h</t>
  </si>
  <si>
    <t>26/05/2025 9h</t>
  </si>
  <si>
    <t>26/05/2025 11h</t>
  </si>
  <si>
    <t>26/05/2025 16h</t>
  </si>
  <si>
    <t>27/05/2025 9h</t>
  </si>
  <si>
    <t>27/05/2025 11h</t>
  </si>
  <si>
    <t>27/05/2025 16h</t>
  </si>
  <si>
    <t>28/05/2025 9h</t>
  </si>
  <si>
    <t>28/05/2025 11h</t>
  </si>
  <si>
    <t>28/05/2025 16h</t>
  </si>
  <si>
    <t>30/05/2025 9h</t>
  </si>
  <si>
    <t>30/05/2025 11h</t>
  </si>
  <si>
    <t>30/05/2025 16h</t>
  </si>
  <si>
    <t>31/05/2025 11h</t>
  </si>
  <si>
    <t>31/05/2025 15h</t>
  </si>
  <si>
    <t>01/06/2025 11h</t>
  </si>
  <si>
    <t>01/06/2025 14h</t>
  </si>
  <si>
    <t>02/06/2025 8h</t>
  </si>
  <si>
    <t>02/06/2025 11h</t>
  </si>
  <si>
    <t>02/06/2025 16h</t>
  </si>
  <si>
    <t>03/06/2025 9h</t>
  </si>
  <si>
    <t>03/06/2025 11h</t>
  </si>
  <si>
    <t>03/06/2025 16h</t>
  </si>
  <si>
    <t>04/06/2025 9h</t>
  </si>
  <si>
    <t>04/06/2025 11h</t>
  </si>
  <si>
    <t>04/06/2025 16h</t>
  </si>
  <si>
    <t>05/06/2025 9h</t>
  </si>
  <si>
    <t>05/06/2025 11h</t>
  </si>
  <si>
    <t>05/06/2025 16h</t>
  </si>
  <si>
    <t>06/06/2025 11h</t>
  </si>
  <si>
    <t>07/06/2025 11h</t>
  </si>
  <si>
    <t>07/06/2025 15h</t>
  </si>
  <si>
    <t>08/06/2025 11h30</t>
  </si>
  <si>
    <t>08/06/2025  16h</t>
  </si>
  <si>
    <t>09/06/2025  9h</t>
  </si>
  <si>
    <t>09/06/2025  11h</t>
  </si>
  <si>
    <t>09/06/2025  16h</t>
  </si>
  <si>
    <t>10/06/2025 9h</t>
  </si>
  <si>
    <t>10/06/2025 16h</t>
  </si>
  <si>
    <t>11/06/2025 7h40</t>
  </si>
  <si>
    <t>11/06/2025  11h</t>
  </si>
  <si>
    <t>11/06/2025  15h</t>
  </si>
  <si>
    <t>12/06/2025 9h</t>
  </si>
  <si>
    <t>12/06/2025 15h</t>
  </si>
  <si>
    <t>13/06/2025 9h</t>
  </si>
  <si>
    <t>13/06/2025 11h</t>
  </si>
  <si>
    <t>13/06/2025 16h</t>
  </si>
  <si>
    <t>14/06/2025 10h</t>
  </si>
  <si>
    <t>14/06/2025 14h</t>
  </si>
  <si>
    <t>15/06/2025  9h30</t>
  </si>
  <si>
    <t>16/06/2025  9h</t>
  </si>
  <si>
    <t>16/06/2025  11h30</t>
  </si>
  <si>
    <t>16/06/2025  16h</t>
  </si>
  <si>
    <t>17/06/2025  9h</t>
  </si>
  <si>
    <t>17/06/2025  11h</t>
  </si>
  <si>
    <t>17/06/2025  16h</t>
  </si>
  <si>
    <t>18/06/2025  9h</t>
  </si>
  <si>
    <t>18/06/2025  11h</t>
  </si>
  <si>
    <t>18/06/2025  16h</t>
  </si>
  <si>
    <t>19/06/2025  9h</t>
  </si>
  <si>
    <t>19/06/2025  11h</t>
  </si>
  <si>
    <t>19/06/2025  16h</t>
  </si>
  <si>
    <t>20/06/2025  9h</t>
  </si>
  <si>
    <t>20/06/2025  11h</t>
  </si>
  <si>
    <t>20/06/2025  16h</t>
  </si>
  <si>
    <t>21/06/2025  10h</t>
  </si>
  <si>
    <t>21/06/2025  16h</t>
  </si>
  <si>
    <t>22/06/2025  11h30</t>
  </si>
  <si>
    <t>22/06/2025  15h30</t>
  </si>
  <si>
    <t>23/06/2025  9h</t>
  </si>
  <si>
    <t>23/06/2025  11h</t>
  </si>
  <si>
    <t>23/06/2025  16h</t>
  </si>
  <si>
    <t>24/06/2025  9h</t>
  </si>
  <si>
    <t>24/06/2025  11h</t>
  </si>
  <si>
    <t>24/06/2025  16h</t>
  </si>
  <si>
    <t>25/06/2025  9h</t>
  </si>
  <si>
    <t>25/06/2025  11h</t>
  </si>
  <si>
    <t>25/06/2025  16h</t>
  </si>
  <si>
    <t>26/06/2025  9h</t>
  </si>
  <si>
    <t>26/06/2025  11h</t>
  </si>
  <si>
    <t>26/06/2025  16h</t>
  </si>
  <si>
    <t>26/06/2025  6h30</t>
  </si>
  <si>
    <t>27/06/2025  10H</t>
  </si>
  <si>
    <t>27/06/2025  16H</t>
  </si>
  <si>
    <t>28/06/2025 13H</t>
  </si>
  <si>
    <t>29/06/2025  6H</t>
  </si>
  <si>
    <t>29/06/2025  11H</t>
  </si>
  <si>
    <t>30/06/2025  7H30</t>
  </si>
  <si>
    <t>30/06/2025  10H30</t>
  </si>
  <si>
    <t>30/06/2025  15H30</t>
  </si>
  <si>
    <t>30/06/2025  18H12</t>
  </si>
  <si>
    <t>01/07/2025  7H30</t>
  </si>
  <si>
    <t>01/07/2025  11H</t>
  </si>
  <si>
    <t>01/07/2025  16H</t>
  </si>
  <si>
    <t>01/07/2025  18H</t>
  </si>
  <si>
    <t>02/07/2025  7H</t>
  </si>
  <si>
    <t>02/07/2025  10H30</t>
  </si>
  <si>
    <t>02/07/2025  16H</t>
  </si>
  <si>
    <t>02/07/2025  17H43</t>
  </si>
  <si>
    <t>03/07/2025  7H</t>
  </si>
  <si>
    <t>03/07/2025  10H30</t>
  </si>
  <si>
    <t>03/07/2025  17h30</t>
  </si>
  <si>
    <t>04/07/2025  7h18</t>
  </si>
  <si>
    <t>04/07/2025  10h50</t>
  </si>
  <si>
    <t>04/07/2025  16h</t>
  </si>
  <si>
    <t>05/07/2025 6h40</t>
  </si>
  <si>
    <t>05/07/2025 12h15</t>
  </si>
  <si>
    <t>06/07/2025 10h30</t>
  </si>
  <si>
    <t>06/07/2025 15h</t>
  </si>
  <si>
    <t>07/07/2025 7h</t>
  </si>
  <si>
    <t>07/07/2025 10h30</t>
  </si>
  <si>
    <t>07/07/2025 15h40</t>
  </si>
  <si>
    <t>07/07/2025 18h30</t>
  </si>
  <si>
    <t>08/07/2025 7h26</t>
  </si>
  <si>
    <t>08/07/2025  10h40</t>
  </si>
  <si>
    <t>08/07/2025  15h45</t>
  </si>
  <si>
    <t>09/07/2025  7h</t>
  </si>
  <si>
    <t>09/07/2025  11h</t>
  </si>
  <si>
    <t>09/07/2025  16h</t>
  </si>
  <si>
    <t>10/07/2025  7h</t>
  </si>
  <si>
    <t>10/07/2025  10h</t>
  </si>
  <si>
    <t>10/07/2025  15h30</t>
  </si>
  <si>
    <t>10/07/2025  19h</t>
  </si>
  <si>
    <t>11/07/2025  7h</t>
  </si>
  <si>
    <t>11/07/2025  10h30</t>
  </si>
  <si>
    <t>11/07/2025  15h30</t>
  </si>
  <si>
    <t>12/07/2025  06h30</t>
  </si>
  <si>
    <t>12/07/2025  11h</t>
  </si>
  <si>
    <t>12/07/2025  15h30</t>
  </si>
  <si>
    <t>13/07/2025  10h30</t>
  </si>
  <si>
    <t>13/07/2025  14h30</t>
  </si>
  <si>
    <t>14/07/2025  10h30</t>
  </si>
  <si>
    <t>14/07/2025  18h30</t>
  </si>
  <si>
    <t>15/07/2025  7h30</t>
  </si>
  <si>
    <t>15/07/2025  10h30</t>
  </si>
  <si>
    <t>15/07/2025  15h30</t>
  </si>
  <si>
    <t>16/07/2025  7h</t>
  </si>
  <si>
    <t>16/07/2025  10h30</t>
  </si>
  <si>
    <t>16/07/2025  15h30</t>
  </si>
  <si>
    <t>16/07/2025  18h30</t>
  </si>
  <si>
    <t>17/07/2025  6h50</t>
  </si>
  <si>
    <t>17/07/2025  10h30</t>
  </si>
  <si>
    <t>17/07/2025  15h30</t>
  </si>
  <si>
    <t>17/07/2025  18h30</t>
  </si>
  <si>
    <t>18/07/2025  7h30</t>
  </si>
  <si>
    <t>18/07/2025  10h30</t>
  </si>
  <si>
    <t>18/07/2025  15h30</t>
  </si>
  <si>
    <t>18/07/2025  18h30</t>
  </si>
  <si>
    <t>19/07/2025 6h30</t>
  </si>
  <si>
    <t>19/07/2025 12h</t>
  </si>
  <si>
    <t>19/07/2025 15h30</t>
  </si>
  <si>
    <t>20/07/2025 11h</t>
  </si>
  <si>
    <t>20/07/2025 16h30</t>
  </si>
  <si>
    <t>21/07/2025 7h30</t>
  </si>
  <si>
    <t>21/07/2025 10h30</t>
  </si>
  <si>
    <t>21/07/2025 15h30</t>
  </si>
  <si>
    <t>21/07/2025 19h</t>
  </si>
  <si>
    <t>22/07/2025 7h30</t>
  </si>
  <si>
    <t>22/07/2025 10h30</t>
  </si>
  <si>
    <t>22/07/2025 15h30</t>
  </si>
  <si>
    <t>22/07/2025 18h</t>
  </si>
  <si>
    <t>23/07/2025 7h30</t>
  </si>
  <si>
    <t>23/07/2025 10h30</t>
  </si>
  <si>
    <t>23/07/2025 15h30</t>
  </si>
  <si>
    <t>23/07/2025 18h30</t>
  </si>
  <si>
    <t>24/07/2025 7h40</t>
  </si>
  <si>
    <t>24/07/2025 15h30</t>
  </si>
  <si>
    <t>24/07/2025 18h30</t>
  </si>
  <si>
    <t>25/07/2025 7h30</t>
  </si>
  <si>
    <t>25/07/2025 10h30</t>
  </si>
  <si>
    <t>25/07/2025 16h</t>
  </si>
  <si>
    <t>25/07/2025 18h30</t>
  </si>
  <si>
    <t>26/07/2025 7h40</t>
  </si>
  <si>
    <t>26/07/2025 12h10</t>
  </si>
  <si>
    <t>27/07/2025 10h</t>
  </si>
  <si>
    <t>27/07/2025 14h40</t>
  </si>
  <si>
    <t>28/07/2025 7h30</t>
  </si>
  <si>
    <t>28/07/2025 10h30</t>
  </si>
  <si>
    <t>28/07/2025 15h45</t>
  </si>
  <si>
    <t>28/07/2025 19h</t>
  </si>
  <si>
    <t>29/07/2025 7h30</t>
  </si>
  <si>
    <t>29/07/2025 10h30</t>
  </si>
  <si>
    <t>29/07/2025 15h30</t>
  </si>
  <si>
    <t>29/07/2025 18h15</t>
  </si>
  <si>
    <t>30/07/2025 7h</t>
  </si>
  <si>
    <t>30/07/2025 11h</t>
  </si>
  <si>
    <t>30/07/2025 16h</t>
  </si>
  <si>
    <t>30/07/2025 18h30</t>
  </si>
  <si>
    <t>31/07/2025 7h</t>
  </si>
  <si>
    <t>31/07/2025 10h30</t>
  </si>
  <si>
    <t>31/07/2025 15h</t>
  </si>
  <si>
    <t>12/07/2025  15h10</t>
  </si>
  <si>
    <t>12/07/2025  17h30</t>
  </si>
  <si>
    <t>13/07/2025  6h30</t>
  </si>
  <si>
    <t>13/07/2025  11h</t>
  </si>
  <si>
    <t>13/07/2025  15h40</t>
  </si>
  <si>
    <t>13/07/2025  18h38</t>
  </si>
  <si>
    <t>14/07/2025  6h47</t>
  </si>
  <si>
    <t>14/07/2025  15h36</t>
  </si>
  <si>
    <t>14/07/2025  18h48</t>
  </si>
  <si>
    <t>15/08/2025  7h</t>
  </si>
  <si>
    <t>15/08/2025 13h15</t>
  </si>
  <si>
    <t>16/08/2025 6h30</t>
  </si>
  <si>
    <t>16/08/2025 11h40</t>
  </si>
  <si>
    <t>16/08/2025 14h59</t>
  </si>
  <si>
    <t>17/08/2025 12h50</t>
  </si>
  <si>
    <t>17/08/2025 15h42</t>
  </si>
  <si>
    <t>18/08/2025 6h30</t>
  </si>
  <si>
    <t>18/08/2025 10h52</t>
  </si>
  <si>
    <t>18/08/2025 15h51</t>
  </si>
  <si>
    <t>18/08/2025 18h21</t>
  </si>
  <si>
    <t>19/08/2025 7h30</t>
  </si>
  <si>
    <t>19/08/2025 10h47</t>
  </si>
  <si>
    <t>19/08/2025 16h</t>
  </si>
  <si>
    <t>19/08/2025 18h05</t>
  </si>
  <si>
    <t>20/08/2025 6h40</t>
  </si>
  <si>
    <t>20/08/2025 10h38</t>
  </si>
  <si>
    <t>20/08/2025 15h42</t>
  </si>
  <si>
    <t>20/08/2025 17h43</t>
  </si>
  <si>
    <t>21/08/2025 7h</t>
  </si>
  <si>
    <t>21/08/2025 10h45</t>
  </si>
  <si>
    <t>21/08/2025 15h18</t>
  </si>
  <si>
    <t>21/08/2025 18h</t>
  </si>
  <si>
    <t>22/08/2025 7h</t>
  </si>
  <si>
    <t>22/08/2025 10h53</t>
  </si>
  <si>
    <t>22/08/2025 16h29</t>
  </si>
  <si>
    <t>22/08/2025 18h37</t>
  </si>
  <si>
    <t>23/08/2025 6h35</t>
  </si>
  <si>
    <t>23/08/2025 12h44</t>
  </si>
  <si>
    <t>23/08/2025 16h</t>
  </si>
  <si>
    <t>24/08/2025 13h14</t>
  </si>
  <si>
    <t>24/08/2025 15h30</t>
  </si>
  <si>
    <t>25/08/2025 7h19</t>
  </si>
  <si>
    <t>25/08/2025 10h25</t>
  </si>
  <si>
    <t>25/08/2025 15h30</t>
  </si>
  <si>
    <t>25/08/2025 17h47</t>
  </si>
  <si>
    <t>26/08/2025 7h</t>
  </si>
  <si>
    <t>26/08/2025 10h20</t>
  </si>
  <si>
    <t>26/08/2025 16h</t>
  </si>
  <si>
    <t>26/08/2025 18h27</t>
  </si>
  <si>
    <t>27/08/2025 7h40</t>
  </si>
  <si>
    <t>27/08/2025 10h18</t>
  </si>
  <si>
    <t>27/08/2025 15h46</t>
  </si>
  <si>
    <t>27/08/2025 18h</t>
  </si>
  <si>
    <t>28/08/2025 7h20</t>
  </si>
  <si>
    <t>28/08/2025 10h</t>
  </si>
  <si>
    <t>28/08/2025 15h19</t>
  </si>
  <si>
    <t>28/08/2025 18h</t>
  </si>
  <si>
    <t>29/08/2025 7h32</t>
  </si>
  <si>
    <t>29/08/2025 10h30</t>
  </si>
  <si>
    <t>29/08/2025 15h30</t>
  </si>
  <si>
    <t>30/08/2025 6h30</t>
  </si>
  <si>
    <t>30/08/2025 13h</t>
  </si>
  <si>
    <t>31/08/2025 11h</t>
  </si>
  <si>
    <t>31/08/2025 14h</t>
  </si>
  <si>
    <t>01/09/2025 7h30</t>
  </si>
  <si>
    <t>01/09/2025 10h18</t>
  </si>
  <si>
    <t>01/09/2025 15h19</t>
  </si>
  <si>
    <t>01/09/2025 17h42</t>
  </si>
  <si>
    <t>02/09/2025 7h40</t>
  </si>
  <si>
    <t>02/09/2025 10h10</t>
  </si>
  <si>
    <t>02/09/2025 15h23</t>
  </si>
  <si>
    <t>02/09/2025 18h</t>
  </si>
  <si>
    <t>03/09/2025 7h</t>
  </si>
  <si>
    <t>03/09/2025 10h30</t>
  </si>
  <si>
    <t>03/09/2025 15h30</t>
  </si>
  <si>
    <t>03/09/2025 18h</t>
  </si>
  <si>
    <t>04/09/2025 7h</t>
  </si>
  <si>
    <t>04/09/2025 10h22</t>
  </si>
  <si>
    <t>04/09/2025 15h15</t>
  </si>
  <si>
    <t>04/09/2025 17h30</t>
  </si>
  <si>
    <t>05/09/2025 7h30</t>
  </si>
  <si>
    <t>05/09/2025 10h20</t>
  </si>
  <si>
    <t>05/09/2025 15h13</t>
  </si>
  <si>
    <t>05/09/2025 18h</t>
  </si>
  <si>
    <t>06/09/2025 6h25</t>
  </si>
  <si>
    <t>06/09/2025 11h54</t>
  </si>
  <si>
    <t>06/09/2025 15h</t>
  </si>
  <si>
    <t>07/09/2025 10h</t>
  </si>
  <si>
    <t>07/09/2025 13h52</t>
  </si>
  <si>
    <t>08/09/2025 7h</t>
  </si>
  <si>
    <t>08/09/2025 10h30</t>
  </si>
  <si>
    <t>08/09/2025 15h30</t>
  </si>
  <si>
    <t>08/09/2025 18h</t>
  </si>
  <si>
    <t>09/09/2025 6h56</t>
  </si>
  <si>
    <t>09/09/2025 10h20</t>
  </si>
  <si>
    <t>09/09/2025 15h30</t>
  </si>
  <si>
    <t>09/09/2025 18h</t>
  </si>
  <si>
    <t>10/09/2025 7h38</t>
  </si>
  <si>
    <t>10/09/2025 10h20</t>
  </si>
  <si>
    <t>10/09/2025 15h52</t>
  </si>
  <si>
    <t>10/09/2025 18h</t>
  </si>
  <si>
    <t>11/09/2025 7h20</t>
  </si>
  <si>
    <t>11/09/2025 10h35</t>
  </si>
  <si>
    <t>11/09/2025 16h</t>
  </si>
  <si>
    <t>12/09/2025 7h</t>
  </si>
  <si>
    <t>12/09/2025 10h23</t>
  </si>
  <si>
    <t>12/09/2025 15h40</t>
  </si>
  <si>
    <t>12/09/2025 18h</t>
  </si>
  <si>
    <t>13/09/2025 7h20</t>
  </si>
  <si>
    <t>13/09/2025 11h</t>
  </si>
  <si>
    <t>14/09/2025 11h</t>
  </si>
  <si>
    <t>14/09/2025 14h15</t>
  </si>
  <si>
    <t>15/09/2025 6h36</t>
  </si>
  <si>
    <t>15/09/2025 15h28</t>
  </si>
  <si>
    <t>16/09/2025 6h50</t>
  </si>
  <si>
    <t>16/09/2025 11h20</t>
  </si>
  <si>
    <t>16/09/2025 15h30</t>
  </si>
  <si>
    <t>16/09/2025 18h57</t>
  </si>
  <si>
    <t>17/09/2025 7h</t>
  </si>
  <si>
    <t>17/09/2025 10h30</t>
  </si>
  <si>
    <t>17/09/2025 15h10</t>
  </si>
  <si>
    <t>17/09/2025 18h23</t>
  </si>
  <si>
    <t>18/09/2025 8h14</t>
  </si>
  <si>
    <t>18/09/2025 10h30</t>
  </si>
  <si>
    <t>18/09/2025 15h20</t>
  </si>
  <si>
    <t>18/09/2025 18h</t>
  </si>
  <si>
    <t>19/09/2025 6h50</t>
  </si>
  <si>
    <t>19/09/2025 10h18</t>
  </si>
  <si>
    <t>19/09/2025 15h49</t>
  </si>
  <si>
    <t>19/09/2025 18h</t>
  </si>
  <si>
    <t>20/09/2025  6h50</t>
  </si>
  <si>
    <t>20/09/2025  11h10</t>
  </si>
  <si>
    <t>20/09/2025  15h40</t>
  </si>
  <si>
    <t>21/09/2025  10h39</t>
  </si>
  <si>
    <t>21/09/2025  15h13</t>
  </si>
  <si>
    <t>22/09/2025  6h50</t>
  </si>
  <si>
    <t>22/09/2025  10h51</t>
  </si>
  <si>
    <t>22/09/2025  15h53</t>
  </si>
  <si>
    <t>22/09/2025  17h52</t>
  </si>
  <si>
    <t>23/09/2025  6h40</t>
  </si>
  <si>
    <t>23/09/2025  10h23</t>
  </si>
  <si>
    <t>23/09/2025  16h12</t>
  </si>
  <si>
    <t>24/09/2025  7h10</t>
  </si>
  <si>
    <t>24/09/2025  11h10</t>
  </si>
  <si>
    <t>24/09/2025  15h20</t>
  </si>
  <si>
    <t>24/09/2025  18h29</t>
  </si>
  <si>
    <t>25/09/2025  6h50</t>
  </si>
  <si>
    <t>25/09/2025  10h50</t>
  </si>
  <si>
    <t>25/09/2025  15h39</t>
  </si>
  <si>
    <t>25/09/2025  18h39</t>
  </si>
  <si>
    <t>26/09/2025  7h</t>
  </si>
  <si>
    <t>26/09/2025  10h40</t>
  </si>
  <si>
    <t>26/09/2025  16h</t>
  </si>
  <si>
    <t>26/09/2025  18h29</t>
  </si>
  <si>
    <t>27/09/2025  7h</t>
  </si>
  <si>
    <t>27/09/2025  12h</t>
  </si>
  <si>
    <t>28/09/2025  10h54</t>
  </si>
  <si>
    <t>28/09/2025  14h</t>
  </si>
  <si>
    <t>29/09/2025  6h47</t>
  </si>
  <si>
    <t>29/09/2025  10h39</t>
  </si>
  <si>
    <t>29/09/2025  15h48</t>
  </si>
  <si>
    <t>30/09/2025  7h50</t>
  </si>
  <si>
    <t>30/09/2025  10h28</t>
  </si>
  <si>
    <t>30/09/2025  15h33</t>
  </si>
  <si>
    <t>30/09/2025  18h36</t>
  </si>
  <si>
    <t>01/10/2025  7h</t>
  </si>
  <si>
    <t>01/10/2025 10h25</t>
  </si>
  <si>
    <t>01/10/2025 15h45</t>
  </si>
  <si>
    <t>02/10/2025 7h50</t>
  </si>
  <si>
    <t>02/10/2025 10h</t>
  </si>
  <si>
    <t>02/10/2025 16h</t>
  </si>
  <si>
    <t>03/10/2025 7h50</t>
  </si>
  <si>
    <t>03/10/2025 10h25</t>
  </si>
  <si>
    <t>03/10/2025 15h30</t>
  </si>
  <si>
    <t>04/10/2025 7h</t>
  </si>
  <si>
    <t>04/10/2025 12h13</t>
  </si>
  <si>
    <t>04/10/2025 15h15</t>
  </si>
  <si>
    <t>05/10/2025 11h14</t>
  </si>
  <si>
    <t>05/10/2025 15h07</t>
  </si>
  <si>
    <t>06/10/2025 6h40</t>
  </si>
  <si>
    <t>06/10/2025 10h13</t>
  </si>
  <si>
    <t>06/10/2025 15h25</t>
  </si>
  <si>
    <t>06/10/2025 18h25</t>
  </si>
  <si>
    <t>07/10/2025 7h55</t>
  </si>
  <si>
    <t>07/10/2025 10h16</t>
  </si>
  <si>
    <t>07/10/2025 16h20</t>
  </si>
  <si>
    <t>08/10/2025 6h40</t>
  </si>
  <si>
    <t>08/10/2025 10h24</t>
  </si>
  <si>
    <t>08/10/2025 15h23</t>
  </si>
  <si>
    <t>08/10/2025 18h</t>
  </si>
  <si>
    <t>09/10/2025 7h10</t>
  </si>
  <si>
    <t>09/10/2025 10h38</t>
  </si>
  <si>
    <t>09/10/2025 15h45</t>
  </si>
  <si>
    <t>10/10/2025 7h22</t>
  </si>
  <si>
    <t>10/10/2025 10h58</t>
  </si>
  <si>
    <t>10/10/2025 16h40</t>
  </si>
  <si>
    <t>11/10/2025 6h50</t>
  </si>
  <si>
    <t>11/10/2025 12h</t>
  </si>
  <si>
    <t>11/10/2025 15h18</t>
  </si>
  <si>
    <t>12/10/2025 13h36</t>
  </si>
  <si>
    <t>13/10/2025 7h50</t>
  </si>
  <si>
    <t>13/10/2025 10h17</t>
  </si>
  <si>
    <t>13/10/2025 15h50</t>
  </si>
  <si>
    <t>14/10/2025 7h</t>
  </si>
  <si>
    <t>14/10/2025 10h50</t>
  </si>
  <si>
    <t>14/10/2025 16h18</t>
  </si>
  <si>
    <t>14/10/2025 18h50</t>
  </si>
  <si>
    <t>15/10/2025 7h</t>
  </si>
  <si>
    <t>15/10/2025 10h36</t>
  </si>
  <si>
    <t>15/10/2025 16h12</t>
  </si>
  <si>
    <t>15/10/2025 18h39</t>
  </si>
  <si>
    <t>16/10/2025 7h30</t>
  </si>
  <si>
    <t>16/10/2025 10h20</t>
  </si>
  <si>
    <t>16/10/2025 16h</t>
  </si>
  <si>
    <t>16/10/2025 18h</t>
  </si>
  <si>
    <t>17/10/2025 6h50</t>
  </si>
  <si>
    <t>17/10/2025 10h20</t>
  </si>
  <si>
    <t>17/10/2025 15h40</t>
  </si>
  <si>
    <t>18/10/2025 11h50</t>
  </si>
  <si>
    <t>18/10/2025 16h</t>
  </si>
  <si>
    <t>19/10/2025 10h50</t>
  </si>
  <si>
    <t>19/10/2025 14h26</t>
  </si>
  <si>
    <t>20/10/2025 7h</t>
  </si>
  <si>
    <t>20/10/2025 10h20</t>
  </si>
  <si>
    <t>20/10/2025 15h50</t>
  </si>
  <si>
    <t>20/10/2025 18h23</t>
  </si>
  <si>
    <t>21/10/2025 7h17</t>
  </si>
  <si>
    <t>21/10/2025 10h17</t>
  </si>
  <si>
    <t>21/10/2025 15h30</t>
  </si>
  <si>
    <t>22/10/2025 6h30</t>
  </si>
  <si>
    <t>22/10/2025 10h15</t>
  </si>
  <si>
    <t>22/10/2025 15h20</t>
  </si>
  <si>
    <t>23/10/2025 6h48</t>
  </si>
  <si>
    <t>23/10/2025 11h05</t>
  </si>
  <si>
    <t>23/10/2025 15h25</t>
  </si>
  <si>
    <t>24/10/2025 7h39</t>
  </si>
  <si>
    <t>24/10/2025 11h09</t>
  </si>
  <si>
    <t>24/10/2025 15h40</t>
  </si>
  <si>
    <t>24/10/2025 17h40</t>
  </si>
  <si>
    <t>25/10/2025 7h25</t>
  </si>
  <si>
    <t>25/10/2025 11h46</t>
  </si>
  <si>
    <t>25/10/2025 15h20</t>
  </si>
  <si>
    <t>26/10/2025 10h40</t>
  </si>
  <si>
    <t>26/10/2025 13h50</t>
  </si>
  <si>
    <t>27/10/2025 7h</t>
  </si>
  <si>
    <t>27/10/2025 12h</t>
  </si>
  <si>
    <t>28/10/2025 6h33</t>
  </si>
  <si>
    <t>28/10/2025 13h19</t>
  </si>
  <si>
    <t>28/10/2025 17h30</t>
  </si>
  <si>
    <t>29/10/2025 7h20</t>
  </si>
  <si>
    <t>29/10/2025 11h30</t>
  </si>
  <si>
    <t>29/10/2025 15h30</t>
  </si>
  <si>
    <t>30/10/2025 7h50</t>
  </si>
  <si>
    <t>30/10/2025 13h20</t>
  </si>
  <si>
    <t>30/10/2025 16h45</t>
  </si>
  <si>
    <t>31/10/2025 6h30</t>
  </si>
  <si>
    <t>31/10/2025 10h40</t>
  </si>
  <si>
    <t>31/10/2025 15h30</t>
  </si>
  <si>
    <t>01/11/2025 7h</t>
  </si>
  <si>
    <t>01/11/2025 12h50</t>
  </si>
  <si>
    <t>01/11/2025 17h30</t>
  </si>
  <si>
    <t>02/11/2025 9h</t>
  </si>
  <si>
    <t>02/11/2025 16h40</t>
  </si>
  <si>
    <t>03/11/2025 8h46</t>
  </si>
  <si>
    <t>03/11/2025  11h46</t>
  </si>
  <si>
    <t>03/11/2025  15h</t>
  </si>
  <si>
    <t>03/11/2025  17h45</t>
  </si>
  <si>
    <t>04/11/2025 7h45</t>
  </si>
  <si>
    <t>04/11/2025 10h27</t>
  </si>
  <si>
    <t>04/11/2025 15h31</t>
  </si>
  <si>
    <t>04/11/2025 17h43</t>
  </si>
  <si>
    <t>05/11/2025 7h10</t>
  </si>
  <si>
    <t>05/11/2025 11h</t>
  </si>
  <si>
    <t>05/11/2025 15h10</t>
  </si>
  <si>
    <t>05/11/2025 17h11</t>
  </si>
  <si>
    <t>06/11/2025 7h25</t>
  </si>
  <si>
    <t>06/11/2025 11h40</t>
  </si>
  <si>
    <t>06/11/2025 15h40</t>
  </si>
  <si>
    <t>07/11/2025 7h</t>
  </si>
  <si>
    <t>07/11/2025 10h52</t>
  </si>
  <si>
    <t>07/11/2025 15h28</t>
  </si>
  <si>
    <t>08/11/2025 8h</t>
  </si>
  <si>
    <t>08/11/2025 12h29</t>
  </si>
  <si>
    <t>08/11/2025 16h</t>
  </si>
  <si>
    <t>09/11/2025 10h</t>
  </si>
  <si>
    <t>09/11/2025 14h</t>
  </si>
  <si>
    <t>10/11/2025  7h</t>
  </si>
  <si>
    <t>10/11/2025  10h54</t>
  </si>
  <si>
    <t>10/11/2025  17h53</t>
  </si>
  <si>
    <t>11/11/2025 8h</t>
  </si>
  <si>
    <t>11/11/2025 11h</t>
  </si>
  <si>
    <t>11/11/2025 16h</t>
  </si>
  <si>
    <t>12/11/2025 8h</t>
  </si>
  <si>
    <t>12/11/2025 11h</t>
  </si>
  <si>
    <t>12/11/2025 16h30</t>
  </si>
  <si>
    <t>13/11/2025 8h15</t>
  </si>
  <si>
    <t>13/11/2025 10h12</t>
  </si>
  <si>
    <t>13/11/2025 15h12</t>
  </si>
  <si>
    <t>13/11/2025 17h48</t>
  </si>
  <si>
    <t>14/11/2025 8h</t>
  </si>
  <si>
    <t>14/11/2025 11h</t>
  </si>
  <si>
    <t>14/11/2025 16h</t>
  </si>
  <si>
    <t>15/11/2025 8h30</t>
  </si>
  <si>
    <t>15/11/2025 11h24</t>
  </si>
  <si>
    <t>15/11/2025 15h28</t>
  </si>
  <si>
    <t>16/11/2025 10h30</t>
  </si>
  <si>
    <t>16/11/2025 14h07</t>
  </si>
  <si>
    <t>17/11/2025 7h55</t>
  </si>
  <si>
    <t>17/11/2025 10h44</t>
  </si>
  <si>
    <t>17/11/2025 16h20</t>
  </si>
  <si>
    <t>18/11/2025 8h15</t>
  </si>
  <si>
    <t>18/11/2025 10h14</t>
  </si>
  <si>
    <t>18/11/2025 15h45</t>
  </si>
  <si>
    <t>19/11/2025 8h07</t>
  </si>
  <si>
    <t>19/11/2025 10h46</t>
  </si>
  <si>
    <t>19/11/2025 15h27</t>
  </si>
  <si>
    <t>19/11/2025 18h15</t>
  </si>
  <si>
    <t>20/11/2025 8h28</t>
  </si>
  <si>
    <t>20/11/2025 10h40</t>
  </si>
  <si>
    <t>20/11/2025 15h28</t>
  </si>
  <si>
    <t>20/11/2025 17h33</t>
  </si>
  <si>
    <t>21/11/2025 8h30</t>
  </si>
  <si>
    <t>21/11/2025 10h44</t>
  </si>
  <si>
    <t>21/11/2025 15h49</t>
  </si>
  <si>
    <t>21/11/2025 17h33</t>
  </si>
  <si>
    <t>22/11/2025 8h</t>
  </si>
  <si>
    <t>22/11/2025 12h</t>
  </si>
  <si>
    <t>22/11/2025 14h50</t>
  </si>
  <si>
    <t>23/11/2025 11h20</t>
  </si>
  <si>
    <t>23/11/2025 15h30</t>
  </si>
  <si>
    <t>24/11/2025 8h28</t>
  </si>
  <si>
    <t>24/11/2025 11h06</t>
  </si>
  <si>
    <t>24/11/2025 15h50</t>
  </si>
  <si>
    <t>24/11/2025 17h40</t>
  </si>
  <si>
    <t>25/11/2025 8h28</t>
  </si>
  <si>
    <t>25/11/2025 10h35</t>
  </si>
  <si>
    <t>25/11/2025 17h35</t>
  </si>
  <si>
    <t>26/11/2025 10h50</t>
  </si>
  <si>
    <t>26/11/2025 15h26</t>
  </si>
  <si>
    <t>27/11/2025 8h25</t>
  </si>
  <si>
    <t>27/11/2025 10h50</t>
  </si>
  <si>
    <t>27/11/2025 15h36</t>
  </si>
  <si>
    <t>28/11/2025 10h39</t>
  </si>
  <si>
    <t>28/11/2025 15h52</t>
  </si>
  <si>
    <t>28/11/2025 18h37</t>
  </si>
  <si>
    <t>29/11/2025 8h30</t>
  </si>
  <si>
    <t>29/11/2025 12h30</t>
  </si>
  <si>
    <t>29/11/2025 15h30</t>
  </si>
  <si>
    <t>30/11/2025 9h35</t>
  </si>
  <si>
    <t>30/11/2025 14h38</t>
  </si>
  <si>
    <t>01/12/2025 8h25</t>
  </si>
  <si>
    <t>01122025 10h58</t>
  </si>
  <si>
    <t>01122025 15h37</t>
  </si>
  <si>
    <t>01122025 18h</t>
  </si>
  <si>
    <t>02122025 8h25</t>
  </si>
  <si>
    <t>02122025 10h30</t>
  </si>
  <si>
    <t>02122025 15h</t>
  </si>
  <si>
    <t>02122025 17h30</t>
  </si>
  <si>
    <t>03122025 8h30</t>
  </si>
  <si>
    <t>03122025 10h40</t>
  </si>
  <si>
    <t>03122025 15h20</t>
  </si>
  <si>
    <t>04122025 8h30</t>
  </si>
  <si>
    <t>04122025 10h57</t>
  </si>
  <si>
    <t>04122025 16h11</t>
  </si>
  <si>
    <t>05122025 8h</t>
  </si>
  <si>
    <t>05122025 10h43</t>
  </si>
  <si>
    <t>05122025 16h</t>
  </si>
  <si>
    <t>06122025 8h20</t>
  </si>
  <si>
    <t>06122025 12h12</t>
  </si>
  <si>
    <t>06122025 15h25</t>
  </si>
  <si>
    <t>07122025 10h30</t>
  </si>
  <si>
    <t>07122025 14h</t>
  </si>
  <si>
    <t>08122025 7h30</t>
  </si>
  <si>
    <t>08122025 10h30</t>
  </si>
  <si>
    <t>08122025 15h35</t>
  </si>
  <si>
    <t>08122025 17h35</t>
  </si>
  <si>
    <t>09122025 7h25</t>
  </si>
  <si>
    <t>09122025 10h33</t>
  </si>
  <si>
    <t>09122025 15h33</t>
  </si>
  <si>
    <t>09122025 17h30</t>
  </si>
  <si>
    <t>10122025 8h25</t>
  </si>
  <si>
    <t>10122025 11h35</t>
  </si>
  <si>
    <t>10122025 16h25</t>
  </si>
  <si>
    <t>11122025 8h40</t>
  </si>
  <si>
    <t>11122025 11h22</t>
  </si>
  <si>
    <t>11122025 15h12</t>
  </si>
  <si>
    <t>12122025 8h50</t>
  </si>
  <si>
    <t>12122025 11h10</t>
  </si>
  <si>
    <t>12122025 16h</t>
  </si>
  <si>
    <t>13122025 8h50</t>
  </si>
  <si>
    <t>13122025 13h</t>
  </si>
  <si>
    <t>14122025 12h50</t>
  </si>
  <si>
    <t>15122025 8h15</t>
  </si>
  <si>
    <t>15122025 11h</t>
  </si>
  <si>
    <t>15122025 15h36</t>
  </si>
  <si>
    <t>15122025 17h</t>
  </si>
  <si>
    <t>16122025 8h07</t>
  </si>
  <si>
    <t>16122025 11h</t>
  </si>
  <si>
    <t>16122025 15h15</t>
  </si>
  <si>
    <t>16122025 17h13</t>
  </si>
  <si>
    <t>17122025 8h40</t>
  </si>
  <si>
    <t>17122025 11h30</t>
  </si>
  <si>
    <t>17122025 15h13</t>
  </si>
  <si>
    <t>17122025 17h46</t>
  </si>
  <si>
    <t>18122025 7h50</t>
  </si>
  <si>
    <t>18122025 10h06</t>
  </si>
  <si>
    <t>18122025 15h30</t>
  </si>
  <si>
    <t>19122025 8h15</t>
  </si>
  <si>
    <t>19122025 11h</t>
  </si>
  <si>
    <t>19122025 15h30</t>
  </si>
  <si>
    <t>20122025 8h20</t>
  </si>
  <si>
    <t>20122025 11h50</t>
  </si>
  <si>
    <t>20122025 15h25</t>
  </si>
  <si>
    <t>21122025 11h16</t>
  </si>
  <si>
    <t>21122025 15h</t>
  </si>
  <si>
    <t>22122025 7h25</t>
  </si>
  <si>
    <t>22122025 11h</t>
  </si>
  <si>
    <t>22122025 16h27</t>
  </si>
  <si>
    <t>23122025 8h08</t>
  </si>
  <si>
    <t>23122025 10h44</t>
  </si>
  <si>
    <t>23122025 15h</t>
  </si>
  <si>
    <t>24122025 7h25</t>
  </si>
  <si>
    <t>24122025 10h35</t>
  </si>
  <si>
    <t>24122025 15h20</t>
  </si>
  <si>
    <t>26122025 8h25</t>
  </si>
  <si>
    <t>26122025 10h30</t>
  </si>
  <si>
    <t>26122025 15h07</t>
  </si>
  <si>
    <t>27122025 8h15</t>
  </si>
  <si>
    <t>27122025 11h30</t>
  </si>
  <si>
    <t>27122025 14h33</t>
  </si>
  <si>
    <t>28122025 10h40</t>
  </si>
  <si>
    <t>28122025 14h45</t>
  </si>
  <si>
    <t>29122025 8h10</t>
  </si>
  <si>
    <t>29122025 11h27</t>
  </si>
  <si>
    <t>29122025 16h</t>
  </si>
  <si>
    <t>30122025 8h25</t>
  </si>
  <si>
    <t>30122025 11h08</t>
  </si>
  <si>
    <t>30122025 17h20</t>
  </si>
  <si>
    <t>31122025 7h40</t>
  </si>
  <si>
    <t>31122025 11h</t>
  </si>
  <si>
    <t>31122025 16h09</t>
  </si>
  <si>
    <t>01012026 10h23</t>
  </si>
  <si>
    <t>02012026 8h</t>
  </si>
  <si>
    <t>02012026 10h50</t>
  </si>
  <si>
    <t>02012026 15h40</t>
  </si>
  <si>
    <t>03012026 9h30</t>
  </si>
  <si>
    <t>03012026 11h15</t>
  </si>
  <si>
    <t>03012026 14h27</t>
  </si>
  <si>
    <t>04012026 10h15</t>
  </si>
  <si>
    <t>04012026 14h21</t>
  </si>
  <si>
    <t>05012026 8h33</t>
  </si>
  <si>
    <t>05012026 10h33</t>
  </si>
  <si>
    <t>05012026 16h</t>
  </si>
  <si>
    <t>06012026 8h</t>
  </si>
  <si>
    <t>06012026 11h</t>
  </si>
  <si>
    <t>06012026 15h43</t>
  </si>
  <si>
    <t>07012026 8h</t>
  </si>
  <si>
    <t>07012026 11h</t>
  </si>
  <si>
    <t>07012026 16h20</t>
  </si>
  <si>
    <t>08012026 7h50</t>
  </si>
  <si>
    <t>08012026 10h50</t>
  </si>
  <si>
    <t>08012026 15h26</t>
  </si>
  <si>
    <t>09012026 7h30</t>
  </si>
  <si>
    <t>09012026 10h38</t>
  </si>
  <si>
    <t>09012026 15h11</t>
  </si>
  <si>
    <t>10012026 8h40</t>
  </si>
  <si>
    <t>10012026 12h25</t>
  </si>
  <si>
    <t>10012026 15h42</t>
  </si>
  <si>
    <t>11012026 10h50</t>
  </si>
  <si>
    <t>11012026 14h55</t>
  </si>
  <si>
    <t>12012026 8h38</t>
  </si>
  <si>
    <t>12012026 11h25</t>
  </si>
  <si>
    <t>12012026 17h26</t>
  </si>
  <si>
    <t>13012026 8h39</t>
  </si>
  <si>
    <t>13012026 11h46</t>
  </si>
  <si>
    <t>13012026 16h50</t>
  </si>
  <si>
    <t>14012026 8h33</t>
  </si>
  <si>
    <t>14012026 12h23</t>
  </si>
  <si>
    <t>14012026 17h23</t>
  </si>
  <si>
    <t>15012026 8h26</t>
  </si>
  <si>
    <t>15012026 10h57</t>
  </si>
  <si>
    <t>15012026 17h46</t>
  </si>
  <si>
    <t>16012026 8h16</t>
  </si>
  <si>
    <t>16012026 11h29</t>
  </si>
  <si>
    <t>16012026 17h20</t>
  </si>
  <si>
    <t>17012026 9h35</t>
  </si>
  <si>
    <t>17012026 12h39</t>
  </si>
  <si>
    <t>17012026 15h20</t>
  </si>
  <si>
    <t>18012026 11h</t>
  </si>
  <si>
    <t>18012026 14h25</t>
  </si>
  <si>
    <t>19012026 8h37</t>
  </si>
  <si>
    <t>19012026 11h46</t>
  </si>
  <si>
    <t>19012026 15h50</t>
  </si>
  <si>
    <t>20012026 8h38</t>
  </si>
  <si>
    <t>20012026 11h46</t>
  </si>
  <si>
    <t>20012026 15h55</t>
  </si>
  <si>
    <t>21012026 8h30</t>
  </si>
  <si>
    <t>21012026 11h34</t>
  </si>
  <si>
    <t>21012026 15h59</t>
  </si>
  <si>
    <t>22012026 8h39</t>
  </si>
  <si>
    <t>22012026 12h01</t>
  </si>
  <si>
    <t>22012026 16h37</t>
  </si>
  <si>
    <t>23012026 8h20</t>
  </si>
  <si>
    <t>23012026 11h24</t>
  </si>
  <si>
    <t>23012026 16h06</t>
  </si>
  <si>
    <t>24012026 8h22</t>
  </si>
  <si>
    <t>24012026 11h26</t>
  </si>
  <si>
    <t>24012026 15h23</t>
  </si>
  <si>
    <t>25012026 10h25</t>
  </si>
  <si>
    <t>25012026 13h35</t>
  </si>
  <si>
    <t>26012026 8h25</t>
  </si>
  <si>
    <t>26012026 11h07</t>
  </si>
  <si>
    <t>26012026 15h06</t>
  </si>
  <si>
    <t>27012026 8h23</t>
  </si>
  <si>
    <t>27012026 11h23</t>
  </si>
  <si>
    <t>27012026 16h20</t>
  </si>
  <si>
    <t>28012026 8h24</t>
  </si>
  <si>
    <t>28012026 11h23</t>
  </si>
  <si>
    <t>28012026 15h56</t>
  </si>
  <si>
    <t>29012026 8h28</t>
  </si>
  <si>
    <t>29012026 11h26</t>
  </si>
  <si>
    <t>29012026 15h46</t>
  </si>
  <si>
    <t>30012026 8h13</t>
  </si>
  <si>
    <t>30012026 11h17</t>
  </si>
  <si>
    <t>30012026 15h11</t>
  </si>
  <si>
    <t>31012026 8h34</t>
  </si>
  <si>
    <t>31012026 11h49</t>
  </si>
  <si>
    <t>31012026 15h09</t>
  </si>
  <si>
    <t>01022026 10h58</t>
  </si>
  <si>
    <t>01022026 14h15</t>
  </si>
  <si>
    <t>02022026 8h38</t>
  </si>
  <si>
    <t>02022026 11h37</t>
  </si>
  <si>
    <t>02022026 17h18</t>
  </si>
  <si>
    <t>03022026 8h15</t>
  </si>
  <si>
    <t>03022026 11h55</t>
  </si>
  <si>
    <t>04022026 8h12</t>
  </si>
  <si>
    <t>04/02/2026 11h15</t>
  </si>
  <si>
    <t>04/02/2026 16h11</t>
  </si>
  <si>
    <t>05/02/2026 8h18</t>
  </si>
  <si>
    <t>05/02/2026 11h01</t>
  </si>
  <si>
    <t>05/02/2026 15h54</t>
  </si>
  <si>
    <t>06/02/2026 8h32</t>
  </si>
  <si>
    <t>06/02/2026 11h18</t>
  </si>
  <si>
    <t>06/02/2026 15h18</t>
  </si>
  <si>
    <t>07/02/2026 8h12</t>
  </si>
  <si>
    <t>07/02/2026 11h00</t>
  </si>
  <si>
    <t>07/02/2026 14h05</t>
  </si>
  <si>
    <t>08/02/2026 9h57</t>
  </si>
  <si>
    <t>08/02/2026 13h01</t>
  </si>
  <si>
    <t>09/02/2026 7h40</t>
  </si>
  <si>
    <t>09/02/2026 10h56</t>
  </si>
  <si>
    <t>09/02/2026 16h48</t>
  </si>
  <si>
    <t>10/02/2026 8h10</t>
  </si>
  <si>
    <t>10/02/2026 10h50</t>
  </si>
  <si>
    <t>10/02/2026 16h</t>
  </si>
  <si>
    <t>11/02/2026 9h47</t>
  </si>
  <si>
    <t>11/02/2026 13h</t>
  </si>
  <si>
    <t>11/02/2026 16h</t>
  </si>
  <si>
    <t>12/02/2026 9h03</t>
  </si>
  <si>
    <t>12/02/2026 11h13</t>
  </si>
  <si>
    <t>12/02/2026 15h09</t>
  </si>
  <si>
    <t>13/02/2026 8h31</t>
  </si>
  <si>
    <t>13/02/2026 11h15</t>
  </si>
  <si>
    <t>13/02/2026 15h21</t>
  </si>
  <si>
    <t>14/02/2026 8h23</t>
  </si>
  <si>
    <t>14/02/2026 11h14</t>
  </si>
  <si>
    <t>14/02/2026 14h30</t>
  </si>
  <si>
    <t>15/02/2026 10h17</t>
  </si>
  <si>
    <t>15/02/2026 13h49</t>
  </si>
  <si>
    <t>16/02/2026 8h38</t>
  </si>
  <si>
    <t>16/02/2026 11h06</t>
  </si>
  <si>
    <t>16/02/2026 15h55</t>
  </si>
  <si>
    <t>17/02/2026 8h36</t>
  </si>
  <si>
    <t>17/02/2026 11h02</t>
  </si>
  <si>
    <t>17/02/2026 15h32</t>
  </si>
  <si>
    <t>18/02/2026 8h34</t>
  </si>
  <si>
    <t>18/02/2026 11h06</t>
  </si>
  <si>
    <t>18/02/2026 16h25</t>
  </si>
  <si>
    <t>19/02/2026 8h33</t>
  </si>
  <si>
    <t>19/02/2026 11h28</t>
  </si>
  <si>
    <t>19/02/2026 15h49</t>
  </si>
  <si>
    <t>20/02/2026 8h18</t>
  </si>
  <si>
    <t>20/02/2026 11h02</t>
  </si>
  <si>
    <t>20/02/2026 15h22</t>
  </si>
  <si>
    <t>21/02/2026 8h27</t>
  </si>
  <si>
    <t>21/02/2026 11h36</t>
  </si>
  <si>
    <t>21/02/2026 15h</t>
  </si>
  <si>
    <t>22/02/2026 11h13</t>
  </si>
  <si>
    <t>22/02/2026 14h30</t>
  </si>
  <si>
    <t>23/02/2026 8h32</t>
  </si>
  <si>
    <t>23/02/2026 11h04</t>
  </si>
  <si>
    <t>23/02/2026 16h15</t>
  </si>
  <si>
    <t>24/02/2026 8h23</t>
  </si>
  <si>
    <t>24/02/2026 11h10</t>
  </si>
  <si>
    <t>24/02/2026 15H55</t>
  </si>
  <si>
    <t>25/02/2026 8H39</t>
  </si>
  <si>
    <t>25/02/2026 11H14</t>
  </si>
  <si>
    <t>25/02/2026 15H51</t>
  </si>
  <si>
    <t>26/02/2026 8H27</t>
  </si>
  <si>
    <t>26/02/2026 11H03</t>
  </si>
  <si>
    <t>26/02/2026 15H39</t>
  </si>
  <si>
    <t>27/02/2026 8H36</t>
  </si>
  <si>
    <t>27/02/2026 12H12</t>
  </si>
  <si>
    <t>27/02/2026 16H20</t>
  </si>
  <si>
    <t>28/02/2026 8H26</t>
  </si>
  <si>
    <t>28/02/2026 12H14</t>
  </si>
  <si>
    <t>28/02/2026 14H23</t>
  </si>
  <si>
    <t>01/03/2026 10H20</t>
  </si>
  <si>
    <t>01/03/2026 14H48</t>
  </si>
  <si>
    <t>12/03/2026 8H10</t>
  </si>
  <si>
    <t>16/03/2026 8H27</t>
  </si>
  <si>
    <t>16/03/2026 11H</t>
  </si>
  <si>
    <t>17/03/2026 8H27</t>
  </si>
  <si>
    <t>18/03/2026 7H55</t>
  </si>
  <si>
    <t>18/03/2026 15H10</t>
  </si>
  <si>
    <t>19/03/2026 8H15</t>
  </si>
  <si>
    <t>19/03/2026 10H35</t>
  </si>
  <si>
    <t>19/03/2026 15H28</t>
  </si>
  <si>
    <t>20/03/2026 8H48</t>
  </si>
  <si>
    <t>20/03/2026 12H24</t>
  </si>
  <si>
    <t>20/03/2026 15H10</t>
  </si>
  <si>
    <t>21/03/2026 8H10</t>
  </si>
  <si>
    <t>21/03/2026 12H50</t>
  </si>
  <si>
    <t>21/03/2026 16H10</t>
  </si>
  <si>
    <t>23/03/2026 8H45</t>
  </si>
  <si>
    <t>23/03/2026 10H45</t>
  </si>
  <si>
    <t>23/03/2026 15H50</t>
  </si>
  <si>
    <t>24/03/2026 8H20</t>
  </si>
  <si>
    <t>24/03/2026 11H</t>
  </si>
  <si>
    <t>24/03/2026 15H48</t>
  </si>
  <si>
    <t>25/03/2026 8h40</t>
  </si>
  <si>
    <t>25/03/2026 11h45</t>
  </si>
  <si>
    <t>25/03/2026 17h</t>
  </si>
  <si>
    <t>26/03/2026 8H20</t>
  </si>
  <si>
    <t>26/03/2026 12H</t>
  </si>
  <si>
    <t>26/03/2026 17H20</t>
  </si>
  <si>
    <t>27/03/2026 8h25</t>
  </si>
  <si>
    <t>27/03/2026 12h</t>
  </si>
  <si>
    <t>27/03/2026  17h</t>
  </si>
  <si>
    <t>Old case</t>
  </si>
  <si>
    <t>New case</t>
  </si>
  <si>
    <t>31/03/2026 8h30</t>
  </si>
  <si>
    <t>31/03/2026 12h30</t>
  </si>
  <si>
    <t>31/03/2026 16h20</t>
  </si>
  <si>
    <t>28/03/2026 9h</t>
  </si>
  <si>
    <t>28/03/2026 14h</t>
  </si>
  <si>
    <t>29/03/2026 10h</t>
  </si>
  <si>
    <t>29/03/2026 15h</t>
  </si>
  <si>
    <t>30/03/2026 8h38</t>
  </si>
  <si>
    <t>30/03/2026 13h</t>
  </si>
  <si>
    <t>30/03/2026 15h30</t>
  </si>
  <si>
    <t>DOWN</t>
  </si>
  <si>
    <t>1/04/2026 08h30</t>
  </si>
  <si>
    <t>1/04/2026 13h</t>
  </si>
  <si>
    <t>1/04/2026 16h30</t>
  </si>
  <si>
    <t>2/04/2026 08H</t>
  </si>
  <si>
    <t>2/04/2026 13h</t>
  </si>
  <si>
    <t>2/04/2026 16h</t>
  </si>
  <si>
    <t>03/04/2026 08h</t>
  </si>
  <si>
    <t>03/04/2026 16h30</t>
  </si>
  <si>
    <t>04/04/2026 8h30</t>
  </si>
  <si>
    <t>04/04/2026 12h30</t>
  </si>
  <si>
    <t>04/04/2026 17h</t>
  </si>
  <si>
    <t>06/04/2026 9h</t>
  </si>
  <si>
    <t>06/04/2026 13h</t>
  </si>
  <si>
    <t>06042026 16h</t>
  </si>
  <si>
    <t>Batibo_L18L8L26_NRO_010_MRBTS2</t>
  </si>
  <si>
    <t>NRO_010</t>
  </si>
  <si>
    <t>TELEINFRA NORD</t>
  </si>
  <si>
    <t>07042026 8h17</t>
  </si>
  <si>
    <t>07042026 12h44</t>
  </si>
  <si>
    <t>07042026 16h37</t>
  </si>
  <si>
    <t>08042026 8h</t>
  </si>
  <si>
    <t>08042026 17h</t>
  </si>
  <si>
    <t>09042026 8h40</t>
  </si>
  <si>
    <t>09/04/2026 17h</t>
  </si>
  <si>
    <t>09042026 13h</t>
  </si>
  <si>
    <t>10/04/2026 8h33</t>
  </si>
  <si>
    <t>10/04/2026 16h20</t>
  </si>
  <si>
    <t>10/04/2026 12h17</t>
  </si>
  <si>
    <t>13042026 8h30</t>
  </si>
  <si>
    <t>12042026 17h</t>
  </si>
  <si>
    <t>13042026 13h30</t>
  </si>
  <si>
    <t>13042026 16h40</t>
  </si>
  <si>
    <t>14042026 8h50</t>
  </si>
  <si>
    <t>14042026 12h40</t>
  </si>
  <si>
    <t>14042026 17h</t>
  </si>
  <si>
    <t>15042026 8h40</t>
  </si>
  <si>
    <t>15042026 18h11</t>
  </si>
  <si>
    <t>14042026 14h50</t>
  </si>
  <si>
    <t>FSP overheating</t>
  </si>
  <si>
    <t>16/04/2026 8h</t>
  </si>
  <si>
    <t>16/04/2026 12h40</t>
  </si>
  <si>
    <t>16/04/2026 17h</t>
  </si>
  <si>
    <t>17/04/2026 8h30</t>
  </si>
  <si>
    <t>EXN_174</t>
  </si>
  <si>
    <t>Zileng-IHS_G9U21_EXN_174_MRBTS1</t>
  </si>
  <si>
    <t>faulty_cells=WCDMA:4880903</t>
  </si>
  <si>
    <t>faulty_cells=GSM:181</t>
  </si>
  <si>
    <t>faulty_cells=WCDMA:4880802</t>
  </si>
  <si>
    <t>faulty_cells=GSM:183</t>
  </si>
  <si>
    <t>faulty_cells=WCDMA:4880701</t>
  </si>
  <si>
    <t>faulty_cells=GSM:182</t>
  </si>
  <si>
    <t>17/04/2026 13h</t>
  </si>
  <si>
    <t>17/04/2026 17h</t>
  </si>
  <si>
    <t>ADM_141</t>
  </si>
  <si>
    <t>18/04/2026 8h30</t>
  </si>
  <si>
    <t>18/04/2026 17h</t>
  </si>
  <si>
    <t>18/04/2026 12h40</t>
  </si>
  <si>
    <t>Kembong_G9U9U21_NRO_026_MRBTS1</t>
  </si>
  <si>
    <t>NRO_026</t>
  </si>
  <si>
    <t>1837 unitName=AntennaLine path=/SMOD_R-1/rf_ext3/RMOD_R-2/ant1 additionalFaultID=1837</t>
  </si>
  <si>
    <t>RF Module filter input power missing</t>
  </si>
  <si>
    <t>20/04/2026 8h30</t>
  </si>
  <si>
    <t>20/04/2026 14h</t>
  </si>
  <si>
    <t>20/04/2026 17h16</t>
  </si>
  <si>
    <t>21/04/2026 8h30</t>
  </si>
  <si>
    <t>Zileng-IHS_G18L18L8_EXN_174_MRBTS2</t>
  </si>
  <si>
    <t>1868 supplAlarmInfo=Not enough link capacity on fronthaul or internal connections or SFP(s) for cell detected additionalFaultID=1868 LNCEL-13</t>
  </si>
  <si>
    <t>21/04/2026 13h50</t>
  </si>
  <si>
    <t>1837 unitName=AntennaLine path=/SMOD_R-1/rf_ext3/RMOD_R-3/ant2 additionalFaultID=1837</t>
  </si>
  <si>
    <t>faulty_cells=LTE:12</t>
  </si>
  <si>
    <t>22/04/2026 8h40</t>
  </si>
  <si>
    <t>21/04/2026 16h30</t>
  </si>
  <si>
    <t>22/04/2026 13h</t>
  </si>
  <si>
    <t>22/04/2026 16h</t>
  </si>
  <si>
    <t>faulty_cells=LTE:11</t>
  </si>
  <si>
    <t>faulty_cells=WCDMA:540763</t>
  </si>
  <si>
    <t>faulty_cells=WCDMA:540818</t>
  </si>
  <si>
    <t>faulty_cells=WCDMA:540807</t>
  </si>
  <si>
    <t>faulty_cells=WCDMA:540752</t>
  </si>
  <si>
    <t>faulty_cells=WCDMA:540774</t>
  </si>
  <si>
    <t>faulty_cells=WCDMA:540741</t>
  </si>
  <si>
    <t>faulty_cells=WCDMA:540796</t>
  </si>
  <si>
    <t>faulty_cells=WCDMA:540829</t>
  </si>
  <si>
    <t>faulty_cells=WCDMA:540785</t>
  </si>
  <si>
    <t>23/04/2026 8h40</t>
  </si>
  <si>
    <t>1868 supplAlarmInfo=Not enough link capacity on fronthaul or internal connections or SFP(s) for cell detected additionalFaultID=1868 LNCEL-12</t>
  </si>
  <si>
    <t>1837 unitName=AntennaLine path=/SMOD_R-1/rf_ext1/RMOD_R-1/ant1 additionalFaultID=1837</t>
  </si>
  <si>
    <t>23/04/2026 12h30</t>
  </si>
  <si>
    <t>23/04/2026 17h</t>
  </si>
  <si>
    <t>24/04/2026 13h</t>
  </si>
  <si>
    <t>27/04/2026 11h</t>
  </si>
  <si>
    <t>28/04/2026 8h40</t>
  </si>
  <si>
    <t>27/04/2026 17h</t>
  </si>
  <si>
    <t>28/04/2026 17h</t>
  </si>
  <si>
    <t>28/04/2026 13H40</t>
  </si>
  <si>
    <t>29/04/2026 8h48</t>
  </si>
  <si>
    <t>EXN_095</t>
  </si>
  <si>
    <t>29/04/2026 12h40</t>
  </si>
  <si>
    <t>29/04/2026 16h30</t>
  </si>
  <si>
    <t>30/04/2026 8h30</t>
  </si>
  <si>
    <t>30/04/2026 12h10</t>
  </si>
  <si>
    <t>30/04/2026 16h30</t>
  </si>
  <si>
    <t>02/05/2026 8h51</t>
  </si>
  <si>
    <t>02/05/2026 17h16</t>
  </si>
  <si>
    <t>02/05/2026 14h</t>
  </si>
  <si>
    <t>03/05/2026 8h40</t>
  </si>
  <si>
    <t>04/05/2026 8h22</t>
  </si>
  <si>
    <t>04/05/2026 13h30</t>
  </si>
  <si>
    <t>04/05/2026 16h30</t>
  </si>
  <si>
    <t>05/05/2026 8h35</t>
  </si>
  <si>
    <t>05/05/2026 13h13</t>
  </si>
  <si>
    <t>Babessi_L18L8_NRO_024_MRBTS2</t>
  </si>
  <si>
    <t>NRO_024</t>
  </si>
  <si>
    <t>10 unitName=FRMF path=/SMOD_R-1/eif2_rf6/RMOD_R-3 serial_no=AS201908645 additionalFaultID=10</t>
  </si>
  <si>
    <t>05/05/2026 16h40</t>
  </si>
  <si>
    <t>06/05/2026 8h38</t>
  </si>
  <si>
    <t>06/05/2026 13h40</t>
  </si>
  <si>
    <t>Batoua-Godole_G9U21_ADM_141_MRBTS1</t>
  </si>
  <si>
    <t>06/05/2026 16h51</t>
  </si>
  <si>
    <t>Connection Unstable At 6Gbps</t>
  </si>
  <si>
    <t>07/05/2026 8h30</t>
  </si>
  <si>
    <t>FRMF faulty</t>
  </si>
  <si>
    <t>07/05/2026 12h40</t>
  </si>
  <si>
    <t>07/05/2026 16h35</t>
  </si>
  <si>
    <t xml:space="preserve">Porteur </t>
  </si>
  <si>
    <t>08/05/2026 9h</t>
  </si>
  <si>
    <t>08/05/2026  13h</t>
  </si>
  <si>
    <t>08/5/2026 16h50</t>
  </si>
  <si>
    <t>09/05/2026 9H12</t>
  </si>
  <si>
    <t>09/05/2026 12h30</t>
  </si>
  <si>
    <t xml:space="preserve">09/05/2026 15h25 </t>
  </si>
  <si>
    <t>11/05/2026 8h40</t>
  </si>
  <si>
    <t>11/05/2026 13h40</t>
  </si>
  <si>
    <t>11/05/2026 16h10</t>
  </si>
  <si>
    <t>12/05/2026 8h38</t>
  </si>
  <si>
    <t>12/05/2026 12h30</t>
  </si>
  <si>
    <t>12/05/2026 17h40</t>
  </si>
  <si>
    <t>Kaele-Guiedame_TDD_G18L8L18L26_32T32R_EXN_095_MRBTS2</t>
  </si>
  <si>
    <t>Laising_L18L8_NRO_044_MRBTS2</t>
  </si>
  <si>
    <t>NRO_044</t>
  </si>
  <si>
    <t>Not able to synchronize baseband bus</t>
  </si>
  <si>
    <t>1815 unitName=Cablink path=/SMOD_R-1/rf_ext2 additionalFaultID=1815</t>
  </si>
  <si>
    <t>faulty_cells=WCDMA:500601;degraded_cells=WCDMA:500614</t>
  </si>
  <si>
    <t>Martap_G18L18L8_ADM_060_sBTS2</t>
  </si>
  <si>
    <t>ADM_060</t>
  </si>
  <si>
    <t>Antenna link is down</t>
  </si>
  <si>
    <t>Optical Interface faulty</t>
  </si>
  <si>
    <t>1907 unitName=FRMF path=/SMOD_R-1/eif2_rf6/RMOD_R-3 serial_no=AS181700926 additionalFaultID=1907</t>
  </si>
  <si>
    <t>13/05/2026 8h26</t>
  </si>
  <si>
    <t>13/05/2026 13h05</t>
  </si>
  <si>
    <t>13/05/2026 17h05</t>
  </si>
  <si>
    <t>15/05/2026 8h40</t>
  </si>
  <si>
    <t>15/05/2026 12h06</t>
  </si>
  <si>
    <t>15/05/2026 17h20</t>
  </si>
  <si>
    <t>16/05/2026 8h40</t>
  </si>
  <si>
    <t>16/05/2026 13h20</t>
  </si>
  <si>
    <t>16/05/2026 16h</t>
  </si>
  <si>
    <t>Mbakong-MTN_G9U9U21_NRO_255_MRBTS1</t>
  </si>
  <si>
    <t>NRO_255</t>
  </si>
  <si>
    <t>faulty_cells=WCDMA:504127;degraded_cells=WCDMA:504114</t>
  </si>
  <si>
    <t>Kuruda_G9G18U9U21L18L8_EXN_208_MRBTS1</t>
  </si>
  <si>
    <t>EXN_208</t>
  </si>
  <si>
    <t>faulty_cells=WCDMA:567363;degraded_cells=WCDMA:567376</t>
  </si>
  <si>
    <t>VSWR upper threshold exceeded</t>
  </si>
  <si>
    <t>1837 unitName=AntennaLine path=/SMOD_R-1/BBMOD_R-3(Left_Top)/rf3/RMOD_R-3/ant5 additionalFaultID=1837</t>
  </si>
  <si>
    <t>Connection Unstable At 3Gbps</t>
  </si>
  <si>
    <t>Batchenga_G9U9U21L8L7L18L26_CTR_032_MRBTS1</t>
  </si>
  <si>
    <t>CTR_032</t>
  </si>
  <si>
    <t>17/05/2026 9h20</t>
  </si>
  <si>
    <t>18/05/2026 12h37</t>
  </si>
  <si>
    <t>18/05/2026 8h38</t>
  </si>
  <si>
    <t xml:space="preserve">18/05/2026 17h40 </t>
  </si>
  <si>
    <t>NRO_093</t>
  </si>
  <si>
    <t>Bamengwi-IHS_G9U9U21_NRO_093_MRBTS1</t>
  </si>
  <si>
    <t>faulty_cells=GSM:691</t>
  </si>
  <si>
    <t>faulty_cells=WCDMA:4883402</t>
  </si>
  <si>
    <t>faulty_cells=WCDMA:4883503</t>
  </si>
  <si>
    <t>faulty_cells=WCDMA:4883301</t>
  </si>
  <si>
    <t>faulty_cells=GSM:692</t>
  </si>
  <si>
    <t>faulty_cells=GSM:693</t>
  </si>
  <si>
    <t>EXN_169</t>
  </si>
  <si>
    <t>Meme-II-IHS_G9U9U21_EXN_169_mrBTS1</t>
  </si>
  <si>
    <t>faulty_cells=GSM:2937</t>
  </si>
  <si>
    <t>TRX initialization failure</t>
  </si>
  <si>
    <t>2400 supplAlarmInfo=Not enough DSP resources available to allocate the TRX additionalFaultID=2400</t>
  </si>
  <si>
    <t>faulty_cells=GSM:2936</t>
  </si>
  <si>
    <t>faulty_cells=GSM:2938</t>
  </si>
  <si>
    <t>FXDB faulty</t>
  </si>
  <si>
    <t>19/05/2026 8h38</t>
  </si>
  <si>
    <t>19/05/2026 14h14</t>
  </si>
  <si>
    <t>19/05/2026 16h46</t>
  </si>
  <si>
    <t>20/05/2026 9h</t>
  </si>
  <si>
    <t>20/05/2026 14h30</t>
  </si>
  <si>
    <t>21/05/2026 8h34</t>
  </si>
  <si>
    <t>21/05/2026 12h46</t>
  </si>
  <si>
    <t>21/05/2026 16h</t>
  </si>
  <si>
    <t>Telo-MTN-IHS_G9U21_ADM_108_MRBTS1</t>
  </si>
  <si>
    <t>ADM_108</t>
  </si>
  <si>
    <t>10 unitName=FXDB path=/SMOD_R-1/rf_ext2/RMOD_R-1 serial_no=1M172903408 additionalFaultID=10</t>
  </si>
  <si>
    <t>22/05/2026 8h37</t>
  </si>
  <si>
    <t>22/05/2026 12h</t>
  </si>
  <si>
    <t>2400 supplAlarmInfo=Carrier Creation or Activation has failed towards Radio additionalFaultID=2400</t>
  </si>
  <si>
    <t>BTS reset required</t>
  </si>
  <si>
    <t>4001 supplAlarmInfo=BTS reset is needed to take detected radio module or cable into use. additionalFaultID=4001</t>
  </si>
  <si>
    <t>22/05/2026 17H</t>
  </si>
  <si>
    <t>23/05/2026 7H55</t>
  </si>
  <si>
    <t>Hamalade-IHS_G9G18U9U21L18L8_NRD_111_MRBTS1</t>
  </si>
  <si>
    <t>NRD_111</t>
  </si>
  <si>
    <t>10 unitName=FR path=/SMOD_R-1/BBMOD_R-2(Left_Middle)/rf6/RMOD_R-4 supplAlarmInfo=RU not detected after BTS startup additionalFaultID=10</t>
  </si>
  <si>
    <t>Bafmeng_L18L8_NRO_047_MRBTS2</t>
  </si>
  <si>
    <t>NRO_047</t>
  </si>
  <si>
    <t>10 unitName=FR path=/SMOD_R-1/eif2_rf6/RMOD_R-2 additionalFaultID=10</t>
  </si>
  <si>
    <t>Badjonre-IHS_G9G18U9U21L18L8_EXN_152_MRBTS1</t>
  </si>
  <si>
    <t>EXN_152</t>
  </si>
  <si>
    <t>1868 supplAlarmInfo=Uplane calculation failure due to not enough cabling throughput additionalFaultID=1868 LNCEL-23</t>
  </si>
  <si>
    <t>4309 unitName=Cablink path=/SMOD_R-1/rf_ext2 additionalFaultID=4309</t>
  </si>
  <si>
    <t>Songbong_L18L8_CTR_311_MRBTS2</t>
  </si>
  <si>
    <t>CTR_311</t>
  </si>
  <si>
    <t>faulty_cells=LTE:11,12,13,22</t>
  </si>
  <si>
    <t>4077 unitName=FBBC path=/SMOD_R-1/bbext1/BBMOD_R-1 serial_no=GA224200184 additionalFaultID=4077</t>
  </si>
  <si>
    <t>faulty_cells=LTE:21,23</t>
  </si>
  <si>
    <t>4077 unitName=FSMF path=/SMOD_R-1 serial_no=AS180751192 additionalFaultID=4077</t>
  </si>
  <si>
    <t>25/05/2026 8H25</t>
  </si>
  <si>
    <t>23/05/2026 14H16</t>
  </si>
  <si>
    <t>23/05/2026 16H14</t>
  </si>
  <si>
    <t>24/05/2026 17H10</t>
  </si>
  <si>
    <t>faulty_cells=WCDMA:388171;degraded_cells=WCDMA:388204</t>
  </si>
  <si>
    <t>faulty_cells=GSM:all;LTE:11,12,13,21,22</t>
  </si>
  <si>
    <t>Bagarao_G9U9U21_EXN_202_MRBTS1</t>
  </si>
  <si>
    <t>EXN_202</t>
  </si>
  <si>
    <t>Bonga_G9U9L8L7_EST_073_MRBTS1</t>
  </si>
  <si>
    <t>EST_073</t>
  </si>
  <si>
    <t>faulty_cells=GSM:1363;LTE:13,3;WCDMA:4537903</t>
  </si>
  <si>
    <t>10 unitName=AHPMDA path=/SMOD_R-1/rf_ext1/RMOD_R-1 serial_no=EA213358692 additionalFaultID=10</t>
  </si>
  <si>
    <t>25/05/2026 12h46</t>
  </si>
  <si>
    <t>25/05/2026 16h49</t>
  </si>
  <si>
    <t>Salapoumbe-Ville-MTN-IHS_G9L8_EST_103_MRBTS1</t>
  </si>
  <si>
    <t>EST_103</t>
  </si>
  <si>
    <t>faulty_cells=GSM:2101</t>
  </si>
  <si>
    <t>1910 unitName=FXDB path=/SMOD_R-1/rf_ext1/RMOD_R-1 serial_no=F7162803993 additionalFaultID=1910</t>
  </si>
  <si>
    <t>Songloulou-IHS_G9U9U21_LIT_200_MRBTS1</t>
  </si>
  <si>
    <t>LIT_200</t>
  </si>
  <si>
    <t>faulty_cells=WCDMA:350876</t>
  </si>
  <si>
    <t>faulty_cells=WCDMA:350863</t>
  </si>
  <si>
    <t>faulty_cells=WCDMA:350832</t>
  </si>
  <si>
    <t>faulty_cells=WCDMA:350858</t>
  </si>
  <si>
    <t>faulty_cells=WCDMA:350801</t>
  </si>
  <si>
    <t>faulty_cells=WCDMA:350889</t>
  </si>
  <si>
    <t>faulty_cells=WCDMA:350814</t>
  </si>
  <si>
    <t>faulty_cells=WCDMA:350845</t>
  </si>
  <si>
    <t>faulty_cells=WCDMA:350827</t>
  </si>
  <si>
    <t>4310 unitName=Cablink path=/SMOD_R-1/rf_ext1 additionalFaultID=4310</t>
  </si>
  <si>
    <t>26/05/2026 8h22</t>
  </si>
  <si>
    <t>Mberem-Ngop_G9U9L8_ADM_133_MRBTS1</t>
  </si>
  <si>
    <t>ADM_133</t>
  </si>
  <si>
    <t>10 unitName=ARMA path=/SMOD_R-1/eif2_rf6/RMOD_R-1 serial_no=1M210201839 additionalFaultID=10</t>
  </si>
  <si>
    <t>faulty_cells=GSM:all;WCDMA:all</t>
  </si>
  <si>
    <t>faulty_cells=GSM:all;WCDMA:4880701,4880802,4880903</t>
  </si>
  <si>
    <t>faulty_cells=WCDMA:540741,540752,540763,540774,540785,540796,540807,540818,540829</t>
  </si>
  <si>
    <t>10 unitName=FRMF path=/SMOD_R-1/eif2_rf6/RMOD_R-2 serial_no=AS200601582 additionalFaultID=10</t>
  </si>
  <si>
    <t>26/05/2026 12h05</t>
  </si>
  <si>
    <t>Zigague_G9U9_EXN_034_MRBTS1</t>
  </si>
  <si>
    <t>EXN_034</t>
  </si>
  <si>
    <t>476 unitName=FBBC path=/SMOD_R-1/bbext1/BBMOD_R-1 serial_no=EA204520538 additionalFaultID=476</t>
  </si>
  <si>
    <t>Kumbe-MTN_G9U9_SUO_088_MRBTS1</t>
  </si>
  <si>
    <t>SUO_088</t>
  </si>
  <si>
    <t>10 unitName=ARDA path=/SMOD_R-1/rf_ext1/RMOD_R-1 serial_no=K9221948808 additionalFaultID=10</t>
  </si>
  <si>
    <t>Ebonji-IHS_G9U9U21_SUO_101_MRBTS1</t>
  </si>
  <si>
    <t>SUO_101</t>
  </si>
  <si>
    <t>FSP subunit lost</t>
  </si>
  <si>
    <t>4341 unitName=FBBC path=/SMOD_R-1/bbext1/BBMOD_R-1 serial_no=GA223600523 additionalFaultID=4341</t>
  </si>
  <si>
    <t>Yokadouma_G18L18L8L26_EST_013_MRBTS2</t>
  </si>
  <si>
    <t>EST_013</t>
  </si>
  <si>
    <t>FO faulty</t>
  </si>
  <si>
    <t>Kaele-Guiedame_G9U21_EXN_095_MRBTS1</t>
  </si>
  <si>
    <t>10 unitName=ARMA path=/SMOD_R-1/BBMOD_R-2(Left_Middle)/rf6/RMOD_R-2 serial_no=1M222545494 supplAlarmInfo=RU connection was lost in runtime additionalFaultID=10</t>
  </si>
  <si>
    <t>Mayo-Nonde-IHS_G9U9U21_NRD_106_MRBTS1</t>
  </si>
  <si>
    <t>NRD_106</t>
  </si>
  <si>
    <t>1907 unitName=FRGU path=/SMOD_R-1/rf_ext3/RMOD_R-2 serial_no=K9181304673 additionalFaultID=1907</t>
  </si>
  <si>
    <t>27/05/2026 9h</t>
  </si>
  <si>
    <t>28/05/2026 8h10</t>
  </si>
  <si>
    <t>ADM_021</t>
  </si>
  <si>
    <t>Dir_G9U9U21_ADM_021_MRBTS1</t>
  </si>
  <si>
    <t>10 unitName=ARMA path=/SMOD_R-1/eif2_rf6/RMOD_R-1 serial_no=1M231600334 additionalFaultID=10</t>
  </si>
  <si>
    <t>NRO_087</t>
  </si>
  <si>
    <t>Mendji-IHS_L8_NRO_087_MRBTS2</t>
  </si>
  <si>
    <t>1907 unitName=FRGU path=/SMOD_R-1/rf_ext3/RMOD_R-1 serial_no=K9212321187 additionalFaultID=1907</t>
  </si>
  <si>
    <t>faulty_cells=WCDMA:570323,570356,570301,570389;degraded_cells=WCDMA:570334</t>
  </si>
  <si>
    <t>Mendji-IHS_G9U9U21_NRO_087_MRBTS1</t>
  </si>
  <si>
    <t>1837 unitName=AntennaLine path=/SMOD_R-1/rf_ext1/RMOD_R-4/ant1 additionalFaultID=1837</t>
  </si>
  <si>
    <t>faulty_cells=LTE:1;degraded_cells=LTE:11</t>
  </si>
  <si>
    <t>SUD_166</t>
  </si>
  <si>
    <t>Koumyetotan-Olong_N_G9U9L8L7_SUD_166_MRBTS1</t>
  </si>
  <si>
    <t>1837 unitName=AntennaLine path=/SMOD_R-1/rf_ext2/RMOD_R-1/ant2 additionalFaultID=1837</t>
  </si>
  <si>
    <t>faulty_cells=GSM:1722;WCDMA:4010902</t>
  </si>
  <si>
    <t>ADM_251</t>
  </si>
  <si>
    <t>Nyadjinda_N_G9U9L8L7_ADM_251_sBTS1</t>
  </si>
  <si>
    <t>faulty_cells=WCDMA:4967102</t>
  </si>
  <si>
    <t>NEW SITE</t>
  </si>
  <si>
    <t>1837 unitName=AntennaLine path=/SMOD_R-1/rf_ext1/RMOD_R-2/ant1 additionalFaultID=1837</t>
  </si>
  <si>
    <t>10 unitName=AHPMDA path=/SMOD_R-1/rf_ext2/RMOD_R-2 serial_no=LR232805896 additionalFaultID=10</t>
  </si>
  <si>
    <t>faulty_cells=GSM:1762;LTE:12,2;WCDMA:4641002</t>
  </si>
  <si>
    <t>Mbalmayo-Akoumetam_N_G9U9L8L7_CTR_1112_sBTS1</t>
  </si>
  <si>
    <t>1837 unitName=AntennaLine path=/SMOD_R-1/eif2_rf6/RMOD_R-3/ant1 additionalFaultID=1837</t>
  </si>
  <si>
    <t>faulty_cells=LTE:3;degraded_cells=LTE:13</t>
  </si>
  <si>
    <t>EST_268</t>
  </si>
  <si>
    <t>Mobesso-Kobi_N_G9U9L8_EST_268_MRBTS1</t>
  </si>
  <si>
    <t>10 unitName=AHPMDA path=/SMOD_R-1/rf_ext1/RMOD_R-1 serial_no=LR232805901 additionalFaultID=10</t>
  </si>
  <si>
    <t>faulty_cells=GSM:1751;LTE:1,11;WCDMA:4641201</t>
  </si>
  <si>
    <t>Sengbe_N_G9U9L8L7_CTR_1118_sBTS1</t>
  </si>
  <si>
    <t>Kanga_L18L8_LIT_510_MRBTS2</t>
  </si>
  <si>
    <t>LIT_510</t>
  </si>
  <si>
    <t>faulty_cells=WCDMA:520701,520714,520727</t>
  </si>
  <si>
    <t>NRO_092</t>
  </si>
  <si>
    <t>Fundong-FM_G9U9U21_NRO_092_MRBTS1</t>
  </si>
  <si>
    <t>4310 unitName=Cablink path=/SMOD_R-1/rf_ext3 additionalFaultID=4310</t>
  </si>
  <si>
    <t>FCOP faulty</t>
  </si>
  <si>
    <t xml:space="preserve">
28/05/2026  || Expedition AREA  ce jour de Ngarounde pour Maroua, puis de Maroua pour Yagoua ||ETD : 01/06/2026
26/05/2026:|| Jumper faulty  et AREA|| Cde de la SPARE  en cour
25/05/2026 ;Check and clean jumper, port 5 of ARGA
23/05/2026 : Need BO RAN analysis </t>
  </si>
  <si>
    <t xml:space="preserve">AREA &amp;  Jumper faulty </t>
  </si>
  <si>
    <t>28/05/2026 17h38</t>
  </si>
  <si>
    <t>28/05/2026 13h53</t>
  </si>
  <si>
    <t>Muyengue-IHS_G9U9_LIT_175_MRBTS1</t>
  </si>
  <si>
    <t>LIT_175</t>
  </si>
  <si>
    <t>faulty_cells=WCDMA:4928702;degraded_cells=GSM:1542</t>
  </si>
  <si>
    <t>1837 unitName=AntennaLine path=/SMOD_R-1/rf_ext1/RMOD_R-1/ant3 additionalFaultID=1837</t>
  </si>
  <si>
    <t>Santchou_G9U9U21_OST_038_mrBTS1</t>
  </si>
  <si>
    <t>OST_038</t>
  </si>
  <si>
    <t>faulty_cells=WCDMA:379951</t>
  </si>
  <si>
    <t>GEN Overload</t>
  </si>
  <si>
    <t>Power issue</t>
  </si>
  <si>
    <t xml:space="preserve">
29/05/2026 : Power instability || En attente feedback IHS  || Team is facing access issue.</t>
  </si>
  <si>
    <t>RCA unknown</t>
  </si>
  <si>
    <t>FBBC faulty</t>
  </si>
  <si>
    <t>Pannel faulty</t>
  </si>
  <si>
    <t>FRGU faulty</t>
  </si>
  <si>
    <t>Power instability</t>
  </si>
  <si>
    <t>HW PJT</t>
  </si>
  <si>
    <t>Old Case</t>
  </si>
  <si>
    <t>New Case</t>
  </si>
  <si>
    <t>UP without action</t>
  </si>
  <si>
    <t>Extension NOKIA</t>
  </si>
  <si>
    <t>ZTE</t>
  </si>
  <si>
    <t>NEW SITE pas encore transfere</t>
  </si>
  <si>
    <t>Extension NOKIA pas encore transfere</t>
  </si>
  <si>
    <t>TR_1118</t>
  </si>
  <si>
    <t>TR_1112</t>
  </si>
  <si>
    <t>Dogba-IHS_G18L18L8_EXN_171_MRBTS2</t>
  </si>
  <si>
    <t>EXN_171</t>
  </si>
  <si>
    <t>10 unitName=FXED path=/SMOD_R-1/rf_ext1/RMOD_R-1 serial_no=1M164643187 additionalFaultID=10</t>
  </si>
  <si>
    <t>10 unitName=FRMF path=/SMOD_R-1/eif2_rf6/RMOD_R-2 serial_no=F7182927057 additionalFaultID=10</t>
  </si>
  <si>
    <t>Martap_G9U9U21_ADM_060_MRBTS1</t>
  </si>
  <si>
    <t>1907 unitName=FRMF path=/SMOD_R-1/eif2_rf6/RMOD_R-4 serial_no=AS181700926 additionalFaultID=1907</t>
  </si>
  <si>
    <t>Dogba-IHS_G9U9U21_EXN_171_MRBTS1</t>
  </si>
  <si>
    <t>Mbidou-IHS_G9U9U21_ADM_079_MRBTS1</t>
  </si>
  <si>
    <t>ADM_079</t>
  </si>
  <si>
    <t>faulty_cells=GSM:all;WCDMA:4633901,4634002</t>
  </si>
  <si>
    <t>10 unitName=FXDB path=/SMOD_R-1/rf_ext2/RMOD_R-1 serial_no=F7170246168 additionalFaultID=10</t>
  </si>
  <si>
    <t>FAKE</t>
  </si>
  <si>
    <t>Down</t>
  </si>
  <si>
    <t>29/05/2026 8H30</t>
  </si>
  <si>
    <t>29/05/2026 14H17</t>
  </si>
  <si>
    <t xml:space="preserve">29/05/2026 18H </t>
  </si>
  <si>
    <t>OMU signaling connection failure in Abis interface</t>
  </si>
  <si>
    <t>Mazera_G18L18L8_EXN_226_MRBTS2</t>
  </si>
  <si>
    <t>EXN_226</t>
  </si>
  <si>
    <t>2412 unitName=FSMF additionalFaultID=2412 MRBTS-30182</t>
  </si>
  <si>
    <t xml:space="preserve">30/05/2026 : Need BO RAN analysis </t>
  </si>
  <si>
    <t>30/05/2026: Feedback FME: Negociation escorte en cours
29/05/2026 : Negociation escorte en cours
28/05/2026 : Zone rouge || Action avec Level 0 en cour
27/05/2026 : Need BO RAN analysis||Check and replace FBBC if needed</t>
  </si>
  <si>
    <t>30/05/2026 : Need BO RAN analysis ||</t>
  </si>
  <si>
    <t>faulty_cells=GSM:2101,2102</t>
  </si>
  <si>
    <t>faulty_cells=LTE:51</t>
  </si>
  <si>
    <t>1868 supplAlarmInfo=Uplane calculation failure due to not enough cabling throughput additionalFaultID=1868 LNCEL-51</t>
  </si>
  <si>
    <t>Widikum_L18L8_NRO_219_MRBTS</t>
  </si>
  <si>
    <t>NRO_219</t>
  </si>
  <si>
    <t>faulty_cells=LTE:23,22</t>
  </si>
  <si>
    <t>1907 unitName=FXED path=/SMOD_R-1/rf_ext1/RMOD_R-1 serial_no=F7170309627 additionalFaultID=1907</t>
  </si>
  <si>
    <t>1907 unitName=FRMF path=/SMOD_R-1/eif2_rf6/RMOD_R-1 serial_no=F7164423582 additionalFaultID=1907</t>
  </si>
  <si>
    <t>Colline-du-loup_G9U9U21_LIT_133_MRBTS1</t>
  </si>
  <si>
    <t>LIT_133</t>
  </si>
  <si>
    <t>faulty_cells=WCDMA:350401,350414,350427,350432,350445,350458</t>
  </si>
  <si>
    <t>10 unitName=FRGU path=/SMOD_R-1/rf_ext3/RMOD_R-3 serial_no=K9170918467 additionalFaultID=10</t>
  </si>
  <si>
    <t>faulty_cells=GSM:all;WCDMA:4607401,4607502,4607603</t>
  </si>
  <si>
    <t>30/05/2026 8h47</t>
  </si>
  <si>
    <t>30/05/2026 13h12</t>
  </si>
  <si>
    <t>30/05/2026 16h</t>
  </si>
  <si>
    <t>2000 unitName=LANE path=/SMOD_R-1/rf_ext2/SFP_R-2/LANE_R-1 additionalFaultID=2000</t>
  </si>
  <si>
    <t>faulty_cells=GSM:873</t>
  </si>
  <si>
    <t>faulty_cells=GSM:872</t>
  </si>
  <si>
    <t>faulty_cells=GSM:871</t>
  </si>
  <si>
    <t>faulty_cells=GSM:871,872,873</t>
  </si>
  <si>
    <t>10 unitName=FR path=/SMOD_R-1/BBMOD_R-3(Left_Bottom)/rf1/RMOD_R-2 supplAlarmInfo=RU not detected after BTS startup additionalFaultID=10</t>
  </si>
  <si>
    <t>ARMA faulty</t>
  </si>
  <si>
    <t>Sabongari-NRO_L18L8_NRO_230_MRBTS2</t>
  </si>
  <si>
    <t>NRO_230</t>
  </si>
  <si>
    <t>faulty_cells=LTE:13;degraded_cells=LTE:12</t>
  </si>
  <si>
    <t>1907 unitName=FRMF path=/SMOD_R-1/eif2_rf6/RMOD_R-2 serial_no=AS202001126 additionalFaultID=1907</t>
  </si>
  <si>
    <t>10 unitName=FR path=/SMOD_R-1/rf_ext2/RMOD_R-1 additionalFaultID=10</t>
  </si>
  <si>
    <t>31/05/2026 : Need BO RAN analysis</t>
  </si>
  <si>
    <t>31/05/2026 9h35</t>
  </si>
  <si>
    <t xml:space="preserve">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</si>
  <si>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>31/05/2026 : Acess issue 
30/05/2026 : Need BO RAN analysis ||Check and replace FXBD</t>
  </si>
  <si>
    <t>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</si>
  <si>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>Gaba_G9U9U21_NRD_155_MRBTS1</t>
  </si>
  <si>
    <t>NRD_155</t>
  </si>
  <si>
    <t>faulty_cells=WCDMA:4642303</t>
  </si>
  <si>
    <t>110 unitName=FXDB path=/SMOD_R-1/rf_ext2/RMOD_R-2 serial_no=1M171227601 additionalFaultID=110</t>
  </si>
  <si>
    <t>Makor_G9U21_ADM_015_MRBTS1</t>
  </si>
  <si>
    <t>ADM_015</t>
  </si>
  <si>
    <t>faulty_cells=GSM:1042</t>
  </si>
  <si>
    <t>faulty_cells=GSM:1043</t>
  </si>
  <si>
    <t>faulty_cells=WCDMA:4878501</t>
  </si>
  <si>
    <t>faulty_cells=WCDMA:4878703</t>
  </si>
  <si>
    <t>faulty_cells=GSM:1041</t>
  </si>
  <si>
    <t>faulty_cells=WCDMA:4878602</t>
  </si>
  <si>
    <t>Santchou-IHS_G9G18U21L18L8_OST_140_MRBTS1</t>
  </si>
  <si>
    <t>OST_140</t>
  </si>
  <si>
    <t>4309 unitName=Cablink path=/SMOD_R-1/BBMOD_R-3(Right_Top)/rf3 additionalFaultID=4309</t>
  </si>
  <si>
    <t>Fundong_L18L8_NRO_015_MRBTS2</t>
  </si>
  <si>
    <t>NRO_015</t>
  </si>
  <si>
    <t>Fundong_G9U9U21_NRO_015_MRBTS1</t>
  </si>
  <si>
    <t>faulty_cells=WCDMA:570067</t>
  </si>
  <si>
    <t>faulty_cells=LTE:6</t>
  </si>
  <si>
    <t>1868 supplAlarmInfo=Not enough link capacity on fronthaul or internal connections or SFP(s) for cell detected additionalFaultID=1868 LNCEL-6</t>
  </si>
  <si>
    <t>476 unitName=FBBC path=/SMOD_R-1/bbext2/BBMOD_R-2 serial_no=NK162730429 additionalFaultID=476</t>
  </si>
  <si>
    <t>faulty_cells=WCDMA:570189</t>
  </si>
  <si>
    <t>faulty_cells=WCDMA:379951,379962,379973,379984,379995,380016,533017,533028,533039</t>
  </si>
  <si>
    <t>10 unitName=FRGU path=/SMOD_R-1/rf_ext3/RMOD_R-2 serial_no=AS173291914 additionalFaultID=10</t>
  </si>
  <si>
    <t>W23</t>
  </si>
  <si>
    <t>01/06/2026   8h16</t>
  </si>
  <si>
    <t xml:space="preserve">01/06/2026 : Need BO RAN analysis </t>
  </si>
  <si>
    <t xml:space="preserve">
01/06/2026: FME activer|| ETA: 15h
31/05/2026: Toujour en attente de la Radio ARMA
30/05/2026:La radio quitte Bertoua pour Batouri ce jour||ETD: demain 31052026
29/05/2026:Cmd de la ARMA en cour 
28/05/2026: FME should Check and replace ARMA||FME activer pour investigation||ETA: Demain
27/05/2026 : Need BO RAN analysis</t>
  </si>
  <si>
    <t xml:space="preserve">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</si>
  <si>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>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</si>
  <si>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</si>
  <si>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</si>
  <si>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01/06/2026 : Check breaker and  interconnection (sfp, optical fiber) between system and radio module, swap its if needed||GHOST TOWN</t>
  </si>
  <si>
    <t xml:space="preserve">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</si>
  <si>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 xml:space="preserve">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</si>
  <si>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01/06/2026 : Feedback HW SPMS attendu
30/05/2026 : FRGU pas disponible dans les Grd-nord || MAil de cde envoye a HW spare 
29/05/2026 : Check disponibilite FRGU dans les WH du grand Nord
28/05/2026 : Need BO RAN analysis ||close aafter reset</t>
  </si>
  <si>
    <t>01/06/2026 : ETA 14H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</si>
  <si>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01/062026: Reception de la SPARE ce jour ||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</si>
  <si>
    <t>01/06/2026: : Need BO TX analysis || 
29/05/2026 : Feedback BO RAN : Il y a deux soucis sur ce site : RAN et TX || TX : packet loss, instabilité Bien vouloir faire analyser par un BO TX
25/05/2026 : Un mail a ete envoyer au BO pour plus d'analyse.</t>
  </si>
  <si>
    <t>01/06/2026 8h16</t>
  </si>
  <si>
    <t>01/06/2026 : Besoin transfere a OCM || Feedback OCM : DN attendu pour recuperation de la SPARE
30/05/2026 : FRMF pas disponible dans les Grd-nord || MAil de cde envoye a hw spare 
29/05/2026 : Check disponibilite FRMF dans les WH du grand Nord.
28/05/2026: Intervetion prevue ce jour ||ETA: 11h||intervention en cour||Configuaration et remplcament de la SFP module||FRMF faulty
27/05/2026 : Fme actuellment sur le site de Dir pourra intervenir sur le site de Martap apres.
26/05/2026:Feedback RM :  Intervention le 27/05/2026 après remplacement FRMF sur Goro ce jour
25/05/2026 : Forte pluie dans la zone. Evidences partagees
22/05/2026 ; Feedback Warehouse ; La spare na pas pu ete transferer faute des agents de l'agence||ETD : demain matin
20/05/2026 : FRMF transfere sur ngaoundere || Expedition pour Ngaoudal || ETD 21052026
18/05/2026 ; La spare quitte  Maroua pour NDE aujourd'hui ETD : 20052026
17/05/2026 : Check breaker and  interconnection (sfp, optical fiber) between system and radio module, swap its if needed||FME  active ||Cmd de la radio FRMF en cour chez le warehouse de NDE.</t>
  </si>
  <si>
    <t>01/06/2026 : Need BO RAN analysis</t>
  </si>
  <si>
    <t xml:space="preserve">01/06/2026:FME interviendra sur le site de Yokadouma ce jour|| Intervention prevue pour le 02062026
31/05/2026: Toujour en attente de la Radio FXDB
30/05/2026:Cmd de la FXDB en cour||La radio quitte Bertoua pour Batouri ce jour||ETD: demain 31052026
28/05/2026 : Need BO RAN analysis  || Check power cable of FXDB || Escalade faite au RM || En attente de son feedback </t>
  </si>
  <si>
    <t xml:space="preserve">
01/06/2026:  FME etait sur le site il a constater qu'il y'a un probleme de redresseur etune  insuffissance power. Nous sommes en attente de son rapport d'intervention pour interpeller le powerco 
29/05/2026 : Need BO RAN analysis  || FME should check and replace FRGU (pn=472956A.102) || ETA 18H</t>
  </si>
  <si>
    <t xml:space="preserve">01/06/2026 : Relance faite ce jour  
29/05/2026 : GEN Overload d'apres HIS || The plan will be shared ASAP 
28/05/2026 : Excalade l3 ce jour 
26/05/2026 : Need BO RAN analysis || Cell was down due to power || Mail sent to IHS </t>
  </si>
  <si>
    <t>Solar-Gen</t>
  </si>
  <si>
    <t>CTR_1118</t>
  </si>
  <si>
    <t>01/06/2026 : Need BO RAN analysis||Site unstable Activate FME Should check and replace AHPMDA if needed</t>
  </si>
  <si>
    <t>01/06/2026   13h</t>
  </si>
  <si>
    <t>01/06/2026 : ETA 14H||Intervention en cour
31/05/2026: FO faulty || ETD: 01/06/2026
30/05/2026 ; Intervention prevu ce jour||ET 13H
29/05/2026 : Check breaker and  interconnection (sfp, optical fiber) between system and radio module, swap its if needed||Intervetion prevue pour demain</t>
  </si>
  <si>
    <t>Tide Goulfey_G9U9L8_EXN_273_MRBTS1</t>
  </si>
  <si>
    <t>EXN_273</t>
  </si>
  <si>
    <t>10 unitName=ARDA path=/SMOD_R-1/rf_ext1/RMOD_R-2 serial_no=K9225202423 additionalFaultID=10</t>
  </si>
  <si>
    <t>01/06/2026 : Check breaker and  interconnection (sfp, optical fiber) between system and radio module, swap its if needed||Escalade faite au RM. En attente de son Feedback</t>
  </si>
  <si>
    <t>10 unitName=ARMA path=/SMOD_R-1/eif2_rf6/RMOD_R-1 serial_no=1M224404224 additionalFaultID=10</t>
  </si>
  <si>
    <t>30/05/2026 : Need BO RAN analysis ||FME should  check and replace FXED if needed|| GHOST TOWN</t>
  </si>
  <si>
    <t>Banga-Ndelele_G9U9L8_EST_270_MRBTS1</t>
  </si>
  <si>
    <t>EST_270</t>
  </si>
  <si>
    <t>faulty_cells=GSM:2241</t>
  </si>
  <si>
    <t>faulty_cells=GSM:2242</t>
  </si>
  <si>
    <t>1837 unitName=AntennaLine path=/SMOD_R-1/rf_ext1/RMOD_R-2/ant3 additionalFaultID=1837</t>
  </si>
  <si>
    <t>1837 unitName=AntennaLine path=/SMOD_R-1/eif2_rf6/RMOD_R-3/ant4 additionalFaultID=1837</t>
  </si>
  <si>
    <t>1837 unitName=AntennaLine path=/SMOD_R-1/eif2_rf6/RMOD_R-3/ant2 additionalFaultID=1837</t>
  </si>
  <si>
    <t xml:space="preserve">30/05/2026 : Need BO RAN analysis ||Site unstable due to power </t>
  </si>
  <si>
    <t>1/6/2026   13h</t>
  </si>
  <si>
    <t>1/6/2026  13h</t>
  </si>
  <si>
    <t xml:space="preserve">1/6/2026  13h </t>
  </si>
  <si>
    <t>Gueme_G9U21_EXN_049_MRBTS1</t>
  </si>
  <si>
    <t>EXN_049</t>
  </si>
  <si>
    <t>faulty_cells=WCDMA:344031,344042,344053,344064,344105,344206</t>
  </si>
  <si>
    <t>1956 unitName=FRGU path=/SMOD_R-1/rf_ext1/RMOD_R-1 serial_no=AS201004909 additionalFaultID=1956</t>
  </si>
  <si>
    <t>01/06/2026   17h03</t>
  </si>
  <si>
    <t xml:space="preserve">01/06/2026 : Need BO RAN analysis ||Closed after reset but check  Port EXT2 of SFP </t>
  </si>
  <si>
    <t xml:space="preserve">
01/06/2026: FME activer|| ETA: 15h|| Intervenion reporter a demain
31/05/2026: Toujour en attente de la Radio ARMA
30/05/2026:La radio quitte Bertoua pour Batouri ce jour||ETD: demain 31052026
29/05/2026:Cmd de la ARMA en cour 
28/05/2026: FME should Check and replace ARMA||FME activer pour investigation||ETA: Demain
27/05/2026 : Need BO RAN analysis</t>
  </si>
  <si>
    <t>1/6/2026 8h16</t>
  </si>
  <si>
    <t>1/6/2026 13h</t>
  </si>
  <si>
    <t>1/6/2026 17h03</t>
  </si>
  <si>
    <t>01/06/2026 : ETA 14H||Intervention en cour || En attente du feedback du Fme 
31/05/2026: FO faulty || ETD: 01/06/2026
30/05/2026 ; Intervention prevu ce jour||ET 13H
29/05/2026 : Check breaker and  interconnection (sfp, optical fiber) between system and radio module, swap its if needed||Intervetion prevue pour demain</t>
  </si>
  <si>
    <t>01/06/2026 : Escalade faite au RM || En attente de son feedback 
31/05/2026 : Acess issue 
30/05/2026 : Need BO RAN analysis ||Check and replace FXBD</t>
  </si>
  <si>
    <t>01/06/2026 : Escalade faite au PM  || En attente de son feedback 
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</si>
  <si>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 xml:space="preserve">01/06/2026 : Check breaker and  interconnection (sfp, optical fiber) between system and radio module, swap its if needed||FME activer || Intervention en cours || En attente feedback du fme </t>
  </si>
  <si>
    <t xml:space="preserve">01/06/2026 : Check breaker and  interconnection (sfp, optical fiber) between system and radio module, swap its if needed||Escalade faite au RM. En attente de son Feedback|| ETA : 02/06/2026 </t>
  </si>
  <si>
    <t>faulty_cells=WCDMA:4607401</t>
  </si>
  <si>
    <t>Invalid frequency channel for the BTS HW</t>
  </si>
  <si>
    <t>1807 additionalFaultID=1807</t>
  </si>
  <si>
    <t>faulty_cells=WCDMA:4607502</t>
  </si>
  <si>
    <t>faulty_cells=WCDMA:4607603</t>
  </si>
  <si>
    <t>faulty_cells=GSM:131</t>
  </si>
  <si>
    <t>faulty_cells=GSM:133</t>
  </si>
  <si>
    <t>faulty_cells=GSM:132</t>
  </si>
  <si>
    <t>faulty_cells=GSM:2681</t>
  </si>
  <si>
    <t>faulty_cells=GSM:2682</t>
  </si>
  <si>
    <t>faulty_cells=GSM:2683</t>
  </si>
  <si>
    <t>faulty_cells=WCDMA:4603902</t>
  </si>
  <si>
    <t>faulty_cells=WCDMA:4603801</t>
  </si>
  <si>
    <t>faulty_cells=WCDMA:4604003</t>
  </si>
  <si>
    <t>Gouzougoui-IHS_G18L18L8L26_EXN_100_MRBTS2</t>
  </si>
  <si>
    <t>EXN_100</t>
  </si>
  <si>
    <t>faulty_cells=GSM:2667;LTE:2</t>
  </si>
  <si>
    <t>1907 unitName=FXED path=/SMOD_R-1(Left)/BBMOD_R-1(Left_Bottom)/rf1/RMOD_R-1 serial_no=F7170309631 additionalFaultID=1907</t>
  </si>
  <si>
    <t>02/06/2026   8h14</t>
  </si>
  <si>
    <t xml:space="preserve">02/06/2026 : Need BO RAN analysis </t>
  </si>
  <si>
    <t>01/06/2026 : Need BO RAN analysis ||Closed after reset but FME should check port EXT2 on SFP, Optical fiber of FRGU if needed</t>
  </si>
  <si>
    <t>01/06/2026 : Need BO RAN analysis ||Activate FME to should check and replace FRGU</t>
  </si>
  <si>
    <t>02/05/2026: Intervention prevue pour vendredi 05062026
30/05/2026: Feedback FME: Negociation escorte en cours
29/05/2026 : Negociation escorte en cours
28/05/2026 : Zone rouge || Action avec Level 0 en cour
27/05/2026 : Need BO RAN analysis||Check and replace FBBC if needed</t>
  </si>
  <si>
    <t>02/05/2026: Intervention prevue ce jour ||ETA: 13H
01/06/2026 : Check breaker and  interconnection (sfp, optical fiber) between system and radio module, swap its if needed||</t>
  </si>
  <si>
    <t xml:space="preserve">02/05/2026: Intervention prevue pour ce jour||ETA:15H
28/05/2026  || Expedition AREA  ce jour de Ngarounde pour Maroua, puis de Maroua pour Yagoua ||ETD : 01/06/2026
26/05/2026:|| Jumper faulty  et AREA|| Cde de la SPARE  en cour
25/05/2026 ;Check and clean jumper, port 5 of ARGA
23/05/2026 : Need BO RAN analysis </t>
  </si>
  <si>
    <t xml:space="preserve">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</si>
  <si>
    <t>02/05/2026: La FO a ete remplacee hier et intervention interrompue pour cause de pluie || Suite intervention ce jour  || ETA 14H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</si>
  <si>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>02/05/2026 : Le FME se deplacera par pirrogue ||  Intervention prevue pour vendredi 05062026
01/06/2026 : Escalade faite au RM || En attente de son feedback 
31/05/2026 : Acess issue 
30/05/2026 : Need BO RAN analysis ||Check and replace FXBD</t>
  </si>
  <si>
    <t>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</si>
  <si>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>02/06/2026 : UP apres remplacement de la ARMA
01/06/2026: FME activer|| ETA: 15h|| Intervenion reporter a demain
31/05/2026: Toujour en attente de la Radio ARMA
30/05/2026:La radio quitte Bertoua pour Batouri ce jour||ETD: demain 31052026
29/05/2026:Cmd de la ARMA en cour 
28/05/2026: FME should Check and replace ARMA||FME activer pour investigation||ETA: Demain
27/05/2026 : Need BO RAN analysis</t>
  </si>
  <si>
    <t>UP after ARMA replacement</t>
  </si>
  <si>
    <t xml:space="preserve">01/06/2026:FME interviendra sur le site de Yokadouma ce jour|| Intervention apres Yokadouma || ETA 16H
31/05/2026: Toujour en attente de la Radio FXDB
30/05/2026:Cmd de la FXDB en cour||La radio quitte Bertoua pour Batouri ce jour||ETD: demain 31052026
28/05/2026 : Need BO RAN analysis  || Check power cable of FXDB || Escalade faite au RM || En attente de son feedback </t>
  </si>
  <si>
    <t>02/06/2026 : ETA attendu || Relance faite au PM par mail
01/06/2026 : Check breaker and  interconnection (sfp, optical fiber) between system and radio module, swap its if needed||GHOST TOWN</t>
  </si>
  <si>
    <t>02/06/2026 : ETA attendu || Relance faite au PM par mail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</si>
  <si>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02/06/2026 : ETA attendu || Relance faite au PM par mail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</si>
  <si>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>02/06/2026 : ETA attendu || Relance faite au PM par mail
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</si>
  <si>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>02/06/2026 : ETA attendu || Relance faite au PM par mail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</si>
  <si>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 xml:space="preserve">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</si>
  <si>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02/06/2026 : ETA attendu || Relance faite au PM par mail
30/05/2026 : Need BO RAN analysis ||FME should  check and replace FXED if needed|| GHOST TOWN</t>
  </si>
  <si>
    <t>02/06/2026 : Nouvelle occurrence || FEM active et intervention ce jour</t>
  </si>
  <si>
    <t>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</si>
  <si>
    <t xml:space="preserve">
02/06/206: Intervention apres Telo-MTN-IHS
01/06/2026 : Escalade faite au PM  || En attente de son feedback 
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</si>
  <si>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>1/6/2026   17h03</t>
  </si>
  <si>
    <t>2/6/2026   8h14</t>
  </si>
  <si>
    <t>EXN</t>
  </si>
  <si>
    <t>2/6/2026 8h14</t>
  </si>
  <si>
    <t>faulty_cells=LTE:2</t>
  </si>
  <si>
    <t>1868 supplAlarmInfo=Not enough link capacity on fronthaul or internal connections or SFP(s) for cell detected additionalFaultID=1868 LNCEL-2</t>
  </si>
  <si>
    <t>faulty_cells=LTE:3</t>
  </si>
  <si>
    <t>1868 supplAlarmInfo=Not enough link capacity on fronthaul or internal connections or SFP(s) for cell detected additionalFaultID=1868 LNCEL-3</t>
  </si>
  <si>
    <t>faulty_cells=WCDMA:533039</t>
  </si>
  <si>
    <t>faulty_cells=WCDMA:379962</t>
  </si>
  <si>
    <t>faulty_cells=WCDMA:379995</t>
  </si>
  <si>
    <t>faulty_cells=WCDMA:379973</t>
  </si>
  <si>
    <t>faulty_cells=WCDMA:379984</t>
  </si>
  <si>
    <t>faulty_cells=WCDMA:533028</t>
  </si>
  <si>
    <t>faulty_cells=WCDMA:380016</t>
  </si>
  <si>
    <t>faulty_cells=WCDMA:533017</t>
  </si>
  <si>
    <t>Meme-II-IHS_G18L18L8_EXN_169_MRBTS2</t>
  </si>
  <si>
    <t>faulty_cells=LTE:4,5,6</t>
  </si>
  <si>
    <t>10 unitName=FRMF path=/SMOD_R-1/rf_ext3/RMOD_R-2 serial_no=F7190416241 additionalFaultID=10</t>
  </si>
  <si>
    <t>10 unitName=FXED path=/SMOD_R-1/rf_ext1/RMOD_R-1 serial_no=1M200705549 additionalFaultID=10</t>
  </si>
  <si>
    <t>faulty_cells=WCDMA:554581,554592,554603,554614,554625,554636,554647,554658,554669</t>
  </si>
  <si>
    <t>10 unitName=ARGA path=/SMOD_R-1/rf_ext3/RMOD_R-2 serial_no=AS210408281 additionalFaultID=10</t>
  </si>
  <si>
    <t>faulty_cells=GSM:all;WCDMA:4607101,4607202,4607303</t>
  </si>
  <si>
    <t>10 unitName=FXDB path=/SMOD_R-1/rf_ext2/RMOD_R-1 serial_no=1M171750946 additionalFaultID=10</t>
  </si>
  <si>
    <t>Santchou_L18L8L26_OST_038_MRBTS2</t>
  </si>
  <si>
    <t>4309 unitName=Cablink path=/SMOD_R-1(Left)/BBMOD_R-1(Left_Bottom)/rf6 additionalFaultID=4309</t>
  </si>
  <si>
    <t>02/06/2026   13h25</t>
  </si>
  <si>
    <t>Hybrid-Gen</t>
  </si>
  <si>
    <t>ESCO</t>
  </si>
  <si>
    <t>Hybrid Solar - S3</t>
  </si>
  <si>
    <t>Gen Only</t>
  </si>
  <si>
    <t>Solar-Grid-Gen</t>
  </si>
  <si>
    <t>Vandalized</t>
  </si>
  <si>
    <t>Grid-Hybrid-Gen</t>
  </si>
  <si>
    <t>02/06/2026 : Need BO RAN analysis ||Closed after reset but FME should check and replace FXDB</t>
  </si>
  <si>
    <t>FXED faulty</t>
  </si>
  <si>
    <t xml:space="preserve">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</si>
  <si>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 xml:space="preserve">
02/06/206: Intervention prevue apres le site de Telo-MTN-IHS
01/06/2026 : Escalade faite au PM  || En attente de son feedback 
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</si>
  <si>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 xml:space="preserve">
02/06/206: Intervention prevue apres le site  de Telo-MTN-IHS
01/06/2026 : Escalade faite au PM  || En attente de son feedback 
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</si>
  <si>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>02/05/2026: Intervention prevue ce jour ||ETA: 13H
01/06/2026 : Check breaker and  interconnection (sfp, optical fiber) between system and radio module, swap its if needed</t>
  </si>
  <si>
    <t xml:space="preserve">02/05/2026: Intervention prevue pour ce jour||ETA:15H||Arrivage du piloniste ce jour.||ETA: 03062026 
28/05/2026  || Expedition AREA  ce jour de Ngarounde pour Maroua, puis de Maroua pour Yagoua ||ETD : 01/06/2026
26/05/2026:|| Jumper faulty  et AREA|| Cde de la SPARE  en cour
25/05/2026 ;Check and clean jumper, port 5 of ARGA
23/05/2026 : Need BO RAN analysis </t>
  </si>
  <si>
    <t>02/06/2026 : Need BO RAN analysis||Closed but check and replace FXDB if needed||Feedback RM. Action avec le level0</t>
  </si>
  <si>
    <t>02/05/2026 : Check breaker and  interconnection (sfp, optical fiber) between system and radio module, swap its if needed ||Feedback RM. Action avec le level0</t>
  </si>
  <si>
    <t xml:space="preserve">
02/06/2026: FME doit recevoir les carte ABIA demain|| ETA:04062026
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</si>
  <si>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</si>
  <si>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>2/6/2026   13h25</t>
  </si>
  <si>
    <t xml:space="preserve">02/06/2026:FME interviendra sur le site de Yokadouma ce jour|| Intervention apres Yokadouma || ETA 16H
31/05/2026: Toujour en attente de la Radio FXDB
30/05/2026:Cmd de la FXDB en cour||La radio quitte Bertoua pour Batouri ce jour||ETD: demain 31052026
28/05/2026 : Need BO RAN analysis  || Check power cable of FXDB || Escalade faite au RM || En attente de son feedback </t>
  </si>
  <si>
    <t xml:space="preserve">02/06/2026 : Need BO RAN analysis ||Check and replace SFP, Optical fiber on FXED OPT_IF2  &amp; Power investigation </t>
  </si>
  <si>
    <t>02/05/2026: Intervention prevue pour vendredi 05062026
30/05/2026: : Negociation escorte en cours
29/05/2026 : Negociation escorte en cours
28/05/2026 : Zone rouge || Action avec Level 0 en cour
27/05/2026 : Need BO RAN analysis||Check and replace FBBC if needed</t>
  </si>
  <si>
    <t>Carte ABIA &amp; Chassis faulty</t>
  </si>
  <si>
    <t xml:space="preserve">
02/06/2026:Escalade faite au RM.||Intervention en cour ||FRFM faulty
29/05/2026 : Need BO RAN analysis  || FME should check and replace FRGU (pn=472956A.102) || ETA 18H</t>
  </si>
  <si>
    <t>FRFM faulty</t>
  </si>
  <si>
    <t>02/06/2026   17h07</t>
  </si>
  <si>
    <t>Mboulai-MTN_G9U9U21_ADM_029_MRBTS1</t>
  </si>
  <si>
    <t>ADM_029</t>
  </si>
  <si>
    <t>faulty_cells=WCDMA:332971</t>
  </si>
  <si>
    <t>Omeng_L18L8_LIT_136_MRBTS2</t>
  </si>
  <si>
    <t>LIT_136</t>
  </si>
  <si>
    <t>10 unitName=FRMF path=/SMOD_R-1/eif2_rf6/RMOD_R-2 serial_no=AS184408667 additionalFaultID=10</t>
  </si>
  <si>
    <t>10 unitName=FXED path=/SMOD_R-1/rf_ext2/RMOD_R-1 serial_no=F7170309628 additionalFaultID=10</t>
  </si>
  <si>
    <t>Omeng_G9U9U21_LIT_136_MRBTS1</t>
  </si>
  <si>
    <t>faulty_cells=WCDMA:350601,350614,350627,350632,350645,350658,350663,350676,350689</t>
  </si>
  <si>
    <t>10 unitName=FRGU path=/SMOD_R-1/rf_ext1/RMOD_R-2 serial_no=AS190744942 additionalFaultID=10</t>
  </si>
  <si>
    <t>faulty_cells=GSM:all;WCDMA:4653001,4653102,4653203</t>
  </si>
  <si>
    <t>10 unitName=FXDB path=/SMOD_R-1/rf_ext2/RMOD_R-1 serial_no=F7180400562 additionalFaultID=10</t>
  </si>
  <si>
    <t>faulty_cells=WCDMA:540965,540932,540998</t>
  </si>
  <si>
    <t>Tx power level too low</t>
  </si>
  <si>
    <t>125 unitName=FRGU path=/SMOD_R-1/rf_ext3/RMOD_R-2 serial_no=K9170848585 additionalFaultID=125</t>
  </si>
  <si>
    <t>1815 unitName=ABIA path=/SMOD_R-1/BBMOD_R-2(Left_Top) serial_no=L1223317977 supplAlarmInfo=The RP3 link synchronization between SMOD and BBMOD is lost, the link is used for actual IQ data transmission, this will affect BTS service. additionalFaultID=1815</t>
  </si>
  <si>
    <t>faulty_cells=WCDMA:569601,569614,569627,569632,569645,569658,569663,569676,569689</t>
  </si>
  <si>
    <t>10 unitName=ARGA path=/SMOD_R-1/BBMOD_R-2(Left_Top)/rf3/RMOD_R-3 serial_no=AS213509012 supplAlarmInfo=RU connection was lost in runtime additionalFaultID=10</t>
  </si>
  <si>
    <t>4001 unitName=ABIA path=/SMOD_R-1/BBMOD_R-2(Left_Top) serial_no=L1223317977 supplAlarmInfo=Site reset is needed to try to recover WCDMA cells due to new resources available additionalFaultID=4001</t>
  </si>
  <si>
    <t>Foyemtcha_G9U9U21_OST_156_MRBTS1</t>
  </si>
  <si>
    <t>OST_156</t>
  </si>
  <si>
    <t>faulty_cells=WCDMA:541158</t>
  </si>
  <si>
    <t>faulty_cells=WCDMA:541189</t>
  </si>
  <si>
    <t>faulty_cells=WCDMA:541163</t>
  </si>
  <si>
    <t>faulty_cells=WCDMA:541101</t>
  </si>
  <si>
    <t>faulty_cells=WCDMA:541145</t>
  </si>
  <si>
    <t>faulty_cells=WCDMA:541132</t>
  </si>
  <si>
    <t>faulty_cells=WCDMA:541127</t>
  </si>
  <si>
    <t>faulty_cells=WCDMA:541114</t>
  </si>
  <si>
    <t>faulty_cells=WCDMA:541176</t>
  </si>
  <si>
    <t>faulty_cells=GSM:all;degraded_cells=WCDMA:4607303</t>
  </si>
  <si>
    <t>10 unitName=FXED path=/SMOD_R-1/rf_ext1/RMOD_R-1 serial_no=F7165229909 additionalFaultID=10</t>
  </si>
  <si>
    <t>10 unitName=FRGU path=/SMOD_R-1/rf_ext3/RMOD_R-1 serial_no=AS201316524 additionalFaultID=10</t>
  </si>
  <si>
    <t>10 unitName=FXDB path=/SMOD_R-1/rf_ext1/RMOD_R-2 serial_no=1M171227471 additionalFaultID=10</t>
  </si>
  <si>
    <t>4077 unitName=ABIA path=/SMOD_R-1/BBMOD_R-1(Left_Middle) serial_no=L1222104454 additionalFaultID=4077</t>
  </si>
  <si>
    <t>faulty_cells=LTE:4,5</t>
  </si>
  <si>
    <t>faulty_cells=GSM:all;LTE:21</t>
  </si>
  <si>
    <t>faulty_cells=GSM:all;WCDMA:4607303</t>
  </si>
  <si>
    <t>4310 unitName=Cablink path=/SMOD_R-1/rf_ext2 additionalFaultID=4310</t>
  </si>
  <si>
    <t>1815 unitName=ABIA path=/SMOD_R-1/BBMOD_R-1(Left_Middle) serial_no=L1222104454 supplAlarmInfo=The RP3 link synchronization between SMOD and BBMOD is lost, the link is used for actual IQ data transmission, this will affect BTS service. additionalFaultID=1815</t>
  </si>
  <si>
    <t>2/6/2026   17h07</t>
  </si>
  <si>
    <t>2/6/2026 17h07</t>
  </si>
  <si>
    <t>2/6/2026 13h25</t>
  </si>
  <si>
    <t xml:space="preserve">02/06/2026:FME interviendra sur le site de Yokadouma ce jour|| Intervention apres Yokadouma || ETA 16H || En attente du Feedback du FME 
31/05/2026: Toujour en attente de la Radio FXDB
30/05/2026:Cmd de la FXDB en cour||La radio quitte Bertoua pour Batouri ce jour||ETD: demain 31052026
28/05/2026 : Need BO RAN analysis  || Check power cable of FXDB || Escalade faite au RM || En attente de son feedback </t>
  </si>
  <si>
    <t xml:space="preserve">02/06/2026 : Check breaker and  interconnection (sfp, optical fiber) between system and radio module, swap its if needed || FME activer || ETA : 03/06/2026 </t>
  </si>
  <si>
    <t>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</si>
  <si>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</si>
  <si>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>02/06/2026 : ETA attendu || Relance faite au PM par mail || FD PM : To check tomorrow with Level0
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</si>
  <si>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>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</si>
  <si>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 xml:space="preserve">02/06/2026 : Need BO RAN analysis||Closed but check and replace FXDB if needed||Feedback RM. Action avec le level0 || Action avec le level 0 non productive || FME ivestiguera demain sur le site </t>
  </si>
  <si>
    <t xml:space="preserve">02/05/2026 : Check breaker and  interconnection (sfp, optical fiber) between system and radio module, swap its if needed ||Feedback RM. Action avec le level0 || En attente du feedback du RM </t>
  </si>
  <si>
    <t>02/06/2026 : Nouvelle occurrence || FME activer et intervention ce jour</t>
  </si>
  <si>
    <t>faulty_cells=WCDMA:4664701</t>
  </si>
  <si>
    <t>faulty_cells=GSM:892</t>
  </si>
  <si>
    <t>faulty_cells=WCDMA:4664903</t>
  </si>
  <si>
    <t>faulty_cells=WCDMA:4664802</t>
  </si>
  <si>
    <t>faulty_cells=GSM:893</t>
  </si>
  <si>
    <t>faulty_cells=GSM:891</t>
  </si>
  <si>
    <t>SONGKOLONG-IHS_G18L18L8_NRO_094_MRBTS2</t>
  </si>
  <si>
    <t>NRO_094</t>
  </si>
  <si>
    <t>10 unitName=FRMF path=/SMOD_R-1/eif2_rf6/RMOD_R-3 serial_no=AS200405763 additionalFaultID=10</t>
  </si>
  <si>
    <t>Mvangan-IHS_G9_SUD_066_MRBTS1</t>
  </si>
  <si>
    <t>SUD_066</t>
  </si>
  <si>
    <t>faulty_cells=GSM:1903</t>
  </si>
  <si>
    <t>1910 unitName=FXDB path=/SMOD_R-1/rf_ext1/RMOD_R-1 serial_no=GA204900036 additionalFaultID=1910</t>
  </si>
  <si>
    <t>Bambui-II_G9U9L8_NRO_140_MRBTS1</t>
  </si>
  <si>
    <t>NRO_140</t>
  </si>
  <si>
    <t>10 unitName=ARMA path=/SMOD_R-1/rf_ext3/RMOD_R-4 serial_no=1M222351126 additionalFaultID=10</t>
  </si>
  <si>
    <t>10 unitName=ARDA path=/SMOD_R-1/rf_ext1/RMOD_R-1 serial_no=K9221840758 additionalFaultID=10</t>
  </si>
  <si>
    <t>Incompatible SW version detected</t>
  </si>
  <si>
    <t>23 unitName=FXDB path=/SMOD_R-1/rf_ext1/RMOD_R-1 serial_no=F7190300347 additionalFaultID=23</t>
  </si>
  <si>
    <t>Evodoula_L18L8L26_CTR_228_MRBTS2</t>
  </si>
  <si>
    <t>CTR_228</t>
  </si>
  <si>
    <t>faulty_cells=LTE:4</t>
  </si>
  <si>
    <t>RF module configuring failed</t>
  </si>
  <si>
    <t>1900 unitName=FRMF path=/SMOD_R-1(Right)/BBMOD_R-2(Right_Middle)/rf6/RMOD_R-1 serial_no=F7190610173 additionalFaultID=1900</t>
  </si>
  <si>
    <t>faulty_cells=LTE:43,53</t>
  </si>
  <si>
    <t>1837 unitName=AntennaLine path=/SMOD_R-1(Right)/BBMOD_R-1(Right_Bottom)/rf3/RMOD_R-5/ant1 additionalFaultID=1837</t>
  </si>
  <si>
    <t>Matsari_G9U9L8L7_CTR_301_MRBTS1</t>
  </si>
  <si>
    <t>CTR_301</t>
  </si>
  <si>
    <t>476 unitName=FBBC path=/SMOD_R-1/bbext2/BBMOD_R-2 serial_no=AS190438494 additionalFaultID=476</t>
  </si>
  <si>
    <t>03/06/2026   8h20</t>
  </si>
  <si>
    <t xml:space="preserve"> </t>
  </si>
  <si>
    <t xml:space="preserve">    </t>
  </si>
  <si>
    <t xml:space="preserve">
03/03/2026: Cmd faite de la FRFM
02/06/2026:Escalade faite au RM.||Intervention en cour ||FRFM faulty
29/05/2026 : Need BO RAN analysis  || FME should check and replace FRGU (pn=472956A.102) || ETA 18H</t>
  </si>
  <si>
    <t>03/06/2026:Fme a travailler hier || Suite des travaux sur les equipements ce jour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</si>
  <si>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>03/06/2026:Fme activer||intervention ce jour||ETA: Attendu
02/06/2026 : ETA attendu || Relance faite au PM par mail
01/06/2026 : Check breaker and  interconnection (sfp, optical fiber) between system and radio module, swap its if needed||GHOST TOWN</t>
  </si>
  <si>
    <t>03/06/2026: Intervention prevue le 05/06/2026
02/06/2026 : ETA attendu || Relance faite au PM par mail
30/05/2026 : Need BO RAN analysis ||FME should  check and replace FXED if needed|| GHOST TOWN</t>
  </si>
  <si>
    <t>03/06/2026: Reception de la Antenna et la corde prevu ce jour ||si la reception ce fait tot le Fem interviendra ce jour.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</si>
  <si>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 xml:space="preserve">03/06/2026:negotiation on site ongoing 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</si>
  <si>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03/06/2026: negotiation on site ongoing 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</si>
  <si>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03/06/2026: negotiation on site ongoing ||Le fme interviendra demain 04062026 si la negotition et reusite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</si>
  <si>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03/05/2026:Check breaker and  interconnection (sfp, optical fiber) between system and radio module, swap its if needed </t>
  </si>
  <si>
    <t xml:space="preserve">
03/06/2026 : Relance faite ce jour||Un mail a ete envoyer au Power co  
01/06/2026:  FME etait sur le site il a constater qu'il y'a un probleme de redresseur etune  insuffissance power. Nous sommes en attente de son rapport d'intervention pour interpeller le powerco 
29/05/2026 : Need BO RAN analysis  || FME should check and replace FRGU (pn=472956A.102) || ETA 18H</t>
  </si>
  <si>
    <t xml:space="preserve">03/06/2026 : Relance faite ce jour||Un mail a ete envoyer au Power co  
01/06/2026 : Relance faite ce jour  
29/05/2026 : GEN Overload d'apres HIS || The plan will be shared ASAP 
28/05/2026 : Excalade l3 ce jour 
26/05/2026 : Need BO RAN analysis || Cell was down due to power || Mail sent to IHS </t>
  </si>
  <si>
    <t xml:space="preserve">
03/06/2026 : Relance faite ce jour
29/05/2026 : Power instability || En attente feedback IHS  || Team is facing access issue.</t>
  </si>
  <si>
    <t xml:space="preserve">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</si>
  <si>
    <t xml:space="preserve">
02/06/2026: Intervention prevue pour vendredi 05062026
30/05/2026: Feedback FME: Negociation escorte en cours
29/05/2026 : Negociation escorte en cours
28/05/2026 : Zone rouge || Action avec Level 0 en cour
27/05/2026 : Need BO RAN analysis||Check and replace FBBC if needed</t>
  </si>
  <si>
    <t xml:space="preserve">03/06/2026:Intervention prevue ce jour ||ETA: 12H
02/06/2026: Intervention prevue pour ce jour||ETA:15H||Arrivage du piloniste ce jour.||ETA: 03062026 
28/05/2026  || Expedition AREA  ce jour de Ngarounde pour Maroua, puis de Maroua pour Yagoua ||ETD : 01/06/2026
26/05/2026:|| Jumper faulty  et AREA|| Cde de la SPARE  en cour
25/05/2026 ;Check and clean jumper, port 5 of ARGA
23/05/2026 : Need BO RAN analysis </t>
  </si>
  <si>
    <t>03/06/2026:Power issue||Relance faite a IHS
02/06/2026 : Nouvelle occurrence || FME activer et intervention ce jour</t>
  </si>
  <si>
    <t xml:space="preserve">03/06/2026 : Need BO RAN analysis ||Site actually down Activate FME should check and investigation on Site </t>
  </si>
  <si>
    <t>03/06/2026 : Need BO RAN analysis ||Activate FME to check and replace FAN</t>
  </si>
  <si>
    <t>03/06/2026: Power issue|| Mail envoyer a IHS
02/06/2026 : ETA attendu || Relance faite au PM par mail || FD PM : To check tomorrow with Level0
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</si>
  <si>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 xml:space="preserve">03/06/2026:FME actuellemnt sur le site de ''Ouro Dara''.|| ETA: 04/06/2026 
02/06/2026 : Need BO RAN analysis||Closed but check and replace FXDB if needed||Feedback RM. Action avec le level0 || Action avec le level 0 non productive || FME ivestiguera demain sur le site </t>
  </si>
  <si>
    <t>03/06/2026 :  Check breaker and  interconnection (sfp, optical fiber) between system and radio module, swap its if needed||FME activer||ETA: 14h</t>
  </si>
  <si>
    <t xml:space="preserve">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</si>
  <si>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>3/6/2026   8h20</t>
  </si>
  <si>
    <t>3/6/2026 8h20</t>
  </si>
  <si>
    <t>faulty_cells=WCDMA:4872402</t>
  </si>
  <si>
    <t>110 unitName=FXDB path=/SMOD_R-1/rf_ext2/RMOD_R-1 serial_no=F7170944879 additionalFaultID=110</t>
  </si>
  <si>
    <t>Bagarao_G18L18L8_EXN_202_MRBTS2</t>
  </si>
  <si>
    <t>1837 unitName=AntennaLine path=/SMOD_R-1/eif2_rf6/RMOD_R-2/ant4 additionalFaultID=1837</t>
  </si>
  <si>
    <t>Cell disabled due to unknown problem; logs collected</t>
  </si>
  <si>
    <t>4261 additionalFaultID=4261 LNCEL-11</t>
  </si>
  <si>
    <t>4261 additionalFaultID=4261 LNCEL-13</t>
  </si>
  <si>
    <t>Ndiam-Badji_G9G18U9U21L18L8_NRD_154_MRBTS1</t>
  </si>
  <si>
    <t>NRD_154</t>
  </si>
  <si>
    <t>faulty_cells=GSM:1771,1772,1773;WCDMA:4641801,4641902,4642003</t>
  </si>
  <si>
    <t>10 unitName=FXDB path=/SMOD_R-1/BBMOD_R-1(Left_Bottom)/rf1/RMOD_R-2 serial_no=1M172443960 supplAlarmInfo=RU connection was lost in runtime additionalFaultID=10</t>
  </si>
  <si>
    <t>2000 unitName=LANE path=/SMOD_R-1/BBMOD_R-1(Left_Bottom)/rf1/SFP_R-1/LANE_R-1 additionalFaultID=2000</t>
  </si>
  <si>
    <t>Dabanga_G9U9U21_EXN_807_MRBTS1</t>
  </si>
  <si>
    <t>EXN_807</t>
  </si>
  <si>
    <t>faulty_cells=WCDMA:347371,347382,347393,347404,347445,347456</t>
  </si>
  <si>
    <t>10 unitName=FRGU path=/SMOD_R-1/rf_ext3/RMOD_R-2 serial_no=AS180402598 additionalFaultID=10</t>
  </si>
  <si>
    <t>faulty_cells=GSM:all;WCDMA:4707701,4707802,4707903</t>
  </si>
  <si>
    <t>10 unitName=FXDB path=/SMOD_R-1/rf_ext1/RMOD_R-1 serial_no=F7184936222 additionalFaultID=10</t>
  </si>
  <si>
    <t>Dabanga_L18L8_EXN_807_MRBTS2</t>
  </si>
  <si>
    <t>10 unitName=FXED path=/SMOD_R-1/rf_ext2/RMOD_R-5 serial_no=F7164409444 additionalFaultID=10</t>
  </si>
  <si>
    <t>10 unitName=FRMF path=/SMOD_R-1/eif2_rf6/RMOD_R-6 serial_no=AS183738754 additionalFaultID=10</t>
  </si>
  <si>
    <t>Babanki-IHS_G9U9U21_NRO_058_MRBTS1</t>
  </si>
  <si>
    <t>NRO_058</t>
  </si>
  <si>
    <t>faulty_cells=GSM:821;WCDMA:4917101</t>
  </si>
  <si>
    <t>1907 unitName=ARDA path=/SMOD_R-1/rf_ext1/RMOD_R-1 serial_no=K9222637832 additionalFaultID=1907</t>
  </si>
  <si>
    <t>10 unitName=FXED path=/SMOD_R-1/rf_ext2/RMOD_R-1 serial_no=F7174521213 additionalFaultID=10</t>
  </si>
  <si>
    <t>Babessi_G9U9U21_NRO_024_MRBTS1</t>
  </si>
  <si>
    <t>faulty_cells=WCDMA:520501,520514,520527,520532,520545,520558,520563,520576,520589</t>
  </si>
  <si>
    <t>10 unitName=FRGU path=/SMOD_R-1/rf_ext3/RMOD_R-2 serial_no=K9163874140 additionalFaultID=10</t>
  </si>
  <si>
    <t>faulty_cells=GSM:all;WCDMA:4913601,4913702,4913803</t>
  </si>
  <si>
    <t>10 unitName=FXDB path=/SMOD_R-1/rf_ext1/RMOD_R-1 serial_no=1M203323393 additionalFaultID=10</t>
  </si>
  <si>
    <t>Mokola-MTN_G9G18U9U21L18L8_EXN_142_MRBTS1</t>
  </si>
  <si>
    <t>EXN_142</t>
  </si>
  <si>
    <t>faulty_cells=WCDMA:350201,350242,350253,350264,350305,350316</t>
  </si>
  <si>
    <t>RU input voltage Low</t>
  </si>
  <si>
    <t>2920 unitName=FRGU path=/SMOD_R-1/BBMOD_R-3(Left_Top)/rf3/RMOD_R-3 serial_no=K9170423462 additionalFaultID=2920</t>
  </si>
  <si>
    <t>03/06/2026   13h</t>
  </si>
  <si>
    <t xml:space="preserve">03/06/2026: Intervetion en cour||Up apres Remplacement de FXDB 
02/06/2026:FME interviendra sur le site de Yokadouma ce jour|| Intervention apres Yokadouma || ETA 16H || En attente du Feedback du FME 
31/05/2026: Toujour en attente de la Radio FXDB
30/05/2026:Cmd de la FXDB en cour||La radio quitte Bertoua pour Batouri ce jour||ETD: demain 31052026
28/05/2026 : Need BO RAN analysis  || Check power cable of FXDB || Escalade faite au RM || En attente de son feedback </t>
  </si>
  <si>
    <t xml:space="preserve">Up apres Remplacement de FXDB </t>
  </si>
  <si>
    <t xml:space="preserve">03/06/2026 : Need BO RAN analysis </t>
  </si>
  <si>
    <t>03/06/2026 :  Check breaker and  interconnection (sfp, optical fiber) between system and radio module, swap its if needed</t>
  </si>
  <si>
    <t xml:space="preserve">03/06/2026:Closed after reset but check SFP, optical fiber Opt_IF1 on FRGU||Fme active||Cmd de la FRGU en cour
02/06/2026 : Need BO RAN analysis </t>
  </si>
  <si>
    <t xml:space="preserve">03/06/2026:FME should  check and clean jumper port 1 of FRGU||Intervention prevue vendredi 05/06/2026||Fme actuellement sur le site de Kaladji puis Garouaboulay
02/06/2026 : Need BO RAN analysis </t>
  </si>
  <si>
    <t>03/06/2026 : Need BO RAN analysis ||Closed after but FME check and replace FRMF if needed||Fme activer||Up apres un hardRest</t>
  </si>
  <si>
    <t>Up apres un hardRest</t>
  </si>
  <si>
    <t>FSMF faulty</t>
  </si>
  <si>
    <t xml:space="preserve">
03/06/2026: FME en route|| ETA:12h||intervention en cour||FSMF Faulty ||up apres remplacement de la FSMF
02/06/206: Intervention prevue apres le site  de Telo-MTN-IHS
01/06/2026 : Escalade faite au PM  || En attente de son feedback 
31/05/2026 : Escalade faite au RM || En attente de son feedback 
30/05/26:Intervention prevue pour demain 31/05/26||le Fme sur le site de Lewa puis sur likok
29/05/2026 : Check breaker and  interconnection (sfp, optical fiber) between system and radio module, swap its if needed</t>
  </si>
  <si>
    <t>up apres remplacement de la FSMF</t>
  </si>
  <si>
    <t>03/06/2026:Fme activer||intervention ce jour||ETA: 14h||Intervention en cour||Up apres Remplacement de la FRMF
02/06/2026 : ETA attendu || Relance faite au PM par mail
01/06/2026 : Check breaker and  interconnection (sfp, optical fiber) between system and radio module, swap its if needed||GHOST TOWN</t>
  </si>
  <si>
    <t>Up apres Remplacement de la FRMF</t>
  </si>
  <si>
    <t xml:space="preserve">03/06/2026:Intervention prevue ce jour ||ETA: 12H|| Up Apres remplacement de la AREA &amp;  Jumper et un HardRest
02/06/2026: Intervention prevue pour ce jour||ETA:15H||Arrivage du piloniste ce jour.||ETA: 03062026 
28/05/2026  || Expedition AREA  ce jour de Ngarounde pour Maroua, puis de Maroua pour Yagoua ||ETD : 01/06/2026
26/05/2026:|| Jumper faulty  et AREA|| Cde de la SPARE  en cour
25/05/2026 ;Check and clean jumper, port 5 of ARGA
23/05/2026 : Need BO RAN analysis </t>
  </si>
  <si>
    <t>Up Apres remplacement de la AREA &amp;  Jumper et un HardRest</t>
  </si>
  <si>
    <t>AREA &amp;  Jumper faulty</t>
  </si>
  <si>
    <t>03/05/2026:Check breaker and  interconnection (sfp, optical fiber) between system and radio module, swap its if needed ||Acess issue</t>
  </si>
  <si>
    <t xml:space="preserve">03/06/2026 : Need BO RAN analysis ||Activate FME to check and replace FAN||Action avec le L0||up after hardRest </t>
  </si>
  <si>
    <t xml:space="preserve">up after hardRest </t>
  </si>
  <si>
    <t>03/06/2026:FME should check and replace FRMF
02/06/2026 : Need BO RAN analysis ||Intervention prevue dmain  04062026</t>
  </si>
  <si>
    <t xml:space="preserve">03/06/2026 :  Check breaker and  interconnection (sfp, optical fiber) between system and radio module, swap its if needed||FME activer|||Zone rouge negotiation acces en cour </t>
  </si>
  <si>
    <t>03/06/2026 :  Check breaker and  interconnection (sfp, optical fiber) between system and radio module, swap its if needed||FME activer||ETA: 14h||Intervention en cour ||</t>
  </si>
  <si>
    <t xml:space="preserve">
03/03/2026: Cmd faite de la FRMF
02/06/2026:Escalade faite au RM.||Intervention en cour ||FRFM faulty
29/05/2026 : Need BO RAN analysis  || FME should check and replace FRGU (pn=472956A.102) || ETA 18H</t>
  </si>
  <si>
    <t>FMF faulty</t>
  </si>
  <si>
    <t>Logbong_G9U9U21_LIT_508_MRBTS1</t>
  </si>
  <si>
    <t>LIT_508</t>
  </si>
  <si>
    <t>faulty_cells=WCDMA:351701,351714,351763,351776,351727,351789</t>
  </si>
  <si>
    <t>1907 unitName=FRGU path=/SMOD_R-1/rf_ext3/RMOD_R-4 serial_no=AS190747925 additionalFaultID=1907</t>
  </si>
  <si>
    <t>Logbong_L18L8_LIT_508_MRBTS2</t>
  </si>
  <si>
    <t>1907 unitName=FXED path=/SMOD_R-1/rf_ext1/RMOD_R-1 serial_no=F7164360322 additionalFaultID=1907</t>
  </si>
  <si>
    <t>Ouru-Dara_G9U9U21_ADM_148_MRBTS1</t>
  </si>
  <si>
    <t>ADM_148</t>
  </si>
  <si>
    <t>23 unitName=FXDB path=/SMOD_R-1/rf_ext1/RMOD_R-2 serial_no=F7164311652 additionalFaultID=23</t>
  </si>
  <si>
    <t>Balikumbat-Ville_G9G18U9U21L18L8_NRO_033_MRBTS1</t>
  </si>
  <si>
    <t>NRO_033</t>
  </si>
  <si>
    <t>4077 unitName=ABIA path=/SMOD_R-1/BBMOD_R-1(Left_Bottom) serial_no=DH223024544 additionalFaultID=4077</t>
  </si>
  <si>
    <t>1815 unitName=ABIA path=/SMOD_R-1/BBMOD_R-1(Left_Bottom) serial_no=DH223024544 supplAlarmInfo=The RP3 link synchronization between SMOD and BBMOD is lost, the link is used for actual IQ data transmission, this will affect BTS service. additionalFaultID=1815</t>
  </si>
  <si>
    <t>03/06/2026   16h27</t>
  </si>
  <si>
    <t>03/06/2026 : Need BO RAN analysis ||Check and replace FXDB||Cde de la FXDB en cour</t>
  </si>
  <si>
    <t xml:space="preserve">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</si>
  <si>
    <t>03/06/2026 :  Check breaker and  interconnection (sfp, optical fiber) between system and radio module, swap its if needed||action avec le level0 en cour||Intervetion apres le site de mayo-nonde</t>
  </si>
  <si>
    <t xml:space="preserve">
03/06/2026 : Need BO RAN analysis ||Closed after reset but FME should check port EXT2 on SFP, Optical fiber of FRGU if needed|| ETA: 05062026</t>
  </si>
  <si>
    <t>03/06/2026: Intervetion planned  06.06.2026
02/06/2026 : ETA attendu || Relance faite au PM par mail
30/05/2026 : Need BO RAN analysis ||FME should  check and replace FXED if needed|| GHOST TOWN</t>
  </si>
  <si>
    <t xml:space="preserve">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</si>
  <si>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</si>
  <si>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>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</si>
  <si>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03/06/2026: Suite des travaux|||feedback PM: Awaiting feedback for FPFH power cable reconnection 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</si>
  <si>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>3/06/2026 13h</t>
  </si>
  <si>
    <t>3/06/2026 16h</t>
  </si>
  <si>
    <t>3/6/2026 13h</t>
  </si>
  <si>
    <t>3/6/2026 16h27</t>
  </si>
  <si>
    <t xml:space="preserve">03/06/2026 : Need BO RAN analysis ||Fme activer||Check and clean jumper port 1 of AZHA||Fme est aller sur site apres un reset physique certaines cellules sont remontees. Suite d'intervention pour demain </t>
  </si>
  <si>
    <t>03/06/2026:FME should check and replace FRMF  ||Intervention prevue demain  04062026
02/06/2026 : Need BO RAN analysis</t>
  </si>
  <si>
    <t xml:space="preserve">
03/06/2026 : Need BO RAN analysis ||Closed after reset but FME should check port EXT2 on SFP, Optical fiber of FRGU if needed||ETA: 05062026</t>
  </si>
  <si>
    <t xml:space="preserve">03/06/2026 : Need BO RAN analysis|| Closed after reset but FME should check and clean jumper port 2 of FRGU || Escalade faite au RM || En attente de son feedback </t>
  </si>
  <si>
    <t>1868 supplAlarmInfo=Not enough DSP or baseband pool resources for cell detected additionalFaultID=1868 LNCEL-13</t>
  </si>
  <si>
    <t>1868 supplAlarmInfo=Not enough DSP or baseband pool resources for cell detected additionalFaultID=1868 LNCEL-12</t>
  </si>
  <si>
    <t>1868 supplAlarmInfo=Not enough DSP or baseband pool resources for cell detected additionalFaultID=1868 LNCEL-11</t>
  </si>
  <si>
    <t>Guidjiba-MTN_G9U9U21_NRD_058_MRBTS1</t>
  </si>
  <si>
    <t>NRD_058</t>
  </si>
  <si>
    <t>faulty_cells=GSM:862;WCDMA:4576202</t>
  </si>
  <si>
    <t>1907 unitName=FXDB path=/SMOD_R-1/rf_ext2/RMOD_R-1 serial_no=F7160731243 additionalFaultID=1907</t>
  </si>
  <si>
    <t>Sop-MTN_G9U9U21_NRO_258_MRBTS1</t>
  </si>
  <si>
    <t>NRO_258</t>
  </si>
  <si>
    <t>faulty_cells=WCDMA:504358;degraded_cells=WCDMA:504345</t>
  </si>
  <si>
    <t>1837 unitName=AntennaLine path=/SMOD_R-1/rf_ext3/RMOD_R-2/ant4 additionalFaultID=1837</t>
  </si>
  <si>
    <t>faulty_cells=GSM:563;WCDMA:4845503</t>
  </si>
  <si>
    <t>1837 unitName=AntennaLine path=/SMOD_R-1/rf_ext1/RMOD_R-2/ant5 additionalFaultID=1837</t>
  </si>
  <si>
    <t>Muyengue-Bafia-IHS_G9U9U21_LIT_176_MRBTS1</t>
  </si>
  <si>
    <t>LIT_176</t>
  </si>
  <si>
    <t>faulty_cells=WCDMA:352558</t>
  </si>
  <si>
    <t>110 unitName=FRGU path=/SMOD_R-1/rf_ext3/RMOD_R-2 serial_no=AS183733582 additionalFaultID=110</t>
  </si>
  <si>
    <t>04/06/2026   8h37</t>
  </si>
  <si>
    <t xml:space="preserve">04/06/2026 : Need BO RAN analysis </t>
  </si>
  <si>
    <t>03/06/2026 : Need BO RAN analysis ||Closed After reset but FME should check and replace ARDA</t>
  </si>
  <si>
    <t>03/06/2026 : Need BO RAN analysis ||Closed After reset but FME should check and replace ARMA</t>
  </si>
  <si>
    <t>04/06/2026:intervention apres le site de Ebonji
03/06/2026: Suite des travaux|||feedback PM: Awaiting feedback for FPFH power cable reconnection 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</si>
  <si>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 xml:space="preserve">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</si>
  <si>
    <t xml:space="preserve">04/06/2026: intervention ce jour ||ETA : Attentdu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</si>
  <si>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</si>
  <si>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>04/06/2026: FBBC recu|| intervention ce jour||ETA attendu
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</si>
  <si>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 xml:space="preserve">
04/06/2026: intervention ce jour ||FME actuellement sur le site de Ndokock||ETA:15h
03/06/2026:FME should check and replace FRMF  ||Intervention prevue demain  04062026
02/06/2026 : Need BO RAN analysis</t>
  </si>
  <si>
    <t xml:space="preserve">
04/06/2026: intervention prevue pour Demain. 05062026
03/06/2026 :  Check breaker and  interconnection (sfp, optical fiber) between system and radio module, swap its if needed||FME activer|||Zone rouge negotiation acces en cour </t>
  </si>
  <si>
    <t>04/06/2026: Intervention prevue ce jour ||ETA :14h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</si>
  <si>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04/06/2026: FME en intervention a MAYO-NONDE || Intervention apres MAYO-NONDE || ETA: 16h 
02/06/2026: FME doit recevoir les carte ABIA demain|| ETA:04062026
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</si>
  <si>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</si>
  <si>
    <t xml:space="preserve">
04/06/2026 : Relance faite a HW SPMS
03/03/2026: FRMF faulty et cde effectuee a HW SPMS 
02/06/2026:Escalade faite au RM.||Intervention en cour ||FRMF faulty
29/05/2026 : Need BO RAN analysis  || FME should check and replace FRGU (pn=472956A.102) || ETA 18H</t>
  </si>
  <si>
    <t xml:space="preserve">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</si>
  <si>
    <t>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</si>
  <si>
    <t xml:space="preserve">04/06/2026 : RI attendu ce jour
03/06/2026 : Need BO RAN analysis ||Fme activer||Check and clean jumper port 1 of AZHA||Fme est aller sur site apres un reset physique certaines cellules sont remontees. Suite d'intervention pour demain </t>
  </si>
  <si>
    <t xml:space="preserve">
04/06/2026: Closed After reset but FME should check and replace ARDA || Negociation acces en cours
03/06/2026 : Need BO RAN analysis </t>
  </si>
  <si>
    <t>04/06/2026 : Relance faite a HW SPMS
01/06/2026 : Besoin transfere a OCM || Feedback OCM : DN attendu pour recuperation de la SPARE
30/05/2026 : FRMF pas disponible dans les Grd-nord || MAil de cde envoye a hw spare 
29/05/2026 : Check disponibilite FRMF dans les WH du grand Nord.
28/05/2026: Intervetion prevue ce jour ||ETA: 11h||intervention en cour||Configuaration et remplcament de la SFP module||FRMF faulty
27/05/2026 : Fme actuellment sur le site de Dir pourra intervenir sur le site de Martap apres.
26/05/2026:Feedback RM :  Intervention le 27/05/2026 après remplacement FRMF sur Goro ce jour
25/05/2026 : Forte pluie dans la zone. Evidences partagees
22/05/2026 ; Feedback Warehouse ; La spare na pas pu ete transferer faute des agents de l'agence||ETD : demain matin
20/05/2026 : FRMF transfere sur ngaoundere || Expedition pour Ngaoudal || ETD 21052026
18/05/2026 ; La spare quitte  Maroua pour NDE aujourd'hui ETD : 20052026
17/05/2026 : Check breaker and  interconnection (sfp, optical fiber) between system and radio module, swap its if needed||FME  active ||Cmd de la radio FRMF en cour chez le warehouse de NDE.</t>
  </si>
  <si>
    <t xml:space="preserve">
04/06/2026 : FRMF &amp; SFP faulty || Cde passee a HW SPMS || RFelance faite ce jour
03/06/2026 : Relance faite ce jour||Un mail a ete envoyer au Power co  || Feedback IHS : Rectifier Added Yesterday
01/06/2026:  FME etait sur le site il a constater qu'il y'a un probleme de redresseur etune  insuffissance power. Nous sommes en attente de son rapport d'intervention pour interpeller le powerco 
29/05/2026 : Need BO RAN analysis  || FME should check and replace FRGU (pn=472956A.102) || ETA 18H</t>
  </si>
  <si>
    <t>04/06/2026 : Excalade faite ce jour
03/06/2026: Power issue|| Mail envoyer a IHS
02/06/2026 : ETA attendu || Relance faite au PM par mail || FD PM : To check tomorrow with Level0
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</si>
  <si>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>04/06/2026 : Reponse faite ce jour au RM suite au mail partage || Feedback HIS attendu
03/06/2026:Power issue||Relance faite a IHS
02/06/2026 : Nouvelle occurrence || FME activer et intervention ce jour</t>
  </si>
  <si>
    <t>4/06/2026  8h37</t>
  </si>
  <si>
    <t>4/6/2026 8h37</t>
  </si>
  <si>
    <t xml:space="preserve">
04/06/2026: Closed After reset but FME should check and replace ARMA||FME activer||interevention en cour || ETR 13H|Remplacement du Jumpeur sur le port 4 de la FXDB||FME a constate que la FBBC etait faulty||Cde de la FBBC  en cour
03/06/2026 : Need BO RAN analysis </t>
  </si>
  <si>
    <t>4/6/2026 12h46</t>
  </si>
  <si>
    <t>Baseband bus configuration was rejected</t>
  </si>
  <si>
    <t>1811 unitName=FBBC path=/SMOD_R-1/bbext1/BBMOD_R-1 serial_no=AS183411242 additionalFaultID=1811</t>
  </si>
  <si>
    <t>Nlozok_N_G9U9L8_SUD_287_MRBTS1</t>
  </si>
  <si>
    <t>SUD_287</t>
  </si>
  <si>
    <t>2412 unitName=FSMF additionalFaultID=2412 MRBTS-20287</t>
  </si>
  <si>
    <t>Yoyo-New_G9U9U21_LIT_536_MRBTS1</t>
  </si>
  <si>
    <t>LIT_536</t>
  </si>
  <si>
    <t>faulty_cells=GSM:all;WCDMA:4654801,4654902</t>
  </si>
  <si>
    <t>4309 unitName=Cablink path=/SMOD_R-1/eif2_rf6 additionalFaultID=4309</t>
  </si>
  <si>
    <t>10 unitName=FBBC path=/SMOD_R-1/bbext1/BBMOD_R-1 serial_no=AS195116204 additionalFaultID=10</t>
  </si>
  <si>
    <t xml:space="preserve">04/06/2026 : Action effectuee hier sur site par le FME : Normalisation serrage des Jumpers et quelques checks effectues. Malgres toutes les actions menees par le FME, le VSWR n'a pas disparu || RF Jumpers a remplacer || Cde en cours
03/06/2026 : Need BO RAN analysis|| Closed after reset but FME should check and clean jumper port 2 of FRGU || Escalade faite au RM || En attente de son feedback </t>
  </si>
  <si>
    <t xml:space="preserve">
04/06/2026 : FRMF &amp; SFP faulty || Cde passee a HW SPMS || RFelance faite ce jour||up after softRest
03/06/2026 : Relance faite ce jour||Un mail a ete envoyer au Power co  || Feedback IHS : Rectifier Added Yesterday
01/06/2026:  FME etait sur le site il a constater qu'il y'a un probleme de redresseur etune  insuffissance power. Nous sommes en attente de son rapport d'intervention pour interpeller le powerco 
29/05/2026 : Need BO RAN analysis  || FME should check and replace FRGU (pn=472956A.102) || ETA 18H</t>
  </si>
  <si>
    <t>up after softRest</t>
  </si>
  <si>
    <t>04/06/2026 : Need BO RAN analysis ||FME should check and clean jumper port 5 of FXDB</t>
  </si>
  <si>
    <t>03/06/2026 : Need BO RAN analysis ||Closed after rest but check and replace FRGU</t>
  </si>
  <si>
    <t>Recharger le software</t>
  </si>
  <si>
    <t>03/06/2026 : Need BO RAN analysis ||Check and replace FXED if needed</t>
  </si>
  <si>
    <t xml:space="preserve">
04/06/2026: intervention ce jour ||FME actuellement sur le site de Ndokock||ETA:15h||Intervetion en cour || le fme sur site a constacte que la FRMF faulty
03/06/2026:FME should check and replace FRMF  ||Intervention prevue demain  04062026
02/06/2026 : Need BO RAN analysis</t>
  </si>
  <si>
    <t xml:space="preserve">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</si>
  <si>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04/06/2026 : FME en intervention sur GOR || Intervention apres GOR ||ETA: 16h||Mauvais etat de route evidence partager le Fme peut intervenir demain 05062026
03/06/2026:FME actuellemnt sur le site de ''Ouro Dara''.|| ETA: 04/06/2026 
02/06/2026 : Need BO RAN analysis||Closed but check and replace FXDB if needed||Feedback RM. Action avec le level0 || Action avec le level 0 non productive || FME ivestiguera demain sur le site </t>
  </si>
  <si>
    <t>04/06/2026:intervention apres le site de Ebonji||Feedck RM: Team is on site , revert to you with feedback  soon
03/06/2026: Suite des travaux|||feedback PM: Awaiting feedback for FPFH power cable reconnection 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</si>
  <si>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>04/06/2026: FBBC recu|| intervention ce jour||ETA attendu||Feedback RM: the plan remains as below
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</si>
  <si>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>04/06/2026:Recharger le software||Le fme etais sur site hier a remplace le systeme module FSMF, et a constater que la version system est demoder||Intervention le 06062026
03/06/2026 : Need BO RAN analysis |</t>
  </si>
  <si>
    <t xml:space="preserve">
04/06/2026:Gen Issue resolved June 2
Please check and Revert
03/06/2026 : Relance faite ce jour
29/05/2026 : Power instability || En attente feedback IHS  || Team is facing access issue.</t>
  </si>
  <si>
    <t xml:space="preserve">04/06/2026 : RI attendu ce jour||Escalade fait ce  jour
03/06/2026 : Need BO RAN analysis ||Fme activer||Check and clean jumper port 1 of AZHA||Fme est aller sur site apres un reset physique certaines cellules sont remontees. Suite d'intervention pour demain </t>
  </si>
  <si>
    <t xml:space="preserve">03/06/2026:FME should  check and clean jumper port 1 of FRGU||Intervention prevue vendredi 05/06/2026||Fme actuellement sur le site de Kaladji puis Garouaboulay||up after hardRest
02/06/2026 : Need BO RAN analysis </t>
  </si>
  <si>
    <t>up after hardRest</t>
  </si>
  <si>
    <t xml:space="preserve">
04/06/2026:Gen Issue resolved June 2
Please check and Revert||Interventionn prevu le 06/06/2026
</t>
  </si>
  <si>
    <t xml:space="preserve">Gen Issue resolved </t>
  </si>
  <si>
    <t xml:space="preserve">
03/06/2026 : Relance faite ce jour
29/05/2026 : Power instability || En attente feedback IHS  || Team is facing access issue.||Gen Issue resolved </t>
  </si>
  <si>
    <t>up hardRest</t>
  </si>
  <si>
    <t>4/06/2026  12h46</t>
  </si>
  <si>
    <t>4/6/2026 17h04</t>
  </si>
  <si>
    <t>1837 unitName=AntennaLine path=/SMOD_R-1/eif2_rf6/RMOD_R-2/ant5 additionalFaultID=1837</t>
  </si>
  <si>
    <t>faulty_cells=GSM:2231;WCDMA:4652001</t>
  </si>
  <si>
    <t>faulty_cells=GSM:2232;WCDMA:4652102</t>
  </si>
  <si>
    <t>1837 unitName=AntennaLine path=/SMOD_R-1/rf_ext1/RMOD_R-4/ant3 additionalFaultID=1837</t>
  </si>
  <si>
    <t>faulty_cells=GSM:2233;WCDMA:4652203</t>
  </si>
  <si>
    <t>1837 unitName=AntennaLine path=/SMOD_R-1/rf_ext1/RMOD_R-4/ant5 additionalFaultID=1837</t>
  </si>
  <si>
    <t>1837 unitName=AntennaLine path=/SMOD_R-1/eif2_rf6/RMOD_R-2/ant1 additionalFaultID=1837</t>
  </si>
  <si>
    <t xml:space="preserve">04/06/2026: FME en intervention a MAYO-NONDE || Intervention apres MAYO-NONDE || ETA: 16h ||FME  a faire l'accident en ce rendant sur le site. Evidence partager||ETA: W24
02/06/2026: FME doit recevoir les carte ABIA demain|| ETA:04062026
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</si>
  <si>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UP after FPFH power cable replacement </t>
  </si>
  <si>
    <t xml:space="preserve">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</si>
  <si>
    <t>BTS RNC interface signalling link failure</t>
  </si>
  <si>
    <t>17 unitName=FSMF additionalFaultID=17 MRBTS-20287</t>
  </si>
  <si>
    <t>Ngola-MTN_G9U21_EST_043_MRBTS1</t>
  </si>
  <si>
    <t>EST_043</t>
  </si>
  <si>
    <t>10 unitName=FXDB path=/SMOD_R-1/rf_ext1/RMOD_R-1 serial_no=F7170254871 additionalFaultID=10</t>
  </si>
  <si>
    <t>faulty_cells=WCDMA:351776,351789,351714,351727,351763,351701</t>
  </si>
  <si>
    <t>04/06/2026 : Need BO RAN analysis ||Closed after rest but check and replace FRGU||FME interviendra apres le site de Kanga||ETA:06062026</t>
  </si>
  <si>
    <t>Yola-MTN-IHS_G9U9U21L8_EST_106_sBTS1</t>
  </si>
  <si>
    <t>EST_106</t>
  </si>
  <si>
    <t>faulty_cells=WCDMA:532401,532414</t>
  </si>
  <si>
    <t>1837 unitName=AntennaLine path=/SMOD_R-1/rf_ext3/RMOD_R-4/ant1 additionalFaultID=1837</t>
  </si>
  <si>
    <t>faulty_cells=WCDMA:3903502</t>
  </si>
  <si>
    <t>faulty_cells=WCDMA:3903401</t>
  </si>
  <si>
    <t>faulty_cells=WCDMA:3903603</t>
  </si>
  <si>
    <t>faulty_cells=GSM:423</t>
  </si>
  <si>
    <t>faulty_cells=GSM:421</t>
  </si>
  <si>
    <t>faulty_cells=GSM:422</t>
  </si>
  <si>
    <t>10 unitName=AQHC path=/SMOD_R-1(Left)/BBMOD_R-3(Right_Top)/rf5/RMOD_R-5 serial_no=1M231906226 supplAlarmInfo=RU connection was lost in runtime additionalFaultID=10</t>
  </si>
  <si>
    <t>4/06/2026  17h04</t>
  </si>
  <si>
    <t>04/06/2026 12h46</t>
  </si>
  <si>
    <t>04/06/2026 17h04</t>
  </si>
  <si>
    <t xml:space="preserve">04/06/2026: FME en intervention a MAYO-NONDE || Intervention apres MAYO-NONDE || ETA: 16h ||
02/06/2026: FME doit recevoir les carte ABIA demain|| ETA:04062026
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</si>
  <si>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04/06/2026: Intervention prevue ce jour ||ETA :14h||intervention en cour ||apres avoir remplaacer la FXDB et la FO+hardrest lalarm persiste  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</si>
  <si>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>04/06/2026: FBBC recu|| intervention ce jour||ETA attendu||Feedback PM:Intervetion postponed tomorrow due to intervention at Kumbe
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</si>
  <si>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 xml:space="preserve">04/06/2026 : Need BO RAN analysis ||Check and replace SFP, Optical fiber on FXED OPT_IF2  &amp; Power investigation||Cde du SFP 10GB en cour </t>
  </si>
  <si>
    <t xml:space="preserve">04/06/2026 : RI attendu 
03/06/2026 : Need BO RAN analysis ||Fme activer||Check and clean jumper port 1 of AZHA||Fme est aller sur site apres un reset physique certaines cellules sont remontees. Suite d'intervention pour demain </t>
  </si>
  <si>
    <t xml:space="preserve">04/06/2026 : Check breaker and  interconnection (sfp, optical fiber) between system and radio module, swap its if needed||Action avec le level0 en cours || En attente du feedback du fme </t>
  </si>
  <si>
    <t>04/06/2026:intervention apres le site de Ebonji||intervention en cour||UP after FPFH power cable replacement 
03/06/2026: Suite des travaux|||feedback PM: Awaiting feedback for FPFH power cable reconnection 
02/06/2026:Escalade faite au RM. En attente de son Feedback
28/05/2026: Acces issue|| Negociation acces en cour
27/05/2026 : Check breaker and  interconnection (sfp, optical fiber) between system and radio module, swap its if needed||Fme activer||ETA : 12H</t>
  </si>
  <si>
    <t>Kembong_L18L8_NRO_026_MRBTS2</t>
  </si>
  <si>
    <t>faulty_cells=LTE:21</t>
  </si>
  <si>
    <t>1837 unitName=AntennaLine path=/SMOD_R-1/rf_ext1/RMOD_R-1/ant2 additionalFaultID=1837</t>
  </si>
  <si>
    <t>1837 unitName=AntennaLine path=/SMOD_R-1/eif2_rf6/RMOD_R-2/ant2 additionalFaultID=1837</t>
  </si>
  <si>
    <t>faulty_cells=WCDMA:500601,500614</t>
  </si>
  <si>
    <t>faulty_cells=GSM:1231;WCDMA:4924701</t>
  </si>
  <si>
    <t>1837 unitName=AntennaLine path=/SMOD_R-1/rf_ext2/RMOD_R-1/ant1 additionalFaultID=1837</t>
  </si>
  <si>
    <t>faulty_cells=WCDMA:500614,500627</t>
  </si>
  <si>
    <t>1837 unitName=AntennaLine path=/SMOD_R-1/rf_ext3/RMOD_R-2/ant2 additionalFaultID=1837</t>
  </si>
  <si>
    <t>faulty_cells=WCDMA:532401;degraded_cells=WCDMA:532414</t>
  </si>
  <si>
    <t>faulty_cells=WCDMA:542841,542852,542863,542874,542885,542896,542907,542918,542929</t>
  </si>
  <si>
    <t>10 unitName=FR supplAlarmInfo=RU not detected after BTS startup additionalFaultID=10</t>
  </si>
  <si>
    <t>faulty_cells=GSM:2933</t>
  </si>
  <si>
    <t>faulty_cells=GSM:2931</t>
  </si>
  <si>
    <t>faulty_cells=GSM:2932</t>
  </si>
  <si>
    <t>Salack_G9U9U21_EXN_008_MRBTS1</t>
  </si>
  <si>
    <t>EXN_008</t>
  </si>
  <si>
    <t>faulty_cells=WCDMA:354982;degraded_cells=WCDMA:355025</t>
  </si>
  <si>
    <t>1837 unitName=AntennaLine path=/SMOD_R-1/rf_ext2/RMOD_R-4/ant1 additionalFaultID=1837</t>
  </si>
  <si>
    <t>Banguem_G9U9U21_SUO_013_MRBTS1</t>
  </si>
  <si>
    <t>SUO_013</t>
  </si>
  <si>
    <t>faulty_cells=WCDMA:510289</t>
  </si>
  <si>
    <t>110 unitName=FRGU path=/SMOD_R-1/rf_ext2/RMOD_R-3 serial_no=AS200618332 additionalFaultID=110</t>
  </si>
  <si>
    <t>5/6/2026 8h40</t>
  </si>
  <si>
    <t xml:space="preserve">05/06/2026 : Need BO RAN analysis </t>
  </si>
  <si>
    <t>05/06/2026:Power issue on site Escalated to IHS
04/06/2026 : Excalade faite ce jour
03/06/2026: Power issue|| Mail envoyer a IHS
02/06/2026 : ETA attendu || Relance faite au PM par mail || FD PM : To check tomorrow with Level0
 01/06/2026: GHOST TOWN
30/05/2026:New case access clearance negotiation on site ongoing 
29/05/2026 : Negociation acces en cours
28/05/2026 : Check breaker and  interconnection (sfp, optical fiber) between system and radio module, swap its if needed||FME activer||Access issues. Negotiation on site ongoing</t>
  </si>
  <si>
    <t xml:space="preserve">
05/06/2026: En attente de la FXED||Intervention ce jour
03/06/2026: Intervetion planned  06.06.2026
02/06/2026 : ETA attendu || Relance faite au PM par mail
30/05/2026 : Need BO RAN analysis ||FME should  check and replace FXED if needed|| GHOST TOWN</t>
  </si>
  <si>
    <t xml:space="preserve">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</si>
  <si>
    <t xml:space="preserve">05/06/2026 : ETA 15H
04/06/2026: intervention prevue pour Demain. 05062026
03/06/2026 :  Check breaker and  interconnection (sfp, optical fiber) between system and radio module, swap its if needed||FME activer|||Zone rouge negotiation acces en cour </t>
  </si>
  <si>
    <t>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</si>
  <si>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05/06/2026 : Le FME &amp; le rigger ont ete victime d'un accident hier en partant a MAYO NONDE pour intervention || Intervention repportee pour Lundi 08062026
04/06/2026: FME en intervention a MAYO-NONDE || Intervention apres MAYO-NONDE || ETA: 16h ||FME  a faire l'accident en ce rendant sur le site. Evidence partager||ETA: W24
02/06/2026: FME doit recevoir les carte ABIA demain|| ETA:04062026
01/06/2026 : Recherche du fond de chassis en cours dans les WH du  l'ANEN
30/05/2026 ;Fme deja en route  ||ETA 12H || Le FME a remplace plusieurs cartes, mais sans chanegement || Il faut replacet le fond de chassis 
29/05/2026 : Intervention repoussee pour cause de pluie || ETA 30052026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</si>
  <si>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>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 ||Check and replace FXBD</t>
  </si>
  <si>
    <t xml:space="preserve">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</si>
  <si>
    <t>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</si>
  <si>
    <t>05/06/2026 : Intervention apres Dabanga ||FME en route pour intervention sur Dabanga
02/06/2026: Intervention prevue pour vendredi 05062026
30/05/2026: Feedback FME: Negociation escorte en cours
29/05/2026 : Negociation escorte en cours
28/05/2026 : Zone rouge || Action avec Level 0 en cour
27/05/2026 : Need BO RAN analysis||Check and replace FBBC if needed</t>
  </si>
  <si>
    <t xml:space="preserve">05/06/2026 : Mail de Cde en voye a HW SPMS 
03/06/2026:FME should  check and clean jumper port 1 of FRGU||Intervention prevue vendredi 05/06/2026||Fme actuellement sur le site de Kaladji puis Garouaboulay
02/06/2026 : Need BO RAN analysis </t>
  </si>
  <si>
    <t xml:space="preserve">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</si>
  <si>
    <t>05/06/2026 : FRGU &amp; FXED faukty || Mail de cde en cours
04/06/2026 : Need BO RAN analysis ||Closed after rest but check and replace FRGU||FME interviendra apres le site de Kanga||ETA:06062026</t>
  </si>
  <si>
    <t xml:space="preserve">
05/06/2026: D'apres le FME, les tensions chutent a 46V || RI attendu ce jour || ETA 16H
03/06/2026 : Need BO RAN analysis ||Closed after reset but FME should check port EXT2 on SFP, Optical fiber of FRGU if needed||ETA: 05062026</t>
  </si>
  <si>
    <t xml:space="preserve">
05/06/2026 : Intervention ce jour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</si>
  <si>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05/06/2026 : Negociation acces en cours
04/06/2026: Closed After reset but FME should check and replace ARDA || Negociation acces en cours
03/06/2026 : Need BO RAN analysis </t>
  </si>
  <si>
    <t xml:space="preserve">
05/06/2026:Closed after reset but if problem persist Check and replace FBBC if needed||FME activer||Action avec le level0 en cour
04/06/2026 : Need BO RAN analysis </t>
  </si>
  <si>
    <t xml:space="preserve">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</si>
  <si>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05/06/2026 : FME intervention sur Lokomo || Intervention ce jour apres LOKOMO
04/06/2026 : Check breaker and  interconnection (sfp, optical fiber) between system and radio module, swap its if needed||Action avec le level0 en cours || En attente du feedback du fme </t>
  </si>
  <si>
    <t xml:space="preserve">
05/06/2026: Closed after reset but check and clean jumper port 3 of FRGU || Intervenion apres NGOLA
04/06/2026 : Need BO RAN analysis </t>
  </si>
  <si>
    <t>UP after a hard reset</t>
  </si>
  <si>
    <t>05/06/2026  8h40</t>
  </si>
  <si>
    <t xml:space="preserve">I-ENG </t>
  </si>
  <si>
    <t>NRO</t>
  </si>
  <si>
    <t>Zemda_L18L8_OST_262_MRBTS2</t>
  </si>
  <si>
    <t>OST_262</t>
  </si>
  <si>
    <t>10 unitName=FRMF path=/SMOD_R-1/eif2_rf6/RMOD_R-3 serial_no=AS190423325 additionalFaultID=10</t>
  </si>
  <si>
    <t>10 unitName=FXED path=/SMOD_R-1/rf_ext1/RMOD_R-1 serial_no=1M190723357 additionalFaultID=10</t>
  </si>
  <si>
    <t>Zemda_G9U21_OST_262_MRBTS1</t>
  </si>
  <si>
    <t>faulty_cells=GSM:all;WCDMA:4739401,4739502,4739603</t>
  </si>
  <si>
    <t>10 unitName=FXDB path=/SMOD_R-1/rf_ext2/RMOD_R-2 serial_no=1M173515104 additionalFaultID=10</t>
  </si>
  <si>
    <t>faulty_cells=WCDMA:541011,541022,541033,541044,541055,541066,541077,541088,541099</t>
  </si>
  <si>
    <t>10 unitName=FRGU path=/SMOD_R-1/rf_ext3/RMOD_R-1 serial_no=AS201312184 additionalFaultID=10</t>
  </si>
  <si>
    <t>Nyanon_G9U9L8_LIT_349_MRBTS1</t>
  </si>
  <si>
    <t>LIT_349</t>
  </si>
  <si>
    <t>faulty_cells=GSM:2413;WCDMA:4562703</t>
  </si>
  <si>
    <t>1837 unitName=AntennaLine path=/SMOD_R-1/rf_ext2/RMOD_R-1/ant5 additionalFaultID=1837</t>
  </si>
  <si>
    <t>Blangoua_G9G18U9_EXN_041_MRBTS1</t>
  </si>
  <si>
    <t>EXN_041</t>
  </si>
  <si>
    <t>faulty_cells=GSM:606,607,608</t>
  </si>
  <si>
    <t>10 unitName=FXED path=/SMOD_R-1/rf_ext2/RMOD_R-2 serial_no=F7184009452 additionalFaultID=10</t>
  </si>
  <si>
    <t>faulty_cells=GSM:601,602,603;WCDMA:all</t>
  </si>
  <si>
    <t>10 unitName=FXDB path=/SMOD_R-1/rf_ext1/RMOD_R-1 serial_no=F7174559661 additionalFaultID=10</t>
  </si>
  <si>
    <t>5/6/2026 13h02</t>
  </si>
  <si>
    <t>06/06/2026 : Check breaker and  interconnection (sfp, optical fiber) between system and radio module, swap its if needed</t>
  </si>
  <si>
    <t>05/06/2026 : Need BO RAN analysis ||Closed after reset but check and clean jumper port 1 of FRGY</t>
  </si>
  <si>
    <t>05/06/2026 : Need BO RAN analysis ||Closed after reset but check and replace FXDB</t>
  </si>
  <si>
    <t xml:space="preserve">05/06/2026 : Need BO RAN analysis||Not supervision </t>
  </si>
  <si>
    <t>05/06/2026 : Need BO RAN analysis||Not supervision|| Escalade faites au RM. En attente de sont feedback</t>
  </si>
  <si>
    <t xml:space="preserve">
05/06/2026: En attente de la FXED||Intervention ce jour||UP after FXED replacement
03/06/2026: Intervetion planned  06.06.2026
02/06/2026 : ETA attendu || Relance faite au PM par mail
30/05/2026 : Need BO RAN analysis ||FME should  check and replace FXED if needed|| GHOST TOWN</t>
  </si>
  <si>
    <t>UP after FXED replacement</t>
  </si>
  <si>
    <t>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</si>
  <si>
    <t>05/06/2026 : Need BO RAN analysis ||Closed after reset but check and clean jumper port 1 of FRGY||FME activer</t>
  </si>
  <si>
    <t>05/06/2026 : Need BO RAN analysis||Closed after reset but check and replace FXDB||FME activer</t>
  </si>
  <si>
    <t xml:space="preserve">
05/06/2026 : Intervention ce jour||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</si>
  <si>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>06/06/2026 : Check breaker and  interconnection (sfp, optical fiber) between system and radio module, swap its if needed||Actin avec le level0 en cour</t>
  </si>
  <si>
    <t>05/062026:FME activer||Intervention en cour||FME a swapper les anthene. mais l'alarme persiste toujour.||Suit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</si>
  <si>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 xml:space="preserve">
05/06/2026: intervention ce jour ||UP apres remplacement de la FBBC et un hard reset
04/06/2026: FBBC recu|| intervention ce jour||ETA attendu||Feedback PM:Intervetion postponed tomorrow due to intervention at Kumbe
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</si>
  <si>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>UP apres remplacement de la FBBC et un hard reset</t>
  </si>
  <si>
    <t>05/06/2026  13h02</t>
  </si>
  <si>
    <t>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</si>
  <si>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>UP apres remplacement des anthenes</t>
  </si>
  <si>
    <t>Upafter hardreset</t>
  </si>
  <si>
    <t xml:space="preserve">05/06/2026:Escalade faite au RM. En attente de son feedback
04/06/2026 : RI attendu 
03/06/2026 : Need BO RAN analysis ||Fme activer||Check and clean jumper port 1 of AZHA||Fme est aller sur site apres un reset physique certaines cellules sont remontees. Suite d'intervention pour demain </t>
  </si>
  <si>
    <t>BARDAKE-HIS_G9U9U21_NRD_110_MRBTS1</t>
  </si>
  <si>
    <t>NRD_110</t>
  </si>
  <si>
    <t>10 unitName=FXDB path=/SMOD_R-1/rf_ext1/RMOD_R-1 serial_no=GA204900059 additionalFaultID=10</t>
  </si>
  <si>
    <t>Bangambi-IHS_G9U9U21_OST_205_MRBTS1</t>
  </si>
  <si>
    <t>OST_205</t>
  </si>
  <si>
    <t>faulty_cells=WCDMA:542414</t>
  </si>
  <si>
    <t>faulty_cells=WCDMA:542427</t>
  </si>
  <si>
    <t>faulty_cells=WCDMA:542458</t>
  </si>
  <si>
    <t>faulty_cells=WCDMA:542401</t>
  </si>
  <si>
    <t>faulty_cells=WCDMA:542463</t>
  </si>
  <si>
    <t>faulty_cells=WCDMA:542476</t>
  </si>
  <si>
    <t>faulty_cells=WCDMA:542432</t>
  </si>
  <si>
    <t>faulty_cells=WCDMA:542445</t>
  </si>
  <si>
    <t>faulty_cells=WCDMA:542489</t>
  </si>
  <si>
    <t>Boussa-IHS_G9U21_NRD_129_MRBTS1</t>
  </si>
  <si>
    <t>NRD_129</t>
  </si>
  <si>
    <t>faulty_cells=WCDMA:339022</t>
  </si>
  <si>
    <t>faulty_cells=WCDMA:539817</t>
  </si>
  <si>
    <t>faulty_cells=WCDMA:339011</t>
  </si>
  <si>
    <t>faulty_cells=WCDMA:339044</t>
  </si>
  <si>
    <t>faulty_cells=WCDMA:339033</t>
  </si>
  <si>
    <t>faulty_cells=WCDMA:539839</t>
  </si>
  <si>
    <t>faulty_cells=WCDMA:339066</t>
  </si>
  <si>
    <t>faulty_cells=WCDMA:339055</t>
  </si>
  <si>
    <t>faulty_cells=WCDMA:539828</t>
  </si>
  <si>
    <t>Tchevi-IHS_G18L18L8_EXN_227_MRBTS1</t>
  </si>
  <si>
    <t>EXN_227</t>
  </si>
  <si>
    <t>Nwa_G9U9_NRO_012_MRBTS1</t>
  </si>
  <si>
    <t>NRO_012</t>
  </si>
  <si>
    <t>faulty_cells=WCDMA:520463;degraded_cells=WCDMA:520476</t>
  </si>
  <si>
    <t>1907 unitName=FRGU path=/SMOD_R-1/rf_ext3/RMOD_R-2 serial_no=K9172815850 additionalFaultID=1907</t>
  </si>
  <si>
    <t>faulty_cells=WCDMA:500627;degraded_cells=WCDMA:500614</t>
  </si>
  <si>
    <t>5/6/2026 17h38</t>
  </si>
  <si>
    <t xml:space="preserve">05/06/2026:Escalade faite au RM. En attente de son feedback||ETA:06062026
04/06/2026 : RI attendu 
03/06/2026 : Need BO RAN analysis ||Fme activer||Check and clean jumper port 1 of AZHA||Fme est aller sur site apres un reset physique certaines cellules sont remontees. Suite d'intervention pour demain </t>
  </si>
  <si>
    <t xml:space="preserve">05/06/2026 : FME intervention sur Lokomo || Intervention ce jour apres LOKOMO||FME est encour sur le site de LOKOMO||Intervention reporter a demain
04/06/2026 : Check breaker and  interconnection (sfp, optical fiber) between system and radio module, swap its if needed||Action avec le level0 en cours || En attente du feedback du fme </t>
  </si>
  <si>
    <t>05/06/2026 : FRGU &amp; FXED faulty || Mail de cde en cours
04/06/2026 : Need BO RAN analysis ||Closed after rest but check and replace FRGU||FME interviendra apres le site de Kanga||ETA:06062026</t>
  </si>
  <si>
    <t>05/06/2026 : Need BO RAN analysis||FME should check and clean port 5 of FXDB||</t>
  </si>
  <si>
    <t xml:space="preserve">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</si>
  <si>
    <t>05/06/2026 : Check breaker and  interconnection (sfp, optical fiber) between system and radio module, swap its if needed||FME activer||ETA:06062026</t>
  </si>
  <si>
    <t>05/06/2026 : Need BO RAN analysis||Closed after reset but check and replace FXDB||FME activer||Cde de la FXDB a HW SPMS</t>
  </si>
  <si>
    <t xml:space="preserve">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</si>
  <si>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</si>
  <si>
    <t xml:space="preserve">
05/06/2026: intervention ce jour||WTA: 17h||UP apres remplacement de la FBBC
04/06/2026: FBBC recu|| intervention ce jour||ETA attendu||Feedback PM:Intervetion postponed tomorrow due to intervention at Kumbe
02/06/2026 : Negociation acces en cours || Acces possible le 04062026
31/052026: FBBC recu. Access Issues. || ETA: 02/06/2026.
30/05/2026:Attente du feedback du RM
28/05/2026: FBBC commandee || Expedition demain 29052026 || ETD/ETA 30052026
27/05/2026 : Need BO RAN analysis||Check and replace FBBC if needed||Fme activer ||</t>
  </si>
  <si>
    <t>UP apres remplacement de la FBBC</t>
  </si>
  <si>
    <t xml:space="preserve">Up without action </t>
  </si>
  <si>
    <t>5/06/2026  8h40</t>
  </si>
  <si>
    <t>5/06/2026  13h02</t>
  </si>
  <si>
    <t xml:space="preserve">5/06/2026  17h38 </t>
  </si>
  <si>
    <t>05/06/2026  17h38</t>
  </si>
  <si>
    <t>Owner cells down 05062026 17h38</t>
  </si>
  <si>
    <t xml:space="preserve">03/06/2026 : Need BO RAN analysis ||Check and replace FXDB||Cde de la FXDB en cours </t>
  </si>
  <si>
    <t>faulty_cells=GSM:2103</t>
  </si>
  <si>
    <t>1910 unitName=FXDB path=/SMOD_R-1/rf_ext1/RMOD_R-1 serial_no=F7190300347 additionalFaultID=1910</t>
  </si>
  <si>
    <t>Nganha_G9U21_ADM_137_MRBTS1</t>
  </si>
  <si>
    <t>ADM_137</t>
  </si>
  <si>
    <t>faulty_cells=WCDMA:388844,388811</t>
  </si>
  <si>
    <t>1907 unitName=FRGU path=/SMOD_R-1/rf_ext1/RMOD_R-1 serial_no=K9170442910 additionalFaultID=1907</t>
  </si>
  <si>
    <t>10 unitName=FXED path=/SMOD_R-1(Left)/BBMOD_R-3(Right_Middle)/rf2/RMOD_R-7 serial_no=F7165228856 additionalFaultID=10</t>
  </si>
  <si>
    <t>10 unitName=FRMF path=/SMOD_R-1(Left)/BBMOD_R-3(Right_Middle)/rf6/RMOD_R-1 serial_no=AS204301273 additionalFaultID=10</t>
  </si>
  <si>
    <t>faulty_cells=LTE:11,12,13,21,22,23</t>
  </si>
  <si>
    <t>10 unitName=ABIA path=/SMOD_R-1(Left)/BBMOD_R-3(Right_Middle) serial_no=DH222920789 additionalFaultID=10</t>
  </si>
  <si>
    <t>faulty_cells=LTE:41,51</t>
  </si>
  <si>
    <t>10 unitName=AZHA path=/SMOD_R-1(Left)/BBMOD_R-2(Right_Bottom)/rf1/RMOD_R-4 serial_no=6Q181433000 additionalFaultID=10</t>
  </si>
  <si>
    <t>faulty_cells=LTE:42,52</t>
  </si>
  <si>
    <t>10 unitName=AZHA path=/SMOD_R-1(Left)/BBMOD_R-2(Right_Bottom)/rf2/RMOD_R-2 serial_no=EA223655941 additionalFaultID=10</t>
  </si>
  <si>
    <t>10 unitName=AZHA path=/SMOD_R-1(Left)/BBMOD_R-2(Right_Bottom)/rf3/RMOD_R-3 serial_no=EA223859673 additionalFaultID=10</t>
  </si>
  <si>
    <t>6/6/2026 8h45</t>
  </si>
  <si>
    <t xml:space="preserve">06/06/2026 : Need BO RAN analysis </t>
  </si>
  <si>
    <t xml:space="preserve">06/06/2026:Activate FME in site to check and replace FRGU
05/06/2026 : Need BO RAN analysis </t>
  </si>
  <si>
    <t xml:space="preserve">
06/06/2026: Closed after reset but check SFP , Optical fiber of FRGU
05/06/2026 : Need BO RAN analysis </t>
  </si>
  <si>
    <t xml:space="preserve">
06/06/2026:FRGU et FFXED deja recu||FME interviendra  apres le site de EBOMBE||ETA: 07062026
05/06/2026 : FRGU &amp; FXED faulty || Mail de cde en cours
04/06/2026 : Need BO RAN analysis ||Closed after rest but check and replace FRGU||FME interviendra apres le site de Kanga||ETA:06062026</t>
  </si>
  <si>
    <t xml:space="preserve">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</si>
  <si>
    <t xml:space="preserve">
06/06/2026: Access Issues||ETA: 09062026
05/06/2026 : Need BO RAN analysis||Not supervision|| Escalade faites au RM. En attente de sont feedback</t>
  </si>
  <si>
    <t xml:space="preserve">
06/06/2026: Access issues
05/06/2026 : Negociation acces en cours
04/06/2026: Closed After reset but FME should check and replace ARDA || Negociation acces en cours
03/06/2026 : Need BO RAN analysis </t>
  </si>
  <si>
    <t xml:space="preserve">
06/06/2026: Intervention en cour||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</si>
  <si>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</si>
  <si>
    <t xml:space="preserve">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</si>
  <si>
    <t xml:space="preserve">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</si>
  <si>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
06/06/2026: FME en route pour le site||ETA:18h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 ||Check and replace FXBD</t>
  </si>
  <si>
    <t xml:space="preserve">
06/06/2026:FBBC en défaut,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</si>
  <si>
    <t xml:space="preserve">
06062026: FME activer|Intervention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</si>
  <si>
    <t xml:space="preserve">
06/06/2026: FME actullemnt sur le site de Dabanga.||ETA: 16h
05/06/2026 : Intervention apres Dabanga ||FME en route pour intervention sur Dabanga
02/06/2026: Intervention prevue pour vendredi 05062026
30/05/2026: Feedback FME: Negociation escorte en cours
29/05/2026 : Negociation escorte en cours
28/05/2026 : Zone rouge || Action avec Level 0 en cour
27/05/2026 : Need BO RAN analysis||Check and replace FBBC if needed</t>
  </si>
  <si>
    <t xml:space="preserve">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</si>
  <si>
    <t xml:space="preserve">
06/06/2026: Closed after reset but FME should check FBBC if needed||FO faulty||mail de commande envoyé au SPM
05/06/2026 : Need BO RAN analysis </t>
  </si>
  <si>
    <t xml:space="preserve">
06/06/2026: FME activer||
05/06/2026 : Need BO RAN analysis||FME should check and clean port 5 of FXDB</t>
  </si>
  <si>
    <t xml:space="preserve">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</si>
  <si>
    <t>Nkambe-Entrance-IHS_L18L8_NRO_090_MRBTS2</t>
  </si>
  <si>
    <t>NRO_090</t>
  </si>
  <si>
    <t>10 unitName=FXED path=/SMOD_R-1/rf_ext2/RMOD_R-1 serial_no=L1164215270 additionalFaultID=10</t>
  </si>
  <si>
    <t>faulty_cells=WCDMA:388844</t>
  </si>
  <si>
    <t>1910 unitName=FRGU path=/SMOD_R-1/rf_ext1/RMOD_R-1 serial_no=K9170442910 additionalFaultID=1910</t>
  </si>
  <si>
    <t>Fault between FSM and FSP because of the lack of RP1 clock</t>
  </si>
  <si>
    <t>412 unitName=FBBC path=/SMOD_R-1/bbext1/BBMOD_R-1 serial_no=NK170531420 additionalFaultID=412</t>
  </si>
  <si>
    <t>Sodibanga_G9U9U21_LIT_515_MRBTS1</t>
  </si>
  <si>
    <t>LIT_515</t>
  </si>
  <si>
    <t>faulty_cells=GSM:3641;WCDMA:4654501</t>
  </si>
  <si>
    <t>1907 unitName=FXDB path=/SMOD_R-1/rf_ext2/RMOD_R-1 serial_no=1M171227534 additionalFaultID=1907</t>
  </si>
  <si>
    <t>4001 unitName=FBBC path=/SMOD_R-1/bbext1/BBMOD_R-1 serial_no=AS183411242 supplAlarmInfo=Site reset is needed to try to recover WCDMA cells due to new resources available additionalFaultID=4001</t>
  </si>
  <si>
    <t>6/6/2026 13h15</t>
  </si>
  <si>
    <t xml:space="preserve">06/06/2026: FME actuellemet sur le site de NKOLBISSON||Intervention reporter pour Demain
05/06/2026:Escalade faite au RM. En attente de son feedback||ETA:06062026
04/06/2026 : RI attendu 
03/06/2026 : Need BO RAN analysis ||Fme activer||Check and clean jumper port 1 of AZHA||Fme est aller sur site apres un reset physique certaines cellules sont remontees. Suite d'intervention pour demain </t>
  </si>
  <si>
    <t>06/06/2026: Check breaker and  interconnection (sfp, optical fiber) between system and radio module, swap its if needed||Action avec le level0</t>
  </si>
  <si>
    <t xml:space="preserve">
06/06/2026: Cde de la SPARE en cours
05/06/2026: Closed after reset but check and clean jumper port 3 of FRGU || Intervenion apres NGOLA
04/06/2026 : Need BO RAN analysis </t>
  </si>
  <si>
    <t xml:space="preserve">
06/06/2026: Cde de la SPARE en cours
05/06/2026 : FME intervention sur Lokomo || Intervention ce jour apres LOKOMO||FME est encour sur le site de LOKOMO||Intervention reporter a demain
04/06/2026 : Check breaker and  interconnection (sfp, optical fiber) between system and radio module, swap its if needed||Action avec le level0 en cours || En attente du feedback du fme </t>
  </si>
  <si>
    <t xml:space="preserve">
06/06/2026: Closed after reset but check SFP , Optical fiber of FRGU||FME activer||power issues||Mail envoyer au powrco.
05/06/2026 : Need BO RAN analysis </t>
  </si>
  <si>
    <t xml:space="preserve">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</si>
  <si>
    <t xml:space="preserve">
06/06/2026 : Check breaker and  interconnection (sfp, optical fiber) between system and radio module, swap its if needed||FME activer||ETA:07062026</t>
  </si>
  <si>
    <t xml:space="preserve">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</si>
  <si>
    <t>06/06/2026 : Need BO RAN analysis||Closed after reset but check and replace FRGU if needed ||Action avec le level0 en cour</t>
  </si>
  <si>
    <t xml:space="preserve">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</si>
  <si>
    <t xml:space="preserve">
06/06/2026: FME activer||Escalade faite au RM. En attente de son feedback
05/06/2026 : Need BO RAN analysis||FME should check and clean port 5 of FXDB</t>
  </si>
  <si>
    <t>6/06/2026 8h45</t>
  </si>
  <si>
    <t>6/06/2026    13h15</t>
  </si>
  <si>
    <t xml:space="preserve">
06062026: FME activer|Intervention en cour||Le FME a faire le Nettoyage des radio et des jumpeurs, swaper les modules SFP et a faire un hard reset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</si>
  <si>
    <t>Ndjore-Luxe-MTN_G9U9U21L8L7_CTR_363_MRBTS1</t>
  </si>
  <si>
    <t>CTR_363</t>
  </si>
  <si>
    <t>faulty_cells=GSM:all;WCDMA:4544501,4544602,4544703</t>
  </si>
  <si>
    <t>4309 unitName=Cablink path=/SMOD_R-2(Left)/BBMOD_R-2(Left_Bottom)/rf2 additionalFaultID=4309</t>
  </si>
  <si>
    <t>1868 supplAlarmInfo=Not enough link capacity on fronthaul or internal connections or SFP(s) for cell detected additionalFaultID=1868 LNCEL-23</t>
  </si>
  <si>
    <t>10 unitName=FXDB path=/SMOD_R-1/rf_ext2/RMOD_R-1 serial_no=K9162251753 additionalFaultID=10</t>
  </si>
  <si>
    <t>faulty_cells=WCDMA:567201,567214,567227,567232,567245,567258,567263,567276,567289</t>
  </si>
  <si>
    <t>10 unitName=FRGU path=/SMOD_R-1/rf_ext3/RMOD_R-2 serial_no=K9170231401 additionalFaultID=10</t>
  </si>
  <si>
    <t>Kiiki_G9U9U21_CTR_190_MRBTS1</t>
  </si>
  <si>
    <t>CTR_190</t>
  </si>
  <si>
    <t>faulty_cells=WCDMA:343163</t>
  </si>
  <si>
    <t>faulty_cells=WCDMA:343114</t>
  </si>
  <si>
    <t>Kiiki_L18L8_CTR_190_MRBTS2</t>
  </si>
  <si>
    <t>1807 additionalFaultID=1807 LNCEL-13</t>
  </si>
  <si>
    <t>1807 additionalFaultID=1807 LNCEL-12</t>
  </si>
  <si>
    <t>10 unitName=FXED path=/SMOD_R-1/rf_ext2/RMOD_R-1 serial_no=F7164359745 additionalFaultID=10</t>
  </si>
  <si>
    <t>6/6/2026 16h35</t>
  </si>
  <si>
    <t xml:space="preserve">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</si>
  <si>
    <t>06/06/2026 : Check breaker and  interconnection (sfp, optical fiber) between system and radio module, swap its if needed||FME activer||ETA: 07/06/2026</t>
  </si>
  <si>
    <t xml:space="preserve">
06/06/2026:Remplacement FXED ce jour||Intervention en cour||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</si>
  <si>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 ||Check and replace FXBD</t>
  </si>
  <si>
    <t xml:space="preserve">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</si>
  <si>
    <t xml:space="preserve">
06/06/2026: FME actullemnt sur le site de Dabanga.||ETA: 16h||Intervention en cour||UP after a Hard reset
05/06/2026 : Intervention apres Dabanga ||FME en route pour intervention sur Dabanga
02/06/2026: Intervention prevue pour vendredi 05062026
30/05/2026: Feedback FME: Negociation escorte en cours
29/05/2026 : Negociation escorte en cours
28/05/2026 : Zone rouge || Action avec Level 0 en cour
27/05/2026 : Need BO RAN analysis||Check and replace FBBC if needed</t>
  </si>
  <si>
    <t>UP after a Hard reset</t>
  </si>
  <si>
    <t>6/06/2026    16h35</t>
  </si>
  <si>
    <t>06/06/2026  16h35</t>
  </si>
  <si>
    <t>TELEINFRA CENTRE</t>
  </si>
  <si>
    <t>EST</t>
  </si>
  <si>
    <t>06/06/2026  8h45</t>
  </si>
  <si>
    <t>06/06/2026  13h15</t>
  </si>
  <si>
    <t>faulty_cells=WCDMA:351714,351727,351776,351789,351701,351763</t>
  </si>
  <si>
    <t>faulty_cells=LTE:21,22</t>
  </si>
  <si>
    <t>RF BB bus configuration error</t>
  </si>
  <si>
    <t>1905 unitName=FXED path=/SMOD_R-1/rf_ext1/RMOD_R-1 serial_no=F7164359745 additionalFaultID=1905</t>
  </si>
  <si>
    <t>faulty_cells=WCDMA:4739303</t>
  </si>
  <si>
    <t>110 unitName=FXDB path=/SMOD_R-1/rf_ext2/RMOD_R-1 serial_no=F7164330497 additionalFaultID=110</t>
  </si>
  <si>
    <t>faulty_cells=WCDMA:350814,350827,350832,350845,350876,350889</t>
  </si>
  <si>
    <t>4309 unitName=Cablink path=/SMOD_R-1/rf_ext3 additionalFaultID=4309</t>
  </si>
  <si>
    <t>7/6/2026 9h35</t>
  </si>
  <si>
    <t xml:space="preserve">
07/06/2026 : Check breaker and  interconnection (sfp, optical fiber) between system and radio module, swap its if needed||FME activer||ETA:07062026</t>
  </si>
  <si>
    <t xml:space="preserve">
07/06/2026: Closed after reset but FME should check SFP , Optical fiber of FXDB
06/06/2026 : Need BO RAN analysis </t>
  </si>
  <si>
    <t xml:space="preserve">
07/062026: Closed 
06/06/2026 : Need BO RAN analysis </t>
  </si>
  <si>
    <t xml:space="preserve">07/06/2026: Cde des Jumpeurs||ETA:08062026
06/06/2026: FME actuellemet sur le site de NKOLBISSON||Intervention reporter pour Demain
05/06/2026:Escalade faite au RM. En attente de son feedback||ETA:06062026
04/06/2026 : RI attendu 
03/06/2026 : Need BO RAN analysis ||Fme activer||Check and clean jumper port 1 of AZHA||Fme est aller sur site apres un reset physique certaines cellules sont remontees. Suite d'intervention pour demain </t>
  </si>
  <si>
    <t>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</si>
  <si>
    <t xml:space="preserve">
07/06/2026: FBBC faulty|| Cde en cour
05/06/2026:Closed after reset but if problem persist Check and replace FBBC if needed||FME activer||Action avec le level0 en cour
04/06/2026 : Need BO RAN analysis </t>
  </si>
  <si>
    <t>07/06/2026:FME activer||ETA: 14h
06/06/2026:FRGU et FFXED deja recu||FME interviendra  apres le site de EBOMBE||ETA: 07062026
05/06/2026 : FRGU &amp; FXED faulty || Mail de cde en cours
04/06/2026 : Need BO RAN analysis ||Closed after rest but check and replace FRGU||FME interviendra apres le site de Kanga||ETA:06062026</t>
  </si>
  <si>
    <t>Matafal_G9G18U9U21L18L8_EXN_207_MRBTS1</t>
  </si>
  <si>
    <t>EXN_207</t>
  </si>
  <si>
    <t>1815 unitName=ABIA path=/SMOD_R-1/BBMOD_R-3(Left_Top) serial_no=DH203890645 supplAlarmInfo=The RP3 link synchronization between SMOD and BBMOD is lost, the link is used for actual IQ data transmission, this will affect BTS service. additionalFaultID=1815</t>
  </si>
  <si>
    <t>faulty_cells=WCDMA:570001,570014,570027,570032,570045,570058,570063,570076,570089</t>
  </si>
  <si>
    <t>10 unitName=ARGA path=/SMOD_R-1/BBMOD_R-3(Left_Top)/rf3/RMOD_R-3 serial_no=K9213502506 supplAlarmInfo=RU connection was lost in runtime additionalFaultID=10</t>
  </si>
  <si>
    <t>4001 unitName=ABIA path=/SMOD_R-1/BBMOD_R-3(Left_Top) serial_no=DH203890645 supplAlarmInfo=Site reset is needed to try to recover WCDMA cells due to new resources available additionalFaultID=4001</t>
  </si>
  <si>
    <t>Mbonso_G9U9U21_NRO_057_MRBTS1</t>
  </si>
  <si>
    <t>NRO_057</t>
  </si>
  <si>
    <t>faulty_cells=WCDMA:501689</t>
  </si>
  <si>
    <t>faulty_cells=WCDMA:501658</t>
  </si>
  <si>
    <t>faulty_cells=WCDMA:501627</t>
  </si>
  <si>
    <t>faulty_cells=WCDMA:501676</t>
  </si>
  <si>
    <t>faulty_cells=WCDMA:501632</t>
  </si>
  <si>
    <t>faulty_cells=WCDMA:501663</t>
  </si>
  <si>
    <t>faulty_cells=WCDMA:501645</t>
  </si>
  <si>
    <t>faulty_cells=WCDMA:501614</t>
  </si>
  <si>
    <t>faulty_cells=WCDMA:501601</t>
  </si>
  <si>
    <t>Bangambi-IHS_L18L8_OST_205_MRBTS2</t>
  </si>
  <si>
    <t>4309 unitName=Cablink path=/SMOD_R-1/rf_ext1 additionalFaultID=4309</t>
  </si>
  <si>
    <t>10 unitName=FXED path=/SMOD_R-1/rf_ext2/RMOD_R-3 serial_no=1M202701244 additionalFaultID=10</t>
  </si>
  <si>
    <t>7/6/2026 13h27</t>
  </si>
  <si>
    <t xml:space="preserve">
07/062026:Need BO RAN analysis </t>
  </si>
  <si>
    <t xml:space="preserve">
07/06/2026: FXDB unstable due to power FME should check and replace FXDB &amp; Stabilized power in site||UP apres un soft reset
06/06/2026 : Need BO RAN analysis </t>
  </si>
  <si>
    <t>UP apres un soft reset</t>
  </si>
  <si>
    <t xml:space="preserve">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</si>
  <si>
    <t>07062026 9h35</t>
  </si>
  <si>
    <t>07062026 13h27</t>
  </si>
  <si>
    <t>07/06/2026:FME activer||ETA: 14h||Intervetion en cour
06/06/2026:FRGU et FFXED deja recu||FME interviendra  apres le site de EBOMBE||ETA: 07062026
05/06/2026 : FRGU &amp; FXED faulty || Mail de cde en cours
04/06/2026 : Need BO RAN analysis ||Closed after rest but check and replace FRGU||FME interviendra apres le site de Kanga||ETA:06062026</t>
  </si>
  <si>
    <t>INITIAL 07062026 9h35</t>
  </si>
  <si>
    <t>ONGOING  07062026 13h27</t>
  </si>
  <si>
    <t>07/06/2026  9h35</t>
  </si>
  <si>
    <t>07/06/2026  13h27</t>
  </si>
  <si>
    <t>Matafal</t>
  </si>
  <si>
    <t>Mbonso</t>
  </si>
  <si>
    <t>Bangambi</t>
  </si>
  <si>
    <t>OST</t>
  </si>
  <si>
    <t>Mazera</t>
  </si>
  <si>
    <t>Bafmeng</t>
  </si>
  <si>
    <t>SALAPOUMBE</t>
  </si>
  <si>
    <t>Breakdown NOKIA cell downs 07062026  13h27</t>
  </si>
  <si>
    <t xml:space="preserve">
07/06/2026:Access issues||ETA:09062026
06/06/2026: Check breaker and  interconnection (sfp, optical fiber) between system and radio module, swap its if needed||Action avec le level0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</si>
</sst>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h]:mm:ss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20"/>
      <color indexed="8"/>
      <name val="Aptos Narrow"/>
      <family val="2"/>
      <scheme val="minor"/>
    </font>
    <font>
      <b/>
      <sz val="20"/>
      <color rgb="FF0061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AD2DB"/>
        <bgColor theme="4" tint="0.79998168889431442"/>
      </patternFill>
    </fill>
    <fill>
      <patternFill patternType="solid">
        <fgColor rgb="FFED878C"/>
        <bgColor theme="4" tint="0.79998168889431442"/>
      </patternFill>
    </fill>
    <fill>
      <patternFill patternType="solid">
        <fgColor rgb="FFE45E71"/>
        <bgColor theme="4" tint="0.79998168889431442"/>
      </patternFill>
    </fill>
    <fill>
      <patternFill patternType="solid">
        <fgColor rgb="FFCC5266"/>
        <bgColor theme="4" tint="0.79998168889431442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1" fillId="0" borderId="0"/>
    <xf numFmtId="0" fontId="1" fillId="0" borderId="0"/>
    <xf numFmtId="0" fontId="1" fillId="0" borderId="0"/>
    <xf numFmtId="0" fontId="20" fillId="0" borderId="0">
      <alignment vertical="center"/>
    </xf>
  </cellStyleXfs>
  <cellXfs count="133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8" fillId="10" borderId="1" xfId="0" applyFont="1" applyFill="1" applyBorder="1"/>
    <xf numFmtId="0" fontId="7" fillId="10" borderId="1" xfId="0" applyFont="1" applyFill="1" applyBorder="1" applyAlignment="1">
      <alignment horizontal="center"/>
    </xf>
    <xf numFmtId="0" fontId="8" fillId="12" borderId="1" xfId="0" applyFont="1" applyFill="1" applyBorder="1"/>
    <xf numFmtId="0" fontId="8" fillId="13" borderId="1" xfId="0" applyFont="1" applyFill="1" applyBorder="1"/>
    <xf numFmtId="9" fontId="9" fillId="13" borderId="1" xfId="1" applyFont="1" applyFill="1" applyBorder="1"/>
    <xf numFmtId="0" fontId="10" fillId="0" borderId="0" xfId="0" applyFont="1"/>
    <xf numFmtId="0" fontId="8" fillId="10" borderId="1" xfId="0" applyFont="1" applyFill="1" applyBorder="1" applyAlignment="1">
      <alignment wrapText="1"/>
    </xf>
    <xf numFmtId="0" fontId="12" fillId="15" borderId="1" xfId="3" applyFont="1" applyFill="1" applyBorder="1" applyAlignment="1">
      <alignment horizontal="center" vertical="top" wrapText="1"/>
    </xf>
    <xf numFmtId="0" fontId="12" fillId="15" borderId="1" xfId="3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/>
    </xf>
    <xf numFmtId="0" fontId="14" fillId="18" borderId="1" xfId="0" applyFont="1" applyFill="1" applyBorder="1" applyAlignment="1">
      <alignment horizontal="center"/>
    </xf>
    <xf numFmtId="0" fontId="13" fillId="2" borderId="1" xfId="2" applyFont="1" applyBorder="1" applyAlignment="1">
      <alignment horizontal="center"/>
    </xf>
    <xf numFmtId="0" fontId="12" fillId="9" borderId="1" xfId="0" applyFont="1" applyFill="1" applyBorder="1"/>
    <xf numFmtId="0" fontId="14" fillId="19" borderId="1" xfId="0" applyFont="1" applyFill="1" applyBorder="1"/>
    <xf numFmtId="0" fontId="14" fillId="20" borderId="1" xfId="0" applyFont="1" applyFill="1" applyBorder="1"/>
    <xf numFmtId="0" fontId="14" fillId="21" borderId="1" xfId="0" applyFont="1" applyFill="1" applyBorder="1"/>
    <xf numFmtId="0" fontId="14" fillId="22" borderId="1" xfId="0" applyFont="1" applyFill="1" applyBorder="1"/>
    <xf numFmtId="0" fontId="14" fillId="23" borderId="1" xfId="0" applyFont="1" applyFill="1" applyBorder="1"/>
    <xf numFmtId="0" fontId="14" fillId="24" borderId="1" xfId="0" applyFont="1" applyFill="1" applyBorder="1"/>
    <xf numFmtId="0" fontId="14" fillId="25" borderId="1" xfId="0" applyFont="1" applyFill="1" applyBorder="1"/>
    <xf numFmtId="0" fontId="14" fillId="26" borderId="1" xfId="0" applyFont="1" applyFill="1" applyBorder="1"/>
    <xf numFmtId="0" fontId="14" fillId="9" borderId="1" xfId="0" applyFont="1" applyFill="1" applyBorder="1"/>
    <xf numFmtId="0" fontId="14" fillId="17" borderId="1" xfId="0" applyFont="1" applyFill="1" applyBorder="1"/>
    <xf numFmtId="0" fontId="12" fillId="0" borderId="1" xfId="0" applyFont="1" applyBorder="1"/>
    <xf numFmtId="0" fontId="15" fillId="27" borderId="1" xfId="0" applyFont="1" applyFill="1" applyBorder="1"/>
    <xf numFmtId="0" fontId="16" fillId="5" borderId="1" xfId="0" applyFont="1" applyFill="1" applyBorder="1" applyAlignment="1">
      <alignment horizontal="center"/>
    </xf>
    <xf numFmtId="0" fontId="0" fillId="28" borderId="0" xfId="0" applyFill="1"/>
    <xf numFmtId="0" fontId="17" fillId="5" borderId="1" xfId="0" applyFont="1" applyFill="1" applyBorder="1" applyAlignment="1">
      <alignment horizontal="left"/>
    </xf>
    <xf numFmtId="0" fontId="17" fillId="5" borderId="1" xfId="0" applyFont="1" applyFill="1" applyBorder="1"/>
    <xf numFmtId="0" fontId="0" fillId="0" borderId="0" xfId="0" applyAlignment="1">
      <alignment horizontal="left"/>
    </xf>
    <xf numFmtId="0" fontId="0" fillId="29" borderId="1" xfId="0" applyFill="1" applyBorder="1" applyAlignment="1">
      <alignment horizontal="left"/>
    </xf>
    <xf numFmtId="0" fontId="3" fillId="2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16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1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30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0" fillId="7" borderId="1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7" fillId="31" borderId="1" xfId="0" applyFont="1" applyFill="1" applyBorder="1" applyAlignment="1">
      <alignment horizontal="center"/>
    </xf>
    <xf numFmtId="0" fontId="8" fillId="7" borderId="1" xfId="0" applyFont="1" applyFill="1" applyBorder="1"/>
    <xf numFmtId="0" fontId="1" fillId="8" borderId="1" xfId="4" applyFill="1" applyBorder="1" applyAlignment="1">
      <alignment wrapText="1"/>
    </xf>
    <xf numFmtId="0" fontId="1" fillId="3" borderId="1" xfId="4" applyFill="1" applyBorder="1" applyAlignment="1">
      <alignment wrapText="1"/>
    </xf>
    <xf numFmtId="0" fontId="1" fillId="4" borderId="1" xfId="4" applyFill="1" applyBorder="1" applyAlignment="1">
      <alignment wrapText="1"/>
    </xf>
    <xf numFmtId="0" fontId="1" fillId="5" borderId="1" xfId="4" applyFill="1" applyBorder="1" applyAlignment="1">
      <alignment wrapText="1"/>
    </xf>
    <xf numFmtId="0" fontId="4" fillId="6" borderId="1" xfId="4" applyFont="1" applyFill="1" applyBorder="1" applyAlignment="1">
      <alignment horizontal="left" wrapText="1"/>
    </xf>
    <xf numFmtId="0" fontId="1" fillId="0" borderId="0" xfId="4"/>
    <xf numFmtId="0" fontId="1" fillId="0" borderId="1" xfId="4" applyBorder="1" applyAlignment="1">
      <alignment wrapText="1"/>
    </xf>
    <xf numFmtId="0" fontId="1" fillId="0" borderId="0" xfId="4" applyAlignment="1">
      <alignment wrapText="1"/>
    </xf>
    <xf numFmtId="0" fontId="1" fillId="12" borderId="1" xfId="4" applyFill="1" applyBorder="1" applyAlignment="1">
      <alignment wrapText="1"/>
    </xf>
    <xf numFmtId="0" fontId="10" fillId="12" borderId="1" xfId="0" applyFont="1" applyFill="1" applyBorder="1" applyAlignment="1">
      <alignment wrapText="1"/>
    </xf>
    <xf numFmtId="0" fontId="3" fillId="0" borderId="1" xfId="4" applyFont="1" applyBorder="1" applyAlignment="1">
      <alignment wrapText="1"/>
    </xf>
    <xf numFmtId="0" fontId="3" fillId="0" borderId="0" xfId="4" applyFont="1" applyAlignment="1">
      <alignment wrapText="1"/>
    </xf>
    <xf numFmtId="164" fontId="1" fillId="0" borderId="1" xfId="4" applyNumberFormat="1" applyBorder="1" applyAlignment="1">
      <alignment wrapText="1"/>
    </xf>
    <xf numFmtId="0" fontId="3" fillId="12" borderId="1" xfId="4" applyFont="1" applyFill="1" applyBorder="1" applyAlignment="1">
      <alignment wrapText="1"/>
    </xf>
    <xf numFmtId="164" fontId="1" fillId="12" borderId="1" xfId="4" applyNumberFormat="1" applyFill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164" fontId="1" fillId="8" borderId="1" xfId="4" applyNumberFormat="1" applyFill="1" applyBorder="1" applyAlignment="1">
      <alignment wrapText="1"/>
    </xf>
    <xf numFmtId="164" fontId="1" fillId="0" borderId="0" xfId="4" applyNumberFormat="1" applyAlignment="1">
      <alignment wrapText="1"/>
    </xf>
    <xf numFmtId="165" fontId="1" fillId="8" borderId="1" xfId="4" applyNumberFormat="1" applyFill="1" applyBorder="1" applyAlignment="1">
      <alignment wrapText="1"/>
    </xf>
    <xf numFmtId="165" fontId="1" fillId="0" borderId="1" xfId="4" applyNumberFormat="1" applyBorder="1" applyAlignment="1">
      <alignment wrapText="1"/>
    </xf>
    <xf numFmtId="165" fontId="1" fillId="0" borderId="0" xfId="4" applyNumberFormat="1" applyAlignment="1">
      <alignment wrapText="1"/>
    </xf>
    <xf numFmtId="165" fontId="1" fillId="12" borderId="1" xfId="4" applyNumberFormat="1" applyFill="1" applyBorder="1" applyAlignment="1">
      <alignment wrapText="1"/>
    </xf>
    <xf numFmtId="0" fontId="0" fillId="4" borderId="1" xfId="4" applyFont="1" applyFill="1" applyBorder="1" applyAlignment="1">
      <alignment wrapText="1"/>
    </xf>
    <xf numFmtId="0" fontId="0" fillId="8" borderId="1" xfId="4" applyFont="1" applyFill="1" applyBorder="1" applyAlignment="1">
      <alignment wrapText="1"/>
    </xf>
    <xf numFmtId="0" fontId="19" fillId="0" borderId="1" xfId="0" applyFont="1" applyBorder="1"/>
    <xf numFmtId="0" fontId="19" fillId="12" borderId="1" xfId="0" applyFont="1" applyFill="1" applyBorder="1"/>
    <xf numFmtId="0" fontId="1" fillId="0" borderId="1" xfId="4" applyFill="1" applyBorder="1" applyAlignment="1">
      <alignment wrapText="1"/>
    </xf>
    <xf numFmtId="0" fontId="12" fillId="14" borderId="1" xfId="4" applyFont="1" applyFill="1" applyBorder="1" applyAlignment="1">
      <alignment wrapText="1"/>
    </xf>
    <xf numFmtId="0" fontId="0" fillId="0" borderId="1" xfId="4" applyFont="1" applyBorder="1" applyAlignment="1">
      <alignment wrapText="1"/>
    </xf>
    <xf numFmtId="0" fontId="0" fillId="12" borderId="1" xfId="4" applyFont="1" applyFill="1" applyBorder="1" applyAlignment="1">
      <alignment wrapText="1"/>
    </xf>
    <xf numFmtId="0" fontId="0" fillId="0" borderId="1" xfId="4" applyFont="1" applyFill="1" applyBorder="1" applyAlignment="1">
      <alignment wrapText="1"/>
    </xf>
    <xf numFmtId="14" fontId="7" fillId="31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vertical="center"/>
    </xf>
    <xf numFmtId="14" fontId="1" fillId="12" borderId="1" xfId="4" applyNumberForma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0" fillId="8" borderId="1" xfId="4" applyFont="1" applyFill="1" applyBorder="1" applyAlignment="1">
      <alignment vertical="center" wrapText="1"/>
    </xf>
    <xf numFmtId="0" fontId="1" fillId="4" borderId="1" xfId="4" applyFill="1" applyBorder="1" applyAlignment="1">
      <alignment vertical="center" wrapText="1"/>
    </xf>
    <xf numFmtId="164" fontId="1" fillId="8" borderId="1" xfId="4" applyNumberFormat="1" applyFill="1" applyBorder="1" applyAlignment="1">
      <alignment vertical="center" wrapText="1"/>
    </xf>
    <xf numFmtId="165" fontId="1" fillId="8" borderId="1" xfId="4" applyNumberFormat="1" applyFill="1" applyBorder="1" applyAlignment="1">
      <alignment vertical="center" wrapText="1"/>
    </xf>
    <xf numFmtId="0" fontId="1" fillId="3" borderId="1" xfId="4" applyFill="1" applyBorder="1" applyAlignment="1">
      <alignment vertical="center" wrapText="1"/>
    </xf>
    <xf numFmtId="0" fontId="1" fillId="8" borderId="1" xfId="4" applyFill="1" applyBorder="1" applyAlignment="1">
      <alignment vertical="center" wrapText="1"/>
    </xf>
    <xf numFmtId="0" fontId="1" fillId="5" borderId="1" xfId="4" applyFill="1" applyBorder="1" applyAlignment="1">
      <alignment vertical="center" wrapText="1"/>
    </xf>
    <xf numFmtId="0" fontId="0" fillId="4" borderId="1" xfId="4" applyFont="1" applyFill="1" applyBorder="1" applyAlignment="1">
      <alignment vertical="center" wrapText="1"/>
    </xf>
    <xf numFmtId="0" fontId="4" fillId="6" borderId="1" xfId="4" applyFont="1" applyFill="1" applyBorder="1" applyAlignment="1">
      <alignment horizontal="left" vertical="center" wrapText="1"/>
    </xf>
    <xf numFmtId="0" fontId="1" fillId="0" borderId="1" xfId="4" applyBorder="1" applyAlignment="1">
      <alignment vertical="center" wrapText="1"/>
    </xf>
    <xf numFmtId="0" fontId="3" fillId="0" borderId="1" xfId="4" applyFont="1" applyBorder="1" applyAlignment="1">
      <alignment vertical="center" wrapText="1"/>
    </xf>
    <xf numFmtId="164" fontId="1" fillId="0" borderId="1" xfId="4" applyNumberFormat="1" applyBorder="1" applyAlignment="1">
      <alignment vertical="center" wrapText="1"/>
    </xf>
    <xf numFmtId="165" fontId="1" fillId="0" borderId="1" xfId="4" applyNumberFormat="1" applyBorder="1" applyAlignment="1">
      <alignment vertical="center" wrapText="1"/>
    </xf>
    <xf numFmtId="14" fontId="0" fillId="0" borderId="1" xfId="4" applyNumberFormat="1" applyFont="1" applyBorder="1" applyAlignment="1">
      <alignment vertical="center" wrapText="1"/>
    </xf>
    <xf numFmtId="0" fontId="0" fillId="0" borderId="1" xfId="4" applyFont="1" applyBorder="1" applyAlignment="1">
      <alignment vertical="center" wrapText="1"/>
    </xf>
    <xf numFmtId="0" fontId="1" fillId="12" borderId="1" xfId="4" applyFill="1" applyBorder="1" applyAlignment="1">
      <alignment vertical="center" wrapText="1"/>
    </xf>
    <xf numFmtId="14" fontId="0" fillId="12" borderId="1" xfId="4" applyNumberFormat="1" applyFont="1" applyFill="1" applyBorder="1" applyAlignment="1">
      <alignment vertical="center" wrapText="1"/>
    </xf>
    <xf numFmtId="0" fontId="0" fillId="12" borderId="1" xfId="4" applyFont="1" applyFill="1" applyBorder="1" applyAlignment="1">
      <alignment vertical="center" wrapText="1"/>
    </xf>
    <xf numFmtId="0" fontId="3" fillId="12" borderId="1" xfId="4" applyFont="1" applyFill="1" applyBorder="1" applyAlignment="1">
      <alignment vertical="center" wrapText="1"/>
    </xf>
    <xf numFmtId="164" fontId="1" fillId="12" borderId="1" xfId="4" applyNumberFormat="1" applyFill="1" applyBorder="1" applyAlignment="1">
      <alignment vertical="center" wrapText="1"/>
    </xf>
    <xf numFmtId="0" fontId="0" fillId="5" borderId="1" xfId="4" applyFont="1" applyFill="1" applyBorder="1" applyAlignment="1">
      <alignment vertical="center" wrapText="1"/>
    </xf>
    <xf numFmtId="0" fontId="0" fillId="8" borderId="1" xfId="4" applyFont="1" applyFill="1" applyBorder="1" applyAlignment="1">
      <alignment horizontal="center" vertical="center" wrapText="1"/>
    </xf>
    <xf numFmtId="0" fontId="1" fillId="4" borderId="1" xfId="4" applyFill="1" applyBorder="1" applyAlignment="1">
      <alignment horizontal="center" vertical="center" wrapText="1"/>
    </xf>
    <xf numFmtId="164" fontId="1" fillId="8" borderId="1" xfId="4" applyNumberFormat="1" applyFill="1" applyBorder="1" applyAlignment="1">
      <alignment horizontal="center" vertical="center" wrapText="1"/>
    </xf>
    <xf numFmtId="165" fontId="1" fillId="8" borderId="1" xfId="4" applyNumberFormat="1" applyFill="1" applyBorder="1" applyAlignment="1">
      <alignment horizontal="center" vertical="center" wrapText="1"/>
    </xf>
    <xf numFmtId="0" fontId="1" fillId="8" borderId="1" xfId="4" applyFill="1" applyBorder="1" applyAlignment="1">
      <alignment horizontal="center" vertical="center" wrapText="1"/>
    </xf>
    <xf numFmtId="0" fontId="0" fillId="4" borderId="1" xfId="4" applyFont="1" applyFill="1" applyBorder="1" applyAlignment="1">
      <alignment horizontal="center" vertical="center" wrapText="1"/>
    </xf>
    <xf numFmtId="165" fontId="1" fillId="0" borderId="1" xfId="4" applyNumberFormat="1" applyFill="1" applyBorder="1" applyAlignment="1">
      <alignment wrapText="1"/>
    </xf>
    <xf numFmtId="0" fontId="14" fillId="16" borderId="2" xfId="3" applyFont="1" applyFill="1" applyBorder="1" applyAlignment="1">
      <alignment horizontal="center"/>
    </xf>
    <xf numFmtId="0" fontId="14" fillId="16" borderId="3" xfId="3" applyFont="1" applyFill="1" applyBorder="1" applyAlignment="1">
      <alignment horizontal="center"/>
    </xf>
    <xf numFmtId="0" fontId="14" fillId="16" borderId="4" xfId="3" applyFont="1" applyFill="1" applyBorder="1" applyAlignment="1">
      <alignment horizontal="center"/>
    </xf>
    <xf numFmtId="0" fontId="1" fillId="0" borderId="1" xfId="4" applyBorder="1" applyAlignment="1">
      <alignment horizontal="center" wrapText="1"/>
    </xf>
    <xf numFmtId="164" fontId="1" fillId="0" borderId="1" xfId="4" applyNumberFormat="1" applyBorder="1" applyAlignment="1">
      <alignment horizontal="center" wrapText="1"/>
    </xf>
    <xf numFmtId="165" fontId="1" fillId="0" borderId="1" xfId="4" applyNumberFormat="1" applyBorder="1" applyAlignment="1">
      <alignment horizontal="center" wrapText="1"/>
    </xf>
    <xf numFmtId="0" fontId="0" fillId="0" borderId="1" xfId="4" applyFont="1" applyBorder="1" applyAlignment="1">
      <alignment horizontal="center" wrapText="1"/>
    </xf>
    <xf numFmtId="0" fontId="3" fillId="0" borderId="1" xfId="4" applyFont="1" applyFill="1" applyBorder="1" applyAlignment="1">
      <alignment wrapText="1"/>
    </xf>
    <xf numFmtId="164" fontId="1" fillId="0" borderId="1" xfId="4" applyNumberFormat="1" applyFill="1" applyBorder="1" applyAlignment="1">
      <alignment wrapText="1"/>
    </xf>
    <xf numFmtId="0" fontId="1" fillId="0" borderId="1" xfId="4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14" fontId="0" fillId="0" borderId="1" xfId="4" applyNumberFormat="1" applyFont="1" applyFill="1" applyBorder="1" applyAlignment="1">
      <alignment vertical="center" wrapText="1"/>
    </xf>
    <xf numFmtId="0" fontId="0" fillId="0" borderId="1" xfId="4" applyFont="1" applyFill="1" applyBorder="1" applyAlignment="1">
      <alignment vertical="center" wrapText="1"/>
    </xf>
  </cellXfs>
  <cellStyles count="7">
    <cellStyle name="Good" xfId="2" builtinId="26"/>
    <cellStyle name="Normal" xfId="0" builtinId="0"/>
    <cellStyle name="Normal 2" xfId="4" xr:uid="{72A0C9AC-5A39-49E7-83A8-4BC1600B4292}"/>
    <cellStyle name="Normal 2 2 2 2 2 2 2 2" xfId="5" xr:uid="{0DB69FD3-CF62-41E5-A8CB-19FC4C913A14}"/>
    <cellStyle name="Normal 4" xfId="6" xr:uid="{B728E8B1-3A59-49F5-86C6-E9423A6C2340}"/>
    <cellStyle name="Normal 5" xfId="3" xr:uid="{753C6BC0-684E-41C7-8774-D6C92616603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2"/>
                </a:solidFill>
              </a:rPr>
              <a:t>STATUT CELLS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000958863547284E-2"/>
          <c:y val="0.18898521827539522"/>
          <c:w val="0.95989804311485982"/>
          <c:h val="0.5080756110615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Rapport!$A$3</c:f>
              <c:strCache>
                <c:ptCount val="1"/>
                <c:pt idx="0">
                  <c:v>Nbre Cell Down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Rapport!$B$2:$U$2</c:f>
              <c:strCache>
                <c:ptCount val="20"/>
                <c:pt idx="0">
                  <c:v>01/06/2026 8h16</c:v>
                </c:pt>
                <c:pt idx="1">
                  <c:v>1/6/2026 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Rapport!$B$3:$U$3</c:f>
              <c:numCache>
                <c:formatCode>General</c:formatCode>
                <c:ptCount val="20"/>
                <c:pt idx="0">
                  <c:v>96</c:v>
                </c:pt>
                <c:pt idx="1">
                  <c:v>84</c:v>
                </c:pt>
                <c:pt idx="2">
                  <c:v>80</c:v>
                </c:pt>
                <c:pt idx="3">
                  <c:v>80</c:v>
                </c:pt>
                <c:pt idx="4">
                  <c:v>111</c:v>
                </c:pt>
                <c:pt idx="5">
                  <c:v>151</c:v>
                </c:pt>
                <c:pt idx="6">
                  <c:v>117</c:v>
                </c:pt>
                <c:pt idx="7">
                  <c:v>149</c:v>
                </c:pt>
                <c:pt idx="8">
                  <c:v>132</c:v>
                </c:pt>
                <c:pt idx="9">
                  <c:v>134</c:v>
                </c:pt>
                <c:pt idx="10">
                  <c:v>131</c:v>
                </c:pt>
                <c:pt idx="11">
                  <c:v>134</c:v>
                </c:pt>
                <c:pt idx="12">
                  <c:v>124</c:v>
                </c:pt>
                <c:pt idx="13">
                  <c:v>147</c:v>
                </c:pt>
                <c:pt idx="14">
                  <c:v>127</c:v>
                </c:pt>
                <c:pt idx="15">
                  <c:v>119</c:v>
                </c:pt>
                <c:pt idx="16">
                  <c:v>105</c:v>
                </c:pt>
                <c:pt idx="17">
                  <c:v>131</c:v>
                </c:pt>
                <c:pt idx="18">
                  <c:v>111</c:v>
                </c:pt>
                <c:pt idx="1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8-4C07-A6A8-63264A73C5A8}"/>
            </c:ext>
          </c:extLst>
        </c:ser>
        <c:ser>
          <c:idx val="1"/>
          <c:order val="1"/>
          <c:tx>
            <c:strRef>
              <c:f>Rapport!$A$4</c:f>
              <c:strCache>
                <c:ptCount val="1"/>
                <c:pt idx="0">
                  <c:v>Old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Rapport!$B$2:$U$2</c:f>
              <c:strCache>
                <c:ptCount val="20"/>
                <c:pt idx="0">
                  <c:v>01/06/2026 8h16</c:v>
                </c:pt>
                <c:pt idx="1">
                  <c:v>1/6/2026 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Rapport!$B$4:$U$4</c:f>
              <c:numCache>
                <c:formatCode>General</c:formatCode>
                <c:ptCount val="20"/>
                <c:pt idx="0">
                  <c:v>53</c:v>
                </c:pt>
                <c:pt idx="1">
                  <c:v>77</c:v>
                </c:pt>
                <c:pt idx="2">
                  <c:v>65</c:v>
                </c:pt>
                <c:pt idx="3">
                  <c:v>49</c:v>
                </c:pt>
                <c:pt idx="4">
                  <c:v>63</c:v>
                </c:pt>
                <c:pt idx="5">
                  <c:v>111</c:v>
                </c:pt>
                <c:pt idx="6">
                  <c:v>98</c:v>
                </c:pt>
                <c:pt idx="7">
                  <c:v>110</c:v>
                </c:pt>
                <c:pt idx="8">
                  <c:v>108</c:v>
                </c:pt>
                <c:pt idx="9">
                  <c:v>126</c:v>
                </c:pt>
                <c:pt idx="10">
                  <c:v>127</c:v>
                </c:pt>
                <c:pt idx="11">
                  <c:v>126</c:v>
                </c:pt>
                <c:pt idx="12">
                  <c:v>110</c:v>
                </c:pt>
                <c:pt idx="13">
                  <c:v>115</c:v>
                </c:pt>
                <c:pt idx="14">
                  <c:v>0</c:v>
                </c:pt>
                <c:pt idx="15">
                  <c:v>116</c:v>
                </c:pt>
                <c:pt idx="16">
                  <c:v>97</c:v>
                </c:pt>
                <c:pt idx="17">
                  <c:v>100</c:v>
                </c:pt>
                <c:pt idx="18">
                  <c:v>106</c:v>
                </c:pt>
                <c:pt idx="19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8-4C07-A6A8-63264A73C5A8}"/>
            </c:ext>
          </c:extLst>
        </c:ser>
        <c:ser>
          <c:idx val="2"/>
          <c:order val="2"/>
          <c:tx>
            <c:strRef>
              <c:f>Rapport!$A$5</c:f>
              <c:strCache>
                <c:ptCount val="1"/>
                <c:pt idx="0">
                  <c:v>New Cases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Rapport!$B$2:$U$2</c:f>
              <c:strCache>
                <c:ptCount val="20"/>
                <c:pt idx="0">
                  <c:v>01/06/2026 8h16</c:v>
                </c:pt>
                <c:pt idx="1">
                  <c:v>1/6/2026 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Rapport!$B$5:$U$5</c:f>
              <c:numCache>
                <c:formatCode>General</c:formatCode>
                <c:ptCount val="20"/>
                <c:pt idx="0">
                  <c:v>43</c:v>
                </c:pt>
                <c:pt idx="1">
                  <c:v>77</c:v>
                </c:pt>
                <c:pt idx="2">
                  <c:v>15</c:v>
                </c:pt>
                <c:pt idx="3">
                  <c:v>0</c:v>
                </c:pt>
                <c:pt idx="4">
                  <c:v>48</c:v>
                </c:pt>
                <c:pt idx="5">
                  <c:v>40</c:v>
                </c:pt>
                <c:pt idx="6">
                  <c:v>19</c:v>
                </c:pt>
                <c:pt idx="7">
                  <c:v>39</c:v>
                </c:pt>
                <c:pt idx="8">
                  <c:v>24</c:v>
                </c:pt>
                <c:pt idx="9">
                  <c:v>8</c:v>
                </c:pt>
                <c:pt idx="10">
                  <c:v>4</c:v>
                </c:pt>
                <c:pt idx="11">
                  <c:v>8</c:v>
                </c:pt>
                <c:pt idx="12">
                  <c:v>14</c:v>
                </c:pt>
                <c:pt idx="13">
                  <c:v>32</c:v>
                </c:pt>
                <c:pt idx="14">
                  <c:v>27</c:v>
                </c:pt>
                <c:pt idx="15">
                  <c:v>3</c:v>
                </c:pt>
                <c:pt idx="16">
                  <c:v>8</c:v>
                </c:pt>
                <c:pt idx="17">
                  <c:v>31</c:v>
                </c:pt>
                <c:pt idx="18">
                  <c:v>5</c:v>
                </c:pt>
                <c:pt idx="1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8-4C07-A6A8-63264A73C5A8}"/>
            </c:ext>
          </c:extLst>
        </c:ser>
        <c:ser>
          <c:idx val="3"/>
          <c:order val="3"/>
          <c:tx>
            <c:strRef>
              <c:f>Rapport!$A$6</c:f>
              <c:strCache>
                <c:ptCount val="1"/>
                <c:pt idx="0">
                  <c:v>Nbre Cell Down  Resolus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Rapport!$B$2:$U$2</c:f>
              <c:strCache>
                <c:ptCount val="20"/>
                <c:pt idx="0">
                  <c:v>01/06/2026 8h16</c:v>
                </c:pt>
                <c:pt idx="1">
                  <c:v>1/6/2026 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Rapport!$B$6:$U$6</c:f>
              <c:numCache>
                <c:formatCode>General</c:formatCode>
                <c:ptCount val="20"/>
                <c:pt idx="0">
                  <c:v>20</c:v>
                </c:pt>
                <c:pt idx="1">
                  <c:v>74</c:v>
                </c:pt>
                <c:pt idx="2">
                  <c:v>31</c:v>
                </c:pt>
                <c:pt idx="3">
                  <c:v>17</c:v>
                </c:pt>
                <c:pt idx="4">
                  <c:v>15</c:v>
                </c:pt>
                <c:pt idx="5">
                  <c:v>35</c:v>
                </c:pt>
                <c:pt idx="6">
                  <c:v>22</c:v>
                </c:pt>
                <c:pt idx="7">
                  <c:v>41</c:v>
                </c:pt>
                <c:pt idx="8">
                  <c:v>5</c:v>
                </c:pt>
                <c:pt idx="9">
                  <c:v>4</c:v>
                </c:pt>
                <c:pt idx="10">
                  <c:v>7</c:v>
                </c:pt>
                <c:pt idx="11">
                  <c:v>13</c:v>
                </c:pt>
                <c:pt idx="12">
                  <c:v>10</c:v>
                </c:pt>
                <c:pt idx="13">
                  <c:v>47</c:v>
                </c:pt>
                <c:pt idx="14">
                  <c:v>17</c:v>
                </c:pt>
                <c:pt idx="15">
                  <c:v>6</c:v>
                </c:pt>
                <c:pt idx="16">
                  <c:v>5</c:v>
                </c:pt>
                <c:pt idx="17">
                  <c:v>27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D8-4C07-A6A8-63264A73C5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9429072"/>
        <c:axId val="1469424496"/>
      </c:barChart>
      <c:lineChart>
        <c:grouping val="standard"/>
        <c:varyColors val="0"/>
        <c:ser>
          <c:idx val="4"/>
          <c:order val="4"/>
          <c:tx>
            <c:strRef>
              <c:f>Rapport!$A$7</c:f>
              <c:strCache>
                <c:ptCount val="1"/>
                <c:pt idx="0">
                  <c:v>Taux de Resolution 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16-4EA8-9DA4-BA6D12E09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Rapport!$B$2:$U$2</c:f>
              <c:strCache>
                <c:ptCount val="20"/>
                <c:pt idx="0">
                  <c:v>01/06/2026 8h16</c:v>
                </c:pt>
                <c:pt idx="1">
                  <c:v>1/6/2026 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Rapport!$B$7:$U$7</c:f>
              <c:numCache>
                <c:formatCode>0%</c:formatCode>
                <c:ptCount val="20"/>
                <c:pt idx="0">
                  <c:v>0.20833333333333334</c:v>
                </c:pt>
                <c:pt idx="1">
                  <c:v>0.88095238095238093</c:v>
                </c:pt>
                <c:pt idx="2">
                  <c:v>0.38750000000000001</c:v>
                </c:pt>
                <c:pt idx="3">
                  <c:v>0.21249999999999999</c:v>
                </c:pt>
                <c:pt idx="4">
                  <c:v>0.13513513513513514</c:v>
                </c:pt>
                <c:pt idx="5">
                  <c:v>0.23178807947019867</c:v>
                </c:pt>
                <c:pt idx="6">
                  <c:v>0.18803418803418803</c:v>
                </c:pt>
                <c:pt idx="7">
                  <c:v>0.27516778523489932</c:v>
                </c:pt>
                <c:pt idx="8">
                  <c:v>3.787878787878788E-2</c:v>
                </c:pt>
                <c:pt idx="9">
                  <c:v>2.9850746268656716E-2</c:v>
                </c:pt>
                <c:pt idx="10">
                  <c:v>5.3435114503816793E-2</c:v>
                </c:pt>
                <c:pt idx="11">
                  <c:v>9.7014925373134331E-2</c:v>
                </c:pt>
                <c:pt idx="12">
                  <c:v>8.0645161290322578E-2</c:v>
                </c:pt>
                <c:pt idx="13">
                  <c:v>0.31972789115646261</c:v>
                </c:pt>
                <c:pt idx="14">
                  <c:v>0.13385826771653545</c:v>
                </c:pt>
                <c:pt idx="15">
                  <c:v>5.0420168067226892E-2</c:v>
                </c:pt>
                <c:pt idx="16">
                  <c:v>4.7619047619047616E-2</c:v>
                </c:pt>
                <c:pt idx="17">
                  <c:v>0.20610687022900764</c:v>
                </c:pt>
                <c:pt idx="18">
                  <c:v>4.5045045045045043E-2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D8-4C07-A6A8-63264A73C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25663"/>
        <c:axId val="383223263"/>
      </c:lineChart>
      <c:catAx>
        <c:axId val="14694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24496"/>
        <c:crosses val="autoZero"/>
        <c:auto val="1"/>
        <c:lblAlgn val="ctr"/>
        <c:lblOffset val="100"/>
        <c:noMultiLvlLbl val="0"/>
      </c:catAx>
      <c:valAx>
        <c:axId val="14694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29072"/>
        <c:crosses val="autoZero"/>
        <c:crossBetween val="between"/>
      </c:valAx>
      <c:valAx>
        <c:axId val="38322326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25663"/>
        <c:crosses val="max"/>
        <c:crossBetween val="between"/>
      </c:valAx>
      <c:catAx>
        <c:axId val="383225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22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09443018517719"/>
          <c:y val="0.89905614305096215"/>
          <c:w val="0.62867276178828935"/>
          <c:h val="9.3106479135003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accent2"/>
                </a:solidFill>
                <a:effectLst/>
              </a:rPr>
              <a:t>CELLS IMPACTEES PAR POWER ISSUE</a:t>
            </a:r>
            <a:endParaRPr lang="en-US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40872761626801E-2"/>
          <c:y val="0.26212652752375426"/>
          <c:w val="0.95650674421208526"/>
          <c:h val="0.52367391426906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Rapport!$A$21</c:f>
              <c:strCache>
                <c:ptCount val="1"/>
                <c:pt idx="0">
                  <c:v>IHS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Rapport!$B$20:$U$20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Rapport!$B$21:$U$21</c:f>
              <c:numCache>
                <c:formatCode>General</c:formatCode>
                <c:ptCount val="20"/>
                <c:pt idx="0">
                  <c:v>17</c:v>
                </c:pt>
                <c:pt idx="1">
                  <c:v>11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4-4D3F-B6A9-B2802611C63A}"/>
            </c:ext>
          </c:extLst>
        </c:ser>
        <c:ser>
          <c:idx val="1"/>
          <c:order val="1"/>
          <c:tx>
            <c:strRef>
              <c:f>Rapport!$A$22</c:f>
              <c:strCache>
                <c:ptCount val="1"/>
                <c:pt idx="0">
                  <c:v>Camusat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Rapport!$B$20:$U$20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Rapport!$B$22:$U$22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49D4-4D3F-B6A9-B2802611C63A}"/>
            </c:ext>
          </c:extLst>
        </c:ser>
        <c:ser>
          <c:idx val="2"/>
          <c:order val="2"/>
          <c:tx>
            <c:strRef>
              <c:f>Rapport!$A$23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Rapport!$B$20:$U$20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Rapport!$B$23:$U$23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2-49D4-4D3F-B6A9-B2802611C63A}"/>
            </c:ext>
          </c:extLst>
        </c:ser>
        <c:ser>
          <c:idx val="3"/>
          <c:order val="3"/>
          <c:tx>
            <c:strRef>
              <c:f>Rapport!$A$24</c:f>
              <c:strCache>
                <c:ptCount val="1"/>
                <c:pt idx="0">
                  <c:v>OCM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Rapport!$B$20:$U$20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Rapport!$B$24:$U$24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4DEC-4557-A9E7-E54AAFC1E5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9477328"/>
        <c:axId val="1469459440"/>
      </c:barChart>
      <c:catAx>
        <c:axId val="14694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59440"/>
        <c:crosses val="autoZero"/>
        <c:auto val="1"/>
        <c:lblAlgn val="ctr"/>
        <c:lblOffset val="100"/>
        <c:noMultiLvlLbl val="0"/>
      </c:catAx>
      <c:valAx>
        <c:axId val="14694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accent2"/>
                </a:solidFill>
                <a:effectLst/>
              </a:rPr>
              <a:t>CELLS </a:t>
            </a: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  <a:latin typeface="+mn-lt"/>
                <a:ea typeface="+mn-ea"/>
                <a:cs typeface="+mn-cs"/>
              </a:rPr>
              <a:t>IMPACTEES</a:t>
            </a:r>
            <a:r>
              <a:rPr lang="en-US" sz="1800" b="1" i="0" baseline="0">
                <a:solidFill>
                  <a:schemeClr val="accent2"/>
                </a:solidFill>
                <a:effectLst/>
              </a:rPr>
              <a:t> PAR LES SPARES</a:t>
            </a:r>
            <a:endParaRPr lang="en-US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700250426518114E-2"/>
          <c:y val="0.23749613001553313"/>
          <c:w val="0.95829974957348185"/>
          <c:h val="0.58461214450953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Rapport!$A$28</c:f>
              <c:strCache>
                <c:ptCount val="1"/>
                <c:pt idx="0">
                  <c:v>HW SPMS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Rapport!$B$27:$U$27</c:f>
              <c:strCache>
                <c:ptCount val="20"/>
                <c:pt idx="0">
                  <c:v>01/06/2026 8h16</c:v>
                </c:pt>
                <c:pt idx="1">
                  <c:v>1/6/2026  13h 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Rapport!$B$28:$U$28</c:f>
              <c:numCache>
                <c:formatCode>General</c:formatCode>
                <c:ptCount val="20"/>
                <c:pt idx="0">
                  <c:v>3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27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25</c:v>
                </c:pt>
                <c:pt idx="10">
                  <c:v>25</c:v>
                </c:pt>
                <c:pt idx="11">
                  <c:v>23</c:v>
                </c:pt>
                <c:pt idx="12">
                  <c:v>25</c:v>
                </c:pt>
                <c:pt idx="13">
                  <c:v>25</c:v>
                </c:pt>
                <c:pt idx="14">
                  <c:v>27</c:v>
                </c:pt>
                <c:pt idx="15">
                  <c:v>14</c:v>
                </c:pt>
                <c:pt idx="16">
                  <c:v>15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E-4964-B291-DE2BCEDA6B36}"/>
            </c:ext>
          </c:extLst>
        </c:ser>
        <c:ser>
          <c:idx val="1"/>
          <c:order val="1"/>
          <c:tx>
            <c:strRef>
              <c:f>Rapport!$A$29</c:f>
              <c:strCache>
                <c:ptCount val="1"/>
                <c:pt idx="0">
                  <c:v>OCM SPMS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Rapport!$B$27:$U$27</c:f>
              <c:strCache>
                <c:ptCount val="20"/>
                <c:pt idx="0">
                  <c:v>01/06/2026 8h16</c:v>
                </c:pt>
                <c:pt idx="1">
                  <c:v>1/6/2026  13h 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Rapport!$B$29:$U$29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D-46AC-8BE8-4BB370E5D2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781872"/>
        <c:axId val="1333773968"/>
      </c:barChart>
      <c:catAx>
        <c:axId val="133378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73968"/>
        <c:crosses val="autoZero"/>
        <c:auto val="1"/>
        <c:lblAlgn val="ctr"/>
        <c:lblOffset val="100"/>
        <c:noMultiLvlLbl val="0"/>
      </c:catAx>
      <c:valAx>
        <c:axId val="13337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8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rPr>
              <a:t>STATUT CELLS PAR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Rapport!$A$12</c:f>
              <c:strCache>
                <c:ptCount val="1"/>
                <c:pt idx="0">
                  <c:v>FME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Rapport!$B$12:$U$12</c:f>
              <c:numCache>
                <c:formatCode>General</c:formatCode>
                <c:ptCount val="20"/>
                <c:pt idx="0">
                  <c:v>47</c:v>
                </c:pt>
                <c:pt idx="1">
                  <c:v>46</c:v>
                </c:pt>
                <c:pt idx="2">
                  <c:v>56</c:v>
                </c:pt>
                <c:pt idx="3">
                  <c:v>61</c:v>
                </c:pt>
                <c:pt idx="4">
                  <c:v>98</c:v>
                </c:pt>
                <c:pt idx="5">
                  <c:v>99</c:v>
                </c:pt>
                <c:pt idx="6">
                  <c:v>88</c:v>
                </c:pt>
                <c:pt idx="7">
                  <c:v>111</c:v>
                </c:pt>
                <c:pt idx="8">
                  <c:v>77</c:v>
                </c:pt>
                <c:pt idx="9">
                  <c:v>75</c:v>
                </c:pt>
                <c:pt idx="10">
                  <c:v>82</c:v>
                </c:pt>
                <c:pt idx="11">
                  <c:v>85</c:v>
                </c:pt>
                <c:pt idx="12">
                  <c:v>76</c:v>
                </c:pt>
                <c:pt idx="13">
                  <c:v>102</c:v>
                </c:pt>
                <c:pt idx="14">
                  <c:v>76</c:v>
                </c:pt>
                <c:pt idx="15">
                  <c:v>93</c:v>
                </c:pt>
                <c:pt idx="16">
                  <c:v>77</c:v>
                </c:pt>
                <c:pt idx="17">
                  <c:v>92</c:v>
                </c:pt>
                <c:pt idx="18">
                  <c:v>85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1-4AB4-B002-C813C3C01815}"/>
            </c:ext>
          </c:extLst>
        </c:ser>
        <c:ser>
          <c:idx val="2"/>
          <c:order val="2"/>
          <c:tx>
            <c:strRef>
              <c:f>Rapport!$A$13</c:f>
              <c:strCache>
                <c:ptCount val="1"/>
                <c:pt idx="0">
                  <c:v>BO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Rapport!$B$13:$U$13</c:f>
              <c:numCache>
                <c:formatCode>General</c:formatCode>
                <c:ptCount val="20"/>
                <c:pt idx="0">
                  <c:v>27</c:v>
                </c:pt>
                <c:pt idx="1">
                  <c:v>68</c:v>
                </c:pt>
                <c:pt idx="2">
                  <c:v>11</c:v>
                </c:pt>
                <c:pt idx="3">
                  <c:v>9</c:v>
                </c:pt>
                <c:pt idx="5">
                  <c:v>16</c:v>
                </c:pt>
                <c:pt idx="6">
                  <c:v>45</c:v>
                </c:pt>
                <c:pt idx="7">
                  <c:v>11</c:v>
                </c:pt>
                <c:pt idx="8">
                  <c:v>19</c:v>
                </c:pt>
                <c:pt idx="9">
                  <c:v>16</c:v>
                </c:pt>
                <c:pt idx="10">
                  <c:v>7</c:v>
                </c:pt>
                <c:pt idx="11">
                  <c:v>8</c:v>
                </c:pt>
                <c:pt idx="12">
                  <c:v>5</c:v>
                </c:pt>
                <c:pt idx="13">
                  <c:v>2</c:v>
                </c:pt>
                <c:pt idx="14">
                  <c:v>23</c:v>
                </c:pt>
                <c:pt idx="15">
                  <c:v>2</c:v>
                </c:pt>
                <c:pt idx="16">
                  <c:v>3</c:v>
                </c:pt>
                <c:pt idx="17">
                  <c:v>14</c:v>
                </c:pt>
                <c:pt idx="18">
                  <c:v>2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71-4AB4-B002-C813C3C01815}"/>
            </c:ext>
          </c:extLst>
        </c:ser>
        <c:ser>
          <c:idx val="3"/>
          <c:order val="3"/>
          <c:tx>
            <c:strRef>
              <c:f>Rapport!$A$14</c:f>
              <c:strCache>
                <c:ptCount val="1"/>
                <c:pt idx="0">
                  <c:v>PowerCO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Rapport!$B$14:$U$14</c:f>
              <c:numCache>
                <c:formatCode>General</c:formatCode>
                <c:ptCount val="20"/>
                <c:pt idx="0">
                  <c:v>17</c:v>
                </c:pt>
                <c:pt idx="1">
                  <c:v>11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71-4AB4-B002-C813C3C01815}"/>
            </c:ext>
          </c:extLst>
        </c:ser>
        <c:ser>
          <c:idx val="4"/>
          <c:order val="4"/>
          <c:tx>
            <c:strRef>
              <c:f>Rapport!$A$15</c:f>
              <c:strCache>
                <c:ptCount val="1"/>
                <c:pt idx="0">
                  <c:v>SPARES (HW SPMS &amp; OCM SPMS)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Rapport!$B$15:$U$15</c:f>
              <c:numCache>
                <c:formatCode>General</c:formatCode>
                <c:ptCount val="20"/>
                <c:pt idx="0">
                  <c:v>5</c:v>
                </c:pt>
                <c:pt idx="1">
                  <c:v>24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27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25</c:v>
                </c:pt>
                <c:pt idx="10">
                  <c:v>25</c:v>
                </c:pt>
                <c:pt idx="11">
                  <c:v>23</c:v>
                </c:pt>
                <c:pt idx="12">
                  <c:v>25</c:v>
                </c:pt>
                <c:pt idx="13">
                  <c:v>25</c:v>
                </c:pt>
                <c:pt idx="14">
                  <c:v>27</c:v>
                </c:pt>
                <c:pt idx="15">
                  <c:v>14</c:v>
                </c:pt>
                <c:pt idx="16">
                  <c:v>15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71-4AB4-B002-C813C3C018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3049311"/>
        <c:axId val="1333052671"/>
      </c:barChart>
      <c:lineChart>
        <c:grouping val="standard"/>
        <c:varyColors val="0"/>
        <c:ser>
          <c:idx val="0"/>
          <c:order val="0"/>
          <c:tx>
            <c:strRef>
              <c:f>Rapport!$A$11</c:f>
              <c:strCache>
                <c:ptCount val="1"/>
                <c:pt idx="0">
                  <c:v>Nbre Cell Down</c:v>
                </c:pt>
              </c:strCache>
            </c:strRef>
          </c:tx>
          <c:spPr>
            <a:ln w="444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Rapport!$B$11:$U$11</c:f>
              <c:numCache>
                <c:formatCode>General</c:formatCode>
                <c:ptCount val="20"/>
                <c:pt idx="0">
                  <c:v>96</c:v>
                </c:pt>
                <c:pt idx="1">
                  <c:v>84</c:v>
                </c:pt>
                <c:pt idx="2">
                  <c:v>80</c:v>
                </c:pt>
                <c:pt idx="3">
                  <c:v>80</c:v>
                </c:pt>
                <c:pt idx="4">
                  <c:v>111</c:v>
                </c:pt>
                <c:pt idx="5">
                  <c:v>151</c:v>
                </c:pt>
                <c:pt idx="6">
                  <c:v>117</c:v>
                </c:pt>
                <c:pt idx="7">
                  <c:v>149</c:v>
                </c:pt>
                <c:pt idx="8">
                  <c:v>132</c:v>
                </c:pt>
                <c:pt idx="9">
                  <c:v>134</c:v>
                </c:pt>
                <c:pt idx="10">
                  <c:v>131</c:v>
                </c:pt>
                <c:pt idx="11">
                  <c:v>134</c:v>
                </c:pt>
                <c:pt idx="12">
                  <c:v>124</c:v>
                </c:pt>
                <c:pt idx="13">
                  <c:v>147</c:v>
                </c:pt>
                <c:pt idx="14">
                  <c:v>127</c:v>
                </c:pt>
                <c:pt idx="15">
                  <c:v>119</c:v>
                </c:pt>
                <c:pt idx="16">
                  <c:v>105</c:v>
                </c:pt>
                <c:pt idx="17">
                  <c:v>131</c:v>
                </c:pt>
                <c:pt idx="18">
                  <c:v>111</c:v>
                </c:pt>
                <c:pt idx="19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1-4AB4-B002-C813C3C01815}"/>
            </c:ext>
          </c:extLst>
        </c:ser>
        <c:ser>
          <c:idx val="5"/>
          <c:order val="5"/>
          <c:tx>
            <c:strRef>
              <c:f>Rapport!$A$16</c:f>
              <c:strCache>
                <c:ptCount val="1"/>
                <c:pt idx="0">
                  <c:v>OCM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Rapport!$B$10:$U$10</c:f>
              <c:strCache>
                <c:ptCount val="20"/>
                <c:pt idx="0">
                  <c:v>01/06/2026 8h16</c:v>
                </c:pt>
                <c:pt idx="1">
                  <c:v>1/6/2026  13h</c:v>
                </c:pt>
                <c:pt idx="2">
                  <c:v>1/6/2026   17h03</c:v>
                </c:pt>
                <c:pt idx="3">
                  <c:v>2/6/2026   8h14</c:v>
                </c:pt>
                <c:pt idx="4">
                  <c:v>2/6/2026   13h25</c:v>
                </c:pt>
                <c:pt idx="5">
                  <c:v>2/6/2026   17h07</c:v>
                </c:pt>
                <c:pt idx="6">
                  <c:v>3/6/2026   8h20</c:v>
                </c:pt>
                <c:pt idx="7">
                  <c:v>3/06/2026 13h</c:v>
                </c:pt>
                <c:pt idx="8">
                  <c:v>3/06/2026 16h</c:v>
                </c:pt>
                <c:pt idx="9">
                  <c:v>4/06/2026  8h37</c:v>
                </c:pt>
                <c:pt idx="10">
                  <c:v>4/06/2026  12h46</c:v>
                </c:pt>
                <c:pt idx="11">
                  <c:v>4/06/2026  17h04</c:v>
                </c:pt>
                <c:pt idx="12">
                  <c:v>5/06/2026  8h40</c:v>
                </c:pt>
                <c:pt idx="13">
                  <c:v>5/06/2026  13h02</c:v>
                </c:pt>
                <c:pt idx="14">
                  <c:v>5/06/2026  17h38 </c:v>
                </c:pt>
                <c:pt idx="15">
                  <c:v>6/06/2026 8h45</c:v>
                </c:pt>
                <c:pt idx="16">
                  <c:v>6/06/2026    13h15</c:v>
                </c:pt>
                <c:pt idx="17">
                  <c:v>6/06/2026    16h35</c:v>
                </c:pt>
                <c:pt idx="18">
                  <c:v>07062026 9h35</c:v>
                </c:pt>
                <c:pt idx="19">
                  <c:v>07062026 13h27</c:v>
                </c:pt>
              </c:strCache>
            </c:strRef>
          </c:cat>
          <c:val>
            <c:numRef>
              <c:f>Rapport!$B$16:$U$16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B-482C-B1FE-CD0BD8E019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0987935"/>
        <c:axId val="1350989855"/>
      </c:lineChart>
      <c:catAx>
        <c:axId val="133304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52671"/>
        <c:crosses val="autoZero"/>
        <c:auto val="1"/>
        <c:lblAlgn val="ctr"/>
        <c:lblOffset val="100"/>
        <c:noMultiLvlLbl val="0"/>
      </c:catAx>
      <c:valAx>
        <c:axId val="133305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49311"/>
        <c:crosses val="autoZero"/>
        <c:crossBetween val="between"/>
      </c:valAx>
      <c:valAx>
        <c:axId val="13509898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87935"/>
        <c:crosses val="max"/>
        <c:crossBetween val="between"/>
      </c:valAx>
      <c:catAx>
        <c:axId val="1350987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0989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4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Cells Down NOKIA Trend With Sragnants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23137168631747E-2"/>
          <c:y val="0.2893940833632449"/>
          <c:w val="0.910934950066839"/>
          <c:h val="0.34207641055916332"/>
        </c:manualLayout>
      </c:layout>
      <c:lineChart>
        <c:grouping val="standard"/>
        <c:varyColors val="0"/>
        <c:ser>
          <c:idx val="1"/>
          <c:order val="1"/>
          <c:tx>
            <c:strRef>
              <c:f>'TREND Cell Nokia'!$D$3</c:f>
              <c:strCache>
                <c:ptCount val="1"/>
                <c:pt idx="0">
                  <c:v>UP</c:v>
                </c:pt>
              </c:strCache>
            </c:strRef>
          </c:tx>
          <c:spPr>
            <a:ln w="4127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'TREND Cell Nokia'!$A$1609:$A$1640</c:f>
              <c:strCache>
                <c:ptCount val="32"/>
                <c:pt idx="0">
                  <c:v>26/05/2026 12h05</c:v>
                </c:pt>
                <c:pt idx="1">
                  <c:v>27/05/2026 9h</c:v>
                </c:pt>
                <c:pt idx="2">
                  <c:v>28/05/2026 8h10</c:v>
                </c:pt>
                <c:pt idx="3">
                  <c:v>28/05/2026 13h53</c:v>
                </c:pt>
                <c:pt idx="4">
                  <c:v>28/05/2026 17h38</c:v>
                </c:pt>
                <c:pt idx="5">
                  <c:v>29/05/2026 8H30</c:v>
                </c:pt>
                <c:pt idx="6">
                  <c:v>29/05/2026 14H17</c:v>
                </c:pt>
                <c:pt idx="7">
                  <c:v>29/05/2026 18H </c:v>
                </c:pt>
                <c:pt idx="8">
                  <c:v>30/05/2026 8h47</c:v>
                </c:pt>
                <c:pt idx="9">
                  <c:v>30/05/2026 13h12</c:v>
                </c:pt>
                <c:pt idx="10">
                  <c:v>30/05/2026 16h</c:v>
                </c:pt>
                <c:pt idx="11">
                  <c:v>31/05/2026 9h35</c:v>
                </c:pt>
                <c:pt idx="12">
                  <c:v>1/6/2026 8h16</c:v>
                </c:pt>
                <c:pt idx="13">
                  <c:v>1/6/2026 13h</c:v>
                </c:pt>
                <c:pt idx="14">
                  <c:v>1/6/2026 17h03</c:v>
                </c:pt>
                <c:pt idx="15">
                  <c:v>2/6/2026 8h14</c:v>
                </c:pt>
                <c:pt idx="16">
                  <c:v>2/6/2026 13h25</c:v>
                </c:pt>
                <c:pt idx="17">
                  <c:v>2/6/2026 17h07</c:v>
                </c:pt>
                <c:pt idx="18">
                  <c:v>3/6/2026 8h20</c:v>
                </c:pt>
                <c:pt idx="19">
                  <c:v>3/6/2026 13h</c:v>
                </c:pt>
                <c:pt idx="20">
                  <c:v>3/6/2026 16h27</c:v>
                </c:pt>
                <c:pt idx="21">
                  <c:v>4/6/2026 8h37</c:v>
                </c:pt>
                <c:pt idx="22">
                  <c:v>04/06/2026 12h46</c:v>
                </c:pt>
                <c:pt idx="23">
                  <c:v>04/06/2026 17h04</c:v>
                </c:pt>
                <c:pt idx="24">
                  <c:v>05/06/2026  8h40</c:v>
                </c:pt>
                <c:pt idx="25">
                  <c:v>05/06/2026  13h02</c:v>
                </c:pt>
                <c:pt idx="26">
                  <c:v>05/06/2026  17h38</c:v>
                </c:pt>
                <c:pt idx="27">
                  <c:v>06/06/2026  8h45</c:v>
                </c:pt>
                <c:pt idx="28">
                  <c:v>06/06/2026  13h15</c:v>
                </c:pt>
                <c:pt idx="29">
                  <c:v>06/06/2026  16h35</c:v>
                </c:pt>
                <c:pt idx="30">
                  <c:v>07/06/2026  9h35</c:v>
                </c:pt>
                <c:pt idx="31">
                  <c:v>07/06/2026  13h27</c:v>
                </c:pt>
              </c:strCache>
            </c:strRef>
          </c:cat>
          <c:val>
            <c:numRef>
              <c:f>'TREND Cell Nokia'!$D$1609:$D$1640</c:f>
              <c:numCache>
                <c:formatCode>General</c:formatCode>
                <c:ptCount val="32"/>
                <c:pt idx="0">
                  <c:v>80</c:v>
                </c:pt>
                <c:pt idx="1">
                  <c:v>26</c:v>
                </c:pt>
                <c:pt idx="2">
                  <c:v>23</c:v>
                </c:pt>
                <c:pt idx="3">
                  <c:v>13</c:v>
                </c:pt>
                <c:pt idx="4">
                  <c:v>6</c:v>
                </c:pt>
                <c:pt idx="5">
                  <c:v>37</c:v>
                </c:pt>
                <c:pt idx="6">
                  <c:v>5</c:v>
                </c:pt>
                <c:pt idx="7">
                  <c:v>31</c:v>
                </c:pt>
                <c:pt idx="8">
                  <c:v>22</c:v>
                </c:pt>
                <c:pt idx="9">
                  <c:v>13</c:v>
                </c:pt>
                <c:pt idx="10">
                  <c:v>25</c:v>
                </c:pt>
                <c:pt idx="11">
                  <c:v>30</c:v>
                </c:pt>
                <c:pt idx="12">
                  <c:v>26</c:v>
                </c:pt>
                <c:pt idx="13">
                  <c:v>20</c:v>
                </c:pt>
                <c:pt idx="14">
                  <c:v>4</c:v>
                </c:pt>
                <c:pt idx="15">
                  <c:v>31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22</c:v>
                </c:pt>
                <c:pt idx="20">
                  <c:v>41</c:v>
                </c:pt>
                <c:pt idx="21">
                  <c:v>5</c:v>
                </c:pt>
                <c:pt idx="22">
                  <c:v>7</c:v>
                </c:pt>
                <c:pt idx="23">
                  <c:v>3</c:v>
                </c:pt>
                <c:pt idx="24">
                  <c:v>3</c:v>
                </c:pt>
                <c:pt idx="25">
                  <c:v>13</c:v>
                </c:pt>
                <c:pt idx="26">
                  <c:v>13</c:v>
                </c:pt>
                <c:pt idx="27">
                  <c:v>5</c:v>
                </c:pt>
                <c:pt idx="28">
                  <c:v>5</c:v>
                </c:pt>
                <c:pt idx="29">
                  <c:v>47</c:v>
                </c:pt>
                <c:pt idx="30">
                  <c:v>5</c:v>
                </c:pt>
                <c:pt idx="3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7-4179-8070-28E1BD348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375376"/>
        <c:axId val="1978373456"/>
      </c:lineChart>
      <c:lineChart>
        <c:grouping val="standard"/>
        <c:varyColors val="0"/>
        <c:ser>
          <c:idx val="0"/>
          <c:order val="0"/>
          <c:tx>
            <c:strRef>
              <c:f>'TREND Cell Nokia'!$C$3</c:f>
              <c:strCache>
                <c:ptCount val="1"/>
                <c:pt idx="0">
                  <c:v>NEW CASE</c:v>
                </c:pt>
              </c:strCache>
            </c:strRef>
          </c:tx>
          <c:spPr>
            <a:ln w="44450" cap="rnd">
              <a:solidFill>
                <a:srgbClr val="0070C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'TREND Cell Nokia'!$A$1609:$A$1640</c:f>
              <c:strCache>
                <c:ptCount val="32"/>
                <c:pt idx="0">
                  <c:v>26/05/2026 12h05</c:v>
                </c:pt>
                <c:pt idx="1">
                  <c:v>27/05/2026 9h</c:v>
                </c:pt>
                <c:pt idx="2">
                  <c:v>28/05/2026 8h10</c:v>
                </c:pt>
                <c:pt idx="3">
                  <c:v>28/05/2026 13h53</c:v>
                </c:pt>
                <c:pt idx="4">
                  <c:v>28/05/2026 17h38</c:v>
                </c:pt>
                <c:pt idx="5">
                  <c:v>29/05/2026 8H30</c:v>
                </c:pt>
                <c:pt idx="6">
                  <c:v>29/05/2026 14H17</c:v>
                </c:pt>
                <c:pt idx="7">
                  <c:v>29/05/2026 18H </c:v>
                </c:pt>
                <c:pt idx="8">
                  <c:v>30/05/2026 8h47</c:v>
                </c:pt>
                <c:pt idx="9">
                  <c:v>30/05/2026 13h12</c:v>
                </c:pt>
                <c:pt idx="10">
                  <c:v>30/05/2026 16h</c:v>
                </c:pt>
                <c:pt idx="11">
                  <c:v>31/05/2026 9h35</c:v>
                </c:pt>
                <c:pt idx="12">
                  <c:v>1/6/2026 8h16</c:v>
                </c:pt>
                <c:pt idx="13">
                  <c:v>1/6/2026 13h</c:v>
                </c:pt>
                <c:pt idx="14">
                  <c:v>1/6/2026 17h03</c:v>
                </c:pt>
                <c:pt idx="15">
                  <c:v>2/6/2026 8h14</c:v>
                </c:pt>
                <c:pt idx="16">
                  <c:v>2/6/2026 13h25</c:v>
                </c:pt>
                <c:pt idx="17">
                  <c:v>2/6/2026 17h07</c:v>
                </c:pt>
                <c:pt idx="18">
                  <c:v>3/6/2026 8h20</c:v>
                </c:pt>
                <c:pt idx="19">
                  <c:v>3/6/2026 13h</c:v>
                </c:pt>
                <c:pt idx="20">
                  <c:v>3/6/2026 16h27</c:v>
                </c:pt>
                <c:pt idx="21">
                  <c:v>4/6/2026 8h37</c:v>
                </c:pt>
                <c:pt idx="22">
                  <c:v>04/06/2026 12h46</c:v>
                </c:pt>
                <c:pt idx="23">
                  <c:v>04/06/2026 17h04</c:v>
                </c:pt>
                <c:pt idx="24">
                  <c:v>05/06/2026  8h40</c:v>
                </c:pt>
                <c:pt idx="25">
                  <c:v>05/06/2026  13h02</c:v>
                </c:pt>
                <c:pt idx="26">
                  <c:v>05/06/2026  17h38</c:v>
                </c:pt>
                <c:pt idx="27">
                  <c:v>06/06/2026  8h45</c:v>
                </c:pt>
                <c:pt idx="28">
                  <c:v>06/06/2026  13h15</c:v>
                </c:pt>
                <c:pt idx="29">
                  <c:v>06/06/2026  16h35</c:v>
                </c:pt>
                <c:pt idx="30">
                  <c:v>07/06/2026  9h35</c:v>
                </c:pt>
                <c:pt idx="31">
                  <c:v>07/06/2026  13h27</c:v>
                </c:pt>
              </c:strCache>
            </c:strRef>
          </c:cat>
          <c:val>
            <c:numRef>
              <c:f>'TREND Cell Nokia'!$C$1609:$C$1640</c:f>
              <c:numCache>
                <c:formatCode>General</c:formatCode>
                <c:ptCount val="32"/>
                <c:pt idx="0">
                  <c:v>16</c:v>
                </c:pt>
                <c:pt idx="1">
                  <c:v>33</c:v>
                </c:pt>
                <c:pt idx="2">
                  <c:v>40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  <c:pt idx="6">
                  <c:v>9</c:v>
                </c:pt>
                <c:pt idx="7">
                  <c:v>22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17</c:v>
                </c:pt>
                <c:pt idx="12">
                  <c:v>37</c:v>
                </c:pt>
                <c:pt idx="13">
                  <c:v>7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80</c:v>
                </c:pt>
                <c:pt idx="18">
                  <c:v>80</c:v>
                </c:pt>
                <c:pt idx="19">
                  <c:v>39</c:v>
                </c:pt>
                <c:pt idx="20">
                  <c:v>80</c:v>
                </c:pt>
                <c:pt idx="21">
                  <c:v>80</c:v>
                </c:pt>
                <c:pt idx="22">
                  <c:v>4</c:v>
                </c:pt>
                <c:pt idx="23">
                  <c:v>8</c:v>
                </c:pt>
                <c:pt idx="24">
                  <c:v>8</c:v>
                </c:pt>
                <c:pt idx="25">
                  <c:v>14</c:v>
                </c:pt>
                <c:pt idx="26">
                  <c:v>14</c:v>
                </c:pt>
                <c:pt idx="27">
                  <c:v>31</c:v>
                </c:pt>
                <c:pt idx="28">
                  <c:v>31</c:v>
                </c:pt>
                <c:pt idx="29">
                  <c:v>27</c:v>
                </c:pt>
                <c:pt idx="30">
                  <c:v>31</c:v>
                </c:pt>
                <c:pt idx="3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7-4179-8070-28E1BD3482F9}"/>
            </c:ext>
          </c:extLst>
        </c:ser>
        <c:ser>
          <c:idx val="2"/>
          <c:order val="2"/>
          <c:tx>
            <c:strRef>
              <c:f>'TREND Cell Nokia'!$E$3</c:f>
              <c:strCache>
                <c:ptCount val="1"/>
                <c:pt idx="0">
                  <c:v>ONGOING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'TREND Cell Nokia'!$A$1609:$A$1640</c:f>
              <c:strCache>
                <c:ptCount val="32"/>
                <c:pt idx="0">
                  <c:v>26/05/2026 12h05</c:v>
                </c:pt>
                <c:pt idx="1">
                  <c:v>27/05/2026 9h</c:v>
                </c:pt>
                <c:pt idx="2">
                  <c:v>28/05/2026 8h10</c:v>
                </c:pt>
                <c:pt idx="3">
                  <c:v>28/05/2026 13h53</c:v>
                </c:pt>
                <c:pt idx="4">
                  <c:v>28/05/2026 17h38</c:v>
                </c:pt>
                <c:pt idx="5">
                  <c:v>29/05/2026 8H30</c:v>
                </c:pt>
                <c:pt idx="6">
                  <c:v>29/05/2026 14H17</c:v>
                </c:pt>
                <c:pt idx="7">
                  <c:v>29/05/2026 18H </c:v>
                </c:pt>
                <c:pt idx="8">
                  <c:v>30/05/2026 8h47</c:v>
                </c:pt>
                <c:pt idx="9">
                  <c:v>30/05/2026 13h12</c:v>
                </c:pt>
                <c:pt idx="10">
                  <c:v>30/05/2026 16h</c:v>
                </c:pt>
                <c:pt idx="11">
                  <c:v>31/05/2026 9h35</c:v>
                </c:pt>
                <c:pt idx="12">
                  <c:v>1/6/2026 8h16</c:v>
                </c:pt>
                <c:pt idx="13">
                  <c:v>1/6/2026 13h</c:v>
                </c:pt>
                <c:pt idx="14">
                  <c:v>1/6/2026 17h03</c:v>
                </c:pt>
                <c:pt idx="15">
                  <c:v>2/6/2026 8h14</c:v>
                </c:pt>
                <c:pt idx="16">
                  <c:v>2/6/2026 13h25</c:v>
                </c:pt>
                <c:pt idx="17">
                  <c:v>2/6/2026 17h07</c:v>
                </c:pt>
                <c:pt idx="18">
                  <c:v>3/6/2026 8h20</c:v>
                </c:pt>
                <c:pt idx="19">
                  <c:v>3/6/2026 13h</c:v>
                </c:pt>
                <c:pt idx="20">
                  <c:v>3/6/2026 16h27</c:v>
                </c:pt>
                <c:pt idx="21">
                  <c:v>4/6/2026 8h37</c:v>
                </c:pt>
                <c:pt idx="22">
                  <c:v>04/06/2026 12h46</c:v>
                </c:pt>
                <c:pt idx="23">
                  <c:v>04/06/2026 17h04</c:v>
                </c:pt>
                <c:pt idx="24">
                  <c:v>05/06/2026  8h40</c:v>
                </c:pt>
                <c:pt idx="25">
                  <c:v>05/06/2026  13h02</c:v>
                </c:pt>
                <c:pt idx="26">
                  <c:v>05/06/2026  17h38</c:v>
                </c:pt>
                <c:pt idx="27">
                  <c:v>06/06/2026  8h45</c:v>
                </c:pt>
                <c:pt idx="28">
                  <c:v>06/06/2026  13h15</c:v>
                </c:pt>
                <c:pt idx="29">
                  <c:v>06/06/2026  16h35</c:v>
                </c:pt>
                <c:pt idx="30">
                  <c:v>07/06/2026  9h35</c:v>
                </c:pt>
                <c:pt idx="31">
                  <c:v>07/06/2026  13h27</c:v>
                </c:pt>
              </c:strCache>
            </c:strRef>
          </c:cat>
          <c:val>
            <c:numRef>
              <c:f>'TREND Cell Nokia'!$E$1609:$E$1640</c:f>
              <c:numCache>
                <c:formatCode>General</c:formatCode>
                <c:ptCount val="32"/>
                <c:pt idx="0">
                  <c:v>107</c:v>
                </c:pt>
                <c:pt idx="1">
                  <c:v>113</c:v>
                </c:pt>
                <c:pt idx="2">
                  <c:v>132</c:v>
                </c:pt>
                <c:pt idx="3">
                  <c:v>156</c:v>
                </c:pt>
                <c:pt idx="4">
                  <c:v>150</c:v>
                </c:pt>
                <c:pt idx="5">
                  <c:v>98</c:v>
                </c:pt>
                <c:pt idx="6">
                  <c:v>116</c:v>
                </c:pt>
                <c:pt idx="7">
                  <c:v>150</c:v>
                </c:pt>
                <c:pt idx="8">
                  <c:v>127</c:v>
                </c:pt>
                <c:pt idx="9">
                  <c:v>113</c:v>
                </c:pt>
                <c:pt idx="10">
                  <c:v>100</c:v>
                </c:pt>
                <c:pt idx="11">
                  <c:v>81</c:v>
                </c:pt>
                <c:pt idx="12">
                  <c:v>90</c:v>
                </c:pt>
                <c:pt idx="13">
                  <c:v>84</c:v>
                </c:pt>
                <c:pt idx="14">
                  <c:v>80</c:v>
                </c:pt>
                <c:pt idx="15">
                  <c:v>80</c:v>
                </c:pt>
                <c:pt idx="16">
                  <c:v>111</c:v>
                </c:pt>
                <c:pt idx="17">
                  <c:v>151</c:v>
                </c:pt>
                <c:pt idx="18">
                  <c:v>117</c:v>
                </c:pt>
                <c:pt idx="19">
                  <c:v>149</c:v>
                </c:pt>
                <c:pt idx="20">
                  <c:v>132</c:v>
                </c:pt>
                <c:pt idx="21">
                  <c:v>134</c:v>
                </c:pt>
                <c:pt idx="22">
                  <c:v>131</c:v>
                </c:pt>
                <c:pt idx="23">
                  <c:v>134</c:v>
                </c:pt>
                <c:pt idx="24">
                  <c:v>124</c:v>
                </c:pt>
                <c:pt idx="25">
                  <c:v>147</c:v>
                </c:pt>
                <c:pt idx="26">
                  <c:v>127</c:v>
                </c:pt>
                <c:pt idx="27">
                  <c:v>119</c:v>
                </c:pt>
                <c:pt idx="28">
                  <c:v>105</c:v>
                </c:pt>
                <c:pt idx="29">
                  <c:v>131</c:v>
                </c:pt>
                <c:pt idx="30">
                  <c:v>111</c:v>
                </c:pt>
                <c:pt idx="3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07-4179-8070-28E1BD348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371536"/>
        <c:axId val="1978369616"/>
      </c:lineChart>
      <c:catAx>
        <c:axId val="197837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73456"/>
        <c:crosses val="autoZero"/>
        <c:auto val="1"/>
        <c:lblAlgn val="ctr"/>
        <c:lblOffset val="100"/>
        <c:noMultiLvlLbl val="0"/>
      </c:catAx>
      <c:valAx>
        <c:axId val="19783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75376"/>
        <c:crosses val="autoZero"/>
        <c:crossBetween val="between"/>
      </c:valAx>
      <c:valAx>
        <c:axId val="197836961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978371536"/>
        <c:crosses val="max"/>
        <c:crossBetween val="between"/>
      </c:valAx>
      <c:catAx>
        <c:axId val="1978371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83696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92987</xdr:colOff>
      <xdr:row>0</xdr:row>
      <xdr:rowOff>0</xdr:rowOff>
    </xdr:from>
    <xdr:to>
      <xdr:col>48</xdr:col>
      <xdr:colOff>55274</xdr:colOff>
      <xdr:row>15</xdr:row>
      <xdr:rowOff>67705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27E32-E83C-4A52-98EB-C36E1C6A2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272948</xdr:colOff>
      <xdr:row>33</xdr:row>
      <xdr:rowOff>135807</xdr:rowOff>
    </xdr:from>
    <xdr:to>
      <xdr:col>49</xdr:col>
      <xdr:colOff>441362</xdr:colOff>
      <xdr:row>47</xdr:row>
      <xdr:rowOff>12649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D5C1C-022A-4A3B-B172-DEE1DB707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73912</xdr:colOff>
      <xdr:row>50</xdr:row>
      <xdr:rowOff>38749</xdr:rowOff>
    </xdr:from>
    <xdr:to>
      <xdr:col>51</xdr:col>
      <xdr:colOff>306365</xdr:colOff>
      <xdr:row>66</xdr:row>
      <xdr:rowOff>62246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415ADE-3073-4F3C-AF53-FDFFF3009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125561</xdr:colOff>
      <xdr:row>16</xdr:row>
      <xdr:rowOff>46994</xdr:rowOff>
    </xdr:from>
    <xdr:to>
      <xdr:col>46</xdr:col>
      <xdr:colOff>579517</xdr:colOff>
      <xdr:row>32</xdr:row>
      <xdr:rowOff>119387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5EC28F-9A4E-F68C-D303-5824B69A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751417</xdr:colOff>
      <xdr:row>1612</xdr:row>
      <xdr:rowOff>127001</xdr:rowOff>
    </xdr:from>
    <xdr:to>
      <xdr:col>34</xdr:col>
      <xdr:colOff>179916</xdr:colOff>
      <xdr:row>1640</xdr:row>
      <xdr:rowOff>31751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0BAB0-4B76-9AE0-DD58-D42FB04BB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f00833283/AppData/Roaming/eSpace_Desktop/UserData/f00833283/ReceiveFile/OCM%20RAN%20DAILY%20REPORT%20%2026-10-2023%2012H00_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50045603/Documents/work/OCM%20Site%20Distribution%20per%20SC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50045603/Documents/work/Codification%20Fev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50057820\Downloads\W21_CELLS_DOWN_NOKIA_1105%20AU%2021052026%2016h07.xlsb" TargetMode="External"/><Relationship Id="rId1" Type="http://schemas.openxmlformats.org/officeDocument/2006/relationships/externalLinkPath" Target="/Users/n50057820/Downloads/W21_CELLS_DOWN_NOKIA_1105%20AU%2021052026%2016h0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DOWN"/>
      <sheetName val="site not DOWN"/>
      <sheetName val="SITE A VERIFIE (note down)"/>
      <sheetName val="prod 2G netact"/>
      <sheetName val="site 2G 3G en prod"/>
      <sheetName val="prod 3G netact"/>
      <sheetName val="prod 4G netact"/>
      <sheetName val="site Autin"/>
      <sheetName val="SITE PROD"/>
      <sheetName val="IHS OCM DB"/>
      <sheetName val="CAMUSAT OCM DB"/>
      <sheetName val="RM &amp; FME"/>
      <sheetName val="WpsReserved_CellImg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Operator Site ID</v>
          </cell>
          <cell r="B1" t="str">
            <v>IHS  ID</v>
          </cell>
          <cell r="C1" t="str">
            <v>Operator Site ID</v>
          </cell>
          <cell r="D1" t="str">
            <v>Region</v>
          </cell>
          <cell r="E1" t="str">
            <v>State</v>
          </cell>
          <cell r="F1" t="str">
            <v>Site Name</v>
          </cell>
          <cell r="G1" t="str">
            <v>Site Category</v>
          </cell>
          <cell r="H1" t="str">
            <v>Final Topology</v>
          </cell>
          <cell r="I1" t="str">
            <v>Mains Operator Site Status</v>
          </cell>
          <cell r="J1" t="str">
            <v>Site Configuration</v>
          </cell>
          <cell r="K1" t="str">
            <v>Power type DC/AC</v>
          </cell>
          <cell r="L1" t="str">
            <v>SBC</v>
          </cell>
          <cell r="M1" t="str">
            <v>Location</v>
          </cell>
          <cell r="N1" t="str">
            <v>Division</v>
          </cell>
          <cell r="O1" t="str">
            <v>Sub-Division</v>
          </cell>
          <cell r="P1" t="str">
            <v>Officer, Site Supervisor</v>
          </cell>
          <cell r="Q1" t="str">
            <v>Phone 1</v>
          </cell>
          <cell r="R1" t="str">
            <v>Phone 2</v>
          </cell>
          <cell r="S1" t="str">
            <v>Team Leader, Regional</v>
          </cell>
          <cell r="T1" t="str">
            <v>Manager, Regional</v>
          </cell>
          <cell r="U1" t="str">
            <v>POWERCO</v>
          </cell>
        </row>
        <row r="2">
          <cell r="A2" t="str">
            <v>NRO_019</v>
          </cell>
          <cell r="B2" t="str">
            <v>IHS_BMD_065</v>
          </cell>
          <cell r="C2" t="str">
            <v>NRO_019</v>
          </cell>
          <cell r="D2" t="str">
            <v>West</v>
          </cell>
          <cell r="E2" t="str">
            <v>North West</v>
          </cell>
          <cell r="F2" t="str">
            <v>Jakiri</v>
          </cell>
          <cell r="G2" t="str">
            <v>P2</v>
          </cell>
          <cell r="H2" t="str">
            <v>Grid-Gen</v>
          </cell>
          <cell r="I2" t="str">
            <v>On Air</v>
          </cell>
          <cell r="J2" t="str">
            <v>Indoor</v>
          </cell>
          <cell r="K2" t="str">
            <v>AC</v>
          </cell>
          <cell r="L2" t="str">
            <v>I-Eng</v>
          </cell>
          <cell r="M2" t="str">
            <v>Kumbo</v>
          </cell>
          <cell r="N2" t="str">
            <v>Bui</v>
          </cell>
          <cell r="O2" t="str">
            <v>Jakiri</v>
          </cell>
          <cell r="P2" t="str">
            <v>Abdul Jalil</v>
          </cell>
          <cell r="S2" t="str">
            <v>Vensa Mohammadu</v>
          </cell>
          <cell r="T2" t="str">
            <v>GEORGES NAKHOUL</v>
          </cell>
          <cell r="U2" t="str">
            <v>I H S</v>
          </cell>
        </row>
        <row r="3">
          <cell r="A3" t="str">
            <v>NRO_006</v>
          </cell>
          <cell r="B3" t="str">
            <v>IHS_BMD_043</v>
          </cell>
          <cell r="C3" t="str">
            <v>NRO_006</v>
          </cell>
          <cell r="D3" t="str">
            <v>West</v>
          </cell>
          <cell r="E3" t="str">
            <v>North West</v>
          </cell>
          <cell r="F3" t="str">
            <v>Ndop</v>
          </cell>
          <cell r="G3" t="str">
            <v>P2</v>
          </cell>
          <cell r="H3" t="str">
            <v>Grid-Hybrid-Gen</v>
          </cell>
          <cell r="I3" t="str">
            <v>On Air</v>
          </cell>
          <cell r="J3" t="str">
            <v>Indoor</v>
          </cell>
          <cell r="K3" t="str">
            <v>AC</v>
          </cell>
          <cell r="L3" t="str">
            <v>I-Eng</v>
          </cell>
          <cell r="M3" t="str">
            <v>Kumbo</v>
          </cell>
          <cell r="N3" t="str">
            <v>Ngo-Ketunjia</v>
          </cell>
          <cell r="O3" t="str">
            <v>Ndop</v>
          </cell>
          <cell r="P3" t="str">
            <v>Abdul Jalil</v>
          </cell>
          <cell r="S3" t="str">
            <v>Vensa Mohammadu</v>
          </cell>
          <cell r="T3" t="str">
            <v>GEORGES NAKHOUL</v>
          </cell>
          <cell r="U3" t="str">
            <v>I H S</v>
          </cell>
        </row>
        <row r="4">
          <cell r="A4" t="str">
            <v>NRO_020</v>
          </cell>
          <cell r="B4" t="str">
            <v>IHS_BMD_076</v>
          </cell>
          <cell r="C4" t="str">
            <v>NRO_020</v>
          </cell>
          <cell r="D4" t="str">
            <v>West</v>
          </cell>
          <cell r="E4" t="str">
            <v>North West</v>
          </cell>
          <cell r="F4" t="str">
            <v>Kumbo-II</v>
          </cell>
          <cell r="G4" t="str">
            <v>P2</v>
          </cell>
          <cell r="H4" t="str">
            <v>Grid-Gen</v>
          </cell>
          <cell r="I4" t="str">
            <v>On Air</v>
          </cell>
          <cell r="J4" t="str">
            <v>Indoor</v>
          </cell>
          <cell r="K4" t="str">
            <v>AC</v>
          </cell>
          <cell r="L4" t="str">
            <v>I-Eng</v>
          </cell>
          <cell r="M4" t="str">
            <v>Kumbo</v>
          </cell>
          <cell r="N4" t="str">
            <v>Bui</v>
          </cell>
          <cell r="O4" t="str">
            <v>kumbo</v>
          </cell>
          <cell r="P4" t="str">
            <v>Abdul Jalil</v>
          </cell>
          <cell r="S4" t="str">
            <v>Vensa Mohammadu</v>
          </cell>
          <cell r="T4" t="str">
            <v>GEORGES NAKHOUL</v>
          </cell>
          <cell r="U4" t="str">
            <v>I H S</v>
          </cell>
        </row>
        <row r="5">
          <cell r="A5" t="str">
            <v>SUO_030</v>
          </cell>
          <cell r="B5" t="str">
            <v>IHS_KMB_061</v>
          </cell>
          <cell r="C5" t="str">
            <v>SUO_030</v>
          </cell>
          <cell r="D5" t="str">
            <v>West</v>
          </cell>
          <cell r="E5" t="str">
            <v>North West</v>
          </cell>
          <cell r="F5" t="str">
            <v>Bachuo-Ntai</v>
          </cell>
          <cell r="G5" t="str">
            <v>P2</v>
          </cell>
          <cell r="H5" t="str">
            <v>Grid-Gen</v>
          </cell>
          <cell r="I5" t="str">
            <v>On Air</v>
          </cell>
          <cell r="J5" t="str">
            <v>Indoor</v>
          </cell>
          <cell r="K5" t="str">
            <v>AC</v>
          </cell>
          <cell r="L5" t="str">
            <v>I-Eng</v>
          </cell>
          <cell r="M5" t="str">
            <v>Bamenda</v>
          </cell>
          <cell r="N5" t="str">
            <v>Manyu</v>
          </cell>
          <cell r="O5" t="str">
            <v>Mamfe</v>
          </cell>
          <cell r="P5" t="str">
            <v>Abdul Jalil</v>
          </cell>
          <cell r="Q5">
            <v>652206934</v>
          </cell>
          <cell r="R5">
            <v>655022976</v>
          </cell>
          <cell r="S5" t="str">
            <v>Vensa Mohammadu</v>
          </cell>
          <cell r="T5" t="str">
            <v>GEORGES NAKHOUL</v>
          </cell>
          <cell r="U5" t="str">
            <v>I H S</v>
          </cell>
        </row>
        <row r="6">
          <cell r="A6" t="str">
            <v>SUO_010</v>
          </cell>
          <cell r="B6" t="str">
            <v>IHS_BMD_032</v>
          </cell>
          <cell r="C6" t="str">
            <v>SUO_010</v>
          </cell>
          <cell r="D6" t="str">
            <v>West</v>
          </cell>
          <cell r="E6" t="str">
            <v>North West</v>
          </cell>
          <cell r="F6" t="str">
            <v>Bambili</v>
          </cell>
          <cell r="G6" t="str">
            <v>P2</v>
          </cell>
          <cell r="H6" t="str">
            <v>Grid-Gen</v>
          </cell>
          <cell r="I6" t="str">
            <v>On Air</v>
          </cell>
          <cell r="J6" t="str">
            <v>Indoor</v>
          </cell>
          <cell r="K6" t="str">
            <v>AC</v>
          </cell>
          <cell r="L6" t="str">
            <v>I-Eng</v>
          </cell>
          <cell r="M6" t="str">
            <v>Bamenda</v>
          </cell>
          <cell r="N6" t="str">
            <v>Mezam</v>
          </cell>
          <cell r="O6" t="str">
            <v>Bali</v>
          </cell>
          <cell r="P6" t="str">
            <v>Abdul Jalil</v>
          </cell>
          <cell r="Q6">
            <v>652206934</v>
          </cell>
          <cell r="R6">
            <v>655022976</v>
          </cell>
          <cell r="S6" t="str">
            <v>Vensa Mohammadu</v>
          </cell>
          <cell r="T6" t="str">
            <v>GEORGES NAKHOUL</v>
          </cell>
          <cell r="U6" t="str">
            <v>I H S</v>
          </cell>
        </row>
        <row r="7">
          <cell r="A7" t="str">
            <v>NRO_036</v>
          </cell>
          <cell r="B7" t="str">
            <v>IHS_BMD_033</v>
          </cell>
          <cell r="C7" t="str">
            <v>NRO_036</v>
          </cell>
          <cell r="D7" t="str">
            <v>West</v>
          </cell>
          <cell r="E7" t="str">
            <v>North West</v>
          </cell>
          <cell r="F7" t="str">
            <v>Bafut-MTN</v>
          </cell>
          <cell r="G7" t="str">
            <v>P2</v>
          </cell>
          <cell r="H7" t="str">
            <v>Grid-Gen</v>
          </cell>
          <cell r="I7" t="str">
            <v>On Air</v>
          </cell>
          <cell r="J7" t="str">
            <v>Indoor</v>
          </cell>
          <cell r="K7" t="str">
            <v>AC</v>
          </cell>
          <cell r="L7" t="str">
            <v>I-Eng</v>
          </cell>
          <cell r="M7" t="str">
            <v>Bamenda</v>
          </cell>
          <cell r="N7" t="str">
            <v>Mezam</v>
          </cell>
          <cell r="O7" t="str">
            <v>Bafut</v>
          </cell>
          <cell r="P7" t="str">
            <v>Abdul Jalil</v>
          </cell>
          <cell r="Q7">
            <v>652206934</v>
          </cell>
          <cell r="R7">
            <v>655022976</v>
          </cell>
          <cell r="S7" t="str">
            <v>Vensa Mohammadu</v>
          </cell>
          <cell r="T7" t="str">
            <v>GEORGES NAKHOUL</v>
          </cell>
          <cell r="U7" t="str">
            <v>I H S</v>
          </cell>
        </row>
        <row r="8">
          <cell r="A8" t="str">
            <v>NRO_002</v>
          </cell>
          <cell r="B8" t="str">
            <v>IHS_BMD_010</v>
          </cell>
          <cell r="C8" t="str">
            <v>NRO_002</v>
          </cell>
          <cell r="D8" t="str">
            <v>West</v>
          </cell>
          <cell r="E8" t="str">
            <v>North West</v>
          </cell>
          <cell r="F8" t="str">
            <v>Ntumansah</v>
          </cell>
          <cell r="G8" t="str">
            <v>P3</v>
          </cell>
          <cell r="H8" t="str">
            <v>Grid-Gen</v>
          </cell>
          <cell r="I8" t="str">
            <v>On Air</v>
          </cell>
          <cell r="J8" t="str">
            <v>Indoor</v>
          </cell>
          <cell r="K8" t="str">
            <v>AC</v>
          </cell>
          <cell r="L8" t="str">
            <v>I-Eng</v>
          </cell>
          <cell r="M8" t="str">
            <v>Bamenda</v>
          </cell>
          <cell r="N8" t="str">
            <v>Mezam</v>
          </cell>
          <cell r="O8" t="str">
            <v>Bamenda 2</v>
          </cell>
          <cell r="P8" t="str">
            <v>Abdul Jalil</v>
          </cell>
          <cell r="Q8">
            <v>652206934</v>
          </cell>
          <cell r="R8">
            <v>655022976</v>
          </cell>
          <cell r="S8" t="str">
            <v>Vensa Mohammadu</v>
          </cell>
          <cell r="T8" t="str">
            <v>GEORGES NAKHOUL</v>
          </cell>
          <cell r="U8" t="str">
            <v>I H S</v>
          </cell>
        </row>
        <row r="9">
          <cell r="A9" t="str">
            <v>NRO_029</v>
          </cell>
          <cell r="B9" t="str">
            <v>IHS_BMD_017</v>
          </cell>
          <cell r="C9" t="str">
            <v>NRO_029</v>
          </cell>
          <cell r="D9" t="str">
            <v>West</v>
          </cell>
          <cell r="E9" t="str">
            <v>North West</v>
          </cell>
          <cell r="F9" t="str">
            <v>Mankon</v>
          </cell>
          <cell r="G9" t="str">
            <v>P3</v>
          </cell>
          <cell r="H9" t="str">
            <v>Grid-Gen</v>
          </cell>
          <cell r="I9" t="str">
            <v>On Air</v>
          </cell>
          <cell r="J9" t="str">
            <v>Indoor</v>
          </cell>
          <cell r="K9" t="str">
            <v>AC</v>
          </cell>
          <cell r="L9" t="str">
            <v>I-Eng</v>
          </cell>
          <cell r="M9" t="str">
            <v>Bamenda</v>
          </cell>
          <cell r="N9" t="str">
            <v>Mezam</v>
          </cell>
          <cell r="O9" t="str">
            <v>Bamenda 2</v>
          </cell>
          <cell r="P9" t="str">
            <v>Abdul Jalil</v>
          </cell>
          <cell r="Q9">
            <v>652206934</v>
          </cell>
          <cell r="R9">
            <v>655022976</v>
          </cell>
          <cell r="S9" t="str">
            <v>Vensa Mohammadu</v>
          </cell>
          <cell r="T9" t="str">
            <v>GEORGES NAKHOUL</v>
          </cell>
          <cell r="U9" t="str">
            <v>I H S</v>
          </cell>
        </row>
        <row r="10">
          <cell r="A10" t="str">
            <v>NRO_226</v>
          </cell>
          <cell r="B10" t="str">
            <v>IHS_BMD_008</v>
          </cell>
          <cell r="C10" t="str">
            <v>NRO_226</v>
          </cell>
          <cell r="D10" t="str">
            <v>West</v>
          </cell>
          <cell r="E10" t="str">
            <v>North West</v>
          </cell>
          <cell r="F10" t="str">
            <v>Bda-Nitop-II</v>
          </cell>
          <cell r="G10" t="str">
            <v>P3</v>
          </cell>
          <cell r="H10" t="str">
            <v>Grid-Gen</v>
          </cell>
          <cell r="I10" t="str">
            <v>On Air</v>
          </cell>
          <cell r="J10" t="str">
            <v>Outdoor</v>
          </cell>
          <cell r="K10" t="str">
            <v>AC</v>
          </cell>
          <cell r="L10" t="str">
            <v>I-Eng</v>
          </cell>
          <cell r="M10" t="str">
            <v>Bamenda</v>
          </cell>
          <cell r="N10" t="str">
            <v>Mezam</v>
          </cell>
          <cell r="O10" t="str">
            <v>Bamenda 2</v>
          </cell>
          <cell r="P10" t="str">
            <v>Abdul Jalil</v>
          </cell>
          <cell r="Q10">
            <v>652206934</v>
          </cell>
          <cell r="R10">
            <v>655022976</v>
          </cell>
          <cell r="S10" t="str">
            <v>Vensa Mohammadu</v>
          </cell>
          <cell r="T10" t="str">
            <v>GEORGES NAKHOUL</v>
          </cell>
          <cell r="U10" t="str">
            <v>I H S</v>
          </cell>
        </row>
        <row r="11">
          <cell r="A11" t="str">
            <v>NRO_253</v>
          </cell>
          <cell r="B11" t="str">
            <v>IHS_BMD_006</v>
          </cell>
          <cell r="C11" t="str">
            <v>NRO_253</v>
          </cell>
          <cell r="D11" t="str">
            <v>West</v>
          </cell>
          <cell r="E11" t="str">
            <v>North West</v>
          </cell>
          <cell r="F11" t="str">
            <v>Bda-Ntamulung-MTN</v>
          </cell>
          <cell r="G11" t="str">
            <v>P3</v>
          </cell>
          <cell r="H11" t="str">
            <v>Grid-Gen</v>
          </cell>
          <cell r="I11" t="str">
            <v>On Air</v>
          </cell>
          <cell r="J11" t="str">
            <v>Outdoor</v>
          </cell>
          <cell r="K11" t="str">
            <v>AC</v>
          </cell>
          <cell r="L11" t="str">
            <v>I-Eng</v>
          </cell>
          <cell r="M11" t="str">
            <v>Bamenda</v>
          </cell>
          <cell r="N11" t="str">
            <v>Mezam</v>
          </cell>
          <cell r="O11" t="str">
            <v>Bamenda 2</v>
          </cell>
          <cell r="P11" t="str">
            <v>Abdul Jalil</v>
          </cell>
          <cell r="Q11">
            <v>652206934</v>
          </cell>
          <cell r="R11">
            <v>655022976</v>
          </cell>
          <cell r="S11" t="str">
            <v>Vensa Mohammadu</v>
          </cell>
          <cell r="T11" t="str">
            <v>GEORGES NAKHOUL</v>
          </cell>
          <cell r="U11" t="str">
            <v>I H S</v>
          </cell>
        </row>
        <row r="12">
          <cell r="A12" t="str">
            <v>NRO_221</v>
          </cell>
          <cell r="B12" t="str">
            <v>IHS_BMD_013</v>
          </cell>
          <cell r="C12" t="str">
            <v>NRO_221</v>
          </cell>
          <cell r="D12" t="str">
            <v>West</v>
          </cell>
          <cell r="E12" t="str">
            <v>North West</v>
          </cell>
          <cell r="F12" t="str">
            <v>Nkwein-MTN</v>
          </cell>
          <cell r="G12" t="str">
            <v>P3</v>
          </cell>
          <cell r="H12" t="str">
            <v>Grid-Gen</v>
          </cell>
          <cell r="I12" t="str">
            <v>On Air</v>
          </cell>
          <cell r="J12" t="str">
            <v>Indoor</v>
          </cell>
          <cell r="K12" t="str">
            <v>AC</v>
          </cell>
          <cell r="L12" t="str">
            <v>I-Eng</v>
          </cell>
          <cell r="M12" t="str">
            <v>Bamenda</v>
          </cell>
          <cell r="N12" t="str">
            <v>Mezam</v>
          </cell>
          <cell r="O12" t="str">
            <v>Bamenda 2</v>
          </cell>
          <cell r="P12" t="str">
            <v>Abdul Jalil</v>
          </cell>
          <cell r="Q12">
            <v>652206934</v>
          </cell>
          <cell r="R12">
            <v>655022976</v>
          </cell>
          <cell r="S12" t="str">
            <v>Vensa Mohammadu</v>
          </cell>
          <cell r="T12" t="str">
            <v>GEORGES NAKHOUL</v>
          </cell>
          <cell r="U12" t="str">
            <v>I H S</v>
          </cell>
        </row>
        <row r="13">
          <cell r="A13" t="str">
            <v>NRO_048</v>
          </cell>
          <cell r="B13" t="str">
            <v>IHS_BMD_321</v>
          </cell>
          <cell r="C13" t="str">
            <v>NRO_048</v>
          </cell>
          <cell r="D13" t="str">
            <v>West</v>
          </cell>
          <cell r="E13" t="str">
            <v>North West</v>
          </cell>
          <cell r="F13" t="str">
            <v>Sabga</v>
          </cell>
          <cell r="G13" t="str">
            <v>P4</v>
          </cell>
          <cell r="H13" t="str">
            <v>Grid-Gen</v>
          </cell>
          <cell r="I13" t="str">
            <v>On Air</v>
          </cell>
          <cell r="J13" t="str">
            <v>Outdoor</v>
          </cell>
          <cell r="K13" t="str">
            <v>AC</v>
          </cell>
          <cell r="L13" t="str">
            <v>I-Eng</v>
          </cell>
          <cell r="M13" t="str">
            <v>Bamenda</v>
          </cell>
          <cell r="N13" t="str">
            <v>Mezam</v>
          </cell>
          <cell r="O13" t="str">
            <v>Tubah</v>
          </cell>
          <cell r="P13" t="str">
            <v>Abdul Jalil</v>
          </cell>
          <cell r="Q13">
            <v>652206934</v>
          </cell>
          <cell r="R13">
            <v>655022976</v>
          </cell>
          <cell r="S13" t="str">
            <v>Vensa Mohammadu</v>
          </cell>
          <cell r="T13" t="str">
            <v>GEORGES NAKHOUL</v>
          </cell>
          <cell r="U13" t="str">
            <v>I H S</v>
          </cell>
        </row>
        <row r="14">
          <cell r="A14" t="str">
            <v>NRO_236</v>
          </cell>
          <cell r="B14" t="str">
            <v>IHS_BMD_091</v>
          </cell>
          <cell r="C14" t="str">
            <v>NRO_236</v>
          </cell>
          <cell r="D14" t="str">
            <v>West</v>
          </cell>
          <cell r="E14" t="str">
            <v>North West</v>
          </cell>
          <cell r="F14" t="str">
            <v>Mbiame</v>
          </cell>
          <cell r="G14" t="str">
            <v>P4</v>
          </cell>
          <cell r="H14" t="str">
            <v>Grid-Gen</v>
          </cell>
          <cell r="I14" t="str">
            <v>On Air</v>
          </cell>
          <cell r="J14" t="str">
            <v>Outdoor</v>
          </cell>
          <cell r="K14" t="str">
            <v>AC</v>
          </cell>
          <cell r="L14" t="str">
            <v>I-Eng</v>
          </cell>
          <cell r="M14" t="str">
            <v>Kumbo</v>
          </cell>
          <cell r="N14" t="str">
            <v>Bui</v>
          </cell>
          <cell r="O14" t="str">
            <v>Mbiame</v>
          </cell>
          <cell r="P14" t="str">
            <v>Abdul Jalil</v>
          </cell>
          <cell r="S14" t="str">
            <v>Vensa Mohammadu</v>
          </cell>
          <cell r="T14" t="str">
            <v>GEORGES NAKHOUL</v>
          </cell>
          <cell r="U14" t="str">
            <v>I H S</v>
          </cell>
        </row>
        <row r="15">
          <cell r="A15" t="str">
            <v>NRO_231</v>
          </cell>
          <cell r="B15" t="str">
            <v>IHS_BMD_098</v>
          </cell>
          <cell r="C15" t="str">
            <v>NRO_231</v>
          </cell>
          <cell r="D15" t="str">
            <v>West</v>
          </cell>
          <cell r="E15" t="str">
            <v>North West</v>
          </cell>
          <cell r="F15" t="str">
            <v>Ako</v>
          </cell>
          <cell r="G15" t="str">
            <v>P4</v>
          </cell>
          <cell r="H15" t="str">
            <v>Grid-Gen</v>
          </cell>
          <cell r="I15" t="str">
            <v>On Air</v>
          </cell>
          <cell r="J15" t="str">
            <v>Outdoor</v>
          </cell>
          <cell r="K15" t="str">
            <v>AC</v>
          </cell>
          <cell r="L15" t="str">
            <v>I-Eng</v>
          </cell>
          <cell r="M15" t="str">
            <v>Kumbo</v>
          </cell>
          <cell r="N15" t="str">
            <v>Donga Mantoum</v>
          </cell>
          <cell r="O15" t="str">
            <v>Ako</v>
          </cell>
          <cell r="P15" t="str">
            <v>Abdul Jalil</v>
          </cell>
          <cell r="S15" t="str">
            <v>Vensa Mohammadu</v>
          </cell>
          <cell r="T15" t="str">
            <v>GEORGES NAKHOUL</v>
          </cell>
          <cell r="U15" t="str">
            <v>I H S</v>
          </cell>
        </row>
        <row r="16">
          <cell r="A16" t="str">
            <v>NRO_248</v>
          </cell>
          <cell r="B16" t="str">
            <v>IHS_BMD_047</v>
          </cell>
          <cell r="C16" t="str">
            <v>NRO_248</v>
          </cell>
          <cell r="D16" t="str">
            <v>West</v>
          </cell>
          <cell r="E16" t="str">
            <v>North West</v>
          </cell>
          <cell r="F16" t="str">
            <v>Awing</v>
          </cell>
          <cell r="G16" t="str">
            <v>P4</v>
          </cell>
          <cell r="H16" t="str">
            <v>Grid-Gen</v>
          </cell>
          <cell r="I16" t="str">
            <v>On Air</v>
          </cell>
          <cell r="J16" t="str">
            <v>Outdoor</v>
          </cell>
          <cell r="K16" t="str">
            <v>AC</v>
          </cell>
          <cell r="L16" t="str">
            <v>I-Eng</v>
          </cell>
          <cell r="M16" t="str">
            <v>Bamenda</v>
          </cell>
          <cell r="N16" t="str">
            <v>Mezam</v>
          </cell>
          <cell r="O16" t="str">
            <v>Santa</v>
          </cell>
          <cell r="P16" t="str">
            <v>Abdul Jalil</v>
          </cell>
          <cell r="Q16">
            <v>652206934</v>
          </cell>
          <cell r="R16">
            <v>655022976</v>
          </cell>
          <cell r="S16" t="str">
            <v>Vensa Mohammadu</v>
          </cell>
          <cell r="T16" t="str">
            <v>GEORGES NAKHOUL</v>
          </cell>
          <cell r="U16" t="str">
            <v>I H S</v>
          </cell>
        </row>
        <row r="17">
          <cell r="A17" t="str">
            <v>NRO_011</v>
          </cell>
          <cell r="B17" t="str">
            <v>IHS_BMD_035</v>
          </cell>
          <cell r="C17" t="str">
            <v>NRO_011</v>
          </cell>
          <cell r="D17" t="str">
            <v>West</v>
          </cell>
          <cell r="E17" t="str">
            <v>North West</v>
          </cell>
          <cell r="F17" t="str">
            <v>Mbengwi</v>
          </cell>
          <cell r="G17" t="str">
            <v>P4</v>
          </cell>
          <cell r="H17" t="str">
            <v>Grid-Gen</v>
          </cell>
          <cell r="I17" t="str">
            <v>On Air</v>
          </cell>
          <cell r="J17" t="str">
            <v>Indoor</v>
          </cell>
          <cell r="K17" t="str">
            <v>AC</v>
          </cell>
          <cell r="L17" t="str">
            <v>I-Eng</v>
          </cell>
          <cell r="M17" t="str">
            <v>Bamenda</v>
          </cell>
          <cell r="N17" t="str">
            <v>Momo</v>
          </cell>
          <cell r="O17" t="str">
            <v>Mbengwi</v>
          </cell>
          <cell r="P17" t="str">
            <v>Abdul Jalil</v>
          </cell>
          <cell r="Q17">
            <v>652206934</v>
          </cell>
          <cell r="R17">
            <v>655022976</v>
          </cell>
          <cell r="S17" t="str">
            <v>Vensa Mohammadu</v>
          </cell>
          <cell r="T17" t="str">
            <v>GEORGES NAKHOUL</v>
          </cell>
          <cell r="U17" t="str">
            <v>I H S</v>
          </cell>
        </row>
        <row r="18">
          <cell r="A18" t="str">
            <v>NRO_227</v>
          </cell>
          <cell r="B18" t="str">
            <v>IHS_BMD_015</v>
          </cell>
          <cell r="C18" t="str">
            <v>NRO_227</v>
          </cell>
          <cell r="D18" t="str">
            <v>West</v>
          </cell>
          <cell r="E18" t="str">
            <v>North West</v>
          </cell>
          <cell r="F18" t="str">
            <v>Bda-Chinde</v>
          </cell>
          <cell r="G18" t="str">
            <v>P4</v>
          </cell>
          <cell r="H18" t="str">
            <v>Grid-Gen</v>
          </cell>
          <cell r="I18" t="str">
            <v>On Air</v>
          </cell>
          <cell r="J18" t="str">
            <v>Outdoor</v>
          </cell>
          <cell r="K18" t="str">
            <v>AC</v>
          </cell>
          <cell r="L18" t="str">
            <v>I-Eng</v>
          </cell>
          <cell r="M18" t="str">
            <v>Bamenda</v>
          </cell>
          <cell r="N18" t="str">
            <v>Mezam</v>
          </cell>
          <cell r="O18" t="str">
            <v>Bamenda 2</v>
          </cell>
          <cell r="P18" t="str">
            <v>Abdul Jalil</v>
          </cell>
          <cell r="Q18">
            <v>652206934</v>
          </cell>
          <cell r="R18">
            <v>655022976</v>
          </cell>
          <cell r="S18" t="str">
            <v>Vensa Mohammadu</v>
          </cell>
          <cell r="T18" t="str">
            <v>GEORGES NAKHOUL</v>
          </cell>
          <cell r="U18" t="str">
            <v>I H S</v>
          </cell>
        </row>
        <row r="19">
          <cell r="A19" t="str">
            <v>NRO_229</v>
          </cell>
          <cell r="B19" t="str">
            <v>IHS_BMD_024</v>
          </cell>
          <cell r="C19" t="str">
            <v>NRO_229</v>
          </cell>
          <cell r="D19" t="str">
            <v>West</v>
          </cell>
          <cell r="E19" t="str">
            <v>North West</v>
          </cell>
          <cell r="F19" t="str">
            <v>Mendankwe</v>
          </cell>
          <cell r="G19" t="str">
            <v>P4</v>
          </cell>
          <cell r="H19" t="str">
            <v>Grid-Gen</v>
          </cell>
          <cell r="I19" t="str">
            <v>On Air</v>
          </cell>
          <cell r="J19" t="str">
            <v>Outdoor</v>
          </cell>
          <cell r="K19" t="str">
            <v>AC</v>
          </cell>
          <cell r="L19" t="str">
            <v>I-Eng</v>
          </cell>
          <cell r="M19" t="str">
            <v>Bamenda</v>
          </cell>
          <cell r="N19" t="str">
            <v>Mezam</v>
          </cell>
          <cell r="O19" t="str">
            <v>Bamenda 1</v>
          </cell>
          <cell r="P19" t="str">
            <v>Abdul Jalil</v>
          </cell>
          <cell r="Q19">
            <v>652206934</v>
          </cell>
          <cell r="R19">
            <v>655022976</v>
          </cell>
          <cell r="S19" t="str">
            <v>Vensa Mohammadu</v>
          </cell>
          <cell r="T19" t="str">
            <v>GEORGES NAKHOUL</v>
          </cell>
          <cell r="U19" t="str">
            <v>I H S</v>
          </cell>
        </row>
        <row r="20">
          <cell r="A20" t="str">
            <v>NRO_010</v>
          </cell>
          <cell r="B20" t="str">
            <v>IHS_BMD_050</v>
          </cell>
          <cell r="C20" t="str">
            <v>NRO_010</v>
          </cell>
          <cell r="D20" t="str">
            <v>West</v>
          </cell>
          <cell r="E20" t="str">
            <v>North West</v>
          </cell>
          <cell r="F20" t="str">
            <v>Batibo</v>
          </cell>
          <cell r="G20" t="str">
            <v>P4</v>
          </cell>
          <cell r="H20" t="str">
            <v>Grid-Gen</v>
          </cell>
          <cell r="I20" t="str">
            <v>On Air</v>
          </cell>
          <cell r="J20" t="str">
            <v>Outdoor</v>
          </cell>
          <cell r="K20" t="str">
            <v>AC</v>
          </cell>
          <cell r="L20" t="str">
            <v>I-Eng</v>
          </cell>
          <cell r="M20" t="str">
            <v>Bamenda</v>
          </cell>
          <cell r="N20" t="str">
            <v>Momo</v>
          </cell>
          <cell r="O20" t="str">
            <v>Batibo</v>
          </cell>
          <cell r="P20" t="str">
            <v>Abdul Jalil</v>
          </cell>
          <cell r="Q20">
            <v>652206934</v>
          </cell>
          <cell r="R20">
            <v>655022976</v>
          </cell>
          <cell r="S20" t="str">
            <v>Vensa Mohammadu</v>
          </cell>
          <cell r="T20" t="str">
            <v>GEORGES NAKHOUL</v>
          </cell>
          <cell r="U20" t="str">
            <v>I H S</v>
          </cell>
        </row>
        <row r="21">
          <cell r="A21" t="str">
            <v>SUO_073</v>
          </cell>
          <cell r="B21" t="str">
            <v>IHS_KMB_062</v>
          </cell>
          <cell r="C21" t="str">
            <v>SUO_073</v>
          </cell>
          <cell r="D21" t="str">
            <v>West</v>
          </cell>
          <cell r="E21" t="str">
            <v>North West</v>
          </cell>
          <cell r="F21" t="str">
            <v>Mamfe-Brasserie</v>
          </cell>
          <cell r="G21" t="str">
            <v>P4</v>
          </cell>
          <cell r="H21" t="str">
            <v>Grid-Gen</v>
          </cell>
          <cell r="I21" t="str">
            <v>On Air</v>
          </cell>
          <cell r="J21" t="str">
            <v>Outdoor</v>
          </cell>
          <cell r="K21" t="str">
            <v>AC</v>
          </cell>
          <cell r="L21" t="str">
            <v>I-Eng</v>
          </cell>
          <cell r="M21" t="str">
            <v>Bamenda</v>
          </cell>
          <cell r="N21" t="str">
            <v>Manyu</v>
          </cell>
          <cell r="O21" t="str">
            <v>Mamfe</v>
          </cell>
          <cell r="P21" t="str">
            <v>Abdul Jalil</v>
          </cell>
          <cell r="Q21">
            <v>652206934</v>
          </cell>
          <cell r="R21">
            <v>655022976</v>
          </cell>
          <cell r="S21" t="str">
            <v>Vensa Mohammadu</v>
          </cell>
          <cell r="T21" t="str">
            <v>GEORGES NAKHOUL</v>
          </cell>
          <cell r="U21" t="str">
            <v>I H S</v>
          </cell>
        </row>
        <row r="22">
          <cell r="A22" t="str">
            <v>SUO_015</v>
          </cell>
          <cell r="B22" t="str">
            <v>IHS_KMB_081</v>
          </cell>
          <cell r="C22" t="str">
            <v>SUO_015</v>
          </cell>
          <cell r="D22" t="str">
            <v>West</v>
          </cell>
          <cell r="E22" t="str">
            <v>North West</v>
          </cell>
          <cell r="F22" t="str">
            <v>Ekok</v>
          </cell>
          <cell r="G22" t="str">
            <v>P4</v>
          </cell>
          <cell r="H22" t="str">
            <v>Grid-Gen</v>
          </cell>
          <cell r="I22" t="str">
            <v>On Air</v>
          </cell>
          <cell r="J22" t="str">
            <v>Indoor</v>
          </cell>
          <cell r="K22" t="str">
            <v>AC</v>
          </cell>
          <cell r="L22" t="str">
            <v>I-Eng</v>
          </cell>
          <cell r="M22" t="str">
            <v>Bamenda</v>
          </cell>
          <cell r="N22" t="str">
            <v>Manyu</v>
          </cell>
          <cell r="O22" t="str">
            <v>Eyumodjock</v>
          </cell>
          <cell r="P22" t="str">
            <v>Abdul Jalil</v>
          </cell>
          <cell r="Q22">
            <v>652206934</v>
          </cell>
          <cell r="R22">
            <v>655022976</v>
          </cell>
          <cell r="S22" t="str">
            <v>Vensa Mohammadu</v>
          </cell>
          <cell r="T22" t="str">
            <v>GEORGES NAKHOUL</v>
          </cell>
          <cell r="U22" t="str">
            <v>I H S</v>
          </cell>
        </row>
        <row r="23">
          <cell r="A23" t="str">
            <v>OST_113</v>
          </cell>
          <cell r="B23" t="str">
            <v>IHS_BMD_025</v>
          </cell>
          <cell r="C23" t="str">
            <v>OST_113</v>
          </cell>
          <cell r="D23" t="str">
            <v>West</v>
          </cell>
          <cell r="E23" t="str">
            <v>North West</v>
          </cell>
          <cell r="F23" t="str">
            <v>Bda-Titam-Naka</v>
          </cell>
          <cell r="G23" t="str">
            <v>P4</v>
          </cell>
          <cell r="H23" t="str">
            <v>Grid-Gen</v>
          </cell>
          <cell r="I23" t="str">
            <v>On Air</v>
          </cell>
          <cell r="J23" t="str">
            <v>Outdoor</v>
          </cell>
          <cell r="K23" t="str">
            <v>AC</v>
          </cell>
          <cell r="L23" t="str">
            <v>I-Eng</v>
          </cell>
          <cell r="M23" t="str">
            <v>Bamenda</v>
          </cell>
          <cell r="N23" t="str">
            <v>Mezam</v>
          </cell>
          <cell r="O23" t="str">
            <v>Bamenda 2</v>
          </cell>
          <cell r="P23" t="str">
            <v>Abdul Jalil</v>
          </cell>
          <cell r="Q23">
            <v>652206934</v>
          </cell>
          <cell r="R23">
            <v>655022976</v>
          </cell>
          <cell r="S23" t="str">
            <v>Vensa Mohammadu</v>
          </cell>
          <cell r="T23" t="str">
            <v>GEORGES NAKHOUL</v>
          </cell>
          <cell r="U23" t="str">
            <v>I H S</v>
          </cell>
        </row>
        <row r="24">
          <cell r="A24" t="str">
            <v>NRO_219</v>
          </cell>
          <cell r="B24" t="str">
            <v>IHS_BMD_057</v>
          </cell>
          <cell r="C24" t="str">
            <v>NRO_219</v>
          </cell>
          <cell r="D24" t="str">
            <v>West</v>
          </cell>
          <cell r="E24" t="str">
            <v>North West</v>
          </cell>
          <cell r="F24" t="str">
            <v>Widikum</v>
          </cell>
          <cell r="G24" t="str">
            <v>P4</v>
          </cell>
          <cell r="H24" t="str">
            <v>Vandalized</v>
          </cell>
          <cell r="I24" t="str">
            <v>Vandalized</v>
          </cell>
          <cell r="J24" t="str">
            <v>Outdoor</v>
          </cell>
          <cell r="K24" t="str">
            <v>AC</v>
          </cell>
          <cell r="L24" t="str">
            <v>I-Eng</v>
          </cell>
          <cell r="M24" t="str">
            <v>Bamenda</v>
          </cell>
          <cell r="N24" t="str">
            <v>Momo</v>
          </cell>
          <cell r="O24" t="str">
            <v>Widikum</v>
          </cell>
          <cell r="P24" t="str">
            <v>Abdul Jalil</v>
          </cell>
          <cell r="Q24">
            <v>652206934</v>
          </cell>
          <cell r="R24">
            <v>655022976</v>
          </cell>
          <cell r="S24" t="str">
            <v>Vensa Mohammadu</v>
          </cell>
          <cell r="T24" t="str">
            <v>GEORGES NAKHOUL</v>
          </cell>
          <cell r="U24" t="str">
            <v>I H S</v>
          </cell>
        </row>
        <row r="25">
          <cell r="A25" t="str">
            <v>NRO_238</v>
          </cell>
          <cell r="B25" t="str">
            <v>IHS_BMD_090</v>
          </cell>
          <cell r="C25" t="str">
            <v>NRO_238</v>
          </cell>
          <cell r="D25" t="str">
            <v>West</v>
          </cell>
          <cell r="E25" t="str">
            <v>North West</v>
          </cell>
          <cell r="F25" t="str">
            <v>Nkor</v>
          </cell>
          <cell r="G25" t="str">
            <v>P4</v>
          </cell>
          <cell r="H25" t="str">
            <v>Solar-Gen</v>
          </cell>
          <cell r="I25" t="str">
            <v>On Air</v>
          </cell>
          <cell r="J25" t="str">
            <v>Outdoor</v>
          </cell>
          <cell r="K25" t="str">
            <v>AC</v>
          </cell>
          <cell r="L25" t="str">
            <v>I-Eng</v>
          </cell>
          <cell r="M25" t="str">
            <v>Kumbo</v>
          </cell>
          <cell r="N25" t="str">
            <v>Bui</v>
          </cell>
          <cell r="O25" t="str">
            <v>Nkor</v>
          </cell>
          <cell r="P25" t="str">
            <v>Abdul Jalil</v>
          </cell>
          <cell r="S25" t="str">
            <v>Vensa Mohammadu</v>
          </cell>
          <cell r="T25" t="str">
            <v>GEORGES NAKHOUL</v>
          </cell>
          <cell r="U25" t="str">
            <v>I H S</v>
          </cell>
        </row>
        <row r="26">
          <cell r="A26" t="str">
            <v>SUO_016</v>
          </cell>
          <cell r="B26" t="str">
            <v>IHS_KMB_076</v>
          </cell>
          <cell r="C26" t="str">
            <v>SUO_016</v>
          </cell>
          <cell r="D26" t="str">
            <v>West</v>
          </cell>
          <cell r="E26" t="str">
            <v>North West</v>
          </cell>
          <cell r="F26" t="str">
            <v>Eyumojock</v>
          </cell>
          <cell r="G26" t="str">
            <v>P4</v>
          </cell>
          <cell r="H26" t="str">
            <v>Solar-Gen</v>
          </cell>
          <cell r="I26" t="str">
            <v>On Air</v>
          </cell>
          <cell r="J26" t="str">
            <v>Indoor</v>
          </cell>
          <cell r="K26" t="str">
            <v>AC</v>
          </cell>
          <cell r="L26" t="str">
            <v>I-Eng</v>
          </cell>
          <cell r="M26" t="str">
            <v>Bamenda</v>
          </cell>
          <cell r="N26" t="str">
            <v>Manyu</v>
          </cell>
          <cell r="O26" t="str">
            <v>Eyumodjock</v>
          </cell>
          <cell r="P26" t="str">
            <v>Abdul Jalil</v>
          </cell>
          <cell r="Q26">
            <v>652206934</v>
          </cell>
          <cell r="R26">
            <v>655022976</v>
          </cell>
          <cell r="S26" t="str">
            <v>Vensa Mohammadu</v>
          </cell>
          <cell r="T26" t="str">
            <v>GEORGES NAKHOUL</v>
          </cell>
          <cell r="U26" t="str">
            <v>I H S</v>
          </cell>
        </row>
        <row r="27">
          <cell r="A27" t="str">
            <v>NRO_218</v>
          </cell>
          <cell r="B27" t="str">
            <v>IHS_BMD_060</v>
          </cell>
          <cell r="C27" t="str">
            <v>NRO_218</v>
          </cell>
          <cell r="D27" t="str">
            <v>West</v>
          </cell>
          <cell r="E27" t="str">
            <v>North West</v>
          </cell>
          <cell r="F27" t="str">
            <v>Andek</v>
          </cell>
          <cell r="G27" t="str">
            <v>P4</v>
          </cell>
          <cell r="H27" t="str">
            <v>Vandalized</v>
          </cell>
          <cell r="I27" t="str">
            <v>Vandalized</v>
          </cell>
          <cell r="J27" t="str">
            <v>Outdoor</v>
          </cell>
          <cell r="K27" t="str">
            <v>AC</v>
          </cell>
          <cell r="L27" t="str">
            <v>I-Eng</v>
          </cell>
          <cell r="M27" t="str">
            <v>Bamenda</v>
          </cell>
          <cell r="N27" t="str">
            <v>Momo</v>
          </cell>
          <cell r="O27" t="str">
            <v>Andek</v>
          </cell>
          <cell r="P27" t="str">
            <v>Abdul Jalil</v>
          </cell>
          <cell r="Q27">
            <v>652206934</v>
          </cell>
          <cell r="R27">
            <v>655022976</v>
          </cell>
          <cell r="S27" t="str">
            <v>Vensa Mohammadu</v>
          </cell>
          <cell r="T27" t="str">
            <v>GEORGES NAKHOUL</v>
          </cell>
          <cell r="U27" t="str">
            <v>I H S</v>
          </cell>
        </row>
        <row r="28">
          <cell r="A28" t="str">
            <v>NRO_018</v>
          </cell>
          <cell r="B28" t="str">
            <v>IHS_BMD_078</v>
          </cell>
          <cell r="C28" t="str">
            <v>NRO_018</v>
          </cell>
          <cell r="D28" t="str">
            <v>West</v>
          </cell>
          <cell r="E28" t="str">
            <v>North West</v>
          </cell>
          <cell r="F28" t="str">
            <v>TADU</v>
          </cell>
          <cell r="G28" t="str">
            <v>P4</v>
          </cell>
          <cell r="H28" t="str">
            <v>Hybrid-Gen</v>
          </cell>
          <cell r="I28" t="str">
            <v>On Air</v>
          </cell>
          <cell r="J28" t="str">
            <v>Outdoor</v>
          </cell>
          <cell r="K28" t="str">
            <v>AC</v>
          </cell>
          <cell r="L28" t="str">
            <v>I-Eng</v>
          </cell>
          <cell r="M28" t="str">
            <v>Kumbo</v>
          </cell>
          <cell r="N28" t="str">
            <v>BUI</v>
          </cell>
          <cell r="O28" t="str">
            <v>Tadu</v>
          </cell>
          <cell r="P28" t="str">
            <v>Abdul Jalil</v>
          </cell>
          <cell r="S28" t="str">
            <v>Vensa Mohammadu</v>
          </cell>
          <cell r="T28" t="str">
            <v>GEORGES NAKHOUL</v>
          </cell>
          <cell r="U28" t="str">
            <v>I H S</v>
          </cell>
        </row>
        <row r="29">
          <cell r="A29" t="str">
            <v>NRO_091</v>
          </cell>
          <cell r="B29" t="str">
            <v>IHS_BMD_2214</v>
          </cell>
          <cell r="C29" t="str">
            <v>NRO_091</v>
          </cell>
          <cell r="D29" t="str">
            <v>West</v>
          </cell>
          <cell r="E29" t="str">
            <v>North West</v>
          </cell>
          <cell r="F29" t="str">
            <v>PINYIN NGALI</v>
          </cell>
          <cell r="G29" t="str">
            <v>P4</v>
          </cell>
          <cell r="H29" t="str">
            <v>Solar-Gen</v>
          </cell>
          <cell r="I29" t="str">
            <v>On Air</v>
          </cell>
          <cell r="J29" t="str">
            <v>OutDoor</v>
          </cell>
          <cell r="K29" t="str">
            <v>AC</v>
          </cell>
          <cell r="L29" t="str">
            <v>I-Eng</v>
          </cell>
          <cell r="M29" t="str">
            <v>Bamenda</v>
          </cell>
          <cell r="N29" t="str">
            <v>Mezam</v>
          </cell>
          <cell r="O29" t="str">
            <v>Tubah</v>
          </cell>
          <cell r="P29" t="str">
            <v>Abdul Jalil</v>
          </cell>
          <cell r="Q29">
            <v>652206934</v>
          </cell>
          <cell r="R29">
            <v>655022976</v>
          </cell>
          <cell r="S29" t="str">
            <v>Vensa Mohammadu</v>
          </cell>
          <cell r="T29" t="str">
            <v>GEORGES NAKHOUL</v>
          </cell>
          <cell r="U29" t="str">
            <v>I H S</v>
          </cell>
        </row>
        <row r="30">
          <cell r="A30" t="str">
            <v>NRO_022</v>
          </cell>
          <cell r="B30" t="str">
            <v>IHS_BMD_061</v>
          </cell>
          <cell r="C30" t="str">
            <v>NRO_022</v>
          </cell>
          <cell r="D30" t="str">
            <v>West</v>
          </cell>
          <cell r="E30" t="str">
            <v>North West</v>
          </cell>
          <cell r="F30" t="str">
            <v>NJIKWA</v>
          </cell>
          <cell r="G30" t="str">
            <v>P4</v>
          </cell>
          <cell r="H30" t="str">
            <v>Gen Only</v>
          </cell>
          <cell r="I30" t="str">
            <v>On Air</v>
          </cell>
          <cell r="J30" t="str">
            <v>Outdoor</v>
          </cell>
          <cell r="K30" t="str">
            <v>AC</v>
          </cell>
          <cell r="L30" t="str">
            <v>I-Eng</v>
          </cell>
          <cell r="M30" t="str">
            <v>Bamenda</v>
          </cell>
          <cell r="N30" t="str">
            <v>Momo</v>
          </cell>
          <cell r="O30" t="str">
            <v>Njikwa</v>
          </cell>
          <cell r="P30" t="str">
            <v>Abdul Jalil</v>
          </cell>
          <cell r="Q30">
            <v>652206934</v>
          </cell>
          <cell r="R30">
            <v>655022976</v>
          </cell>
          <cell r="S30" t="str">
            <v>Vensa Mohammadu</v>
          </cell>
          <cell r="T30" t="str">
            <v>GEORGES NAKHOUL</v>
          </cell>
          <cell r="U30" t="str">
            <v>I H S</v>
          </cell>
        </row>
        <row r="31">
          <cell r="A31" t="str">
            <v>NRO_088</v>
          </cell>
          <cell r="B31" t="str">
            <v>IHS_BMD_2224</v>
          </cell>
          <cell r="C31" t="str">
            <v>NRO_088</v>
          </cell>
          <cell r="D31" t="str">
            <v>West</v>
          </cell>
          <cell r="E31" t="str">
            <v>North West</v>
          </cell>
          <cell r="F31" t="str">
            <v>Nchum</v>
          </cell>
          <cell r="G31" t="str">
            <v>P4</v>
          </cell>
          <cell r="H31" t="str">
            <v>Hybrid-Gen</v>
          </cell>
          <cell r="I31" t="str">
            <v>On Air</v>
          </cell>
          <cell r="J31" t="str">
            <v>Outdoor</v>
          </cell>
          <cell r="K31" t="str">
            <v>AC</v>
          </cell>
          <cell r="L31" t="str">
            <v>I-Eng</v>
          </cell>
          <cell r="M31" t="str">
            <v>Bamenda</v>
          </cell>
          <cell r="N31" t="str">
            <v>Mezam</v>
          </cell>
          <cell r="O31" t="str">
            <v>Bafut</v>
          </cell>
          <cell r="P31" t="str">
            <v>Abdul Jalil</v>
          </cell>
          <cell r="Q31">
            <v>652206934</v>
          </cell>
          <cell r="R31">
            <v>655022976</v>
          </cell>
          <cell r="S31" t="str">
            <v>Vensa Mohammadu</v>
          </cell>
          <cell r="T31" t="str">
            <v>GEORGES NAKHOUL</v>
          </cell>
          <cell r="U31" t="str">
            <v>I H S</v>
          </cell>
        </row>
        <row r="32">
          <cell r="A32" t="str">
            <v>NRO_065</v>
          </cell>
          <cell r="B32" t="str">
            <v>IHS_BMD_016</v>
          </cell>
          <cell r="C32" t="str">
            <v>NRO_065</v>
          </cell>
          <cell r="D32" t="str">
            <v>West</v>
          </cell>
          <cell r="E32" t="str">
            <v>North West</v>
          </cell>
          <cell r="F32" t="str">
            <v>Mbatu</v>
          </cell>
          <cell r="G32" t="str">
            <v>P4</v>
          </cell>
          <cell r="H32" t="str">
            <v>Grid-Gen</v>
          </cell>
          <cell r="I32" t="str">
            <v>On Air</v>
          </cell>
          <cell r="J32" t="str">
            <v>Outdoor</v>
          </cell>
          <cell r="K32" t="str">
            <v>AC</v>
          </cell>
          <cell r="L32" t="str">
            <v>I-Eng</v>
          </cell>
          <cell r="M32" t="str">
            <v>Bamenda</v>
          </cell>
          <cell r="N32" t="str">
            <v>Mezam</v>
          </cell>
          <cell r="O32" t="str">
            <v>Bamenda 2</v>
          </cell>
          <cell r="P32" t="str">
            <v>Abdul Jalil</v>
          </cell>
          <cell r="Q32">
            <v>652206934</v>
          </cell>
          <cell r="R32">
            <v>655022976</v>
          </cell>
          <cell r="S32" t="str">
            <v>Vensa Mohammadu</v>
          </cell>
          <cell r="T32" t="str">
            <v>GEORGES NAKHOUL</v>
          </cell>
          <cell r="U32" t="str">
            <v>I H S</v>
          </cell>
        </row>
        <row r="33">
          <cell r="A33" t="str">
            <v>NRO_086</v>
          </cell>
          <cell r="B33" t="str">
            <v>IHS_KMB_110</v>
          </cell>
          <cell r="C33" t="str">
            <v>NRO_086</v>
          </cell>
          <cell r="D33" t="str">
            <v>West</v>
          </cell>
          <cell r="E33" t="str">
            <v>North West</v>
          </cell>
          <cell r="F33" t="str">
            <v>Berore</v>
          </cell>
          <cell r="G33" t="str">
            <v>P4</v>
          </cell>
          <cell r="H33" t="str">
            <v>Gen Only</v>
          </cell>
          <cell r="I33" t="str">
            <v>On Air</v>
          </cell>
          <cell r="J33" t="str">
            <v>Outdoor</v>
          </cell>
          <cell r="K33" t="str">
            <v>AC</v>
          </cell>
          <cell r="L33" t="str">
            <v>I-Eng</v>
          </cell>
          <cell r="M33" t="str">
            <v>Bamenda</v>
          </cell>
          <cell r="N33" t="str">
            <v>Manyu</v>
          </cell>
          <cell r="O33" t="str">
            <v>Tinto</v>
          </cell>
          <cell r="P33" t="str">
            <v>Abdul Jalil</v>
          </cell>
          <cell r="Q33">
            <v>652206934</v>
          </cell>
          <cell r="R33">
            <v>655022976</v>
          </cell>
          <cell r="S33" t="str">
            <v>Vensa Mohammadu</v>
          </cell>
          <cell r="T33" t="str">
            <v>GEORGES NAKHOUL</v>
          </cell>
          <cell r="U33" t="str">
            <v>I H S</v>
          </cell>
        </row>
        <row r="34">
          <cell r="A34" t="str">
            <v>NRO_119</v>
          </cell>
          <cell r="B34" t="str">
            <v>IHS_BMD_314</v>
          </cell>
          <cell r="C34" t="str">
            <v>NRO_119</v>
          </cell>
          <cell r="D34" t="str">
            <v>West</v>
          </cell>
          <cell r="E34" t="str">
            <v>North West</v>
          </cell>
          <cell r="F34" t="str">
            <v>Bamenda Old Town</v>
          </cell>
          <cell r="G34" t="str">
            <v>P4</v>
          </cell>
          <cell r="H34" t="str">
            <v>Grid-Gen</v>
          </cell>
          <cell r="I34">
            <v>0</v>
          </cell>
          <cell r="J34" t="str">
            <v>Outdoor</v>
          </cell>
          <cell r="K34" t="str">
            <v>AC</v>
          </cell>
          <cell r="L34" t="str">
            <v>I-Eng</v>
          </cell>
          <cell r="M34" t="str">
            <v>Bamenda</v>
          </cell>
          <cell r="N34" t="str">
            <v>Mezam</v>
          </cell>
          <cell r="O34" t="str">
            <v>Bamenda 2</v>
          </cell>
          <cell r="P34" t="str">
            <v>Abdul Jalil</v>
          </cell>
          <cell r="Q34">
            <v>652206934</v>
          </cell>
          <cell r="R34">
            <v>655022976</v>
          </cell>
          <cell r="S34" t="str">
            <v>Vensa Mohammadu</v>
          </cell>
          <cell r="T34" t="str">
            <v>GEORGES NAKHOUL</v>
          </cell>
          <cell r="U34" t="str">
            <v>I H S</v>
          </cell>
        </row>
        <row r="35">
          <cell r="A35" t="str">
            <v>NRO_127</v>
          </cell>
          <cell r="B35" t="str">
            <v>IHS_BMD_142</v>
          </cell>
          <cell r="C35" t="str">
            <v>NRO_127</v>
          </cell>
          <cell r="D35" t="str">
            <v>West</v>
          </cell>
          <cell r="E35" t="str">
            <v>North West</v>
          </cell>
          <cell r="F35" t="str">
            <v>Bamenda ATTIAH</v>
          </cell>
          <cell r="G35" t="str">
            <v>P4</v>
          </cell>
          <cell r="H35" t="str">
            <v>Grid-Gen</v>
          </cell>
          <cell r="I35">
            <v>0</v>
          </cell>
          <cell r="J35" t="str">
            <v>Outdoor</v>
          </cell>
          <cell r="K35" t="str">
            <v>AC</v>
          </cell>
          <cell r="L35" t="str">
            <v>I-Eng</v>
          </cell>
          <cell r="M35" t="str">
            <v>Bamenda</v>
          </cell>
          <cell r="N35" t="str">
            <v>Mezam</v>
          </cell>
          <cell r="O35" t="str">
            <v>Bamenda 2</v>
          </cell>
          <cell r="P35" t="str">
            <v>Abdul Jalil</v>
          </cell>
          <cell r="Q35">
            <v>652206934</v>
          </cell>
          <cell r="R35">
            <v>655022976</v>
          </cell>
          <cell r="S35" t="str">
            <v>Vensa Mohammadu</v>
          </cell>
          <cell r="T35" t="str">
            <v>GEORGES NAKHOUL</v>
          </cell>
          <cell r="U35" t="str">
            <v>I H S</v>
          </cell>
        </row>
        <row r="36">
          <cell r="A36" t="str">
            <v>NRO_085</v>
          </cell>
          <cell r="B36" t="str">
            <v>IHS_BMD_2220</v>
          </cell>
          <cell r="C36" t="str">
            <v>NRO_085</v>
          </cell>
          <cell r="D36" t="str">
            <v>West</v>
          </cell>
          <cell r="E36" t="str">
            <v>North West</v>
          </cell>
          <cell r="F36" t="str">
            <v>Baba Babungo</v>
          </cell>
          <cell r="G36" t="str">
            <v>P4</v>
          </cell>
          <cell r="H36" t="str">
            <v>Grid-Hybrid-Gen</v>
          </cell>
          <cell r="I36" t="str">
            <v>On Air</v>
          </cell>
          <cell r="J36" t="str">
            <v>Outdoor</v>
          </cell>
          <cell r="K36" t="str">
            <v>AC</v>
          </cell>
          <cell r="L36" t="str">
            <v>I-Eng</v>
          </cell>
          <cell r="M36" t="str">
            <v>Kumbo</v>
          </cell>
          <cell r="N36" t="str">
            <v>Ngo-Ketunjia</v>
          </cell>
          <cell r="O36" t="str">
            <v>Babessi</v>
          </cell>
          <cell r="P36" t="str">
            <v>Abdul Jalil</v>
          </cell>
          <cell r="S36" t="str">
            <v>Vensa Mohammadu</v>
          </cell>
          <cell r="T36" t="str">
            <v>GEORGES NAKHOUL</v>
          </cell>
          <cell r="U36" t="str">
            <v>I H S</v>
          </cell>
        </row>
        <row r="37">
          <cell r="A37" t="str">
            <v>NRO_076</v>
          </cell>
          <cell r="B37" t="str">
            <v>IHS_BMD_2225</v>
          </cell>
          <cell r="C37" t="str">
            <v>NRO_076</v>
          </cell>
          <cell r="D37" t="str">
            <v>West</v>
          </cell>
          <cell r="E37" t="str">
            <v>North West</v>
          </cell>
          <cell r="F37" t="str">
            <v>Tugi Acha Babolong Actur</v>
          </cell>
          <cell r="G37" t="str">
            <v>P4</v>
          </cell>
          <cell r="H37" t="str">
            <v>Gen Only</v>
          </cell>
          <cell r="I37" t="str">
            <v>On Air</v>
          </cell>
          <cell r="J37" t="str">
            <v>Outdoor</v>
          </cell>
          <cell r="K37" t="str">
            <v>AC</v>
          </cell>
          <cell r="L37" t="str">
            <v>I-Eng</v>
          </cell>
          <cell r="M37" t="str">
            <v>Bamenda</v>
          </cell>
          <cell r="N37" t="str">
            <v>Momo</v>
          </cell>
          <cell r="O37" t="str">
            <v>Mbengwi</v>
          </cell>
          <cell r="P37" t="str">
            <v>Abdul Jalil</v>
          </cell>
          <cell r="Q37">
            <v>652206934</v>
          </cell>
          <cell r="R37">
            <v>655022976</v>
          </cell>
          <cell r="S37" t="str">
            <v>Vensa Mohammadu</v>
          </cell>
          <cell r="T37" t="str">
            <v>GEORGES NAKHOUL</v>
          </cell>
          <cell r="U37" t="str">
            <v>I H S</v>
          </cell>
        </row>
        <row r="38">
          <cell r="A38" t="str">
            <v>NRO_124</v>
          </cell>
          <cell r="B38" t="str">
            <v>IHS_BMD_005</v>
          </cell>
          <cell r="C38" t="str">
            <v>NRO_124</v>
          </cell>
          <cell r="D38" t="str">
            <v>West</v>
          </cell>
          <cell r="E38" t="str">
            <v>North West</v>
          </cell>
          <cell r="F38" t="str">
            <v>T Junction</v>
          </cell>
          <cell r="G38" t="str">
            <v>P4</v>
          </cell>
          <cell r="H38" t="str">
            <v>Grid-Gen</v>
          </cell>
          <cell r="I38">
            <v>0</v>
          </cell>
          <cell r="J38" t="str">
            <v>Outdoor</v>
          </cell>
          <cell r="K38" t="str">
            <v>AC</v>
          </cell>
          <cell r="L38" t="str">
            <v>I-Eng</v>
          </cell>
          <cell r="M38" t="str">
            <v>Bamenda</v>
          </cell>
          <cell r="N38" t="str">
            <v>Mezam</v>
          </cell>
          <cell r="O38" t="str">
            <v>Bamenda 2</v>
          </cell>
          <cell r="P38" t="str">
            <v>Abdul Jalil</v>
          </cell>
          <cell r="Q38">
            <v>652206934</v>
          </cell>
          <cell r="R38">
            <v>655022976</v>
          </cell>
          <cell r="S38" t="str">
            <v>Vensa Mohammadu</v>
          </cell>
          <cell r="T38" t="str">
            <v>GEORGES NAKHOUL</v>
          </cell>
          <cell r="U38" t="str">
            <v>I H S</v>
          </cell>
        </row>
        <row r="39">
          <cell r="A39" t="str">
            <v>NRO_120</v>
          </cell>
          <cell r="B39" t="str">
            <v>IHS_BMD_014</v>
          </cell>
          <cell r="C39" t="str">
            <v>NRO_120</v>
          </cell>
          <cell r="D39" t="str">
            <v>West</v>
          </cell>
          <cell r="E39" t="str">
            <v>North West</v>
          </cell>
          <cell r="F39" t="str">
            <v>Mulang</v>
          </cell>
          <cell r="G39" t="str">
            <v>P4</v>
          </cell>
          <cell r="H39" t="str">
            <v>Grid-Gen</v>
          </cell>
          <cell r="I39">
            <v>0</v>
          </cell>
          <cell r="J39" t="str">
            <v>Outdoor</v>
          </cell>
          <cell r="K39" t="str">
            <v>AC</v>
          </cell>
          <cell r="L39" t="str">
            <v>I-Eng</v>
          </cell>
          <cell r="M39" t="str">
            <v>Bamenda</v>
          </cell>
          <cell r="N39" t="str">
            <v>Mezam</v>
          </cell>
          <cell r="O39" t="str">
            <v>Bamenda 2</v>
          </cell>
          <cell r="P39" t="str">
            <v>Abdul Jalil</v>
          </cell>
          <cell r="Q39">
            <v>652206934</v>
          </cell>
          <cell r="R39">
            <v>655022976</v>
          </cell>
          <cell r="S39" t="str">
            <v>Vensa Mohammadu</v>
          </cell>
          <cell r="T39" t="str">
            <v>GEORGES NAKHOUL</v>
          </cell>
          <cell r="U39" t="str">
            <v>I H S</v>
          </cell>
        </row>
        <row r="40">
          <cell r="A40" t="str">
            <v>NRO_123</v>
          </cell>
          <cell r="B40" t="str">
            <v>IHS_BMD_002</v>
          </cell>
          <cell r="C40" t="str">
            <v>NRO_123</v>
          </cell>
          <cell r="D40" t="str">
            <v>West</v>
          </cell>
          <cell r="E40" t="str">
            <v>North West</v>
          </cell>
          <cell r="F40" t="str">
            <v>Evidence building</v>
          </cell>
          <cell r="G40" t="str">
            <v>P4</v>
          </cell>
          <cell r="H40" t="str">
            <v>Grid-Gen</v>
          </cell>
          <cell r="I40">
            <v>0</v>
          </cell>
          <cell r="J40" t="str">
            <v>Outdoor</v>
          </cell>
          <cell r="K40" t="str">
            <v>AC</v>
          </cell>
          <cell r="L40" t="str">
            <v>I-Eng</v>
          </cell>
          <cell r="M40" t="str">
            <v>Bamenda</v>
          </cell>
          <cell r="N40" t="str">
            <v>Mezam</v>
          </cell>
          <cell r="O40" t="str">
            <v>Bamenda 2</v>
          </cell>
          <cell r="P40" t="str">
            <v>Abdul Jalil</v>
          </cell>
          <cell r="Q40">
            <v>652206934</v>
          </cell>
          <cell r="R40">
            <v>655022976</v>
          </cell>
          <cell r="S40" t="str">
            <v>Vensa Mohammadu</v>
          </cell>
          <cell r="T40" t="str">
            <v>GEORGES NAKHOUL</v>
          </cell>
          <cell r="U40" t="str">
            <v>I H S</v>
          </cell>
        </row>
        <row r="41">
          <cell r="A41" t="str">
            <v>NRO_244</v>
          </cell>
          <cell r="B41" t="str">
            <v>IHS_BMD_023</v>
          </cell>
          <cell r="C41" t="str">
            <v>NRO_244</v>
          </cell>
          <cell r="D41" t="str">
            <v>West</v>
          </cell>
          <cell r="E41" t="str">
            <v>North West</v>
          </cell>
          <cell r="F41" t="str">
            <v>Nkwein-Clinic-St-Louis-MTN</v>
          </cell>
          <cell r="G41" t="str">
            <v>P4</v>
          </cell>
          <cell r="H41" t="str">
            <v>Grid-Gen</v>
          </cell>
          <cell r="I41" t="str">
            <v>On Air</v>
          </cell>
          <cell r="J41" t="str">
            <v>Indoor</v>
          </cell>
          <cell r="K41" t="str">
            <v>AC</v>
          </cell>
          <cell r="L41" t="str">
            <v>I-Eng</v>
          </cell>
          <cell r="M41" t="str">
            <v>Bamenda</v>
          </cell>
          <cell r="N41" t="str">
            <v>Mezam</v>
          </cell>
          <cell r="O41" t="str">
            <v>Bamenda 3</v>
          </cell>
          <cell r="P41" t="str">
            <v>Abdul Jalil</v>
          </cell>
          <cell r="Q41">
            <v>652206934</v>
          </cell>
          <cell r="R41">
            <v>655022976</v>
          </cell>
          <cell r="S41" t="str">
            <v>Vensa Mohammadu</v>
          </cell>
          <cell r="T41" t="str">
            <v>GEORGES NAKHOUL</v>
          </cell>
          <cell r="U41" t="str">
            <v>I H S</v>
          </cell>
        </row>
        <row r="42">
          <cell r="A42" t="str">
            <v>NRO_126</v>
          </cell>
          <cell r="B42" t="str">
            <v>IHS_BMD_003</v>
          </cell>
          <cell r="C42" t="str">
            <v>NRO_126</v>
          </cell>
          <cell r="D42" t="str">
            <v>West</v>
          </cell>
          <cell r="E42" t="str">
            <v>North West</v>
          </cell>
          <cell r="F42" t="str">
            <v>Gospel Radio</v>
          </cell>
          <cell r="G42" t="str">
            <v>P4</v>
          </cell>
          <cell r="H42" t="str">
            <v>Grid-Gen</v>
          </cell>
          <cell r="I42">
            <v>0</v>
          </cell>
          <cell r="J42" t="str">
            <v>Outdoor</v>
          </cell>
          <cell r="K42" t="str">
            <v>AC</v>
          </cell>
          <cell r="L42" t="str">
            <v>I-Eng</v>
          </cell>
          <cell r="M42" t="str">
            <v>Bamenda</v>
          </cell>
          <cell r="N42" t="str">
            <v>Mezam</v>
          </cell>
          <cell r="O42" t="str">
            <v>Bamenda 2</v>
          </cell>
          <cell r="P42" t="str">
            <v>Abdul Jalil</v>
          </cell>
          <cell r="Q42">
            <v>652206934</v>
          </cell>
          <cell r="R42">
            <v>655022976</v>
          </cell>
          <cell r="S42" t="str">
            <v>Vensa Mohammadu</v>
          </cell>
          <cell r="T42" t="str">
            <v>GEORGES NAKHOUL</v>
          </cell>
          <cell r="U42" t="str">
            <v>I H S</v>
          </cell>
        </row>
        <row r="43">
          <cell r="A43" t="str">
            <v>NRO_061</v>
          </cell>
          <cell r="B43" t="str">
            <v>IHS_BMD_030</v>
          </cell>
          <cell r="C43" t="str">
            <v>NRO_061</v>
          </cell>
          <cell r="D43" t="str">
            <v>West</v>
          </cell>
          <cell r="E43" t="str">
            <v>North West</v>
          </cell>
          <cell r="F43" t="str">
            <v>Bambili University</v>
          </cell>
          <cell r="G43" t="str">
            <v>P4</v>
          </cell>
          <cell r="H43" t="str">
            <v>Grid-Gen</v>
          </cell>
          <cell r="I43" t="str">
            <v>On Air</v>
          </cell>
          <cell r="J43" t="str">
            <v>Outdoor</v>
          </cell>
          <cell r="K43" t="str">
            <v>AC</v>
          </cell>
          <cell r="L43" t="str">
            <v>I-Eng</v>
          </cell>
          <cell r="M43" t="str">
            <v>Bamenda</v>
          </cell>
          <cell r="N43" t="str">
            <v>Mezam</v>
          </cell>
          <cell r="O43" t="str">
            <v>tubah</v>
          </cell>
          <cell r="P43" t="str">
            <v>Abdul Jalil</v>
          </cell>
          <cell r="Q43">
            <v>652206934</v>
          </cell>
          <cell r="R43">
            <v>655022976</v>
          </cell>
          <cell r="S43" t="str">
            <v>Vensa Mohammadu</v>
          </cell>
          <cell r="T43" t="str">
            <v>GEORGES NAKHOUL</v>
          </cell>
          <cell r="U43" t="str">
            <v>I H S</v>
          </cell>
        </row>
        <row r="44">
          <cell r="A44" t="str">
            <v>NRO_118</v>
          </cell>
          <cell r="B44" t="str">
            <v>IHS_BMD_012</v>
          </cell>
          <cell r="C44" t="str">
            <v>NRO_118</v>
          </cell>
          <cell r="D44" t="str">
            <v>West</v>
          </cell>
          <cell r="E44" t="str">
            <v>North West</v>
          </cell>
          <cell r="F44" t="str">
            <v>Bamenda sisia quarter</v>
          </cell>
          <cell r="G44" t="str">
            <v>P4</v>
          </cell>
          <cell r="H44" t="str">
            <v>Grid-Gen</v>
          </cell>
          <cell r="I44">
            <v>0</v>
          </cell>
          <cell r="J44" t="str">
            <v>Outdoor</v>
          </cell>
          <cell r="K44" t="str">
            <v>AC</v>
          </cell>
          <cell r="L44" t="str">
            <v>I-Eng</v>
          </cell>
          <cell r="M44" t="str">
            <v>Bamenda</v>
          </cell>
          <cell r="N44" t="str">
            <v>Mezam</v>
          </cell>
          <cell r="O44" t="str">
            <v>Bamenda 2</v>
          </cell>
          <cell r="P44" t="str">
            <v>Abdul Jalil</v>
          </cell>
          <cell r="Q44">
            <v>652206934</v>
          </cell>
          <cell r="R44">
            <v>655022976</v>
          </cell>
          <cell r="S44" t="str">
            <v>Vensa Mohammadu</v>
          </cell>
          <cell r="T44" t="str">
            <v>GEORGES NAKHOUL</v>
          </cell>
          <cell r="U44" t="str">
            <v>I H S</v>
          </cell>
        </row>
        <row r="45">
          <cell r="A45" t="str">
            <v>NRO_131</v>
          </cell>
          <cell r="B45" t="str">
            <v>IHS_BMD_004</v>
          </cell>
          <cell r="C45" t="str">
            <v>NRO_131</v>
          </cell>
          <cell r="D45" t="str">
            <v>West</v>
          </cell>
          <cell r="E45" t="str">
            <v>North West</v>
          </cell>
          <cell r="F45" t="str">
            <v>Bamenda hospital round about</v>
          </cell>
          <cell r="G45" t="str">
            <v>P4</v>
          </cell>
          <cell r="H45" t="str">
            <v>Grid-Gen</v>
          </cell>
          <cell r="I45">
            <v>0</v>
          </cell>
          <cell r="J45" t="str">
            <v>Outdoor</v>
          </cell>
          <cell r="K45" t="str">
            <v>AC</v>
          </cell>
          <cell r="L45" t="str">
            <v>I-Eng</v>
          </cell>
          <cell r="M45" t="str">
            <v>Bamenda</v>
          </cell>
          <cell r="N45" t="str">
            <v>Mezam</v>
          </cell>
          <cell r="O45" t="str">
            <v>Bamenda 2</v>
          </cell>
          <cell r="P45" t="str">
            <v>Abdul Jalil</v>
          </cell>
          <cell r="Q45">
            <v>652206934</v>
          </cell>
          <cell r="R45">
            <v>655022976</v>
          </cell>
          <cell r="S45" t="str">
            <v>Vensa Mohammadu</v>
          </cell>
          <cell r="T45" t="str">
            <v>GEORGES NAKHOUL</v>
          </cell>
          <cell r="U45" t="str">
            <v>I H S</v>
          </cell>
        </row>
        <row r="46">
          <cell r="A46" t="str">
            <v>NRO_066</v>
          </cell>
          <cell r="B46" t="str">
            <v>IHS_BMD_019</v>
          </cell>
          <cell r="C46" t="str">
            <v>NRO_066</v>
          </cell>
          <cell r="D46" t="str">
            <v>West</v>
          </cell>
          <cell r="E46" t="str">
            <v>North West</v>
          </cell>
          <cell r="F46" t="str">
            <v>Bamenda Bus Station</v>
          </cell>
          <cell r="G46" t="str">
            <v>P4</v>
          </cell>
          <cell r="H46" t="str">
            <v>Grid-Gen</v>
          </cell>
          <cell r="I46" t="str">
            <v>On Air</v>
          </cell>
          <cell r="J46" t="str">
            <v>Outdoor</v>
          </cell>
          <cell r="K46" t="str">
            <v>AC</v>
          </cell>
          <cell r="L46" t="str">
            <v>I-Eng</v>
          </cell>
          <cell r="M46" t="str">
            <v>Bamenda</v>
          </cell>
          <cell r="N46" t="str">
            <v>Mezam</v>
          </cell>
          <cell r="O46" t="str">
            <v>Bamenda 1</v>
          </cell>
          <cell r="P46" t="str">
            <v>Abdul Jalil</v>
          </cell>
          <cell r="Q46">
            <v>652206934</v>
          </cell>
          <cell r="R46">
            <v>655022976</v>
          </cell>
          <cell r="S46" t="str">
            <v>Vensa Mohammadu</v>
          </cell>
          <cell r="T46" t="str">
            <v>GEORGES NAKHOUL</v>
          </cell>
          <cell r="U46" t="str">
            <v>I H S</v>
          </cell>
        </row>
        <row r="47">
          <cell r="A47" t="str">
            <v>NRO_059</v>
          </cell>
          <cell r="B47" t="str">
            <v>IHS_BMD_027</v>
          </cell>
          <cell r="C47" t="str">
            <v>NRO_059</v>
          </cell>
          <cell r="D47" t="str">
            <v>West</v>
          </cell>
          <cell r="E47" t="str">
            <v>North West</v>
          </cell>
          <cell r="F47" t="str">
            <v>Mankon Palace</v>
          </cell>
          <cell r="G47" t="str">
            <v>P4</v>
          </cell>
          <cell r="H47" t="str">
            <v>Grid-Gen</v>
          </cell>
          <cell r="I47" t="str">
            <v>On Air</v>
          </cell>
          <cell r="J47" t="str">
            <v>Outdoor</v>
          </cell>
          <cell r="K47" t="str">
            <v>AC</v>
          </cell>
          <cell r="L47" t="str">
            <v>I-Eng</v>
          </cell>
          <cell r="M47" t="str">
            <v>Bamenda</v>
          </cell>
          <cell r="N47" t="str">
            <v>Mezam</v>
          </cell>
          <cell r="O47" t="str">
            <v>Bamenda 2</v>
          </cell>
          <cell r="P47" t="str">
            <v>Abdul Jalil</v>
          </cell>
          <cell r="Q47">
            <v>652206934</v>
          </cell>
          <cell r="R47">
            <v>655022976</v>
          </cell>
          <cell r="S47" t="str">
            <v>Vensa Mohammadu</v>
          </cell>
          <cell r="T47" t="str">
            <v>GEORGES NAKHOUL</v>
          </cell>
          <cell r="U47" t="str">
            <v>I H S</v>
          </cell>
        </row>
        <row r="48">
          <cell r="A48" t="str">
            <v>NRO_110</v>
          </cell>
          <cell r="B48" t="str">
            <v>IHS_BMD_080</v>
          </cell>
          <cell r="C48" t="str">
            <v>NRO_110</v>
          </cell>
          <cell r="D48" t="str">
            <v>West</v>
          </cell>
          <cell r="E48" t="str">
            <v>North West</v>
          </cell>
          <cell r="F48" t="str">
            <v>Oku-Marche</v>
          </cell>
          <cell r="G48" t="str">
            <v>P4</v>
          </cell>
          <cell r="H48" t="str">
            <v>Grid-Gen</v>
          </cell>
          <cell r="I48" t="str">
            <v>On Air</v>
          </cell>
          <cell r="J48" t="str">
            <v>Outdoor</v>
          </cell>
          <cell r="K48" t="str">
            <v>AC</v>
          </cell>
          <cell r="L48" t="str">
            <v>I-Eng</v>
          </cell>
          <cell r="M48" t="str">
            <v>Kumbo</v>
          </cell>
          <cell r="N48" t="str">
            <v>Bui</v>
          </cell>
          <cell r="O48" t="str">
            <v>Elak Oku</v>
          </cell>
          <cell r="P48" t="str">
            <v>Abdul Jalil</v>
          </cell>
          <cell r="S48" t="str">
            <v>Vensa Mohammadu</v>
          </cell>
          <cell r="T48" t="str">
            <v>GEORGES NAKHOUL</v>
          </cell>
          <cell r="U48" t="str">
            <v>I H S</v>
          </cell>
        </row>
        <row r="49">
          <cell r="A49" t="str">
            <v>NRO_103</v>
          </cell>
          <cell r="B49" t="str">
            <v>IHS_BMD_051</v>
          </cell>
          <cell r="C49" t="str">
            <v>NRO_103</v>
          </cell>
          <cell r="D49" t="str">
            <v>West</v>
          </cell>
          <cell r="E49" t="str">
            <v>North West</v>
          </cell>
          <cell r="F49" t="str">
            <v>Pinyin-New</v>
          </cell>
          <cell r="G49" t="str">
            <v>P4</v>
          </cell>
          <cell r="H49" t="str">
            <v>Grid-Gen</v>
          </cell>
          <cell r="I49" t="str">
            <v>On Air</v>
          </cell>
          <cell r="J49" t="str">
            <v>Outdoor</v>
          </cell>
          <cell r="K49" t="str">
            <v>AC</v>
          </cell>
          <cell r="L49" t="str">
            <v>I-Eng</v>
          </cell>
          <cell r="M49" t="str">
            <v>Bamenda</v>
          </cell>
          <cell r="N49" t="str">
            <v>Mezam</v>
          </cell>
          <cell r="O49" t="str">
            <v>Santa</v>
          </cell>
          <cell r="P49" t="str">
            <v>Abdul Jalil</v>
          </cell>
          <cell r="Q49">
            <v>652206934</v>
          </cell>
          <cell r="R49">
            <v>655022976</v>
          </cell>
          <cell r="S49" t="str">
            <v>Vensa Mohammadu</v>
          </cell>
          <cell r="T49" t="str">
            <v>GEORGES NAKHOUL</v>
          </cell>
          <cell r="U49" t="str">
            <v>I H S</v>
          </cell>
        </row>
        <row r="50">
          <cell r="A50" t="str">
            <v>NRO_039</v>
          </cell>
          <cell r="B50" t="str">
            <v>IHS_BMD_068</v>
          </cell>
          <cell r="C50" t="str">
            <v>NRO_039</v>
          </cell>
          <cell r="D50" t="str">
            <v>West</v>
          </cell>
          <cell r="E50" t="str">
            <v>North West</v>
          </cell>
          <cell r="F50" t="str">
            <v>Vikovi</v>
          </cell>
          <cell r="G50" t="str">
            <v>P4</v>
          </cell>
          <cell r="H50" t="str">
            <v>Grid-Gen</v>
          </cell>
          <cell r="I50" t="str">
            <v>On Air</v>
          </cell>
          <cell r="J50" t="str">
            <v>Outdoor</v>
          </cell>
          <cell r="K50" t="str">
            <v>AC</v>
          </cell>
          <cell r="L50" t="str">
            <v>I-Eng</v>
          </cell>
          <cell r="M50" t="str">
            <v>Kumbo</v>
          </cell>
          <cell r="N50" t="str">
            <v>Bui</v>
          </cell>
          <cell r="O50" t="str">
            <v>Jakiri</v>
          </cell>
          <cell r="P50" t="str">
            <v>Abdul Jalil</v>
          </cell>
          <cell r="S50" t="str">
            <v>Vensa Mohammadu</v>
          </cell>
          <cell r="T50" t="str">
            <v>GEORGES NAKHOUL</v>
          </cell>
          <cell r="U50" t="str">
            <v>I H S</v>
          </cell>
        </row>
        <row r="51">
          <cell r="A51" t="str">
            <v>NRO_254</v>
          </cell>
          <cell r="B51" t="str">
            <v>IHS_BMD_029</v>
          </cell>
          <cell r="C51" t="str">
            <v>NRO_254</v>
          </cell>
          <cell r="D51" t="str">
            <v>West</v>
          </cell>
          <cell r="E51" t="str">
            <v>North West</v>
          </cell>
          <cell r="F51" t="str">
            <v>Bda-Tubah-MTN</v>
          </cell>
          <cell r="G51" t="str">
            <v>P4</v>
          </cell>
          <cell r="H51" t="str">
            <v>Grid-Gen</v>
          </cell>
          <cell r="I51" t="str">
            <v>On Air</v>
          </cell>
          <cell r="J51" t="str">
            <v>Outdoor</v>
          </cell>
          <cell r="K51" t="str">
            <v>AC</v>
          </cell>
          <cell r="L51" t="str">
            <v>I-Eng</v>
          </cell>
          <cell r="M51" t="str">
            <v>Bamenda</v>
          </cell>
          <cell r="N51" t="str">
            <v>Mezam</v>
          </cell>
          <cell r="O51" t="str">
            <v>tubah</v>
          </cell>
          <cell r="P51" t="str">
            <v>Abdul Jalil</v>
          </cell>
          <cell r="Q51">
            <v>652206934</v>
          </cell>
          <cell r="R51">
            <v>655022976</v>
          </cell>
          <cell r="S51" t="str">
            <v>Vensa Mohammadu</v>
          </cell>
          <cell r="T51" t="str">
            <v>GEORGES NAKHOUL</v>
          </cell>
          <cell r="U51" t="str">
            <v>I H S</v>
          </cell>
        </row>
        <row r="52">
          <cell r="A52" t="str">
            <v>NRO_026</v>
          </cell>
          <cell r="B52" t="str">
            <v>IHS_KMB_073</v>
          </cell>
          <cell r="C52" t="str">
            <v>NRO_026</v>
          </cell>
          <cell r="D52" t="str">
            <v>West</v>
          </cell>
          <cell r="E52" t="str">
            <v>North West</v>
          </cell>
          <cell r="F52" t="str">
            <v>Kembong-IHS</v>
          </cell>
          <cell r="G52" t="str">
            <v>P4</v>
          </cell>
          <cell r="H52" t="str">
            <v>Grid-Gen</v>
          </cell>
          <cell r="I52" t="str">
            <v>On Air</v>
          </cell>
          <cell r="J52" t="str">
            <v>Outdoor</v>
          </cell>
          <cell r="K52" t="str">
            <v>AC</v>
          </cell>
          <cell r="L52" t="str">
            <v>I-Eng</v>
          </cell>
          <cell r="M52" t="str">
            <v>Bamenda</v>
          </cell>
          <cell r="N52" t="str">
            <v>Manyu</v>
          </cell>
          <cell r="O52" t="str">
            <v>Eyumodjock</v>
          </cell>
          <cell r="P52" t="str">
            <v>Abdul Jalil</v>
          </cell>
          <cell r="Q52">
            <v>652206934</v>
          </cell>
          <cell r="R52">
            <v>655022976</v>
          </cell>
          <cell r="S52" t="str">
            <v>Vensa Mohammadu</v>
          </cell>
          <cell r="T52" t="str">
            <v>GEORGES NAKHOUL</v>
          </cell>
          <cell r="U52" t="str">
            <v>I H S</v>
          </cell>
        </row>
        <row r="53">
          <cell r="A53" t="str">
            <v>NRO_063</v>
          </cell>
          <cell r="B53" t="str">
            <v>IHS_BMD_022</v>
          </cell>
          <cell r="C53" t="str">
            <v>NRO_063</v>
          </cell>
          <cell r="D53" t="str">
            <v>West</v>
          </cell>
          <cell r="E53" t="str">
            <v>North West</v>
          </cell>
          <cell r="F53" t="str">
            <v>Bamenda GTTC</v>
          </cell>
          <cell r="G53" t="str">
            <v>P4</v>
          </cell>
          <cell r="H53" t="str">
            <v>Grid-Gen</v>
          </cell>
          <cell r="I53" t="str">
            <v>On Air</v>
          </cell>
          <cell r="J53" t="str">
            <v>Outdoor</v>
          </cell>
          <cell r="K53" t="str">
            <v>AC</v>
          </cell>
          <cell r="L53" t="str">
            <v>I-Eng</v>
          </cell>
          <cell r="M53" t="str">
            <v>Bamenda</v>
          </cell>
          <cell r="N53" t="str">
            <v>Mezam</v>
          </cell>
          <cell r="O53" t="str">
            <v>Bamenda 2</v>
          </cell>
          <cell r="P53" t="str">
            <v>Abdul Jalil</v>
          </cell>
          <cell r="Q53">
            <v>652206934</v>
          </cell>
          <cell r="R53">
            <v>655022976</v>
          </cell>
          <cell r="S53" t="str">
            <v>Vensa Mohammadu</v>
          </cell>
          <cell r="T53" t="str">
            <v>GEORGES NAKHOUL</v>
          </cell>
          <cell r="U53" t="str">
            <v>I H S</v>
          </cell>
        </row>
        <row r="54">
          <cell r="A54" t="str">
            <v>NRO_104</v>
          </cell>
          <cell r="B54" t="str">
            <v>IHS_BMD_039</v>
          </cell>
          <cell r="C54" t="str">
            <v>NRO_104</v>
          </cell>
          <cell r="D54" t="str">
            <v>West</v>
          </cell>
          <cell r="E54" t="str">
            <v>North West</v>
          </cell>
          <cell r="F54" t="str">
            <v>Santa-New</v>
          </cell>
          <cell r="G54" t="str">
            <v>P4</v>
          </cell>
          <cell r="H54" t="str">
            <v>Grid-Gen</v>
          </cell>
          <cell r="I54" t="str">
            <v>On Air</v>
          </cell>
          <cell r="J54" t="str">
            <v>Indoor</v>
          </cell>
          <cell r="K54" t="str">
            <v>AC</v>
          </cell>
          <cell r="L54" t="str">
            <v>I-Eng</v>
          </cell>
          <cell r="M54" t="str">
            <v>Bamenda</v>
          </cell>
          <cell r="N54" t="str">
            <v>Mezam</v>
          </cell>
          <cell r="O54" t="str">
            <v>Santa</v>
          </cell>
          <cell r="P54" t="str">
            <v>Abdul Jalil</v>
          </cell>
          <cell r="Q54">
            <v>652206934</v>
          </cell>
          <cell r="R54">
            <v>655022976</v>
          </cell>
          <cell r="S54" t="str">
            <v>Vensa Mohammadu</v>
          </cell>
          <cell r="T54" t="str">
            <v>GEORGES NAKHOUL</v>
          </cell>
          <cell r="U54" t="str">
            <v>I H S</v>
          </cell>
        </row>
        <row r="55">
          <cell r="A55" t="str">
            <v>NRO_122</v>
          </cell>
          <cell r="B55" t="str">
            <v>IHS_BMD_007</v>
          </cell>
          <cell r="C55" t="str">
            <v>NRO_122</v>
          </cell>
          <cell r="D55" t="str">
            <v>West</v>
          </cell>
          <cell r="E55" t="str">
            <v>North West</v>
          </cell>
          <cell r="F55" t="str">
            <v>Nitob</v>
          </cell>
          <cell r="G55" t="str">
            <v>P4</v>
          </cell>
          <cell r="H55" t="str">
            <v>Grid-Gen</v>
          </cell>
          <cell r="I55">
            <v>0</v>
          </cell>
          <cell r="J55" t="str">
            <v>Indoor</v>
          </cell>
          <cell r="K55" t="str">
            <v>AC</v>
          </cell>
          <cell r="L55" t="str">
            <v>I-Eng</v>
          </cell>
          <cell r="M55" t="str">
            <v>Bamenda</v>
          </cell>
          <cell r="N55" t="str">
            <v>Mezam</v>
          </cell>
          <cell r="O55" t="str">
            <v>Bamenda 2</v>
          </cell>
          <cell r="P55" t="str">
            <v>Abdul Jalil</v>
          </cell>
          <cell r="Q55">
            <v>652206934</v>
          </cell>
          <cell r="R55">
            <v>655022976</v>
          </cell>
          <cell r="S55" t="str">
            <v>Vensa Mohammadu</v>
          </cell>
          <cell r="T55" t="str">
            <v>GEORGES NAKHOUL</v>
          </cell>
          <cell r="U55" t="str">
            <v>I H S</v>
          </cell>
        </row>
        <row r="56">
          <cell r="A56" t="str">
            <v>SUO_100</v>
          </cell>
          <cell r="B56" t="str">
            <v>IHS_KMB_069</v>
          </cell>
          <cell r="C56" t="str">
            <v>SUO_100</v>
          </cell>
          <cell r="D56" t="str">
            <v>West</v>
          </cell>
          <cell r="E56" t="str">
            <v>North West</v>
          </cell>
          <cell r="F56" t="str">
            <v>Ossing</v>
          </cell>
          <cell r="G56" t="str">
            <v>P4</v>
          </cell>
          <cell r="H56" t="str">
            <v>Hybrid-Gen</v>
          </cell>
          <cell r="I56" t="str">
            <v>On Air</v>
          </cell>
          <cell r="J56" t="str">
            <v>Outdoor</v>
          </cell>
          <cell r="K56" t="str">
            <v>AC</v>
          </cell>
          <cell r="L56" t="str">
            <v>I-Eng</v>
          </cell>
          <cell r="M56" t="str">
            <v>Bamenda</v>
          </cell>
          <cell r="N56" t="str">
            <v>Manyu</v>
          </cell>
          <cell r="O56" t="str">
            <v>Eyumodjock</v>
          </cell>
          <cell r="P56" t="str">
            <v>Abdul Jalil</v>
          </cell>
          <cell r="Q56">
            <v>652206934</v>
          </cell>
          <cell r="R56">
            <v>655022976</v>
          </cell>
          <cell r="S56" t="str">
            <v>Vensa Mohammadu</v>
          </cell>
          <cell r="T56" t="str">
            <v>GEORGES NAKHOUL</v>
          </cell>
          <cell r="U56" t="str">
            <v>I H S</v>
          </cell>
        </row>
        <row r="57">
          <cell r="A57" t="str">
            <v>NRO_261</v>
          </cell>
          <cell r="B57" t="str">
            <v>IHS_KMB_074</v>
          </cell>
          <cell r="C57" t="str">
            <v>NRO_261</v>
          </cell>
          <cell r="D57" t="str">
            <v>West</v>
          </cell>
          <cell r="E57" t="str">
            <v>North West</v>
          </cell>
          <cell r="F57" t="str">
            <v>Number49-MTN</v>
          </cell>
          <cell r="G57" t="str">
            <v>P4</v>
          </cell>
          <cell r="H57" t="str">
            <v>Grid-Gen</v>
          </cell>
          <cell r="I57" t="str">
            <v>On Air</v>
          </cell>
          <cell r="J57" t="str">
            <v>Outdoor</v>
          </cell>
          <cell r="K57" t="str">
            <v>AC</v>
          </cell>
          <cell r="L57" t="str">
            <v>I-Eng</v>
          </cell>
          <cell r="M57" t="str">
            <v>Bamenda</v>
          </cell>
          <cell r="N57" t="str">
            <v>Momo</v>
          </cell>
          <cell r="O57" t="str">
            <v>Widikum</v>
          </cell>
          <cell r="P57" t="str">
            <v>Abdul Jalil</v>
          </cell>
          <cell r="Q57">
            <v>652206934</v>
          </cell>
          <cell r="R57">
            <v>655022976</v>
          </cell>
          <cell r="S57" t="str">
            <v>Vensa Mohammadu</v>
          </cell>
          <cell r="T57" t="str">
            <v>GEORGES NAKHOUL</v>
          </cell>
          <cell r="U57" t="str">
            <v>I H S</v>
          </cell>
        </row>
        <row r="58">
          <cell r="A58" t="str">
            <v>SUO_053</v>
          </cell>
          <cell r="B58" t="str">
            <v>IHS_KMB_055</v>
          </cell>
          <cell r="C58" t="str">
            <v>SUO_053</v>
          </cell>
          <cell r="D58" t="str">
            <v>West</v>
          </cell>
          <cell r="E58" t="str">
            <v>North West</v>
          </cell>
          <cell r="F58" t="str">
            <v>Faichang</v>
          </cell>
          <cell r="G58" t="str">
            <v>P4</v>
          </cell>
          <cell r="H58" t="str">
            <v>Hybrid-Gen</v>
          </cell>
          <cell r="I58" t="str">
            <v>On Air</v>
          </cell>
          <cell r="J58" t="str">
            <v>Outdoor</v>
          </cell>
          <cell r="K58" t="str">
            <v>AC</v>
          </cell>
          <cell r="L58" t="str">
            <v>I-Eng</v>
          </cell>
          <cell r="M58" t="str">
            <v>Bamenda</v>
          </cell>
          <cell r="N58" t="str">
            <v>Manyu</v>
          </cell>
          <cell r="O58" t="str">
            <v>Tinto</v>
          </cell>
          <cell r="P58" t="str">
            <v>Abdul Jalil</v>
          </cell>
          <cell r="Q58">
            <v>652206934</v>
          </cell>
          <cell r="R58">
            <v>655022976</v>
          </cell>
          <cell r="S58" t="str">
            <v>Vensa Mohammadu</v>
          </cell>
          <cell r="T58" t="str">
            <v>GEORGES NAKHOUL</v>
          </cell>
          <cell r="U58" t="str">
            <v>I H S</v>
          </cell>
        </row>
        <row r="59">
          <cell r="A59" t="str">
            <v>NRO_255</v>
          </cell>
          <cell r="B59" t="str">
            <v>IHS_BMD_048</v>
          </cell>
          <cell r="C59" t="str">
            <v>NRO_255</v>
          </cell>
          <cell r="D59" t="str">
            <v>West</v>
          </cell>
          <cell r="E59" t="str">
            <v>North West</v>
          </cell>
          <cell r="F59" t="str">
            <v>Mbakong-MTN</v>
          </cell>
          <cell r="G59" t="str">
            <v>P4</v>
          </cell>
          <cell r="H59" t="str">
            <v>Hybrid-Gen</v>
          </cell>
          <cell r="I59" t="str">
            <v>On Air</v>
          </cell>
          <cell r="J59" t="str">
            <v>Outdoor</v>
          </cell>
          <cell r="K59" t="str">
            <v>AC</v>
          </cell>
          <cell r="L59" t="str">
            <v>I-Eng</v>
          </cell>
          <cell r="M59" t="str">
            <v>Bamenda</v>
          </cell>
          <cell r="N59" t="str">
            <v>Menchum</v>
          </cell>
          <cell r="O59" t="str">
            <v>Bafut</v>
          </cell>
          <cell r="P59" t="str">
            <v>Abdul Jalil</v>
          </cell>
          <cell r="Q59">
            <v>652206934</v>
          </cell>
          <cell r="R59">
            <v>655022976</v>
          </cell>
          <cell r="S59" t="str">
            <v>Vensa Mohammadu</v>
          </cell>
          <cell r="T59" t="str">
            <v>GEORGES NAKHOUL</v>
          </cell>
          <cell r="U59" t="str">
            <v>I H S</v>
          </cell>
        </row>
        <row r="60">
          <cell r="A60" t="str">
            <v>SUO_107</v>
          </cell>
          <cell r="B60" t="str">
            <v>IHS_KMB_064</v>
          </cell>
          <cell r="C60" t="str">
            <v>SUO_107</v>
          </cell>
          <cell r="D60" t="str">
            <v>West</v>
          </cell>
          <cell r="E60" t="str">
            <v>North West</v>
          </cell>
          <cell r="F60" t="str">
            <v>Manfe Town</v>
          </cell>
          <cell r="G60" t="str">
            <v>P4</v>
          </cell>
          <cell r="H60" t="str">
            <v>Gen Only</v>
          </cell>
          <cell r="I60" t="str">
            <v>On Air</v>
          </cell>
          <cell r="J60" t="str">
            <v>Outdoor</v>
          </cell>
          <cell r="K60" t="str">
            <v>AC</v>
          </cell>
          <cell r="L60" t="str">
            <v>I-Eng</v>
          </cell>
          <cell r="M60" t="str">
            <v>Bamenda</v>
          </cell>
          <cell r="N60" t="str">
            <v>Manyu</v>
          </cell>
          <cell r="O60" t="str">
            <v>Mamfe</v>
          </cell>
          <cell r="P60" t="str">
            <v>Abdul Jalil</v>
          </cell>
          <cell r="Q60">
            <v>652206934</v>
          </cell>
          <cell r="R60">
            <v>655022976</v>
          </cell>
          <cell r="S60" t="str">
            <v>Vensa Mohammadu</v>
          </cell>
          <cell r="T60" t="str">
            <v>GEORGES NAKHOUL</v>
          </cell>
          <cell r="U60" t="str">
            <v>I H S</v>
          </cell>
        </row>
        <row r="61">
          <cell r="A61" t="str">
            <v>NRO_239</v>
          </cell>
          <cell r="B61" t="str">
            <v>IHS_BMD_054</v>
          </cell>
          <cell r="C61" t="str">
            <v>NRO_239</v>
          </cell>
          <cell r="D61" t="str">
            <v>West</v>
          </cell>
          <cell r="E61" t="str">
            <v>North West</v>
          </cell>
          <cell r="F61" t="str">
            <v>Befang-MTN</v>
          </cell>
          <cell r="G61" t="str">
            <v>P4</v>
          </cell>
          <cell r="H61" t="str">
            <v>Gen Only</v>
          </cell>
          <cell r="I61" t="str">
            <v>Vandalized</v>
          </cell>
          <cell r="J61" t="str">
            <v>Outdoor</v>
          </cell>
          <cell r="K61" t="str">
            <v>AC</v>
          </cell>
          <cell r="L61" t="str">
            <v>I-Eng</v>
          </cell>
          <cell r="M61" t="str">
            <v>Kumbo</v>
          </cell>
          <cell r="N61" t="str">
            <v>Menchum</v>
          </cell>
          <cell r="O61" t="str">
            <v>Benakuma</v>
          </cell>
          <cell r="P61" t="str">
            <v>Abdul Jalil</v>
          </cell>
          <cell r="S61" t="str">
            <v>Vensa Mohammadu</v>
          </cell>
          <cell r="T61" t="str">
            <v>GEORGES NAKHOUL</v>
          </cell>
          <cell r="U61" t="str">
            <v>I H S</v>
          </cell>
        </row>
        <row r="62">
          <cell r="A62" t="str">
            <v>SUO_089</v>
          </cell>
          <cell r="B62" t="str">
            <v>IHS_KMB_051</v>
          </cell>
          <cell r="C62" t="str">
            <v>SUO_089</v>
          </cell>
          <cell r="D62" t="str">
            <v>West</v>
          </cell>
          <cell r="E62" t="str">
            <v>North West</v>
          </cell>
          <cell r="F62" t="str">
            <v>Ashum-MTN</v>
          </cell>
          <cell r="G62" t="str">
            <v>P4</v>
          </cell>
          <cell r="H62" t="str">
            <v>Gen Only</v>
          </cell>
          <cell r="I62" t="str">
            <v>On Air</v>
          </cell>
          <cell r="J62" t="str">
            <v>Outdoor</v>
          </cell>
          <cell r="K62" t="str">
            <v>AC</v>
          </cell>
          <cell r="L62" t="str">
            <v>I-Eng</v>
          </cell>
          <cell r="M62" t="str">
            <v>Bamenda</v>
          </cell>
          <cell r="N62" t="str">
            <v>Manyu</v>
          </cell>
          <cell r="O62" t="str">
            <v>Tinto</v>
          </cell>
          <cell r="P62" t="str">
            <v>Abdul Jalil</v>
          </cell>
          <cell r="Q62">
            <v>652206934</v>
          </cell>
          <cell r="R62">
            <v>655022976</v>
          </cell>
          <cell r="S62" t="str">
            <v>Vensa Mohammadu</v>
          </cell>
          <cell r="T62" t="str">
            <v>GEORGES NAKHOUL</v>
          </cell>
          <cell r="U62" t="str">
            <v>I H S</v>
          </cell>
        </row>
        <row r="63">
          <cell r="A63" t="str">
            <v>SUO_102</v>
          </cell>
          <cell r="B63" t="str">
            <v>IHS_KMB_065</v>
          </cell>
          <cell r="C63" t="str">
            <v>SUO_102</v>
          </cell>
          <cell r="D63" t="str">
            <v>West</v>
          </cell>
          <cell r="E63" t="str">
            <v>North West</v>
          </cell>
          <cell r="F63" t="str">
            <v>Mile29 Mamfe</v>
          </cell>
          <cell r="G63" t="str">
            <v>P4</v>
          </cell>
          <cell r="H63" t="str">
            <v>Solar-Gen</v>
          </cell>
          <cell r="I63" t="str">
            <v>On Air</v>
          </cell>
          <cell r="J63" t="str">
            <v>Outdoor</v>
          </cell>
          <cell r="K63" t="str">
            <v>AC</v>
          </cell>
          <cell r="L63" t="str">
            <v>I-Eng</v>
          </cell>
          <cell r="M63" t="str">
            <v>Bamenda</v>
          </cell>
          <cell r="N63" t="str">
            <v>Manyu</v>
          </cell>
          <cell r="O63" t="str">
            <v>Mamfe</v>
          </cell>
          <cell r="P63" t="str">
            <v>Abdul Jalil</v>
          </cell>
          <cell r="Q63">
            <v>652206934</v>
          </cell>
          <cell r="R63">
            <v>655022976</v>
          </cell>
          <cell r="S63" t="str">
            <v>Vensa Mohammadu</v>
          </cell>
          <cell r="T63" t="str">
            <v>GEORGES NAKHOUL</v>
          </cell>
          <cell r="U63" t="str">
            <v>I H S</v>
          </cell>
        </row>
        <row r="64">
          <cell r="A64" t="str">
            <v>NRO_129</v>
          </cell>
          <cell r="B64" t="str">
            <v>IHS_BMD_329</v>
          </cell>
          <cell r="C64" t="str">
            <v>NRO_129</v>
          </cell>
          <cell r="D64" t="str">
            <v>West</v>
          </cell>
          <cell r="E64" t="str">
            <v>North West</v>
          </cell>
          <cell r="F64" t="str">
            <v>Bambili Campus</v>
          </cell>
          <cell r="G64" t="str">
            <v>P4</v>
          </cell>
          <cell r="H64" t="str">
            <v>Grid-Gen</v>
          </cell>
          <cell r="I64">
            <v>0</v>
          </cell>
          <cell r="J64" t="str">
            <v>Outdoor</v>
          </cell>
          <cell r="K64" t="str">
            <v>AC</v>
          </cell>
          <cell r="L64" t="str">
            <v>I-Eng</v>
          </cell>
          <cell r="M64" t="str">
            <v>Bamenda</v>
          </cell>
          <cell r="N64" t="str">
            <v>Mezam</v>
          </cell>
          <cell r="O64" t="str">
            <v>Tubah</v>
          </cell>
          <cell r="P64" t="str">
            <v>Abdul Jalil</v>
          </cell>
          <cell r="Q64">
            <v>652206934</v>
          </cell>
          <cell r="R64">
            <v>655022976</v>
          </cell>
          <cell r="S64" t="str">
            <v>Vensa Mohammadu</v>
          </cell>
          <cell r="T64" t="str">
            <v>GEORGES NAKHOUL</v>
          </cell>
          <cell r="U64" t="str">
            <v>I H S</v>
          </cell>
        </row>
        <row r="65">
          <cell r="A65" t="str">
            <v>NRO_130</v>
          </cell>
          <cell r="B65" t="str">
            <v>IHS_BMD_331</v>
          </cell>
          <cell r="C65" t="str">
            <v>NRO_130</v>
          </cell>
          <cell r="D65" t="str">
            <v>West</v>
          </cell>
          <cell r="E65" t="str">
            <v>North West</v>
          </cell>
          <cell r="F65" t="str">
            <v>BAMENDA GRA</v>
          </cell>
          <cell r="G65" t="str">
            <v>P4</v>
          </cell>
          <cell r="H65" t="str">
            <v>Grid-Gen</v>
          </cell>
          <cell r="I65">
            <v>0</v>
          </cell>
          <cell r="J65" t="str">
            <v>Outdoor</v>
          </cell>
          <cell r="K65" t="str">
            <v>AC</v>
          </cell>
          <cell r="L65" t="str">
            <v>I-Eng</v>
          </cell>
          <cell r="M65" t="str">
            <v>Bamenda</v>
          </cell>
          <cell r="N65" t="str">
            <v>Mezam</v>
          </cell>
          <cell r="O65" t="str">
            <v>Bamenda 1</v>
          </cell>
          <cell r="P65" t="str">
            <v>Abdul Jalil</v>
          </cell>
          <cell r="Q65">
            <v>652206934</v>
          </cell>
          <cell r="R65">
            <v>655022976</v>
          </cell>
          <cell r="S65" t="str">
            <v>Vensa Mohammadu</v>
          </cell>
          <cell r="T65" t="str">
            <v>GEORGES NAKHOUL</v>
          </cell>
          <cell r="U65" t="str">
            <v>I H S</v>
          </cell>
        </row>
        <row r="66">
          <cell r="A66" t="str">
            <v>NRO_117</v>
          </cell>
          <cell r="B66" t="str">
            <v>IHS_BMD_333</v>
          </cell>
          <cell r="C66" t="str">
            <v>NRO_117</v>
          </cell>
          <cell r="D66" t="str">
            <v>West</v>
          </cell>
          <cell r="E66" t="str">
            <v>North West</v>
          </cell>
          <cell r="F66" t="str">
            <v>Bamenda Mile4</v>
          </cell>
          <cell r="G66" t="str">
            <v>P4</v>
          </cell>
          <cell r="H66" t="str">
            <v>Grid-Gen</v>
          </cell>
          <cell r="I66">
            <v>0</v>
          </cell>
          <cell r="J66" t="str">
            <v>Outdoor</v>
          </cell>
          <cell r="K66" t="str">
            <v>AC</v>
          </cell>
          <cell r="L66" t="str">
            <v>I-Eng</v>
          </cell>
          <cell r="M66" t="str">
            <v>Bamenda</v>
          </cell>
          <cell r="N66" t="str">
            <v>Mezam</v>
          </cell>
          <cell r="O66" t="str">
            <v>Bamenda 3</v>
          </cell>
          <cell r="P66" t="str">
            <v>Abdul Jalil</v>
          </cell>
          <cell r="Q66">
            <v>652206934</v>
          </cell>
          <cell r="R66">
            <v>655022976</v>
          </cell>
          <cell r="S66" t="str">
            <v>Vensa Mohammadu</v>
          </cell>
          <cell r="T66" t="str">
            <v>GEORGES NAKHOUL</v>
          </cell>
          <cell r="U66" t="str">
            <v>I H S</v>
          </cell>
        </row>
        <row r="67">
          <cell r="A67" t="str">
            <v>SUO_040</v>
          </cell>
          <cell r="B67" t="str">
            <v>IHS_KMB_054</v>
          </cell>
          <cell r="C67" t="str">
            <v>SUO_040</v>
          </cell>
          <cell r="D67" t="str">
            <v>West</v>
          </cell>
          <cell r="E67" t="str">
            <v>North West</v>
          </cell>
          <cell r="F67" t="str">
            <v>Tinto</v>
          </cell>
          <cell r="G67" t="str">
            <v>P5</v>
          </cell>
          <cell r="H67" t="str">
            <v>Gen Only</v>
          </cell>
          <cell r="I67" t="str">
            <v>On Air</v>
          </cell>
          <cell r="J67" t="str">
            <v>Outdoor</v>
          </cell>
          <cell r="K67" t="str">
            <v>AC</v>
          </cell>
          <cell r="L67" t="str">
            <v>I-Eng</v>
          </cell>
          <cell r="M67" t="str">
            <v>Bamenda</v>
          </cell>
          <cell r="N67" t="str">
            <v>MANYU</v>
          </cell>
          <cell r="O67" t="str">
            <v>Tinto</v>
          </cell>
          <cell r="P67" t="str">
            <v>Abdul Jalil</v>
          </cell>
          <cell r="Q67">
            <v>652206934</v>
          </cell>
          <cell r="R67">
            <v>655022976</v>
          </cell>
          <cell r="S67" t="str">
            <v>Vensa Mohammadu</v>
          </cell>
          <cell r="T67" t="str">
            <v>GEORGES NAKHOUL</v>
          </cell>
          <cell r="U67" t="str">
            <v>I H S</v>
          </cell>
        </row>
        <row r="68">
          <cell r="A68" t="str">
            <v>NRO_243</v>
          </cell>
          <cell r="B68" t="str">
            <v>IHS_BMD_021</v>
          </cell>
          <cell r="C68" t="str">
            <v>NRO_243</v>
          </cell>
          <cell r="D68" t="str">
            <v>West</v>
          </cell>
          <cell r="E68" t="str">
            <v>North West</v>
          </cell>
          <cell r="F68" t="str">
            <v>Bda-Mulang</v>
          </cell>
          <cell r="G68" t="str">
            <v>P5</v>
          </cell>
          <cell r="H68" t="str">
            <v>Grid-Gen</v>
          </cell>
          <cell r="I68" t="str">
            <v>On Air</v>
          </cell>
          <cell r="J68" t="str">
            <v>Outdoor</v>
          </cell>
          <cell r="K68" t="str">
            <v>AC</v>
          </cell>
          <cell r="L68" t="str">
            <v>I-Eng</v>
          </cell>
          <cell r="M68" t="str">
            <v>Bamenda</v>
          </cell>
          <cell r="N68" t="str">
            <v>Mezam</v>
          </cell>
          <cell r="O68" t="str">
            <v>Bamenda 2</v>
          </cell>
          <cell r="P68" t="str">
            <v>Abdul Jalil</v>
          </cell>
          <cell r="Q68">
            <v>652206934</v>
          </cell>
          <cell r="R68">
            <v>655022976</v>
          </cell>
          <cell r="S68" t="str">
            <v>Vensa Mohammadu</v>
          </cell>
          <cell r="T68" t="str">
            <v>GEORGES NAKHOUL</v>
          </cell>
          <cell r="U68" t="str">
            <v>I H S</v>
          </cell>
        </row>
        <row r="69">
          <cell r="A69" t="str">
            <v>NRO_017</v>
          </cell>
          <cell r="B69" t="str">
            <v>IHS_BMD_038</v>
          </cell>
          <cell r="C69" t="str">
            <v>NRO_017</v>
          </cell>
          <cell r="D69" t="str">
            <v>West</v>
          </cell>
          <cell r="E69" t="str">
            <v>North West</v>
          </cell>
          <cell r="F69" t="str">
            <v>Bali</v>
          </cell>
          <cell r="G69" t="str">
            <v>P5</v>
          </cell>
          <cell r="H69" t="str">
            <v>Grid-Gen</v>
          </cell>
          <cell r="I69" t="str">
            <v>On Air</v>
          </cell>
          <cell r="J69" t="str">
            <v>Indoor</v>
          </cell>
          <cell r="K69" t="str">
            <v>AC</v>
          </cell>
          <cell r="L69" t="str">
            <v>I-Eng</v>
          </cell>
          <cell r="M69" t="str">
            <v>Bamenda</v>
          </cell>
          <cell r="N69" t="str">
            <v>Mezam</v>
          </cell>
          <cell r="O69" t="str">
            <v>Bali</v>
          </cell>
          <cell r="P69" t="str">
            <v>Abdul Jalil</v>
          </cell>
          <cell r="Q69">
            <v>652206934</v>
          </cell>
          <cell r="R69">
            <v>655022976</v>
          </cell>
          <cell r="S69" t="str">
            <v>Vensa Mohammadu</v>
          </cell>
          <cell r="T69" t="str">
            <v>GEORGES NAKHOUL</v>
          </cell>
          <cell r="U69" t="str">
            <v>I H S</v>
          </cell>
        </row>
        <row r="70">
          <cell r="A70" t="str">
            <v>NRO_024</v>
          </cell>
          <cell r="B70" t="str">
            <v>IHS_BMD_205</v>
          </cell>
          <cell r="C70" t="str">
            <v>NRO_024</v>
          </cell>
          <cell r="D70" t="str">
            <v>West</v>
          </cell>
          <cell r="E70" t="str">
            <v>North West</v>
          </cell>
          <cell r="F70" t="str">
            <v>Babessi-T0</v>
          </cell>
          <cell r="G70" t="str">
            <v>P5</v>
          </cell>
          <cell r="H70" t="str">
            <v>Grid-Gen</v>
          </cell>
          <cell r="I70" t="str">
            <v>On Air</v>
          </cell>
          <cell r="J70" t="str">
            <v>Outdoor</v>
          </cell>
          <cell r="K70" t="str">
            <v>AC</v>
          </cell>
          <cell r="L70" t="str">
            <v>I-Eng</v>
          </cell>
          <cell r="M70" t="str">
            <v>Kumbo</v>
          </cell>
          <cell r="N70" t="str">
            <v>Ngo-Ketunjia</v>
          </cell>
          <cell r="O70" t="str">
            <v>Babessi</v>
          </cell>
          <cell r="P70" t="str">
            <v>Abdul Jalil</v>
          </cell>
          <cell r="S70" t="str">
            <v>Vensa Mohammadu</v>
          </cell>
          <cell r="T70" t="str">
            <v>GEORGES NAKHOUL</v>
          </cell>
          <cell r="U70" t="str">
            <v>I H S</v>
          </cell>
        </row>
        <row r="71">
          <cell r="A71" t="str">
            <v>NRO_222</v>
          </cell>
          <cell r="B71" t="str">
            <v>IHS_BMD_026</v>
          </cell>
          <cell r="C71" t="str">
            <v>NRO_222</v>
          </cell>
          <cell r="D71" t="str">
            <v>West</v>
          </cell>
          <cell r="E71" t="str">
            <v>North West</v>
          </cell>
          <cell r="F71" t="str">
            <v>Nkwein-Ntambang</v>
          </cell>
          <cell r="G71" t="str">
            <v>P5</v>
          </cell>
          <cell r="H71" t="str">
            <v>Grid-Gen</v>
          </cell>
          <cell r="I71" t="str">
            <v>On Air</v>
          </cell>
          <cell r="J71" t="str">
            <v>Outdoor</v>
          </cell>
          <cell r="K71" t="str">
            <v>AC</v>
          </cell>
          <cell r="L71" t="str">
            <v>I-Eng</v>
          </cell>
          <cell r="M71" t="str">
            <v>Bamenda</v>
          </cell>
          <cell r="N71" t="str">
            <v>Mezam</v>
          </cell>
          <cell r="O71" t="str">
            <v>bamenda 3</v>
          </cell>
          <cell r="P71" t="str">
            <v>Abdul Jalil</v>
          </cell>
          <cell r="Q71">
            <v>652206934</v>
          </cell>
          <cell r="R71">
            <v>655022976</v>
          </cell>
          <cell r="S71" t="str">
            <v>Vensa Mohammadu</v>
          </cell>
          <cell r="T71" t="str">
            <v>GEORGES NAKHOUL</v>
          </cell>
          <cell r="U71" t="str">
            <v>I H S</v>
          </cell>
        </row>
        <row r="72">
          <cell r="A72" t="str">
            <v>NRO_062</v>
          </cell>
          <cell r="B72" t="str">
            <v>IHS_BMD_018</v>
          </cell>
          <cell r="C72" t="str">
            <v>NRO_062</v>
          </cell>
          <cell r="D72" t="str">
            <v>West</v>
          </cell>
          <cell r="E72" t="str">
            <v>North West</v>
          </cell>
          <cell r="F72" t="str">
            <v>Bamenda Nkwe Pastoral Center</v>
          </cell>
          <cell r="G72" t="str">
            <v>P5</v>
          </cell>
          <cell r="H72" t="str">
            <v>Grid-Gen</v>
          </cell>
          <cell r="I72" t="str">
            <v>On Air</v>
          </cell>
          <cell r="J72" t="str">
            <v>Outdoor</v>
          </cell>
          <cell r="K72" t="str">
            <v>AC</v>
          </cell>
          <cell r="L72" t="str">
            <v>I-Eng</v>
          </cell>
          <cell r="M72" t="str">
            <v>Bamenda</v>
          </cell>
          <cell r="N72" t="str">
            <v>Mezam</v>
          </cell>
          <cell r="O72" t="str">
            <v>Bamenda 1</v>
          </cell>
          <cell r="P72" t="str">
            <v>Abdul Jalil</v>
          </cell>
          <cell r="Q72">
            <v>652206934</v>
          </cell>
          <cell r="R72">
            <v>655022976</v>
          </cell>
          <cell r="S72" t="str">
            <v>Vensa Mohammadu</v>
          </cell>
          <cell r="T72" t="str">
            <v>GEORGES NAKHOUL</v>
          </cell>
          <cell r="U72" t="str">
            <v>I H S</v>
          </cell>
        </row>
        <row r="73">
          <cell r="A73" t="str">
            <v>NRO_064</v>
          </cell>
          <cell r="B73" t="str">
            <v>IHS_YND_503</v>
          </cell>
          <cell r="C73" t="str">
            <v>NRO_064</v>
          </cell>
          <cell r="D73" t="str">
            <v>West</v>
          </cell>
          <cell r="E73" t="str">
            <v>North West</v>
          </cell>
          <cell r="F73" t="str">
            <v>Bamenda Abangoh</v>
          </cell>
          <cell r="G73" t="str">
            <v>P5</v>
          </cell>
          <cell r="H73" t="str">
            <v>Grid-Gen</v>
          </cell>
          <cell r="I73" t="str">
            <v>On Air</v>
          </cell>
          <cell r="J73" t="str">
            <v>Outdoor</v>
          </cell>
          <cell r="K73" t="str">
            <v>AC</v>
          </cell>
          <cell r="L73" t="str">
            <v>I-Eng</v>
          </cell>
          <cell r="M73" t="str">
            <v>Bamenda</v>
          </cell>
          <cell r="N73" t="str">
            <v>Mezam</v>
          </cell>
          <cell r="O73" t="str">
            <v>Bamenda 1</v>
          </cell>
          <cell r="P73" t="str">
            <v>Abdul Jalil</v>
          </cell>
          <cell r="Q73">
            <v>652206934</v>
          </cell>
          <cell r="R73">
            <v>655022976</v>
          </cell>
          <cell r="S73" t="str">
            <v>Vensa Mohammadu</v>
          </cell>
          <cell r="T73" t="str">
            <v>GEORGES NAKHOUL</v>
          </cell>
          <cell r="U73" t="str">
            <v>I H S</v>
          </cell>
        </row>
        <row r="74">
          <cell r="A74" t="str">
            <v>NRO_102</v>
          </cell>
          <cell r="B74" t="str">
            <v>IHS_BMD_143</v>
          </cell>
          <cell r="C74" t="str">
            <v>NRO_102</v>
          </cell>
          <cell r="D74" t="str">
            <v>West</v>
          </cell>
          <cell r="E74" t="str">
            <v>North West</v>
          </cell>
          <cell r="F74" t="str">
            <v>Bafut Swie Hill</v>
          </cell>
          <cell r="G74" t="str">
            <v>P5</v>
          </cell>
          <cell r="H74" t="str">
            <v>Gen Only</v>
          </cell>
          <cell r="I74" t="str">
            <v>On Air</v>
          </cell>
          <cell r="J74" t="str">
            <v>Outdoor</v>
          </cell>
          <cell r="K74" t="str">
            <v>AC</v>
          </cell>
          <cell r="L74" t="str">
            <v>I-Eng</v>
          </cell>
          <cell r="M74" t="str">
            <v>Bamenda</v>
          </cell>
          <cell r="N74" t="str">
            <v>Mezam</v>
          </cell>
          <cell r="O74" t="str">
            <v>Bafut</v>
          </cell>
          <cell r="P74" t="str">
            <v>Abdul Jalil</v>
          </cell>
          <cell r="Q74">
            <v>652206934</v>
          </cell>
          <cell r="R74">
            <v>655022976</v>
          </cell>
          <cell r="S74" t="str">
            <v>Vensa Mohammadu</v>
          </cell>
          <cell r="T74" t="str">
            <v>GEORGES NAKHOUL</v>
          </cell>
          <cell r="U74" t="str">
            <v>I H S</v>
          </cell>
        </row>
        <row r="75">
          <cell r="A75" t="str">
            <v>NRO_067</v>
          </cell>
          <cell r="B75" t="str">
            <v>IHS_BMD_141</v>
          </cell>
          <cell r="C75" t="str">
            <v>NRO_067</v>
          </cell>
          <cell r="D75" t="str">
            <v>West</v>
          </cell>
          <cell r="E75" t="str">
            <v>North West</v>
          </cell>
          <cell r="F75" t="str">
            <v>Bambui Round About II</v>
          </cell>
          <cell r="G75" t="str">
            <v>P5</v>
          </cell>
          <cell r="H75" t="str">
            <v>Hybrid-Gen</v>
          </cell>
          <cell r="I75" t="str">
            <v>On Air</v>
          </cell>
          <cell r="J75" t="str">
            <v>Outdoor</v>
          </cell>
          <cell r="K75" t="str">
            <v>AC</v>
          </cell>
          <cell r="L75" t="str">
            <v>I-Eng</v>
          </cell>
          <cell r="M75" t="str">
            <v>Bamenda</v>
          </cell>
          <cell r="N75" t="str">
            <v>Mezam</v>
          </cell>
          <cell r="O75" t="str">
            <v>Tubah</v>
          </cell>
          <cell r="P75" t="str">
            <v>Abdul Jalil</v>
          </cell>
          <cell r="Q75">
            <v>652206934</v>
          </cell>
          <cell r="R75">
            <v>655022976</v>
          </cell>
          <cell r="S75" t="str">
            <v>Vensa Mohammadu</v>
          </cell>
          <cell r="T75" t="str">
            <v>GEORGES NAKHOUL</v>
          </cell>
          <cell r="U75" t="str">
            <v>I H S</v>
          </cell>
        </row>
        <row r="76">
          <cell r="A76" t="str">
            <v>NRO_070</v>
          </cell>
          <cell r="B76" t="str">
            <v>IHS_BMD_009</v>
          </cell>
          <cell r="C76" t="str">
            <v>NRO_070</v>
          </cell>
          <cell r="D76" t="str">
            <v>West</v>
          </cell>
          <cell r="E76" t="str">
            <v>North West</v>
          </cell>
          <cell r="F76" t="str">
            <v>Bamenda Meta Quater</v>
          </cell>
          <cell r="G76" t="str">
            <v>P5</v>
          </cell>
          <cell r="H76" t="str">
            <v>Grid-Gen</v>
          </cell>
          <cell r="I76" t="str">
            <v>On Air</v>
          </cell>
          <cell r="J76" t="str">
            <v>Outdoor</v>
          </cell>
          <cell r="K76" t="str">
            <v>AC</v>
          </cell>
          <cell r="L76" t="str">
            <v>I-Eng</v>
          </cell>
          <cell r="M76" t="str">
            <v>Bamenda</v>
          </cell>
          <cell r="N76" t="str">
            <v>Mezam</v>
          </cell>
          <cell r="O76" t="str">
            <v>Bamenda 2</v>
          </cell>
          <cell r="P76" t="str">
            <v>Abdul Jalil</v>
          </cell>
          <cell r="Q76">
            <v>652206934</v>
          </cell>
          <cell r="R76">
            <v>655022976</v>
          </cell>
          <cell r="S76" t="str">
            <v>Vensa Mohammadu</v>
          </cell>
          <cell r="T76" t="str">
            <v>GEORGES NAKHOUL</v>
          </cell>
          <cell r="U76" t="str">
            <v>I H S</v>
          </cell>
        </row>
        <row r="77">
          <cell r="A77" t="str">
            <v>NRO_121</v>
          </cell>
          <cell r="B77" t="str">
            <v>IHS_DLA_403</v>
          </cell>
          <cell r="C77" t="str">
            <v>NRO_121</v>
          </cell>
          <cell r="D77" t="str">
            <v>West</v>
          </cell>
          <cell r="E77" t="str">
            <v>North West</v>
          </cell>
          <cell r="F77" t="str">
            <v>Bamenda Foncha Street</v>
          </cell>
          <cell r="G77" t="str">
            <v>P5</v>
          </cell>
          <cell r="H77" t="str">
            <v>Grid-Gen</v>
          </cell>
          <cell r="I77">
            <v>0</v>
          </cell>
          <cell r="J77" t="str">
            <v>Outdoor</v>
          </cell>
          <cell r="K77" t="str">
            <v>AC</v>
          </cell>
          <cell r="L77" t="str">
            <v>I-Eng</v>
          </cell>
          <cell r="M77" t="str">
            <v>Bamenda</v>
          </cell>
          <cell r="N77" t="str">
            <v>Mezam</v>
          </cell>
          <cell r="O77" t="str">
            <v>Bamenda 2</v>
          </cell>
          <cell r="P77" t="str">
            <v>Abdul Jalil</v>
          </cell>
          <cell r="Q77">
            <v>652206934</v>
          </cell>
          <cell r="R77">
            <v>655022976</v>
          </cell>
          <cell r="S77" t="str">
            <v>Vensa Mohammadu</v>
          </cell>
          <cell r="T77" t="str">
            <v>GEORGES NAKHOUL</v>
          </cell>
          <cell r="U77" t="str">
            <v>I H S</v>
          </cell>
        </row>
        <row r="78">
          <cell r="A78" t="str">
            <v>OST_265</v>
          </cell>
          <cell r="B78" t="str">
            <v>IHS_MBD_012</v>
          </cell>
          <cell r="C78" t="str">
            <v>OST_265</v>
          </cell>
          <cell r="D78" t="str">
            <v>West</v>
          </cell>
          <cell r="E78" t="str">
            <v>North West</v>
          </cell>
          <cell r="F78" t="str">
            <v>Kombou-IHS</v>
          </cell>
          <cell r="G78" t="str">
            <v>P5</v>
          </cell>
          <cell r="H78" t="str">
            <v>Grid-Gen</v>
          </cell>
          <cell r="I78" t="str">
            <v>On Air</v>
          </cell>
          <cell r="J78" t="str">
            <v>Outdoor</v>
          </cell>
          <cell r="K78" t="str">
            <v>AC</v>
          </cell>
          <cell r="L78" t="str">
            <v>I-Eng</v>
          </cell>
          <cell r="M78" t="str">
            <v>Bamenda</v>
          </cell>
          <cell r="N78" t="str">
            <v>BAMBOUTOUS</v>
          </cell>
          <cell r="O78" t="str">
            <v>Babadjou</v>
          </cell>
          <cell r="P78" t="str">
            <v>Abdul Jalil</v>
          </cell>
          <cell r="Q78">
            <v>652206934</v>
          </cell>
          <cell r="R78">
            <v>655022976</v>
          </cell>
          <cell r="S78" t="str">
            <v>Vensa Mohammadu</v>
          </cell>
          <cell r="T78" t="str">
            <v>GEORGES NAKHOUL</v>
          </cell>
          <cell r="U78" t="str">
            <v>I H S</v>
          </cell>
        </row>
        <row r="79">
          <cell r="A79" t="str">
            <v>NRO_240</v>
          </cell>
          <cell r="B79" t="str">
            <v>IHS_BMD_028</v>
          </cell>
          <cell r="C79" t="str">
            <v>NRO_240</v>
          </cell>
          <cell r="D79" t="str">
            <v>West</v>
          </cell>
          <cell r="E79" t="str">
            <v>North West</v>
          </cell>
          <cell r="F79" t="str">
            <v>Akum-Ville-MTN</v>
          </cell>
          <cell r="G79" t="str">
            <v>P5</v>
          </cell>
          <cell r="H79" t="str">
            <v>Grid-Gen</v>
          </cell>
          <cell r="I79" t="str">
            <v>On Air</v>
          </cell>
          <cell r="J79" t="str">
            <v>Outdoor</v>
          </cell>
          <cell r="K79" t="str">
            <v>AC</v>
          </cell>
          <cell r="L79" t="str">
            <v>I-Eng</v>
          </cell>
          <cell r="M79" t="str">
            <v>Bamenda</v>
          </cell>
          <cell r="N79" t="str">
            <v>Mezam</v>
          </cell>
          <cell r="O79" t="str">
            <v>Bali</v>
          </cell>
          <cell r="P79" t="str">
            <v>Abdul Jalil</v>
          </cell>
          <cell r="Q79">
            <v>652206934</v>
          </cell>
          <cell r="R79">
            <v>655022976</v>
          </cell>
          <cell r="S79" t="str">
            <v>Vensa Mohammadu</v>
          </cell>
          <cell r="T79" t="str">
            <v>GEORGES NAKHOUL</v>
          </cell>
          <cell r="U79" t="str">
            <v>I H S</v>
          </cell>
        </row>
        <row r="80">
          <cell r="A80" t="str">
            <v>NRO_068</v>
          </cell>
          <cell r="B80" t="str">
            <v>IHS_BMD_138</v>
          </cell>
          <cell r="C80" t="str">
            <v>NRO_068</v>
          </cell>
          <cell r="D80" t="str">
            <v>West</v>
          </cell>
          <cell r="E80" t="str">
            <v>North West</v>
          </cell>
          <cell r="F80" t="str">
            <v>Bambili Round About OCM</v>
          </cell>
          <cell r="G80" t="str">
            <v>P5</v>
          </cell>
          <cell r="H80" t="str">
            <v>Grid-Gen</v>
          </cell>
          <cell r="I80" t="str">
            <v>On Air</v>
          </cell>
          <cell r="J80" t="str">
            <v>Outdoor</v>
          </cell>
          <cell r="K80" t="str">
            <v>AC</v>
          </cell>
          <cell r="L80" t="str">
            <v>I-Eng</v>
          </cell>
          <cell r="M80" t="str">
            <v>Bamenda</v>
          </cell>
          <cell r="N80" t="str">
            <v>Mezam</v>
          </cell>
          <cell r="O80" t="str">
            <v>Tubah</v>
          </cell>
          <cell r="P80" t="str">
            <v>Abdul Jalil</v>
          </cell>
          <cell r="Q80">
            <v>652206934</v>
          </cell>
          <cell r="R80">
            <v>655022976</v>
          </cell>
          <cell r="S80" t="str">
            <v>Vensa Mohammadu</v>
          </cell>
          <cell r="T80" t="str">
            <v>GEORGES NAKHOUL</v>
          </cell>
          <cell r="U80" t="str">
            <v>I H S</v>
          </cell>
        </row>
        <row r="81">
          <cell r="A81" t="str">
            <v>NRO_256</v>
          </cell>
          <cell r="B81" t="str">
            <v>IHS_BMD_053</v>
          </cell>
          <cell r="C81" t="str">
            <v>NRO_256</v>
          </cell>
          <cell r="D81" t="str">
            <v>West</v>
          </cell>
          <cell r="E81" t="str">
            <v>North West</v>
          </cell>
          <cell r="F81" t="str">
            <v>Aguli-MTN</v>
          </cell>
          <cell r="G81" t="str">
            <v>P5</v>
          </cell>
          <cell r="H81" t="str">
            <v>Hybrid-Gen</v>
          </cell>
          <cell r="I81" t="str">
            <v>On Air</v>
          </cell>
          <cell r="J81" t="str">
            <v>Outdoor</v>
          </cell>
          <cell r="K81" t="str">
            <v>AC</v>
          </cell>
          <cell r="L81" t="str">
            <v>I-Eng</v>
          </cell>
          <cell r="M81" t="str">
            <v>Bamenda</v>
          </cell>
          <cell r="N81" t="str">
            <v>Menchum</v>
          </cell>
          <cell r="O81" t="str">
            <v>Wum</v>
          </cell>
          <cell r="P81" t="str">
            <v>Abdul Jalil</v>
          </cell>
          <cell r="Q81">
            <v>652206934</v>
          </cell>
          <cell r="R81">
            <v>655022976</v>
          </cell>
          <cell r="S81" t="str">
            <v>Vensa Mohammadu</v>
          </cell>
          <cell r="T81" t="str">
            <v>GEORGES NAKHOUL</v>
          </cell>
          <cell r="U81" t="str">
            <v>I H S</v>
          </cell>
        </row>
        <row r="82">
          <cell r="A82" t="str">
            <v>NRO_125</v>
          </cell>
          <cell r="B82" t="str">
            <v>IHS_BMD_332</v>
          </cell>
          <cell r="C82" t="str">
            <v>NRO_125</v>
          </cell>
          <cell r="D82" t="str">
            <v>West</v>
          </cell>
          <cell r="E82" t="str">
            <v>North West</v>
          </cell>
          <cell r="F82" t="str">
            <v>BAMENDA NCHUOBUH</v>
          </cell>
          <cell r="G82" t="str">
            <v>P5</v>
          </cell>
          <cell r="H82" t="str">
            <v>Grid-Gen</v>
          </cell>
          <cell r="I82">
            <v>0</v>
          </cell>
          <cell r="J82" t="str">
            <v>Outdoor</v>
          </cell>
          <cell r="K82" t="str">
            <v>AC</v>
          </cell>
          <cell r="L82" t="str">
            <v>I-Eng</v>
          </cell>
          <cell r="M82" t="str">
            <v>Bamenda</v>
          </cell>
          <cell r="N82" t="str">
            <v>Mezam</v>
          </cell>
          <cell r="O82" t="str">
            <v>Bamenda 2</v>
          </cell>
          <cell r="P82" t="str">
            <v>Abdul Jalil</v>
          </cell>
          <cell r="Q82">
            <v>652206934</v>
          </cell>
          <cell r="R82">
            <v>655022976</v>
          </cell>
          <cell r="S82" t="str">
            <v>Vensa Mohammadu</v>
          </cell>
          <cell r="T82" t="str">
            <v>GEORGES NAKHOUL</v>
          </cell>
          <cell r="U82" t="str">
            <v>I H S</v>
          </cell>
        </row>
        <row r="83">
          <cell r="A83" t="str">
            <v>NRO_128</v>
          </cell>
          <cell r="B83" t="str">
            <v>IHS_BMD_330</v>
          </cell>
          <cell r="C83" t="str">
            <v>NRO_128</v>
          </cell>
          <cell r="D83" t="str">
            <v>West</v>
          </cell>
          <cell r="E83" t="str">
            <v>North West</v>
          </cell>
          <cell r="F83" t="str">
            <v>Bamenda Blue Moon</v>
          </cell>
          <cell r="G83" t="str">
            <v>P5</v>
          </cell>
          <cell r="H83" t="str">
            <v>Grid-Gen</v>
          </cell>
          <cell r="I83">
            <v>0</v>
          </cell>
          <cell r="J83" t="str">
            <v>Outdoor</v>
          </cell>
          <cell r="K83" t="str">
            <v>AC</v>
          </cell>
          <cell r="L83" t="str">
            <v>I-Eng</v>
          </cell>
          <cell r="M83" t="str">
            <v>Bamenda</v>
          </cell>
          <cell r="N83" t="str">
            <v>Mezam</v>
          </cell>
          <cell r="O83" t="str">
            <v>Bamenda 1</v>
          </cell>
          <cell r="P83" t="str">
            <v>Abdul Jalil</v>
          </cell>
          <cell r="Q83">
            <v>652206934</v>
          </cell>
          <cell r="R83">
            <v>655022976</v>
          </cell>
          <cell r="S83" t="str">
            <v>Vensa Mohammadu</v>
          </cell>
          <cell r="T83" t="str">
            <v>GEORGES NAKHOUL</v>
          </cell>
          <cell r="U83" t="str">
            <v>I H S</v>
          </cell>
        </row>
        <row r="84">
          <cell r="A84" t="str">
            <v> NRO_134</v>
          </cell>
          <cell r="B84" t="str">
            <v>IHS_BMD_202</v>
          </cell>
          <cell r="C84" t="str">
            <v> NRO_134</v>
          </cell>
          <cell r="D84" t="str">
            <v>West</v>
          </cell>
          <cell r="E84" t="str">
            <v>North West</v>
          </cell>
          <cell r="F84" t="str">
            <v>Bamenda Ntasen</v>
          </cell>
          <cell r="G84" t="str">
            <v>P3</v>
          </cell>
          <cell r="H84" t="str">
            <v>Grid-Gen</v>
          </cell>
          <cell r="I84">
            <v>0</v>
          </cell>
          <cell r="J84" t="str">
            <v>Outdoor</v>
          </cell>
          <cell r="K84" t="str">
            <v>AC</v>
          </cell>
          <cell r="L84" t="str">
            <v>I-Eng</v>
          </cell>
          <cell r="M84" t="str">
            <v>Bamenda</v>
          </cell>
          <cell r="N84" t="str">
            <v>Mezam</v>
          </cell>
          <cell r="O84" t="str">
            <v>Bamenda 2</v>
          </cell>
          <cell r="P84" t="str">
            <v>Abdul Jalil</v>
          </cell>
          <cell r="Q84">
            <v>652206934</v>
          </cell>
          <cell r="R84">
            <v>655022976</v>
          </cell>
          <cell r="S84" t="str">
            <v>Vensa Mohammadu</v>
          </cell>
          <cell r="T84" t="str">
            <v>GEORGES NAKHOUL</v>
          </cell>
          <cell r="U84" t="str">
            <v>I H S</v>
          </cell>
        </row>
        <row r="85">
          <cell r="A85" t="str">
            <v>   NRO_135</v>
          </cell>
          <cell r="B85" t="str">
            <v>IHS_BMD_315</v>
          </cell>
          <cell r="C85" t="str">
            <v>   NRO_135</v>
          </cell>
          <cell r="D85" t="str">
            <v>West</v>
          </cell>
          <cell r="E85" t="str">
            <v>North West</v>
          </cell>
          <cell r="F85" t="str">
            <v>Bamenda Mile 8</v>
          </cell>
          <cell r="G85" t="str">
            <v>P4</v>
          </cell>
          <cell r="H85" t="str">
            <v>Grid-Gen</v>
          </cell>
          <cell r="I85">
            <v>0</v>
          </cell>
          <cell r="J85" t="str">
            <v>Outdoor</v>
          </cell>
          <cell r="K85" t="str">
            <v>AC</v>
          </cell>
          <cell r="L85" t="str">
            <v>I-Eng</v>
          </cell>
          <cell r="M85" t="str">
            <v>Bamenda</v>
          </cell>
          <cell r="N85" t="str">
            <v>Mezam</v>
          </cell>
          <cell r="O85" t="str">
            <v>Bamenda 2</v>
          </cell>
          <cell r="P85" t="str">
            <v>Abdul Jalil</v>
          </cell>
          <cell r="Q85">
            <v>652206934</v>
          </cell>
          <cell r="R85">
            <v>655022976</v>
          </cell>
          <cell r="S85" t="str">
            <v>Vensa Mohammadu</v>
          </cell>
          <cell r="T85" t="str">
            <v>GEORGES NAKHOUL</v>
          </cell>
          <cell r="U85" t="str">
            <v>I H S</v>
          </cell>
        </row>
        <row r="86">
          <cell r="A86" t="str">
            <v> NRO_133</v>
          </cell>
          <cell r="B86" t="str">
            <v>IHS_BMD_313</v>
          </cell>
          <cell r="C86" t="str">
            <v> NRO_133</v>
          </cell>
          <cell r="D86" t="str">
            <v>West</v>
          </cell>
          <cell r="E86" t="str">
            <v>North West</v>
          </cell>
          <cell r="F86" t="str">
            <v>Bamenda Bujong</v>
          </cell>
          <cell r="G86" t="str">
            <v>P4</v>
          </cell>
          <cell r="H86" t="str">
            <v>Grid-Gen</v>
          </cell>
          <cell r="I86">
            <v>0</v>
          </cell>
          <cell r="J86" t="str">
            <v>Outdoor</v>
          </cell>
          <cell r="K86" t="str">
            <v>AC</v>
          </cell>
          <cell r="L86" t="str">
            <v>I-Eng</v>
          </cell>
          <cell r="M86" t="str">
            <v>Bamenda</v>
          </cell>
          <cell r="N86" t="str">
            <v>Mezam</v>
          </cell>
          <cell r="O86" t="str">
            <v>Bamenda 1</v>
          </cell>
          <cell r="P86" t="str">
            <v>Abdul Jalil</v>
          </cell>
          <cell r="Q86">
            <v>652206934</v>
          </cell>
          <cell r="R86">
            <v>655022976</v>
          </cell>
          <cell r="S86" t="str">
            <v>Vensa Mohammadu</v>
          </cell>
          <cell r="T86" t="str">
            <v>GEORGES NAKHOUL</v>
          </cell>
          <cell r="U86" t="str">
            <v>I H S</v>
          </cell>
        </row>
        <row r="87">
          <cell r="A87" t="str">
            <v> NRO_139</v>
          </cell>
          <cell r="B87" t="str">
            <v>IHS_BMD_2213</v>
          </cell>
          <cell r="C87" t="str">
            <v> NRO_139</v>
          </cell>
          <cell r="D87" t="str">
            <v>West</v>
          </cell>
          <cell r="E87" t="str">
            <v>North West</v>
          </cell>
          <cell r="F87" t="str">
            <v>AKUM</v>
          </cell>
          <cell r="G87" t="str">
            <v>P4</v>
          </cell>
          <cell r="H87" t="str">
            <v>Grid-Gen</v>
          </cell>
          <cell r="I87">
            <v>0</v>
          </cell>
          <cell r="J87" t="str">
            <v>Outdoor</v>
          </cell>
          <cell r="K87" t="str">
            <v>AC</v>
          </cell>
          <cell r="L87" t="str">
            <v>I-Eng</v>
          </cell>
          <cell r="M87" t="str">
            <v>Bamenda</v>
          </cell>
          <cell r="N87" t="str">
            <v>Mezam</v>
          </cell>
          <cell r="O87" t="str">
            <v>Santa</v>
          </cell>
          <cell r="P87" t="str">
            <v>Abdul Jalil</v>
          </cell>
          <cell r="Q87">
            <v>652206934</v>
          </cell>
          <cell r="R87">
            <v>655022976</v>
          </cell>
          <cell r="S87" t="str">
            <v>Vensa Mohammadu</v>
          </cell>
          <cell r="T87" t="str">
            <v>GEORGES NAKHOUL</v>
          </cell>
          <cell r="U87" t="str">
            <v>I H S</v>
          </cell>
        </row>
        <row r="88">
          <cell r="A88" t="str">
            <v>NRO_138</v>
          </cell>
          <cell r="B88" t="str">
            <v>IHS_BMD_144</v>
          </cell>
          <cell r="C88" t="str">
            <v>NRO_138</v>
          </cell>
          <cell r="D88" t="str">
            <v>West</v>
          </cell>
          <cell r="E88" t="str">
            <v>North West</v>
          </cell>
          <cell r="F88" t="str">
            <v>Jakiri</v>
          </cell>
          <cell r="G88" t="str">
            <v>P4</v>
          </cell>
          <cell r="H88" t="str">
            <v>Grid-Gen</v>
          </cell>
          <cell r="I88" t="str">
            <v>On Air</v>
          </cell>
          <cell r="J88" t="str">
            <v>Outdoor</v>
          </cell>
          <cell r="K88" t="str">
            <v>AC</v>
          </cell>
          <cell r="L88" t="str">
            <v>I-Eng</v>
          </cell>
          <cell r="M88" t="str">
            <v>Kumbo</v>
          </cell>
          <cell r="N88" t="str">
            <v>Bui</v>
          </cell>
          <cell r="O88" t="str">
            <v>Jakiri</v>
          </cell>
          <cell r="P88" t="str">
            <v>Abdul Jalil</v>
          </cell>
          <cell r="S88" t="str">
            <v>Vensa Mohammadu</v>
          </cell>
          <cell r="T88" t="str">
            <v>GEORGES NAKHOUL</v>
          </cell>
          <cell r="U88" t="str">
            <v>I H S</v>
          </cell>
        </row>
        <row r="89">
          <cell r="A89" t="str">
            <v>LIT_029</v>
          </cell>
          <cell r="B89" t="str">
            <v>IHS_MBG_014</v>
          </cell>
          <cell r="C89" t="str">
            <v>LIT_029</v>
          </cell>
          <cell r="D89" t="str">
            <v>South West</v>
          </cell>
          <cell r="E89" t="str">
            <v>South West</v>
          </cell>
          <cell r="F89" t="str">
            <v>Loum</v>
          </cell>
          <cell r="G89" t="str">
            <v>P2</v>
          </cell>
          <cell r="H89" t="str">
            <v>Grid-Gen</v>
          </cell>
          <cell r="I89" t="str">
            <v>On Air</v>
          </cell>
          <cell r="J89" t="str">
            <v>Indoor</v>
          </cell>
          <cell r="K89" t="str">
            <v>AC</v>
          </cell>
          <cell r="L89" t="str">
            <v>I-Eng</v>
          </cell>
          <cell r="M89" t="str">
            <v>Loum</v>
          </cell>
          <cell r="N89" t="str">
            <v>MOUNGO</v>
          </cell>
          <cell r="O89" t="str">
            <v>loum</v>
          </cell>
          <cell r="P89" t="str">
            <v>Aime Tchagou</v>
          </cell>
          <cell r="Q89">
            <v>677549896</v>
          </cell>
          <cell r="R89">
            <v>655999896</v>
          </cell>
          <cell r="S89" t="str">
            <v>Stephane KETCHOUANG</v>
          </cell>
          <cell r="T89" t="str">
            <v>GEORGES NAKHOUL</v>
          </cell>
          <cell r="U89" t="str">
            <v>I H S</v>
          </cell>
        </row>
        <row r="90">
          <cell r="A90" t="str">
            <v>LIT_021</v>
          </cell>
          <cell r="B90" t="str">
            <v>IHS_NKS_004</v>
          </cell>
          <cell r="C90" t="str">
            <v>LIT_021</v>
          </cell>
          <cell r="D90" t="str">
            <v>South West</v>
          </cell>
          <cell r="E90" t="str">
            <v>South West</v>
          </cell>
          <cell r="F90" t="str">
            <v>Nkong</v>
          </cell>
          <cell r="G90" t="str">
            <v>P2</v>
          </cell>
          <cell r="H90" t="str">
            <v>Grid-Gen</v>
          </cell>
          <cell r="I90" t="str">
            <v>On Air</v>
          </cell>
          <cell r="J90" t="str">
            <v>Indoor</v>
          </cell>
          <cell r="K90" t="str">
            <v>AC</v>
          </cell>
          <cell r="L90" t="str">
            <v>I-Eng</v>
          </cell>
          <cell r="M90" t="str">
            <v>Loum</v>
          </cell>
          <cell r="N90" t="str">
            <v>MOUNGO</v>
          </cell>
          <cell r="O90" t="str">
            <v>nkongsamba3</v>
          </cell>
          <cell r="P90" t="str">
            <v>Aime Tchagou</v>
          </cell>
          <cell r="Q90">
            <v>677549896</v>
          </cell>
          <cell r="R90">
            <v>655999896</v>
          </cell>
          <cell r="S90" t="str">
            <v>Stephane KETCHOUANG</v>
          </cell>
          <cell r="T90" t="str">
            <v>GEORGES NAKHOUL</v>
          </cell>
          <cell r="U90" t="str">
            <v>I H S</v>
          </cell>
        </row>
        <row r="91">
          <cell r="A91" t="str">
            <v>LIT_031</v>
          </cell>
          <cell r="B91" t="str">
            <v>IHS_MBG_004</v>
          </cell>
          <cell r="C91" t="str">
            <v>LIT_031</v>
          </cell>
          <cell r="D91" t="str">
            <v>South West</v>
          </cell>
          <cell r="E91" t="str">
            <v>South West</v>
          </cell>
          <cell r="F91" t="str">
            <v>Mbanga</v>
          </cell>
          <cell r="G91" t="str">
            <v>P2</v>
          </cell>
          <cell r="H91" t="str">
            <v>Grid-Gen</v>
          </cell>
          <cell r="I91" t="str">
            <v>On Air</v>
          </cell>
          <cell r="J91" t="str">
            <v>Indoor</v>
          </cell>
          <cell r="K91" t="str">
            <v>AC</v>
          </cell>
          <cell r="L91" t="str">
            <v>I-Eng</v>
          </cell>
          <cell r="M91" t="str">
            <v>Mbanga</v>
          </cell>
          <cell r="N91" t="str">
            <v>MOUNGO</v>
          </cell>
          <cell r="O91" t="str">
            <v>MBANGA</v>
          </cell>
          <cell r="P91" t="str">
            <v>Aime Tchagou</v>
          </cell>
          <cell r="Q91">
            <v>677549896</v>
          </cell>
          <cell r="R91">
            <v>655999896</v>
          </cell>
          <cell r="S91" t="str">
            <v>Stephane KETCHOUANG</v>
          </cell>
          <cell r="T91" t="str">
            <v>GEORGES NAKHOUL</v>
          </cell>
          <cell r="U91" t="str">
            <v>I H S</v>
          </cell>
        </row>
        <row r="92">
          <cell r="A92" t="str">
            <v>LIT_039</v>
          </cell>
          <cell r="B92" t="str">
            <v>IHS_MBG_006</v>
          </cell>
          <cell r="C92" t="str">
            <v>LIT_039</v>
          </cell>
          <cell r="D92" t="str">
            <v>South West</v>
          </cell>
          <cell r="E92" t="str">
            <v>South West</v>
          </cell>
          <cell r="F92" t="str">
            <v>Njombe</v>
          </cell>
          <cell r="G92" t="str">
            <v>P3</v>
          </cell>
          <cell r="H92" t="str">
            <v>Grid-Gen</v>
          </cell>
          <cell r="I92" t="str">
            <v>On Air</v>
          </cell>
          <cell r="J92" t="str">
            <v>Indoor</v>
          </cell>
          <cell r="K92" t="str">
            <v>AC</v>
          </cell>
          <cell r="L92" t="str">
            <v>I-Eng</v>
          </cell>
          <cell r="M92" t="str">
            <v>Mbanga</v>
          </cell>
          <cell r="N92" t="str">
            <v>MOUNGO</v>
          </cell>
          <cell r="O92" t="str">
            <v>njombe  penja</v>
          </cell>
          <cell r="P92" t="str">
            <v>Aime Tchagou</v>
          </cell>
          <cell r="Q92">
            <v>677549896</v>
          </cell>
          <cell r="R92">
            <v>655999896</v>
          </cell>
          <cell r="S92" t="str">
            <v>Stephane KETCHOUANG</v>
          </cell>
          <cell r="T92" t="str">
            <v>GEORGES NAKHOUL</v>
          </cell>
          <cell r="U92" t="str">
            <v>I H S</v>
          </cell>
        </row>
        <row r="93">
          <cell r="A93" t="str">
            <v>LIT_233</v>
          </cell>
          <cell r="B93" t="str">
            <v>IHS_MBG_005</v>
          </cell>
          <cell r="C93" t="str">
            <v>LIT_233</v>
          </cell>
          <cell r="D93" t="str">
            <v>South West</v>
          </cell>
          <cell r="E93" t="str">
            <v>South West</v>
          </cell>
          <cell r="F93" t="str">
            <v>Tangui</v>
          </cell>
          <cell r="G93" t="str">
            <v>P3</v>
          </cell>
          <cell r="H93" t="str">
            <v>Grid-Gen</v>
          </cell>
          <cell r="I93" t="str">
            <v>On Air</v>
          </cell>
          <cell r="J93" t="str">
            <v>Outdoor</v>
          </cell>
          <cell r="K93" t="str">
            <v>AC</v>
          </cell>
          <cell r="L93" t="str">
            <v>I-Eng</v>
          </cell>
          <cell r="M93" t="str">
            <v>Mbanga</v>
          </cell>
          <cell r="N93" t="str">
            <v>MOUNGO</v>
          </cell>
          <cell r="O93" t="str">
            <v>mombo</v>
          </cell>
          <cell r="P93" t="str">
            <v>Aime Tchagou</v>
          </cell>
          <cell r="Q93">
            <v>677549896</v>
          </cell>
          <cell r="R93">
            <v>655999896</v>
          </cell>
          <cell r="S93" t="str">
            <v>Stephane KETCHOUANG</v>
          </cell>
          <cell r="T93" t="str">
            <v>GEORGES NAKHOUL</v>
          </cell>
          <cell r="U93" t="str">
            <v>I H S</v>
          </cell>
        </row>
        <row r="94">
          <cell r="A94" t="str">
            <v>LIT_112</v>
          </cell>
          <cell r="B94" t="str">
            <v>IHS_NKS_011</v>
          </cell>
          <cell r="C94" t="str">
            <v>LIT_112</v>
          </cell>
          <cell r="D94" t="str">
            <v>South West</v>
          </cell>
          <cell r="E94" t="str">
            <v>South West</v>
          </cell>
          <cell r="F94" t="str">
            <v>Bare</v>
          </cell>
          <cell r="G94" t="str">
            <v>P3</v>
          </cell>
          <cell r="H94" t="str">
            <v>Grid-Gen</v>
          </cell>
          <cell r="I94" t="str">
            <v>On Air</v>
          </cell>
          <cell r="J94" t="str">
            <v>Indoor</v>
          </cell>
          <cell r="K94" t="str">
            <v>AC</v>
          </cell>
          <cell r="L94" t="str">
            <v>I-Eng</v>
          </cell>
          <cell r="M94" t="str">
            <v>Loum</v>
          </cell>
          <cell r="N94" t="str">
            <v>MOUNGO</v>
          </cell>
          <cell r="O94" t="str">
            <v>BARE</v>
          </cell>
          <cell r="P94" t="str">
            <v>Aime Tchagou</v>
          </cell>
          <cell r="Q94">
            <v>677549896</v>
          </cell>
          <cell r="R94">
            <v>655999896</v>
          </cell>
          <cell r="S94" t="str">
            <v>Stephane KETCHOUANG</v>
          </cell>
          <cell r="T94" t="str">
            <v>GEORGES NAKHOUL</v>
          </cell>
          <cell r="U94" t="str">
            <v>I H S</v>
          </cell>
        </row>
        <row r="95">
          <cell r="A95" t="str">
            <v>LIT_208</v>
          </cell>
          <cell r="B95" t="str">
            <v>IHS_MBG_012</v>
          </cell>
          <cell r="C95" t="str">
            <v>LIT_208</v>
          </cell>
          <cell r="D95" t="str">
            <v>South West</v>
          </cell>
          <cell r="E95" t="str">
            <v>South West</v>
          </cell>
          <cell r="F95" t="str">
            <v>Penja</v>
          </cell>
          <cell r="G95" t="str">
            <v>P3</v>
          </cell>
          <cell r="H95" t="str">
            <v>Grid-Gen</v>
          </cell>
          <cell r="I95" t="str">
            <v>On Air</v>
          </cell>
          <cell r="J95" t="str">
            <v>Outdoor</v>
          </cell>
          <cell r="K95" t="str">
            <v>AC</v>
          </cell>
          <cell r="L95" t="str">
            <v>I-Eng</v>
          </cell>
          <cell r="M95" t="str">
            <v>Mbanga</v>
          </cell>
          <cell r="N95" t="str">
            <v>MOUNGO</v>
          </cell>
          <cell r="O95" t="str">
            <v>njombe penja</v>
          </cell>
          <cell r="P95" t="str">
            <v>Aime Tchagou</v>
          </cell>
          <cell r="Q95">
            <v>677549896</v>
          </cell>
          <cell r="R95">
            <v>655999896</v>
          </cell>
          <cell r="S95" t="str">
            <v>Stephane KETCHOUANG</v>
          </cell>
          <cell r="T95" t="str">
            <v>GEORGES NAKHOUL</v>
          </cell>
          <cell r="U95" t="str">
            <v>I H S</v>
          </cell>
        </row>
        <row r="96">
          <cell r="A96" t="str">
            <v>SUO_008</v>
          </cell>
          <cell r="B96" t="str">
            <v>IHS_BUA_048</v>
          </cell>
          <cell r="C96" t="str">
            <v>SUO_008</v>
          </cell>
          <cell r="D96" t="str">
            <v>South West</v>
          </cell>
          <cell r="E96" t="str">
            <v>South West</v>
          </cell>
          <cell r="F96" t="str">
            <v>Mpenda-Mbocko-IHS</v>
          </cell>
          <cell r="G96" t="str">
            <v>P3</v>
          </cell>
          <cell r="H96" t="str">
            <v>Grid-Gen</v>
          </cell>
          <cell r="I96" t="str">
            <v>On Air</v>
          </cell>
          <cell r="J96" t="str">
            <v>Outdoor</v>
          </cell>
          <cell r="K96" t="str">
            <v>AC</v>
          </cell>
          <cell r="L96" t="str">
            <v>I-Eng</v>
          </cell>
          <cell r="M96" t="str">
            <v>Mbanga</v>
          </cell>
          <cell r="N96" t="str">
            <v>MOUNGO</v>
          </cell>
          <cell r="O96" t="str">
            <v>MBANGA</v>
          </cell>
          <cell r="P96" t="str">
            <v>Aime Tchagou</v>
          </cell>
          <cell r="Q96">
            <v>677549896</v>
          </cell>
          <cell r="R96">
            <v>655999896</v>
          </cell>
          <cell r="S96" t="str">
            <v>Stephane KETCHOUANG</v>
          </cell>
          <cell r="T96" t="str">
            <v>GEORGES NAKHOUL</v>
          </cell>
          <cell r="U96" t="str">
            <v>I H S</v>
          </cell>
        </row>
        <row r="97">
          <cell r="A97" t="str">
            <v>LIT_212</v>
          </cell>
          <cell r="B97" t="str">
            <v>IHS_MBG_030</v>
          </cell>
          <cell r="C97" t="str">
            <v>LIT_212</v>
          </cell>
          <cell r="D97" t="str">
            <v>South West</v>
          </cell>
          <cell r="E97" t="str">
            <v>South West</v>
          </cell>
          <cell r="F97" t="str">
            <v>Sole</v>
          </cell>
          <cell r="G97" t="str">
            <v>P4</v>
          </cell>
          <cell r="H97" t="str">
            <v>Grid-Gen</v>
          </cell>
          <cell r="I97" t="str">
            <v>On Air</v>
          </cell>
          <cell r="J97" t="str">
            <v>Outdoor</v>
          </cell>
          <cell r="K97" t="str">
            <v>AC</v>
          </cell>
          <cell r="L97" t="str">
            <v>I-Eng</v>
          </cell>
          <cell r="M97" t="str">
            <v>Loum</v>
          </cell>
          <cell r="N97" t="str">
            <v>MOUNGO</v>
          </cell>
          <cell r="O97" t="str">
            <v>yabassi</v>
          </cell>
          <cell r="P97" t="str">
            <v>Aime Tchagou</v>
          </cell>
          <cell r="Q97">
            <v>677549896</v>
          </cell>
          <cell r="R97">
            <v>655999896</v>
          </cell>
          <cell r="S97" t="str">
            <v>Stephane KETCHOUANG</v>
          </cell>
          <cell r="T97" t="str">
            <v>GEORGES NAKHOUL</v>
          </cell>
          <cell r="U97" t="str">
            <v>I H S</v>
          </cell>
        </row>
        <row r="98">
          <cell r="A98" t="str">
            <v>LIT_169</v>
          </cell>
          <cell r="B98" t="str">
            <v>IHS_NKS_100</v>
          </cell>
          <cell r="C98" t="str">
            <v>LIT_169</v>
          </cell>
          <cell r="D98" t="str">
            <v>South West</v>
          </cell>
          <cell r="E98" t="str">
            <v>South West</v>
          </cell>
          <cell r="F98" t="str">
            <v>Nkong-Q3 CIM</v>
          </cell>
          <cell r="G98" t="str">
            <v>P4</v>
          </cell>
          <cell r="H98" t="str">
            <v>Grid-Gen</v>
          </cell>
          <cell r="I98" t="str">
            <v>On Air</v>
          </cell>
          <cell r="J98" t="str">
            <v>Outdoor</v>
          </cell>
          <cell r="K98" t="str">
            <v>AC</v>
          </cell>
          <cell r="L98" t="str">
            <v>I-Eng</v>
          </cell>
          <cell r="M98" t="str">
            <v>Loum</v>
          </cell>
          <cell r="N98" t="str">
            <v>MOUNGO</v>
          </cell>
          <cell r="O98" t="str">
            <v>nkongsamba 2</v>
          </cell>
          <cell r="P98" t="str">
            <v>Aime Tchagou</v>
          </cell>
          <cell r="Q98">
            <v>677549896</v>
          </cell>
          <cell r="R98">
            <v>655999896</v>
          </cell>
          <cell r="S98" t="str">
            <v>Stephane KETCHOUANG</v>
          </cell>
          <cell r="T98" t="str">
            <v>GEORGES NAKHOUL</v>
          </cell>
          <cell r="U98" t="str">
            <v>I H S</v>
          </cell>
        </row>
        <row r="99">
          <cell r="A99" t="str">
            <v>LIT_071</v>
          </cell>
          <cell r="B99" t="str">
            <v>IHS_NKS_001</v>
          </cell>
          <cell r="C99" t="str">
            <v>LIT_071</v>
          </cell>
          <cell r="D99" t="str">
            <v>South West</v>
          </cell>
          <cell r="E99" t="str">
            <v>South West</v>
          </cell>
          <cell r="F99" t="str">
            <v>Nkong-Marche</v>
          </cell>
          <cell r="G99" t="str">
            <v>P4</v>
          </cell>
          <cell r="H99" t="str">
            <v>Grid-Gen</v>
          </cell>
          <cell r="I99" t="str">
            <v>On Air</v>
          </cell>
          <cell r="J99" t="str">
            <v>Indoor</v>
          </cell>
          <cell r="K99" t="str">
            <v>AC</v>
          </cell>
          <cell r="L99" t="str">
            <v>I-Eng</v>
          </cell>
          <cell r="M99" t="str">
            <v>Loum</v>
          </cell>
          <cell r="N99" t="str">
            <v>MOUNGO</v>
          </cell>
          <cell r="O99" t="str">
            <v>nkongsamba 1</v>
          </cell>
          <cell r="P99" t="str">
            <v>Aime Tchagou</v>
          </cell>
          <cell r="Q99">
            <v>677549896</v>
          </cell>
          <cell r="R99">
            <v>655999896</v>
          </cell>
          <cell r="S99" t="str">
            <v>Stephane KETCHOUANG</v>
          </cell>
          <cell r="T99" t="str">
            <v>GEORGES NAKHOUL</v>
          </cell>
          <cell r="U99" t="str">
            <v>I H S</v>
          </cell>
        </row>
        <row r="100">
          <cell r="A100" t="str">
            <v>LIT_051</v>
          </cell>
          <cell r="B100" t="str">
            <v>IHS_BNB_040</v>
          </cell>
          <cell r="C100" t="str">
            <v>LIT_051</v>
          </cell>
          <cell r="D100" t="str">
            <v>South West</v>
          </cell>
          <cell r="E100" t="str">
            <v>South West</v>
          </cell>
          <cell r="F100" t="str">
            <v>Nkapa</v>
          </cell>
          <cell r="G100" t="str">
            <v>P4</v>
          </cell>
          <cell r="H100" t="str">
            <v>Grid-Gen</v>
          </cell>
          <cell r="I100" t="str">
            <v>On Air</v>
          </cell>
          <cell r="J100" t="str">
            <v>Indoor</v>
          </cell>
          <cell r="K100" t="str">
            <v>AC</v>
          </cell>
          <cell r="L100" t="str">
            <v>I-Eng</v>
          </cell>
          <cell r="M100" t="str">
            <v>Mbanga</v>
          </cell>
          <cell r="N100" t="str">
            <v>MOUNGO</v>
          </cell>
          <cell r="O100" t="str">
            <v>DIBOMBARI</v>
          </cell>
          <cell r="P100" t="str">
            <v>Aime Tchagou</v>
          </cell>
          <cell r="Q100">
            <v>677549896</v>
          </cell>
          <cell r="R100">
            <v>655999896</v>
          </cell>
          <cell r="S100" t="str">
            <v>Stephane KETCHOUANG</v>
          </cell>
          <cell r="T100" t="str">
            <v>GEORGES NAKHOUL</v>
          </cell>
          <cell r="U100" t="str">
            <v>I H S</v>
          </cell>
        </row>
        <row r="101">
          <cell r="A101" t="str">
            <v>LIT_109</v>
          </cell>
          <cell r="B101" t="str">
            <v>IHS_NKS_010</v>
          </cell>
          <cell r="C101" t="str">
            <v>LIT_109</v>
          </cell>
          <cell r="D101" t="str">
            <v>South West</v>
          </cell>
          <cell r="E101" t="str">
            <v>South West</v>
          </cell>
          <cell r="F101" t="str">
            <v>Ndoungue</v>
          </cell>
          <cell r="G101" t="str">
            <v>P4</v>
          </cell>
          <cell r="H101" t="str">
            <v>Grid-Gen</v>
          </cell>
          <cell r="I101" t="str">
            <v>On Air</v>
          </cell>
          <cell r="J101" t="str">
            <v>Indoor</v>
          </cell>
          <cell r="K101" t="str">
            <v>AC</v>
          </cell>
          <cell r="L101" t="str">
            <v>I-Eng</v>
          </cell>
          <cell r="M101" t="str">
            <v>Loum</v>
          </cell>
          <cell r="N101" t="str">
            <v>MOUNGO</v>
          </cell>
          <cell r="O101" t="str">
            <v>EBONE</v>
          </cell>
          <cell r="P101" t="str">
            <v>Aime Tchagou</v>
          </cell>
          <cell r="Q101">
            <v>677549896</v>
          </cell>
          <cell r="R101">
            <v>655999896</v>
          </cell>
          <cell r="S101" t="str">
            <v>Stephane KETCHOUANG</v>
          </cell>
          <cell r="T101" t="str">
            <v>GEORGES NAKHOUL</v>
          </cell>
          <cell r="U101" t="str">
            <v>I H S</v>
          </cell>
        </row>
        <row r="102">
          <cell r="A102" t="str">
            <v>LIT_356</v>
          </cell>
          <cell r="B102" t="str">
            <v>IHS_NKS_015</v>
          </cell>
          <cell r="C102" t="str">
            <v>LIT_356</v>
          </cell>
          <cell r="D102" t="str">
            <v>South West</v>
          </cell>
          <cell r="E102" t="str">
            <v>South West</v>
          </cell>
          <cell r="F102" t="str">
            <v>Manengole</v>
          </cell>
          <cell r="G102" t="str">
            <v>P4</v>
          </cell>
          <cell r="H102" t="str">
            <v>Grid-Gen</v>
          </cell>
          <cell r="I102" t="str">
            <v>On Air</v>
          </cell>
          <cell r="J102" t="str">
            <v>Outdoor</v>
          </cell>
          <cell r="K102" t="str">
            <v>AC</v>
          </cell>
          <cell r="L102" t="str">
            <v>I-Eng</v>
          </cell>
          <cell r="M102" t="str">
            <v>Loum</v>
          </cell>
          <cell r="N102" t="str">
            <v>MOUNGO</v>
          </cell>
          <cell r="O102" t="str">
            <v>MANJO</v>
          </cell>
          <cell r="P102" t="str">
            <v>Aime Tchagou</v>
          </cell>
          <cell r="Q102">
            <v>677549896</v>
          </cell>
          <cell r="R102">
            <v>655999896</v>
          </cell>
          <cell r="S102" t="str">
            <v>Stephane KETCHOUANG</v>
          </cell>
          <cell r="T102" t="str">
            <v>GEORGES NAKHOUL</v>
          </cell>
          <cell r="U102" t="str">
            <v>I H S</v>
          </cell>
        </row>
        <row r="103">
          <cell r="A103" t="str">
            <v>LIT_111</v>
          </cell>
          <cell r="B103" t="str">
            <v>IHS_MBG_010</v>
          </cell>
          <cell r="C103" t="str">
            <v>LIT_111</v>
          </cell>
          <cell r="D103" t="str">
            <v>South West</v>
          </cell>
          <cell r="E103" t="str">
            <v>South West</v>
          </cell>
          <cell r="F103" t="str">
            <v>Kompigna</v>
          </cell>
          <cell r="G103" t="str">
            <v>P4</v>
          </cell>
          <cell r="H103" t="str">
            <v>Grid-Gen</v>
          </cell>
          <cell r="I103" t="str">
            <v>On Air</v>
          </cell>
          <cell r="J103" t="str">
            <v>Indoor</v>
          </cell>
          <cell r="K103" t="str">
            <v>AC</v>
          </cell>
          <cell r="L103" t="str">
            <v>I-Eng</v>
          </cell>
          <cell r="M103" t="str">
            <v>Mbanga</v>
          </cell>
          <cell r="N103" t="str">
            <v>MOUNGO</v>
          </cell>
          <cell r="O103" t="str">
            <v>mbanga</v>
          </cell>
          <cell r="P103" t="str">
            <v>Aime Tchagou</v>
          </cell>
          <cell r="Q103">
            <v>677549896</v>
          </cell>
          <cell r="R103">
            <v>655999896</v>
          </cell>
          <cell r="S103" t="str">
            <v>Stephane KETCHOUANG</v>
          </cell>
          <cell r="T103" t="str">
            <v>GEORGES NAKHOUL</v>
          </cell>
          <cell r="U103" t="str">
            <v>I H S</v>
          </cell>
        </row>
        <row r="104">
          <cell r="A104" t="str">
            <v>LIT_062</v>
          </cell>
          <cell r="B104" t="str">
            <v>IHS_NKS_018</v>
          </cell>
          <cell r="C104" t="str">
            <v>LIT_062</v>
          </cell>
          <cell r="D104" t="str">
            <v>South West</v>
          </cell>
          <cell r="E104" t="str">
            <v>South West</v>
          </cell>
          <cell r="F104" t="str">
            <v>Manjo</v>
          </cell>
          <cell r="G104" t="str">
            <v>P4</v>
          </cell>
          <cell r="H104" t="str">
            <v>Grid-Gen</v>
          </cell>
          <cell r="I104" t="str">
            <v>On Air</v>
          </cell>
          <cell r="J104" t="str">
            <v>Indoor</v>
          </cell>
          <cell r="K104" t="str">
            <v>AC</v>
          </cell>
          <cell r="L104" t="str">
            <v>I-Eng</v>
          </cell>
          <cell r="M104" t="str">
            <v>Loum</v>
          </cell>
          <cell r="N104" t="str">
            <v>MOUNGO</v>
          </cell>
          <cell r="O104" t="str">
            <v>MANJO</v>
          </cell>
          <cell r="P104" t="str">
            <v>Aime Tchagou</v>
          </cell>
          <cell r="Q104">
            <v>677549896</v>
          </cell>
          <cell r="R104">
            <v>655999896</v>
          </cell>
          <cell r="S104" t="str">
            <v>Stephane KETCHOUANG</v>
          </cell>
          <cell r="T104" t="str">
            <v>GEORGES NAKHOUL</v>
          </cell>
          <cell r="U104" t="str">
            <v>I H S</v>
          </cell>
        </row>
        <row r="105">
          <cell r="A105" t="str">
            <v>LIT_296</v>
          </cell>
          <cell r="B105" t="str">
            <v>IHS_MBG_025</v>
          </cell>
          <cell r="C105" t="str">
            <v>LIT_296</v>
          </cell>
          <cell r="D105" t="str">
            <v>South West</v>
          </cell>
          <cell r="E105" t="str">
            <v>South West</v>
          </cell>
          <cell r="F105" t="str">
            <v>Bonalea</v>
          </cell>
          <cell r="G105" t="str">
            <v>P4</v>
          </cell>
          <cell r="H105" t="str">
            <v>Grid-Gen</v>
          </cell>
          <cell r="I105" t="str">
            <v>On Air</v>
          </cell>
          <cell r="J105" t="str">
            <v>Outdoor</v>
          </cell>
          <cell r="K105" t="str">
            <v>AC</v>
          </cell>
          <cell r="L105" t="str">
            <v>I-Eng</v>
          </cell>
          <cell r="M105" t="str">
            <v>Mbanga</v>
          </cell>
          <cell r="N105" t="str">
            <v>MOUNGO</v>
          </cell>
          <cell r="O105" t="str">
            <v>BONALEA</v>
          </cell>
          <cell r="P105" t="str">
            <v>Aime Tchagou</v>
          </cell>
          <cell r="Q105">
            <v>677549896</v>
          </cell>
          <cell r="R105">
            <v>655999896</v>
          </cell>
          <cell r="S105" t="str">
            <v>Stephane KETCHOUANG</v>
          </cell>
          <cell r="T105" t="str">
            <v>GEORGES NAKHOUL</v>
          </cell>
          <cell r="U105" t="str">
            <v>I H S</v>
          </cell>
        </row>
        <row r="106">
          <cell r="A106" t="str">
            <v>LIT_431</v>
          </cell>
          <cell r="B106" t="str">
            <v>IHS_MBG_026</v>
          </cell>
          <cell r="C106" t="str">
            <v>LIT_431</v>
          </cell>
          <cell r="D106" t="str">
            <v>South West</v>
          </cell>
          <cell r="E106" t="str">
            <v>South West</v>
          </cell>
          <cell r="F106" t="str">
            <v>Ndoulou</v>
          </cell>
          <cell r="G106" t="str">
            <v>P4</v>
          </cell>
          <cell r="H106" t="str">
            <v>Grid-Gen</v>
          </cell>
          <cell r="I106" t="str">
            <v>On Air</v>
          </cell>
          <cell r="J106" t="str">
            <v>Outdoor</v>
          </cell>
          <cell r="K106" t="str">
            <v>AC</v>
          </cell>
          <cell r="L106" t="str">
            <v>I-Eng</v>
          </cell>
          <cell r="M106" t="str">
            <v>Mbanga</v>
          </cell>
          <cell r="N106" t="str">
            <v>MOUNGO</v>
          </cell>
          <cell r="O106" t="str">
            <v>bonalea</v>
          </cell>
          <cell r="P106" t="str">
            <v>Aime Tchagou</v>
          </cell>
          <cell r="Q106">
            <v>677549896</v>
          </cell>
          <cell r="R106">
            <v>655999896</v>
          </cell>
          <cell r="S106" t="str">
            <v>Stephane KETCHOUANG</v>
          </cell>
          <cell r="T106" t="str">
            <v>GEORGES NAKHOUL</v>
          </cell>
          <cell r="U106" t="str">
            <v>I H S</v>
          </cell>
        </row>
        <row r="107">
          <cell r="A107" t="str">
            <v>LIT_558</v>
          </cell>
          <cell r="B107" t="str">
            <v>IHS_NKS_002</v>
          </cell>
          <cell r="C107" t="str">
            <v>LIT_558</v>
          </cell>
          <cell r="D107" t="str">
            <v>South West</v>
          </cell>
          <cell r="E107" t="str">
            <v>South West</v>
          </cell>
          <cell r="F107" t="str">
            <v>Nkong-CRTV-II</v>
          </cell>
          <cell r="G107" t="str">
            <v>P4</v>
          </cell>
          <cell r="H107" t="str">
            <v>Grid-Gen</v>
          </cell>
          <cell r="I107" t="str">
            <v>On Air</v>
          </cell>
          <cell r="J107" t="str">
            <v>Outdoor</v>
          </cell>
          <cell r="K107" t="str">
            <v>AC</v>
          </cell>
          <cell r="L107" t="str">
            <v>I-Eng</v>
          </cell>
          <cell r="M107" t="str">
            <v>Loum</v>
          </cell>
          <cell r="N107" t="str">
            <v>MOUNGO</v>
          </cell>
          <cell r="O107" t="str">
            <v>nkongsamba 2</v>
          </cell>
          <cell r="P107" t="str">
            <v>Aime Tchagou</v>
          </cell>
          <cell r="Q107">
            <v>677549896</v>
          </cell>
          <cell r="R107">
            <v>655999896</v>
          </cell>
          <cell r="S107" t="str">
            <v>Stephane KETCHOUANG</v>
          </cell>
          <cell r="T107" t="str">
            <v>GEORGES NAKHOUL</v>
          </cell>
          <cell r="U107" t="str">
            <v>I H S</v>
          </cell>
        </row>
        <row r="108">
          <cell r="A108" t="str">
            <v>LIT_520</v>
          </cell>
          <cell r="B108" t="str">
            <v>IHS_MBG_019</v>
          </cell>
          <cell r="C108" t="str">
            <v>LIT_520</v>
          </cell>
          <cell r="D108" t="str">
            <v>South West</v>
          </cell>
          <cell r="E108" t="str">
            <v>South West</v>
          </cell>
          <cell r="F108" t="str">
            <v>Loum IHS Nkombi II</v>
          </cell>
          <cell r="G108" t="str">
            <v>P4</v>
          </cell>
          <cell r="H108" t="str">
            <v>Grid-Gen</v>
          </cell>
          <cell r="I108" t="str">
            <v>On Air</v>
          </cell>
          <cell r="J108" t="str">
            <v>Outdoor</v>
          </cell>
          <cell r="K108" t="str">
            <v>AC</v>
          </cell>
          <cell r="L108" t="str">
            <v>I-Eng</v>
          </cell>
          <cell r="M108" t="str">
            <v>Mbanga</v>
          </cell>
          <cell r="N108" t="str">
            <v>MOUNGO</v>
          </cell>
          <cell r="O108" t="str">
            <v>loum</v>
          </cell>
          <cell r="P108" t="str">
            <v>Aime Tchagou</v>
          </cell>
          <cell r="Q108">
            <v>677549896</v>
          </cell>
          <cell r="R108">
            <v>655999896</v>
          </cell>
          <cell r="S108" t="str">
            <v>Stephane KETCHOUANG</v>
          </cell>
          <cell r="T108" t="str">
            <v>GEORGES NAKHOUL</v>
          </cell>
          <cell r="U108" t="str">
            <v>I H S</v>
          </cell>
        </row>
        <row r="109">
          <cell r="A109" t="str">
            <v>LIT_288</v>
          </cell>
          <cell r="B109" t="str">
            <v>IHS_NKS_003</v>
          </cell>
          <cell r="C109" t="str">
            <v>LIT_288</v>
          </cell>
          <cell r="D109" t="str">
            <v>South West</v>
          </cell>
          <cell r="E109" t="str">
            <v>South West</v>
          </cell>
          <cell r="F109" t="str">
            <v>Nkong-8Bis-MTN</v>
          </cell>
          <cell r="G109" t="str">
            <v>P4</v>
          </cell>
          <cell r="H109" t="str">
            <v>Grid-Gen</v>
          </cell>
          <cell r="I109" t="str">
            <v>On Air</v>
          </cell>
          <cell r="J109" t="str">
            <v>Indoor</v>
          </cell>
          <cell r="K109" t="str">
            <v>AC</v>
          </cell>
          <cell r="L109" t="str">
            <v>I-Eng</v>
          </cell>
          <cell r="M109" t="str">
            <v>Loum</v>
          </cell>
          <cell r="N109" t="str">
            <v>MOUNGO</v>
          </cell>
          <cell r="O109" t="str">
            <v>nkongsamba 1</v>
          </cell>
          <cell r="P109" t="str">
            <v>Aime Tchagou</v>
          </cell>
          <cell r="Q109">
            <v>677549896</v>
          </cell>
          <cell r="R109">
            <v>655999896</v>
          </cell>
          <cell r="S109" t="str">
            <v>Stephane KETCHOUANG</v>
          </cell>
          <cell r="T109" t="str">
            <v>GEORGES NAKHOUL</v>
          </cell>
          <cell r="U109" t="str">
            <v>I H S</v>
          </cell>
        </row>
        <row r="110">
          <cell r="A110" t="str">
            <v>LIT_556</v>
          </cell>
          <cell r="B110" t="str">
            <v>IHS_NKS_007</v>
          </cell>
          <cell r="C110" t="str">
            <v>LIT_556</v>
          </cell>
          <cell r="D110" t="str">
            <v>South West</v>
          </cell>
          <cell r="E110" t="str">
            <v>South West</v>
          </cell>
          <cell r="F110" t="str">
            <v>Nkpong - C - Fultang New</v>
          </cell>
          <cell r="G110" t="str">
            <v>P4</v>
          </cell>
          <cell r="H110" t="str">
            <v>Grid-Gen</v>
          </cell>
          <cell r="I110" t="str">
            <v>On Air</v>
          </cell>
          <cell r="J110" t="str">
            <v>Outdoor</v>
          </cell>
          <cell r="K110" t="str">
            <v>AC</v>
          </cell>
          <cell r="L110" t="str">
            <v>I-Eng</v>
          </cell>
          <cell r="M110" t="str">
            <v>Loum</v>
          </cell>
          <cell r="N110" t="str">
            <v>MOUNGO</v>
          </cell>
          <cell r="O110" t="str">
            <v>nkongsamba3</v>
          </cell>
          <cell r="P110" t="str">
            <v>Aime Tchagou</v>
          </cell>
          <cell r="Q110">
            <v>677549896</v>
          </cell>
          <cell r="R110">
            <v>655999896</v>
          </cell>
          <cell r="S110" t="str">
            <v>Stephane KETCHOUANG</v>
          </cell>
          <cell r="T110" t="str">
            <v>GEORGES NAKHOUL</v>
          </cell>
          <cell r="U110" t="str">
            <v>I H S</v>
          </cell>
        </row>
        <row r="111">
          <cell r="A111" t="str">
            <v>LIT_521</v>
          </cell>
          <cell r="B111" t="str">
            <v>IHS_MBG_018</v>
          </cell>
          <cell r="C111" t="str">
            <v>LIT_521</v>
          </cell>
          <cell r="D111" t="str">
            <v>South West</v>
          </cell>
          <cell r="E111" t="str">
            <v>South West</v>
          </cell>
          <cell r="F111" t="str">
            <v>Loum IHS Joli</v>
          </cell>
          <cell r="G111" t="str">
            <v>P4</v>
          </cell>
          <cell r="H111" t="str">
            <v>Grid-Gen</v>
          </cell>
          <cell r="I111" t="str">
            <v>On Air</v>
          </cell>
          <cell r="J111" t="str">
            <v>Outdoor</v>
          </cell>
          <cell r="K111" t="str">
            <v>AC</v>
          </cell>
          <cell r="L111" t="str">
            <v>I-Eng</v>
          </cell>
          <cell r="M111" t="str">
            <v>Loum</v>
          </cell>
          <cell r="N111" t="str">
            <v>MOUNGO</v>
          </cell>
          <cell r="O111" t="str">
            <v>loum</v>
          </cell>
          <cell r="P111" t="str">
            <v>Aime Tchagou</v>
          </cell>
          <cell r="Q111">
            <v>677549896</v>
          </cell>
          <cell r="R111">
            <v>655999896</v>
          </cell>
          <cell r="S111" t="str">
            <v>Stephane KETCHOUANG</v>
          </cell>
          <cell r="T111" t="str">
            <v>GEORGES NAKHOUL</v>
          </cell>
          <cell r="U111" t="str">
            <v>I H S</v>
          </cell>
        </row>
        <row r="112">
          <cell r="A112" t="str">
            <v>LIT_735</v>
          </cell>
          <cell r="B112" t="str">
            <v>IHS_NKS_101</v>
          </cell>
          <cell r="C112" t="str">
            <v>LIT_735</v>
          </cell>
          <cell r="D112" t="str">
            <v>South West</v>
          </cell>
          <cell r="E112" t="str">
            <v>South West</v>
          </cell>
          <cell r="F112" t="str">
            <v>NKONGSAMBA Q8 CIMETIERE</v>
          </cell>
          <cell r="G112" t="str">
            <v>P4</v>
          </cell>
          <cell r="H112" t="str">
            <v>Grid-Gen</v>
          </cell>
          <cell r="I112">
            <v>0</v>
          </cell>
          <cell r="J112" t="str">
            <v>Outdoor</v>
          </cell>
          <cell r="K112" t="str">
            <v>AC</v>
          </cell>
          <cell r="L112" t="str">
            <v>I-Eng</v>
          </cell>
          <cell r="M112" t="str">
            <v>Loum</v>
          </cell>
          <cell r="N112" t="str">
            <v>MOUNGO</v>
          </cell>
          <cell r="O112" t="str">
            <v>nkongsamba 1</v>
          </cell>
          <cell r="P112" t="str">
            <v>Aime Tchagou</v>
          </cell>
          <cell r="Q112">
            <v>677549896</v>
          </cell>
          <cell r="R112">
            <v>655999896</v>
          </cell>
          <cell r="S112" t="str">
            <v>Stephane KETCHOUANG</v>
          </cell>
          <cell r="T112" t="str">
            <v>GEORGES NAKHOUL</v>
          </cell>
          <cell r="U112" t="str">
            <v>I H S</v>
          </cell>
        </row>
        <row r="113">
          <cell r="A113" t="str">
            <v>LIT_225</v>
          </cell>
          <cell r="B113" t="str">
            <v>IHS_KMB_029</v>
          </cell>
          <cell r="C113" t="str">
            <v>LIT_225</v>
          </cell>
          <cell r="D113" t="str">
            <v>South West</v>
          </cell>
          <cell r="E113" t="str">
            <v>South West</v>
          </cell>
          <cell r="F113" t="str">
            <v>Tombel-MTN</v>
          </cell>
          <cell r="G113" t="str">
            <v>P4</v>
          </cell>
          <cell r="H113" t="str">
            <v>Grid-Gen</v>
          </cell>
          <cell r="I113" t="str">
            <v>On Air</v>
          </cell>
          <cell r="J113" t="str">
            <v>Indoor</v>
          </cell>
          <cell r="K113" t="str">
            <v>AC</v>
          </cell>
          <cell r="L113" t="str">
            <v>I-Eng</v>
          </cell>
          <cell r="M113" t="str">
            <v>Loum</v>
          </cell>
          <cell r="N113" t="str">
            <v>MOUNGO</v>
          </cell>
          <cell r="O113" t="str">
            <v>TOMBEL</v>
          </cell>
          <cell r="P113" t="str">
            <v>Aime Tchagou</v>
          </cell>
          <cell r="Q113">
            <v>677549896</v>
          </cell>
          <cell r="R113">
            <v>655999896</v>
          </cell>
          <cell r="S113" t="str">
            <v>Stephane KETCHOUANG</v>
          </cell>
          <cell r="T113" t="str">
            <v>GEORGES NAKHOUL</v>
          </cell>
          <cell r="U113" t="str">
            <v>I H S</v>
          </cell>
        </row>
        <row r="114">
          <cell r="A114" t="str">
            <v>LIT_498</v>
          </cell>
          <cell r="B114" t="str">
            <v>IHS_BNB_039</v>
          </cell>
          <cell r="C114" t="str">
            <v>LIT_498</v>
          </cell>
          <cell r="D114" t="str">
            <v>South West</v>
          </cell>
          <cell r="E114" t="str">
            <v>South West</v>
          </cell>
          <cell r="F114" t="str">
            <v>Bomono Gare</v>
          </cell>
          <cell r="G114" t="str">
            <v>P4</v>
          </cell>
          <cell r="H114" t="str">
            <v>Grid-Gen</v>
          </cell>
          <cell r="I114" t="str">
            <v>On Air</v>
          </cell>
          <cell r="J114" t="str">
            <v>Indoor</v>
          </cell>
          <cell r="K114" t="str">
            <v>AC</v>
          </cell>
          <cell r="L114" t="str">
            <v>I-Eng</v>
          </cell>
          <cell r="M114" t="str">
            <v>Mbanga</v>
          </cell>
          <cell r="N114" t="str">
            <v>MOUNGO</v>
          </cell>
          <cell r="O114" t="str">
            <v>DIBOMBARI</v>
          </cell>
          <cell r="P114" t="str">
            <v>Aime Tchagou</v>
          </cell>
          <cell r="Q114">
            <v>677549896</v>
          </cell>
          <cell r="R114">
            <v>655999896</v>
          </cell>
          <cell r="S114" t="str">
            <v>Stephane KETCHOUANG</v>
          </cell>
          <cell r="T114" t="str">
            <v>GEORGES NAKHOUL</v>
          </cell>
          <cell r="U114" t="str">
            <v>I H S</v>
          </cell>
        </row>
        <row r="115">
          <cell r="A115" t="str">
            <v>SUO_101</v>
          </cell>
          <cell r="B115" t="str">
            <v>IHS_KMB_024</v>
          </cell>
          <cell r="C115" t="str">
            <v>SUO_101</v>
          </cell>
          <cell r="D115" t="str">
            <v>South West</v>
          </cell>
          <cell r="E115" t="str">
            <v>South West</v>
          </cell>
          <cell r="F115" t="str">
            <v>Ebonji-IHS</v>
          </cell>
          <cell r="G115" t="str">
            <v>P4</v>
          </cell>
          <cell r="H115" t="str">
            <v>Grid-Gen</v>
          </cell>
          <cell r="I115" t="str">
            <v>On Air</v>
          </cell>
          <cell r="J115" t="str">
            <v>Outdoor</v>
          </cell>
          <cell r="K115" t="str">
            <v>AC</v>
          </cell>
          <cell r="L115" t="str">
            <v>I-Eng</v>
          </cell>
          <cell r="M115" t="str">
            <v>Loum</v>
          </cell>
          <cell r="N115" t="str">
            <v>Koupe-Manengouba</v>
          </cell>
          <cell r="O115" t="str">
            <v>TOMBEL</v>
          </cell>
          <cell r="P115" t="str">
            <v>Aime Tchagou</v>
          </cell>
          <cell r="Q115">
            <v>677549896</v>
          </cell>
          <cell r="R115">
            <v>655999896</v>
          </cell>
          <cell r="S115" t="str">
            <v>Stephane KETCHOUANG</v>
          </cell>
          <cell r="T115" t="str">
            <v>GEORGES NAKHOUL</v>
          </cell>
          <cell r="U115" t="str">
            <v>I H S</v>
          </cell>
        </row>
        <row r="116">
          <cell r="A116" t="str">
            <v>LIT_430</v>
          </cell>
          <cell r="B116" t="str">
            <v>IHS_MBG_001</v>
          </cell>
          <cell r="C116" t="str">
            <v>LIT_430</v>
          </cell>
          <cell r="D116" t="str">
            <v>South West</v>
          </cell>
          <cell r="E116" t="str">
            <v>South West</v>
          </cell>
          <cell r="F116" t="str">
            <v>Mbanga II</v>
          </cell>
          <cell r="G116" t="str">
            <v>P4</v>
          </cell>
          <cell r="H116" t="str">
            <v>Grid-Gen</v>
          </cell>
          <cell r="I116" t="str">
            <v>On Air</v>
          </cell>
          <cell r="J116" t="str">
            <v>Outdoor</v>
          </cell>
          <cell r="K116" t="str">
            <v>AC</v>
          </cell>
          <cell r="L116" t="str">
            <v>I-Eng</v>
          </cell>
          <cell r="M116" t="str">
            <v>Mbanga</v>
          </cell>
          <cell r="N116" t="str">
            <v>MOUNGO</v>
          </cell>
          <cell r="O116" t="str">
            <v>mbanga</v>
          </cell>
          <cell r="P116" t="str">
            <v>Aime Tchagou</v>
          </cell>
          <cell r="Q116">
            <v>677549896</v>
          </cell>
          <cell r="R116">
            <v>655999896</v>
          </cell>
          <cell r="S116" t="str">
            <v>Stephane KETCHOUANG</v>
          </cell>
          <cell r="T116" t="str">
            <v>GEORGES NAKHOUL</v>
          </cell>
          <cell r="U116" t="str">
            <v>I H S</v>
          </cell>
        </row>
        <row r="117">
          <cell r="A117" t="str">
            <v>SUO_039</v>
          </cell>
          <cell r="B117" t="str">
            <v>IHS_KMB_034</v>
          </cell>
          <cell r="C117" t="str">
            <v>SUO_039</v>
          </cell>
          <cell r="D117" t="str">
            <v>South West</v>
          </cell>
          <cell r="E117" t="str">
            <v>South West</v>
          </cell>
          <cell r="F117" t="str">
            <v>Nyassosso-MTN</v>
          </cell>
          <cell r="G117" t="str">
            <v>P4</v>
          </cell>
          <cell r="H117" t="str">
            <v>Grid-Gen</v>
          </cell>
          <cell r="I117" t="str">
            <v>On Air</v>
          </cell>
          <cell r="J117" t="str">
            <v>Outdoor</v>
          </cell>
          <cell r="K117" t="str">
            <v>AC</v>
          </cell>
          <cell r="L117" t="str">
            <v>I-Eng</v>
          </cell>
          <cell r="M117" t="str">
            <v>Loum</v>
          </cell>
          <cell r="N117" t="str">
            <v>MOUNGO</v>
          </cell>
          <cell r="O117" t="str">
            <v>TOMBEL</v>
          </cell>
          <cell r="P117" t="str">
            <v>Aime Tchagou</v>
          </cell>
          <cell r="Q117">
            <v>677549896</v>
          </cell>
          <cell r="R117">
            <v>655999896</v>
          </cell>
          <cell r="S117" t="str">
            <v>Stephane KETCHOUANG</v>
          </cell>
          <cell r="T117" t="str">
            <v>GEORGES NAKHOUL</v>
          </cell>
          <cell r="U117" t="str">
            <v>I H S</v>
          </cell>
        </row>
        <row r="118">
          <cell r="A118" t="str">
            <v>LIT_187</v>
          </cell>
          <cell r="B118" t="str">
            <v>IHS_BNB_041</v>
          </cell>
          <cell r="C118" t="str">
            <v>LIT_187</v>
          </cell>
          <cell r="D118" t="str">
            <v>South West</v>
          </cell>
          <cell r="E118" t="str">
            <v>South West</v>
          </cell>
          <cell r="F118" t="str">
            <v>Dibombari</v>
          </cell>
          <cell r="G118" t="str">
            <v>P5</v>
          </cell>
          <cell r="H118" t="str">
            <v>Grid-Gen</v>
          </cell>
          <cell r="I118" t="str">
            <v>On Air</v>
          </cell>
          <cell r="J118" t="str">
            <v>Outdoor</v>
          </cell>
          <cell r="K118" t="str">
            <v>AC</v>
          </cell>
          <cell r="L118" t="str">
            <v>I-Eng</v>
          </cell>
          <cell r="M118" t="str">
            <v>Mbanga</v>
          </cell>
          <cell r="N118" t="str">
            <v>MOUNGO</v>
          </cell>
          <cell r="O118" t="str">
            <v>DIBOMBARI</v>
          </cell>
          <cell r="P118" t="str">
            <v>Aime Tchagou</v>
          </cell>
          <cell r="Q118">
            <v>677549896</v>
          </cell>
          <cell r="R118">
            <v>655999896</v>
          </cell>
          <cell r="S118" t="str">
            <v>Stephane KETCHOUANG</v>
          </cell>
          <cell r="T118" t="str">
            <v>GEORGES NAKHOUL</v>
          </cell>
          <cell r="U118" t="str">
            <v>I H S</v>
          </cell>
        </row>
        <row r="119">
          <cell r="A119" t="str">
            <v>SUO_061</v>
          </cell>
          <cell r="B119" t="str">
            <v>IHS_BNB_038</v>
          </cell>
          <cell r="C119" t="str">
            <v>SUO_061</v>
          </cell>
          <cell r="D119" t="str">
            <v>South West</v>
          </cell>
          <cell r="E119" t="str">
            <v>South West</v>
          </cell>
          <cell r="F119" t="str">
            <v>Bekoko-MTN</v>
          </cell>
          <cell r="G119" t="str">
            <v>P5</v>
          </cell>
          <cell r="H119" t="str">
            <v>Grid-Gen</v>
          </cell>
          <cell r="I119" t="str">
            <v>On Air</v>
          </cell>
          <cell r="J119" t="str">
            <v>Indoor</v>
          </cell>
          <cell r="K119" t="str">
            <v>AC</v>
          </cell>
          <cell r="L119" t="str">
            <v>I-Eng</v>
          </cell>
          <cell r="M119" t="str">
            <v>Mbanga</v>
          </cell>
          <cell r="N119" t="str">
            <v>MOUNGO</v>
          </cell>
          <cell r="O119" t="str">
            <v>DIBOMBARI</v>
          </cell>
          <cell r="P119" t="str">
            <v>Aime Tchagou</v>
          </cell>
          <cell r="Q119">
            <v>677549896</v>
          </cell>
          <cell r="R119">
            <v>655999896</v>
          </cell>
          <cell r="S119" t="str">
            <v>Stephane KETCHOUANG</v>
          </cell>
          <cell r="T119" t="str">
            <v>GEORGES NAKHOUL</v>
          </cell>
          <cell r="U119" t="str">
            <v>I H S</v>
          </cell>
        </row>
        <row r="120">
          <cell r="A120" t="str">
            <v>LIT_477</v>
          </cell>
          <cell r="B120" t="str">
            <v>IHS_BNB_037</v>
          </cell>
          <cell r="C120" t="str">
            <v>LIT_477</v>
          </cell>
          <cell r="D120" t="str">
            <v>South West</v>
          </cell>
          <cell r="E120" t="str">
            <v>South West</v>
          </cell>
          <cell r="F120" t="str">
            <v>Bekoko  IHS Rempi lebamzip</v>
          </cell>
          <cell r="G120" t="str">
            <v>P5</v>
          </cell>
          <cell r="H120" t="str">
            <v>Grid-Gen</v>
          </cell>
          <cell r="I120" t="str">
            <v>On Air</v>
          </cell>
          <cell r="J120" t="str">
            <v>Outdoor</v>
          </cell>
          <cell r="K120" t="str">
            <v>AC</v>
          </cell>
          <cell r="L120" t="str">
            <v>I-Eng</v>
          </cell>
          <cell r="M120" t="str">
            <v>Mbanga</v>
          </cell>
          <cell r="N120" t="str">
            <v>MOUNGO</v>
          </cell>
          <cell r="O120" t="str">
            <v>DIBOMBARI</v>
          </cell>
          <cell r="P120" t="str">
            <v>Aime Tchagou</v>
          </cell>
          <cell r="Q120">
            <v>677549896</v>
          </cell>
          <cell r="R120">
            <v>655999896</v>
          </cell>
          <cell r="S120" t="str">
            <v>Stephane KETCHOUANG</v>
          </cell>
          <cell r="T120" t="str">
            <v>GEORGES NAKHOUL</v>
          </cell>
          <cell r="U120" t="str">
            <v>I H S</v>
          </cell>
        </row>
        <row r="121">
          <cell r="A121" t="str">
            <v>LIT_493</v>
          </cell>
          <cell r="B121" t="str">
            <v>IHS_MBG_011</v>
          </cell>
          <cell r="C121" t="str">
            <v>LIT_493</v>
          </cell>
          <cell r="D121" t="str">
            <v>South West</v>
          </cell>
          <cell r="E121" t="str">
            <v>South West</v>
          </cell>
          <cell r="F121" t="str">
            <v>Penja Shell</v>
          </cell>
          <cell r="G121" t="str">
            <v>P5</v>
          </cell>
          <cell r="H121" t="str">
            <v>Grid-Gen</v>
          </cell>
          <cell r="I121" t="str">
            <v>On Air</v>
          </cell>
          <cell r="J121" t="str">
            <v>Outdoor</v>
          </cell>
          <cell r="K121" t="str">
            <v>AC</v>
          </cell>
          <cell r="L121" t="str">
            <v>I-Eng</v>
          </cell>
          <cell r="M121" t="str">
            <v>Mbanga</v>
          </cell>
          <cell r="N121" t="str">
            <v>MOUNGO</v>
          </cell>
          <cell r="O121" t="str">
            <v>njombe penja</v>
          </cell>
          <cell r="P121" t="str">
            <v>Aime Tchagou</v>
          </cell>
          <cell r="Q121">
            <v>677549896</v>
          </cell>
          <cell r="R121">
            <v>655999896</v>
          </cell>
          <cell r="S121" t="str">
            <v>Stephane KETCHOUANG</v>
          </cell>
          <cell r="T121" t="str">
            <v>GEORGES NAKHOUL</v>
          </cell>
          <cell r="U121" t="str">
            <v>I H S</v>
          </cell>
        </row>
        <row r="122">
          <cell r="A122" t="str">
            <v>LIT_492</v>
          </cell>
          <cell r="B122" t="str">
            <v>IHS_MBG_007</v>
          </cell>
          <cell r="C122" t="str">
            <v>LIT_492</v>
          </cell>
          <cell r="D122" t="str">
            <v>South West</v>
          </cell>
          <cell r="E122" t="str">
            <v>South West</v>
          </cell>
          <cell r="F122" t="str">
            <v>Njombe market</v>
          </cell>
          <cell r="G122" t="str">
            <v>P5</v>
          </cell>
          <cell r="H122" t="str">
            <v>Grid-Gen</v>
          </cell>
          <cell r="I122" t="str">
            <v>On Air</v>
          </cell>
          <cell r="J122" t="str">
            <v>Outdoor</v>
          </cell>
          <cell r="K122" t="str">
            <v>AC</v>
          </cell>
          <cell r="L122" t="str">
            <v>I-Eng</v>
          </cell>
          <cell r="M122" t="str">
            <v>Mbanga</v>
          </cell>
          <cell r="N122" t="str">
            <v>MOUNGO</v>
          </cell>
          <cell r="O122" t="str">
            <v>njombe penja</v>
          </cell>
          <cell r="P122" t="str">
            <v>Aime Tchagou</v>
          </cell>
          <cell r="Q122">
            <v>677549896</v>
          </cell>
          <cell r="R122">
            <v>655999896</v>
          </cell>
          <cell r="S122" t="str">
            <v>Stephane KETCHOUANG</v>
          </cell>
          <cell r="T122" t="str">
            <v>GEORGES NAKHOUL</v>
          </cell>
          <cell r="U122" t="str">
            <v>I H S</v>
          </cell>
        </row>
        <row r="123">
          <cell r="B123" t="str">
            <v>IHS_BFG_021</v>
          </cell>
          <cell r="D123" t="str">
            <v>Littoral</v>
          </cell>
          <cell r="E123" t="str">
            <v>Littoral</v>
          </cell>
          <cell r="F123" t="str">
            <v>Maleke</v>
          </cell>
          <cell r="G123" t="str">
            <v>P4</v>
          </cell>
          <cell r="H123" t="str">
            <v>Solar Only</v>
          </cell>
          <cell r="I123" t="str">
            <v>On Air</v>
          </cell>
          <cell r="J123" t="str">
            <v>Outdoor</v>
          </cell>
          <cell r="K123" t="str">
            <v>AC</v>
          </cell>
          <cell r="L123" t="str">
            <v>SAGEMCOM</v>
          </cell>
          <cell r="M123" t="str">
            <v>Mbanga</v>
          </cell>
          <cell r="N123" t="str">
            <v>MOUNGO</v>
          </cell>
          <cell r="O123" t="str">
            <v>N/A</v>
          </cell>
          <cell r="P123" t="str">
            <v>Aime Tchagou</v>
          </cell>
          <cell r="Q123">
            <v>677549896</v>
          </cell>
          <cell r="R123">
            <v>655999896</v>
          </cell>
          <cell r="S123" t="str">
            <v>Valery Doudou</v>
          </cell>
          <cell r="T123" t="str">
            <v>GEORGES NAKHOUL</v>
          </cell>
          <cell r="U123" t="str">
            <v>I H S</v>
          </cell>
        </row>
        <row r="124">
          <cell r="A124" t="str">
            <v>NRD_030</v>
          </cell>
          <cell r="B124" t="str">
            <v>IHS_GAR_046</v>
          </cell>
          <cell r="C124" t="str">
            <v>NRD_030</v>
          </cell>
          <cell r="D124" t="str">
            <v>North</v>
          </cell>
          <cell r="E124" t="str">
            <v>North</v>
          </cell>
          <cell r="F124" t="str">
            <v>Djarako</v>
          </cell>
          <cell r="G124" t="str">
            <v>P2</v>
          </cell>
          <cell r="H124" t="str">
            <v>Gen Only</v>
          </cell>
          <cell r="I124" t="str">
            <v>On Air</v>
          </cell>
          <cell r="J124" t="str">
            <v>Indoor</v>
          </cell>
          <cell r="K124" t="str">
            <v>AC</v>
          </cell>
          <cell r="L124" t="str">
            <v>I-Eng</v>
          </cell>
          <cell r="M124" t="str">
            <v>Garoua 1</v>
          </cell>
          <cell r="N124" t="str">
            <v>BENOUE</v>
          </cell>
          <cell r="O124" t="str">
            <v>lagdo</v>
          </cell>
          <cell r="P124" t="str">
            <v>ALI ABAKAR</v>
          </cell>
          <cell r="Q124">
            <v>681438458</v>
          </cell>
          <cell r="R124">
            <v>657105035</v>
          </cell>
          <cell r="S124" t="str">
            <v>Alain Etoundi</v>
          </cell>
          <cell r="T124" t="str">
            <v>Valeur HOUELL</v>
          </cell>
          <cell r="U124" t="str">
            <v>I H S</v>
          </cell>
        </row>
        <row r="125">
          <cell r="A125" t="str">
            <v>NRD_008</v>
          </cell>
          <cell r="B125" t="str">
            <v>IHS_GAR_064</v>
          </cell>
          <cell r="C125" t="str">
            <v>NRD_008</v>
          </cell>
          <cell r="D125" t="str">
            <v>North</v>
          </cell>
          <cell r="E125" t="str">
            <v>North</v>
          </cell>
          <cell r="F125" t="str">
            <v>Tchollire</v>
          </cell>
          <cell r="G125" t="str">
            <v>P2</v>
          </cell>
          <cell r="H125" t="str">
            <v>Grid-Hybrid-Gen</v>
          </cell>
          <cell r="I125" t="str">
            <v>On Air</v>
          </cell>
          <cell r="J125" t="str">
            <v>Indoor</v>
          </cell>
          <cell r="K125" t="str">
            <v>AC</v>
          </cell>
          <cell r="L125" t="str">
            <v>I-Eng</v>
          </cell>
          <cell r="M125" t="str">
            <v>Garoua 1</v>
          </cell>
          <cell r="N125" t="str">
            <v>MAYO REY</v>
          </cell>
          <cell r="O125" t="str">
            <v>tchollire</v>
          </cell>
          <cell r="P125" t="str">
            <v>ALI ABAKAR</v>
          </cell>
          <cell r="Q125">
            <v>681438458</v>
          </cell>
          <cell r="R125">
            <v>657105035</v>
          </cell>
          <cell r="S125" t="str">
            <v>Alain Etoundi</v>
          </cell>
          <cell r="T125" t="str">
            <v>Valeur HOUELL</v>
          </cell>
          <cell r="U125" t="str">
            <v>I H S</v>
          </cell>
        </row>
        <row r="126">
          <cell r="A126" t="str">
            <v>NRD_032</v>
          </cell>
          <cell r="B126" t="str">
            <v>IHS_GAR_038</v>
          </cell>
          <cell r="C126" t="str">
            <v>NRD_032</v>
          </cell>
          <cell r="D126" t="str">
            <v>North</v>
          </cell>
          <cell r="E126" t="str">
            <v>North</v>
          </cell>
          <cell r="F126" t="str">
            <v>Ngong-II</v>
          </cell>
          <cell r="G126" t="str">
            <v>P2</v>
          </cell>
          <cell r="H126" t="str">
            <v>Grid-Gen</v>
          </cell>
          <cell r="I126" t="str">
            <v>On Air</v>
          </cell>
          <cell r="J126" t="str">
            <v>Indoor</v>
          </cell>
          <cell r="K126" t="str">
            <v>AC</v>
          </cell>
          <cell r="L126" t="str">
            <v>I-Eng</v>
          </cell>
          <cell r="M126" t="str">
            <v>Garoua 1</v>
          </cell>
          <cell r="N126" t="str">
            <v>BENOUE</v>
          </cell>
          <cell r="O126" t="str">
            <v>ngong</v>
          </cell>
          <cell r="P126" t="str">
            <v>ALI ABAKAR</v>
          </cell>
          <cell r="Q126">
            <v>681438458</v>
          </cell>
          <cell r="R126">
            <v>657105035</v>
          </cell>
          <cell r="S126" t="str">
            <v>Alain Etoundi</v>
          </cell>
          <cell r="T126" t="str">
            <v>Valeur HOUELL</v>
          </cell>
          <cell r="U126" t="str">
            <v>I H S</v>
          </cell>
        </row>
        <row r="127">
          <cell r="A127" t="str">
            <v>NRD_036</v>
          </cell>
          <cell r="B127" t="str">
            <v>IHS_GAR_074</v>
          </cell>
          <cell r="C127" t="str">
            <v>NRD_036</v>
          </cell>
          <cell r="D127" t="str">
            <v>North</v>
          </cell>
          <cell r="E127" t="str">
            <v>North</v>
          </cell>
          <cell r="F127" t="str">
            <v>Mandingring</v>
          </cell>
          <cell r="G127" t="str">
            <v>P2</v>
          </cell>
          <cell r="H127" t="str">
            <v>Solar-Gen</v>
          </cell>
          <cell r="I127" t="str">
            <v>On Air</v>
          </cell>
          <cell r="J127" t="str">
            <v>Indoor</v>
          </cell>
          <cell r="K127" t="str">
            <v>AC</v>
          </cell>
          <cell r="L127" t="str">
            <v>I-Eng</v>
          </cell>
          <cell r="M127" t="str">
            <v>Garoua 1</v>
          </cell>
          <cell r="N127" t="str">
            <v>MAYO REY</v>
          </cell>
          <cell r="O127" t="str">
            <v>COMMUNE DE REY-BOUBA</v>
          </cell>
          <cell r="P127" t="str">
            <v>ALI ABAKAR</v>
          </cell>
          <cell r="Q127">
            <v>681438458</v>
          </cell>
          <cell r="R127">
            <v>657105035</v>
          </cell>
          <cell r="S127" t="str">
            <v>Alain Etoundi</v>
          </cell>
          <cell r="T127" t="str">
            <v>Valeur HOUELL</v>
          </cell>
          <cell r="U127" t="str">
            <v>I H S</v>
          </cell>
        </row>
        <row r="128">
          <cell r="A128" t="str">
            <v>NRD_031</v>
          </cell>
          <cell r="B128" t="str">
            <v>IHS_GAR_055</v>
          </cell>
          <cell r="C128" t="str">
            <v>NRD_031</v>
          </cell>
          <cell r="D128" t="str">
            <v>North</v>
          </cell>
          <cell r="E128" t="str">
            <v>North</v>
          </cell>
          <cell r="F128" t="str">
            <v>Gouna</v>
          </cell>
          <cell r="G128" t="str">
            <v>P2</v>
          </cell>
          <cell r="H128" t="str">
            <v>Solar-Gen</v>
          </cell>
          <cell r="I128" t="str">
            <v>On Air</v>
          </cell>
          <cell r="J128" t="str">
            <v>Indoor</v>
          </cell>
          <cell r="K128" t="str">
            <v>AC</v>
          </cell>
          <cell r="L128" t="str">
            <v>I-Eng</v>
          </cell>
          <cell r="M128" t="str">
            <v>Garoua 1</v>
          </cell>
          <cell r="N128" t="str">
            <v>BENOUE</v>
          </cell>
          <cell r="O128" t="str">
            <v>lagdo</v>
          </cell>
          <cell r="P128" t="str">
            <v>ALI ABAKAR</v>
          </cell>
          <cell r="Q128">
            <v>681438458</v>
          </cell>
          <cell r="R128">
            <v>657105035</v>
          </cell>
          <cell r="S128" t="str">
            <v>Alain Etoundi</v>
          </cell>
          <cell r="T128" t="str">
            <v>Valeur HOUELL</v>
          </cell>
          <cell r="U128" t="str">
            <v>I H S</v>
          </cell>
        </row>
        <row r="129">
          <cell r="A129" t="str">
            <v>NRD_021</v>
          </cell>
          <cell r="B129" t="str">
            <v>IHS_GAR_041</v>
          </cell>
          <cell r="C129" t="str">
            <v>NRD_021</v>
          </cell>
          <cell r="D129" t="str">
            <v>North</v>
          </cell>
          <cell r="E129" t="str">
            <v>North</v>
          </cell>
          <cell r="F129" t="str">
            <v>Bibemi</v>
          </cell>
          <cell r="G129" t="str">
            <v>P2</v>
          </cell>
          <cell r="H129" t="str">
            <v>Solar-Grid-Gen</v>
          </cell>
          <cell r="I129" t="str">
            <v>On Air</v>
          </cell>
          <cell r="J129" t="str">
            <v>Outdoor</v>
          </cell>
          <cell r="K129" t="str">
            <v>AC</v>
          </cell>
          <cell r="L129" t="str">
            <v>I-Eng</v>
          </cell>
          <cell r="M129" t="str">
            <v>Garoua 1</v>
          </cell>
          <cell r="N129" t="str">
            <v>BENOUE</v>
          </cell>
          <cell r="O129" t="str">
            <v>bibemi</v>
          </cell>
          <cell r="P129" t="str">
            <v>ALI ABAKAR</v>
          </cell>
          <cell r="Q129">
            <v>681438458</v>
          </cell>
          <cell r="R129">
            <v>657105035</v>
          </cell>
          <cell r="S129" t="str">
            <v>Alain Etoundi</v>
          </cell>
          <cell r="T129" t="str">
            <v>Valeur HOUELL</v>
          </cell>
          <cell r="U129" t="str">
            <v>I H S</v>
          </cell>
        </row>
        <row r="130">
          <cell r="A130" t="str">
            <v>NRD_029</v>
          </cell>
          <cell r="B130" t="str">
            <v>IHS_GAR_062</v>
          </cell>
          <cell r="C130" t="str">
            <v>NRD_029</v>
          </cell>
          <cell r="D130" t="str">
            <v>North</v>
          </cell>
          <cell r="E130" t="str">
            <v>North</v>
          </cell>
          <cell r="F130" t="str">
            <v>Banda</v>
          </cell>
          <cell r="G130" t="str">
            <v>P2</v>
          </cell>
          <cell r="H130" t="str">
            <v>Solar-Gen</v>
          </cell>
          <cell r="I130" t="str">
            <v>On Air</v>
          </cell>
          <cell r="J130" t="str">
            <v>Indoor</v>
          </cell>
          <cell r="K130" t="str">
            <v>AC</v>
          </cell>
          <cell r="L130" t="str">
            <v>I-Eng</v>
          </cell>
          <cell r="M130" t="str">
            <v>Garoua 1</v>
          </cell>
          <cell r="N130" t="str">
            <v>BENOUE</v>
          </cell>
          <cell r="O130" t="str">
            <v>lagdo</v>
          </cell>
          <cell r="P130" t="str">
            <v>ALI ABAKAR</v>
          </cell>
          <cell r="Q130">
            <v>681438458</v>
          </cell>
          <cell r="R130">
            <v>657105035</v>
          </cell>
          <cell r="S130" t="str">
            <v>Alain Etoundi</v>
          </cell>
          <cell r="T130" t="str">
            <v>Valeur HOUELL</v>
          </cell>
          <cell r="U130" t="str">
            <v>I H S</v>
          </cell>
        </row>
        <row r="131">
          <cell r="A131" t="str">
            <v>NRD_812</v>
          </cell>
          <cell r="B131" t="str">
            <v>IHS_GAR_045</v>
          </cell>
          <cell r="C131" t="str">
            <v>NRD_812</v>
          </cell>
          <cell r="D131" t="str">
            <v>North</v>
          </cell>
          <cell r="E131" t="str">
            <v>North</v>
          </cell>
          <cell r="F131" t="str">
            <v>Djarako-MTN</v>
          </cell>
          <cell r="G131" t="str">
            <v>P2</v>
          </cell>
          <cell r="H131" t="str">
            <v>Hybrid-Gen</v>
          </cell>
          <cell r="I131" t="str">
            <v>On Air</v>
          </cell>
          <cell r="J131" t="str">
            <v>Outdoor</v>
          </cell>
          <cell r="K131" t="str">
            <v>AC</v>
          </cell>
          <cell r="L131" t="str">
            <v>I-Eng</v>
          </cell>
          <cell r="M131" t="str">
            <v>Garoua 1</v>
          </cell>
          <cell r="N131" t="str">
            <v>BENOUE</v>
          </cell>
          <cell r="O131" t="str">
            <v>lagdo</v>
          </cell>
          <cell r="P131" t="str">
            <v>ALI ABAKAR</v>
          </cell>
          <cell r="Q131">
            <v>681438458</v>
          </cell>
          <cell r="R131">
            <v>657105035</v>
          </cell>
          <cell r="S131" t="str">
            <v>Alain Etoundi</v>
          </cell>
          <cell r="T131" t="str">
            <v>Valeur HOUELL</v>
          </cell>
          <cell r="U131" t="str">
            <v>I H S</v>
          </cell>
        </row>
        <row r="132">
          <cell r="A132" t="str">
            <v>NRD_111</v>
          </cell>
          <cell r="B132" t="str">
            <v>IHS_GAR_319</v>
          </cell>
          <cell r="C132" t="str">
            <v>NRD_111</v>
          </cell>
          <cell r="D132" t="str">
            <v>North</v>
          </cell>
          <cell r="E132" t="str">
            <v>North</v>
          </cell>
          <cell r="F132" t="str">
            <v>Hamalade</v>
          </cell>
          <cell r="G132" t="str">
            <v>P3</v>
          </cell>
          <cell r="H132" t="str">
            <v>Solar-Gen</v>
          </cell>
          <cell r="I132" t="str">
            <v>On Air</v>
          </cell>
          <cell r="J132" t="str">
            <v>Outdoor</v>
          </cell>
          <cell r="K132" t="str">
            <v>AC</v>
          </cell>
          <cell r="L132" t="str">
            <v>I-Eng</v>
          </cell>
          <cell r="M132" t="str">
            <v>Garoua 1</v>
          </cell>
          <cell r="N132" t="str">
            <v>MAYO REY</v>
          </cell>
          <cell r="O132" t="str">
            <v>madingring</v>
          </cell>
          <cell r="P132" t="str">
            <v>ALI ABAKAR</v>
          </cell>
          <cell r="Q132">
            <v>681438458</v>
          </cell>
          <cell r="R132">
            <v>657105035</v>
          </cell>
          <cell r="S132" t="str">
            <v>Alain Etoundi</v>
          </cell>
          <cell r="T132" t="str">
            <v>Valeur HOUELL</v>
          </cell>
          <cell r="U132" t="str">
            <v>I H S</v>
          </cell>
        </row>
        <row r="133">
          <cell r="A133" t="str">
            <v>NRD_012</v>
          </cell>
          <cell r="B133" t="str">
            <v>IHS_GAR_042</v>
          </cell>
          <cell r="C133" t="str">
            <v>NRD_012</v>
          </cell>
          <cell r="D133" t="str">
            <v>North</v>
          </cell>
          <cell r="E133" t="str">
            <v>North</v>
          </cell>
          <cell r="F133" t="str">
            <v>Lagdo</v>
          </cell>
          <cell r="G133" t="str">
            <v>P3</v>
          </cell>
          <cell r="H133" t="str">
            <v>Grid-Gen</v>
          </cell>
          <cell r="I133" t="str">
            <v>On Air</v>
          </cell>
          <cell r="J133" t="str">
            <v>Indoor</v>
          </cell>
          <cell r="K133" t="str">
            <v>AC</v>
          </cell>
          <cell r="L133" t="str">
            <v>I-Eng</v>
          </cell>
          <cell r="M133" t="str">
            <v>Garoua 1</v>
          </cell>
          <cell r="N133" t="str">
            <v>BENOUE</v>
          </cell>
          <cell r="O133" t="str">
            <v>lagdo</v>
          </cell>
          <cell r="P133" t="str">
            <v>ALI ABAKAR</v>
          </cell>
          <cell r="Q133">
            <v>681438458</v>
          </cell>
          <cell r="R133">
            <v>657105035</v>
          </cell>
          <cell r="S133" t="str">
            <v>Alain Etoundi</v>
          </cell>
          <cell r="T133" t="str">
            <v>Valeur HOUELL</v>
          </cell>
          <cell r="U133" t="str">
            <v>I H S</v>
          </cell>
        </row>
        <row r="134">
          <cell r="A134" t="str">
            <v>NRD_003</v>
          </cell>
          <cell r="B134" t="str">
            <v>IHS_GAR_026</v>
          </cell>
          <cell r="C134" t="str">
            <v>NRD_003</v>
          </cell>
          <cell r="D134" t="str">
            <v>North</v>
          </cell>
          <cell r="E134" t="str">
            <v>North</v>
          </cell>
          <cell r="F134" t="str">
            <v>Djamboutou</v>
          </cell>
          <cell r="G134" t="str">
            <v>P3</v>
          </cell>
          <cell r="H134" t="str">
            <v>Grid-Gen</v>
          </cell>
          <cell r="I134" t="str">
            <v>On Air</v>
          </cell>
          <cell r="J134" t="str">
            <v>Indoor</v>
          </cell>
          <cell r="K134" t="str">
            <v>AC</v>
          </cell>
          <cell r="L134" t="str">
            <v>I-Eng</v>
          </cell>
          <cell r="M134" t="str">
            <v>Garoua 2</v>
          </cell>
          <cell r="N134" t="str">
            <v>BENOUE</v>
          </cell>
          <cell r="O134" t="str">
            <v>Garoua I</v>
          </cell>
          <cell r="P134" t="str">
            <v>ALI ABAKAR</v>
          </cell>
          <cell r="Q134">
            <v>681438458</v>
          </cell>
          <cell r="R134">
            <v>657105035</v>
          </cell>
          <cell r="S134" t="str">
            <v>Alain Etoundi</v>
          </cell>
          <cell r="T134" t="str">
            <v>Valeur HOUELL</v>
          </cell>
          <cell r="U134" t="str">
            <v>I H S</v>
          </cell>
        </row>
        <row r="135">
          <cell r="A135" t="str">
            <v>NRD_047</v>
          </cell>
          <cell r="B135" t="str">
            <v>IHS_GAR_020</v>
          </cell>
          <cell r="C135" t="str">
            <v>NRD_047</v>
          </cell>
          <cell r="D135" t="str">
            <v>North</v>
          </cell>
          <cell r="E135" t="str">
            <v>North</v>
          </cell>
          <cell r="F135" t="str">
            <v>Garoua-Djamboutou-CICAM</v>
          </cell>
          <cell r="G135" t="str">
            <v>P3</v>
          </cell>
          <cell r="H135" t="str">
            <v>Grid-Gen</v>
          </cell>
          <cell r="I135" t="str">
            <v>On Air</v>
          </cell>
          <cell r="J135" t="str">
            <v>Outdoor</v>
          </cell>
          <cell r="K135" t="str">
            <v>AC</v>
          </cell>
          <cell r="L135" t="str">
            <v>I-Eng</v>
          </cell>
          <cell r="M135" t="str">
            <v>Garoua 2</v>
          </cell>
          <cell r="N135" t="str">
            <v>BENOUE</v>
          </cell>
          <cell r="O135" t="str">
            <v>Garoua I</v>
          </cell>
          <cell r="P135" t="str">
            <v>ALI ABAKAR</v>
          </cell>
          <cell r="Q135">
            <v>681438458</v>
          </cell>
          <cell r="R135">
            <v>657105035</v>
          </cell>
          <cell r="S135" t="str">
            <v>Alain Etoundi</v>
          </cell>
          <cell r="T135" t="str">
            <v>Valeur HOUELL</v>
          </cell>
          <cell r="U135" t="str">
            <v>I H S</v>
          </cell>
        </row>
        <row r="136">
          <cell r="A136" t="str">
            <v>NRD_023</v>
          </cell>
          <cell r="B136" t="str">
            <v>IHS_GAR_066</v>
          </cell>
          <cell r="C136" t="str">
            <v>NRD_023</v>
          </cell>
          <cell r="D136" t="str">
            <v>North</v>
          </cell>
          <cell r="E136" t="str">
            <v>North</v>
          </cell>
          <cell r="F136" t="str">
            <v>Rey-Bouba</v>
          </cell>
          <cell r="G136" t="str">
            <v>P3</v>
          </cell>
          <cell r="H136" t="str">
            <v>Grid-Gen</v>
          </cell>
          <cell r="I136" t="str">
            <v>On Air</v>
          </cell>
          <cell r="J136" t="str">
            <v>Outdoor</v>
          </cell>
          <cell r="K136" t="str">
            <v>AC</v>
          </cell>
          <cell r="L136" t="str">
            <v>I-Eng</v>
          </cell>
          <cell r="M136" t="str">
            <v>Garoua 1</v>
          </cell>
          <cell r="N136" t="str">
            <v>MAYO REY</v>
          </cell>
          <cell r="O136" t="str">
            <v>COMMUNE Rey-BOUBA</v>
          </cell>
          <cell r="P136" t="str">
            <v>ALI ABAKAR</v>
          </cell>
          <cell r="Q136">
            <v>681438458</v>
          </cell>
          <cell r="R136">
            <v>657105035</v>
          </cell>
          <cell r="S136" t="str">
            <v>Alain Etoundi</v>
          </cell>
          <cell r="T136" t="str">
            <v>Valeur HOUELL</v>
          </cell>
          <cell r="U136" t="str">
            <v>I H S</v>
          </cell>
        </row>
        <row r="137">
          <cell r="A137" t="str">
            <v>NRD_038</v>
          </cell>
          <cell r="B137" t="str">
            <v>IHS_GAR_018</v>
          </cell>
          <cell r="C137" t="str">
            <v>NRD_038</v>
          </cell>
          <cell r="D137" t="str">
            <v>North</v>
          </cell>
          <cell r="E137" t="str">
            <v>North</v>
          </cell>
          <cell r="F137" t="str">
            <v>Poumpoumrey</v>
          </cell>
          <cell r="G137" t="str">
            <v>P3</v>
          </cell>
          <cell r="H137" t="str">
            <v>Grid-Gen</v>
          </cell>
          <cell r="I137" t="str">
            <v>On Air</v>
          </cell>
          <cell r="J137" t="str">
            <v>Outdoor</v>
          </cell>
          <cell r="K137" t="str">
            <v>AC</v>
          </cell>
          <cell r="L137" t="str">
            <v>I-Eng</v>
          </cell>
          <cell r="M137" t="str">
            <v>Garoua 1</v>
          </cell>
          <cell r="N137" t="str">
            <v>BENOUE</v>
          </cell>
          <cell r="O137" t="str">
            <v>poumpoumrey</v>
          </cell>
          <cell r="P137" t="str">
            <v>ALI ABAKAR</v>
          </cell>
          <cell r="Q137">
            <v>681438458</v>
          </cell>
          <cell r="R137">
            <v>657105035</v>
          </cell>
          <cell r="S137" t="str">
            <v>Alain Etoundi</v>
          </cell>
          <cell r="T137" t="str">
            <v>Valeur HOUELL</v>
          </cell>
          <cell r="U137" t="str">
            <v>I H S</v>
          </cell>
        </row>
        <row r="138">
          <cell r="A138" t="str">
            <v>ADM_081</v>
          </cell>
          <cell r="B138" t="str">
            <v>IHS_GAR_071</v>
          </cell>
          <cell r="C138" t="str">
            <v>ADM_081</v>
          </cell>
          <cell r="D138" t="str">
            <v>North</v>
          </cell>
          <cell r="E138" t="str">
            <v>North</v>
          </cell>
          <cell r="F138" t="str">
            <v>Ngaouyanga-IHS</v>
          </cell>
          <cell r="G138" t="str">
            <v>P3</v>
          </cell>
          <cell r="H138" t="str">
            <v>Hybrid-Gen</v>
          </cell>
          <cell r="I138" t="str">
            <v>On Air</v>
          </cell>
          <cell r="J138" t="str">
            <v>Outdoor</v>
          </cell>
          <cell r="K138" t="str">
            <v>AC</v>
          </cell>
          <cell r="L138" t="str">
            <v>I-Eng</v>
          </cell>
          <cell r="M138" t="str">
            <v>Garoua 1</v>
          </cell>
          <cell r="N138" t="str">
            <v>VINA</v>
          </cell>
          <cell r="O138" t="str">
            <v>mbe</v>
          </cell>
          <cell r="P138" t="str">
            <v>ALI ABAKAR</v>
          </cell>
          <cell r="Q138">
            <v>681438458</v>
          </cell>
          <cell r="R138">
            <v>657105035</v>
          </cell>
          <cell r="S138" t="str">
            <v>Alain Etoundi</v>
          </cell>
          <cell r="T138" t="str">
            <v>Valeur HOUELL</v>
          </cell>
          <cell r="U138" t="str">
            <v>I H S</v>
          </cell>
        </row>
        <row r="139">
          <cell r="A139" t="str">
            <v>NRD_119</v>
          </cell>
          <cell r="B139" t="str">
            <v>IHS_GAR_330</v>
          </cell>
          <cell r="C139" t="str">
            <v>NRD_119</v>
          </cell>
          <cell r="D139" t="str">
            <v>North</v>
          </cell>
          <cell r="E139" t="str">
            <v>North</v>
          </cell>
          <cell r="F139" t="str">
            <v>Poli ville</v>
          </cell>
          <cell r="G139" t="str">
            <v>P4</v>
          </cell>
          <cell r="H139" t="str">
            <v>Grid-Gen</v>
          </cell>
          <cell r="I139" t="str">
            <v>On Air</v>
          </cell>
          <cell r="J139" t="str">
            <v>Outdoor</v>
          </cell>
          <cell r="K139" t="str">
            <v>AC</v>
          </cell>
          <cell r="L139" t="str">
            <v>I-Eng</v>
          </cell>
          <cell r="M139" t="str">
            <v>Garoua 1</v>
          </cell>
          <cell r="N139" t="str">
            <v>VINA</v>
          </cell>
          <cell r="O139" t="str">
            <v>Poli</v>
          </cell>
          <cell r="P139" t="str">
            <v>ALI ABAKAR</v>
          </cell>
          <cell r="Q139">
            <v>681438458</v>
          </cell>
          <cell r="R139">
            <v>657105035</v>
          </cell>
          <cell r="S139" t="str">
            <v>Alain Etoundi</v>
          </cell>
          <cell r="T139" t="str">
            <v>Valeur HOUELL</v>
          </cell>
          <cell r="U139" t="str">
            <v>I H S</v>
          </cell>
        </row>
        <row r="140">
          <cell r="A140" t="str">
            <v>NRD_129</v>
          </cell>
          <cell r="B140" t="str">
            <v>IHS_GAR_337</v>
          </cell>
          <cell r="C140" t="str">
            <v>NRD_129</v>
          </cell>
          <cell r="D140" t="str">
            <v>North</v>
          </cell>
          <cell r="E140" t="str">
            <v>North</v>
          </cell>
          <cell r="F140" t="str">
            <v>Boussa</v>
          </cell>
          <cell r="G140" t="str">
            <v>P4</v>
          </cell>
          <cell r="H140" t="str">
            <v>Solar-Gen</v>
          </cell>
          <cell r="I140" t="str">
            <v>On Air</v>
          </cell>
          <cell r="J140" t="str">
            <v>Outdoor</v>
          </cell>
          <cell r="K140" t="str">
            <v>AC</v>
          </cell>
          <cell r="L140" t="str">
            <v>I-Eng</v>
          </cell>
          <cell r="M140" t="str">
            <v>Garoua 1</v>
          </cell>
          <cell r="N140" t="str">
            <v>BENOUE</v>
          </cell>
          <cell r="O140" t="str">
            <v>bibemi</v>
          </cell>
          <cell r="P140" t="str">
            <v>ALI ABAKAR</v>
          </cell>
          <cell r="Q140">
            <v>681438458</v>
          </cell>
          <cell r="R140">
            <v>657105035</v>
          </cell>
          <cell r="S140" t="str">
            <v>Alain Etoundi</v>
          </cell>
          <cell r="T140" t="str">
            <v>Valeur HOUELL</v>
          </cell>
          <cell r="U140" t="str">
            <v>I H S</v>
          </cell>
        </row>
        <row r="141">
          <cell r="A141" t="str">
            <v>NRD_106</v>
          </cell>
          <cell r="B141" t="str">
            <v>IHS_GAR_310</v>
          </cell>
          <cell r="C141" t="str">
            <v>NRD_106</v>
          </cell>
          <cell r="D141" t="str">
            <v>North</v>
          </cell>
          <cell r="E141" t="str">
            <v>North</v>
          </cell>
          <cell r="F141" t="str">
            <v>Mayo Nonde</v>
          </cell>
          <cell r="G141" t="str">
            <v>P4</v>
          </cell>
          <cell r="H141" t="str">
            <v>Solar-Gen</v>
          </cell>
          <cell r="I141" t="str">
            <v>On Air</v>
          </cell>
          <cell r="J141" t="str">
            <v>Outdoor</v>
          </cell>
          <cell r="K141" t="str">
            <v>AC</v>
          </cell>
          <cell r="L141" t="str">
            <v>I-Eng</v>
          </cell>
          <cell r="M141" t="str">
            <v>Garoua 1</v>
          </cell>
          <cell r="N141" t="str">
            <v>BENOUE</v>
          </cell>
          <cell r="O141" t="str">
            <v>bibemi</v>
          </cell>
          <cell r="P141" t="str">
            <v>ALI ABAKAR</v>
          </cell>
          <cell r="Q141">
            <v>681438458</v>
          </cell>
          <cell r="R141">
            <v>657105035</v>
          </cell>
          <cell r="S141" t="str">
            <v>Alain Etoundi</v>
          </cell>
          <cell r="T141" t="str">
            <v>Valeur HOUELL</v>
          </cell>
          <cell r="U141" t="str">
            <v>I H S</v>
          </cell>
        </row>
        <row r="142">
          <cell r="A142" t="str">
            <v>NRD_109</v>
          </cell>
          <cell r="B142" t="str">
            <v>IHS_GAR_320</v>
          </cell>
          <cell r="C142" t="str">
            <v>NRD_109</v>
          </cell>
          <cell r="D142" t="str">
            <v>North</v>
          </cell>
          <cell r="E142" t="str">
            <v>North</v>
          </cell>
          <cell r="F142" t="str">
            <v>Kapanaye</v>
          </cell>
          <cell r="G142" t="str">
            <v>P4</v>
          </cell>
          <cell r="H142" t="str">
            <v>Solar-Gen</v>
          </cell>
          <cell r="I142" t="str">
            <v>On Air</v>
          </cell>
          <cell r="J142" t="str">
            <v>Outdoor</v>
          </cell>
          <cell r="K142" t="str">
            <v>AC</v>
          </cell>
          <cell r="L142" t="str">
            <v>I-Eng</v>
          </cell>
          <cell r="M142" t="str">
            <v>Garoua 1</v>
          </cell>
          <cell r="N142" t="str">
            <v>BENOUE</v>
          </cell>
          <cell r="O142" t="str">
            <v>bibemi</v>
          </cell>
          <cell r="P142" t="str">
            <v>ALI ABAKAR</v>
          </cell>
          <cell r="Q142">
            <v>681438458</v>
          </cell>
          <cell r="R142">
            <v>657105035</v>
          </cell>
          <cell r="S142" t="str">
            <v>Alain Etoundi</v>
          </cell>
          <cell r="T142" t="str">
            <v>Valeur HOUELL</v>
          </cell>
          <cell r="U142" t="str">
            <v>I H S</v>
          </cell>
        </row>
        <row r="143">
          <cell r="A143" t="str">
            <v>NRD_128</v>
          </cell>
          <cell r="B143" t="str">
            <v>IHS_GAR_335</v>
          </cell>
          <cell r="C143" t="str">
            <v>NRD_128</v>
          </cell>
          <cell r="D143" t="str">
            <v>North</v>
          </cell>
          <cell r="E143" t="str">
            <v>North</v>
          </cell>
          <cell r="F143" t="str">
            <v>Djaba</v>
          </cell>
          <cell r="G143" t="str">
            <v>P4</v>
          </cell>
          <cell r="H143" t="str">
            <v>Hybrid-Gen</v>
          </cell>
          <cell r="I143" t="str">
            <v>On Air</v>
          </cell>
          <cell r="J143" t="str">
            <v>Outdoor</v>
          </cell>
          <cell r="K143" t="str">
            <v>AC</v>
          </cell>
          <cell r="L143" t="str">
            <v>I-Eng</v>
          </cell>
          <cell r="M143" t="str">
            <v>Garoua 1</v>
          </cell>
          <cell r="N143" t="str">
            <v>BENOUE</v>
          </cell>
          <cell r="O143" t="str">
            <v>lagdo</v>
          </cell>
          <cell r="P143" t="str">
            <v>ALI ABAKAR</v>
          </cell>
          <cell r="Q143">
            <v>681438458</v>
          </cell>
          <cell r="R143">
            <v>657105035</v>
          </cell>
          <cell r="S143" t="str">
            <v>Alain Etoundi</v>
          </cell>
          <cell r="T143" t="str">
            <v>Valeur HOUELL</v>
          </cell>
          <cell r="U143" t="str">
            <v>I H S</v>
          </cell>
        </row>
        <row r="144">
          <cell r="A144" t="str">
            <v>NRD_107</v>
          </cell>
          <cell r="B144" t="str">
            <v>IHS_GAR_312</v>
          </cell>
          <cell r="C144" t="str">
            <v>NRD_107</v>
          </cell>
          <cell r="D144" t="str">
            <v>North</v>
          </cell>
          <cell r="E144" t="str">
            <v>North</v>
          </cell>
          <cell r="F144" t="str">
            <v>Badankali</v>
          </cell>
          <cell r="G144" t="str">
            <v>P4</v>
          </cell>
          <cell r="H144" t="str">
            <v>Hybrid-Gen</v>
          </cell>
          <cell r="I144" t="str">
            <v>On Air</v>
          </cell>
          <cell r="J144" t="str">
            <v>Outdoor</v>
          </cell>
          <cell r="K144" t="str">
            <v>AC</v>
          </cell>
          <cell r="L144" t="str">
            <v>I-Eng</v>
          </cell>
          <cell r="M144" t="str">
            <v>Garoua 1</v>
          </cell>
          <cell r="N144" t="str">
            <v>BENOUE</v>
          </cell>
          <cell r="O144" t="str">
            <v>lagdo</v>
          </cell>
          <cell r="P144" t="str">
            <v>ALI ABAKAR</v>
          </cell>
          <cell r="Q144">
            <v>681438458</v>
          </cell>
          <cell r="R144">
            <v>657105035</v>
          </cell>
          <cell r="S144" t="str">
            <v>Alain Etoundi</v>
          </cell>
          <cell r="T144" t="str">
            <v>Valeur HOUELL</v>
          </cell>
          <cell r="U144" t="str">
            <v>I H S</v>
          </cell>
        </row>
        <row r="145">
          <cell r="A145" t="str">
            <v>NRD_095</v>
          </cell>
          <cell r="B145" t="str">
            <v>IHS_GAR_124</v>
          </cell>
          <cell r="C145" t="str">
            <v>NRD_095</v>
          </cell>
          <cell r="D145" t="str">
            <v>North</v>
          </cell>
          <cell r="E145" t="str">
            <v>North</v>
          </cell>
          <cell r="F145" t="str">
            <v>Garoua Djalingo</v>
          </cell>
          <cell r="G145" t="str">
            <v>P4</v>
          </cell>
          <cell r="H145" t="str">
            <v>Grid-Gen</v>
          </cell>
          <cell r="I145" t="str">
            <v>On Air</v>
          </cell>
          <cell r="J145" t="str">
            <v>Outdoor</v>
          </cell>
          <cell r="K145" t="str">
            <v>AC</v>
          </cell>
          <cell r="L145" t="str">
            <v>I-Eng</v>
          </cell>
          <cell r="M145" t="str">
            <v>Garoua 1</v>
          </cell>
          <cell r="N145" t="str">
            <v>BENOUE</v>
          </cell>
          <cell r="O145" t="str">
            <v>lagdo</v>
          </cell>
          <cell r="P145" t="str">
            <v>ALI ABAKAR</v>
          </cell>
          <cell r="Q145">
            <v>681438458</v>
          </cell>
          <cell r="R145">
            <v>657105035</v>
          </cell>
          <cell r="S145" t="str">
            <v>Alain Etoundi</v>
          </cell>
          <cell r="T145" t="str">
            <v>Valeur HOUELL</v>
          </cell>
          <cell r="U145" t="str">
            <v>I H S</v>
          </cell>
        </row>
        <row r="146">
          <cell r="A146" t="str">
            <v>NRD_094</v>
          </cell>
          <cell r="B146" t="str">
            <v>IHS_GAR_308</v>
          </cell>
          <cell r="C146" t="str">
            <v>NRD_094</v>
          </cell>
          <cell r="D146" t="str">
            <v>North</v>
          </cell>
          <cell r="E146" t="str">
            <v>North</v>
          </cell>
          <cell r="F146" t="str">
            <v>Garoua Bockle</v>
          </cell>
          <cell r="G146" t="str">
            <v>P4</v>
          </cell>
          <cell r="H146" t="str">
            <v>Grid-Gen</v>
          </cell>
          <cell r="I146" t="str">
            <v>On Air</v>
          </cell>
          <cell r="J146" t="str">
            <v>Outdoor</v>
          </cell>
          <cell r="K146" t="str">
            <v>AC</v>
          </cell>
          <cell r="L146" t="str">
            <v>I-Eng</v>
          </cell>
          <cell r="M146" t="str">
            <v>Garoua 1</v>
          </cell>
          <cell r="N146" t="str">
            <v>BENOUE</v>
          </cell>
          <cell r="O146" t="str">
            <v>lagdo</v>
          </cell>
          <cell r="P146" t="str">
            <v>ALI ABAKAR</v>
          </cell>
          <cell r="Q146">
            <v>681438458</v>
          </cell>
          <cell r="R146">
            <v>657105035</v>
          </cell>
          <cell r="S146" t="str">
            <v>Alain Etoundi</v>
          </cell>
          <cell r="T146" t="str">
            <v>Valeur HOUELL</v>
          </cell>
          <cell r="U146" t="str">
            <v>I H S</v>
          </cell>
        </row>
        <row r="147">
          <cell r="A147" t="str">
            <v>NRD_073</v>
          </cell>
          <cell r="B147" t="str">
            <v>IHS_GAR_105</v>
          </cell>
          <cell r="C147" t="str">
            <v>NRD_073</v>
          </cell>
          <cell r="D147" t="str">
            <v>North</v>
          </cell>
          <cell r="E147" t="str">
            <v>North</v>
          </cell>
          <cell r="F147" t="str">
            <v>Garoua-Camp-Chinois-IHS</v>
          </cell>
          <cell r="G147" t="str">
            <v>P4</v>
          </cell>
          <cell r="H147" t="str">
            <v>Grid-Gen</v>
          </cell>
          <cell r="I147" t="str">
            <v>On Air</v>
          </cell>
          <cell r="J147" t="str">
            <v>Outdoor</v>
          </cell>
          <cell r="K147" t="str">
            <v>AC</v>
          </cell>
          <cell r="L147" t="str">
            <v>I-Eng</v>
          </cell>
          <cell r="M147" t="str">
            <v>Garoua 2</v>
          </cell>
          <cell r="N147" t="str">
            <v>BENOUE</v>
          </cell>
          <cell r="O147" t="str">
            <v>Garoua I</v>
          </cell>
          <cell r="P147" t="str">
            <v>ALI ABAKAR</v>
          </cell>
          <cell r="Q147">
            <v>681438458</v>
          </cell>
          <cell r="R147">
            <v>657105035</v>
          </cell>
          <cell r="S147" t="str">
            <v>Alain Etoundi</v>
          </cell>
          <cell r="T147" t="str">
            <v>Valeur HOUELL</v>
          </cell>
          <cell r="U147" t="str">
            <v>I H S</v>
          </cell>
        </row>
        <row r="148">
          <cell r="A148" t="str">
            <v>NRD_077</v>
          </cell>
          <cell r="B148" t="str">
            <v>IHS_GAR_112</v>
          </cell>
          <cell r="C148" t="str">
            <v>NRD_077</v>
          </cell>
          <cell r="D148" t="str">
            <v>North</v>
          </cell>
          <cell r="E148" t="str">
            <v>North</v>
          </cell>
          <cell r="F148" t="str">
            <v>Lagdo-Marche</v>
          </cell>
          <cell r="G148" t="str">
            <v>P4</v>
          </cell>
          <cell r="H148" t="str">
            <v>Grid-Gen</v>
          </cell>
          <cell r="I148" t="str">
            <v>On Air</v>
          </cell>
          <cell r="J148" t="str">
            <v>Outdoor</v>
          </cell>
          <cell r="K148" t="str">
            <v>AC</v>
          </cell>
          <cell r="L148" t="str">
            <v>I-Eng</v>
          </cell>
          <cell r="M148" t="str">
            <v>Garoua 1</v>
          </cell>
          <cell r="N148" t="str">
            <v>BENOUE</v>
          </cell>
          <cell r="O148" t="str">
            <v>lagdo</v>
          </cell>
          <cell r="P148" t="str">
            <v>ALI ABAKAR</v>
          </cell>
          <cell r="Q148">
            <v>681438458</v>
          </cell>
          <cell r="R148">
            <v>657105035</v>
          </cell>
          <cell r="S148" t="str">
            <v>Alain Etoundi</v>
          </cell>
          <cell r="T148" t="str">
            <v>Valeur HOUELL</v>
          </cell>
          <cell r="U148" t="str">
            <v>I H S</v>
          </cell>
        </row>
        <row r="149">
          <cell r="A149" t="str">
            <v>NRD_039</v>
          </cell>
          <cell r="B149" t="str">
            <v>IHS_GAR_008</v>
          </cell>
          <cell r="C149" t="str">
            <v>NRD_039</v>
          </cell>
          <cell r="D149" t="str">
            <v>North</v>
          </cell>
          <cell r="E149" t="str">
            <v>North</v>
          </cell>
          <cell r="F149" t="str">
            <v>Bibemire</v>
          </cell>
          <cell r="G149" t="str">
            <v>P4</v>
          </cell>
          <cell r="H149" t="str">
            <v>Grid-Gen</v>
          </cell>
          <cell r="I149" t="str">
            <v>On Air</v>
          </cell>
          <cell r="J149" t="str">
            <v>Outdoor</v>
          </cell>
          <cell r="K149" t="str">
            <v>AC</v>
          </cell>
          <cell r="L149" t="str">
            <v>I-Eng</v>
          </cell>
          <cell r="M149" t="str">
            <v>Garoua 1</v>
          </cell>
          <cell r="N149" t="str">
            <v>BENOUE</v>
          </cell>
          <cell r="O149" t="str">
            <v>garoua III</v>
          </cell>
          <cell r="P149" t="str">
            <v>ALI ABAKAR</v>
          </cell>
          <cell r="Q149">
            <v>681438458</v>
          </cell>
          <cell r="R149">
            <v>657105035</v>
          </cell>
          <cell r="S149" t="str">
            <v>Alain Etoundi</v>
          </cell>
          <cell r="T149" t="str">
            <v>Valeur HOUELL</v>
          </cell>
          <cell r="U149" t="str">
            <v>I H S</v>
          </cell>
        </row>
        <row r="150">
          <cell r="A150" t="str">
            <v>NRD_060</v>
          </cell>
          <cell r="B150" t="str">
            <v>IHS_GAR_027</v>
          </cell>
          <cell r="C150" t="str">
            <v>NRD_060</v>
          </cell>
          <cell r="D150" t="str">
            <v>North</v>
          </cell>
          <cell r="E150" t="str">
            <v>North</v>
          </cell>
          <cell r="F150" t="str">
            <v>Garoua-Djamboutou-Village</v>
          </cell>
          <cell r="G150" t="str">
            <v>P4</v>
          </cell>
          <cell r="H150" t="str">
            <v>Grid-Gen</v>
          </cell>
          <cell r="I150" t="str">
            <v>On Air</v>
          </cell>
          <cell r="J150" t="str">
            <v>Outdoor</v>
          </cell>
          <cell r="K150" t="str">
            <v>AC</v>
          </cell>
          <cell r="L150" t="str">
            <v>I-Eng</v>
          </cell>
          <cell r="M150" t="str">
            <v>Garoua 2</v>
          </cell>
          <cell r="N150" t="str">
            <v>BENOUE</v>
          </cell>
          <cell r="O150" t="str">
            <v>Garoua I</v>
          </cell>
          <cell r="P150" t="str">
            <v>ALI ABAKAR</v>
          </cell>
          <cell r="Q150">
            <v>681438458</v>
          </cell>
          <cell r="R150">
            <v>657105035</v>
          </cell>
          <cell r="S150" t="str">
            <v>Alain Etoundi</v>
          </cell>
          <cell r="T150" t="str">
            <v>Valeur HOUELL</v>
          </cell>
          <cell r="U150" t="str">
            <v>I H S</v>
          </cell>
        </row>
        <row r="151">
          <cell r="A151" t="str">
            <v>NRD_055</v>
          </cell>
          <cell r="B151" t="str">
            <v>IHS_GAR_077</v>
          </cell>
          <cell r="C151" t="str">
            <v>NRD_055</v>
          </cell>
          <cell r="D151" t="str">
            <v>North</v>
          </cell>
          <cell r="E151" t="str">
            <v>North</v>
          </cell>
          <cell r="F151" t="str">
            <v>Chamber-Wangai</v>
          </cell>
          <cell r="G151" t="str">
            <v>P4</v>
          </cell>
          <cell r="H151" t="str">
            <v>Solar-Gen</v>
          </cell>
          <cell r="I151" t="str">
            <v>On Air</v>
          </cell>
          <cell r="J151" t="str">
            <v>Outdoor</v>
          </cell>
          <cell r="K151" t="str">
            <v>AC</v>
          </cell>
          <cell r="L151" t="str">
            <v>I-Eng</v>
          </cell>
          <cell r="M151" t="str">
            <v>Garoua 1</v>
          </cell>
          <cell r="N151" t="str">
            <v>FARO</v>
          </cell>
          <cell r="O151" t="str">
            <v>POLI</v>
          </cell>
          <cell r="P151" t="str">
            <v>ALI ABAKAR</v>
          </cell>
          <cell r="Q151">
            <v>681438458</v>
          </cell>
          <cell r="R151">
            <v>657105035</v>
          </cell>
          <cell r="S151" t="str">
            <v>Alain Etoundi</v>
          </cell>
          <cell r="T151" t="str">
            <v>Valeur HOUELL</v>
          </cell>
          <cell r="U151" t="str">
            <v>I H S</v>
          </cell>
        </row>
        <row r="152">
          <cell r="A152" t="str">
            <v>NRD_020</v>
          </cell>
          <cell r="B152" t="str">
            <v>IHS_GAR_053</v>
          </cell>
          <cell r="C152" t="str">
            <v>NRD_020</v>
          </cell>
          <cell r="D152" t="str">
            <v>North</v>
          </cell>
          <cell r="E152" t="str">
            <v>North</v>
          </cell>
          <cell r="F152" t="str">
            <v>Beka</v>
          </cell>
          <cell r="G152" t="str">
            <v>P4</v>
          </cell>
          <cell r="H152" t="str">
            <v>Solar-Gen</v>
          </cell>
          <cell r="I152" t="str">
            <v>On Air</v>
          </cell>
          <cell r="J152" t="str">
            <v>Outdoor</v>
          </cell>
          <cell r="K152" t="str">
            <v>AC</v>
          </cell>
          <cell r="L152" t="str">
            <v>I-Eng</v>
          </cell>
          <cell r="M152" t="str">
            <v>Garoua 1</v>
          </cell>
          <cell r="N152" t="str">
            <v>BENOUE</v>
          </cell>
          <cell r="O152" t="str">
            <v>TROUA</v>
          </cell>
          <cell r="P152" t="str">
            <v>ALI ABAKAR</v>
          </cell>
          <cell r="Q152">
            <v>681438458</v>
          </cell>
          <cell r="R152">
            <v>657105035</v>
          </cell>
          <cell r="S152" t="str">
            <v>Alain Etoundi</v>
          </cell>
          <cell r="T152" t="str">
            <v>Valeur HOUELL</v>
          </cell>
          <cell r="U152" t="str">
            <v>I H S</v>
          </cell>
        </row>
        <row r="153">
          <cell r="A153" t="str">
            <v>NRD_056</v>
          </cell>
          <cell r="B153" t="str">
            <v>IHS_GAR_072</v>
          </cell>
          <cell r="C153" t="str">
            <v>NRD_056</v>
          </cell>
          <cell r="D153" t="str">
            <v>North</v>
          </cell>
          <cell r="E153" t="str">
            <v>North</v>
          </cell>
          <cell r="F153" t="str">
            <v>Baikwa-Bere</v>
          </cell>
          <cell r="G153" t="str">
            <v>P4</v>
          </cell>
          <cell r="H153" t="str">
            <v>Solar-Gen</v>
          </cell>
          <cell r="I153" t="str">
            <v>On Air</v>
          </cell>
          <cell r="J153" t="str">
            <v>Outdoor</v>
          </cell>
          <cell r="K153" t="str">
            <v>AC</v>
          </cell>
          <cell r="L153" t="str">
            <v>I-Eng</v>
          </cell>
          <cell r="M153" t="str">
            <v>Garoua 1</v>
          </cell>
          <cell r="N153" t="str">
            <v>MAYO REY</v>
          </cell>
          <cell r="O153" t="str">
            <v>COMMUNE Rey-BOUBA</v>
          </cell>
          <cell r="P153" t="str">
            <v>ALI ABAKAR</v>
          </cell>
          <cell r="Q153">
            <v>681438458</v>
          </cell>
          <cell r="R153">
            <v>657105035</v>
          </cell>
          <cell r="S153" t="str">
            <v>Alain Etoundi</v>
          </cell>
          <cell r="T153" t="str">
            <v>Valeur HOUELL</v>
          </cell>
          <cell r="U153" t="str">
            <v>I H S</v>
          </cell>
        </row>
        <row r="154">
          <cell r="A154" t="str">
            <v>NRD_091</v>
          </cell>
          <cell r="B154" t="str">
            <v>IHS_GAR_076</v>
          </cell>
          <cell r="C154" t="str">
            <v>NRD_091</v>
          </cell>
          <cell r="D154" t="str">
            <v>North</v>
          </cell>
          <cell r="E154" t="str">
            <v>North</v>
          </cell>
          <cell r="F154" t="str">
            <v>Gor IHS</v>
          </cell>
          <cell r="G154" t="str">
            <v>P4</v>
          </cell>
          <cell r="H154" t="str">
            <v>Hybrid-Gen</v>
          </cell>
          <cell r="I154" t="str">
            <v>On Air</v>
          </cell>
          <cell r="J154" t="str">
            <v>Outdoor</v>
          </cell>
          <cell r="K154" t="str">
            <v>AC</v>
          </cell>
          <cell r="L154" t="str">
            <v>I-Eng</v>
          </cell>
          <cell r="M154" t="str">
            <v>Garoua 1</v>
          </cell>
          <cell r="N154" t="str">
            <v>MAYO REY</v>
          </cell>
          <cell r="O154" t="str">
            <v>madingring</v>
          </cell>
          <cell r="P154" t="str">
            <v>ALI ABAKAR</v>
          </cell>
          <cell r="Q154">
            <v>681438458</v>
          </cell>
          <cell r="R154">
            <v>657105035</v>
          </cell>
          <cell r="S154" t="str">
            <v>Alain Etoundi</v>
          </cell>
          <cell r="T154" t="str">
            <v>Valeur HOUELL</v>
          </cell>
          <cell r="U154" t="str">
            <v>I H S</v>
          </cell>
        </row>
        <row r="155">
          <cell r="A155" t="str">
            <v>NRD_110</v>
          </cell>
          <cell r="B155" t="str">
            <v>IHS_GAR_114</v>
          </cell>
          <cell r="C155" t="str">
            <v>NRD_110</v>
          </cell>
          <cell r="D155" t="str">
            <v>North</v>
          </cell>
          <cell r="E155" t="str">
            <v>North</v>
          </cell>
          <cell r="F155" t="str">
            <v>Barkdarke</v>
          </cell>
          <cell r="G155" t="str">
            <v>P4</v>
          </cell>
          <cell r="H155" t="str">
            <v>Gen Only</v>
          </cell>
          <cell r="I155" t="str">
            <v>On Air</v>
          </cell>
          <cell r="J155" t="str">
            <v>Outdoor</v>
          </cell>
          <cell r="K155" t="str">
            <v>AC</v>
          </cell>
          <cell r="L155" t="str">
            <v>I-Eng</v>
          </cell>
          <cell r="M155" t="str">
            <v>Garoua 2</v>
          </cell>
          <cell r="N155" t="str">
            <v>BENOUE</v>
          </cell>
          <cell r="O155" t="str">
            <v>Barndake</v>
          </cell>
          <cell r="P155" t="str">
            <v>ALI ABAKAR</v>
          </cell>
          <cell r="Q155">
            <v>681438458</v>
          </cell>
          <cell r="R155">
            <v>657105035</v>
          </cell>
          <cell r="S155" t="str">
            <v>Alain Etoundi</v>
          </cell>
          <cell r="T155" t="str">
            <v>Valeur HOUELL</v>
          </cell>
          <cell r="U155" t="str">
            <v>I H S</v>
          </cell>
        </row>
        <row r="156">
          <cell r="A156" t="str">
            <v>ADM_152</v>
          </cell>
          <cell r="B156" t="str">
            <v>IHS_GAR_122</v>
          </cell>
          <cell r="C156" t="str">
            <v>ADM_152</v>
          </cell>
          <cell r="D156" t="str">
            <v>North</v>
          </cell>
          <cell r="E156" t="str">
            <v>North</v>
          </cell>
          <cell r="F156" t="str">
            <v>Poli-MTN</v>
          </cell>
          <cell r="G156" t="str">
            <v>P4</v>
          </cell>
          <cell r="H156" t="str">
            <v>Hybrid-Gen</v>
          </cell>
          <cell r="I156" t="str">
            <v>On Air</v>
          </cell>
          <cell r="J156" t="str">
            <v>Outdoor</v>
          </cell>
          <cell r="K156" t="str">
            <v>AC</v>
          </cell>
          <cell r="L156" t="str">
            <v>I-Eng</v>
          </cell>
          <cell r="M156" t="str">
            <v>Garoua 1</v>
          </cell>
          <cell r="N156" t="str">
            <v>FARO</v>
          </cell>
          <cell r="O156" t="str">
            <v>poli</v>
          </cell>
          <cell r="P156" t="str">
            <v>ALI ABAKAR</v>
          </cell>
          <cell r="Q156">
            <v>681438458</v>
          </cell>
          <cell r="R156">
            <v>657105035</v>
          </cell>
          <cell r="S156" t="str">
            <v>Alain Etoundi</v>
          </cell>
          <cell r="T156" t="str">
            <v>Valeur HOUELL</v>
          </cell>
          <cell r="U156" t="str">
            <v>I H S</v>
          </cell>
        </row>
        <row r="157">
          <cell r="A157" t="str">
            <v>NRD_166</v>
          </cell>
          <cell r="B157" t="str">
            <v>IHS_GAR_109</v>
          </cell>
          <cell r="C157" t="str">
            <v>NRD_166</v>
          </cell>
          <cell r="D157" t="str">
            <v>North</v>
          </cell>
          <cell r="E157" t="str">
            <v>North</v>
          </cell>
          <cell r="F157" t="str">
            <v>SANGUERE PAUL MTN</v>
          </cell>
          <cell r="G157" t="str">
            <v>P4</v>
          </cell>
          <cell r="H157" t="str">
            <v>Grid-Gen</v>
          </cell>
          <cell r="I157" t="str">
            <v>On Air</v>
          </cell>
          <cell r="J157" t="str">
            <v>Outdoor</v>
          </cell>
          <cell r="K157" t="str">
            <v>AC</v>
          </cell>
          <cell r="L157" t="str">
            <v>I-Eng</v>
          </cell>
          <cell r="M157" t="str">
            <v>Garoua 1</v>
          </cell>
          <cell r="N157" t="str">
            <v>BENOUE</v>
          </cell>
          <cell r="O157" t="str">
            <v>garoua III</v>
          </cell>
          <cell r="P157" t="str">
            <v>ALI ABAKAR</v>
          </cell>
          <cell r="Q157">
            <v>681438458</v>
          </cell>
          <cell r="R157">
            <v>657105035</v>
          </cell>
          <cell r="S157" t="str">
            <v>Alain Etoundi</v>
          </cell>
          <cell r="T157" t="str">
            <v>Valeur HOUELL</v>
          </cell>
          <cell r="U157" t="str">
            <v>I H S</v>
          </cell>
        </row>
        <row r="158">
          <cell r="A158" t="str">
            <v>NRD_088</v>
          </cell>
          <cell r="B158" t="str">
            <v>IHS_GAR_039</v>
          </cell>
          <cell r="C158" t="str">
            <v>NRD_088</v>
          </cell>
          <cell r="D158" t="str">
            <v>North</v>
          </cell>
          <cell r="E158" t="str">
            <v>North</v>
          </cell>
          <cell r="F158" t="str">
            <v>Ngong Town</v>
          </cell>
          <cell r="G158" t="str">
            <v>P4</v>
          </cell>
          <cell r="H158" t="str">
            <v>Grid-Gen</v>
          </cell>
          <cell r="I158" t="str">
            <v>On Air</v>
          </cell>
          <cell r="J158" t="str">
            <v>Outdoor</v>
          </cell>
          <cell r="K158" t="str">
            <v>AC</v>
          </cell>
          <cell r="L158" t="str">
            <v>I-Eng</v>
          </cell>
          <cell r="M158" t="str">
            <v>Garoua 1</v>
          </cell>
          <cell r="N158" t="str">
            <v>BENOUE</v>
          </cell>
          <cell r="O158" t="str">
            <v>ngong</v>
          </cell>
          <cell r="P158" t="str">
            <v>ALI ABAKAR</v>
          </cell>
          <cell r="Q158">
            <v>681438458</v>
          </cell>
          <cell r="R158">
            <v>657105035</v>
          </cell>
          <cell r="S158" t="str">
            <v>Alain Etoundi</v>
          </cell>
          <cell r="T158" t="str">
            <v>Valeur HOUELL</v>
          </cell>
          <cell r="U158" t="str">
            <v>I H S</v>
          </cell>
        </row>
        <row r="159">
          <cell r="A159" t="str">
            <v>NRD_118</v>
          </cell>
          <cell r="B159" t="str">
            <v>IHS_GAR_019</v>
          </cell>
          <cell r="C159" t="str">
            <v>NRD_118</v>
          </cell>
          <cell r="D159" t="str">
            <v>North</v>
          </cell>
          <cell r="E159" t="str">
            <v>North</v>
          </cell>
          <cell r="F159" t="str">
            <v>Djamboutou</v>
          </cell>
          <cell r="G159" t="str">
            <v>P4</v>
          </cell>
          <cell r="H159" t="str">
            <v>Grid-Gen</v>
          </cell>
          <cell r="I159" t="str">
            <v>On Air</v>
          </cell>
          <cell r="J159" t="str">
            <v>Outdoor</v>
          </cell>
          <cell r="K159" t="str">
            <v>AC</v>
          </cell>
          <cell r="L159" t="str">
            <v>I-Eng</v>
          </cell>
          <cell r="M159" t="str">
            <v>Garoua 2</v>
          </cell>
          <cell r="N159" t="str">
            <v>BENOUE</v>
          </cell>
          <cell r="O159" t="str">
            <v>Garoua I</v>
          </cell>
          <cell r="P159" t="str">
            <v>ALI ABAKAR</v>
          </cell>
          <cell r="Q159">
            <v>681438458</v>
          </cell>
          <cell r="R159">
            <v>657105035</v>
          </cell>
          <cell r="S159" t="str">
            <v>Alain Etoundi</v>
          </cell>
          <cell r="T159" t="str">
            <v>Valeur HOUELL</v>
          </cell>
          <cell r="U159" t="str">
            <v>I H S</v>
          </cell>
        </row>
        <row r="160">
          <cell r="A160" t="str">
            <v>NRD_025</v>
          </cell>
          <cell r="B160" t="str">
            <v>IHS_GAR_051</v>
          </cell>
          <cell r="C160" t="str">
            <v>NRD_025</v>
          </cell>
          <cell r="D160" t="str">
            <v>North</v>
          </cell>
          <cell r="E160" t="str">
            <v>North</v>
          </cell>
          <cell r="F160" t="str">
            <v>Tcheboa-MTN-IHS</v>
          </cell>
          <cell r="G160" t="str">
            <v>P4</v>
          </cell>
          <cell r="H160" t="str">
            <v>Grid-Hybrid-Gen</v>
          </cell>
          <cell r="I160" t="str">
            <v>On Air</v>
          </cell>
          <cell r="J160" t="str">
            <v>Outdoor</v>
          </cell>
          <cell r="K160" t="str">
            <v>AC</v>
          </cell>
          <cell r="L160" t="str">
            <v>I-Eng</v>
          </cell>
          <cell r="M160" t="str">
            <v>Garoua 1</v>
          </cell>
          <cell r="N160" t="str">
            <v>BENOUE</v>
          </cell>
          <cell r="O160" t="str">
            <v>TROUA</v>
          </cell>
          <cell r="P160" t="str">
            <v>ALI ABAKAR</v>
          </cell>
          <cell r="Q160">
            <v>681438458</v>
          </cell>
          <cell r="R160">
            <v>657105035</v>
          </cell>
          <cell r="S160" t="str">
            <v>Alain Etoundi</v>
          </cell>
          <cell r="T160" t="str">
            <v>Valeur HOUELL</v>
          </cell>
          <cell r="U160" t="str">
            <v>I H S</v>
          </cell>
        </row>
        <row r="161">
          <cell r="A161" t="str">
            <v>NRD_087</v>
          </cell>
          <cell r="B161" t="str">
            <v>IHS_GAR_036</v>
          </cell>
          <cell r="C161" t="str">
            <v>NRD_087</v>
          </cell>
          <cell r="D161" t="str">
            <v>North</v>
          </cell>
          <cell r="E161" t="str">
            <v>North</v>
          </cell>
          <cell r="F161" t="str">
            <v>SANGUERE</v>
          </cell>
          <cell r="G161" t="str">
            <v>P4</v>
          </cell>
          <cell r="H161" t="str">
            <v>Solar-Grid-Gen</v>
          </cell>
          <cell r="I161" t="str">
            <v>On Air</v>
          </cell>
          <cell r="J161" t="str">
            <v>Outdoor</v>
          </cell>
          <cell r="K161" t="str">
            <v>AC</v>
          </cell>
          <cell r="L161" t="str">
            <v>I-Eng</v>
          </cell>
          <cell r="M161" t="str">
            <v>Garoua 1</v>
          </cell>
          <cell r="N161" t="str">
            <v>BENOUE</v>
          </cell>
          <cell r="O161" t="str">
            <v>garoua III</v>
          </cell>
          <cell r="P161" t="str">
            <v>ALI ABAKAR</v>
          </cell>
          <cell r="Q161">
            <v>681438458</v>
          </cell>
          <cell r="R161">
            <v>657105035</v>
          </cell>
          <cell r="S161" t="str">
            <v>Alain Etoundi</v>
          </cell>
          <cell r="T161" t="str">
            <v>Valeur HOUELL</v>
          </cell>
          <cell r="U161" t="str">
            <v>I H S</v>
          </cell>
        </row>
        <row r="162">
          <cell r="A162" t="str">
            <v>NRD_058</v>
          </cell>
          <cell r="B162" t="str">
            <v>IHS_GAR_056</v>
          </cell>
          <cell r="C162" t="str">
            <v>NRD_058</v>
          </cell>
          <cell r="D162" t="str">
            <v>North</v>
          </cell>
          <cell r="E162" t="str">
            <v>North</v>
          </cell>
          <cell r="F162" t="str">
            <v>Guidjiba-MTN</v>
          </cell>
          <cell r="G162" t="str">
            <v>P4</v>
          </cell>
          <cell r="H162" t="str">
            <v>Solar-Gen</v>
          </cell>
          <cell r="I162" t="str">
            <v>On Air</v>
          </cell>
          <cell r="J162" t="str">
            <v>Outdoor</v>
          </cell>
          <cell r="K162" t="str">
            <v>AC</v>
          </cell>
          <cell r="L162" t="str">
            <v>I-Eng</v>
          </cell>
          <cell r="M162" t="str">
            <v>Garoua 1</v>
          </cell>
          <cell r="N162" t="str">
            <v>MAYO REY</v>
          </cell>
          <cell r="O162" t="str">
            <v>lagdo</v>
          </cell>
          <cell r="P162" t="str">
            <v>ALI ABAKAR</v>
          </cell>
          <cell r="Q162">
            <v>681438458</v>
          </cell>
          <cell r="R162">
            <v>657105035</v>
          </cell>
          <cell r="S162" t="str">
            <v>Alain Etoundi</v>
          </cell>
          <cell r="T162" t="str">
            <v>Valeur HOUELL</v>
          </cell>
          <cell r="U162" t="str">
            <v>I H S</v>
          </cell>
        </row>
        <row r="163">
          <cell r="A163" t="str">
            <v>NRD_164</v>
          </cell>
          <cell r="B163" t="str">
            <v>IHS_GAR_346</v>
          </cell>
          <cell r="C163" t="str">
            <v>NRD_164</v>
          </cell>
          <cell r="D163" t="str">
            <v>North</v>
          </cell>
          <cell r="E163" t="str">
            <v>North</v>
          </cell>
          <cell r="F163" t="str">
            <v>Padarme-IHS</v>
          </cell>
          <cell r="G163" t="str">
            <v>P4</v>
          </cell>
          <cell r="H163" t="str">
            <v>Hybrid-Gen</v>
          </cell>
          <cell r="I163" t="str">
            <v>On Air</v>
          </cell>
          <cell r="J163" t="str">
            <v>Outdoor</v>
          </cell>
          <cell r="K163" t="str">
            <v>AC</v>
          </cell>
          <cell r="L163" t="str">
            <v>I-Eng</v>
          </cell>
          <cell r="M163" t="str">
            <v>Garoua 1</v>
          </cell>
          <cell r="N163" t="str">
            <v>BENOUE</v>
          </cell>
          <cell r="O163" t="str">
            <v>bibemi</v>
          </cell>
          <cell r="P163" t="str">
            <v>ALI ABAKAR</v>
          </cell>
          <cell r="Q163">
            <v>681438458</v>
          </cell>
          <cell r="R163">
            <v>657105035</v>
          </cell>
          <cell r="S163" t="str">
            <v>Alain Etoundi</v>
          </cell>
          <cell r="T163" t="str">
            <v>Valeur HOUELL</v>
          </cell>
          <cell r="U163" t="str">
            <v>I H S</v>
          </cell>
        </row>
        <row r="164">
          <cell r="A164" t="str">
            <v>NRD_126</v>
          </cell>
          <cell r="B164" t="str">
            <v>IHS_GAR_331</v>
          </cell>
          <cell r="C164" t="str">
            <v>NRD_126</v>
          </cell>
          <cell r="D164" t="str">
            <v>North</v>
          </cell>
          <cell r="E164" t="str">
            <v>North</v>
          </cell>
          <cell r="F164" t="str">
            <v>Adoumri  Houla</v>
          </cell>
          <cell r="G164" t="str">
            <v>P5</v>
          </cell>
          <cell r="H164" t="str">
            <v>Grid-Gen</v>
          </cell>
          <cell r="I164" t="str">
            <v>On Air</v>
          </cell>
          <cell r="J164" t="str">
            <v>Outdoor</v>
          </cell>
          <cell r="K164" t="str">
            <v>AC</v>
          </cell>
          <cell r="L164" t="str">
            <v>I-Eng</v>
          </cell>
          <cell r="M164" t="str">
            <v>Garoua 1</v>
          </cell>
          <cell r="N164" t="str">
            <v>BENOUE</v>
          </cell>
          <cell r="O164" t="str">
            <v>adoumre</v>
          </cell>
          <cell r="P164" t="str">
            <v>ALI ABAKAR</v>
          </cell>
          <cell r="Q164">
            <v>681438458</v>
          </cell>
          <cell r="R164">
            <v>657105035</v>
          </cell>
          <cell r="S164" t="str">
            <v>Alain Etoundi</v>
          </cell>
          <cell r="T164" t="str">
            <v>Valeur HOUELL</v>
          </cell>
          <cell r="U164" t="str">
            <v>I H S</v>
          </cell>
        </row>
        <row r="165">
          <cell r="A165" t="str">
            <v>NRD_112</v>
          </cell>
          <cell r="B165" t="str">
            <v>IHS_GAR_326</v>
          </cell>
          <cell r="C165" t="str">
            <v>NRD_112</v>
          </cell>
          <cell r="D165" t="str">
            <v>North</v>
          </cell>
          <cell r="E165" t="str">
            <v>North</v>
          </cell>
          <cell r="F165" t="str">
            <v>Tongo</v>
          </cell>
          <cell r="G165" t="str">
            <v>P5</v>
          </cell>
          <cell r="H165" t="str">
            <v>Hybrid-Gen</v>
          </cell>
          <cell r="I165" t="str">
            <v>On Air</v>
          </cell>
          <cell r="J165" t="str">
            <v>Outdoor</v>
          </cell>
          <cell r="K165" t="str">
            <v>AC</v>
          </cell>
          <cell r="L165" t="str">
            <v>I-Eng</v>
          </cell>
          <cell r="M165" t="str">
            <v>Garoua 1</v>
          </cell>
          <cell r="N165" t="str">
            <v>BENOUE</v>
          </cell>
          <cell r="O165" t="str">
            <v>lagdo</v>
          </cell>
          <cell r="P165" t="str">
            <v>ALI ABAKAR</v>
          </cell>
          <cell r="Q165">
            <v>681438458</v>
          </cell>
          <cell r="R165">
            <v>657105035</v>
          </cell>
          <cell r="S165" t="str">
            <v>Alain Etoundi</v>
          </cell>
          <cell r="T165" t="str">
            <v>Valeur HOUELL</v>
          </cell>
          <cell r="U165" t="str">
            <v>I H S</v>
          </cell>
        </row>
        <row r="166">
          <cell r="A166" t="str">
            <v>NRD_078</v>
          </cell>
          <cell r="B166" t="str">
            <v>IHS_GAR_113</v>
          </cell>
          <cell r="C166" t="str">
            <v>NRD_078</v>
          </cell>
          <cell r="D166" t="str">
            <v>North</v>
          </cell>
          <cell r="E166" t="str">
            <v>North</v>
          </cell>
          <cell r="F166" t="str">
            <v>Adoumre-IHS</v>
          </cell>
          <cell r="G166" t="str">
            <v>P5</v>
          </cell>
          <cell r="H166" t="str">
            <v>Grid-Gen</v>
          </cell>
          <cell r="I166" t="str">
            <v>On Air</v>
          </cell>
          <cell r="J166" t="str">
            <v>Outdoor</v>
          </cell>
          <cell r="K166" t="str">
            <v>AC</v>
          </cell>
          <cell r="L166" t="str">
            <v>I-Eng</v>
          </cell>
          <cell r="M166" t="str">
            <v>Garoua 1</v>
          </cell>
          <cell r="N166" t="str">
            <v>BENOUE</v>
          </cell>
          <cell r="O166" t="str">
            <v>adoumre</v>
          </cell>
          <cell r="P166" t="str">
            <v>ALI ABAKAR</v>
          </cell>
          <cell r="Q166">
            <v>681438458</v>
          </cell>
          <cell r="R166">
            <v>657105035</v>
          </cell>
          <cell r="S166" t="str">
            <v>Alain Etoundi</v>
          </cell>
          <cell r="T166" t="str">
            <v>Valeur HOUELL</v>
          </cell>
          <cell r="U166" t="str">
            <v>I H S</v>
          </cell>
        </row>
        <row r="167">
          <cell r="A167" t="str">
            <v>NRD_090</v>
          </cell>
          <cell r="B167" t="str">
            <v>IHS_GAR_043</v>
          </cell>
          <cell r="C167" t="str">
            <v>NRD_090</v>
          </cell>
          <cell r="D167" t="str">
            <v>North</v>
          </cell>
          <cell r="E167" t="str">
            <v>North</v>
          </cell>
          <cell r="F167" t="str">
            <v>Lagdo</v>
          </cell>
          <cell r="G167" t="str">
            <v>P5</v>
          </cell>
          <cell r="H167" t="str">
            <v>Grid Only</v>
          </cell>
          <cell r="I167" t="str">
            <v>On Air</v>
          </cell>
          <cell r="J167" t="str">
            <v>Outdoor</v>
          </cell>
          <cell r="K167" t="str">
            <v>AC</v>
          </cell>
          <cell r="L167" t="str">
            <v>I-Eng</v>
          </cell>
          <cell r="M167" t="str">
            <v>Garoua 1</v>
          </cell>
          <cell r="N167" t="str">
            <v>BENOUE</v>
          </cell>
          <cell r="O167" t="str">
            <v>lagdo</v>
          </cell>
          <cell r="P167" t="str">
            <v>ALI ABAKAR</v>
          </cell>
          <cell r="Q167">
            <v>681438458</v>
          </cell>
          <cell r="R167">
            <v>657105035</v>
          </cell>
          <cell r="S167" t="str">
            <v>Alain Etoundi</v>
          </cell>
          <cell r="T167" t="str">
            <v>Valeur HOUELL</v>
          </cell>
          <cell r="U167" t="str">
            <v>I H S</v>
          </cell>
        </row>
        <row r="168">
          <cell r="A168" t="str">
            <v>ADM_092</v>
          </cell>
          <cell r="B168" t="str">
            <v>IHS_GAR_073</v>
          </cell>
          <cell r="C168" t="str">
            <v>ADM_092</v>
          </cell>
          <cell r="D168" t="str">
            <v>North</v>
          </cell>
          <cell r="E168" t="str">
            <v>North</v>
          </cell>
          <cell r="F168" t="str">
            <v>Mbe-IHS</v>
          </cell>
          <cell r="G168" t="str">
            <v>P5</v>
          </cell>
          <cell r="H168" t="str">
            <v>Solar-Gen</v>
          </cell>
          <cell r="I168" t="str">
            <v>On Air</v>
          </cell>
          <cell r="J168" t="str">
            <v>Outdoor</v>
          </cell>
          <cell r="K168" t="str">
            <v>AC</v>
          </cell>
          <cell r="L168" t="str">
            <v>I-Eng</v>
          </cell>
          <cell r="M168" t="str">
            <v>Garoua 1</v>
          </cell>
          <cell r="N168" t="str">
            <v>MAYO REY</v>
          </cell>
          <cell r="O168" t="str">
            <v>MBE</v>
          </cell>
          <cell r="P168" t="str">
            <v>ALI ABAKAR</v>
          </cell>
          <cell r="Q168">
            <v>681438458</v>
          </cell>
          <cell r="R168">
            <v>657105035</v>
          </cell>
          <cell r="S168" t="str">
            <v>Alain Etoundi</v>
          </cell>
          <cell r="T168" t="str">
            <v>Valeur HOUELL</v>
          </cell>
          <cell r="U168" t="str">
            <v>I H S</v>
          </cell>
        </row>
        <row r="169">
          <cell r="A169" t="str">
            <v>NRD_059</v>
          </cell>
          <cell r="B169" t="str">
            <v>IHS_GAR_070</v>
          </cell>
          <cell r="C169" t="str">
            <v>NRD_059</v>
          </cell>
          <cell r="D169" t="str">
            <v>North</v>
          </cell>
          <cell r="E169" t="str">
            <v>North</v>
          </cell>
          <cell r="F169" t="str">
            <v>Gamba-MTN</v>
          </cell>
          <cell r="G169" t="str">
            <v>P5</v>
          </cell>
          <cell r="H169" t="str">
            <v>Solar-Gen</v>
          </cell>
          <cell r="I169" t="str">
            <v>On Air</v>
          </cell>
          <cell r="J169" t="str">
            <v>Outdoor</v>
          </cell>
          <cell r="K169" t="str">
            <v>AC</v>
          </cell>
          <cell r="L169" t="str">
            <v>I-Eng</v>
          </cell>
          <cell r="M169" t="str">
            <v>Garoua 1</v>
          </cell>
          <cell r="N169" t="str">
            <v>MAYO REY</v>
          </cell>
          <cell r="O169" t="str">
            <v>lagdo</v>
          </cell>
          <cell r="P169" t="str">
            <v>ALI ABAKAR</v>
          </cell>
          <cell r="Q169">
            <v>681438458</v>
          </cell>
          <cell r="R169">
            <v>657105035</v>
          </cell>
          <cell r="S169" t="str">
            <v>Alain Etoundi</v>
          </cell>
          <cell r="T169" t="str">
            <v>Valeur HOUELL</v>
          </cell>
          <cell r="U169" t="str">
            <v>I H S</v>
          </cell>
        </row>
        <row r="170">
          <cell r="A170" t="str">
            <v>ADM_082</v>
          </cell>
          <cell r="B170" t="str">
            <v>IHS_GAR_075</v>
          </cell>
          <cell r="C170" t="str">
            <v>ADM_082</v>
          </cell>
          <cell r="D170" t="str">
            <v>North</v>
          </cell>
          <cell r="E170" t="str">
            <v>Adamawa</v>
          </cell>
          <cell r="F170" t="str">
            <v>DEENA-IHS</v>
          </cell>
          <cell r="G170" t="str">
            <v>P5</v>
          </cell>
          <cell r="H170" t="str">
            <v>Solar-Gen</v>
          </cell>
          <cell r="I170" t="str">
            <v>On Air</v>
          </cell>
          <cell r="J170" t="str">
            <v>Outdoor</v>
          </cell>
          <cell r="K170" t="str">
            <v>AC</v>
          </cell>
          <cell r="L170" t="str">
            <v>I-Eng</v>
          </cell>
          <cell r="M170" t="str">
            <v>Ngaoundere</v>
          </cell>
          <cell r="N170" t="str">
            <v>MAYO REY</v>
          </cell>
          <cell r="O170" t="str">
            <v>MBE</v>
          </cell>
          <cell r="P170" t="str">
            <v>ALI ABAKAR</v>
          </cell>
          <cell r="Q170">
            <v>681438458</v>
          </cell>
          <cell r="R170">
            <v>657105035</v>
          </cell>
          <cell r="S170" t="str">
            <v>Alain Etoundi</v>
          </cell>
          <cell r="T170" t="str">
            <v>Valeur HOUELL</v>
          </cell>
          <cell r="U170" t="str">
            <v>I H S</v>
          </cell>
        </row>
        <row r="171">
          <cell r="A171" t="str">
            <v>CTR_046</v>
          </cell>
          <cell r="B171" t="str">
            <v>IHS_YND_008</v>
          </cell>
          <cell r="C171" t="str">
            <v>CTR_046</v>
          </cell>
          <cell r="D171" t="str">
            <v>Center</v>
          </cell>
          <cell r="E171" t="str">
            <v>Center</v>
          </cell>
          <cell r="F171" t="str">
            <v>CNDH</v>
          </cell>
          <cell r="G171" t="str">
            <v>P2</v>
          </cell>
          <cell r="H171" t="str">
            <v>Grid-Gen</v>
          </cell>
          <cell r="I171" t="str">
            <v>On Air</v>
          </cell>
          <cell r="J171" t="str">
            <v>Indoor</v>
          </cell>
          <cell r="K171" t="str">
            <v>AC</v>
          </cell>
          <cell r="L171" t="str">
            <v>SAGEMCOM</v>
          </cell>
          <cell r="M171" t="str">
            <v>Essos</v>
          </cell>
          <cell r="N171" t="str">
            <v>MFOUNDI</v>
          </cell>
          <cell r="O171" t="str">
            <v>YAOUNDE 2</v>
          </cell>
          <cell r="P171" t="str">
            <v>Alphonse Deufo</v>
          </cell>
          <cell r="Q171">
            <v>656193000</v>
          </cell>
          <cell r="R171">
            <v>683661296</v>
          </cell>
          <cell r="S171" t="str">
            <v>Desire Moussinga</v>
          </cell>
          <cell r="T171" t="str">
            <v>Valeur HOUELL</v>
          </cell>
          <cell r="U171" t="str">
            <v>I H S</v>
          </cell>
        </row>
        <row r="172">
          <cell r="A172" t="str">
            <v>CTR_080</v>
          </cell>
          <cell r="B172" t="str">
            <v>IHS_YND_298</v>
          </cell>
          <cell r="C172" t="str">
            <v>CTR_080</v>
          </cell>
          <cell r="D172" t="str">
            <v>Center</v>
          </cell>
          <cell r="E172" t="str">
            <v>Center</v>
          </cell>
          <cell r="F172" t="str">
            <v>Olembe</v>
          </cell>
          <cell r="G172" t="str">
            <v>P2</v>
          </cell>
          <cell r="H172" t="str">
            <v>Grid-Gen</v>
          </cell>
          <cell r="I172" t="str">
            <v>On Air</v>
          </cell>
          <cell r="J172" t="str">
            <v>Indoor</v>
          </cell>
          <cell r="K172" t="str">
            <v>AC</v>
          </cell>
          <cell r="L172" t="str">
            <v>SAGEMCOM</v>
          </cell>
          <cell r="M172" t="str">
            <v>Manguier</v>
          </cell>
          <cell r="N172" t="str">
            <v>MFOUNDI</v>
          </cell>
          <cell r="O172" t="str">
            <v>YAOUNDE 1</v>
          </cell>
          <cell r="P172" t="str">
            <v>Alphonse Deufo</v>
          </cell>
          <cell r="Q172">
            <v>656193000</v>
          </cell>
          <cell r="R172">
            <v>683661296</v>
          </cell>
          <cell r="S172" t="str">
            <v>Desire Moussinga</v>
          </cell>
          <cell r="T172" t="str">
            <v>Valeur HOUELL</v>
          </cell>
          <cell r="U172" t="str">
            <v>I H S</v>
          </cell>
        </row>
        <row r="173">
          <cell r="A173" t="str">
            <v>CTR_198</v>
          </cell>
          <cell r="B173" t="str">
            <v>IHS_YND_126</v>
          </cell>
          <cell r="C173" t="str">
            <v>CTR_198</v>
          </cell>
          <cell r="D173" t="str">
            <v>Center</v>
          </cell>
          <cell r="E173" t="str">
            <v>Center</v>
          </cell>
          <cell r="F173" t="str">
            <v>Bastos-Nylon</v>
          </cell>
          <cell r="G173" t="str">
            <v>P2</v>
          </cell>
          <cell r="H173" t="str">
            <v>Grid-Gen</v>
          </cell>
          <cell r="I173" t="str">
            <v>On Air</v>
          </cell>
          <cell r="J173" t="str">
            <v>Outdoor</v>
          </cell>
          <cell r="K173" t="str">
            <v>AC</v>
          </cell>
          <cell r="L173" t="str">
            <v>SAGEMCOM</v>
          </cell>
          <cell r="M173" t="str">
            <v>Tsinga</v>
          </cell>
          <cell r="N173" t="str">
            <v>MFOUNDI</v>
          </cell>
          <cell r="O173" t="str">
            <v>YAOUNDE 2</v>
          </cell>
          <cell r="P173" t="str">
            <v>Alphonse Deufo</v>
          </cell>
          <cell r="Q173">
            <v>656193000</v>
          </cell>
          <cell r="R173">
            <v>683661296</v>
          </cell>
          <cell r="S173" t="str">
            <v>Desire Moussinga</v>
          </cell>
          <cell r="T173" t="str">
            <v>Valeur HOUELL</v>
          </cell>
          <cell r="U173" t="str">
            <v>I H S</v>
          </cell>
        </row>
        <row r="174">
          <cell r="A174" t="str">
            <v>CTR_049</v>
          </cell>
          <cell r="B174" t="str">
            <v>IHS_YND_209</v>
          </cell>
          <cell r="C174" t="str">
            <v>CTR_049</v>
          </cell>
          <cell r="D174" t="str">
            <v>Center</v>
          </cell>
          <cell r="E174" t="str">
            <v>Center</v>
          </cell>
          <cell r="F174" t="str">
            <v>Manguier</v>
          </cell>
          <cell r="G174" t="str">
            <v>P2</v>
          </cell>
          <cell r="H174" t="str">
            <v>Grid-Gen</v>
          </cell>
          <cell r="I174" t="str">
            <v>On Air</v>
          </cell>
          <cell r="J174" t="str">
            <v>Indoor</v>
          </cell>
          <cell r="K174" t="str">
            <v>AC</v>
          </cell>
          <cell r="L174" t="str">
            <v>SAGEMCOM</v>
          </cell>
          <cell r="M174" t="str">
            <v>Manguier</v>
          </cell>
          <cell r="N174" t="str">
            <v>MFOUNDI</v>
          </cell>
          <cell r="O174" t="str">
            <v>YAOUNDE 1</v>
          </cell>
          <cell r="P174" t="str">
            <v>Alphonse Deufo</v>
          </cell>
          <cell r="Q174">
            <v>656193000</v>
          </cell>
          <cell r="R174">
            <v>683661296</v>
          </cell>
          <cell r="S174" t="str">
            <v>Desire Moussinga</v>
          </cell>
          <cell r="T174" t="str">
            <v>Valeur HOUELL</v>
          </cell>
          <cell r="U174" t="str">
            <v>I H S</v>
          </cell>
        </row>
        <row r="175">
          <cell r="A175" t="str">
            <v>CTR_213</v>
          </cell>
          <cell r="B175" t="str">
            <v>IHS_YND_247</v>
          </cell>
          <cell r="C175" t="str">
            <v>CTR_213</v>
          </cell>
          <cell r="D175" t="str">
            <v>Center</v>
          </cell>
          <cell r="E175" t="str">
            <v>Center</v>
          </cell>
          <cell r="F175" t="str">
            <v>Okolo</v>
          </cell>
          <cell r="G175" t="str">
            <v>P2</v>
          </cell>
          <cell r="H175" t="str">
            <v>Grid-Gen</v>
          </cell>
          <cell r="I175" t="str">
            <v>On Air</v>
          </cell>
          <cell r="J175" t="str">
            <v>Outdoor</v>
          </cell>
          <cell r="K175" t="str">
            <v>AC</v>
          </cell>
          <cell r="L175" t="str">
            <v>SAGEMCOM</v>
          </cell>
          <cell r="M175" t="str">
            <v>Manguier</v>
          </cell>
          <cell r="N175" t="str">
            <v>MFOUNDI</v>
          </cell>
          <cell r="O175" t="str">
            <v>YAOUNDE 1</v>
          </cell>
          <cell r="P175" t="str">
            <v>Alphonse Deufo</v>
          </cell>
          <cell r="Q175">
            <v>656193000</v>
          </cell>
          <cell r="R175">
            <v>683661296</v>
          </cell>
          <cell r="S175" t="str">
            <v>Desire Moussinga</v>
          </cell>
          <cell r="T175" t="str">
            <v>Valeur HOUELL</v>
          </cell>
          <cell r="U175" t="str">
            <v>I H S</v>
          </cell>
        </row>
        <row r="176">
          <cell r="A176" t="str">
            <v>CTR_011</v>
          </cell>
          <cell r="B176" t="str">
            <v>IHS_YND_196</v>
          </cell>
          <cell r="C176" t="str">
            <v>CTR_011</v>
          </cell>
          <cell r="D176" t="str">
            <v>Center</v>
          </cell>
          <cell r="E176" t="str">
            <v>Center</v>
          </cell>
          <cell r="F176" t="str">
            <v>PDC</v>
          </cell>
          <cell r="G176" t="str">
            <v>P2</v>
          </cell>
          <cell r="H176" t="str">
            <v>Grid-Gen</v>
          </cell>
          <cell r="I176" t="str">
            <v>On Air</v>
          </cell>
          <cell r="J176" t="str">
            <v>Indoor</v>
          </cell>
          <cell r="K176" t="str">
            <v>AC</v>
          </cell>
          <cell r="L176" t="str">
            <v>SAGEMCOM</v>
          </cell>
          <cell r="M176" t="str">
            <v>Tsinga</v>
          </cell>
          <cell r="N176" t="str">
            <v>MFOUNDI</v>
          </cell>
          <cell r="O176" t="str">
            <v>YAOUNDE 2</v>
          </cell>
          <cell r="P176" t="str">
            <v>Alphonse Deufo</v>
          </cell>
          <cell r="Q176">
            <v>656193000</v>
          </cell>
          <cell r="R176">
            <v>683661296</v>
          </cell>
          <cell r="S176" t="str">
            <v>Desire Moussinga</v>
          </cell>
          <cell r="T176" t="str">
            <v>Valeur HOUELL</v>
          </cell>
          <cell r="U176" t="str">
            <v>I H S</v>
          </cell>
        </row>
        <row r="177">
          <cell r="A177" t="str">
            <v>CTR_110</v>
          </cell>
          <cell r="B177" t="str">
            <v>IHS_YND_028</v>
          </cell>
          <cell r="C177" t="str">
            <v>CTR_110</v>
          </cell>
          <cell r="D177" t="str">
            <v>Center</v>
          </cell>
          <cell r="E177" t="str">
            <v>Center</v>
          </cell>
          <cell r="F177" t="str">
            <v>H-Central</v>
          </cell>
          <cell r="G177" t="str">
            <v>P3</v>
          </cell>
          <cell r="H177" t="str">
            <v>Grid-Gen</v>
          </cell>
          <cell r="I177" t="str">
            <v>On Air</v>
          </cell>
          <cell r="J177" t="str">
            <v>Indoor</v>
          </cell>
          <cell r="K177" t="str">
            <v>AC</v>
          </cell>
          <cell r="L177" t="str">
            <v>SAGEMCOM</v>
          </cell>
          <cell r="M177" t="str">
            <v>Essos</v>
          </cell>
          <cell r="N177" t="str">
            <v>MFOUNDI</v>
          </cell>
          <cell r="O177" t="str">
            <v>YAOUNDE 2</v>
          </cell>
          <cell r="P177" t="str">
            <v>Alphonse Deufo</v>
          </cell>
          <cell r="Q177">
            <v>656193000</v>
          </cell>
          <cell r="R177">
            <v>683661296</v>
          </cell>
          <cell r="S177" t="str">
            <v>Desire Moussinga</v>
          </cell>
          <cell r="T177" t="str">
            <v>Valeur HOUELL</v>
          </cell>
          <cell r="U177" t="str">
            <v>I H S</v>
          </cell>
        </row>
        <row r="178">
          <cell r="A178" t="str">
            <v>CTR_002</v>
          </cell>
          <cell r="B178" t="str">
            <v>IHS_YND_010</v>
          </cell>
          <cell r="C178" t="str">
            <v>CTR_002</v>
          </cell>
          <cell r="D178" t="str">
            <v>Center</v>
          </cell>
          <cell r="E178" t="str">
            <v>Center</v>
          </cell>
          <cell r="F178" t="str">
            <v>CNR</v>
          </cell>
          <cell r="G178" t="str">
            <v>P3</v>
          </cell>
          <cell r="H178" t="str">
            <v>Grid-Gen</v>
          </cell>
          <cell r="I178" t="str">
            <v>On Air</v>
          </cell>
          <cell r="J178" t="str">
            <v>Indoor</v>
          </cell>
          <cell r="K178" t="str">
            <v>AC</v>
          </cell>
          <cell r="L178" t="str">
            <v>SAGEMCOM</v>
          </cell>
          <cell r="M178" t="str">
            <v>Essos</v>
          </cell>
          <cell r="N178" t="str">
            <v>MFOUNDI</v>
          </cell>
          <cell r="O178" t="str">
            <v>YAOUNDE 2</v>
          </cell>
          <cell r="P178" t="str">
            <v>Alphonse Deufo</v>
          </cell>
          <cell r="Q178">
            <v>656193000</v>
          </cell>
          <cell r="R178">
            <v>683661296</v>
          </cell>
          <cell r="S178" t="str">
            <v>Desire Moussinga</v>
          </cell>
          <cell r="T178" t="str">
            <v>Valeur HOUELL</v>
          </cell>
          <cell r="U178" t="str">
            <v>I H S</v>
          </cell>
        </row>
        <row r="179">
          <cell r="A179" t="str">
            <v>CTR_077</v>
          </cell>
          <cell r="B179" t="str">
            <v>IHS_YND_015</v>
          </cell>
          <cell r="C179" t="str">
            <v>CTR_077</v>
          </cell>
          <cell r="D179" t="str">
            <v>Center</v>
          </cell>
          <cell r="E179" t="str">
            <v>Center</v>
          </cell>
          <cell r="F179" t="str">
            <v>H-ville</v>
          </cell>
          <cell r="G179" t="str">
            <v>P3</v>
          </cell>
          <cell r="H179" t="str">
            <v>Grid Only</v>
          </cell>
          <cell r="I179" t="str">
            <v>On Air</v>
          </cell>
          <cell r="J179" t="str">
            <v>Indoor</v>
          </cell>
          <cell r="K179" t="str">
            <v>AC</v>
          </cell>
          <cell r="L179" t="str">
            <v>SAGEMCOM</v>
          </cell>
          <cell r="M179" t="str">
            <v>Essos</v>
          </cell>
          <cell r="N179" t="str">
            <v>MFOUNDI</v>
          </cell>
          <cell r="O179" t="str">
            <v>YAOUNDE 1</v>
          </cell>
          <cell r="P179" t="str">
            <v>Alphonse Deufo</v>
          </cell>
          <cell r="Q179">
            <v>656193000</v>
          </cell>
          <cell r="R179">
            <v>683661296</v>
          </cell>
          <cell r="S179" t="str">
            <v>Desire Moussinga</v>
          </cell>
          <cell r="T179" t="str">
            <v>Valeur HOUELL</v>
          </cell>
          <cell r="U179" t="str">
            <v>I H S</v>
          </cell>
        </row>
        <row r="180">
          <cell r="A180" t="str">
            <v>CTR_038</v>
          </cell>
          <cell r="B180" t="str">
            <v>IHS_YND_052</v>
          </cell>
          <cell r="C180" t="str">
            <v>CTR_038</v>
          </cell>
          <cell r="D180" t="str">
            <v>Center</v>
          </cell>
          <cell r="E180" t="str">
            <v>Center</v>
          </cell>
          <cell r="F180" t="str">
            <v>NR-Bastos</v>
          </cell>
          <cell r="G180" t="str">
            <v>P3</v>
          </cell>
          <cell r="H180" t="str">
            <v>Grid Only</v>
          </cell>
          <cell r="I180" t="str">
            <v>On Air</v>
          </cell>
          <cell r="J180" t="str">
            <v>Indoor</v>
          </cell>
          <cell r="K180" t="str">
            <v>AC</v>
          </cell>
          <cell r="L180" t="str">
            <v>SAGEMCOM</v>
          </cell>
          <cell r="M180" t="str">
            <v>Tsinga</v>
          </cell>
          <cell r="N180" t="str">
            <v>MFOUNDI</v>
          </cell>
          <cell r="O180" t="str">
            <v>YAOUNDE 2</v>
          </cell>
          <cell r="P180" t="str">
            <v>Alphonse Deufo</v>
          </cell>
          <cell r="Q180">
            <v>656193000</v>
          </cell>
          <cell r="R180">
            <v>683661296</v>
          </cell>
          <cell r="S180" t="str">
            <v>Desire Moussinga</v>
          </cell>
          <cell r="T180" t="str">
            <v>Valeur HOUELL</v>
          </cell>
          <cell r="U180" t="str">
            <v>I H S</v>
          </cell>
        </row>
        <row r="181">
          <cell r="A181" t="str">
            <v>CTR_020</v>
          </cell>
          <cell r="B181" t="str">
            <v>IHS_YND_137</v>
          </cell>
          <cell r="C181" t="str">
            <v>CTR_020</v>
          </cell>
          <cell r="D181" t="str">
            <v>Center</v>
          </cell>
          <cell r="E181" t="str">
            <v>Center</v>
          </cell>
          <cell r="F181" t="str">
            <v>Masque</v>
          </cell>
          <cell r="G181" t="str">
            <v>P3</v>
          </cell>
          <cell r="H181" t="str">
            <v>Grid Only</v>
          </cell>
          <cell r="I181" t="str">
            <v>On Air</v>
          </cell>
          <cell r="J181" t="str">
            <v>Indoor</v>
          </cell>
          <cell r="K181" t="str">
            <v>AC</v>
          </cell>
          <cell r="L181" t="str">
            <v>SAGEMCOM</v>
          </cell>
          <cell r="M181" t="str">
            <v>Manguier</v>
          </cell>
          <cell r="N181" t="str">
            <v>MFOUNDI</v>
          </cell>
          <cell r="O181" t="str">
            <v>YAOUNDE 1</v>
          </cell>
          <cell r="P181" t="str">
            <v>Alphonse Deufo</v>
          </cell>
          <cell r="Q181">
            <v>656193000</v>
          </cell>
          <cell r="R181">
            <v>683661296</v>
          </cell>
          <cell r="S181" t="str">
            <v>Desire Moussinga</v>
          </cell>
          <cell r="T181" t="str">
            <v>Valeur HOUELL</v>
          </cell>
          <cell r="U181" t="str">
            <v>I H S</v>
          </cell>
        </row>
        <row r="182">
          <cell r="A182" t="str">
            <v>CTR_200</v>
          </cell>
          <cell r="B182" t="str">
            <v>IHS_YND_129</v>
          </cell>
          <cell r="C182" t="str">
            <v>CTR_200</v>
          </cell>
          <cell r="D182" t="str">
            <v>Center</v>
          </cell>
          <cell r="E182" t="str">
            <v>Center</v>
          </cell>
          <cell r="F182" t="str">
            <v>Bastos-BAT</v>
          </cell>
          <cell r="G182" t="str">
            <v>P3</v>
          </cell>
          <cell r="H182" t="str">
            <v>Grid-Gen</v>
          </cell>
          <cell r="I182" t="str">
            <v>On Air</v>
          </cell>
          <cell r="J182" t="str">
            <v>Indoor</v>
          </cell>
          <cell r="K182" t="str">
            <v>AC</v>
          </cell>
          <cell r="L182" t="str">
            <v>SAGEMCOM</v>
          </cell>
          <cell r="M182" t="str">
            <v>Tsinga</v>
          </cell>
          <cell r="N182" t="str">
            <v>MFOUNDI</v>
          </cell>
          <cell r="O182" t="str">
            <v>YAOUNDE 2</v>
          </cell>
          <cell r="P182" t="str">
            <v>Alphonse Deufo</v>
          </cell>
          <cell r="Q182">
            <v>656193000</v>
          </cell>
          <cell r="R182">
            <v>683661296</v>
          </cell>
          <cell r="S182" t="str">
            <v>Desire Moussinga</v>
          </cell>
          <cell r="T182" t="str">
            <v>Valeur HOUELL</v>
          </cell>
          <cell r="U182" t="str">
            <v>I H S</v>
          </cell>
        </row>
        <row r="183">
          <cell r="A183" t="str">
            <v>CTR_344</v>
          </cell>
          <cell r="B183" t="str">
            <v>IHS_YND_192</v>
          </cell>
          <cell r="C183" t="str">
            <v>CTR_344</v>
          </cell>
          <cell r="D183" t="str">
            <v>Center</v>
          </cell>
          <cell r="E183" t="str">
            <v>Center</v>
          </cell>
          <cell r="F183" t="str">
            <v>Dragage</v>
          </cell>
          <cell r="G183" t="str">
            <v>P3</v>
          </cell>
          <cell r="H183" t="str">
            <v>Grid-Gen</v>
          </cell>
          <cell r="I183" t="str">
            <v>On Air</v>
          </cell>
          <cell r="J183" t="str">
            <v>Outdoor</v>
          </cell>
          <cell r="K183" t="str">
            <v>AC</v>
          </cell>
          <cell r="L183" t="str">
            <v>SAGEMCOM</v>
          </cell>
          <cell r="M183" t="str">
            <v>Manguier</v>
          </cell>
          <cell r="N183" t="str">
            <v>MFOUNDI</v>
          </cell>
          <cell r="O183" t="str">
            <v>YAOUNDE 1</v>
          </cell>
          <cell r="P183" t="str">
            <v>Alphonse Deufo</v>
          </cell>
          <cell r="Q183">
            <v>656193000</v>
          </cell>
          <cell r="R183">
            <v>683661296</v>
          </cell>
          <cell r="S183" t="str">
            <v>Desire Moussinga</v>
          </cell>
          <cell r="T183" t="str">
            <v>Valeur HOUELL</v>
          </cell>
          <cell r="U183" t="str">
            <v>I H S</v>
          </cell>
        </row>
        <row r="184">
          <cell r="A184" t="str">
            <v>CTR_088</v>
          </cell>
          <cell r="B184" t="str">
            <v>IHS_YND_221</v>
          </cell>
          <cell r="C184" t="str">
            <v>CTR_088</v>
          </cell>
          <cell r="D184" t="str">
            <v>Center</v>
          </cell>
          <cell r="E184" t="str">
            <v>Center</v>
          </cell>
          <cell r="F184" t="str">
            <v>J-Vespa</v>
          </cell>
          <cell r="G184" t="str">
            <v>P3</v>
          </cell>
          <cell r="H184" t="str">
            <v>Grid-Gen</v>
          </cell>
          <cell r="I184" t="str">
            <v>On Air</v>
          </cell>
          <cell r="J184" t="str">
            <v>Indoor</v>
          </cell>
          <cell r="K184" t="str">
            <v>AC</v>
          </cell>
          <cell r="L184" t="str">
            <v>SAGEMCOM</v>
          </cell>
          <cell r="M184" t="str">
            <v>Tsinga</v>
          </cell>
          <cell r="N184" t="str">
            <v>MFOUNDI</v>
          </cell>
          <cell r="O184" t="str">
            <v>YAOUNDE 2</v>
          </cell>
          <cell r="P184" t="str">
            <v>Alphonse Deufo</v>
          </cell>
          <cell r="Q184">
            <v>656193000</v>
          </cell>
          <cell r="R184">
            <v>683661296</v>
          </cell>
          <cell r="S184" t="str">
            <v>Desire Moussinga</v>
          </cell>
          <cell r="T184" t="str">
            <v>Valeur HOUELL</v>
          </cell>
          <cell r="U184" t="str">
            <v>I H S</v>
          </cell>
        </row>
        <row r="185">
          <cell r="A185" t="str">
            <v>CTR_124</v>
          </cell>
          <cell r="B185" t="str">
            <v>IHS_YND_208</v>
          </cell>
          <cell r="C185" t="str">
            <v>CTR_124</v>
          </cell>
          <cell r="D185" t="str">
            <v>Center</v>
          </cell>
          <cell r="E185" t="str">
            <v>Center</v>
          </cell>
          <cell r="F185" t="str">
            <v>ARMP</v>
          </cell>
          <cell r="G185" t="str">
            <v>P3</v>
          </cell>
          <cell r="H185" t="str">
            <v>Grid Only</v>
          </cell>
          <cell r="I185" t="str">
            <v>On Air</v>
          </cell>
          <cell r="J185" t="str">
            <v>Indoor</v>
          </cell>
          <cell r="K185" t="str">
            <v>AC</v>
          </cell>
          <cell r="L185" t="str">
            <v>SAGEMCOM</v>
          </cell>
          <cell r="M185" t="str">
            <v>Manguier</v>
          </cell>
          <cell r="N185" t="str">
            <v>MFOUNDI</v>
          </cell>
          <cell r="O185" t="str">
            <v>YAOUNDE 1</v>
          </cell>
          <cell r="P185" t="str">
            <v>Alphonse Deufo</v>
          </cell>
          <cell r="Q185">
            <v>656193000</v>
          </cell>
          <cell r="R185">
            <v>683661296</v>
          </cell>
          <cell r="S185" t="str">
            <v>Desire Moussinga</v>
          </cell>
          <cell r="T185" t="str">
            <v>Valeur HOUELL</v>
          </cell>
          <cell r="U185" t="str">
            <v>I H S</v>
          </cell>
        </row>
        <row r="186">
          <cell r="A186" t="str">
            <v>CTR_834</v>
          </cell>
          <cell r="B186" t="str">
            <v>IHS_YND_220</v>
          </cell>
          <cell r="C186" t="str">
            <v>CTR_834</v>
          </cell>
          <cell r="D186" t="str">
            <v>Center</v>
          </cell>
          <cell r="E186" t="str">
            <v>Center</v>
          </cell>
          <cell r="F186" t="str">
            <v>Golf Quater</v>
          </cell>
          <cell r="G186" t="str">
            <v>P3</v>
          </cell>
          <cell r="H186" t="str">
            <v>Grid-Gen</v>
          </cell>
          <cell r="I186">
            <v>0</v>
          </cell>
          <cell r="J186" t="str">
            <v>Outdoor</v>
          </cell>
          <cell r="K186" t="str">
            <v>AC</v>
          </cell>
          <cell r="L186" t="str">
            <v>SAGEMCOM</v>
          </cell>
          <cell r="M186" t="str">
            <v>Tsinga</v>
          </cell>
          <cell r="N186" t="str">
            <v>MFOUNDI</v>
          </cell>
          <cell r="O186" t="str">
            <v>YAOUNDE 2</v>
          </cell>
          <cell r="P186" t="str">
            <v>Alphonse Deufo</v>
          </cell>
          <cell r="Q186">
            <v>656193000</v>
          </cell>
          <cell r="R186">
            <v>683661296</v>
          </cell>
          <cell r="S186" t="str">
            <v>Desire Moussinga</v>
          </cell>
          <cell r="T186" t="str">
            <v>Valeur HOUELL</v>
          </cell>
          <cell r="U186" t="str">
            <v>I H S</v>
          </cell>
        </row>
        <row r="187">
          <cell r="A187" t="str">
            <v>CTR_474</v>
          </cell>
          <cell r="B187" t="str">
            <v>IHS_YND_563</v>
          </cell>
          <cell r="C187" t="str">
            <v>CTR_474</v>
          </cell>
          <cell r="D187" t="str">
            <v>Center</v>
          </cell>
          <cell r="E187" t="str">
            <v>Center</v>
          </cell>
          <cell r="F187" t="str">
            <v>Bastos Bethesda</v>
          </cell>
          <cell r="G187" t="str">
            <v>P4</v>
          </cell>
          <cell r="H187" t="str">
            <v>Grid-Gen</v>
          </cell>
          <cell r="I187" t="str">
            <v>On Air</v>
          </cell>
          <cell r="J187" t="str">
            <v>Outdoor</v>
          </cell>
          <cell r="K187" t="str">
            <v>AC</v>
          </cell>
          <cell r="L187" t="str">
            <v>SAGEMCOM</v>
          </cell>
          <cell r="M187" t="str">
            <v>Tsinga</v>
          </cell>
          <cell r="N187" t="str">
            <v>MFOUNDI</v>
          </cell>
          <cell r="O187" t="str">
            <v>YAOUNDE 2</v>
          </cell>
          <cell r="P187" t="str">
            <v>Alphonse Deufo</v>
          </cell>
          <cell r="Q187">
            <v>656193000</v>
          </cell>
          <cell r="R187">
            <v>683661296</v>
          </cell>
          <cell r="S187" t="str">
            <v>Desire Moussinga</v>
          </cell>
          <cell r="T187" t="str">
            <v>Valeur HOUELL</v>
          </cell>
          <cell r="U187" t="str">
            <v>I H S</v>
          </cell>
        </row>
        <row r="188">
          <cell r="A188" t="str">
            <v>CTR_387</v>
          </cell>
          <cell r="B188" t="str">
            <v>IHS_YND_276</v>
          </cell>
          <cell r="C188" t="str">
            <v>CTR_387</v>
          </cell>
          <cell r="D188" t="str">
            <v>Center</v>
          </cell>
          <cell r="E188" t="str">
            <v>Center</v>
          </cell>
          <cell r="F188" t="str">
            <v>Ekombitie</v>
          </cell>
          <cell r="G188" t="str">
            <v>P4</v>
          </cell>
          <cell r="H188" t="str">
            <v>Grid-Gen</v>
          </cell>
          <cell r="I188" t="str">
            <v>On Air</v>
          </cell>
          <cell r="J188" t="str">
            <v>Outdoor</v>
          </cell>
          <cell r="K188" t="str">
            <v>AC</v>
          </cell>
          <cell r="L188" t="str">
            <v>SAGEMCOM</v>
          </cell>
          <cell r="M188" t="str">
            <v>Manguier</v>
          </cell>
          <cell r="N188" t="str">
            <v>MFOUNDI</v>
          </cell>
          <cell r="O188" t="str">
            <v>YAOUNDE 1</v>
          </cell>
          <cell r="P188" t="str">
            <v>Alphonse Deufo</v>
          </cell>
          <cell r="Q188">
            <v>656193000</v>
          </cell>
          <cell r="R188">
            <v>683661296</v>
          </cell>
          <cell r="S188" t="str">
            <v>Desire Moussinga</v>
          </cell>
          <cell r="T188" t="str">
            <v>Valeur HOUELL</v>
          </cell>
          <cell r="U188" t="str">
            <v>I H S</v>
          </cell>
        </row>
        <row r="189">
          <cell r="A189" t="str">
            <v>CTR_383</v>
          </cell>
          <cell r="B189" t="str">
            <v>IHS_YND_300</v>
          </cell>
          <cell r="C189" t="str">
            <v>CTR_383</v>
          </cell>
          <cell r="D189" t="str">
            <v>Center</v>
          </cell>
          <cell r="E189" t="str">
            <v>Center</v>
          </cell>
          <cell r="F189" t="str">
            <v>Olembe-Terminus</v>
          </cell>
          <cell r="G189" t="str">
            <v>P4</v>
          </cell>
          <cell r="H189" t="str">
            <v>Grid-Gen</v>
          </cell>
          <cell r="I189" t="str">
            <v>On Air</v>
          </cell>
          <cell r="J189" t="str">
            <v>Outdoor</v>
          </cell>
          <cell r="K189" t="str">
            <v>AC</v>
          </cell>
          <cell r="L189" t="str">
            <v>SAGEMCOM</v>
          </cell>
          <cell r="M189" t="str">
            <v>Manguier</v>
          </cell>
          <cell r="N189" t="str">
            <v>MFOUNDI</v>
          </cell>
          <cell r="O189" t="str">
            <v>YAOUNDE 1</v>
          </cell>
          <cell r="P189" t="str">
            <v>Alphonse Deufo</v>
          </cell>
          <cell r="Q189">
            <v>656193000</v>
          </cell>
          <cell r="R189">
            <v>683661296</v>
          </cell>
          <cell r="S189" t="str">
            <v>Desire Moussinga</v>
          </cell>
          <cell r="T189" t="str">
            <v>Valeur HOUELL</v>
          </cell>
          <cell r="U189" t="str">
            <v>I H S</v>
          </cell>
        </row>
        <row r="190">
          <cell r="A190" t="str">
            <v>CTR_381</v>
          </cell>
          <cell r="B190" t="str">
            <v>IHS_YND_303</v>
          </cell>
          <cell r="C190" t="str">
            <v>CTR_381</v>
          </cell>
          <cell r="D190" t="str">
            <v>Center</v>
          </cell>
          <cell r="E190" t="str">
            <v>Center</v>
          </cell>
          <cell r="F190" t="str">
            <v>Nyom</v>
          </cell>
          <cell r="G190" t="str">
            <v>P4</v>
          </cell>
          <cell r="H190" t="str">
            <v>Grid-Gen</v>
          </cell>
          <cell r="I190" t="str">
            <v>On Air</v>
          </cell>
          <cell r="J190" t="str">
            <v>Outdoor</v>
          </cell>
          <cell r="K190" t="str">
            <v>AC</v>
          </cell>
          <cell r="L190" t="str">
            <v>SAGEMCOM</v>
          </cell>
          <cell r="M190" t="str">
            <v>Manguier</v>
          </cell>
          <cell r="N190" t="str">
            <v>MFOUNDI</v>
          </cell>
          <cell r="O190" t="str">
            <v>YAOUNDE 1</v>
          </cell>
          <cell r="P190" t="str">
            <v>Alphonse Deufo</v>
          </cell>
          <cell r="Q190">
            <v>656193000</v>
          </cell>
          <cell r="R190">
            <v>683661296</v>
          </cell>
          <cell r="S190" t="str">
            <v>Desire Moussinga</v>
          </cell>
          <cell r="T190" t="str">
            <v>Valeur HOUELL</v>
          </cell>
          <cell r="U190" t="str">
            <v>I H S</v>
          </cell>
        </row>
        <row r="191">
          <cell r="A191" t="str">
            <v>CTR_337</v>
          </cell>
          <cell r="B191" t="str">
            <v>IHS_YND_280</v>
          </cell>
          <cell r="C191" t="str">
            <v>CTR_337</v>
          </cell>
          <cell r="D191" t="str">
            <v>Center</v>
          </cell>
          <cell r="E191" t="str">
            <v>Center</v>
          </cell>
          <cell r="F191" t="str">
            <v>Messassi</v>
          </cell>
          <cell r="G191" t="str">
            <v>P4</v>
          </cell>
          <cell r="H191" t="str">
            <v>Grid-Gen</v>
          </cell>
          <cell r="I191" t="str">
            <v>On Air</v>
          </cell>
          <cell r="J191" t="str">
            <v>Outdoor</v>
          </cell>
          <cell r="K191" t="str">
            <v>AC</v>
          </cell>
          <cell r="L191" t="str">
            <v>SAGEMCOM</v>
          </cell>
          <cell r="M191" t="str">
            <v>Manguier</v>
          </cell>
          <cell r="N191" t="str">
            <v>MFOUNDI</v>
          </cell>
          <cell r="O191" t="str">
            <v>YAOUNDE 1</v>
          </cell>
          <cell r="P191" t="str">
            <v>Alphonse Deufo</v>
          </cell>
          <cell r="Q191">
            <v>656193000</v>
          </cell>
          <cell r="R191">
            <v>683661296</v>
          </cell>
          <cell r="S191" t="str">
            <v>Desire Moussinga</v>
          </cell>
          <cell r="T191" t="str">
            <v>Valeur HOUELL</v>
          </cell>
          <cell r="U191" t="str">
            <v>I H S</v>
          </cell>
        </row>
        <row r="192">
          <cell r="A192" t="str">
            <v>CTR_271</v>
          </cell>
          <cell r="B192" t="str">
            <v>IHS_YND_275</v>
          </cell>
          <cell r="C192" t="str">
            <v>CTR_271</v>
          </cell>
          <cell r="D192" t="str">
            <v>Center</v>
          </cell>
          <cell r="E192" t="str">
            <v>Center</v>
          </cell>
          <cell r="F192" t="str">
            <v>Nkolbong</v>
          </cell>
          <cell r="G192" t="str">
            <v>P4</v>
          </cell>
          <cell r="H192" t="str">
            <v>Grid-Gen</v>
          </cell>
          <cell r="I192" t="str">
            <v>On Air</v>
          </cell>
          <cell r="J192" t="str">
            <v>Outdoor</v>
          </cell>
          <cell r="K192" t="str">
            <v>AC</v>
          </cell>
          <cell r="L192" t="str">
            <v>SAGEMCOM</v>
          </cell>
          <cell r="M192" t="str">
            <v>Manguier</v>
          </cell>
          <cell r="N192" t="str">
            <v>MFOUNDI</v>
          </cell>
          <cell r="O192" t="str">
            <v>YAOUNDE 1</v>
          </cell>
          <cell r="P192" t="str">
            <v>Alphonse Deufo</v>
          </cell>
          <cell r="Q192">
            <v>656193000</v>
          </cell>
          <cell r="R192">
            <v>683661296</v>
          </cell>
          <cell r="S192" t="str">
            <v>Desire Moussinga</v>
          </cell>
          <cell r="T192" t="str">
            <v>Valeur HOUELL</v>
          </cell>
          <cell r="U192" t="str">
            <v>I H S</v>
          </cell>
        </row>
        <row r="193">
          <cell r="A193" t="str">
            <v>CTR_161</v>
          </cell>
          <cell r="B193" t="str">
            <v>IHS_YND_506</v>
          </cell>
          <cell r="C193" t="str">
            <v>CTR_161</v>
          </cell>
          <cell r="D193" t="str">
            <v>Center</v>
          </cell>
          <cell r="E193" t="str">
            <v>Center</v>
          </cell>
          <cell r="F193" t="str">
            <v>Omnisport-Rail</v>
          </cell>
          <cell r="G193" t="str">
            <v>P4</v>
          </cell>
          <cell r="H193" t="str">
            <v>Grid-Gen</v>
          </cell>
          <cell r="I193" t="str">
            <v>On Air</v>
          </cell>
          <cell r="J193" t="str">
            <v>Outdoor</v>
          </cell>
          <cell r="K193" t="str">
            <v>AC</v>
          </cell>
          <cell r="L193" t="str">
            <v>SAGEMCOM</v>
          </cell>
          <cell r="M193" t="str">
            <v>Manguier</v>
          </cell>
          <cell r="N193" t="str">
            <v>MFOUNDI</v>
          </cell>
          <cell r="O193" t="str">
            <v>YAOUNDE 1</v>
          </cell>
          <cell r="P193" t="str">
            <v>Alphonse Deufo</v>
          </cell>
          <cell r="Q193">
            <v>656193000</v>
          </cell>
          <cell r="R193">
            <v>683661296</v>
          </cell>
          <cell r="S193" t="str">
            <v>Desire Moussinga</v>
          </cell>
          <cell r="T193" t="str">
            <v>Valeur HOUELL</v>
          </cell>
          <cell r="U193" t="str">
            <v>I H S</v>
          </cell>
        </row>
        <row r="194">
          <cell r="A194" t="str">
            <v>CTR_086</v>
          </cell>
          <cell r="B194" t="str">
            <v>IHS_YND_211</v>
          </cell>
          <cell r="C194" t="str">
            <v>CTR_086</v>
          </cell>
          <cell r="D194" t="str">
            <v>Center</v>
          </cell>
          <cell r="E194" t="str">
            <v>Center</v>
          </cell>
          <cell r="F194" t="str">
            <v>Etoudi</v>
          </cell>
          <cell r="G194" t="str">
            <v>P4</v>
          </cell>
          <cell r="H194" t="str">
            <v>Grid-Gen</v>
          </cell>
          <cell r="I194" t="str">
            <v>On Air</v>
          </cell>
          <cell r="J194" t="str">
            <v>Indoor</v>
          </cell>
          <cell r="K194" t="str">
            <v>AC</v>
          </cell>
          <cell r="L194" t="str">
            <v>SAGEMCOM</v>
          </cell>
          <cell r="M194" t="str">
            <v>Manguier</v>
          </cell>
          <cell r="N194" t="str">
            <v>MFOUNDI</v>
          </cell>
          <cell r="O194" t="str">
            <v>YAOUNDE 1</v>
          </cell>
          <cell r="P194" t="str">
            <v>Alphonse Deufo</v>
          </cell>
          <cell r="Q194">
            <v>656193000</v>
          </cell>
          <cell r="R194">
            <v>683661296</v>
          </cell>
          <cell r="S194" t="str">
            <v>Desire Moussinga</v>
          </cell>
          <cell r="T194" t="str">
            <v>Valeur HOUELL</v>
          </cell>
          <cell r="U194" t="str">
            <v>I H S</v>
          </cell>
        </row>
        <row r="195">
          <cell r="A195" t="str">
            <v>CTR_079</v>
          </cell>
          <cell r="B195" t="str">
            <v>IHS_YND_306</v>
          </cell>
          <cell r="C195" t="str">
            <v>CTR_079</v>
          </cell>
          <cell r="D195" t="str">
            <v>Center</v>
          </cell>
          <cell r="E195" t="str">
            <v>Center</v>
          </cell>
          <cell r="F195" t="str">
            <v>Nkozoa</v>
          </cell>
          <cell r="G195" t="str">
            <v>P4</v>
          </cell>
          <cell r="H195" t="str">
            <v>Grid-Gen</v>
          </cell>
          <cell r="I195" t="str">
            <v>On Air</v>
          </cell>
          <cell r="J195" t="str">
            <v>Indoor</v>
          </cell>
          <cell r="K195" t="str">
            <v>AC</v>
          </cell>
          <cell r="L195" t="str">
            <v>SAGEMCOM</v>
          </cell>
          <cell r="M195" t="str">
            <v>Manguier</v>
          </cell>
          <cell r="N195" t="str">
            <v>MFOUNDI</v>
          </cell>
          <cell r="O195" t="str">
            <v>YAOUNDE 1</v>
          </cell>
          <cell r="P195" t="str">
            <v>Alphonse Deufo</v>
          </cell>
          <cell r="Q195">
            <v>656193000</v>
          </cell>
          <cell r="R195">
            <v>683661296</v>
          </cell>
          <cell r="S195" t="str">
            <v>Desire Moussinga</v>
          </cell>
          <cell r="T195" t="str">
            <v>Valeur HOUELL</v>
          </cell>
          <cell r="U195" t="str">
            <v>I H S</v>
          </cell>
        </row>
        <row r="196">
          <cell r="A196" t="str">
            <v>CTR_248</v>
          </cell>
          <cell r="B196" t="str">
            <v>IHS_YND_304</v>
          </cell>
          <cell r="C196" t="str">
            <v>CTR_248</v>
          </cell>
          <cell r="D196" t="str">
            <v>Center</v>
          </cell>
          <cell r="E196" t="str">
            <v>Center</v>
          </cell>
          <cell r="F196" t="str">
            <v>Nkolondom</v>
          </cell>
          <cell r="G196" t="str">
            <v>P4</v>
          </cell>
          <cell r="H196" t="str">
            <v>Grid-Gen</v>
          </cell>
          <cell r="I196" t="str">
            <v>On Air</v>
          </cell>
          <cell r="J196" t="str">
            <v>Outdoor</v>
          </cell>
          <cell r="K196" t="str">
            <v>AC</v>
          </cell>
          <cell r="L196" t="str">
            <v>SAGEMCOM</v>
          </cell>
          <cell r="M196" t="str">
            <v>Manguier</v>
          </cell>
          <cell r="N196" t="str">
            <v>MFOUNDI</v>
          </cell>
          <cell r="O196" t="str">
            <v>YAOUNDE 1</v>
          </cell>
          <cell r="P196" t="str">
            <v>Alphonse Deufo</v>
          </cell>
          <cell r="Q196">
            <v>656193000</v>
          </cell>
          <cell r="R196">
            <v>683661296</v>
          </cell>
          <cell r="S196" t="str">
            <v>Desire Moussinga</v>
          </cell>
          <cell r="T196" t="str">
            <v>Valeur HOUELL</v>
          </cell>
          <cell r="U196" t="str">
            <v>I H S</v>
          </cell>
        </row>
        <row r="197">
          <cell r="A197" t="str">
            <v>CTR_380</v>
          </cell>
          <cell r="B197" t="str">
            <v>IHS_YND_102</v>
          </cell>
          <cell r="C197" t="str">
            <v>CTR_380</v>
          </cell>
          <cell r="D197" t="str">
            <v>Center</v>
          </cell>
          <cell r="E197" t="str">
            <v>Center</v>
          </cell>
          <cell r="F197" t="str">
            <v>Ntaba</v>
          </cell>
          <cell r="G197" t="str">
            <v>P4</v>
          </cell>
          <cell r="H197" t="str">
            <v>Grid-Gen</v>
          </cell>
          <cell r="I197" t="str">
            <v>On Air</v>
          </cell>
          <cell r="J197" t="str">
            <v>Outdoor</v>
          </cell>
          <cell r="K197" t="str">
            <v>AC</v>
          </cell>
          <cell r="L197" t="str">
            <v>SAGEMCOM</v>
          </cell>
          <cell r="M197" t="str">
            <v>Omnisport</v>
          </cell>
          <cell r="N197" t="str">
            <v>MFOUNDI</v>
          </cell>
          <cell r="O197" t="str">
            <v>YAOUNDE 1</v>
          </cell>
          <cell r="P197" t="str">
            <v>Alphonse Deufo</v>
          </cell>
          <cell r="Q197">
            <v>656193000</v>
          </cell>
          <cell r="R197">
            <v>683661296</v>
          </cell>
          <cell r="S197" t="str">
            <v>Desire Moussinga</v>
          </cell>
          <cell r="T197" t="str">
            <v>Valeur HOUELL</v>
          </cell>
          <cell r="U197" t="str">
            <v>I H S</v>
          </cell>
        </row>
        <row r="198">
          <cell r="A198" t="str">
            <v>CTR_322</v>
          </cell>
          <cell r="B198" t="str">
            <v>IHS_YND_029</v>
          </cell>
          <cell r="C198" t="str">
            <v>CTR_322</v>
          </cell>
          <cell r="D198" t="str">
            <v>Center</v>
          </cell>
          <cell r="E198" t="str">
            <v>Center</v>
          </cell>
          <cell r="F198" t="str">
            <v>Sapeur</v>
          </cell>
          <cell r="G198" t="str">
            <v>P4</v>
          </cell>
          <cell r="H198" t="str">
            <v>Grid-Gen</v>
          </cell>
          <cell r="I198" t="str">
            <v>On Air</v>
          </cell>
          <cell r="J198" t="str">
            <v>Outdoor</v>
          </cell>
          <cell r="K198" t="str">
            <v>AC</v>
          </cell>
          <cell r="L198" t="str">
            <v>SAGEMCOM</v>
          </cell>
          <cell r="M198" t="str">
            <v>Tsinga</v>
          </cell>
          <cell r="N198" t="str">
            <v>MFOUNDI</v>
          </cell>
          <cell r="O198" t="str">
            <v>YAOUNDE 2</v>
          </cell>
          <cell r="P198" t="str">
            <v>Alphonse Deufo</v>
          </cell>
          <cell r="Q198">
            <v>656193000</v>
          </cell>
          <cell r="R198">
            <v>683661296</v>
          </cell>
          <cell r="S198" t="str">
            <v>Desire Moussinga</v>
          </cell>
          <cell r="T198" t="str">
            <v>Valeur HOUELL</v>
          </cell>
          <cell r="U198" t="str">
            <v>I H S</v>
          </cell>
        </row>
        <row r="199">
          <cell r="A199" t="str">
            <v>CTR_023</v>
          </cell>
          <cell r="B199" t="str">
            <v>IHS_YND_243</v>
          </cell>
          <cell r="C199" t="str">
            <v>CTR_023</v>
          </cell>
          <cell r="D199" t="str">
            <v>Center</v>
          </cell>
          <cell r="E199" t="str">
            <v>Center</v>
          </cell>
          <cell r="F199" t="str">
            <v>Emana</v>
          </cell>
          <cell r="G199" t="str">
            <v>P4</v>
          </cell>
          <cell r="H199" t="str">
            <v>Grid Only</v>
          </cell>
          <cell r="I199" t="str">
            <v>On Air</v>
          </cell>
          <cell r="J199" t="str">
            <v>Indoor</v>
          </cell>
          <cell r="K199" t="str">
            <v>AC</v>
          </cell>
          <cell r="L199" t="str">
            <v>SAGEMCOM</v>
          </cell>
          <cell r="M199" t="str">
            <v>Manguier</v>
          </cell>
          <cell r="N199" t="str">
            <v>MFOUNDI</v>
          </cell>
          <cell r="O199" t="str">
            <v>YAOUNDE 1</v>
          </cell>
          <cell r="P199" t="str">
            <v>Alphonse Deufo</v>
          </cell>
          <cell r="Q199">
            <v>656193000</v>
          </cell>
          <cell r="R199">
            <v>683661296</v>
          </cell>
          <cell r="S199" t="str">
            <v>Desire Moussinga</v>
          </cell>
          <cell r="T199" t="str">
            <v>Valeur HOUELL</v>
          </cell>
          <cell r="U199" t="str">
            <v>I H S</v>
          </cell>
        </row>
        <row r="200">
          <cell r="A200" t="str">
            <v>CTR_075</v>
          </cell>
          <cell r="B200" t="str">
            <v>IHS_YND_133</v>
          </cell>
          <cell r="C200" t="str">
            <v>CTR_075</v>
          </cell>
          <cell r="D200" t="str">
            <v>Center</v>
          </cell>
          <cell r="E200" t="str">
            <v>Center</v>
          </cell>
          <cell r="F200" t="str">
            <v>Elig-Edzoa</v>
          </cell>
          <cell r="G200" t="str">
            <v>P4</v>
          </cell>
          <cell r="H200" t="str">
            <v>Grid Only</v>
          </cell>
          <cell r="I200" t="str">
            <v>On Air</v>
          </cell>
          <cell r="J200" t="str">
            <v>Indoor</v>
          </cell>
          <cell r="K200" t="str">
            <v>AC</v>
          </cell>
          <cell r="L200" t="str">
            <v>SAGEMCOM</v>
          </cell>
          <cell r="M200" t="str">
            <v>Manguier</v>
          </cell>
          <cell r="N200" t="str">
            <v>MFOUNDI</v>
          </cell>
          <cell r="O200" t="str">
            <v>YAOUNDE 1</v>
          </cell>
          <cell r="P200" t="str">
            <v>Alphonse Deufo</v>
          </cell>
          <cell r="Q200">
            <v>656193000</v>
          </cell>
          <cell r="R200">
            <v>683661296</v>
          </cell>
          <cell r="S200" t="str">
            <v>Desire Moussinga</v>
          </cell>
          <cell r="T200" t="str">
            <v>Valeur HOUELL</v>
          </cell>
          <cell r="U200" t="str">
            <v>I H S</v>
          </cell>
        </row>
        <row r="201">
          <cell r="A201" t="str">
            <v>CTR_427</v>
          </cell>
          <cell r="B201" t="str">
            <v>IHS_YND_200</v>
          </cell>
          <cell r="C201" t="str">
            <v>CTR_427</v>
          </cell>
          <cell r="D201" t="str">
            <v>Center</v>
          </cell>
          <cell r="E201" t="str">
            <v>Center</v>
          </cell>
          <cell r="F201" t="str">
            <v>Nkomkana</v>
          </cell>
          <cell r="G201" t="str">
            <v>P4</v>
          </cell>
          <cell r="H201" t="str">
            <v>Grid Only</v>
          </cell>
          <cell r="I201" t="str">
            <v>On Air</v>
          </cell>
          <cell r="J201" t="str">
            <v>Outdoor</v>
          </cell>
          <cell r="K201" t="str">
            <v>AC</v>
          </cell>
          <cell r="L201" t="str">
            <v>SAGEMCOM</v>
          </cell>
          <cell r="M201" t="str">
            <v>Tsinga</v>
          </cell>
          <cell r="N201" t="str">
            <v>MFOUNDI</v>
          </cell>
          <cell r="O201" t="str">
            <v>YAOUNDE 2</v>
          </cell>
          <cell r="P201" t="str">
            <v>Alphonse Deufo</v>
          </cell>
          <cell r="Q201">
            <v>656193000</v>
          </cell>
          <cell r="R201">
            <v>683661296</v>
          </cell>
          <cell r="S201" t="str">
            <v>Desire Moussinga</v>
          </cell>
          <cell r="T201" t="str">
            <v>Valeur HOUELL</v>
          </cell>
          <cell r="U201" t="str">
            <v>I H S</v>
          </cell>
        </row>
        <row r="202">
          <cell r="A202" t="str">
            <v>CTR_390</v>
          </cell>
          <cell r="B202" t="str">
            <v>IHS_YND_203</v>
          </cell>
          <cell r="C202" t="str">
            <v>CTR_390</v>
          </cell>
          <cell r="D202" t="str">
            <v>Center</v>
          </cell>
          <cell r="E202" t="str">
            <v>Center</v>
          </cell>
          <cell r="F202" t="str">
            <v>Tongolo</v>
          </cell>
          <cell r="G202" t="str">
            <v>P4</v>
          </cell>
          <cell r="H202" t="str">
            <v>Grid-Gen</v>
          </cell>
          <cell r="I202" t="str">
            <v>On Air</v>
          </cell>
          <cell r="J202" t="str">
            <v>Outdoor</v>
          </cell>
          <cell r="K202" t="str">
            <v>AC</v>
          </cell>
          <cell r="L202" t="str">
            <v>SAGEMCOM</v>
          </cell>
          <cell r="M202" t="str">
            <v>Manguier</v>
          </cell>
          <cell r="N202" t="str">
            <v>MFOUNDI</v>
          </cell>
          <cell r="O202" t="str">
            <v>YAOUNDE 1</v>
          </cell>
          <cell r="P202" t="str">
            <v>Alphonse Deufo</v>
          </cell>
          <cell r="Q202">
            <v>656193000</v>
          </cell>
          <cell r="R202">
            <v>683661296</v>
          </cell>
          <cell r="S202" t="str">
            <v>Desire Moussinga</v>
          </cell>
          <cell r="T202" t="str">
            <v>Valeur HOUELL</v>
          </cell>
          <cell r="U202" t="str">
            <v>I H S</v>
          </cell>
        </row>
        <row r="203">
          <cell r="A203" t="str">
            <v>CTR_409</v>
          </cell>
          <cell r="B203" t="str">
            <v>IHS_YND_090</v>
          </cell>
          <cell r="C203" t="str">
            <v>CTR_409</v>
          </cell>
          <cell r="D203" t="str">
            <v>Center</v>
          </cell>
          <cell r="E203" t="str">
            <v>Center</v>
          </cell>
          <cell r="F203" t="str">
            <v>BATA-Mokolo</v>
          </cell>
          <cell r="G203" t="str">
            <v>P4</v>
          </cell>
          <cell r="H203" t="str">
            <v>Grid Only</v>
          </cell>
          <cell r="I203" t="str">
            <v>On Air</v>
          </cell>
          <cell r="J203" t="str">
            <v>Outdoor</v>
          </cell>
          <cell r="K203" t="str">
            <v>AC</v>
          </cell>
          <cell r="L203" t="str">
            <v>SAGEMCOM</v>
          </cell>
          <cell r="M203" t="str">
            <v>Tsinga</v>
          </cell>
          <cell r="N203" t="str">
            <v>MFOUNDI</v>
          </cell>
          <cell r="O203" t="str">
            <v>YAOUNDE 2</v>
          </cell>
          <cell r="P203" t="str">
            <v>Alphonse Deufo</v>
          </cell>
          <cell r="Q203">
            <v>656193000</v>
          </cell>
          <cell r="R203">
            <v>683661296</v>
          </cell>
          <cell r="S203" t="str">
            <v>Desire Moussinga</v>
          </cell>
          <cell r="T203" t="str">
            <v>Valeur HOUELL</v>
          </cell>
          <cell r="U203" t="str">
            <v>I H S</v>
          </cell>
        </row>
        <row r="204">
          <cell r="A204" t="str">
            <v>CTR_104</v>
          </cell>
          <cell r="B204" t="str">
            <v>IHS_YND_244</v>
          </cell>
          <cell r="C204" t="str">
            <v>CTR_104</v>
          </cell>
          <cell r="D204" t="str">
            <v>Center</v>
          </cell>
          <cell r="E204" t="str">
            <v>Center</v>
          </cell>
          <cell r="F204" t="str">
            <v>Abattoir</v>
          </cell>
          <cell r="G204" t="str">
            <v>P4</v>
          </cell>
          <cell r="H204" t="str">
            <v>Grid Only</v>
          </cell>
          <cell r="I204" t="str">
            <v>On Air</v>
          </cell>
          <cell r="J204" t="str">
            <v>Indoor</v>
          </cell>
          <cell r="K204" t="str">
            <v>AC</v>
          </cell>
          <cell r="L204" t="str">
            <v>SAGEMCOM</v>
          </cell>
          <cell r="M204" t="str">
            <v>Manguier</v>
          </cell>
          <cell r="N204" t="str">
            <v>MFOUNDI</v>
          </cell>
          <cell r="O204" t="str">
            <v>YAOUNDE 1</v>
          </cell>
          <cell r="P204" t="str">
            <v>Alphonse Deufo</v>
          </cell>
          <cell r="Q204">
            <v>656193000</v>
          </cell>
          <cell r="R204">
            <v>683661296</v>
          </cell>
          <cell r="S204" t="str">
            <v>Desire Moussinga</v>
          </cell>
          <cell r="T204" t="str">
            <v>Valeur HOUELL</v>
          </cell>
          <cell r="U204" t="str">
            <v>I H S</v>
          </cell>
        </row>
        <row r="205">
          <cell r="A205" t="str">
            <v>CTR_217</v>
          </cell>
          <cell r="B205" t="str">
            <v>IHS_YND_139</v>
          </cell>
          <cell r="C205" t="str">
            <v>CTR_217</v>
          </cell>
          <cell r="D205" t="str">
            <v>Center</v>
          </cell>
          <cell r="E205" t="str">
            <v>Center</v>
          </cell>
          <cell r="F205" t="str">
            <v>Madagascar-Yde-New</v>
          </cell>
          <cell r="G205" t="str">
            <v>P4</v>
          </cell>
          <cell r="H205" t="str">
            <v>Grid Only</v>
          </cell>
          <cell r="I205" t="str">
            <v>On Air</v>
          </cell>
          <cell r="J205" t="str">
            <v>Indoor</v>
          </cell>
          <cell r="K205" t="str">
            <v>AC</v>
          </cell>
          <cell r="L205" t="str">
            <v>SAGEMCOM</v>
          </cell>
          <cell r="M205" t="str">
            <v>Tsinga</v>
          </cell>
          <cell r="N205" t="str">
            <v>MFOUNDI</v>
          </cell>
          <cell r="O205" t="str">
            <v>YAOUNDE 2</v>
          </cell>
          <cell r="P205" t="str">
            <v>Alphonse Deufo</v>
          </cell>
          <cell r="Q205">
            <v>656193000</v>
          </cell>
          <cell r="R205">
            <v>683661296</v>
          </cell>
          <cell r="S205" t="str">
            <v>Desire Moussinga</v>
          </cell>
          <cell r="T205" t="str">
            <v>Valeur HOUELL</v>
          </cell>
          <cell r="U205" t="str">
            <v>I H S</v>
          </cell>
        </row>
        <row r="206">
          <cell r="A206" t="str">
            <v>CTR_044</v>
          </cell>
          <cell r="B206" t="str">
            <v>IHS_YND_089</v>
          </cell>
          <cell r="C206" t="str">
            <v>CTR_044</v>
          </cell>
          <cell r="D206" t="str">
            <v>Center</v>
          </cell>
          <cell r="E206" t="str">
            <v>Center</v>
          </cell>
          <cell r="F206" t="str">
            <v>H-Princes</v>
          </cell>
          <cell r="G206" t="str">
            <v>P4</v>
          </cell>
          <cell r="H206" t="str">
            <v>Grid-Gen</v>
          </cell>
          <cell r="I206" t="str">
            <v>On Air</v>
          </cell>
          <cell r="J206" t="str">
            <v>Indoor</v>
          </cell>
          <cell r="K206" t="str">
            <v>AC</v>
          </cell>
          <cell r="L206" t="str">
            <v>SAGEMCOM</v>
          </cell>
          <cell r="M206" t="str">
            <v>Tsinga</v>
          </cell>
          <cell r="N206" t="str">
            <v>MFOUNDI</v>
          </cell>
          <cell r="O206" t="str">
            <v>YAOUNDE 2</v>
          </cell>
          <cell r="P206" t="str">
            <v>Alphonse Deufo</v>
          </cell>
          <cell r="Q206">
            <v>656193000</v>
          </cell>
          <cell r="R206">
            <v>683661296</v>
          </cell>
          <cell r="S206" t="str">
            <v>Desire Moussinga</v>
          </cell>
          <cell r="T206" t="str">
            <v>Valeur HOUELL</v>
          </cell>
          <cell r="U206" t="str">
            <v>I H S</v>
          </cell>
        </row>
        <row r="207">
          <cell r="A207" t="str">
            <v>CTR_321</v>
          </cell>
          <cell r="B207" t="str">
            <v>IHS_YND_085</v>
          </cell>
          <cell r="C207" t="str">
            <v>CTR_321</v>
          </cell>
          <cell r="D207" t="str">
            <v>Center</v>
          </cell>
          <cell r="E207" t="str">
            <v>Center</v>
          </cell>
          <cell r="F207" t="str">
            <v>Briqueterie</v>
          </cell>
          <cell r="G207" t="str">
            <v>P4</v>
          </cell>
          <cell r="H207" t="str">
            <v>Grid Only</v>
          </cell>
          <cell r="I207" t="str">
            <v>On Air</v>
          </cell>
          <cell r="J207" t="str">
            <v>Outdoor</v>
          </cell>
          <cell r="K207" t="str">
            <v>AC</v>
          </cell>
          <cell r="L207" t="str">
            <v>SAGEMCOM</v>
          </cell>
          <cell r="M207" t="str">
            <v>Tsinga</v>
          </cell>
          <cell r="N207" t="str">
            <v>MFOUNDI</v>
          </cell>
          <cell r="O207" t="str">
            <v>YAOUNDE 2</v>
          </cell>
          <cell r="P207" t="str">
            <v>Alphonse Deufo</v>
          </cell>
          <cell r="Q207">
            <v>656193000</v>
          </cell>
          <cell r="R207">
            <v>683661296</v>
          </cell>
          <cell r="S207" t="str">
            <v>Desire Moussinga</v>
          </cell>
          <cell r="T207" t="str">
            <v>Valeur HOUELL</v>
          </cell>
          <cell r="U207" t="str">
            <v>I H S</v>
          </cell>
        </row>
        <row r="208">
          <cell r="A208" t="str">
            <v>CTR_076</v>
          </cell>
          <cell r="B208" t="str">
            <v>IHS_YND_030</v>
          </cell>
          <cell r="C208" t="str">
            <v>CTR_076</v>
          </cell>
          <cell r="D208" t="str">
            <v>Center</v>
          </cell>
          <cell r="E208" t="str">
            <v>Center</v>
          </cell>
          <cell r="F208" t="str">
            <v>E-Police</v>
          </cell>
          <cell r="G208" t="str">
            <v>P4</v>
          </cell>
          <cell r="H208" t="str">
            <v>Grid Only</v>
          </cell>
          <cell r="I208" t="str">
            <v>On Air</v>
          </cell>
          <cell r="J208" t="str">
            <v>Indoor</v>
          </cell>
          <cell r="K208" t="str">
            <v>AC</v>
          </cell>
          <cell r="L208" t="str">
            <v>SAGEMCOM</v>
          </cell>
          <cell r="M208" t="str">
            <v>Tsinga</v>
          </cell>
          <cell r="N208" t="str">
            <v>MFOUNDI</v>
          </cell>
          <cell r="O208" t="str">
            <v>YAOUNDE 2</v>
          </cell>
          <cell r="P208" t="str">
            <v>Alphonse Deufo</v>
          </cell>
          <cell r="Q208">
            <v>656193000</v>
          </cell>
          <cell r="R208">
            <v>683661296</v>
          </cell>
          <cell r="S208" t="str">
            <v>Desire Moussinga</v>
          </cell>
          <cell r="T208" t="str">
            <v>Valeur HOUELL</v>
          </cell>
          <cell r="U208" t="str">
            <v>I H S</v>
          </cell>
        </row>
        <row r="209">
          <cell r="A209" t="str">
            <v>CTR_251</v>
          </cell>
          <cell r="B209" t="str">
            <v>IHS_YND_136</v>
          </cell>
          <cell r="C209" t="str">
            <v>CTR_251</v>
          </cell>
          <cell r="D209" t="str">
            <v>Center</v>
          </cell>
          <cell r="E209" t="str">
            <v>Center</v>
          </cell>
          <cell r="F209" t="str">
            <v>Vallee-Bastos</v>
          </cell>
          <cell r="G209" t="str">
            <v>P4</v>
          </cell>
          <cell r="H209" t="str">
            <v>Grid Only</v>
          </cell>
          <cell r="I209" t="str">
            <v>On Air</v>
          </cell>
          <cell r="J209" t="str">
            <v>Outdoor</v>
          </cell>
          <cell r="K209" t="str">
            <v>AC</v>
          </cell>
          <cell r="L209" t="str">
            <v>SAGEMCOM</v>
          </cell>
          <cell r="M209" t="str">
            <v>Manguier</v>
          </cell>
          <cell r="N209" t="str">
            <v>MFOUNDI</v>
          </cell>
          <cell r="O209" t="str">
            <v>YAOUNDE 1</v>
          </cell>
          <cell r="P209" t="str">
            <v>Alphonse Deufo</v>
          </cell>
          <cell r="Q209">
            <v>656193000</v>
          </cell>
          <cell r="R209">
            <v>683661296</v>
          </cell>
          <cell r="S209" t="str">
            <v>Desire Moussinga</v>
          </cell>
          <cell r="T209" t="str">
            <v>Valeur HOUELL</v>
          </cell>
          <cell r="U209" t="str">
            <v>I H S</v>
          </cell>
        </row>
        <row r="210">
          <cell r="A210" t="str">
            <v>CTR_375</v>
          </cell>
          <cell r="B210" t="str">
            <v>IHS_YND_087</v>
          </cell>
          <cell r="C210" t="str">
            <v>CTR_375</v>
          </cell>
          <cell r="D210" t="str">
            <v>Center</v>
          </cell>
          <cell r="E210" t="str">
            <v>Center</v>
          </cell>
          <cell r="F210" t="str">
            <v>Camp-Sic-Tsinga</v>
          </cell>
          <cell r="G210" t="str">
            <v>P4</v>
          </cell>
          <cell r="H210" t="str">
            <v>Grid Only</v>
          </cell>
          <cell r="I210" t="str">
            <v>On Air</v>
          </cell>
          <cell r="J210" t="str">
            <v>Outdoor</v>
          </cell>
          <cell r="K210" t="str">
            <v>AC</v>
          </cell>
          <cell r="L210" t="str">
            <v>SAGEMCOM</v>
          </cell>
          <cell r="M210" t="str">
            <v>Tsinga</v>
          </cell>
          <cell r="N210" t="str">
            <v>MFOUNDI</v>
          </cell>
          <cell r="O210" t="str">
            <v>YAOUNDE 2</v>
          </cell>
          <cell r="P210" t="str">
            <v>Alphonse Deufo</v>
          </cell>
          <cell r="Q210">
            <v>656193000</v>
          </cell>
          <cell r="R210">
            <v>683661296</v>
          </cell>
          <cell r="S210" t="str">
            <v>Desire Moussinga</v>
          </cell>
          <cell r="T210" t="str">
            <v>Valeur HOUELL</v>
          </cell>
          <cell r="U210" t="str">
            <v>I H S</v>
          </cell>
        </row>
        <row r="211">
          <cell r="A211" t="str">
            <v>CTR_017</v>
          </cell>
          <cell r="B211" t="str">
            <v>IHS_YND_083</v>
          </cell>
          <cell r="C211" t="str">
            <v>CTR_017</v>
          </cell>
          <cell r="D211" t="str">
            <v>Center</v>
          </cell>
          <cell r="E211" t="str">
            <v>Center</v>
          </cell>
          <cell r="F211" t="str">
            <v>H-Progres</v>
          </cell>
          <cell r="G211" t="str">
            <v>P4</v>
          </cell>
          <cell r="H211" t="str">
            <v>Grid Only</v>
          </cell>
          <cell r="I211" t="str">
            <v>On Air</v>
          </cell>
          <cell r="J211" t="str">
            <v>Indoor</v>
          </cell>
          <cell r="K211" t="str">
            <v>AC</v>
          </cell>
          <cell r="L211" t="str">
            <v>SAGEMCOM</v>
          </cell>
          <cell r="M211" t="str">
            <v>Tsinga</v>
          </cell>
          <cell r="N211" t="str">
            <v>MFOUNDI</v>
          </cell>
          <cell r="O211" t="str">
            <v>YAOUNDE 2</v>
          </cell>
          <cell r="P211" t="str">
            <v>Alphonse Deufo</v>
          </cell>
          <cell r="Q211">
            <v>656193000</v>
          </cell>
          <cell r="R211">
            <v>683661296</v>
          </cell>
          <cell r="S211" t="str">
            <v>Desire Moussinga</v>
          </cell>
          <cell r="T211" t="str">
            <v>Valeur HOUELL</v>
          </cell>
          <cell r="U211" t="str">
            <v>I H S</v>
          </cell>
        </row>
        <row r="212">
          <cell r="A212" t="str">
            <v>CTR_197</v>
          </cell>
          <cell r="B212" t="str">
            <v>IHS_YND_125</v>
          </cell>
          <cell r="C212" t="str">
            <v>CTR_197</v>
          </cell>
          <cell r="D212" t="str">
            <v>Center</v>
          </cell>
          <cell r="E212" t="str">
            <v>Center</v>
          </cell>
          <cell r="F212" t="str">
            <v>Charles-Atangana</v>
          </cell>
          <cell r="G212" t="str">
            <v>P4</v>
          </cell>
          <cell r="H212" t="str">
            <v>Grid Only</v>
          </cell>
          <cell r="I212" t="str">
            <v>On Air</v>
          </cell>
          <cell r="J212" t="str">
            <v>Indoor</v>
          </cell>
          <cell r="K212" t="str">
            <v>AC</v>
          </cell>
          <cell r="L212" t="str">
            <v>SAGEMCOM</v>
          </cell>
          <cell r="M212" t="str">
            <v>Tsinga</v>
          </cell>
          <cell r="N212" t="str">
            <v>MFOUNDI</v>
          </cell>
          <cell r="O212" t="str">
            <v>YAOUNDE 2</v>
          </cell>
          <cell r="P212" t="str">
            <v>Alphonse Deufo</v>
          </cell>
          <cell r="Q212">
            <v>656193000</v>
          </cell>
          <cell r="R212">
            <v>683661296</v>
          </cell>
          <cell r="S212" t="str">
            <v>Desire Moussinga</v>
          </cell>
          <cell r="T212" t="str">
            <v>Valeur HOUELL</v>
          </cell>
          <cell r="U212" t="str">
            <v>I H S</v>
          </cell>
        </row>
        <row r="213">
          <cell r="A213" t="str">
            <v>CTR_481</v>
          </cell>
          <cell r="B213" t="str">
            <v>IHS_YND_574</v>
          </cell>
          <cell r="C213" t="str">
            <v>CTR_481</v>
          </cell>
          <cell r="D213" t="str">
            <v>Center</v>
          </cell>
          <cell r="E213" t="str">
            <v>Center</v>
          </cell>
          <cell r="F213" t="str">
            <v>Crf-Mbankolo-IHS</v>
          </cell>
          <cell r="G213" t="str">
            <v>P4</v>
          </cell>
          <cell r="H213" t="str">
            <v>Grid-Gen</v>
          </cell>
          <cell r="I213" t="str">
            <v>On Air</v>
          </cell>
          <cell r="J213" t="str">
            <v>Outdoor</v>
          </cell>
          <cell r="K213" t="str">
            <v>AC</v>
          </cell>
          <cell r="L213" t="str">
            <v>SAGEMCOM</v>
          </cell>
          <cell r="M213" t="str">
            <v>Tsinga</v>
          </cell>
          <cell r="N213" t="str">
            <v>MFOUNDI</v>
          </cell>
          <cell r="O213" t="str">
            <v>YAOUNDE 2</v>
          </cell>
          <cell r="P213" t="str">
            <v>Alphonse Deufo</v>
          </cell>
          <cell r="Q213">
            <v>656193000</v>
          </cell>
          <cell r="R213">
            <v>683661296</v>
          </cell>
          <cell r="S213" t="str">
            <v>Desire Moussinga</v>
          </cell>
          <cell r="T213" t="str">
            <v>Valeur HOUELL</v>
          </cell>
          <cell r="U213" t="str">
            <v>I H S</v>
          </cell>
        </row>
        <row r="214">
          <cell r="A214" t="str">
            <v>CTR_520</v>
          </cell>
          <cell r="B214" t="str">
            <v>IHS_YND_694</v>
          </cell>
          <cell r="C214" t="str">
            <v>CTR_520</v>
          </cell>
          <cell r="D214" t="str">
            <v>Center</v>
          </cell>
          <cell r="E214" t="str">
            <v>Center</v>
          </cell>
          <cell r="F214" t="str">
            <v>Etoudi Chapelle</v>
          </cell>
          <cell r="G214" t="str">
            <v>P4</v>
          </cell>
          <cell r="H214" t="str">
            <v>Grid-Gen</v>
          </cell>
          <cell r="I214" t="str">
            <v>On Air</v>
          </cell>
          <cell r="J214" t="str">
            <v>Outdoor</v>
          </cell>
          <cell r="K214" t="str">
            <v>AC</v>
          </cell>
          <cell r="L214" t="str">
            <v>SAGEMCOM</v>
          </cell>
          <cell r="M214" t="str">
            <v>Manguier</v>
          </cell>
          <cell r="N214" t="str">
            <v>MFOUNDI</v>
          </cell>
          <cell r="O214" t="str">
            <v>YAOUNDE 1</v>
          </cell>
          <cell r="P214" t="str">
            <v>Alphonse Deufo</v>
          </cell>
          <cell r="Q214">
            <v>656193000</v>
          </cell>
          <cell r="R214">
            <v>683661296</v>
          </cell>
          <cell r="S214" t="str">
            <v>Desire Moussinga</v>
          </cell>
          <cell r="T214" t="str">
            <v>Valeur HOUELL</v>
          </cell>
          <cell r="U214" t="str">
            <v>I H S</v>
          </cell>
        </row>
        <row r="215">
          <cell r="A215" t="str">
            <v>CTR_640</v>
          </cell>
          <cell r="B215" t="str">
            <v>IHS_YND_704</v>
          </cell>
          <cell r="C215" t="str">
            <v>CTR_640</v>
          </cell>
          <cell r="D215" t="str">
            <v>Center</v>
          </cell>
          <cell r="E215" t="str">
            <v>Center</v>
          </cell>
          <cell r="F215" t="str">
            <v>Bastos bir IHS</v>
          </cell>
          <cell r="G215" t="str">
            <v>P4</v>
          </cell>
          <cell r="H215" t="str">
            <v>Grid-Gen</v>
          </cell>
          <cell r="I215" t="str">
            <v>On Air</v>
          </cell>
          <cell r="J215" t="str">
            <v>Outdoor</v>
          </cell>
          <cell r="K215" t="str">
            <v>AC</v>
          </cell>
          <cell r="L215" t="str">
            <v>SAGEMCOM</v>
          </cell>
          <cell r="M215" t="str">
            <v>Tsinga</v>
          </cell>
          <cell r="N215" t="str">
            <v>MFOUNDI</v>
          </cell>
          <cell r="O215" t="str">
            <v>YAOUNDE 2</v>
          </cell>
          <cell r="P215" t="str">
            <v>Alphonse Deufo</v>
          </cell>
          <cell r="Q215">
            <v>656193000</v>
          </cell>
          <cell r="R215">
            <v>683661296</v>
          </cell>
          <cell r="S215" t="str">
            <v>Desire Moussinga</v>
          </cell>
          <cell r="T215" t="str">
            <v>Valeur HOUELL</v>
          </cell>
          <cell r="U215" t="str">
            <v>I H S</v>
          </cell>
        </row>
        <row r="216">
          <cell r="A216" t="str">
            <v>CTR_449</v>
          </cell>
          <cell r="B216" t="str">
            <v>IHS_YND_051</v>
          </cell>
          <cell r="C216" t="str">
            <v>CTR_449</v>
          </cell>
          <cell r="D216" t="str">
            <v>Center</v>
          </cell>
          <cell r="E216" t="str">
            <v>Center</v>
          </cell>
          <cell r="F216" t="str">
            <v>Rd-Pt-Lomgkak</v>
          </cell>
          <cell r="G216" t="str">
            <v>P4</v>
          </cell>
          <cell r="H216" t="str">
            <v>Grid-Gen</v>
          </cell>
          <cell r="I216" t="str">
            <v>On Air</v>
          </cell>
          <cell r="J216" t="str">
            <v>Indoor</v>
          </cell>
          <cell r="K216" t="str">
            <v>AC</v>
          </cell>
          <cell r="L216" t="str">
            <v>SAGEMCOM</v>
          </cell>
          <cell r="M216" t="str">
            <v>Tsinga</v>
          </cell>
          <cell r="N216" t="str">
            <v>MFOUNDI</v>
          </cell>
          <cell r="O216" t="str">
            <v>YAOUNDE 1</v>
          </cell>
          <cell r="P216" t="str">
            <v>Alphonse Deufo</v>
          </cell>
          <cell r="Q216">
            <v>656193000</v>
          </cell>
          <cell r="R216">
            <v>683661296</v>
          </cell>
          <cell r="S216" t="str">
            <v>Desire Moussinga</v>
          </cell>
          <cell r="T216" t="str">
            <v>Valeur HOUELL</v>
          </cell>
          <cell r="U216" t="str">
            <v>I H S</v>
          </cell>
        </row>
        <row r="217">
          <cell r="A217" t="str">
            <v>CTR_692</v>
          </cell>
          <cell r="B217" t="str">
            <v>IHS_YND_223</v>
          </cell>
          <cell r="C217" t="str">
            <v>CTR_692</v>
          </cell>
          <cell r="D217" t="str">
            <v>Center</v>
          </cell>
          <cell r="E217" t="str">
            <v>Center</v>
          </cell>
          <cell r="F217" t="str">
            <v>Febe-Village-IHS</v>
          </cell>
          <cell r="G217" t="str">
            <v>P4</v>
          </cell>
          <cell r="H217" t="str">
            <v>Grid-Gen</v>
          </cell>
          <cell r="I217" t="str">
            <v>On Air</v>
          </cell>
          <cell r="J217" t="str">
            <v>Outdoor</v>
          </cell>
          <cell r="K217" t="str">
            <v>AC</v>
          </cell>
          <cell r="L217" t="str">
            <v>SAGEMCOM</v>
          </cell>
          <cell r="M217" t="str">
            <v>Nkolbisson</v>
          </cell>
          <cell r="N217" t="str">
            <v>MFOUNDI</v>
          </cell>
          <cell r="O217" t="str">
            <v>YAOUNDE 2</v>
          </cell>
          <cell r="P217" t="str">
            <v>Alphonse Deufo</v>
          </cell>
          <cell r="Q217">
            <v>656193000</v>
          </cell>
          <cell r="R217">
            <v>683661296</v>
          </cell>
          <cell r="S217" t="str">
            <v>Desire Moussinga</v>
          </cell>
          <cell r="T217" t="str">
            <v>Valeur HOUELL</v>
          </cell>
          <cell r="U217" t="str">
            <v>I H S</v>
          </cell>
        </row>
        <row r="218">
          <cell r="A218" t="str">
            <v>CTR_370</v>
          </cell>
          <cell r="B218" t="str">
            <v>IHS_YND_274</v>
          </cell>
          <cell r="C218" t="str">
            <v>CTR_370</v>
          </cell>
          <cell r="D218" t="str">
            <v>Center</v>
          </cell>
          <cell r="E218" t="str">
            <v>Center</v>
          </cell>
          <cell r="F218" t="str">
            <v>Emana-MTN</v>
          </cell>
          <cell r="G218" t="str">
            <v>P4</v>
          </cell>
          <cell r="H218" t="str">
            <v>Grid-Gen</v>
          </cell>
          <cell r="I218" t="str">
            <v>On Air</v>
          </cell>
          <cell r="J218" t="str">
            <v>Outdoor</v>
          </cell>
          <cell r="K218" t="str">
            <v>AC</v>
          </cell>
          <cell r="L218" t="str">
            <v>SAGEMCOM</v>
          </cell>
          <cell r="M218" t="str">
            <v>Manguier</v>
          </cell>
          <cell r="N218" t="str">
            <v>MFOUNDI</v>
          </cell>
          <cell r="O218" t="str">
            <v>YAOUNDE 1</v>
          </cell>
          <cell r="P218" t="str">
            <v>Alphonse Deufo</v>
          </cell>
          <cell r="Q218">
            <v>656193000</v>
          </cell>
          <cell r="R218">
            <v>683661296</v>
          </cell>
          <cell r="S218" t="str">
            <v>Desire Moussinga</v>
          </cell>
          <cell r="T218" t="str">
            <v>Valeur HOUELL</v>
          </cell>
          <cell r="U218" t="str">
            <v>I H S</v>
          </cell>
        </row>
        <row r="219">
          <cell r="A219" t="str">
            <v>CTR_369</v>
          </cell>
          <cell r="B219" t="str">
            <v>IHS_YND_019</v>
          </cell>
          <cell r="C219" t="str">
            <v>CTR_369</v>
          </cell>
          <cell r="D219" t="str">
            <v>Center</v>
          </cell>
          <cell r="E219" t="str">
            <v>Center</v>
          </cell>
          <cell r="F219" t="str">
            <v>H-Ville-MTN</v>
          </cell>
          <cell r="G219" t="str">
            <v>P4</v>
          </cell>
          <cell r="H219" t="str">
            <v>Grid-Gen</v>
          </cell>
          <cell r="I219" t="str">
            <v>On Air</v>
          </cell>
          <cell r="J219" t="str">
            <v>Outdoor</v>
          </cell>
          <cell r="K219" t="str">
            <v>AC</v>
          </cell>
          <cell r="L219" t="str">
            <v>SAGEMCOM</v>
          </cell>
          <cell r="M219" t="str">
            <v>Essos</v>
          </cell>
          <cell r="N219" t="str">
            <v>MFOUNDI</v>
          </cell>
          <cell r="O219" t="str">
            <v>YAOUNDE 1</v>
          </cell>
          <cell r="P219" t="str">
            <v>Alphonse Deufo</v>
          </cell>
          <cell r="Q219">
            <v>656193000</v>
          </cell>
          <cell r="R219">
            <v>683661296</v>
          </cell>
          <cell r="S219" t="str">
            <v>Desire Moussinga</v>
          </cell>
          <cell r="T219" t="str">
            <v>Valeur HOUELL</v>
          </cell>
          <cell r="U219" t="str">
            <v>I H S</v>
          </cell>
        </row>
        <row r="220">
          <cell r="A220" t="str">
            <v>CTR_633</v>
          </cell>
          <cell r="B220" t="str">
            <v>IHS_YND_241</v>
          </cell>
          <cell r="C220" t="str">
            <v>CTR_633</v>
          </cell>
          <cell r="D220" t="str">
            <v>Center</v>
          </cell>
          <cell r="E220" t="str">
            <v>Center</v>
          </cell>
          <cell r="F220" t="str">
            <v>Etoudi IHS</v>
          </cell>
          <cell r="G220" t="str">
            <v>P4</v>
          </cell>
          <cell r="H220" t="str">
            <v>Grid-Gen</v>
          </cell>
          <cell r="I220" t="str">
            <v>On Air</v>
          </cell>
          <cell r="J220" t="str">
            <v>Indoor</v>
          </cell>
          <cell r="K220" t="str">
            <v>AC</v>
          </cell>
          <cell r="L220" t="str">
            <v>SAGEMCOM</v>
          </cell>
          <cell r="M220" t="str">
            <v>Manguier</v>
          </cell>
          <cell r="N220" t="str">
            <v>MFOUNDI</v>
          </cell>
          <cell r="O220" t="str">
            <v>YAOUNDE 1</v>
          </cell>
          <cell r="P220" t="str">
            <v>Alphonse Deufo</v>
          </cell>
          <cell r="Q220">
            <v>656193000</v>
          </cell>
          <cell r="R220">
            <v>683661296</v>
          </cell>
          <cell r="S220" t="str">
            <v>Desire Moussinga</v>
          </cell>
          <cell r="T220" t="str">
            <v>Valeur HOUELL</v>
          </cell>
          <cell r="U220" t="str">
            <v>I H S</v>
          </cell>
        </row>
        <row r="221">
          <cell r="A221" t="str">
            <v>CTR_470</v>
          </cell>
          <cell r="B221" t="str">
            <v>IHS_YND_088</v>
          </cell>
          <cell r="C221" t="str">
            <v>CTR_470</v>
          </cell>
          <cell r="D221" t="str">
            <v>Center</v>
          </cell>
          <cell r="E221" t="str">
            <v>Center</v>
          </cell>
          <cell r="F221" t="str">
            <v>Buea Bomaka 2 (Buea Park)</v>
          </cell>
          <cell r="G221" t="str">
            <v>P4</v>
          </cell>
          <cell r="H221" t="str">
            <v>Grid-Gen</v>
          </cell>
          <cell r="I221" t="str">
            <v>On Air</v>
          </cell>
          <cell r="J221" t="str">
            <v>Outdoor</v>
          </cell>
          <cell r="K221" t="str">
            <v>AC</v>
          </cell>
          <cell r="L221" t="str">
            <v>SAGEMCOM</v>
          </cell>
          <cell r="M221" t="str">
            <v>Tsinga</v>
          </cell>
          <cell r="N221" t="str">
            <v>MFOUNDI</v>
          </cell>
          <cell r="O221" t="str">
            <v>YAOUNDE 2</v>
          </cell>
          <cell r="P221" t="str">
            <v>Alphonse Deufo</v>
          </cell>
          <cell r="Q221">
            <v>656193000</v>
          </cell>
          <cell r="R221">
            <v>683661296</v>
          </cell>
          <cell r="S221" t="str">
            <v>Desire Moussinga</v>
          </cell>
          <cell r="T221" t="str">
            <v>Valeur HOUELL</v>
          </cell>
          <cell r="U221" t="str">
            <v>I H S</v>
          </cell>
        </row>
        <row r="222">
          <cell r="A222" t="str">
            <v>CTR_468</v>
          </cell>
          <cell r="B222" t="str">
            <v>IHS_YND_297</v>
          </cell>
          <cell r="C222" t="str">
            <v>CTR_468</v>
          </cell>
          <cell r="D222" t="str">
            <v>Center</v>
          </cell>
          <cell r="E222" t="str">
            <v>Center</v>
          </cell>
          <cell r="F222" t="str">
            <v>Messassi</v>
          </cell>
          <cell r="G222" t="str">
            <v>P4</v>
          </cell>
          <cell r="H222" t="str">
            <v>Grid-Gen</v>
          </cell>
          <cell r="I222" t="str">
            <v>On Air</v>
          </cell>
          <cell r="J222" t="str">
            <v>Indoor</v>
          </cell>
          <cell r="K222" t="str">
            <v>AC</v>
          </cell>
          <cell r="L222" t="str">
            <v>SAGEMCOM</v>
          </cell>
          <cell r="M222" t="str">
            <v>Manguier</v>
          </cell>
          <cell r="N222" t="str">
            <v>MFOUNDI</v>
          </cell>
          <cell r="O222" t="str">
            <v>YAOUNDE 1</v>
          </cell>
          <cell r="P222" t="str">
            <v>Alphonse Deufo</v>
          </cell>
          <cell r="Q222">
            <v>656193000</v>
          </cell>
          <cell r="R222">
            <v>683661296</v>
          </cell>
          <cell r="S222" t="str">
            <v>Desire Moussinga</v>
          </cell>
          <cell r="T222" t="str">
            <v>Valeur HOUELL</v>
          </cell>
          <cell r="U222" t="str">
            <v>I H S</v>
          </cell>
        </row>
        <row r="223">
          <cell r="A223" t="str">
            <v>CTR_539</v>
          </cell>
          <cell r="B223" t="str">
            <v>IHS_YND_193</v>
          </cell>
          <cell r="C223" t="str">
            <v>CTR_539</v>
          </cell>
          <cell r="D223" t="str">
            <v>Center</v>
          </cell>
          <cell r="E223" t="str">
            <v>Center</v>
          </cell>
          <cell r="F223" t="str">
            <v>Ekoudou</v>
          </cell>
          <cell r="G223" t="str">
            <v>P4</v>
          </cell>
          <cell r="H223" t="str">
            <v>Grid-Gen</v>
          </cell>
          <cell r="I223" t="str">
            <v>On Air</v>
          </cell>
          <cell r="J223" t="str">
            <v>Outdoor</v>
          </cell>
          <cell r="K223" t="str">
            <v>AC</v>
          </cell>
          <cell r="L223" t="str">
            <v>SAGEMCOM</v>
          </cell>
          <cell r="M223" t="str">
            <v>Tsinga</v>
          </cell>
          <cell r="N223" t="str">
            <v>MFOUNDI</v>
          </cell>
          <cell r="O223" t="str">
            <v>YAOUNDE 2</v>
          </cell>
          <cell r="P223" t="str">
            <v>Alphonse Deufo</v>
          </cell>
          <cell r="Q223">
            <v>656193000</v>
          </cell>
          <cell r="R223">
            <v>683661296</v>
          </cell>
          <cell r="S223" t="str">
            <v>Desire Moussinga</v>
          </cell>
          <cell r="T223" t="str">
            <v>Valeur HOUELL</v>
          </cell>
          <cell r="U223" t="str">
            <v>I H S</v>
          </cell>
        </row>
        <row r="224">
          <cell r="A224" t="str">
            <v>CTR_163</v>
          </cell>
          <cell r="B224" t="str">
            <v>IHS_YND_242</v>
          </cell>
          <cell r="C224" t="str">
            <v>CTR_163</v>
          </cell>
          <cell r="D224" t="str">
            <v>Center</v>
          </cell>
          <cell r="E224" t="str">
            <v>Center</v>
          </cell>
          <cell r="F224" t="str">
            <v>Santa-Barbara-IHS</v>
          </cell>
          <cell r="G224" t="str">
            <v>P4</v>
          </cell>
          <cell r="H224" t="str">
            <v>Grid-Gen</v>
          </cell>
          <cell r="I224" t="str">
            <v>On Air</v>
          </cell>
          <cell r="J224" t="str">
            <v>Outdoor</v>
          </cell>
          <cell r="K224" t="str">
            <v>AC</v>
          </cell>
          <cell r="L224" t="str">
            <v>SAGEMCOM</v>
          </cell>
          <cell r="M224" t="str">
            <v>Manguier</v>
          </cell>
          <cell r="N224" t="str">
            <v>MFOUNDI</v>
          </cell>
          <cell r="O224" t="str">
            <v>YAOUNDE 1</v>
          </cell>
          <cell r="P224" t="str">
            <v>Alphonse Deufo</v>
          </cell>
          <cell r="Q224">
            <v>656193000</v>
          </cell>
          <cell r="R224">
            <v>683661296</v>
          </cell>
          <cell r="S224" t="str">
            <v>Desire Moussinga</v>
          </cell>
          <cell r="T224" t="str">
            <v>Valeur HOUELL</v>
          </cell>
          <cell r="U224" t="str">
            <v>I H S</v>
          </cell>
        </row>
        <row r="225">
          <cell r="A225" t="str">
            <v>CTR_529</v>
          </cell>
          <cell r="B225" t="str">
            <v>IHS_YND_316</v>
          </cell>
          <cell r="C225" t="str">
            <v>CTR_529</v>
          </cell>
          <cell r="D225" t="str">
            <v>Center</v>
          </cell>
          <cell r="E225" t="str">
            <v>Center</v>
          </cell>
          <cell r="F225" t="str">
            <v>Akak-Nkozoa-MTN-IHS</v>
          </cell>
          <cell r="G225" t="str">
            <v>P4</v>
          </cell>
          <cell r="H225" t="str">
            <v>Grid-Gen</v>
          </cell>
          <cell r="I225" t="str">
            <v>On Air</v>
          </cell>
          <cell r="J225" t="str">
            <v>Outdoor</v>
          </cell>
          <cell r="K225" t="str">
            <v>AC</v>
          </cell>
          <cell r="L225" t="str">
            <v>SAGEMCOM</v>
          </cell>
          <cell r="M225" t="str">
            <v>Manguier</v>
          </cell>
          <cell r="N225" t="str">
            <v>MFOUNDI</v>
          </cell>
          <cell r="O225" t="str">
            <v>YAOUNDE 1</v>
          </cell>
          <cell r="P225" t="str">
            <v>Alphonse Deufo</v>
          </cell>
          <cell r="Q225">
            <v>656193000</v>
          </cell>
          <cell r="R225">
            <v>683661296</v>
          </cell>
          <cell r="S225" t="str">
            <v>Desire Moussinga</v>
          </cell>
          <cell r="T225" t="str">
            <v>Valeur HOUELL</v>
          </cell>
          <cell r="U225" t="str">
            <v>I H S</v>
          </cell>
        </row>
        <row r="226">
          <cell r="A226" t="str">
            <v>CTR_448</v>
          </cell>
          <cell r="B226" t="str">
            <v>IHS_YND_138</v>
          </cell>
          <cell r="C226" t="str">
            <v>CTR_448</v>
          </cell>
          <cell r="D226" t="str">
            <v>Center</v>
          </cell>
          <cell r="E226" t="str">
            <v>Center</v>
          </cell>
          <cell r="F226" t="str">
            <v>Nkomkana IHS</v>
          </cell>
          <cell r="G226" t="str">
            <v>P4</v>
          </cell>
          <cell r="H226" t="str">
            <v>Grid-Gen</v>
          </cell>
          <cell r="I226" t="str">
            <v>On Air</v>
          </cell>
          <cell r="J226" t="str">
            <v>Outdoor</v>
          </cell>
          <cell r="K226" t="str">
            <v>AC</v>
          </cell>
          <cell r="L226" t="str">
            <v>SAGEMCOM</v>
          </cell>
          <cell r="M226" t="str">
            <v>Tsinga</v>
          </cell>
          <cell r="N226" t="str">
            <v>MFOUNDI</v>
          </cell>
          <cell r="O226" t="str">
            <v>YAOUNDE 2</v>
          </cell>
          <cell r="P226" t="str">
            <v>Alphonse Deufo</v>
          </cell>
          <cell r="Q226">
            <v>656193000</v>
          </cell>
          <cell r="R226">
            <v>683661296</v>
          </cell>
          <cell r="S226" t="str">
            <v>Desire Moussinga</v>
          </cell>
          <cell r="T226" t="str">
            <v>Valeur HOUELL</v>
          </cell>
          <cell r="U226" t="str">
            <v>I H S</v>
          </cell>
        </row>
        <row r="227">
          <cell r="A227" t="str">
            <v>CTR_446</v>
          </cell>
          <cell r="B227" t="str">
            <v>IHS_YND_509</v>
          </cell>
          <cell r="C227" t="str">
            <v>CTR_446</v>
          </cell>
          <cell r="D227" t="str">
            <v>Center</v>
          </cell>
          <cell r="E227" t="str">
            <v>Center</v>
          </cell>
          <cell r="F227" t="str">
            <v>Chapelle Manguier IHS</v>
          </cell>
          <cell r="G227" t="str">
            <v>P4</v>
          </cell>
          <cell r="H227" t="str">
            <v>Grid-Gen</v>
          </cell>
          <cell r="I227" t="str">
            <v>On Air</v>
          </cell>
          <cell r="J227" t="str">
            <v>Outdoor</v>
          </cell>
          <cell r="K227" t="str">
            <v>AC</v>
          </cell>
          <cell r="L227" t="str">
            <v>SAGEMCOM</v>
          </cell>
          <cell r="M227" t="str">
            <v>Manguier</v>
          </cell>
          <cell r="N227" t="str">
            <v>MFOUNDI</v>
          </cell>
          <cell r="O227" t="str">
            <v>YAOUNDE 1</v>
          </cell>
          <cell r="P227" t="str">
            <v>Alphonse Deufo</v>
          </cell>
          <cell r="Q227">
            <v>656193000</v>
          </cell>
          <cell r="R227">
            <v>683661296</v>
          </cell>
          <cell r="S227" t="str">
            <v>Desire Moussinga</v>
          </cell>
          <cell r="T227" t="str">
            <v>Valeur HOUELL</v>
          </cell>
          <cell r="U227" t="str">
            <v>I H S</v>
          </cell>
        </row>
        <row r="228">
          <cell r="A228" t="str">
            <v>CTR_160</v>
          </cell>
          <cell r="B228" t="str">
            <v>IHS_YND_523</v>
          </cell>
          <cell r="C228" t="str">
            <v>CTR_160</v>
          </cell>
          <cell r="D228" t="str">
            <v>Center</v>
          </cell>
          <cell r="E228" t="str">
            <v>Center</v>
          </cell>
          <cell r="F228" t="str">
            <v>Messassi-II/Emana Bilick</v>
          </cell>
          <cell r="G228" t="str">
            <v>P4</v>
          </cell>
          <cell r="H228" t="str">
            <v>Grid-Gen</v>
          </cell>
          <cell r="I228" t="str">
            <v>On Air</v>
          </cell>
          <cell r="J228" t="str">
            <v>Outdoor</v>
          </cell>
          <cell r="K228" t="str">
            <v>AC</v>
          </cell>
          <cell r="L228" t="str">
            <v>SAGEMCOM</v>
          </cell>
          <cell r="M228" t="str">
            <v>Manguier</v>
          </cell>
          <cell r="N228" t="str">
            <v>MFOUNDI</v>
          </cell>
          <cell r="O228" t="str">
            <v>YAOUNDE 1</v>
          </cell>
          <cell r="P228" t="str">
            <v>Alphonse Deufo</v>
          </cell>
          <cell r="Q228">
            <v>656193000</v>
          </cell>
          <cell r="R228">
            <v>683661296</v>
          </cell>
          <cell r="S228" t="str">
            <v>Desire Moussinga</v>
          </cell>
          <cell r="T228" t="str">
            <v>Valeur HOUELL</v>
          </cell>
          <cell r="U228" t="str">
            <v>I H S</v>
          </cell>
        </row>
        <row r="229">
          <cell r="A229" t="str">
            <v>CTR_518</v>
          </cell>
          <cell r="B229" t="str">
            <v>IHS_YND_685</v>
          </cell>
          <cell r="C229" t="str">
            <v>CTR_518</v>
          </cell>
          <cell r="D229" t="str">
            <v>Center</v>
          </cell>
          <cell r="E229" t="str">
            <v>Center</v>
          </cell>
          <cell r="F229" t="str">
            <v>Emana Lycée II</v>
          </cell>
          <cell r="G229" t="str">
            <v>P4</v>
          </cell>
          <cell r="H229" t="str">
            <v>Grid-Gen</v>
          </cell>
          <cell r="I229" t="str">
            <v>On Air</v>
          </cell>
          <cell r="J229" t="str">
            <v>Outdoor</v>
          </cell>
          <cell r="K229" t="str">
            <v>AC</v>
          </cell>
          <cell r="L229" t="str">
            <v>SAGEMCOM</v>
          </cell>
          <cell r="M229" t="str">
            <v>Manguier</v>
          </cell>
          <cell r="N229" t="str">
            <v>MFOUNDI</v>
          </cell>
          <cell r="O229" t="str">
            <v>YAOUNDE 1</v>
          </cell>
          <cell r="P229" t="str">
            <v>Alphonse Deufo</v>
          </cell>
          <cell r="Q229">
            <v>656193000</v>
          </cell>
          <cell r="R229">
            <v>683661296</v>
          </cell>
          <cell r="S229" t="str">
            <v>Desire Moussinga</v>
          </cell>
          <cell r="T229" t="str">
            <v>Valeur HOUELL</v>
          </cell>
          <cell r="U229" t="str">
            <v>I H S</v>
          </cell>
        </row>
        <row r="230">
          <cell r="A230" t="str">
            <v>CTR_475</v>
          </cell>
          <cell r="B230" t="str">
            <v>IHS_YND_127</v>
          </cell>
          <cell r="C230" t="str">
            <v>CTR_475</v>
          </cell>
          <cell r="D230" t="str">
            <v>Center</v>
          </cell>
          <cell r="E230" t="str">
            <v>Center</v>
          </cell>
          <cell r="F230" t="str">
            <v>Sous Prefecture Tsinga</v>
          </cell>
          <cell r="G230" t="str">
            <v>P4</v>
          </cell>
          <cell r="H230" t="str">
            <v>Grid-Gen</v>
          </cell>
          <cell r="I230" t="str">
            <v>On Air</v>
          </cell>
          <cell r="J230" t="str">
            <v>Indoor</v>
          </cell>
          <cell r="K230" t="str">
            <v>AC</v>
          </cell>
          <cell r="L230" t="str">
            <v>SAGEMCOM</v>
          </cell>
          <cell r="M230" t="str">
            <v>Tsinga</v>
          </cell>
          <cell r="N230" t="str">
            <v>MFOUNDI</v>
          </cell>
          <cell r="O230" t="str">
            <v>YAOUNDE 2</v>
          </cell>
          <cell r="P230" t="str">
            <v>Alphonse Deufo</v>
          </cell>
          <cell r="Q230">
            <v>656193000</v>
          </cell>
          <cell r="R230">
            <v>683661296</v>
          </cell>
          <cell r="S230" t="str">
            <v>Desire Moussinga</v>
          </cell>
          <cell r="T230" t="str">
            <v>Valeur HOUELL</v>
          </cell>
          <cell r="U230" t="str">
            <v>I H S</v>
          </cell>
        </row>
        <row r="231">
          <cell r="A231" t="str">
            <v>CTR_523</v>
          </cell>
          <cell r="B231" t="str">
            <v>IHS_YND_681</v>
          </cell>
          <cell r="C231" t="str">
            <v>CTR_523</v>
          </cell>
          <cell r="D231" t="str">
            <v>Center</v>
          </cell>
          <cell r="E231" t="str">
            <v>Center</v>
          </cell>
          <cell r="F231" t="str">
            <v>Nkolmekong-YDE-IHS</v>
          </cell>
          <cell r="G231" t="str">
            <v>P4</v>
          </cell>
          <cell r="H231" t="str">
            <v>Grid-Gen</v>
          </cell>
          <cell r="I231" t="str">
            <v>On Air</v>
          </cell>
          <cell r="J231" t="str">
            <v>Outdoor</v>
          </cell>
          <cell r="K231" t="str">
            <v>AC</v>
          </cell>
          <cell r="L231" t="str">
            <v>SAGEMCOM</v>
          </cell>
          <cell r="M231" t="str">
            <v>Manguier</v>
          </cell>
          <cell r="N231" t="str">
            <v>MFOUNDI</v>
          </cell>
          <cell r="O231" t="str">
            <v>YAOUNDE 1</v>
          </cell>
          <cell r="P231" t="str">
            <v>Alphonse Deufo</v>
          </cell>
          <cell r="Q231">
            <v>656193000</v>
          </cell>
          <cell r="R231">
            <v>683661296</v>
          </cell>
          <cell r="S231" t="str">
            <v>Desire Moussinga</v>
          </cell>
          <cell r="T231" t="str">
            <v>Valeur HOUELL</v>
          </cell>
          <cell r="U231" t="str">
            <v>I H S</v>
          </cell>
        </row>
        <row r="232">
          <cell r="A232" t="str">
            <v>CTR_525</v>
          </cell>
          <cell r="B232" t="str">
            <v>IHS_YND_544</v>
          </cell>
          <cell r="C232" t="str">
            <v>CTR_525</v>
          </cell>
          <cell r="D232" t="str">
            <v>Center</v>
          </cell>
          <cell r="E232" t="str">
            <v>Center</v>
          </cell>
          <cell r="F232" t="str">
            <v>Jean Vespa II</v>
          </cell>
          <cell r="G232" t="str">
            <v>P4</v>
          </cell>
          <cell r="H232" t="str">
            <v>Grid-Gen</v>
          </cell>
          <cell r="I232" t="str">
            <v>On Air</v>
          </cell>
          <cell r="J232" t="str">
            <v>Outdoor</v>
          </cell>
          <cell r="K232" t="str">
            <v>AC</v>
          </cell>
          <cell r="L232" t="str">
            <v>SAGEMCOM</v>
          </cell>
          <cell r="M232" t="str">
            <v>Tsinga</v>
          </cell>
          <cell r="N232" t="str">
            <v>MFOUNDI</v>
          </cell>
          <cell r="O232" t="str">
            <v>YAOUNDE 2</v>
          </cell>
          <cell r="P232" t="str">
            <v>Alphonse Deufo</v>
          </cell>
          <cell r="Q232">
            <v>656193000</v>
          </cell>
          <cell r="R232">
            <v>683661296</v>
          </cell>
          <cell r="S232" t="str">
            <v>Desire Moussinga</v>
          </cell>
          <cell r="T232" t="str">
            <v>Valeur HOUELL</v>
          </cell>
          <cell r="U232" t="str">
            <v>I H S</v>
          </cell>
        </row>
        <row r="233">
          <cell r="A233" t="str">
            <v>CTR_599</v>
          </cell>
          <cell r="B233" t="str">
            <v>IHS_YND_279</v>
          </cell>
          <cell r="C233" t="str">
            <v>CTR_599</v>
          </cell>
          <cell r="D233" t="str">
            <v>Center</v>
          </cell>
          <cell r="E233" t="str">
            <v>Center</v>
          </cell>
          <cell r="F233" t="str">
            <v>Emana-Pont-IHS</v>
          </cell>
          <cell r="G233" t="str">
            <v>P4</v>
          </cell>
          <cell r="H233" t="str">
            <v>Grid-Gen</v>
          </cell>
          <cell r="I233" t="str">
            <v>On Air</v>
          </cell>
          <cell r="J233" t="str">
            <v>Outdoor</v>
          </cell>
          <cell r="K233" t="str">
            <v>AC</v>
          </cell>
          <cell r="L233" t="str">
            <v>SAGEMCOM</v>
          </cell>
          <cell r="M233" t="str">
            <v>Manguier</v>
          </cell>
          <cell r="N233" t="str">
            <v>MFOUNDI</v>
          </cell>
          <cell r="O233" t="str">
            <v>YAOUNDE 1</v>
          </cell>
          <cell r="P233" t="str">
            <v>Alphonse Deufo</v>
          </cell>
          <cell r="Q233">
            <v>656193000</v>
          </cell>
          <cell r="R233">
            <v>683661296</v>
          </cell>
          <cell r="S233" t="str">
            <v>Desire Moussinga</v>
          </cell>
          <cell r="T233" t="str">
            <v>Valeur HOUELL</v>
          </cell>
          <cell r="U233" t="str">
            <v>I H S</v>
          </cell>
        </row>
        <row r="234">
          <cell r="A234" t="str">
            <v>CTR_675</v>
          </cell>
          <cell r="B234" t="str">
            <v>IHS_YND_719</v>
          </cell>
          <cell r="C234" t="str">
            <v>CTR_675</v>
          </cell>
          <cell r="D234" t="str">
            <v>Center</v>
          </cell>
          <cell r="E234" t="str">
            <v>Center</v>
          </cell>
          <cell r="F234" t="str">
            <v>Tsinga Village 2</v>
          </cell>
          <cell r="G234" t="str">
            <v>P4</v>
          </cell>
          <cell r="H234" t="str">
            <v>Hybrid-Gen</v>
          </cell>
          <cell r="I234" t="str">
            <v>On Air</v>
          </cell>
          <cell r="J234" t="str">
            <v>Outdoor</v>
          </cell>
          <cell r="K234" t="str">
            <v>AC</v>
          </cell>
          <cell r="L234" t="str">
            <v>SAGEMCOM</v>
          </cell>
          <cell r="M234" t="str">
            <v>Manguier</v>
          </cell>
          <cell r="N234" t="str">
            <v>MFOUNDI</v>
          </cell>
          <cell r="O234" t="str">
            <v>YAOUNDE 2</v>
          </cell>
          <cell r="P234" t="str">
            <v>Alphonse Deufo</v>
          </cell>
          <cell r="Q234">
            <v>656193000</v>
          </cell>
          <cell r="R234">
            <v>683661296</v>
          </cell>
          <cell r="S234" t="str">
            <v>Desire Moussinga</v>
          </cell>
          <cell r="T234" t="str">
            <v>Valeur HOUELL</v>
          </cell>
          <cell r="U234" t="str">
            <v>I H S</v>
          </cell>
        </row>
        <row r="235">
          <cell r="A235" t="str">
            <v>CTR_131</v>
          </cell>
          <cell r="B235" t="str">
            <v>IHS_YND_504</v>
          </cell>
          <cell r="C235" t="str">
            <v>CTR_131</v>
          </cell>
          <cell r="D235" t="str">
            <v>Center</v>
          </cell>
          <cell r="E235" t="str">
            <v>Center</v>
          </cell>
          <cell r="F235" t="str">
            <v>Elig Edzoa</v>
          </cell>
          <cell r="G235" t="str">
            <v>P5</v>
          </cell>
          <cell r="H235" t="str">
            <v>Grid-Gen</v>
          </cell>
          <cell r="I235" t="str">
            <v>On Air</v>
          </cell>
          <cell r="J235" t="str">
            <v>Outdoor</v>
          </cell>
          <cell r="K235" t="str">
            <v>AC</v>
          </cell>
          <cell r="L235" t="str">
            <v>SAGEMCOM</v>
          </cell>
          <cell r="M235" t="str">
            <v>Manguier</v>
          </cell>
          <cell r="N235" t="str">
            <v>MFOUNDI</v>
          </cell>
          <cell r="O235" t="str">
            <v>YAOUNDE 1</v>
          </cell>
          <cell r="P235" t="str">
            <v>Alphonse Deufo</v>
          </cell>
          <cell r="Q235">
            <v>656193000</v>
          </cell>
          <cell r="R235">
            <v>683661296</v>
          </cell>
          <cell r="S235" t="str">
            <v>Desire Moussinga</v>
          </cell>
          <cell r="T235" t="str">
            <v>Valeur HOUELL</v>
          </cell>
          <cell r="U235" t="str">
            <v>I H S</v>
          </cell>
        </row>
        <row r="236">
          <cell r="A236" t="str">
            <v>CTR_648</v>
          </cell>
          <cell r="B236" t="str">
            <v>IHS_YND_707</v>
          </cell>
          <cell r="C236" t="str">
            <v>CTR_648</v>
          </cell>
          <cell r="D236" t="str">
            <v>Center</v>
          </cell>
          <cell r="E236" t="str">
            <v>Center</v>
          </cell>
          <cell r="F236" t="str">
            <v>NYOM 2 IHS</v>
          </cell>
          <cell r="G236" t="str">
            <v>P5</v>
          </cell>
          <cell r="H236" t="str">
            <v>Grid-Gen</v>
          </cell>
          <cell r="I236" t="str">
            <v>On Air</v>
          </cell>
          <cell r="J236" t="str">
            <v>Outdoor</v>
          </cell>
          <cell r="K236" t="str">
            <v>AC</v>
          </cell>
          <cell r="L236" t="str">
            <v>SAGEMCOM</v>
          </cell>
          <cell r="M236" t="str">
            <v>Manguier</v>
          </cell>
          <cell r="N236" t="str">
            <v>MFOUNDI</v>
          </cell>
          <cell r="O236" t="str">
            <v>YAOUNDE 1</v>
          </cell>
          <cell r="P236" t="str">
            <v>Alphonse Deufo</v>
          </cell>
          <cell r="Q236">
            <v>656193000</v>
          </cell>
          <cell r="R236">
            <v>683661296</v>
          </cell>
          <cell r="S236" t="str">
            <v>Desire Moussinga</v>
          </cell>
          <cell r="T236" t="str">
            <v>Valeur HOUELL</v>
          </cell>
          <cell r="U236" t="str">
            <v>I H S</v>
          </cell>
        </row>
        <row r="237">
          <cell r="A237" t="str">
            <v>CTR_555</v>
          </cell>
          <cell r="B237" t="str">
            <v>IHS_YND_711</v>
          </cell>
          <cell r="C237" t="str">
            <v>CTR_555</v>
          </cell>
          <cell r="D237" t="str">
            <v>Center</v>
          </cell>
          <cell r="E237" t="str">
            <v>Center</v>
          </cell>
          <cell r="F237" t="str">
            <v>H-Franco New</v>
          </cell>
          <cell r="G237" t="str">
            <v>P4</v>
          </cell>
          <cell r="H237" t="str">
            <v>Grid-Gen</v>
          </cell>
          <cell r="I237" t="str">
            <v>On Air</v>
          </cell>
          <cell r="J237" t="str">
            <v>Outdoor</v>
          </cell>
          <cell r="K237" t="str">
            <v>AC</v>
          </cell>
          <cell r="L237" t="str">
            <v>SAGEMCOM</v>
          </cell>
          <cell r="M237" t="str">
            <v>Omnisport</v>
          </cell>
          <cell r="N237" t="str">
            <v>MFOUNDI</v>
          </cell>
          <cell r="O237" t="str">
            <v>YAOUNDE 1</v>
          </cell>
          <cell r="P237" t="str">
            <v>Alphonse Deufo</v>
          </cell>
          <cell r="Q237">
            <v>656193000</v>
          </cell>
          <cell r="R237">
            <v>683661296</v>
          </cell>
          <cell r="S237" t="str">
            <v>Desire Moussinga</v>
          </cell>
          <cell r="T237" t="str">
            <v>Valeur HOUELL</v>
          </cell>
          <cell r="U237" t="str">
            <v>I H S</v>
          </cell>
        </row>
        <row r="238">
          <cell r="A238" t="str">
            <v>LIT_254</v>
          </cell>
          <cell r="B238" t="str">
            <v>IHS_DLA_281</v>
          </cell>
          <cell r="C238" t="str">
            <v>LIT_254</v>
          </cell>
          <cell r="D238" t="str">
            <v>Littoral</v>
          </cell>
          <cell r="E238" t="str">
            <v>Littoral</v>
          </cell>
          <cell r="F238" t="str">
            <v>Japoma-Village</v>
          </cell>
          <cell r="G238" t="str">
            <v>P3</v>
          </cell>
          <cell r="H238" t="str">
            <v>Grid-Gen</v>
          </cell>
          <cell r="I238" t="str">
            <v>On Air</v>
          </cell>
          <cell r="J238" t="str">
            <v>Outdoor</v>
          </cell>
          <cell r="K238" t="str">
            <v>AC</v>
          </cell>
          <cell r="L238" t="str">
            <v>SAGEMCOM</v>
          </cell>
          <cell r="M238" t="str">
            <v>Yassa</v>
          </cell>
          <cell r="N238" t="str">
            <v>WOURI</v>
          </cell>
          <cell r="O238" t="str">
            <v>Douala 3</v>
          </cell>
          <cell r="P238" t="str">
            <v>Alphonse Titchio</v>
          </cell>
          <cell r="Q238">
            <v>677548573</v>
          </cell>
          <cell r="R238">
            <v>655999889</v>
          </cell>
          <cell r="S238" t="str">
            <v>Valery Doudou</v>
          </cell>
          <cell r="T238" t="str">
            <v>GEORGES NAKHOUL</v>
          </cell>
          <cell r="U238" t="str">
            <v>I H S</v>
          </cell>
        </row>
        <row r="239">
          <cell r="A239" t="str">
            <v>LIT_198</v>
          </cell>
          <cell r="B239" t="str">
            <v>IHS_DLA_267</v>
          </cell>
          <cell r="C239" t="str">
            <v>LIT_198</v>
          </cell>
          <cell r="D239" t="str">
            <v>Littoral</v>
          </cell>
          <cell r="E239" t="str">
            <v>Littoral</v>
          </cell>
          <cell r="F239" t="str">
            <v>Cogefar</v>
          </cell>
          <cell r="G239" t="str">
            <v>P3</v>
          </cell>
          <cell r="H239" t="str">
            <v>Grid-Gen</v>
          </cell>
          <cell r="I239" t="str">
            <v>On Air</v>
          </cell>
          <cell r="J239" t="str">
            <v>Indoor</v>
          </cell>
          <cell r="K239" t="str">
            <v>AC</v>
          </cell>
          <cell r="L239" t="str">
            <v>SAGEMCOM</v>
          </cell>
          <cell r="M239" t="str">
            <v>Yassa</v>
          </cell>
          <cell r="N239" t="str">
            <v>WOURI</v>
          </cell>
          <cell r="O239" t="str">
            <v>Douala 3</v>
          </cell>
          <cell r="P239" t="str">
            <v>Alphonse Titchio</v>
          </cell>
          <cell r="Q239">
            <v>677548573</v>
          </cell>
          <cell r="R239">
            <v>655999889</v>
          </cell>
          <cell r="S239" t="str">
            <v>Valery Doudou</v>
          </cell>
          <cell r="T239" t="str">
            <v>GEORGES NAKHOUL</v>
          </cell>
          <cell r="U239" t="str">
            <v>I H S</v>
          </cell>
        </row>
        <row r="240">
          <cell r="A240" t="str">
            <v>LIT_240</v>
          </cell>
          <cell r="B240" t="str">
            <v>IHS_DLA_240</v>
          </cell>
          <cell r="C240" t="str">
            <v>LIT_240</v>
          </cell>
          <cell r="D240" t="str">
            <v>Littoral</v>
          </cell>
          <cell r="E240" t="str">
            <v>Littoral</v>
          </cell>
          <cell r="F240" t="str">
            <v>Boko-Douala</v>
          </cell>
          <cell r="G240" t="str">
            <v>P3</v>
          </cell>
          <cell r="H240" t="str">
            <v>Grid-Gen</v>
          </cell>
          <cell r="I240" t="str">
            <v>On Air</v>
          </cell>
          <cell r="J240" t="str">
            <v>Outdoor</v>
          </cell>
          <cell r="K240" t="str">
            <v>AC</v>
          </cell>
          <cell r="L240" t="str">
            <v>SAGEMCOM</v>
          </cell>
          <cell r="M240" t="str">
            <v>Yassa</v>
          </cell>
          <cell r="N240" t="str">
            <v>WOURI</v>
          </cell>
          <cell r="O240" t="str">
            <v>Douala 3</v>
          </cell>
          <cell r="P240" t="str">
            <v>Alphonse Titchio</v>
          </cell>
          <cell r="Q240">
            <v>677548573</v>
          </cell>
          <cell r="R240">
            <v>655999889</v>
          </cell>
          <cell r="S240" t="str">
            <v>Valery Doudou</v>
          </cell>
          <cell r="T240" t="str">
            <v>GEORGES NAKHOUL</v>
          </cell>
          <cell r="U240" t="str">
            <v>I H S</v>
          </cell>
        </row>
        <row r="241">
          <cell r="A241" t="str">
            <v>LIT_343</v>
          </cell>
          <cell r="B241" t="str">
            <v>IHS_DLA_264</v>
          </cell>
          <cell r="C241" t="str">
            <v>LIT_343</v>
          </cell>
          <cell r="D241" t="str">
            <v>Littoral</v>
          </cell>
          <cell r="E241" t="str">
            <v>Littoral</v>
          </cell>
          <cell r="F241" t="str">
            <v>Nyalla-Kilimandjaro</v>
          </cell>
          <cell r="G241" t="str">
            <v>P3</v>
          </cell>
          <cell r="H241" t="str">
            <v>Grid-Gen</v>
          </cell>
          <cell r="I241" t="str">
            <v>On Air</v>
          </cell>
          <cell r="J241" t="str">
            <v>Outdoor</v>
          </cell>
          <cell r="K241" t="str">
            <v>AC</v>
          </cell>
          <cell r="L241" t="str">
            <v>SAGEMCOM</v>
          </cell>
          <cell r="M241" t="str">
            <v>Yassa</v>
          </cell>
          <cell r="N241" t="str">
            <v>WOURI</v>
          </cell>
          <cell r="O241" t="str">
            <v>Douala 3</v>
          </cell>
          <cell r="P241" t="str">
            <v>Alphonse Titchio</v>
          </cell>
          <cell r="Q241">
            <v>677548573</v>
          </cell>
          <cell r="R241">
            <v>655999889</v>
          </cell>
          <cell r="S241" t="str">
            <v>Valery Doudou</v>
          </cell>
          <cell r="T241" t="str">
            <v>GEORGES NAKHOUL</v>
          </cell>
          <cell r="U241" t="str">
            <v>I H S</v>
          </cell>
        </row>
        <row r="242">
          <cell r="A242" t="str">
            <v>LIT_251</v>
          </cell>
          <cell r="B242" t="str">
            <v>IHS_DLA_265</v>
          </cell>
          <cell r="C242" t="str">
            <v>LIT_251</v>
          </cell>
          <cell r="D242" t="str">
            <v>Littoral</v>
          </cell>
          <cell r="E242" t="str">
            <v>Littoral</v>
          </cell>
          <cell r="F242" t="str">
            <v>Ndogpassi-ZR 2</v>
          </cell>
          <cell r="G242" t="str">
            <v>P3</v>
          </cell>
          <cell r="H242" t="str">
            <v>Grid-Gen</v>
          </cell>
          <cell r="I242" t="str">
            <v>On Air</v>
          </cell>
          <cell r="J242" t="str">
            <v>Outdoor</v>
          </cell>
          <cell r="K242" t="str">
            <v>AC</v>
          </cell>
          <cell r="L242" t="str">
            <v>SAGEMCOM</v>
          </cell>
          <cell r="M242" t="str">
            <v>Yassa</v>
          </cell>
          <cell r="N242" t="str">
            <v>WOURI</v>
          </cell>
          <cell r="O242" t="str">
            <v>Douala 3</v>
          </cell>
          <cell r="P242" t="str">
            <v>Alphonse Titchio</v>
          </cell>
          <cell r="Q242">
            <v>677548573</v>
          </cell>
          <cell r="R242">
            <v>655999889</v>
          </cell>
          <cell r="S242" t="str">
            <v>Valery Doudou</v>
          </cell>
          <cell r="T242" t="str">
            <v>GEORGES NAKHOUL</v>
          </cell>
          <cell r="U242" t="str">
            <v>I H S</v>
          </cell>
        </row>
        <row r="243">
          <cell r="A243" t="str">
            <v>LIT_445</v>
          </cell>
          <cell r="B243" t="str">
            <v>IHS_DLA_449</v>
          </cell>
          <cell r="C243" t="str">
            <v>LIT_445</v>
          </cell>
          <cell r="D243" t="str">
            <v>Littoral</v>
          </cell>
          <cell r="E243" t="str">
            <v>Littoral</v>
          </cell>
          <cell r="F243" t="str">
            <v>Nyalla crf Mpome</v>
          </cell>
          <cell r="G243" t="str">
            <v>P4</v>
          </cell>
          <cell r="H243" t="str">
            <v>Grid-Gen</v>
          </cell>
          <cell r="I243" t="str">
            <v>On Air</v>
          </cell>
          <cell r="J243" t="str">
            <v>Outdoor</v>
          </cell>
          <cell r="K243" t="str">
            <v>AC</v>
          </cell>
          <cell r="L243" t="str">
            <v>SAGEMCOM</v>
          </cell>
          <cell r="M243" t="str">
            <v>Yassa</v>
          </cell>
          <cell r="N243" t="str">
            <v>WOURI</v>
          </cell>
          <cell r="O243" t="str">
            <v>Douala 3</v>
          </cell>
          <cell r="P243" t="str">
            <v>Alphonse Titchio</v>
          </cell>
          <cell r="Q243">
            <v>677548573</v>
          </cell>
          <cell r="R243">
            <v>655999889</v>
          </cell>
          <cell r="S243" t="str">
            <v>Valery Doudou</v>
          </cell>
          <cell r="T243" t="str">
            <v>GEORGES NAKHOUL</v>
          </cell>
          <cell r="U243" t="str">
            <v>I H S</v>
          </cell>
        </row>
        <row r="244">
          <cell r="A244" t="str">
            <v>LIT_280</v>
          </cell>
          <cell r="B244" t="str">
            <v>IHS_DLA_268</v>
          </cell>
          <cell r="C244" t="str">
            <v>LIT_280</v>
          </cell>
          <cell r="D244" t="str">
            <v>Littoral</v>
          </cell>
          <cell r="E244" t="str">
            <v>Littoral</v>
          </cell>
          <cell r="F244" t="str">
            <v>Songa-Boko</v>
          </cell>
          <cell r="G244" t="str">
            <v>P4</v>
          </cell>
          <cell r="H244" t="str">
            <v>Grid-Gen</v>
          </cell>
          <cell r="I244" t="str">
            <v>On Air</v>
          </cell>
          <cell r="J244" t="str">
            <v>Outdoor</v>
          </cell>
          <cell r="K244" t="str">
            <v>AC</v>
          </cell>
          <cell r="L244" t="str">
            <v>SAGEMCOM</v>
          </cell>
          <cell r="M244" t="str">
            <v>Yassa</v>
          </cell>
          <cell r="N244" t="str">
            <v>WOURI</v>
          </cell>
          <cell r="O244" t="str">
            <v>Douala 3</v>
          </cell>
          <cell r="P244" t="str">
            <v>Alphonse Titchio</v>
          </cell>
          <cell r="Q244">
            <v>677548573</v>
          </cell>
          <cell r="R244">
            <v>655999889</v>
          </cell>
          <cell r="S244" t="str">
            <v>Valery Doudou</v>
          </cell>
          <cell r="T244" t="str">
            <v>GEORGES NAKHOUL</v>
          </cell>
          <cell r="U244" t="str">
            <v>I H S</v>
          </cell>
        </row>
        <row r="245">
          <cell r="A245" t="str">
            <v>LIT_038</v>
          </cell>
          <cell r="B245" t="str">
            <v>IHS_DLA_242</v>
          </cell>
          <cell r="C245" t="str">
            <v>LIT_038</v>
          </cell>
          <cell r="D245" t="str">
            <v>Littoral</v>
          </cell>
          <cell r="E245" t="str">
            <v>Littoral</v>
          </cell>
          <cell r="F245" t="str">
            <v>Ndogp-Lycee</v>
          </cell>
          <cell r="G245" t="str">
            <v>P4</v>
          </cell>
          <cell r="H245" t="str">
            <v>Grid-Gen</v>
          </cell>
          <cell r="I245" t="str">
            <v>On Air</v>
          </cell>
          <cell r="J245" t="str">
            <v>Indoor</v>
          </cell>
          <cell r="K245" t="str">
            <v>AC</v>
          </cell>
          <cell r="L245" t="str">
            <v>SAGEMCOM</v>
          </cell>
          <cell r="M245" t="str">
            <v>Yassa</v>
          </cell>
          <cell r="N245" t="str">
            <v>WOURI</v>
          </cell>
          <cell r="O245" t="str">
            <v>Douala 3</v>
          </cell>
          <cell r="P245" t="str">
            <v>Alphonse Titchio</v>
          </cell>
          <cell r="Q245">
            <v>677548573</v>
          </cell>
          <cell r="R245">
            <v>655999889</v>
          </cell>
          <cell r="S245" t="str">
            <v>Valery Doudou</v>
          </cell>
          <cell r="T245" t="str">
            <v>GEORGES NAKHOUL</v>
          </cell>
          <cell r="U245" t="str">
            <v>I H S</v>
          </cell>
        </row>
        <row r="246">
          <cell r="A246" t="str">
            <v>LIT_341</v>
          </cell>
          <cell r="B246" t="str">
            <v>IHS_DLA_207</v>
          </cell>
          <cell r="C246" t="str">
            <v>LIT_341</v>
          </cell>
          <cell r="D246" t="str">
            <v>Littoral</v>
          </cell>
          <cell r="E246" t="str">
            <v>Littoral</v>
          </cell>
          <cell r="F246" t="str">
            <v>Nyalla-II</v>
          </cell>
          <cell r="G246" t="str">
            <v>P4</v>
          </cell>
          <cell r="H246" t="str">
            <v>Grid-Gen</v>
          </cell>
          <cell r="I246" t="str">
            <v>On Air</v>
          </cell>
          <cell r="J246" t="str">
            <v>Outdoor</v>
          </cell>
          <cell r="K246" t="str">
            <v>AC</v>
          </cell>
          <cell r="L246" t="str">
            <v>SAGEMCOM</v>
          </cell>
          <cell r="M246" t="str">
            <v>Yassa</v>
          </cell>
          <cell r="N246" t="str">
            <v>WOURI</v>
          </cell>
          <cell r="O246" t="str">
            <v>Douala 3</v>
          </cell>
          <cell r="P246" t="str">
            <v>Alphonse Titchio</v>
          </cell>
          <cell r="Q246">
            <v>677548573</v>
          </cell>
          <cell r="R246">
            <v>655999889</v>
          </cell>
          <cell r="S246" t="str">
            <v>Valery Doudou</v>
          </cell>
          <cell r="T246" t="str">
            <v>GEORGES NAKHOUL</v>
          </cell>
          <cell r="U246" t="str">
            <v>I H S</v>
          </cell>
        </row>
        <row r="247">
          <cell r="A247" t="str">
            <v>LIT_409</v>
          </cell>
          <cell r="B247" t="str">
            <v>IHS_DLA_238</v>
          </cell>
          <cell r="C247" t="str">
            <v>LIT_409</v>
          </cell>
          <cell r="D247" t="str">
            <v>Littoral</v>
          </cell>
          <cell r="E247" t="str">
            <v>Littoral</v>
          </cell>
          <cell r="F247" t="str">
            <v>Ndogpassi-Lycee-II</v>
          </cell>
          <cell r="G247" t="str">
            <v>P4</v>
          </cell>
          <cell r="H247" t="str">
            <v>Grid-Gen</v>
          </cell>
          <cell r="I247" t="str">
            <v>On Air</v>
          </cell>
          <cell r="J247" t="str">
            <v>Outdoor</v>
          </cell>
          <cell r="K247" t="str">
            <v>AC</v>
          </cell>
          <cell r="L247" t="str">
            <v>SAGEMCOM</v>
          </cell>
          <cell r="M247" t="str">
            <v>Yassa</v>
          </cell>
          <cell r="N247" t="str">
            <v>WOURI</v>
          </cell>
          <cell r="O247" t="str">
            <v>Douala 3</v>
          </cell>
          <cell r="P247" t="str">
            <v>Alphonse Titchio</v>
          </cell>
          <cell r="Q247">
            <v>677548573</v>
          </cell>
          <cell r="R247">
            <v>655999889</v>
          </cell>
          <cell r="S247" t="str">
            <v>Valery Doudou</v>
          </cell>
          <cell r="T247" t="str">
            <v>GEORGES NAKHOUL</v>
          </cell>
          <cell r="U247" t="str">
            <v>I H S</v>
          </cell>
        </row>
        <row r="248">
          <cell r="A248" t="str">
            <v>LIT_059</v>
          </cell>
          <cell r="B248" t="str">
            <v>IHS_DLA_263</v>
          </cell>
          <cell r="C248" t="str">
            <v>LIT_059</v>
          </cell>
          <cell r="D248" t="str">
            <v>Littoral</v>
          </cell>
          <cell r="E248" t="str">
            <v>Littoral</v>
          </cell>
          <cell r="F248" t="str">
            <v>Nyalla</v>
          </cell>
          <cell r="G248" t="str">
            <v>P4</v>
          </cell>
          <cell r="H248" t="str">
            <v>Grid-Gen</v>
          </cell>
          <cell r="I248" t="str">
            <v>On Air</v>
          </cell>
          <cell r="J248" t="str">
            <v>Indoor</v>
          </cell>
          <cell r="K248" t="str">
            <v>AC</v>
          </cell>
          <cell r="L248" t="str">
            <v>SAGEMCOM</v>
          </cell>
          <cell r="M248" t="str">
            <v>Yassa</v>
          </cell>
          <cell r="N248" t="str">
            <v>WOURI</v>
          </cell>
          <cell r="O248" t="str">
            <v>Douala 3</v>
          </cell>
          <cell r="P248" t="str">
            <v>Alphonse Titchio</v>
          </cell>
          <cell r="Q248">
            <v>677548573</v>
          </cell>
          <cell r="R248">
            <v>655999889</v>
          </cell>
          <cell r="S248" t="str">
            <v>Valery Doudou</v>
          </cell>
          <cell r="T248" t="str">
            <v>GEORGES NAKHOUL</v>
          </cell>
          <cell r="U248" t="str">
            <v>I H S</v>
          </cell>
        </row>
        <row r="249">
          <cell r="A249" t="str">
            <v>LIT_339</v>
          </cell>
          <cell r="B249" t="str">
            <v>IHS_DLA_266</v>
          </cell>
          <cell r="C249" t="str">
            <v>LIT_339</v>
          </cell>
          <cell r="D249" t="str">
            <v>Littoral</v>
          </cell>
          <cell r="E249" t="str">
            <v>Littoral</v>
          </cell>
          <cell r="F249" t="str">
            <v>Cogefar-II</v>
          </cell>
          <cell r="G249" t="str">
            <v>P4</v>
          </cell>
          <cell r="H249" t="str">
            <v>Grid-Gen</v>
          </cell>
          <cell r="I249" t="str">
            <v>On Air</v>
          </cell>
          <cell r="J249" t="str">
            <v>Outdoor</v>
          </cell>
          <cell r="K249" t="str">
            <v>AC</v>
          </cell>
          <cell r="L249" t="str">
            <v>SAGEMCOM</v>
          </cell>
          <cell r="M249" t="str">
            <v>Yassa</v>
          </cell>
          <cell r="N249" t="str">
            <v>WOURI</v>
          </cell>
          <cell r="O249" t="str">
            <v>Douala 3</v>
          </cell>
          <cell r="P249" t="str">
            <v>Alphonse Titchio</v>
          </cell>
          <cell r="Q249">
            <v>677548573</v>
          </cell>
          <cell r="R249">
            <v>655999889</v>
          </cell>
          <cell r="S249" t="str">
            <v>Valery Doudou</v>
          </cell>
          <cell r="T249" t="str">
            <v>GEORGES NAKHOUL</v>
          </cell>
          <cell r="U249" t="str">
            <v>I H S</v>
          </cell>
        </row>
        <row r="250">
          <cell r="A250" t="str">
            <v>LIT_179</v>
          </cell>
          <cell r="B250" t="str">
            <v>IHS_DLA_270</v>
          </cell>
          <cell r="C250" t="str">
            <v>LIT_179</v>
          </cell>
          <cell r="D250" t="str">
            <v>Littoral</v>
          </cell>
          <cell r="E250" t="str">
            <v>Littoral</v>
          </cell>
          <cell r="F250" t="str">
            <v>Nyalla-Pariso</v>
          </cell>
          <cell r="G250" t="str">
            <v>P4</v>
          </cell>
          <cell r="H250" t="str">
            <v>Grid-Gen</v>
          </cell>
          <cell r="I250" t="str">
            <v>On Air</v>
          </cell>
          <cell r="J250" t="str">
            <v>Indoor</v>
          </cell>
          <cell r="K250" t="str">
            <v>AC</v>
          </cell>
          <cell r="L250" t="str">
            <v>SAGEMCOM</v>
          </cell>
          <cell r="M250" t="str">
            <v>Yassa</v>
          </cell>
          <cell r="N250" t="str">
            <v>WOURI</v>
          </cell>
          <cell r="O250" t="str">
            <v>Douala 3</v>
          </cell>
          <cell r="P250" t="str">
            <v>Alphonse Titchio</v>
          </cell>
          <cell r="Q250">
            <v>677548573</v>
          </cell>
          <cell r="R250">
            <v>655999889</v>
          </cell>
          <cell r="S250" t="str">
            <v>Valery Doudou</v>
          </cell>
          <cell r="T250" t="str">
            <v>GEORGES NAKHOUL</v>
          </cell>
          <cell r="U250" t="str">
            <v>I H S</v>
          </cell>
        </row>
        <row r="251">
          <cell r="A251" t="str">
            <v>LIT_598</v>
          </cell>
          <cell r="B251" t="str">
            <v>IHS_DLA_473</v>
          </cell>
          <cell r="C251" t="str">
            <v>LIT_598</v>
          </cell>
          <cell r="D251" t="str">
            <v>Littoral</v>
          </cell>
          <cell r="E251" t="str">
            <v>Littoral</v>
          </cell>
          <cell r="F251" t="str">
            <v>MBANGA PONGO IHS</v>
          </cell>
          <cell r="G251" t="str">
            <v>P4</v>
          </cell>
          <cell r="H251" t="str">
            <v>Hybrid-Gen</v>
          </cell>
          <cell r="I251" t="str">
            <v>On Air</v>
          </cell>
          <cell r="J251" t="str">
            <v>Outdoor</v>
          </cell>
          <cell r="K251" t="str">
            <v>AC</v>
          </cell>
          <cell r="L251" t="str">
            <v>SAGEMCOM</v>
          </cell>
          <cell r="M251" t="str">
            <v>Yassa</v>
          </cell>
          <cell r="N251" t="str">
            <v>WOURI</v>
          </cell>
          <cell r="O251" t="str">
            <v>Douala 3</v>
          </cell>
          <cell r="P251" t="str">
            <v>Alphonse Titchio</v>
          </cell>
          <cell r="Q251">
            <v>677548573</v>
          </cell>
          <cell r="R251">
            <v>655999889</v>
          </cell>
          <cell r="S251" t="str">
            <v>Valery Doudou</v>
          </cell>
          <cell r="T251" t="str">
            <v>GEORGES NAKHOUL</v>
          </cell>
          <cell r="U251" t="str">
            <v>I H S</v>
          </cell>
        </row>
        <row r="252">
          <cell r="A252" t="str">
            <v>LIT_164</v>
          </cell>
          <cell r="B252" t="str">
            <v>IHS_DLA_282</v>
          </cell>
          <cell r="C252" t="str">
            <v>LIT_164</v>
          </cell>
          <cell r="D252" t="str">
            <v>Littoral</v>
          </cell>
          <cell r="E252" t="str">
            <v>Littoral</v>
          </cell>
          <cell r="F252" t="str">
            <v>Mbanga-Bakoko-IHS</v>
          </cell>
          <cell r="G252" t="str">
            <v>P4</v>
          </cell>
          <cell r="H252" t="str">
            <v>Grid-Gen</v>
          </cell>
          <cell r="I252" t="str">
            <v>On Air</v>
          </cell>
          <cell r="J252" t="str">
            <v>Outdoor</v>
          </cell>
          <cell r="K252" t="str">
            <v>AC</v>
          </cell>
          <cell r="L252" t="str">
            <v>SAGEMCOM</v>
          </cell>
          <cell r="M252" t="str">
            <v>Yassa</v>
          </cell>
          <cell r="N252" t="str">
            <v>WOURI</v>
          </cell>
          <cell r="O252" t="str">
            <v>Douala 3</v>
          </cell>
          <cell r="P252" t="str">
            <v>Alphonse Titchio</v>
          </cell>
          <cell r="Q252">
            <v>677548573</v>
          </cell>
          <cell r="R252">
            <v>655999889</v>
          </cell>
          <cell r="S252" t="str">
            <v>Valery Doudou</v>
          </cell>
          <cell r="T252" t="str">
            <v>GEORGES NAKHOUL</v>
          </cell>
          <cell r="U252" t="str">
            <v>I H S</v>
          </cell>
        </row>
        <row r="253">
          <cell r="A253" t="str">
            <v>LIT_575</v>
          </cell>
          <cell r="B253" t="str">
            <v>IHS_DLA_241</v>
          </cell>
          <cell r="C253" t="str">
            <v>LIT_575</v>
          </cell>
          <cell r="D253" t="str">
            <v>Littoral</v>
          </cell>
          <cell r="E253" t="str">
            <v>Littoral</v>
          </cell>
          <cell r="F253" t="str">
            <v>BOKO-DOUALA-II</v>
          </cell>
          <cell r="G253" t="str">
            <v>P4</v>
          </cell>
          <cell r="H253" t="str">
            <v>Grid-Gen</v>
          </cell>
          <cell r="I253" t="str">
            <v>On Air</v>
          </cell>
          <cell r="J253" t="str">
            <v>Indoor</v>
          </cell>
          <cell r="K253" t="str">
            <v>AC</v>
          </cell>
          <cell r="L253" t="str">
            <v>SAGEMCOM</v>
          </cell>
          <cell r="M253" t="str">
            <v>Yassa</v>
          </cell>
          <cell r="N253" t="str">
            <v>WOURI</v>
          </cell>
          <cell r="O253" t="str">
            <v>Douala 3</v>
          </cell>
          <cell r="P253" t="str">
            <v>Alphonse Titchio</v>
          </cell>
          <cell r="Q253">
            <v>677548573</v>
          </cell>
          <cell r="R253">
            <v>655999889</v>
          </cell>
          <cell r="S253" t="str">
            <v>Valery Doudou</v>
          </cell>
          <cell r="T253" t="str">
            <v>GEORGES NAKHOUL</v>
          </cell>
          <cell r="U253" t="str">
            <v>I H S</v>
          </cell>
        </row>
        <row r="254">
          <cell r="A254" t="str">
            <v>LIT_633</v>
          </cell>
          <cell r="B254" t="str">
            <v>IHS_DLA_239</v>
          </cell>
          <cell r="C254" t="str">
            <v>LIT_633</v>
          </cell>
          <cell r="D254" t="str">
            <v>Littoral</v>
          </cell>
          <cell r="E254" t="str">
            <v>Littoral</v>
          </cell>
          <cell r="F254" t="str">
            <v>Boko-IHS</v>
          </cell>
          <cell r="G254" t="str">
            <v>P4</v>
          </cell>
          <cell r="H254" t="str">
            <v>Grid-Gen</v>
          </cell>
          <cell r="I254" t="str">
            <v>On Air</v>
          </cell>
          <cell r="J254" t="str">
            <v>Outdoor</v>
          </cell>
          <cell r="K254" t="str">
            <v>AC</v>
          </cell>
          <cell r="L254" t="str">
            <v>SAGEMCOM</v>
          </cell>
          <cell r="M254" t="str">
            <v>Yassa</v>
          </cell>
          <cell r="N254" t="str">
            <v>WOURI</v>
          </cell>
          <cell r="O254" t="str">
            <v>Douala 2</v>
          </cell>
          <cell r="P254" t="str">
            <v>Alphonse Titchio</v>
          </cell>
          <cell r="Q254">
            <v>677548573</v>
          </cell>
          <cell r="R254">
            <v>655999889</v>
          </cell>
          <cell r="S254" t="str">
            <v>Valery Doudou</v>
          </cell>
          <cell r="T254" t="str">
            <v>GEORGES NAKHOUL</v>
          </cell>
          <cell r="U254" t="str">
            <v>I H S</v>
          </cell>
        </row>
        <row r="255">
          <cell r="A255" t="str">
            <v>LIT_634</v>
          </cell>
          <cell r="B255" t="str">
            <v>IHS_DLA_244</v>
          </cell>
          <cell r="C255" t="str">
            <v>LIT_634</v>
          </cell>
          <cell r="D255" t="str">
            <v>Littoral</v>
          </cell>
          <cell r="E255" t="str">
            <v>Littoral</v>
          </cell>
          <cell r="F255" t="str">
            <v>Ndogpassi-pays-bas-IHS</v>
          </cell>
          <cell r="G255" t="str">
            <v>P4</v>
          </cell>
          <cell r="H255" t="str">
            <v>Grid-Gen</v>
          </cell>
          <cell r="I255" t="str">
            <v>On Air</v>
          </cell>
          <cell r="J255" t="str">
            <v>Outdoor</v>
          </cell>
          <cell r="K255" t="str">
            <v>AC</v>
          </cell>
          <cell r="L255" t="str">
            <v>SAGEMCOM</v>
          </cell>
          <cell r="M255" t="str">
            <v>Yassa</v>
          </cell>
          <cell r="N255" t="str">
            <v>WOURI</v>
          </cell>
          <cell r="O255" t="str">
            <v>Douala 3</v>
          </cell>
          <cell r="P255" t="str">
            <v>Alphonse Titchio</v>
          </cell>
          <cell r="Q255">
            <v>677548573</v>
          </cell>
          <cell r="R255">
            <v>655999889</v>
          </cell>
          <cell r="S255" t="str">
            <v>Valery Doudou</v>
          </cell>
          <cell r="T255" t="str">
            <v>GEORGES NAKHOUL</v>
          </cell>
          <cell r="U255" t="str">
            <v>I H S</v>
          </cell>
        </row>
        <row r="256">
          <cell r="A256" t="str">
            <v>LIT_563</v>
          </cell>
          <cell r="B256" t="str">
            <v>IHS_DLA_291</v>
          </cell>
          <cell r="C256" t="str">
            <v>LIT_563</v>
          </cell>
          <cell r="D256" t="str">
            <v>Littoral</v>
          </cell>
          <cell r="E256" t="str">
            <v>Littoral</v>
          </cell>
          <cell r="F256" t="str">
            <v>Yassa-Pesage-IHS</v>
          </cell>
          <cell r="G256" t="str">
            <v>P4</v>
          </cell>
          <cell r="H256" t="str">
            <v>Grid-Gen</v>
          </cell>
          <cell r="I256" t="str">
            <v>On Air</v>
          </cell>
          <cell r="J256" t="str">
            <v>Indoor</v>
          </cell>
          <cell r="K256" t="str">
            <v>AC</v>
          </cell>
          <cell r="L256" t="str">
            <v>SAGEMCOM</v>
          </cell>
          <cell r="M256" t="str">
            <v>Yassa</v>
          </cell>
          <cell r="N256" t="str">
            <v>WOURI</v>
          </cell>
          <cell r="O256" t="str">
            <v>Douala 3</v>
          </cell>
          <cell r="P256" t="str">
            <v>Alphonse Titchio</v>
          </cell>
          <cell r="Q256">
            <v>677548573</v>
          </cell>
          <cell r="R256">
            <v>655999889</v>
          </cell>
          <cell r="S256" t="str">
            <v>Valery Doudou</v>
          </cell>
          <cell r="T256" t="str">
            <v>GEORGES NAKHOUL</v>
          </cell>
          <cell r="U256" t="str">
            <v>I H S</v>
          </cell>
        </row>
        <row r="257">
          <cell r="A257" t="str">
            <v>LIT_632</v>
          </cell>
          <cell r="B257" t="str">
            <v>IHS_DLA_488</v>
          </cell>
          <cell r="C257" t="str">
            <v>LIT_632</v>
          </cell>
          <cell r="D257" t="str">
            <v>Littoral</v>
          </cell>
          <cell r="E257" t="str">
            <v>Littoral</v>
          </cell>
          <cell r="F257" t="str">
            <v>Boko-Hospital-IHS</v>
          </cell>
          <cell r="G257" t="str">
            <v>P4</v>
          </cell>
          <cell r="H257" t="str">
            <v>Grid-Gen</v>
          </cell>
          <cell r="I257" t="str">
            <v>On Air</v>
          </cell>
          <cell r="J257" t="str">
            <v>Outdoor</v>
          </cell>
          <cell r="K257" t="str">
            <v>AC</v>
          </cell>
          <cell r="L257" t="str">
            <v>SAGEMCOM</v>
          </cell>
          <cell r="M257" t="str">
            <v>Yassa</v>
          </cell>
          <cell r="N257" t="str">
            <v>WOURI</v>
          </cell>
          <cell r="O257" t="str">
            <v>Douala 3</v>
          </cell>
          <cell r="P257" t="str">
            <v>Alphonse Titchio</v>
          </cell>
          <cell r="Q257">
            <v>677548573</v>
          </cell>
          <cell r="R257">
            <v>655999889</v>
          </cell>
          <cell r="S257" t="str">
            <v>Valery Doudou</v>
          </cell>
          <cell r="T257" t="str">
            <v>GEORGES NAKHOUL</v>
          </cell>
          <cell r="U257" t="str">
            <v>I H S</v>
          </cell>
        </row>
        <row r="258">
          <cell r="A258" t="str">
            <v>LIT_365</v>
          </cell>
          <cell r="B258" t="str">
            <v>IHS_DLA_284</v>
          </cell>
          <cell r="C258" t="str">
            <v>LIT_365</v>
          </cell>
          <cell r="D258" t="str">
            <v>Littoral</v>
          </cell>
          <cell r="E258" t="str">
            <v>Littoral</v>
          </cell>
          <cell r="F258" t="str">
            <v>Yambong</v>
          </cell>
          <cell r="G258" t="str">
            <v>P5</v>
          </cell>
          <cell r="H258" t="str">
            <v>Grid-Gen</v>
          </cell>
          <cell r="I258" t="str">
            <v>On Air</v>
          </cell>
          <cell r="J258" t="str">
            <v>Outdoor</v>
          </cell>
          <cell r="K258" t="str">
            <v>AC</v>
          </cell>
          <cell r="L258" t="str">
            <v>SAGEMCOM</v>
          </cell>
          <cell r="M258" t="str">
            <v>Yassa</v>
          </cell>
          <cell r="N258" t="str">
            <v>WOURI</v>
          </cell>
          <cell r="O258" t="str">
            <v>Douala 3</v>
          </cell>
          <cell r="P258" t="str">
            <v>Alphonse Titchio</v>
          </cell>
          <cell r="Q258">
            <v>677548573</v>
          </cell>
          <cell r="R258">
            <v>655999889</v>
          </cell>
          <cell r="S258" t="str">
            <v>Valery Doudou</v>
          </cell>
          <cell r="T258" t="str">
            <v>GEORGES NAKHOUL</v>
          </cell>
          <cell r="U258" t="str">
            <v>I H S</v>
          </cell>
        </row>
        <row r="259">
          <cell r="A259" t="str">
            <v>LIT_482</v>
          </cell>
          <cell r="B259" t="str">
            <v>IHS_DLA_417</v>
          </cell>
          <cell r="C259" t="str">
            <v>LIT_482</v>
          </cell>
          <cell r="D259" t="str">
            <v>Littoral</v>
          </cell>
          <cell r="E259" t="str">
            <v>Littoral</v>
          </cell>
          <cell r="F259" t="str">
            <v>Yatchika IHS</v>
          </cell>
          <cell r="G259" t="str">
            <v>P5</v>
          </cell>
          <cell r="H259" t="str">
            <v>Grid-Gen</v>
          </cell>
          <cell r="I259" t="str">
            <v>On Air</v>
          </cell>
          <cell r="J259" t="str">
            <v>Outdoor</v>
          </cell>
          <cell r="K259" t="str">
            <v>AC</v>
          </cell>
          <cell r="L259" t="str">
            <v>SAGEMCOM</v>
          </cell>
          <cell r="M259" t="str">
            <v>Yassa</v>
          </cell>
          <cell r="N259" t="str">
            <v>WOURI</v>
          </cell>
          <cell r="O259" t="str">
            <v>Douala 3</v>
          </cell>
          <cell r="P259" t="str">
            <v>Alphonse Titchio</v>
          </cell>
          <cell r="Q259">
            <v>677548573</v>
          </cell>
          <cell r="R259">
            <v>655999889</v>
          </cell>
          <cell r="S259" t="str">
            <v>Valery Doudou</v>
          </cell>
          <cell r="T259" t="str">
            <v>GEORGES NAKHOUL</v>
          </cell>
          <cell r="U259" t="str">
            <v>I H S</v>
          </cell>
        </row>
        <row r="260">
          <cell r="A260" t="str">
            <v>LIT_374</v>
          </cell>
          <cell r="B260" t="str">
            <v>IHS_DLA_206</v>
          </cell>
          <cell r="C260" t="str">
            <v>LIT_374</v>
          </cell>
          <cell r="D260" t="str">
            <v>Littoral</v>
          </cell>
          <cell r="E260" t="str">
            <v>Littoral</v>
          </cell>
          <cell r="F260" t="str">
            <v>Song - Kot</v>
          </cell>
          <cell r="G260" t="str">
            <v>P5</v>
          </cell>
          <cell r="H260" t="str">
            <v>Grid-Gen</v>
          </cell>
          <cell r="I260" t="str">
            <v>On Air</v>
          </cell>
          <cell r="J260" t="str">
            <v>Outdoor</v>
          </cell>
          <cell r="K260" t="str">
            <v>AC</v>
          </cell>
          <cell r="L260" t="str">
            <v>SAGEMCOM</v>
          </cell>
          <cell r="M260" t="str">
            <v>Yassa</v>
          </cell>
          <cell r="N260" t="str">
            <v>WOURI</v>
          </cell>
          <cell r="O260" t="str">
            <v>Douala 3</v>
          </cell>
          <cell r="P260" t="str">
            <v>Alphonse Titchio</v>
          </cell>
          <cell r="Q260">
            <v>677548573</v>
          </cell>
          <cell r="R260">
            <v>655999889</v>
          </cell>
          <cell r="S260" t="str">
            <v>Valery Doudou</v>
          </cell>
          <cell r="T260" t="str">
            <v>GEORGES NAKHOUL</v>
          </cell>
          <cell r="U260" t="str">
            <v>I H S</v>
          </cell>
        </row>
        <row r="261">
          <cell r="A261" t="str">
            <v>LIT_093</v>
          </cell>
          <cell r="B261" t="str">
            <v>IHS_DLA_493</v>
          </cell>
          <cell r="C261" t="str">
            <v>LIT_093</v>
          </cell>
          <cell r="D261" t="str">
            <v>Littoral</v>
          </cell>
          <cell r="E261" t="str">
            <v>Littoral</v>
          </cell>
          <cell r="F261" t="str">
            <v>Ndogpassi Nodal</v>
          </cell>
          <cell r="G261" t="str">
            <v>P4</v>
          </cell>
          <cell r="H261" t="str">
            <v>Grid-Gen</v>
          </cell>
          <cell r="I261" t="str">
            <v>On Air</v>
          </cell>
          <cell r="J261" t="str">
            <v>Outdoor</v>
          </cell>
          <cell r="K261" t="str">
            <v>AC</v>
          </cell>
          <cell r="L261" t="str">
            <v>SAGEMCOM</v>
          </cell>
          <cell r="M261" t="str">
            <v>Yassa</v>
          </cell>
          <cell r="N261" t="str">
            <v>WOURI</v>
          </cell>
          <cell r="O261" t="str">
            <v>Douala 3</v>
          </cell>
          <cell r="P261" t="str">
            <v>Alphonse Titchio</v>
          </cell>
          <cell r="Q261">
            <v>677548573</v>
          </cell>
          <cell r="R261">
            <v>655999889</v>
          </cell>
          <cell r="S261" t="str">
            <v>Valery Doudou</v>
          </cell>
          <cell r="T261" t="str">
            <v>GEORGES NAKHOUL</v>
          </cell>
          <cell r="U261" t="str">
            <v>I H S</v>
          </cell>
        </row>
        <row r="262">
          <cell r="A262" t="str">
            <v>LIT_363</v>
          </cell>
          <cell r="B262" t="str">
            <v>IHS_DLA_494</v>
          </cell>
          <cell r="C262" t="str">
            <v>LIT_363</v>
          </cell>
          <cell r="D262" t="str">
            <v>Littoral</v>
          </cell>
          <cell r="E262" t="str">
            <v>Littoral</v>
          </cell>
          <cell r="F262" t="str">
            <v>Boko-Plage-IHS</v>
          </cell>
          <cell r="G262" t="str">
            <v>P4</v>
          </cell>
          <cell r="H262" t="str">
            <v>Grid Only</v>
          </cell>
          <cell r="I262" t="str">
            <v>On Air</v>
          </cell>
          <cell r="J262" t="str">
            <v>Outdoor</v>
          </cell>
          <cell r="K262" t="str">
            <v>AC</v>
          </cell>
          <cell r="L262" t="str">
            <v>SAGEMCOM</v>
          </cell>
          <cell r="M262" t="str">
            <v>Yassa</v>
          </cell>
          <cell r="N262" t="str">
            <v>WOURI</v>
          </cell>
          <cell r="O262" t="str">
            <v>Douala 3</v>
          </cell>
          <cell r="P262" t="str">
            <v>Alphonse Titchio</v>
          </cell>
          <cell r="Q262">
            <v>677548573</v>
          </cell>
          <cell r="R262">
            <v>655999889</v>
          </cell>
          <cell r="S262" t="str">
            <v>Valery Doudou</v>
          </cell>
          <cell r="T262" t="str">
            <v>GEORGES NAKHOUL</v>
          </cell>
          <cell r="U262" t="str">
            <v>I H S</v>
          </cell>
        </row>
        <row r="263">
          <cell r="A263" t="str">
            <v>LIT_345</v>
          </cell>
          <cell r="B263" t="str">
            <v>IHS_DLA_135</v>
          </cell>
          <cell r="C263" t="str">
            <v>LIT_345</v>
          </cell>
          <cell r="D263" t="str">
            <v>Littoral</v>
          </cell>
          <cell r="E263" t="str">
            <v>Littoral</v>
          </cell>
          <cell r="F263" t="str">
            <v>Deido-Plage</v>
          </cell>
          <cell r="G263" t="str">
            <v>P2</v>
          </cell>
          <cell r="H263" t="str">
            <v>Grid-Gen</v>
          </cell>
          <cell r="I263" t="str">
            <v>On Air</v>
          </cell>
          <cell r="J263" t="str">
            <v>Outdoor</v>
          </cell>
          <cell r="K263" t="str">
            <v>AC</v>
          </cell>
          <cell r="L263" t="str">
            <v>SAGEMCOM</v>
          </cell>
          <cell r="M263" t="str">
            <v>AKWA</v>
          </cell>
          <cell r="N263" t="str">
            <v>WOURI</v>
          </cell>
          <cell r="O263" t="str">
            <v>Douala 1</v>
          </cell>
          <cell r="P263" t="str">
            <v>Armel Tchokonte</v>
          </cell>
          <cell r="Q263">
            <v>655021899</v>
          </cell>
          <cell r="R263">
            <v>652269669</v>
          </cell>
          <cell r="S263" t="str">
            <v>Valery Doudou</v>
          </cell>
          <cell r="T263" t="str">
            <v>GEORGES NAKHOUL</v>
          </cell>
          <cell r="U263" t="str">
            <v>I H S</v>
          </cell>
        </row>
        <row r="264">
          <cell r="A264" t="str">
            <v>LIT_622</v>
          </cell>
          <cell r="B264" t="str">
            <v>IHS_BNB_102</v>
          </cell>
          <cell r="C264" t="str">
            <v>LIT_622</v>
          </cell>
          <cell r="D264" t="str">
            <v>Littoral</v>
          </cell>
          <cell r="E264" t="str">
            <v>Littoral</v>
          </cell>
          <cell r="F264" t="str">
            <v>Ndobo3</v>
          </cell>
          <cell r="G264" t="str">
            <v>P2</v>
          </cell>
          <cell r="H264" t="str">
            <v>Grid-Gen</v>
          </cell>
          <cell r="I264" t="str">
            <v>On Air</v>
          </cell>
          <cell r="J264" t="str">
            <v>Outdoor</v>
          </cell>
          <cell r="K264" t="str">
            <v>AC</v>
          </cell>
          <cell r="L264" t="str">
            <v>SAGEMCOM</v>
          </cell>
          <cell r="M264" t="str">
            <v>Bonaberi</v>
          </cell>
          <cell r="N264" t="str">
            <v>WOURI</v>
          </cell>
          <cell r="O264" t="str">
            <v>Douala 4</v>
          </cell>
          <cell r="P264" t="str">
            <v>Armel Tchokonte</v>
          </cell>
          <cell r="Q264">
            <v>655021899</v>
          </cell>
          <cell r="R264">
            <v>652269669</v>
          </cell>
          <cell r="S264" t="str">
            <v>Valery Doudou</v>
          </cell>
          <cell r="T264" t="str">
            <v>GEORGES NAKHOUL</v>
          </cell>
          <cell r="U264" t="str">
            <v>I H S</v>
          </cell>
        </row>
        <row r="265">
          <cell r="A265" t="str">
            <v>LIT_259</v>
          </cell>
          <cell r="B265" t="str">
            <v>IHS_BNB_030</v>
          </cell>
          <cell r="C265" t="str">
            <v>LIT_259</v>
          </cell>
          <cell r="D265" t="str">
            <v>Littoral</v>
          </cell>
          <cell r="E265" t="str">
            <v>Littoral</v>
          </cell>
          <cell r="F265" t="str">
            <v>Mabanda-MTN</v>
          </cell>
          <cell r="G265" t="str">
            <v>P2</v>
          </cell>
          <cell r="H265" t="str">
            <v>Grid-Gen</v>
          </cell>
          <cell r="I265" t="str">
            <v>On Air</v>
          </cell>
          <cell r="J265" t="str">
            <v>Indoor</v>
          </cell>
          <cell r="K265" t="str">
            <v>AC</v>
          </cell>
          <cell r="L265" t="str">
            <v>SAGEMCOM</v>
          </cell>
          <cell r="M265" t="str">
            <v>AKWA</v>
          </cell>
          <cell r="N265" t="str">
            <v>WOURI</v>
          </cell>
          <cell r="O265" t="str">
            <v>Douala 4</v>
          </cell>
          <cell r="P265" t="str">
            <v>Armel Tchokonte</v>
          </cell>
          <cell r="Q265">
            <v>655021899</v>
          </cell>
          <cell r="R265">
            <v>652269669</v>
          </cell>
          <cell r="S265" t="str">
            <v>Valery Doudou</v>
          </cell>
          <cell r="T265" t="str">
            <v>GEORGES NAKHOUL</v>
          </cell>
          <cell r="U265" t="str">
            <v>I H S</v>
          </cell>
        </row>
        <row r="266">
          <cell r="A266" t="str">
            <v>LIT_437</v>
          </cell>
          <cell r="B266" t="str">
            <v>IHS_BNB_101</v>
          </cell>
          <cell r="C266" t="str">
            <v>LIT_437</v>
          </cell>
          <cell r="D266" t="str">
            <v>Littoral</v>
          </cell>
          <cell r="E266" t="str">
            <v>Littoral</v>
          </cell>
          <cell r="F266" t="str">
            <v>Total Ndobo</v>
          </cell>
          <cell r="G266" t="str">
            <v>P2</v>
          </cell>
          <cell r="H266" t="str">
            <v>Grid-Gen</v>
          </cell>
          <cell r="I266" t="str">
            <v>On Air</v>
          </cell>
          <cell r="J266" t="str">
            <v>Indoor</v>
          </cell>
          <cell r="K266" t="str">
            <v>AC</v>
          </cell>
          <cell r="L266" t="str">
            <v>SAGEMCOM</v>
          </cell>
          <cell r="M266" t="str">
            <v>Bonaberi</v>
          </cell>
          <cell r="N266" t="str">
            <v>WOURI</v>
          </cell>
          <cell r="O266" t="str">
            <v>Douala 4</v>
          </cell>
          <cell r="P266" t="str">
            <v>Armel Tchokonte</v>
          </cell>
          <cell r="Q266">
            <v>655021899</v>
          </cell>
          <cell r="R266">
            <v>652269669</v>
          </cell>
          <cell r="S266" t="str">
            <v>Valery Doudou</v>
          </cell>
          <cell r="T266" t="str">
            <v>GEORGES NAKHOUL</v>
          </cell>
          <cell r="U266" t="str">
            <v>I H S</v>
          </cell>
        </row>
        <row r="267">
          <cell r="A267" t="str">
            <v>LIT_151</v>
          </cell>
          <cell r="B267" t="str">
            <v>IHS_DLA_402</v>
          </cell>
          <cell r="C267" t="str">
            <v>LIT_151</v>
          </cell>
          <cell r="D267" t="str">
            <v>Littoral</v>
          </cell>
          <cell r="E267" t="str">
            <v>Littoral</v>
          </cell>
          <cell r="F267" t="str">
            <v>Base-elf-new</v>
          </cell>
          <cell r="G267" t="str">
            <v>P3</v>
          </cell>
          <cell r="H267" t="str">
            <v>Grid-Gen</v>
          </cell>
          <cell r="I267" t="str">
            <v>On Air</v>
          </cell>
          <cell r="J267" t="str">
            <v>Outdoor</v>
          </cell>
          <cell r="K267" t="str">
            <v>AC</v>
          </cell>
          <cell r="L267" t="str">
            <v>SAGEMCOM</v>
          </cell>
          <cell r="M267" t="str">
            <v>AKWA</v>
          </cell>
          <cell r="N267" t="str">
            <v>WOURI</v>
          </cell>
          <cell r="O267" t="str">
            <v>Douala 1</v>
          </cell>
          <cell r="P267" t="str">
            <v>Armel Tchokonte</v>
          </cell>
          <cell r="Q267">
            <v>655021899</v>
          </cell>
          <cell r="R267">
            <v>652269669</v>
          </cell>
          <cell r="S267" t="str">
            <v>Valery Doudou</v>
          </cell>
          <cell r="T267" t="str">
            <v>GEORGES NAKHOUL</v>
          </cell>
          <cell r="U267" t="str">
            <v>I H S</v>
          </cell>
        </row>
        <row r="268">
          <cell r="A268" t="str">
            <v>LIT_364</v>
          </cell>
          <cell r="B268" t="str">
            <v>IHS_BNB_023</v>
          </cell>
          <cell r="C268" t="str">
            <v>LIT_364</v>
          </cell>
          <cell r="D268" t="str">
            <v>Littoral</v>
          </cell>
          <cell r="E268" t="str">
            <v>Littoral</v>
          </cell>
          <cell r="F268" t="str">
            <v>Bonamatoumbe-II</v>
          </cell>
          <cell r="G268" t="str">
            <v>P3</v>
          </cell>
          <cell r="H268" t="str">
            <v>Grid Only</v>
          </cell>
          <cell r="I268" t="str">
            <v>On Air</v>
          </cell>
          <cell r="J268" t="str">
            <v>Outdoor</v>
          </cell>
          <cell r="K268" t="str">
            <v>AC</v>
          </cell>
          <cell r="L268" t="str">
            <v>SAGEMCOM</v>
          </cell>
          <cell r="M268" t="str">
            <v>Bonaberi</v>
          </cell>
          <cell r="N268" t="str">
            <v>WOURI</v>
          </cell>
          <cell r="O268" t="str">
            <v>Douala 4</v>
          </cell>
          <cell r="P268" t="str">
            <v>Armel Tchokonte</v>
          </cell>
          <cell r="Q268">
            <v>655021899</v>
          </cell>
          <cell r="R268">
            <v>652269669</v>
          </cell>
          <cell r="S268" t="str">
            <v>Valery Doudou</v>
          </cell>
          <cell r="T268" t="str">
            <v>GEORGES NAKHOUL</v>
          </cell>
          <cell r="U268" t="str">
            <v>I H S</v>
          </cell>
        </row>
        <row r="269">
          <cell r="A269" t="str">
            <v>LIT_346</v>
          </cell>
          <cell r="B269" t="str">
            <v>IHS_BNB_028</v>
          </cell>
          <cell r="C269" t="str">
            <v>LIT_346</v>
          </cell>
          <cell r="D269" t="str">
            <v>Littoral</v>
          </cell>
          <cell r="E269" t="str">
            <v>Littoral</v>
          </cell>
          <cell r="F269" t="str">
            <v>Bberi-Abattoir</v>
          </cell>
          <cell r="G269" t="str">
            <v>P3</v>
          </cell>
          <cell r="H269" t="str">
            <v>Grid-Gen</v>
          </cell>
          <cell r="I269" t="str">
            <v>On Air</v>
          </cell>
          <cell r="J269" t="str">
            <v>Outdoor</v>
          </cell>
          <cell r="K269" t="str">
            <v>AC</v>
          </cell>
          <cell r="L269" t="str">
            <v>SAGEMCOM</v>
          </cell>
          <cell r="M269" t="str">
            <v>Bonaberi</v>
          </cell>
          <cell r="N269" t="str">
            <v>WOURI</v>
          </cell>
          <cell r="O269" t="str">
            <v>Douala 4</v>
          </cell>
          <cell r="P269" t="str">
            <v>Armel Tchokonte</v>
          </cell>
          <cell r="Q269">
            <v>655021899</v>
          </cell>
          <cell r="R269">
            <v>652269669</v>
          </cell>
          <cell r="S269" t="str">
            <v>Valery Doudou</v>
          </cell>
          <cell r="T269" t="str">
            <v>GEORGES NAKHOUL</v>
          </cell>
          <cell r="U269" t="str">
            <v>I H S</v>
          </cell>
        </row>
        <row r="270">
          <cell r="A270" t="str">
            <v>LIT_265</v>
          </cell>
          <cell r="B270" t="str">
            <v>IHS_DLA_145</v>
          </cell>
          <cell r="C270" t="str">
            <v>LIT_265</v>
          </cell>
          <cell r="D270" t="str">
            <v>Littoral</v>
          </cell>
          <cell r="E270" t="str">
            <v>Littoral</v>
          </cell>
          <cell r="F270" t="str">
            <v>Bep-Universite</v>
          </cell>
          <cell r="G270" t="str">
            <v>P3</v>
          </cell>
          <cell r="H270" t="str">
            <v>Grid-Gen</v>
          </cell>
          <cell r="I270" t="str">
            <v>On Air</v>
          </cell>
          <cell r="J270" t="str">
            <v>Outdoor</v>
          </cell>
          <cell r="K270" t="str">
            <v>AC</v>
          </cell>
          <cell r="L270" t="str">
            <v>SAGEMCOM</v>
          </cell>
          <cell r="M270" t="str">
            <v>Bepanda</v>
          </cell>
          <cell r="N270" t="str">
            <v>WOURI</v>
          </cell>
          <cell r="O270" t="str">
            <v>Douala 3</v>
          </cell>
          <cell r="P270" t="str">
            <v>Armel Tchokonte</v>
          </cell>
          <cell r="Q270">
            <v>655021899</v>
          </cell>
          <cell r="R270">
            <v>652269669</v>
          </cell>
          <cell r="S270" t="str">
            <v>Valery Doudou</v>
          </cell>
          <cell r="T270" t="str">
            <v>GEORGES NAKHOUL</v>
          </cell>
          <cell r="U270" t="str">
            <v>I H S</v>
          </cell>
        </row>
        <row r="271">
          <cell r="A271" t="str">
            <v>LIT_263</v>
          </cell>
          <cell r="B271" t="str">
            <v>IHS_DLA_127</v>
          </cell>
          <cell r="C271" t="str">
            <v>LIT_263</v>
          </cell>
          <cell r="D271" t="str">
            <v>Littoral</v>
          </cell>
          <cell r="E271" t="str">
            <v>Littoral</v>
          </cell>
          <cell r="F271" t="str">
            <v>CCC</v>
          </cell>
          <cell r="G271" t="str">
            <v>P3</v>
          </cell>
          <cell r="H271" t="str">
            <v>Grid-Gen</v>
          </cell>
          <cell r="I271" t="str">
            <v>On Air</v>
          </cell>
          <cell r="J271" t="str">
            <v>Outdoor</v>
          </cell>
          <cell r="K271" t="str">
            <v>AC</v>
          </cell>
          <cell r="L271" t="str">
            <v>SAGEMCOM</v>
          </cell>
          <cell r="M271" t="str">
            <v>Ndogbong</v>
          </cell>
          <cell r="N271" t="str">
            <v>WOURI</v>
          </cell>
          <cell r="O271" t="str">
            <v>Douala 3</v>
          </cell>
          <cell r="P271" t="str">
            <v>Armel Tchokonte</v>
          </cell>
          <cell r="Q271">
            <v>655021899</v>
          </cell>
          <cell r="R271">
            <v>652269669</v>
          </cell>
          <cell r="S271" t="str">
            <v>Valery Doudou</v>
          </cell>
          <cell r="T271" t="str">
            <v>GEORGES NAKHOUL</v>
          </cell>
          <cell r="U271" t="str">
            <v>I H S</v>
          </cell>
        </row>
        <row r="272">
          <cell r="A272" t="str">
            <v>LIT_290</v>
          </cell>
          <cell r="B272" t="str">
            <v>IHS_BNB_009</v>
          </cell>
          <cell r="C272" t="str">
            <v>LIT_290</v>
          </cell>
          <cell r="D272" t="str">
            <v>Littoral</v>
          </cell>
          <cell r="E272" t="str">
            <v>Littoral</v>
          </cell>
          <cell r="F272" t="str">
            <v>Bonabappe</v>
          </cell>
          <cell r="G272" t="str">
            <v>P3</v>
          </cell>
          <cell r="H272" t="str">
            <v>Grid-Gen</v>
          </cell>
          <cell r="I272" t="str">
            <v>On Air</v>
          </cell>
          <cell r="J272" t="str">
            <v>Outdoor</v>
          </cell>
          <cell r="K272" t="str">
            <v>AC</v>
          </cell>
          <cell r="L272" t="str">
            <v>SAGEMCOM</v>
          </cell>
          <cell r="M272" t="str">
            <v>Bonaberi</v>
          </cell>
          <cell r="N272" t="str">
            <v>WOURI</v>
          </cell>
          <cell r="O272" t="str">
            <v>Douala 4</v>
          </cell>
          <cell r="P272" t="str">
            <v>Armel Tchokonte</v>
          </cell>
          <cell r="Q272">
            <v>655021899</v>
          </cell>
          <cell r="R272">
            <v>652269669</v>
          </cell>
          <cell r="S272" t="str">
            <v>Valery Doudou</v>
          </cell>
          <cell r="T272" t="str">
            <v>GEORGES NAKHOUL</v>
          </cell>
          <cell r="U272" t="str">
            <v>I H S</v>
          </cell>
        </row>
        <row r="273">
          <cell r="A273" t="str">
            <v>LIT_206</v>
          </cell>
          <cell r="B273" t="str">
            <v>IHS_BNB_008</v>
          </cell>
          <cell r="C273" t="str">
            <v>LIT_206</v>
          </cell>
          <cell r="D273" t="str">
            <v>Littoral</v>
          </cell>
          <cell r="E273" t="str">
            <v>Littoral</v>
          </cell>
          <cell r="F273" t="str">
            <v>Ngwele</v>
          </cell>
          <cell r="G273" t="str">
            <v>P3</v>
          </cell>
          <cell r="H273" t="str">
            <v>Grid-Gen</v>
          </cell>
          <cell r="I273" t="str">
            <v>On Air</v>
          </cell>
          <cell r="J273" t="str">
            <v>Indoor</v>
          </cell>
          <cell r="K273" t="str">
            <v>AC</v>
          </cell>
          <cell r="L273" t="str">
            <v>SAGEMCOM</v>
          </cell>
          <cell r="M273" t="str">
            <v>Bonaberi</v>
          </cell>
          <cell r="N273" t="str">
            <v>WOURI</v>
          </cell>
          <cell r="O273" t="str">
            <v>Douala 4</v>
          </cell>
          <cell r="P273" t="str">
            <v>Armel Tchokonte</v>
          </cell>
          <cell r="Q273">
            <v>655021899</v>
          </cell>
          <cell r="R273">
            <v>652269669</v>
          </cell>
          <cell r="S273" t="str">
            <v>Valery Doudou</v>
          </cell>
          <cell r="T273" t="str">
            <v>GEORGES NAKHOUL</v>
          </cell>
          <cell r="U273" t="str">
            <v>I H S</v>
          </cell>
        </row>
        <row r="274">
          <cell r="A274" t="str">
            <v>LIT_366</v>
          </cell>
          <cell r="B274" t="str">
            <v>IHS_DLA_154</v>
          </cell>
          <cell r="C274" t="str">
            <v>LIT_366</v>
          </cell>
          <cell r="D274" t="str">
            <v>Littoral</v>
          </cell>
          <cell r="E274" t="str">
            <v>Littoral</v>
          </cell>
          <cell r="F274" t="str">
            <v>Bepanda-TSF</v>
          </cell>
          <cell r="G274" t="str">
            <v>P3</v>
          </cell>
          <cell r="H274" t="str">
            <v>Grid Only</v>
          </cell>
          <cell r="I274" t="str">
            <v>On Air</v>
          </cell>
          <cell r="J274" t="str">
            <v>Outdoor</v>
          </cell>
          <cell r="K274" t="str">
            <v>AC</v>
          </cell>
          <cell r="L274" t="str">
            <v>SAGEMCOM</v>
          </cell>
          <cell r="M274" t="str">
            <v>Bepanda</v>
          </cell>
          <cell r="N274" t="str">
            <v>WOURI</v>
          </cell>
          <cell r="O274" t="str">
            <v>Douala 5</v>
          </cell>
          <cell r="P274" t="str">
            <v>Armel Tchokonte</v>
          </cell>
          <cell r="Q274">
            <v>655021899</v>
          </cell>
          <cell r="R274">
            <v>652269669</v>
          </cell>
          <cell r="S274" t="str">
            <v>Valery Doudou</v>
          </cell>
          <cell r="T274" t="str">
            <v>GEORGES NAKHOUL</v>
          </cell>
          <cell r="U274" t="str">
            <v>I H S</v>
          </cell>
        </row>
        <row r="275">
          <cell r="A275" t="str">
            <v>LIT_414</v>
          </cell>
          <cell r="B275" t="str">
            <v>IHS_DLA_131</v>
          </cell>
          <cell r="C275" t="str">
            <v>LIT_414</v>
          </cell>
          <cell r="D275" t="str">
            <v>Littoral</v>
          </cell>
          <cell r="E275" t="str">
            <v>Littoral</v>
          </cell>
          <cell r="F275" t="str">
            <v>Deido-Bonateki</v>
          </cell>
          <cell r="G275" t="str">
            <v>P3</v>
          </cell>
          <cell r="H275" t="str">
            <v>Grid Only</v>
          </cell>
          <cell r="I275" t="str">
            <v>On Air</v>
          </cell>
          <cell r="J275" t="str">
            <v>Outdoor</v>
          </cell>
          <cell r="K275" t="str">
            <v>AC</v>
          </cell>
          <cell r="L275" t="str">
            <v>SAGEMCOM</v>
          </cell>
          <cell r="M275" t="str">
            <v>AKWA</v>
          </cell>
          <cell r="N275" t="str">
            <v>WOURI</v>
          </cell>
          <cell r="O275" t="str">
            <v>Douala 1</v>
          </cell>
          <cell r="P275" t="str">
            <v>Armel Tchokonte</v>
          </cell>
          <cell r="Q275">
            <v>655021899</v>
          </cell>
          <cell r="R275">
            <v>652269669</v>
          </cell>
          <cell r="S275" t="str">
            <v>Valery Doudou</v>
          </cell>
          <cell r="T275" t="str">
            <v>GEORGES NAKHOUL</v>
          </cell>
          <cell r="U275" t="str">
            <v>I H S</v>
          </cell>
        </row>
        <row r="276">
          <cell r="A276" t="str">
            <v>LIT_381</v>
          </cell>
          <cell r="B276" t="str">
            <v>IHS_DLA_003</v>
          </cell>
          <cell r="C276" t="str">
            <v>LIT_381</v>
          </cell>
          <cell r="D276" t="str">
            <v>Littoral</v>
          </cell>
          <cell r="E276" t="str">
            <v>Littoral</v>
          </cell>
          <cell r="F276" t="str">
            <v>Pain-Magique</v>
          </cell>
          <cell r="G276" t="str">
            <v>P3</v>
          </cell>
          <cell r="H276" t="str">
            <v>Grid Only</v>
          </cell>
          <cell r="I276" t="str">
            <v>On Air</v>
          </cell>
          <cell r="J276" t="str">
            <v>Outdoor</v>
          </cell>
          <cell r="K276" t="str">
            <v>AC</v>
          </cell>
          <cell r="L276" t="str">
            <v>SAGEMCOM</v>
          </cell>
          <cell r="M276" t="str">
            <v>AKWA</v>
          </cell>
          <cell r="N276" t="str">
            <v>WOURI</v>
          </cell>
          <cell r="O276" t="str">
            <v>Douala 1</v>
          </cell>
          <cell r="P276" t="str">
            <v>Armel Tchokonte</v>
          </cell>
          <cell r="Q276">
            <v>655021899</v>
          </cell>
          <cell r="R276">
            <v>652269669</v>
          </cell>
          <cell r="S276" t="str">
            <v>Valery Doudou</v>
          </cell>
          <cell r="T276" t="str">
            <v>GEORGES NAKHOUL</v>
          </cell>
          <cell r="U276" t="str">
            <v>I H S</v>
          </cell>
        </row>
        <row r="277">
          <cell r="A277" t="str">
            <v>LIT_442</v>
          </cell>
          <cell r="B277" t="str">
            <v>IHS_DLA_433</v>
          </cell>
          <cell r="C277" t="str">
            <v>LIT_442</v>
          </cell>
          <cell r="D277" t="str">
            <v>Littoral</v>
          </cell>
          <cell r="E277" t="str">
            <v>Littoral</v>
          </cell>
          <cell r="F277" t="str">
            <v>Cite de Paix</v>
          </cell>
          <cell r="G277" t="str">
            <v>P3</v>
          </cell>
          <cell r="H277" t="str">
            <v>Grid Only</v>
          </cell>
          <cell r="I277" t="str">
            <v>On Air</v>
          </cell>
          <cell r="J277" t="str">
            <v>Outdoor</v>
          </cell>
          <cell r="K277" t="str">
            <v>AC</v>
          </cell>
          <cell r="L277" t="str">
            <v>SAGEMCOM</v>
          </cell>
          <cell r="M277" t="str">
            <v>Ndogbong</v>
          </cell>
          <cell r="N277" t="str">
            <v>WOURI</v>
          </cell>
          <cell r="O277" t="str">
            <v>Douala 2</v>
          </cell>
          <cell r="P277" t="str">
            <v>Armel Tchokonte</v>
          </cell>
          <cell r="Q277">
            <v>655021899</v>
          </cell>
          <cell r="R277">
            <v>652269669</v>
          </cell>
          <cell r="S277" t="str">
            <v>Valery Doudou</v>
          </cell>
          <cell r="T277" t="str">
            <v>GEORGES NAKHOUL</v>
          </cell>
          <cell r="U277" t="str">
            <v>I H S</v>
          </cell>
        </row>
        <row r="278">
          <cell r="A278" t="str">
            <v>LIT_379</v>
          </cell>
          <cell r="B278" t="str">
            <v>IHS_DLA_181</v>
          </cell>
          <cell r="C278" t="str">
            <v>LIT_379</v>
          </cell>
          <cell r="D278" t="str">
            <v>Littoral</v>
          </cell>
          <cell r="E278" t="str">
            <v>Littoral</v>
          </cell>
          <cell r="F278" t="str">
            <v>Bonewonda-Chefferie</v>
          </cell>
          <cell r="G278" t="str">
            <v>P3</v>
          </cell>
          <cell r="H278" t="str">
            <v>Grid Only</v>
          </cell>
          <cell r="I278" t="str">
            <v>On Air</v>
          </cell>
          <cell r="J278" t="str">
            <v>Outdoor</v>
          </cell>
          <cell r="K278" t="str">
            <v>AC</v>
          </cell>
          <cell r="L278" t="str">
            <v>SAGEMCOM</v>
          </cell>
          <cell r="M278" t="str">
            <v>Bepanda</v>
          </cell>
          <cell r="N278" t="str">
            <v>WOURI</v>
          </cell>
          <cell r="O278" t="str">
            <v>Douala 5</v>
          </cell>
          <cell r="P278" t="str">
            <v>Armel Tchokonte</v>
          </cell>
          <cell r="Q278">
            <v>655021899</v>
          </cell>
          <cell r="R278">
            <v>652269669</v>
          </cell>
          <cell r="S278" t="str">
            <v>Valery Doudou</v>
          </cell>
          <cell r="T278" t="str">
            <v>GEORGES NAKHOUL</v>
          </cell>
          <cell r="U278" t="str">
            <v>I H S</v>
          </cell>
        </row>
        <row r="279">
          <cell r="A279" t="str">
            <v>LIT_056</v>
          </cell>
          <cell r="B279" t="str">
            <v>IHS_DLA_143</v>
          </cell>
          <cell r="C279" t="str">
            <v>LIT_056</v>
          </cell>
          <cell r="D279" t="str">
            <v>Littoral</v>
          </cell>
          <cell r="E279" t="str">
            <v>Littoral</v>
          </cell>
          <cell r="F279" t="str">
            <v>Ange-Raphael</v>
          </cell>
          <cell r="G279" t="str">
            <v>P3</v>
          </cell>
          <cell r="H279" t="str">
            <v>Grid Only</v>
          </cell>
          <cell r="I279" t="str">
            <v>On Air</v>
          </cell>
          <cell r="J279" t="str">
            <v>Indoor</v>
          </cell>
          <cell r="K279" t="str">
            <v>AC</v>
          </cell>
          <cell r="L279" t="str">
            <v>SAGEMCOM</v>
          </cell>
          <cell r="M279" t="str">
            <v>Bepanda</v>
          </cell>
          <cell r="N279" t="str">
            <v>WOURI</v>
          </cell>
          <cell r="O279" t="str">
            <v>Douala 3</v>
          </cell>
          <cell r="P279" t="str">
            <v>Armel Tchokonte</v>
          </cell>
          <cell r="Q279">
            <v>655021899</v>
          </cell>
          <cell r="R279">
            <v>652269669</v>
          </cell>
          <cell r="S279" t="str">
            <v>Valery Doudou</v>
          </cell>
          <cell r="T279" t="str">
            <v>GEORGES NAKHOUL</v>
          </cell>
          <cell r="U279" t="str">
            <v>I H S</v>
          </cell>
        </row>
        <row r="280">
          <cell r="A280" t="str">
            <v>LIT_245</v>
          </cell>
          <cell r="B280" t="str">
            <v>IHS_DLA_056</v>
          </cell>
          <cell r="C280" t="str">
            <v>LIT_245</v>
          </cell>
          <cell r="D280" t="str">
            <v>Littoral</v>
          </cell>
          <cell r="E280" t="str">
            <v>Littoral</v>
          </cell>
          <cell r="F280" t="str">
            <v>De-La-Salle</v>
          </cell>
          <cell r="G280" t="str">
            <v>P3</v>
          </cell>
          <cell r="H280" t="str">
            <v>Grid Only</v>
          </cell>
          <cell r="I280" t="str">
            <v>On Air</v>
          </cell>
          <cell r="J280" t="str">
            <v>Outdoor</v>
          </cell>
          <cell r="K280" t="str">
            <v>AC</v>
          </cell>
          <cell r="L280" t="str">
            <v>SAGEMCOM</v>
          </cell>
          <cell r="M280" t="str">
            <v>AKWA</v>
          </cell>
          <cell r="N280" t="str">
            <v>WOURI</v>
          </cell>
          <cell r="O280" t="str">
            <v>Douala 1</v>
          </cell>
          <cell r="P280" t="str">
            <v>Armel Tchokonte</v>
          </cell>
          <cell r="Q280">
            <v>655021899</v>
          </cell>
          <cell r="R280">
            <v>652269669</v>
          </cell>
          <cell r="S280" t="str">
            <v>Valery Doudou</v>
          </cell>
          <cell r="T280" t="str">
            <v>GEORGES NAKHOUL</v>
          </cell>
          <cell r="U280" t="str">
            <v>I H S</v>
          </cell>
        </row>
        <row r="281">
          <cell r="A281" t="str">
            <v>LIT_287</v>
          </cell>
          <cell r="B281" t="str">
            <v>IHS_DLA_120</v>
          </cell>
          <cell r="C281" t="str">
            <v>LIT_287</v>
          </cell>
          <cell r="D281" t="str">
            <v>Littoral</v>
          </cell>
          <cell r="E281" t="str">
            <v>Littoral</v>
          </cell>
          <cell r="F281" t="str">
            <v>New-Deido</v>
          </cell>
          <cell r="G281" t="str">
            <v>P3</v>
          </cell>
          <cell r="H281" t="str">
            <v>Grid Only</v>
          </cell>
          <cell r="I281" t="str">
            <v>On Air</v>
          </cell>
          <cell r="J281" t="str">
            <v>Outdoor</v>
          </cell>
          <cell r="K281" t="str">
            <v>AC</v>
          </cell>
          <cell r="L281" t="str">
            <v>SAGEMCOM</v>
          </cell>
          <cell r="M281" t="str">
            <v>AKWA</v>
          </cell>
          <cell r="N281" t="str">
            <v>WOURI</v>
          </cell>
          <cell r="O281" t="str">
            <v>Douala 1</v>
          </cell>
          <cell r="P281" t="str">
            <v>Armel Tchokonte</v>
          </cell>
          <cell r="Q281">
            <v>655021899</v>
          </cell>
          <cell r="R281">
            <v>652269669</v>
          </cell>
          <cell r="S281" t="str">
            <v>Valery Doudou</v>
          </cell>
          <cell r="T281" t="str">
            <v>GEORGES NAKHOUL</v>
          </cell>
          <cell r="U281" t="str">
            <v>I H S</v>
          </cell>
        </row>
        <row r="282">
          <cell r="A282" t="str">
            <v>LIT_417</v>
          </cell>
          <cell r="B282" t="str">
            <v>IHS_DLA_102</v>
          </cell>
          <cell r="C282" t="str">
            <v>LIT_417</v>
          </cell>
          <cell r="D282" t="str">
            <v>Littoral</v>
          </cell>
          <cell r="E282" t="str">
            <v>Littoral</v>
          </cell>
          <cell r="F282" t="str">
            <v>Feu-Rouge-Bessengue</v>
          </cell>
          <cell r="G282" t="str">
            <v>P3</v>
          </cell>
          <cell r="H282" t="str">
            <v>Grid Only</v>
          </cell>
          <cell r="I282" t="str">
            <v>On Air</v>
          </cell>
          <cell r="J282" t="str">
            <v>Outdoor</v>
          </cell>
          <cell r="K282" t="str">
            <v>AC</v>
          </cell>
          <cell r="L282" t="str">
            <v>SAGEMCOM</v>
          </cell>
          <cell r="M282" t="str">
            <v>AKWA</v>
          </cell>
          <cell r="N282" t="str">
            <v>WOURI</v>
          </cell>
          <cell r="O282" t="str">
            <v>Douala 1</v>
          </cell>
          <cell r="P282" t="str">
            <v>Armel Tchokonte</v>
          </cell>
          <cell r="Q282">
            <v>655021899</v>
          </cell>
          <cell r="R282">
            <v>652269669</v>
          </cell>
          <cell r="S282" t="str">
            <v>Valery Doudou</v>
          </cell>
          <cell r="T282" t="str">
            <v>GEORGES NAKHOUL</v>
          </cell>
          <cell r="U282" t="str">
            <v>I H S</v>
          </cell>
        </row>
        <row r="283">
          <cell r="A283" t="str">
            <v>LIT_154</v>
          </cell>
          <cell r="B283" t="str">
            <v>IHS_DLA_160</v>
          </cell>
          <cell r="C283" t="str">
            <v>LIT_154</v>
          </cell>
          <cell r="D283" t="str">
            <v>Littoral</v>
          </cell>
          <cell r="E283" t="str">
            <v>Littoral</v>
          </cell>
          <cell r="F283" t="str">
            <v>Bonamoussongo</v>
          </cell>
          <cell r="G283" t="str">
            <v>P3</v>
          </cell>
          <cell r="H283" t="str">
            <v>Grid-Gen</v>
          </cell>
          <cell r="I283" t="str">
            <v>On Air</v>
          </cell>
          <cell r="J283" t="str">
            <v>Indoor</v>
          </cell>
          <cell r="K283" t="str">
            <v>AC</v>
          </cell>
          <cell r="L283" t="str">
            <v>SAGEMCOM</v>
          </cell>
          <cell r="M283" t="str">
            <v>Bepanda</v>
          </cell>
          <cell r="N283" t="str">
            <v>WOURI</v>
          </cell>
          <cell r="O283" t="str">
            <v>Douala 5</v>
          </cell>
          <cell r="P283" t="str">
            <v>Armel Tchokonte</v>
          </cell>
          <cell r="Q283">
            <v>655021899</v>
          </cell>
          <cell r="R283">
            <v>652269669</v>
          </cell>
          <cell r="S283" t="str">
            <v>Valery Doudou</v>
          </cell>
          <cell r="T283" t="str">
            <v>GEORGES NAKHOUL</v>
          </cell>
          <cell r="U283" t="str">
            <v>I H S</v>
          </cell>
        </row>
        <row r="284">
          <cell r="A284" t="str">
            <v>LIT_130</v>
          </cell>
          <cell r="B284" t="str">
            <v>IHS_BNB_013</v>
          </cell>
          <cell r="C284" t="str">
            <v>LIT_130</v>
          </cell>
          <cell r="D284" t="str">
            <v>Littoral</v>
          </cell>
          <cell r="E284" t="str">
            <v>Littoral</v>
          </cell>
          <cell r="F284" t="str">
            <v>Bonaminkano-IHS</v>
          </cell>
          <cell r="G284" t="str">
            <v>P3</v>
          </cell>
          <cell r="H284" t="str">
            <v>Grid-Gen</v>
          </cell>
          <cell r="I284" t="str">
            <v>On Air</v>
          </cell>
          <cell r="J284" t="str">
            <v>Outdoor</v>
          </cell>
          <cell r="K284" t="str">
            <v>AC</v>
          </cell>
          <cell r="L284" t="str">
            <v>SAGEMCOM</v>
          </cell>
          <cell r="M284" t="str">
            <v>Bonaberi</v>
          </cell>
          <cell r="N284" t="str">
            <v>WOURI</v>
          </cell>
          <cell r="O284" t="str">
            <v>Douala 4</v>
          </cell>
          <cell r="P284" t="str">
            <v>Armel Tchokonte</v>
          </cell>
          <cell r="Q284">
            <v>655021899</v>
          </cell>
          <cell r="R284">
            <v>652269669</v>
          </cell>
          <cell r="S284" t="str">
            <v>Valery Doudou</v>
          </cell>
          <cell r="T284" t="str">
            <v>GEORGES NAKHOUL</v>
          </cell>
          <cell r="U284" t="str">
            <v>I H S</v>
          </cell>
        </row>
        <row r="285">
          <cell r="A285" t="str">
            <v>LIT_123</v>
          </cell>
          <cell r="B285" t="str">
            <v>IHS_BNB_035</v>
          </cell>
          <cell r="C285" t="str">
            <v>LIT_123</v>
          </cell>
          <cell r="D285" t="str">
            <v>Littoral</v>
          </cell>
          <cell r="E285" t="str">
            <v>Littoral</v>
          </cell>
          <cell r="F285" t="str">
            <v>Bodjongo-IHS</v>
          </cell>
          <cell r="G285" t="str">
            <v>P3</v>
          </cell>
          <cell r="H285" t="str">
            <v>Grid-Gen</v>
          </cell>
          <cell r="I285" t="str">
            <v>On Air</v>
          </cell>
          <cell r="J285" t="str">
            <v>Outdoor</v>
          </cell>
          <cell r="K285" t="str">
            <v>AC</v>
          </cell>
          <cell r="L285" t="str">
            <v>SAGEMCOM</v>
          </cell>
          <cell r="M285" t="str">
            <v>Bonaberi</v>
          </cell>
          <cell r="N285" t="str">
            <v>WOURI</v>
          </cell>
          <cell r="O285" t="str">
            <v>Douala 4</v>
          </cell>
          <cell r="P285" t="str">
            <v>Armel Tchokonte</v>
          </cell>
          <cell r="Q285">
            <v>655021899</v>
          </cell>
          <cell r="R285">
            <v>652269669</v>
          </cell>
          <cell r="S285" t="str">
            <v>Valery Doudou</v>
          </cell>
          <cell r="T285" t="str">
            <v>GEORGES NAKHOUL</v>
          </cell>
          <cell r="U285" t="str">
            <v>I H S</v>
          </cell>
        </row>
        <row r="286">
          <cell r="A286" t="str">
            <v>LIT_450</v>
          </cell>
          <cell r="B286" t="str">
            <v>IHS_DLA_452</v>
          </cell>
          <cell r="C286" t="str">
            <v>LIT_450</v>
          </cell>
          <cell r="D286" t="str">
            <v>Littoral</v>
          </cell>
          <cell r="E286" t="str">
            <v>Littoral</v>
          </cell>
          <cell r="F286" t="str">
            <v>Quartier Gentil</v>
          </cell>
          <cell r="G286" t="str">
            <v>P4</v>
          </cell>
          <cell r="H286" t="str">
            <v>Grid-Gen</v>
          </cell>
          <cell r="I286" t="str">
            <v>On Air</v>
          </cell>
          <cell r="J286" t="str">
            <v>Outdoor</v>
          </cell>
          <cell r="K286" t="str">
            <v>AC</v>
          </cell>
          <cell r="L286" t="str">
            <v>SAGEMCOM</v>
          </cell>
          <cell r="M286" t="str">
            <v>Ndogbong</v>
          </cell>
          <cell r="N286" t="str">
            <v>WOURI</v>
          </cell>
          <cell r="O286" t="str">
            <v>Douala 3</v>
          </cell>
          <cell r="P286" t="str">
            <v>Armel Tchokonte</v>
          </cell>
          <cell r="Q286">
            <v>655021899</v>
          </cell>
          <cell r="R286">
            <v>652269669</v>
          </cell>
          <cell r="S286" t="str">
            <v>Valery Doudou</v>
          </cell>
          <cell r="T286" t="str">
            <v>GEORGES NAKHOUL</v>
          </cell>
          <cell r="U286" t="str">
            <v>I H S</v>
          </cell>
        </row>
        <row r="287">
          <cell r="A287" t="str">
            <v>LIT_406</v>
          </cell>
          <cell r="B287" t="str">
            <v>IHS_DLA_147</v>
          </cell>
          <cell r="C287" t="str">
            <v>LIT_406</v>
          </cell>
          <cell r="D287" t="str">
            <v>Littoral</v>
          </cell>
          <cell r="E287" t="str">
            <v>Littoral</v>
          </cell>
          <cell r="F287" t="str">
            <v>Ndokoti-Brasseries</v>
          </cell>
          <cell r="G287" t="str">
            <v>P4</v>
          </cell>
          <cell r="H287" t="str">
            <v>Grid Only</v>
          </cell>
          <cell r="I287" t="str">
            <v>On Air</v>
          </cell>
          <cell r="J287" t="str">
            <v>Outdoor</v>
          </cell>
          <cell r="K287" t="str">
            <v>AC</v>
          </cell>
          <cell r="L287" t="str">
            <v>SAGEMCOM</v>
          </cell>
          <cell r="M287" t="str">
            <v>Ndogbong</v>
          </cell>
          <cell r="N287" t="str">
            <v>WOURI</v>
          </cell>
          <cell r="O287" t="str">
            <v>Doouala 3</v>
          </cell>
          <cell r="P287" t="str">
            <v>Armel Tchokonte</v>
          </cell>
          <cell r="Q287">
            <v>655021899</v>
          </cell>
          <cell r="R287">
            <v>652269669</v>
          </cell>
          <cell r="S287" t="str">
            <v>Valery Doudou</v>
          </cell>
          <cell r="T287" t="str">
            <v>GEORGES NAKHOUL</v>
          </cell>
          <cell r="U287" t="str">
            <v>I H S</v>
          </cell>
        </row>
        <row r="288">
          <cell r="A288" t="str">
            <v>LIT_432</v>
          </cell>
          <cell r="B288" t="str">
            <v>IHS_DLA_435</v>
          </cell>
          <cell r="C288" t="str">
            <v>LIT_432</v>
          </cell>
          <cell r="D288" t="str">
            <v>Littoral</v>
          </cell>
          <cell r="E288" t="str">
            <v>Littoral</v>
          </cell>
          <cell r="F288" t="str">
            <v>Ndogbong Guiness</v>
          </cell>
          <cell r="G288" t="str">
            <v>P4</v>
          </cell>
          <cell r="H288" t="str">
            <v>Grid-Gen</v>
          </cell>
          <cell r="I288" t="str">
            <v>On Air</v>
          </cell>
          <cell r="J288" t="str">
            <v>Outdoor</v>
          </cell>
          <cell r="K288" t="str">
            <v>AC</v>
          </cell>
          <cell r="L288" t="str">
            <v>SAGEMCOM</v>
          </cell>
          <cell r="M288" t="str">
            <v>Ndogbong</v>
          </cell>
          <cell r="N288" t="str">
            <v>WOURI</v>
          </cell>
          <cell r="O288" t="str">
            <v>Douala 3</v>
          </cell>
          <cell r="P288" t="str">
            <v>Armel Tchokonte</v>
          </cell>
          <cell r="Q288">
            <v>655021899</v>
          </cell>
          <cell r="R288">
            <v>652269669</v>
          </cell>
          <cell r="S288" t="str">
            <v>Valery Doudou</v>
          </cell>
          <cell r="T288" t="str">
            <v>GEORGES NAKHOUL</v>
          </cell>
          <cell r="U288" t="str">
            <v>I H S</v>
          </cell>
        </row>
        <row r="289">
          <cell r="A289" t="str">
            <v>LIT_094</v>
          </cell>
          <cell r="B289" t="str">
            <v>IHS_BNB_017</v>
          </cell>
          <cell r="C289" t="str">
            <v>LIT_094</v>
          </cell>
          <cell r="D289" t="str">
            <v>Littoral</v>
          </cell>
          <cell r="E289" t="str">
            <v>Littoral</v>
          </cell>
          <cell r="F289" t="str">
            <v>Mabanda</v>
          </cell>
          <cell r="G289" t="str">
            <v>P4</v>
          </cell>
          <cell r="H289" t="str">
            <v>Grid-Gen</v>
          </cell>
          <cell r="I289" t="str">
            <v>On Air</v>
          </cell>
          <cell r="J289" t="str">
            <v>Indoor</v>
          </cell>
          <cell r="K289" t="str">
            <v>AC</v>
          </cell>
          <cell r="L289" t="str">
            <v>SAGEMCOM</v>
          </cell>
          <cell r="M289" t="str">
            <v>AKWA</v>
          </cell>
          <cell r="N289" t="str">
            <v>WOURI</v>
          </cell>
          <cell r="O289" t="str">
            <v>Douala 4</v>
          </cell>
          <cell r="P289" t="str">
            <v>Armel Tchokonte</v>
          </cell>
          <cell r="Q289">
            <v>655021899</v>
          </cell>
          <cell r="R289">
            <v>652269669</v>
          </cell>
          <cell r="S289" t="str">
            <v>Valery Doudou</v>
          </cell>
          <cell r="T289" t="str">
            <v>GEORGES NAKHOUL</v>
          </cell>
          <cell r="U289" t="str">
            <v>I H S</v>
          </cell>
        </row>
        <row r="290">
          <cell r="A290" t="str">
            <v>LIT_377</v>
          </cell>
          <cell r="B290" t="str">
            <v>IHS_BNB_022</v>
          </cell>
          <cell r="C290" t="str">
            <v>LIT_377</v>
          </cell>
          <cell r="D290" t="str">
            <v>Littoral</v>
          </cell>
          <cell r="E290" t="str">
            <v>Littoral</v>
          </cell>
          <cell r="F290" t="str">
            <v>Ngwelle-II</v>
          </cell>
          <cell r="G290" t="str">
            <v>P4</v>
          </cell>
          <cell r="H290" t="str">
            <v>Grid-Gen</v>
          </cell>
          <cell r="I290" t="str">
            <v>On Air</v>
          </cell>
          <cell r="J290" t="str">
            <v>Outdoor</v>
          </cell>
          <cell r="K290" t="str">
            <v>AC</v>
          </cell>
          <cell r="L290" t="str">
            <v>SAGEMCOM</v>
          </cell>
          <cell r="M290" t="str">
            <v>Bonaberi</v>
          </cell>
          <cell r="N290" t="str">
            <v>WOURI</v>
          </cell>
          <cell r="O290" t="str">
            <v>Douala 4</v>
          </cell>
          <cell r="P290" t="str">
            <v>Armel Tchokonte</v>
          </cell>
          <cell r="Q290">
            <v>655021899</v>
          </cell>
          <cell r="R290">
            <v>652269669</v>
          </cell>
          <cell r="S290" t="str">
            <v>Valery Doudou</v>
          </cell>
          <cell r="T290" t="str">
            <v>GEORGES NAKHOUL</v>
          </cell>
          <cell r="U290" t="str">
            <v>I H S</v>
          </cell>
        </row>
        <row r="291">
          <cell r="A291" t="str">
            <v>LIT_361</v>
          </cell>
          <cell r="B291" t="str">
            <v>IHS_BNB_029</v>
          </cell>
          <cell r="C291" t="str">
            <v>LIT_361</v>
          </cell>
          <cell r="D291" t="str">
            <v>Littoral</v>
          </cell>
          <cell r="E291" t="str">
            <v>Littoral</v>
          </cell>
          <cell r="F291" t="str">
            <v>Grand-Hangar-II</v>
          </cell>
          <cell r="G291" t="str">
            <v>P4</v>
          </cell>
          <cell r="H291" t="str">
            <v>Grid-Gen</v>
          </cell>
          <cell r="I291" t="str">
            <v>On Air</v>
          </cell>
          <cell r="J291" t="str">
            <v>Outdoor</v>
          </cell>
          <cell r="K291" t="str">
            <v>AC</v>
          </cell>
          <cell r="L291" t="str">
            <v>SAGEMCOM</v>
          </cell>
          <cell r="M291" t="str">
            <v>Bonaberi</v>
          </cell>
          <cell r="N291" t="str">
            <v>WOURI</v>
          </cell>
          <cell r="O291" t="str">
            <v>Douala 4</v>
          </cell>
          <cell r="P291" t="str">
            <v>Armel Tchokonte</v>
          </cell>
          <cell r="Q291">
            <v>655021899</v>
          </cell>
          <cell r="R291">
            <v>652269669</v>
          </cell>
          <cell r="S291" t="str">
            <v>Valery Doudou</v>
          </cell>
          <cell r="T291" t="str">
            <v>GEORGES NAKHOUL</v>
          </cell>
          <cell r="U291" t="str">
            <v>I H S</v>
          </cell>
        </row>
        <row r="292">
          <cell r="A292" t="str">
            <v>LIT_274</v>
          </cell>
          <cell r="B292" t="str">
            <v>IHS_DLA_275</v>
          </cell>
          <cell r="C292" t="str">
            <v>LIT_274</v>
          </cell>
          <cell r="D292" t="str">
            <v>Littoral</v>
          </cell>
          <cell r="E292" t="str">
            <v>Littoral</v>
          </cell>
          <cell r="F292" t="str">
            <v>Logpom-II</v>
          </cell>
          <cell r="G292" t="str">
            <v>P4</v>
          </cell>
          <cell r="H292" t="str">
            <v>Grid-Gen</v>
          </cell>
          <cell r="I292" t="str">
            <v>On Air</v>
          </cell>
          <cell r="J292" t="str">
            <v>Outdoor</v>
          </cell>
          <cell r="K292" t="str">
            <v>AC</v>
          </cell>
          <cell r="L292" t="str">
            <v>SAGEMCOM</v>
          </cell>
          <cell r="M292" t="str">
            <v>Ndogbong</v>
          </cell>
          <cell r="N292" t="str">
            <v>WOURI</v>
          </cell>
          <cell r="O292" t="str">
            <v>Douala 5</v>
          </cell>
          <cell r="P292" t="str">
            <v>Armel Tchokonte</v>
          </cell>
          <cell r="Q292">
            <v>655021899</v>
          </cell>
          <cell r="R292">
            <v>652269669</v>
          </cell>
          <cell r="S292" t="str">
            <v>Valery Doudou</v>
          </cell>
          <cell r="T292" t="str">
            <v>GEORGES NAKHOUL</v>
          </cell>
          <cell r="U292" t="str">
            <v>I H S</v>
          </cell>
        </row>
        <row r="293">
          <cell r="A293" t="str">
            <v>LIT_054</v>
          </cell>
          <cell r="B293" t="str">
            <v>IHS_DLA_136</v>
          </cell>
          <cell r="C293" t="str">
            <v>LIT_054</v>
          </cell>
          <cell r="D293" t="str">
            <v>Littoral</v>
          </cell>
          <cell r="E293" t="str">
            <v>Littoral</v>
          </cell>
          <cell r="F293" t="str">
            <v>Gd-Moulin</v>
          </cell>
          <cell r="G293" t="str">
            <v>P4</v>
          </cell>
          <cell r="H293" t="str">
            <v>Grid-Gen</v>
          </cell>
          <cell r="I293" t="str">
            <v>On Air</v>
          </cell>
          <cell r="J293" t="str">
            <v>Indoor</v>
          </cell>
          <cell r="K293" t="str">
            <v>AC</v>
          </cell>
          <cell r="L293" t="str">
            <v>SAGEMCOM</v>
          </cell>
          <cell r="M293" t="str">
            <v>AKWA</v>
          </cell>
          <cell r="N293" t="str">
            <v>WOURI</v>
          </cell>
          <cell r="O293" t="str">
            <v>Douala 1</v>
          </cell>
          <cell r="P293" t="str">
            <v>Armel Tchokonte</v>
          </cell>
          <cell r="Q293">
            <v>655021899</v>
          </cell>
          <cell r="R293">
            <v>652269669</v>
          </cell>
          <cell r="S293" t="str">
            <v>Valery Doudou</v>
          </cell>
          <cell r="T293" t="str">
            <v>GEORGES NAKHOUL</v>
          </cell>
          <cell r="U293" t="str">
            <v>I H S</v>
          </cell>
        </row>
        <row r="294">
          <cell r="A294" t="str">
            <v>LIT_085</v>
          </cell>
          <cell r="B294" t="str">
            <v>IHS_DLA_096</v>
          </cell>
          <cell r="C294" t="str">
            <v>LIT_085</v>
          </cell>
          <cell r="D294" t="str">
            <v>Littoral</v>
          </cell>
          <cell r="E294" t="str">
            <v>Littoral</v>
          </cell>
          <cell r="F294" t="str">
            <v>Bonantone</v>
          </cell>
          <cell r="G294" t="str">
            <v>P4</v>
          </cell>
          <cell r="H294" t="str">
            <v>Grid-Gen</v>
          </cell>
          <cell r="I294" t="str">
            <v>On Air</v>
          </cell>
          <cell r="J294" t="str">
            <v>Indoor</v>
          </cell>
          <cell r="K294" t="str">
            <v>AC</v>
          </cell>
          <cell r="L294" t="str">
            <v>SAGEMCOM</v>
          </cell>
          <cell r="M294" t="str">
            <v>AKWA</v>
          </cell>
          <cell r="N294" t="str">
            <v>WOURI</v>
          </cell>
          <cell r="O294" t="str">
            <v>Douala 1</v>
          </cell>
          <cell r="P294" t="str">
            <v>Armel Tchokonte</v>
          </cell>
          <cell r="Q294">
            <v>655021899</v>
          </cell>
          <cell r="R294">
            <v>652269669</v>
          </cell>
          <cell r="S294" t="str">
            <v>Valery Doudou</v>
          </cell>
          <cell r="T294" t="str">
            <v>GEORGES NAKHOUL</v>
          </cell>
          <cell r="U294" t="str">
            <v>I H S</v>
          </cell>
        </row>
        <row r="295">
          <cell r="A295" t="str">
            <v>LIT_291</v>
          </cell>
          <cell r="B295" t="str">
            <v>IHS_BNB_004</v>
          </cell>
          <cell r="C295" t="str">
            <v>LIT_291</v>
          </cell>
          <cell r="D295" t="str">
            <v>Littoral</v>
          </cell>
          <cell r="E295" t="str">
            <v>Littoral</v>
          </cell>
          <cell r="F295" t="str">
            <v>Grand-Hangar</v>
          </cell>
          <cell r="G295" t="str">
            <v>P4</v>
          </cell>
          <cell r="H295" t="str">
            <v>Grid-Gen</v>
          </cell>
          <cell r="I295" t="str">
            <v>On Air</v>
          </cell>
          <cell r="J295" t="str">
            <v>Outdoor</v>
          </cell>
          <cell r="K295" t="str">
            <v>AC</v>
          </cell>
          <cell r="L295" t="str">
            <v>SAGEMCOM</v>
          </cell>
          <cell r="M295" t="str">
            <v>AKWA</v>
          </cell>
          <cell r="N295" t="str">
            <v>WOURI</v>
          </cell>
          <cell r="O295" t="str">
            <v>Douala 4</v>
          </cell>
          <cell r="P295" t="str">
            <v>Armel Tchokonte</v>
          </cell>
          <cell r="Q295">
            <v>655021899</v>
          </cell>
          <cell r="R295">
            <v>652269669</v>
          </cell>
          <cell r="S295" t="str">
            <v>Valery Doudou</v>
          </cell>
          <cell r="T295" t="str">
            <v>GEORGES NAKHOUL</v>
          </cell>
          <cell r="U295" t="str">
            <v>I H S</v>
          </cell>
        </row>
        <row r="296">
          <cell r="A296" t="str">
            <v>LIT_459</v>
          </cell>
          <cell r="B296" t="str">
            <v>IHS_DLA_476</v>
          </cell>
          <cell r="C296" t="str">
            <v>LIT_459</v>
          </cell>
          <cell r="D296" t="str">
            <v>Littoral</v>
          </cell>
          <cell r="E296" t="str">
            <v>Littoral</v>
          </cell>
          <cell r="F296" t="str">
            <v>Bep An 2000 (Gd Moulin II)</v>
          </cell>
          <cell r="G296" t="str">
            <v>P4</v>
          </cell>
          <cell r="H296" t="str">
            <v>Grid-Gen</v>
          </cell>
          <cell r="I296" t="str">
            <v>On Air</v>
          </cell>
          <cell r="J296" t="str">
            <v>Outdoor</v>
          </cell>
          <cell r="K296" t="str">
            <v>AC</v>
          </cell>
          <cell r="L296" t="str">
            <v>SAGEMCOM</v>
          </cell>
          <cell r="M296" t="str">
            <v>Bepanda</v>
          </cell>
          <cell r="N296" t="str">
            <v>WOURI</v>
          </cell>
          <cell r="O296" t="str">
            <v>Douala 5</v>
          </cell>
          <cell r="P296" t="str">
            <v>Armel Tchokonte</v>
          </cell>
          <cell r="Q296">
            <v>655021899</v>
          </cell>
          <cell r="R296">
            <v>652269669</v>
          </cell>
          <cell r="S296" t="str">
            <v>Valery Doudou</v>
          </cell>
          <cell r="T296" t="str">
            <v>GEORGES NAKHOUL</v>
          </cell>
          <cell r="U296" t="str">
            <v>I H S</v>
          </cell>
        </row>
        <row r="297">
          <cell r="A297" t="str">
            <v>LIT_221</v>
          </cell>
          <cell r="B297" t="str">
            <v>IHS_DLA_161</v>
          </cell>
          <cell r="C297" t="str">
            <v>LIT_221</v>
          </cell>
          <cell r="D297" t="str">
            <v>Littoral</v>
          </cell>
          <cell r="E297" t="str">
            <v>Littoral</v>
          </cell>
          <cell r="F297" t="str">
            <v>Ndogbong-IUT</v>
          </cell>
          <cell r="G297" t="str">
            <v>P4</v>
          </cell>
          <cell r="H297" t="str">
            <v>Grid-Gen</v>
          </cell>
          <cell r="I297" t="str">
            <v>On Air</v>
          </cell>
          <cell r="J297" t="str">
            <v>Outdoor</v>
          </cell>
          <cell r="K297" t="str">
            <v>AC</v>
          </cell>
          <cell r="L297" t="str">
            <v>SAGEMCOM</v>
          </cell>
          <cell r="M297" t="str">
            <v>Ndogbong</v>
          </cell>
          <cell r="N297" t="str">
            <v>WOURI</v>
          </cell>
          <cell r="O297" t="str">
            <v>Douala 5</v>
          </cell>
          <cell r="P297" t="str">
            <v>Armel Tchokonte</v>
          </cell>
          <cell r="Q297">
            <v>655021899</v>
          </cell>
          <cell r="R297">
            <v>652269669</v>
          </cell>
          <cell r="S297" t="str">
            <v>Valery Doudou</v>
          </cell>
          <cell r="T297" t="str">
            <v>GEORGES NAKHOUL</v>
          </cell>
          <cell r="U297" t="str">
            <v>I H S</v>
          </cell>
        </row>
        <row r="298">
          <cell r="A298" t="str">
            <v>LIT_260</v>
          </cell>
          <cell r="B298" t="str">
            <v>IHS_BNB_021</v>
          </cell>
          <cell r="C298" t="str">
            <v>LIT_260</v>
          </cell>
          <cell r="D298" t="str">
            <v>Littoral</v>
          </cell>
          <cell r="E298" t="str">
            <v>Littoral</v>
          </cell>
          <cell r="F298" t="str">
            <v>Ndobo-Rail</v>
          </cell>
          <cell r="G298" t="str">
            <v>P4</v>
          </cell>
          <cell r="H298" t="str">
            <v>Grid-Gen</v>
          </cell>
          <cell r="I298" t="str">
            <v>On Air</v>
          </cell>
          <cell r="J298" t="str">
            <v>Outdoor</v>
          </cell>
          <cell r="K298" t="str">
            <v>AC</v>
          </cell>
          <cell r="L298" t="str">
            <v>SAGEMCOM</v>
          </cell>
          <cell r="M298" t="str">
            <v>Bonaberi</v>
          </cell>
          <cell r="N298" t="str">
            <v>WOURI</v>
          </cell>
          <cell r="O298" t="str">
            <v>Douala 4</v>
          </cell>
          <cell r="P298" t="str">
            <v>Armel Tchokonte</v>
          </cell>
          <cell r="Q298">
            <v>655021899</v>
          </cell>
          <cell r="R298">
            <v>652269669</v>
          </cell>
          <cell r="S298" t="str">
            <v>Valery Doudou</v>
          </cell>
          <cell r="T298" t="str">
            <v>GEORGES NAKHOUL</v>
          </cell>
          <cell r="U298" t="str">
            <v>I H S</v>
          </cell>
        </row>
        <row r="299">
          <cell r="A299" t="str">
            <v>LIT_264</v>
          </cell>
          <cell r="B299" t="str">
            <v>IHS_DLA_194</v>
          </cell>
          <cell r="C299" t="str">
            <v>LIT_264</v>
          </cell>
          <cell r="D299" t="str">
            <v>Littoral</v>
          </cell>
          <cell r="E299" t="str">
            <v>Littoral</v>
          </cell>
          <cell r="F299" t="str">
            <v>Ndogbong-Vallee</v>
          </cell>
          <cell r="G299" t="str">
            <v>P4</v>
          </cell>
          <cell r="H299" t="str">
            <v>Grid-Gen</v>
          </cell>
          <cell r="I299" t="str">
            <v>On Air</v>
          </cell>
          <cell r="J299" t="str">
            <v>Outdoor</v>
          </cell>
          <cell r="K299" t="str">
            <v>AC</v>
          </cell>
          <cell r="L299" t="str">
            <v>SAGEMCOM</v>
          </cell>
          <cell r="M299" t="str">
            <v>Ndogbong</v>
          </cell>
          <cell r="N299" t="str">
            <v>WOURI</v>
          </cell>
          <cell r="O299" t="str">
            <v>Douala 5</v>
          </cell>
          <cell r="P299" t="str">
            <v>Armel Tchokonte</v>
          </cell>
          <cell r="Q299">
            <v>655021899</v>
          </cell>
          <cell r="R299">
            <v>652269669</v>
          </cell>
          <cell r="S299" t="str">
            <v>Valery Doudou</v>
          </cell>
          <cell r="T299" t="str">
            <v>GEORGES NAKHOUL</v>
          </cell>
          <cell r="U299" t="str">
            <v>I H S</v>
          </cell>
        </row>
        <row r="300">
          <cell r="A300" t="str">
            <v>LIT_217</v>
          </cell>
          <cell r="B300" t="str">
            <v>IHS_DLA_126</v>
          </cell>
          <cell r="C300" t="str">
            <v>LIT_217</v>
          </cell>
          <cell r="D300" t="str">
            <v>Littoral</v>
          </cell>
          <cell r="E300" t="str">
            <v>Littoral</v>
          </cell>
          <cell r="F300" t="str">
            <v>Ndokoti-New</v>
          </cell>
          <cell r="G300" t="str">
            <v>P4</v>
          </cell>
          <cell r="H300" t="str">
            <v>Grid-Gen</v>
          </cell>
          <cell r="I300" t="str">
            <v>On Air</v>
          </cell>
          <cell r="J300" t="str">
            <v>Outdoor</v>
          </cell>
          <cell r="K300" t="str">
            <v>AC</v>
          </cell>
          <cell r="L300" t="str">
            <v>SAGEMCOM</v>
          </cell>
          <cell r="M300" t="str">
            <v>Ndogbong</v>
          </cell>
          <cell r="N300" t="str">
            <v>WOURI</v>
          </cell>
          <cell r="O300" t="str">
            <v>Douala 3</v>
          </cell>
          <cell r="P300" t="str">
            <v>Armel Tchokonte</v>
          </cell>
          <cell r="Q300">
            <v>655021899</v>
          </cell>
          <cell r="R300">
            <v>652269669</v>
          </cell>
          <cell r="S300" t="str">
            <v>Valery Doudou</v>
          </cell>
          <cell r="T300" t="str">
            <v>GEORGES NAKHOUL</v>
          </cell>
          <cell r="U300" t="str">
            <v>I H S</v>
          </cell>
        </row>
        <row r="301">
          <cell r="A301" t="str">
            <v>LIT_243</v>
          </cell>
          <cell r="B301" t="str">
            <v>IHS_BNB_006</v>
          </cell>
          <cell r="C301" t="str">
            <v>LIT_243</v>
          </cell>
          <cell r="D301" t="str">
            <v>Littoral</v>
          </cell>
          <cell r="E301" t="str">
            <v>Littoral</v>
          </cell>
          <cell r="F301" t="str">
            <v>Bberi-Centre</v>
          </cell>
          <cell r="G301" t="str">
            <v>P4</v>
          </cell>
          <cell r="H301" t="str">
            <v>Grid-Gen</v>
          </cell>
          <cell r="I301" t="str">
            <v>On Air</v>
          </cell>
          <cell r="J301" t="str">
            <v>Outdoor</v>
          </cell>
          <cell r="K301" t="str">
            <v>AC</v>
          </cell>
          <cell r="L301" t="str">
            <v>SAGEMCOM</v>
          </cell>
          <cell r="M301" t="str">
            <v>Bonaberi</v>
          </cell>
          <cell r="N301" t="str">
            <v>WOURI</v>
          </cell>
          <cell r="O301" t="str">
            <v>Douala 4</v>
          </cell>
          <cell r="P301" t="str">
            <v>Armel Tchokonte</v>
          </cell>
          <cell r="Q301">
            <v>655021899</v>
          </cell>
          <cell r="R301">
            <v>652269669</v>
          </cell>
          <cell r="S301" t="str">
            <v>Valery Doudou</v>
          </cell>
          <cell r="T301" t="str">
            <v>GEORGES NAKHOUL</v>
          </cell>
          <cell r="U301" t="str">
            <v>I H S</v>
          </cell>
        </row>
        <row r="302">
          <cell r="A302" t="str">
            <v>LIT_083</v>
          </cell>
          <cell r="B302" t="str">
            <v>IHS_DLA_164</v>
          </cell>
          <cell r="C302" t="str">
            <v>LIT_083</v>
          </cell>
          <cell r="D302" t="str">
            <v>Littoral</v>
          </cell>
          <cell r="E302" t="str">
            <v>Littoral</v>
          </cell>
          <cell r="F302" t="str">
            <v>ZI-Bassa</v>
          </cell>
          <cell r="G302" t="str">
            <v>P4</v>
          </cell>
          <cell r="H302" t="str">
            <v>Grid-Gen</v>
          </cell>
          <cell r="I302" t="str">
            <v>On Air</v>
          </cell>
          <cell r="J302" t="str">
            <v>Indoor</v>
          </cell>
          <cell r="K302" t="str">
            <v>AC</v>
          </cell>
          <cell r="L302" t="str">
            <v>SAGEMCOM</v>
          </cell>
          <cell r="M302" t="str">
            <v>Ndogbong</v>
          </cell>
          <cell r="N302" t="str">
            <v>WOURI</v>
          </cell>
          <cell r="O302" t="str">
            <v>Douala 7</v>
          </cell>
          <cell r="P302" t="str">
            <v>Armel Tchokonte</v>
          </cell>
          <cell r="Q302">
            <v>655021899</v>
          </cell>
          <cell r="R302">
            <v>652269669</v>
          </cell>
          <cell r="S302" t="str">
            <v>Valery Doudou</v>
          </cell>
          <cell r="T302" t="str">
            <v>GEORGES NAKHOUL</v>
          </cell>
          <cell r="U302" t="str">
            <v>I H S</v>
          </cell>
        </row>
        <row r="303">
          <cell r="A303" t="str">
            <v>LIT_074</v>
          </cell>
          <cell r="B303" t="str">
            <v>IHS_DLA_177</v>
          </cell>
          <cell r="C303" t="str">
            <v>LIT_074</v>
          </cell>
          <cell r="D303" t="str">
            <v>Littoral</v>
          </cell>
          <cell r="E303" t="str">
            <v>Littoral</v>
          </cell>
          <cell r="F303" t="str">
            <v>Bonewonda</v>
          </cell>
          <cell r="G303" t="str">
            <v>P4</v>
          </cell>
          <cell r="H303" t="str">
            <v>Grid-Gen</v>
          </cell>
          <cell r="I303" t="str">
            <v>On Air</v>
          </cell>
          <cell r="J303" t="str">
            <v>Indoor</v>
          </cell>
          <cell r="K303" t="str">
            <v>AC</v>
          </cell>
          <cell r="L303" t="str">
            <v>SAGEMCOM</v>
          </cell>
          <cell r="M303" t="str">
            <v>Bepanda</v>
          </cell>
          <cell r="N303" t="str">
            <v>WOURI</v>
          </cell>
          <cell r="O303" t="str">
            <v>Douala 5</v>
          </cell>
          <cell r="P303" t="str">
            <v>Armel Tchokonte</v>
          </cell>
          <cell r="Q303">
            <v>655021899</v>
          </cell>
          <cell r="R303">
            <v>652269669</v>
          </cell>
          <cell r="S303" t="str">
            <v>Valery Doudou</v>
          </cell>
          <cell r="T303" t="str">
            <v>GEORGES NAKHOUL</v>
          </cell>
          <cell r="U303" t="str">
            <v>I H S</v>
          </cell>
        </row>
        <row r="304">
          <cell r="A304" t="str">
            <v>LIT_203</v>
          </cell>
          <cell r="B304" t="str">
            <v>IHS_BNB_032</v>
          </cell>
          <cell r="C304" t="str">
            <v>LIT_203</v>
          </cell>
          <cell r="D304" t="str">
            <v>Littoral</v>
          </cell>
          <cell r="E304" t="str">
            <v>Littoral</v>
          </cell>
          <cell r="F304" t="str">
            <v>Bonamatoumbe</v>
          </cell>
          <cell r="G304" t="str">
            <v>P4</v>
          </cell>
          <cell r="H304" t="str">
            <v>Grid-Gen</v>
          </cell>
          <cell r="I304" t="str">
            <v>On Air</v>
          </cell>
          <cell r="J304" t="str">
            <v>Indoor</v>
          </cell>
          <cell r="K304" t="str">
            <v>AC</v>
          </cell>
          <cell r="L304" t="str">
            <v>SAGEMCOM</v>
          </cell>
          <cell r="M304" t="str">
            <v>Bonaberi</v>
          </cell>
          <cell r="N304" t="str">
            <v>WOURI</v>
          </cell>
          <cell r="O304" t="str">
            <v>Douala 4</v>
          </cell>
          <cell r="P304" t="str">
            <v>Armel Tchokonte</v>
          </cell>
          <cell r="Q304">
            <v>655021899</v>
          </cell>
          <cell r="R304">
            <v>652269669</v>
          </cell>
          <cell r="S304" t="str">
            <v>Valery Doudou</v>
          </cell>
          <cell r="T304" t="str">
            <v>GEORGES NAKHOUL</v>
          </cell>
          <cell r="U304" t="str">
            <v>I H S</v>
          </cell>
        </row>
        <row r="305">
          <cell r="A305" t="str">
            <v>LIT_181</v>
          </cell>
          <cell r="B305" t="str">
            <v>IHS_BNB_033</v>
          </cell>
          <cell r="C305" t="str">
            <v>LIT_181</v>
          </cell>
          <cell r="D305" t="str">
            <v>Littoral</v>
          </cell>
          <cell r="E305" t="str">
            <v>Littoral</v>
          </cell>
          <cell r="F305" t="str">
            <v>Bonendale</v>
          </cell>
          <cell r="G305" t="str">
            <v>P4</v>
          </cell>
          <cell r="H305" t="str">
            <v>Grid-Gen</v>
          </cell>
          <cell r="I305" t="str">
            <v>On Air</v>
          </cell>
          <cell r="J305" t="str">
            <v>Indoor</v>
          </cell>
          <cell r="K305" t="str">
            <v>AC</v>
          </cell>
          <cell r="L305" t="str">
            <v>SAGEMCOM</v>
          </cell>
          <cell r="M305" t="str">
            <v>Bonaberi</v>
          </cell>
          <cell r="N305" t="str">
            <v>WOURI</v>
          </cell>
          <cell r="O305" t="str">
            <v>Douala 4</v>
          </cell>
          <cell r="P305" t="str">
            <v>Armel Tchokonte</v>
          </cell>
          <cell r="Q305">
            <v>655021899</v>
          </cell>
          <cell r="R305">
            <v>652269669</v>
          </cell>
          <cell r="S305" t="str">
            <v>Valery Doudou</v>
          </cell>
          <cell r="T305" t="str">
            <v>GEORGES NAKHOUL</v>
          </cell>
          <cell r="U305" t="str">
            <v>I H S</v>
          </cell>
        </row>
        <row r="306">
          <cell r="A306" t="str">
            <v>LIT_048</v>
          </cell>
          <cell r="B306" t="str">
            <v>IHS_DLA_118</v>
          </cell>
          <cell r="C306" t="str">
            <v>LIT_048</v>
          </cell>
          <cell r="D306" t="str">
            <v>Littoral</v>
          </cell>
          <cell r="E306" t="str">
            <v>Littoral</v>
          </cell>
          <cell r="F306" t="str">
            <v>Rond-Point</v>
          </cell>
          <cell r="G306" t="str">
            <v>P4</v>
          </cell>
          <cell r="H306" t="str">
            <v>Grid-Gen</v>
          </cell>
          <cell r="I306" t="str">
            <v>On Air</v>
          </cell>
          <cell r="J306" t="str">
            <v>Indoor</v>
          </cell>
          <cell r="K306" t="str">
            <v>AC</v>
          </cell>
          <cell r="L306" t="str">
            <v>SAGEMCOM</v>
          </cell>
          <cell r="M306" t="str">
            <v>AKWA</v>
          </cell>
          <cell r="N306" t="str">
            <v>WOURI</v>
          </cell>
          <cell r="O306" t="str">
            <v>Douala 4</v>
          </cell>
          <cell r="P306" t="str">
            <v>Armel Tchokonte</v>
          </cell>
          <cell r="Q306">
            <v>655021899</v>
          </cell>
          <cell r="R306">
            <v>652269669</v>
          </cell>
          <cell r="S306" t="str">
            <v>Valery Doudou</v>
          </cell>
          <cell r="T306" t="str">
            <v>GEORGES NAKHOUL</v>
          </cell>
          <cell r="U306" t="str">
            <v>I H S</v>
          </cell>
        </row>
        <row r="307">
          <cell r="A307" t="str">
            <v>LIT_097</v>
          </cell>
          <cell r="B307" t="str">
            <v>IHS_DLA_152</v>
          </cell>
          <cell r="C307" t="str">
            <v>LIT_097</v>
          </cell>
          <cell r="D307" t="str">
            <v>Littoral</v>
          </cell>
          <cell r="E307" t="str">
            <v>Littoral</v>
          </cell>
          <cell r="F307" t="str">
            <v>Bep-Axe-Lrd</v>
          </cell>
          <cell r="G307" t="str">
            <v>P4</v>
          </cell>
          <cell r="H307" t="str">
            <v>Grid Only</v>
          </cell>
          <cell r="I307" t="str">
            <v>On Air</v>
          </cell>
          <cell r="J307" t="str">
            <v>Indoor</v>
          </cell>
          <cell r="K307" t="str">
            <v>AC</v>
          </cell>
          <cell r="L307" t="str">
            <v>SAGEMCOM</v>
          </cell>
          <cell r="M307" t="str">
            <v>Bepanda</v>
          </cell>
          <cell r="N307" t="str">
            <v>WOURI</v>
          </cell>
          <cell r="O307" t="str">
            <v>Douala 5</v>
          </cell>
          <cell r="P307" t="str">
            <v>Armel Tchokonte</v>
          </cell>
          <cell r="Q307">
            <v>655021899</v>
          </cell>
          <cell r="R307">
            <v>652269669</v>
          </cell>
          <cell r="S307" t="str">
            <v>Valery Doudou</v>
          </cell>
          <cell r="T307" t="str">
            <v>GEORGES NAKHOUL</v>
          </cell>
          <cell r="U307" t="str">
            <v>I H S</v>
          </cell>
        </row>
        <row r="308">
          <cell r="A308" t="str">
            <v>LIT_344</v>
          </cell>
          <cell r="B308" t="str">
            <v>IHS_DLA_193</v>
          </cell>
          <cell r="C308" t="str">
            <v>LIT_344</v>
          </cell>
          <cell r="D308" t="str">
            <v>Littoral</v>
          </cell>
          <cell r="E308" t="str">
            <v>Littoral</v>
          </cell>
          <cell r="F308" t="str">
            <v>Ndogbong-Citadelle</v>
          </cell>
          <cell r="G308" t="str">
            <v>P4</v>
          </cell>
          <cell r="H308" t="str">
            <v>Grid-Gen</v>
          </cell>
          <cell r="I308" t="str">
            <v>On Air</v>
          </cell>
          <cell r="J308" t="str">
            <v>Outdoor</v>
          </cell>
          <cell r="K308" t="str">
            <v>AC</v>
          </cell>
          <cell r="L308" t="str">
            <v>SAGEMCOM</v>
          </cell>
          <cell r="M308" t="str">
            <v>Ndogbong</v>
          </cell>
          <cell r="N308" t="str">
            <v>WOURI</v>
          </cell>
          <cell r="O308" t="str">
            <v>Douala 4</v>
          </cell>
          <cell r="P308" t="str">
            <v>Armel Tchokonte</v>
          </cell>
          <cell r="Q308">
            <v>655021899</v>
          </cell>
          <cell r="R308">
            <v>652269669</v>
          </cell>
          <cell r="S308" t="str">
            <v>Valery Doudou</v>
          </cell>
          <cell r="T308" t="str">
            <v>GEORGES NAKHOUL</v>
          </cell>
          <cell r="U308" t="str">
            <v>I H S</v>
          </cell>
        </row>
        <row r="309">
          <cell r="A309" t="str">
            <v>LIT_102</v>
          </cell>
          <cell r="B309" t="str">
            <v>IHS_DLA_104</v>
          </cell>
          <cell r="C309" t="str">
            <v>LIT_102</v>
          </cell>
          <cell r="D309" t="str">
            <v>Littoral</v>
          </cell>
          <cell r="E309" t="str">
            <v>Littoral</v>
          </cell>
          <cell r="F309" t="str">
            <v>Omnisport</v>
          </cell>
          <cell r="G309" t="str">
            <v>P4</v>
          </cell>
          <cell r="H309" t="str">
            <v>Grid Only</v>
          </cell>
          <cell r="I309" t="str">
            <v>On Air</v>
          </cell>
          <cell r="J309" t="str">
            <v>Indoor</v>
          </cell>
          <cell r="K309" t="str">
            <v>AC</v>
          </cell>
          <cell r="L309" t="str">
            <v>SAGEMCOM</v>
          </cell>
          <cell r="M309" t="str">
            <v>Bepanda</v>
          </cell>
          <cell r="N309" t="str">
            <v>WOURI</v>
          </cell>
          <cell r="O309" t="str">
            <v>Douala 5</v>
          </cell>
          <cell r="P309" t="str">
            <v>Armel Tchokonte</v>
          </cell>
          <cell r="Q309">
            <v>655021899</v>
          </cell>
          <cell r="R309">
            <v>652269669</v>
          </cell>
          <cell r="S309" t="str">
            <v>Valery Doudou</v>
          </cell>
          <cell r="T309" t="str">
            <v>GEORGES NAKHOUL</v>
          </cell>
          <cell r="U309" t="str">
            <v>I H S</v>
          </cell>
        </row>
        <row r="310">
          <cell r="A310" t="str">
            <v>LIT_098</v>
          </cell>
          <cell r="B310" t="str">
            <v>IHS_DLA_138</v>
          </cell>
          <cell r="C310" t="str">
            <v>LIT_098</v>
          </cell>
          <cell r="D310" t="str">
            <v>Littoral</v>
          </cell>
          <cell r="E310" t="str">
            <v>Littoral</v>
          </cell>
          <cell r="F310" t="str">
            <v>Cite-Sic</v>
          </cell>
          <cell r="G310" t="str">
            <v>P4</v>
          </cell>
          <cell r="H310" t="str">
            <v>Grid-Gen</v>
          </cell>
          <cell r="I310" t="str">
            <v>On Air</v>
          </cell>
          <cell r="J310" t="str">
            <v>Indoor</v>
          </cell>
          <cell r="K310" t="str">
            <v>AC</v>
          </cell>
          <cell r="L310" t="str">
            <v>SAGEMCOM</v>
          </cell>
          <cell r="M310" t="str">
            <v>Ndogbong</v>
          </cell>
          <cell r="N310" t="str">
            <v>WOURI</v>
          </cell>
          <cell r="O310" t="str">
            <v>Douala 3</v>
          </cell>
          <cell r="P310" t="str">
            <v>Armel Tchokonte</v>
          </cell>
          <cell r="Q310">
            <v>655021899</v>
          </cell>
          <cell r="R310">
            <v>652269669</v>
          </cell>
          <cell r="S310" t="str">
            <v>Valery Doudou</v>
          </cell>
          <cell r="T310" t="str">
            <v>GEORGES NAKHOUL</v>
          </cell>
          <cell r="U310" t="str">
            <v>I H S</v>
          </cell>
        </row>
        <row r="311">
          <cell r="A311" t="str">
            <v>LIT_050</v>
          </cell>
          <cell r="B311" t="str">
            <v>IHS_DLA_178</v>
          </cell>
          <cell r="C311" t="str">
            <v>LIT_050</v>
          </cell>
          <cell r="D311" t="str">
            <v>Littoral</v>
          </cell>
          <cell r="E311" t="str">
            <v>Littoral</v>
          </cell>
          <cell r="F311" t="str">
            <v>Bepanda</v>
          </cell>
          <cell r="G311" t="str">
            <v>P4</v>
          </cell>
          <cell r="H311" t="str">
            <v>Grid Only</v>
          </cell>
          <cell r="I311" t="str">
            <v>On Air</v>
          </cell>
          <cell r="J311" t="str">
            <v>Indoor</v>
          </cell>
          <cell r="K311" t="str">
            <v>AC</v>
          </cell>
          <cell r="L311" t="str">
            <v>SAGEMCOM</v>
          </cell>
          <cell r="M311" t="str">
            <v>Bepanda</v>
          </cell>
          <cell r="N311" t="str">
            <v>WOURI</v>
          </cell>
          <cell r="O311" t="str">
            <v>Douala 5</v>
          </cell>
          <cell r="P311" t="str">
            <v>Armel Tchokonte</v>
          </cell>
          <cell r="Q311">
            <v>655021899</v>
          </cell>
          <cell r="R311">
            <v>652269669</v>
          </cell>
          <cell r="S311" t="str">
            <v>Valery Doudou</v>
          </cell>
          <cell r="T311" t="str">
            <v>GEORGES NAKHOUL</v>
          </cell>
          <cell r="U311" t="str">
            <v>I H S</v>
          </cell>
        </row>
        <row r="312">
          <cell r="A312" t="str">
            <v>LIT_404</v>
          </cell>
          <cell r="B312" t="str">
            <v>IHS_DLA_140</v>
          </cell>
          <cell r="C312" t="str">
            <v>LIT_404</v>
          </cell>
          <cell r="D312" t="str">
            <v>Littoral</v>
          </cell>
          <cell r="E312" t="str">
            <v>Littoral</v>
          </cell>
          <cell r="F312" t="str">
            <v>NR-Cite</v>
          </cell>
          <cell r="G312" t="str">
            <v>P4</v>
          </cell>
          <cell r="H312" t="str">
            <v>Grid-Gen</v>
          </cell>
          <cell r="I312" t="str">
            <v>On Air</v>
          </cell>
          <cell r="J312" t="str">
            <v>Outdoor</v>
          </cell>
          <cell r="K312" t="str">
            <v>AC</v>
          </cell>
          <cell r="L312" t="str">
            <v>SAGEMCOM</v>
          </cell>
          <cell r="M312" t="str">
            <v>Ndogbong</v>
          </cell>
          <cell r="N312" t="str">
            <v>WOURI</v>
          </cell>
          <cell r="O312" t="str">
            <v>Douala 3</v>
          </cell>
          <cell r="P312" t="str">
            <v>Armel Tchokonte</v>
          </cell>
          <cell r="Q312">
            <v>655021899</v>
          </cell>
          <cell r="R312">
            <v>652269669</v>
          </cell>
          <cell r="S312" t="str">
            <v>Valery Doudou</v>
          </cell>
          <cell r="T312" t="str">
            <v>GEORGES NAKHOUL</v>
          </cell>
          <cell r="U312" t="str">
            <v>I H S</v>
          </cell>
        </row>
        <row r="313">
          <cell r="A313" t="str">
            <v>LIT_435</v>
          </cell>
          <cell r="B313" t="str">
            <v>IHS_DLA_443</v>
          </cell>
          <cell r="C313" t="str">
            <v>LIT_435</v>
          </cell>
          <cell r="D313" t="str">
            <v>Littoral</v>
          </cell>
          <cell r="E313" t="str">
            <v>Littoral</v>
          </cell>
          <cell r="F313" t="str">
            <v>Bonassama IHS</v>
          </cell>
          <cell r="G313" t="str">
            <v>P4</v>
          </cell>
          <cell r="H313" t="str">
            <v>Grid-Gen</v>
          </cell>
          <cell r="I313" t="str">
            <v>On Air</v>
          </cell>
          <cell r="J313" t="str">
            <v>Outdoor</v>
          </cell>
          <cell r="K313" t="str">
            <v>AC</v>
          </cell>
          <cell r="L313" t="str">
            <v>SAGEMCOM</v>
          </cell>
          <cell r="M313" t="str">
            <v>Bonaberi</v>
          </cell>
          <cell r="N313" t="str">
            <v>WOURI</v>
          </cell>
          <cell r="O313" t="str">
            <v>Douala 4</v>
          </cell>
          <cell r="P313" t="str">
            <v>Armel Tchokonte</v>
          </cell>
          <cell r="Q313">
            <v>655021899</v>
          </cell>
          <cell r="R313">
            <v>652269669</v>
          </cell>
          <cell r="S313" t="str">
            <v>Valery Doudou</v>
          </cell>
          <cell r="T313" t="str">
            <v>GEORGES NAKHOUL</v>
          </cell>
          <cell r="U313" t="str">
            <v>I H S</v>
          </cell>
        </row>
        <row r="314">
          <cell r="A314" t="str">
            <v>LIT_161</v>
          </cell>
          <cell r="B314" t="str">
            <v>IHS_DLA_405</v>
          </cell>
          <cell r="C314" t="str">
            <v>LIT_161</v>
          </cell>
          <cell r="D314" t="str">
            <v>Littoral</v>
          </cell>
          <cell r="E314" t="str">
            <v>Littoral</v>
          </cell>
          <cell r="F314" t="str">
            <v>Cite-Sic_II-T0</v>
          </cell>
          <cell r="G314" t="str">
            <v>P4</v>
          </cell>
          <cell r="H314" t="str">
            <v>Grid Only</v>
          </cell>
          <cell r="I314" t="str">
            <v>On Air</v>
          </cell>
          <cell r="J314" t="str">
            <v>Outdoor</v>
          </cell>
          <cell r="K314" t="str">
            <v>AC</v>
          </cell>
          <cell r="L314" t="str">
            <v>SAGEMCOM</v>
          </cell>
          <cell r="M314" t="str">
            <v>Ndogbong</v>
          </cell>
          <cell r="N314" t="str">
            <v>WOURI</v>
          </cell>
          <cell r="O314" t="str">
            <v>Douala 3</v>
          </cell>
          <cell r="P314" t="str">
            <v>Armel Tchokonte</v>
          </cell>
          <cell r="Q314">
            <v>655021899</v>
          </cell>
          <cell r="R314">
            <v>652269669</v>
          </cell>
          <cell r="S314" t="str">
            <v>Valery Doudou</v>
          </cell>
          <cell r="T314" t="str">
            <v>GEORGES NAKHOUL</v>
          </cell>
          <cell r="U314" t="str">
            <v>I H S</v>
          </cell>
        </row>
        <row r="315">
          <cell r="A315" t="str">
            <v>LIT_160</v>
          </cell>
          <cell r="B315" t="str">
            <v>IHS_DLA_407</v>
          </cell>
          <cell r="C315" t="str">
            <v>LIT_160</v>
          </cell>
          <cell r="D315" t="str">
            <v>Littoral</v>
          </cell>
          <cell r="E315" t="str">
            <v>Littoral</v>
          </cell>
          <cell r="F315" t="str">
            <v>Fin-Goudron-Mt-ESSEC</v>
          </cell>
          <cell r="G315" t="str">
            <v>P4</v>
          </cell>
          <cell r="H315" t="str">
            <v>Grid-Gen</v>
          </cell>
          <cell r="I315" t="str">
            <v>On Air</v>
          </cell>
          <cell r="J315" t="str">
            <v>Outdoor</v>
          </cell>
          <cell r="K315" t="str">
            <v>AC</v>
          </cell>
          <cell r="L315" t="str">
            <v>SAGEMCOM</v>
          </cell>
          <cell r="M315" t="str">
            <v>Bepanda</v>
          </cell>
          <cell r="N315" t="str">
            <v>WOURI</v>
          </cell>
          <cell r="O315" t="str">
            <v>Douala 5</v>
          </cell>
          <cell r="P315" t="str">
            <v>Armel Tchokonte</v>
          </cell>
          <cell r="Q315">
            <v>655021899</v>
          </cell>
          <cell r="R315">
            <v>652269669</v>
          </cell>
          <cell r="S315" t="str">
            <v>Valery Doudou</v>
          </cell>
          <cell r="T315" t="str">
            <v>GEORGES NAKHOUL</v>
          </cell>
          <cell r="U315" t="str">
            <v>I H S</v>
          </cell>
        </row>
        <row r="316">
          <cell r="A316" t="str">
            <v>LIT_024</v>
          </cell>
          <cell r="B316" t="str">
            <v>IHS_DLA_163</v>
          </cell>
          <cell r="C316" t="str">
            <v>LIT_024</v>
          </cell>
          <cell r="D316" t="str">
            <v>Littoral</v>
          </cell>
          <cell r="E316" t="str">
            <v>Littoral</v>
          </cell>
          <cell r="F316" t="str">
            <v>Socaver</v>
          </cell>
          <cell r="G316" t="str">
            <v>P4</v>
          </cell>
          <cell r="H316" t="str">
            <v>Grid-Gen</v>
          </cell>
          <cell r="I316" t="str">
            <v>On Air</v>
          </cell>
          <cell r="J316" t="str">
            <v>Indoor</v>
          </cell>
          <cell r="K316" t="str">
            <v>AC</v>
          </cell>
          <cell r="L316" t="str">
            <v>SAGEMCOM</v>
          </cell>
          <cell r="M316" t="str">
            <v>Ndogbong</v>
          </cell>
          <cell r="N316" t="str">
            <v>WOURI</v>
          </cell>
          <cell r="O316" t="str">
            <v>Douala 5</v>
          </cell>
          <cell r="P316" t="str">
            <v>Armel Tchokonte</v>
          </cell>
          <cell r="Q316">
            <v>655021899</v>
          </cell>
          <cell r="R316">
            <v>652269669</v>
          </cell>
          <cell r="S316" t="str">
            <v>Valery Doudou</v>
          </cell>
          <cell r="T316" t="str">
            <v>GEORGES NAKHOUL</v>
          </cell>
          <cell r="U316" t="str">
            <v>I H S</v>
          </cell>
        </row>
        <row r="317">
          <cell r="A317" t="str">
            <v>LIT_396</v>
          </cell>
          <cell r="B317" t="str">
            <v>IHS_DLA_148</v>
          </cell>
          <cell r="C317" t="str">
            <v>LIT_396</v>
          </cell>
          <cell r="D317" t="str">
            <v>Littoral</v>
          </cell>
          <cell r="E317" t="str">
            <v>Littoral</v>
          </cell>
          <cell r="F317" t="str">
            <v>Bonateki-MRS</v>
          </cell>
          <cell r="G317" t="str">
            <v>P4</v>
          </cell>
          <cell r="H317" t="str">
            <v>Grid-Gen</v>
          </cell>
          <cell r="I317" t="str">
            <v>On Air</v>
          </cell>
          <cell r="J317" t="str">
            <v>Outdoor</v>
          </cell>
          <cell r="K317" t="str">
            <v>AC</v>
          </cell>
          <cell r="L317" t="str">
            <v>SAGEMCOM</v>
          </cell>
          <cell r="M317" t="str">
            <v>Bepanda</v>
          </cell>
          <cell r="N317" t="str">
            <v>WOURI</v>
          </cell>
          <cell r="O317" t="str">
            <v>Douala 5</v>
          </cell>
          <cell r="P317" t="str">
            <v>Armel Tchokonte</v>
          </cell>
          <cell r="Q317">
            <v>655021899</v>
          </cell>
          <cell r="R317">
            <v>652269669</v>
          </cell>
          <cell r="S317" t="str">
            <v>Valery Doudou</v>
          </cell>
          <cell r="T317" t="str">
            <v>GEORGES NAKHOUL</v>
          </cell>
          <cell r="U317" t="str">
            <v>I H S</v>
          </cell>
        </row>
        <row r="318">
          <cell r="A318" t="str">
            <v>LIT_378</v>
          </cell>
          <cell r="B318" t="str">
            <v>IHS_DLA_176</v>
          </cell>
          <cell r="C318" t="str">
            <v>LIT_378</v>
          </cell>
          <cell r="D318" t="str">
            <v>Littoral</v>
          </cell>
          <cell r="E318" t="str">
            <v>Littoral</v>
          </cell>
          <cell r="F318" t="str">
            <v>Bonewonda-II</v>
          </cell>
          <cell r="G318" t="str">
            <v>P4</v>
          </cell>
          <cell r="H318" t="str">
            <v>Grid-Gen</v>
          </cell>
          <cell r="I318" t="str">
            <v>On Air</v>
          </cell>
          <cell r="J318" t="str">
            <v>Outdoor</v>
          </cell>
          <cell r="K318" t="str">
            <v>AC</v>
          </cell>
          <cell r="L318" t="str">
            <v>SAGEMCOM</v>
          </cell>
          <cell r="M318" t="str">
            <v>Bepanda</v>
          </cell>
          <cell r="N318" t="str">
            <v>WOURI</v>
          </cell>
          <cell r="O318" t="str">
            <v>Douala 5</v>
          </cell>
          <cell r="P318" t="str">
            <v>Armel Tchokonte</v>
          </cell>
          <cell r="Q318">
            <v>655021899</v>
          </cell>
          <cell r="R318">
            <v>652269669</v>
          </cell>
          <cell r="S318" t="str">
            <v>Valery Doudou</v>
          </cell>
          <cell r="T318" t="str">
            <v>GEORGES NAKHOUL</v>
          </cell>
          <cell r="U318" t="str">
            <v>I H S</v>
          </cell>
        </row>
        <row r="319">
          <cell r="A319" t="str">
            <v>LIT_444</v>
          </cell>
          <cell r="B319" t="str">
            <v>IHS_DLA_448</v>
          </cell>
          <cell r="C319" t="str">
            <v>LIT_444</v>
          </cell>
          <cell r="D319" t="str">
            <v>Littoral</v>
          </cell>
          <cell r="E319" t="str">
            <v>Littoral</v>
          </cell>
          <cell r="F319" t="str">
            <v>Bonaberi Q des Prince</v>
          </cell>
          <cell r="G319" t="str">
            <v>P4</v>
          </cell>
          <cell r="H319" t="str">
            <v>Grid-Gen</v>
          </cell>
          <cell r="I319" t="str">
            <v>On Air</v>
          </cell>
          <cell r="J319" t="str">
            <v>Outdoor</v>
          </cell>
          <cell r="K319" t="str">
            <v>AC</v>
          </cell>
          <cell r="L319" t="str">
            <v>SAGEMCOM</v>
          </cell>
          <cell r="M319" t="str">
            <v>Bonaberi</v>
          </cell>
          <cell r="N319" t="str">
            <v>WOURI</v>
          </cell>
          <cell r="O319" t="str">
            <v>Douala 4</v>
          </cell>
          <cell r="P319" t="str">
            <v>Armel Tchokonte</v>
          </cell>
          <cell r="Q319">
            <v>655021899</v>
          </cell>
          <cell r="R319">
            <v>652269669</v>
          </cell>
          <cell r="S319" t="str">
            <v>Valery Doudou</v>
          </cell>
          <cell r="T319" t="str">
            <v>GEORGES NAKHOUL</v>
          </cell>
          <cell r="U319" t="str">
            <v>I H S</v>
          </cell>
        </row>
        <row r="320">
          <cell r="A320" t="str">
            <v>LIT_092</v>
          </cell>
          <cell r="B320" t="str">
            <v>IHS_DLA_158</v>
          </cell>
          <cell r="C320" t="str">
            <v>LIT_092</v>
          </cell>
          <cell r="D320" t="str">
            <v>Littoral</v>
          </cell>
          <cell r="E320" t="str">
            <v>Littoral</v>
          </cell>
          <cell r="F320" t="str">
            <v>Bep-Yonyong</v>
          </cell>
          <cell r="G320" t="str">
            <v>P4</v>
          </cell>
          <cell r="H320" t="str">
            <v>Grid Only</v>
          </cell>
          <cell r="I320" t="str">
            <v>On Air</v>
          </cell>
          <cell r="J320" t="str">
            <v>Indoor</v>
          </cell>
          <cell r="K320" t="str">
            <v>AC</v>
          </cell>
          <cell r="L320" t="str">
            <v>SAGEMCOM</v>
          </cell>
          <cell r="M320" t="str">
            <v>Bepanda</v>
          </cell>
          <cell r="N320" t="str">
            <v>WOURI</v>
          </cell>
          <cell r="O320" t="str">
            <v>Douala 5</v>
          </cell>
          <cell r="P320" t="str">
            <v>Armel Tchokonte</v>
          </cell>
          <cell r="Q320">
            <v>655021899</v>
          </cell>
          <cell r="R320">
            <v>652269669</v>
          </cell>
          <cell r="S320" t="str">
            <v>Valery Doudou</v>
          </cell>
          <cell r="T320" t="str">
            <v>GEORGES NAKHOUL</v>
          </cell>
          <cell r="U320" t="str">
            <v>I H S</v>
          </cell>
        </row>
        <row r="321">
          <cell r="A321" t="str">
            <v>LIT_044</v>
          </cell>
          <cell r="B321" t="str">
            <v>IHS_DLA_183</v>
          </cell>
          <cell r="C321" t="str">
            <v>LIT_044</v>
          </cell>
          <cell r="D321" t="str">
            <v>Littoral</v>
          </cell>
          <cell r="E321" t="str">
            <v>Littoral</v>
          </cell>
          <cell r="F321" t="str">
            <v>Bmouang-Terminus</v>
          </cell>
          <cell r="G321" t="str">
            <v>P4</v>
          </cell>
          <cell r="H321" t="str">
            <v>Grid-Gen</v>
          </cell>
          <cell r="I321" t="str">
            <v>On Air</v>
          </cell>
          <cell r="J321" t="str">
            <v>Indoor</v>
          </cell>
          <cell r="K321" t="str">
            <v>AC</v>
          </cell>
          <cell r="L321" t="str">
            <v>SAGEMCOM</v>
          </cell>
          <cell r="M321" t="str">
            <v>Bepanda</v>
          </cell>
          <cell r="N321" t="str">
            <v>WOURI</v>
          </cell>
          <cell r="O321" t="str">
            <v>Douala 5</v>
          </cell>
          <cell r="P321" t="str">
            <v>Armel Tchokonte</v>
          </cell>
          <cell r="Q321">
            <v>655021899</v>
          </cell>
          <cell r="R321">
            <v>652269669</v>
          </cell>
          <cell r="S321" t="str">
            <v>Valery Doudou</v>
          </cell>
          <cell r="T321" t="str">
            <v>GEORGES NAKHOUL</v>
          </cell>
          <cell r="U321" t="str">
            <v>I H S</v>
          </cell>
        </row>
        <row r="322">
          <cell r="A322" t="str">
            <v>LIT_046</v>
          </cell>
          <cell r="B322" t="str">
            <v>IHS_BNB_016</v>
          </cell>
          <cell r="C322" t="str">
            <v>LIT_046</v>
          </cell>
          <cell r="D322" t="str">
            <v>Littoral</v>
          </cell>
          <cell r="E322" t="str">
            <v>Littoral</v>
          </cell>
          <cell r="F322" t="str">
            <v>Du-Levant</v>
          </cell>
          <cell r="G322" t="str">
            <v>P4</v>
          </cell>
          <cell r="H322" t="str">
            <v>Grid-Gen</v>
          </cell>
          <cell r="I322" t="str">
            <v>On Air</v>
          </cell>
          <cell r="J322" t="str">
            <v>Indoor</v>
          </cell>
          <cell r="K322" t="str">
            <v>AC</v>
          </cell>
          <cell r="L322" t="str">
            <v>SAGEMCOM</v>
          </cell>
          <cell r="M322" t="str">
            <v>Bonaberi</v>
          </cell>
          <cell r="N322" t="str">
            <v>WOURI</v>
          </cell>
          <cell r="O322" t="str">
            <v>Douala 4</v>
          </cell>
          <cell r="P322" t="str">
            <v>Armel Tchokonte</v>
          </cell>
          <cell r="Q322">
            <v>655021899</v>
          </cell>
          <cell r="R322">
            <v>652269669</v>
          </cell>
          <cell r="S322" t="str">
            <v>Valery Doudou</v>
          </cell>
          <cell r="T322" t="str">
            <v>GEORGES NAKHOUL</v>
          </cell>
          <cell r="U322" t="str">
            <v>I H S</v>
          </cell>
        </row>
        <row r="323">
          <cell r="A323" t="str">
            <v>LIT_034</v>
          </cell>
          <cell r="B323" t="str">
            <v>IHS_DLA_123</v>
          </cell>
          <cell r="C323" t="str">
            <v>LIT_034</v>
          </cell>
          <cell r="D323" t="str">
            <v>Littoral</v>
          </cell>
          <cell r="E323" t="str">
            <v>Littoral</v>
          </cell>
          <cell r="F323" t="str">
            <v>BP-Cite</v>
          </cell>
          <cell r="G323" t="str">
            <v>P4</v>
          </cell>
          <cell r="H323" t="str">
            <v>Grid Only</v>
          </cell>
          <cell r="I323" t="str">
            <v>On Air</v>
          </cell>
          <cell r="J323" t="str">
            <v>Indoor</v>
          </cell>
          <cell r="K323" t="str">
            <v>AC</v>
          </cell>
          <cell r="L323" t="str">
            <v>SAGEMCOM</v>
          </cell>
          <cell r="M323" t="str">
            <v>Ndogbong</v>
          </cell>
          <cell r="N323" t="str">
            <v>WOURI</v>
          </cell>
          <cell r="O323" t="str">
            <v>Douala 3</v>
          </cell>
          <cell r="P323" t="str">
            <v>Armel Tchokonte</v>
          </cell>
          <cell r="Q323">
            <v>655021899</v>
          </cell>
          <cell r="R323">
            <v>652269669</v>
          </cell>
          <cell r="S323" t="str">
            <v>Valery Doudou</v>
          </cell>
          <cell r="T323" t="str">
            <v>GEORGES NAKHOUL</v>
          </cell>
          <cell r="U323" t="str">
            <v>I H S</v>
          </cell>
        </row>
        <row r="324">
          <cell r="A324" t="str">
            <v>LIT_342</v>
          </cell>
          <cell r="B324" t="str">
            <v>IHS_DLA_199</v>
          </cell>
          <cell r="C324" t="str">
            <v>LIT_342</v>
          </cell>
          <cell r="D324" t="str">
            <v>Littoral</v>
          </cell>
          <cell r="E324" t="str">
            <v>Littoral</v>
          </cell>
          <cell r="F324" t="str">
            <v>Logbaba-SONEL</v>
          </cell>
          <cell r="G324" t="str">
            <v>P4</v>
          </cell>
          <cell r="H324" t="str">
            <v>Grid Only</v>
          </cell>
          <cell r="I324" t="str">
            <v>On Air</v>
          </cell>
          <cell r="J324" t="str">
            <v>Outdoor</v>
          </cell>
          <cell r="K324" t="str">
            <v>AC</v>
          </cell>
          <cell r="L324" t="str">
            <v>SAGEMCOM</v>
          </cell>
          <cell r="M324" t="str">
            <v>Ndogbong</v>
          </cell>
          <cell r="N324" t="str">
            <v>WOURI</v>
          </cell>
          <cell r="O324" t="str">
            <v>Douala 3</v>
          </cell>
          <cell r="P324" t="str">
            <v>Armel Tchokonte</v>
          </cell>
          <cell r="Q324">
            <v>655021899</v>
          </cell>
          <cell r="R324">
            <v>652269669</v>
          </cell>
          <cell r="S324" t="str">
            <v>Valery Doudou</v>
          </cell>
          <cell r="T324" t="str">
            <v>GEORGES NAKHOUL</v>
          </cell>
          <cell r="U324" t="str">
            <v>I H S</v>
          </cell>
        </row>
        <row r="325">
          <cell r="A325" t="str">
            <v>LIT_405</v>
          </cell>
          <cell r="B325" t="str">
            <v>IHS_DLA_122</v>
          </cell>
          <cell r="C325" t="str">
            <v>LIT_405</v>
          </cell>
          <cell r="D325" t="str">
            <v>Littoral</v>
          </cell>
          <cell r="E325" t="str">
            <v>Littoral</v>
          </cell>
          <cell r="F325" t="str">
            <v>Bepanda-Omnisport</v>
          </cell>
          <cell r="G325" t="str">
            <v>P4</v>
          </cell>
          <cell r="H325" t="str">
            <v>Grid-Gen</v>
          </cell>
          <cell r="I325" t="str">
            <v>On Air</v>
          </cell>
          <cell r="J325" t="str">
            <v>Outdoor</v>
          </cell>
          <cell r="K325" t="str">
            <v>AC</v>
          </cell>
          <cell r="L325" t="str">
            <v>SAGEMCOM</v>
          </cell>
          <cell r="M325" t="str">
            <v>Bepanda</v>
          </cell>
          <cell r="N325" t="str">
            <v>WOURI</v>
          </cell>
          <cell r="O325" t="str">
            <v>Douala 1</v>
          </cell>
          <cell r="P325" t="str">
            <v>Armel Tchokonte</v>
          </cell>
          <cell r="Q325">
            <v>655021899</v>
          </cell>
          <cell r="R325">
            <v>652269669</v>
          </cell>
          <cell r="S325" t="str">
            <v>Valery Doudou</v>
          </cell>
          <cell r="T325" t="str">
            <v>GEORGES NAKHOUL</v>
          </cell>
          <cell r="U325" t="str">
            <v>I H S</v>
          </cell>
        </row>
        <row r="326">
          <cell r="A326" t="str">
            <v>LIT_621</v>
          </cell>
          <cell r="B326" t="str">
            <v>IHS_BNB_103</v>
          </cell>
          <cell r="C326" t="str">
            <v>LIT_621</v>
          </cell>
          <cell r="D326" t="str">
            <v>Littoral</v>
          </cell>
          <cell r="E326" t="str">
            <v>Littoral</v>
          </cell>
          <cell r="F326" t="str">
            <v>Minkwele2</v>
          </cell>
          <cell r="G326" t="str">
            <v>P4</v>
          </cell>
          <cell r="H326" t="str">
            <v>Grid-Gen</v>
          </cell>
          <cell r="I326" t="str">
            <v>On Air</v>
          </cell>
          <cell r="J326" t="str">
            <v>Outdoor</v>
          </cell>
          <cell r="K326" t="str">
            <v>AC</v>
          </cell>
          <cell r="L326" t="str">
            <v>SAGEMCOM</v>
          </cell>
          <cell r="M326" t="str">
            <v>Bonaberi</v>
          </cell>
          <cell r="N326" t="str">
            <v>WOURI</v>
          </cell>
          <cell r="O326" t="str">
            <v>Douala 4</v>
          </cell>
          <cell r="P326" t="str">
            <v>Armel Tchokonte</v>
          </cell>
          <cell r="Q326">
            <v>655021899</v>
          </cell>
          <cell r="R326">
            <v>652269669</v>
          </cell>
          <cell r="S326" t="str">
            <v>Valery Doudou</v>
          </cell>
          <cell r="T326" t="str">
            <v>GEORGES NAKHOUL</v>
          </cell>
          <cell r="U326" t="str">
            <v>I H S</v>
          </cell>
        </row>
        <row r="327">
          <cell r="A327" t="str">
            <v>LIT_488</v>
          </cell>
          <cell r="B327" t="str">
            <v>IHS_DLA_468</v>
          </cell>
          <cell r="C327" t="str">
            <v>LIT_488</v>
          </cell>
          <cell r="D327" t="str">
            <v>Littoral</v>
          </cell>
          <cell r="E327" t="str">
            <v>Littoral</v>
          </cell>
          <cell r="F327" t="str">
            <v>Mabanda 3</v>
          </cell>
          <cell r="G327" t="str">
            <v>P4</v>
          </cell>
          <cell r="H327" t="str">
            <v>Grid-Gen</v>
          </cell>
          <cell r="I327" t="str">
            <v>On Air</v>
          </cell>
          <cell r="J327" t="str">
            <v>Outdoor</v>
          </cell>
          <cell r="K327" t="str">
            <v>AC</v>
          </cell>
          <cell r="L327" t="str">
            <v>SAGEMCOM</v>
          </cell>
          <cell r="M327" t="str">
            <v>AKWA</v>
          </cell>
          <cell r="N327" t="str">
            <v>WOURI</v>
          </cell>
          <cell r="O327" t="str">
            <v>Douala 4</v>
          </cell>
          <cell r="P327" t="str">
            <v>Armel Tchokonte</v>
          </cell>
          <cell r="Q327">
            <v>655021899</v>
          </cell>
          <cell r="R327">
            <v>652269669</v>
          </cell>
          <cell r="S327" t="str">
            <v>Valery Doudou</v>
          </cell>
          <cell r="T327" t="str">
            <v>GEORGES NAKHOUL</v>
          </cell>
          <cell r="U327" t="str">
            <v>I H S</v>
          </cell>
        </row>
        <row r="328">
          <cell r="A328" t="str">
            <v>LIT_747</v>
          </cell>
          <cell r="B328" t="str">
            <v>IHS_DLA_404</v>
          </cell>
          <cell r="C328" t="str">
            <v>LIT_747</v>
          </cell>
          <cell r="D328" t="str">
            <v>Littoral</v>
          </cell>
          <cell r="E328" t="str">
            <v>Littoral</v>
          </cell>
          <cell r="F328" t="str">
            <v>Magzi</v>
          </cell>
          <cell r="G328" t="str">
            <v>P4</v>
          </cell>
          <cell r="H328" t="str">
            <v>Grid-Gen</v>
          </cell>
          <cell r="I328">
            <v>0</v>
          </cell>
          <cell r="J328" t="str">
            <v>Outdoor</v>
          </cell>
          <cell r="K328" t="str">
            <v>AC</v>
          </cell>
          <cell r="L328" t="str">
            <v>SAGEMCOM</v>
          </cell>
          <cell r="M328" t="str">
            <v>AKWA</v>
          </cell>
          <cell r="N328" t="str">
            <v>WOURI</v>
          </cell>
          <cell r="O328" t="str">
            <v>Douala 4</v>
          </cell>
          <cell r="P328" t="str">
            <v>Armel Tchokonte</v>
          </cell>
          <cell r="Q328">
            <v>655021899</v>
          </cell>
          <cell r="R328">
            <v>652269669</v>
          </cell>
          <cell r="S328" t="str">
            <v>Valery Doudou</v>
          </cell>
          <cell r="T328" t="str">
            <v>GEORGES NAKHOUL</v>
          </cell>
          <cell r="U328" t="str">
            <v>I H S</v>
          </cell>
        </row>
        <row r="329">
          <cell r="A329" t="str">
            <v>LIT_485</v>
          </cell>
          <cell r="B329" t="str">
            <v>IHS_DLA_423</v>
          </cell>
          <cell r="C329" t="str">
            <v>LIT_485</v>
          </cell>
          <cell r="D329" t="str">
            <v>Littoral</v>
          </cell>
          <cell r="E329" t="str">
            <v>Littoral</v>
          </cell>
          <cell r="F329" t="str">
            <v>Crf Mutzig</v>
          </cell>
          <cell r="G329" t="str">
            <v>P4</v>
          </cell>
          <cell r="H329" t="str">
            <v>Grid-Gen</v>
          </cell>
          <cell r="I329" t="str">
            <v>On Air</v>
          </cell>
          <cell r="J329" t="str">
            <v>Outdoor</v>
          </cell>
          <cell r="K329" t="str">
            <v>AC</v>
          </cell>
          <cell r="L329" t="str">
            <v>SAGEMCOM</v>
          </cell>
          <cell r="M329" t="str">
            <v>Bonaberi</v>
          </cell>
          <cell r="N329" t="str">
            <v>WOURI</v>
          </cell>
          <cell r="O329" t="str">
            <v>Douala 4</v>
          </cell>
          <cell r="P329" t="str">
            <v>Armel Tchokonte</v>
          </cell>
          <cell r="Q329">
            <v>655021899</v>
          </cell>
          <cell r="R329">
            <v>652269669</v>
          </cell>
          <cell r="S329" t="str">
            <v>Valery Doudou</v>
          </cell>
          <cell r="T329" t="str">
            <v>GEORGES NAKHOUL</v>
          </cell>
          <cell r="U329" t="str">
            <v>I H S</v>
          </cell>
        </row>
        <row r="330">
          <cell r="A330" t="str">
            <v>LIT_597</v>
          </cell>
          <cell r="B330" t="str">
            <v>IHS_BNB_026</v>
          </cell>
          <cell r="C330" t="str">
            <v>LIT_597</v>
          </cell>
          <cell r="D330" t="str">
            <v>Littoral</v>
          </cell>
          <cell r="E330" t="str">
            <v>Littoral</v>
          </cell>
          <cell r="F330" t="str">
            <v>Bberi-warehouse-IHS</v>
          </cell>
          <cell r="G330" t="str">
            <v>P4</v>
          </cell>
          <cell r="H330" t="str">
            <v>Grid-Gen</v>
          </cell>
          <cell r="I330" t="str">
            <v>On Air</v>
          </cell>
          <cell r="J330" t="str">
            <v>Indoor</v>
          </cell>
          <cell r="K330" t="str">
            <v>AC</v>
          </cell>
          <cell r="L330" t="str">
            <v>SAGEMCOM</v>
          </cell>
          <cell r="M330" t="str">
            <v>Bonaberi</v>
          </cell>
          <cell r="N330" t="str">
            <v>WOURI</v>
          </cell>
          <cell r="O330" t="str">
            <v>Douala 4</v>
          </cell>
          <cell r="P330" t="str">
            <v>Armel Tchokonte</v>
          </cell>
          <cell r="Q330">
            <v>655021899</v>
          </cell>
          <cell r="R330">
            <v>652269669</v>
          </cell>
          <cell r="S330" t="str">
            <v>Valery Doudou</v>
          </cell>
          <cell r="T330" t="str">
            <v>GEORGES NAKHOUL</v>
          </cell>
          <cell r="U330" t="str">
            <v>I H S</v>
          </cell>
        </row>
        <row r="331">
          <cell r="A331" t="str">
            <v>LIT_137</v>
          </cell>
          <cell r="B331" t="str">
            <v>IHS_BNB_012</v>
          </cell>
          <cell r="C331" t="str">
            <v>LIT_137</v>
          </cell>
          <cell r="D331" t="str">
            <v>Littoral</v>
          </cell>
          <cell r="E331" t="str">
            <v>Littoral</v>
          </cell>
          <cell r="F331" t="str">
            <v>Sodiko-Gare-Rtiere-IHS</v>
          </cell>
          <cell r="G331" t="str">
            <v>P4</v>
          </cell>
          <cell r="H331" t="str">
            <v>Grid-Gen</v>
          </cell>
          <cell r="I331" t="str">
            <v>On Air</v>
          </cell>
          <cell r="J331" t="str">
            <v>Outdoor</v>
          </cell>
          <cell r="K331" t="str">
            <v>AC</v>
          </cell>
          <cell r="L331" t="str">
            <v>SAGEMCOM</v>
          </cell>
          <cell r="M331" t="str">
            <v>Bonaberi</v>
          </cell>
          <cell r="N331" t="str">
            <v>WOURI</v>
          </cell>
          <cell r="O331" t="str">
            <v>Douala 4</v>
          </cell>
          <cell r="P331" t="str">
            <v>Armel Tchokonte</v>
          </cell>
          <cell r="Q331">
            <v>655021899</v>
          </cell>
          <cell r="R331">
            <v>652269669</v>
          </cell>
          <cell r="S331" t="str">
            <v>Valery Doudou</v>
          </cell>
          <cell r="T331" t="str">
            <v>GEORGES NAKHOUL</v>
          </cell>
          <cell r="U331" t="str">
            <v>I H S</v>
          </cell>
        </row>
        <row r="332">
          <cell r="A332" t="str">
            <v>LIT_155</v>
          </cell>
          <cell r="B332" t="str">
            <v>IHS_BNB_024</v>
          </cell>
          <cell r="C332" t="str">
            <v>LIT_155</v>
          </cell>
          <cell r="D332" t="str">
            <v>Littoral</v>
          </cell>
          <cell r="E332" t="str">
            <v>Littoral</v>
          </cell>
          <cell r="F332" t="str">
            <v>Nkomba-II-IHS</v>
          </cell>
          <cell r="G332" t="str">
            <v>P4</v>
          </cell>
          <cell r="H332" t="str">
            <v>Grid-Gen</v>
          </cell>
          <cell r="I332" t="str">
            <v>On Air</v>
          </cell>
          <cell r="J332" t="str">
            <v>Outdoor</v>
          </cell>
          <cell r="K332" t="str">
            <v>AC</v>
          </cell>
          <cell r="L332" t="str">
            <v>SAGEMCOM</v>
          </cell>
          <cell r="M332" t="str">
            <v>AKWA</v>
          </cell>
          <cell r="N332" t="str">
            <v>WOURI</v>
          </cell>
          <cell r="O332" t="str">
            <v>Douala 4</v>
          </cell>
          <cell r="P332" t="str">
            <v>Armel Tchokonte</v>
          </cell>
          <cell r="Q332">
            <v>655021899</v>
          </cell>
          <cell r="R332">
            <v>652269669</v>
          </cell>
          <cell r="S332" t="str">
            <v>Valery Doudou</v>
          </cell>
          <cell r="T332" t="str">
            <v>GEORGES NAKHOUL</v>
          </cell>
          <cell r="U332" t="str">
            <v>I H S</v>
          </cell>
        </row>
        <row r="333">
          <cell r="A333" t="str">
            <v>LIT_577</v>
          </cell>
          <cell r="B333" t="str">
            <v>IHS_DLA_409</v>
          </cell>
          <cell r="C333" t="str">
            <v>LIT_577</v>
          </cell>
          <cell r="D333" t="str">
            <v>Littoral</v>
          </cell>
          <cell r="E333" t="str">
            <v>Littoral</v>
          </cell>
          <cell r="F333" t="str">
            <v>Mabanda 2</v>
          </cell>
          <cell r="G333" t="str">
            <v>P4</v>
          </cell>
          <cell r="H333" t="str">
            <v>Grid-Gen</v>
          </cell>
          <cell r="I333" t="str">
            <v>On Air</v>
          </cell>
          <cell r="J333" t="str">
            <v>Outdoor</v>
          </cell>
          <cell r="K333" t="str">
            <v>AC</v>
          </cell>
          <cell r="L333" t="str">
            <v>SAGEMCOM</v>
          </cell>
          <cell r="M333" t="str">
            <v>Bonaberi</v>
          </cell>
          <cell r="N333" t="str">
            <v>WOURI</v>
          </cell>
          <cell r="O333" t="str">
            <v>Douala 4</v>
          </cell>
          <cell r="P333" t="str">
            <v>Armel Tchokonte</v>
          </cell>
          <cell r="Q333">
            <v>655021899</v>
          </cell>
          <cell r="R333">
            <v>652269669</v>
          </cell>
          <cell r="S333" t="str">
            <v>Valery Doudou</v>
          </cell>
          <cell r="T333" t="str">
            <v>GEORGES NAKHOUL</v>
          </cell>
          <cell r="U333" t="str">
            <v>I H S</v>
          </cell>
        </row>
        <row r="334">
          <cell r="A334" t="str">
            <v>LIT_360</v>
          </cell>
          <cell r="B334" t="str">
            <v>IHS_BNB_011</v>
          </cell>
          <cell r="C334" t="str">
            <v>LIT_360</v>
          </cell>
          <cell r="D334" t="str">
            <v>Littoral</v>
          </cell>
          <cell r="E334" t="str">
            <v>Littoral</v>
          </cell>
          <cell r="F334" t="str">
            <v>Forêt Bar Mabanda</v>
          </cell>
          <cell r="G334" t="str">
            <v>P4</v>
          </cell>
          <cell r="H334" t="str">
            <v>Grid-Gen</v>
          </cell>
          <cell r="I334" t="str">
            <v>On Air</v>
          </cell>
          <cell r="J334" t="str">
            <v>Outdoor</v>
          </cell>
          <cell r="K334" t="str">
            <v>AC</v>
          </cell>
          <cell r="L334" t="str">
            <v>SAGEMCOM</v>
          </cell>
          <cell r="M334" t="str">
            <v>AKWA</v>
          </cell>
          <cell r="N334" t="str">
            <v>WOURI</v>
          </cell>
          <cell r="O334" t="str">
            <v>Douala 4</v>
          </cell>
          <cell r="P334" t="str">
            <v>Armel Tchokonte</v>
          </cell>
          <cell r="Q334">
            <v>655021899</v>
          </cell>
          <cell r="R334">
            <v>652269669</v>
          </cell>
          <cell r="S334" t="str">
            <v>Valery Doudou</v>
          </cell>
          <cell r="T334" t="str">
            <v>GEORGES NAKHOUL</v>
          </cell>
          <cell r="U334" t="str">
            <v>I H S</v>
          </cell>
        </row>
        <row r="335">
          <cell r="A335" t="str">
            <v>LIT_576</v>
          </cell>
          <cell r="B335" t="str">
            <v>IHS_DLA_191</v>
          </cell>
          <cell r="C335" t="str">
            <v>LIT_576</v>
          </cell>
          <cell r="D335" t="str">
            <v>Littoral</v>
          </cell>
          <cell r="E335" t="str">
            <v>Littoral</v>
          </cell>
          <cell r="F335" t="str">
            <v>Mak-Universite-II</v>
          </cell>
          <cell r="G335" t="str">
            <v>P4</v>
          </cell>
          <cell r="H335" t="str">
            <v>Grid-Gen</v>
          </cell>
          <cell r="I335" t="str">
            <v>On Air</v>
          </cell>
          <cell r="J335" t="str">
            <v>Outdoor</v>
          </cell>
          <cell r="K335" t="str">
            <v>AC</v>
          </cell>
          <cell r="L335" t="str">
            <v>SAGEMCOM</v>
          </cell>
          <cell r="M335" t="str">
            <v>Ndogbong</v>
          </cell>
          <cell r="N335" t="str">
            <v>WOURI</v>
          </cell>
          <cell r="O335" t="str">
            <v>Douala 5</v>
          </cell>
          <cell r="P335" t="str">
            <v>Armel Tchokonte</v>
          </cell>
          <cell r="Q335">
            <v>655021899</v>
          </cell>
          <cell r="R335">
            <v>652269669</v>
          </cell>
          <cell r="S335" t="str">
            <v>Valery Doudou</v>
          </cell>
          <cell r="T335" t="str">
            <v>GEORGES NAKHOUL</v>
          </cell>
          <cell r="U335" t="str">
            <v>I H S</v>
          </cell>
        </row>
        <row r="336">
          <cell r="A336" t="str">
            <v>LIT_527</v>
          </cell>
          <cell r="B336" t="str">
            <v>IHS_DLA_149</v>
          </cell>
          <cell r="C336" t="str">
            <v>LIT_527</v>
          </cell>
          <cell r="D336" t="str">
            <v>Littoral</v>
          </cell>
          <cell r="E336" t="str">
            <v>Littoral</v>
          </cell>
          <cell r="F336" t="str">
            <v>Bonateki new</v>
          </cell>
          <cell r="G336" t="str">
            <v>P4</v>
          </cell>
          <cell r="H336" t="str">
            <v>Grid-Gen</v>
          </cell>
          <cell r="I336" t="str">
            <v>On Air</v>
          </cell>
          <cell r="J336" t="str">
            <v>Outdoor</v>
          </cell>
          <cell r="K336" t="str">
            <v>AC</v>
          </cell>
          <cell r="L336" t="str">
            <v>SAGEMCOM</v>
          </cell>
          <cell r="M336" t="str">
            <v>AKWA</v>
          </cell>
          <cell r="N336" t="str">
            <v>WOURI</v>
          </cell>
          <cell r="O336" t="str">
            <v>Douala 1</v>
          </cell>
          <cell r="P336" t="str">
            <v>Armel Tchokonte</v>
          </cell>
          <cell r="Q336">
            <v>655021899</v>
          </cell>
          <cell r="R336">
            <v>652269669</v>
          </cell>
          <cell r="S336" t="str">
            <v>Valery Doudou</v>
          </cell>
          <cell r="T336" t="str">
            <v>GEORGES NAKHOUL</v>
          </cell>
          <cell r="U336" t="str">
            <v>I H S</v>
          </cell>
        </row>
        <row r="337">
          <cell r="A337" t="str">
            <v>LIT_524</v>
          </cell>
          <cell r="B337" t="str">
            <v>IHS_DLA_184</v>
          </cell>
          <cell r="C337" t="str">
            <v>LIT_524</v>
          </cell>
          <cell r="D337" t="str">
            <v>Littoral</v>
          </cell>
          <cell r="E337" t="str">
            <v>Littoral</v>
          </cell>
          <cell r="F337" t="str">
            <v>Bep-Safari-new</v>
          </cell>
          <cell r="G337" t="str">
            <v>P4</v>
          </cell>
          <cell r="H337" t="str">
            <v>Grid-Gen</v>
          </cell>
          <cell r="I337" t="str">
            <v>On Air</v>
          </cell>
          <cell r="J337" t="str">
            <v>Indoor</v>
          </cell>
          <cell r="K337" t="str">
            <v>AC</v>
          </cell>
          <cell r="L337" t="str">
            <v>SAGEMCOM</v>
          </cell>
          <cell r="M337" t="str">
            <v>Bepanda</v>
          </cell>
          <cell r="N337" t="str">
            <v>WOURI</v>
          </cell>
          <cell r="O337" t="str">
            <v>Douala 5</v>
          </cell>
          <cell r="P337" t="str">
            <v>Armel Tchokonte</v>
          </cell>
          <cell r="Q337">
            <v>655021899</v>
          </cell>
          <cell r="R337">
            <v>652269669</v>
          </cell>
          <cell r="S337" t="str">
            <v>Valery Doudou</v>
          </cell>
          <cell r="T337" t="str">
            <v>GEORGES NAKHOUL</v>
          </cell>
          <cell r="U337" t="str">
            <v>I H S</v>
          </cell>
        </row>
        <row r="338">
          <cell r="A338" t="str">
            <v>LIT_525</v>
          </cell>
          <cell r="B338" t="str">
            <v>IHS_DLA_142</v>
          </cell>
          <cell r="C338" t="str">
            <v>LIT_525</v>
          </cell>
          <cell r="D338" t="str">
            <v>Littoral</v>
          </cell>
          <cell r="E338" t="str">
            <v>Littoral</v>
          </cell>
          <cell r="F338" t="str">
            <v>MOBIL GUINNESS 863</v>
          </cell>
          <cell r="G338" t="str">
            <v>P4</v>
          </cell>
          <cell r="H338" t="str">
            <v>Grid-Gen</v>
          </cell>
          <cell r="I338" t="str">
            <v>On Air</v>
          </cell>
          <cell r="J338" t="str">
            <v>Outdoor</v>
          </cell>
          <cell r="K338" t="str">
            <v>AC</v>
          </cell>
          <cell r="L338" t="str">
            <v>SAGEMCOM</v>
          </cell>
          <cell r="M338" t="str">
            <v>Ndogbong</v>
          </cell>
          <cell r="N338" t="str">
            <v>WOURI</v>
          </cell>
          <cell r="O338" t="str">
            <v>Douala 5</v>
          </cell>
          <cell r="P338" t="str">
            <v>Armel Tchokonte</v>
          </cell>
          <cell r="Q338">
            <v>655021899</v>
          </cell>
          <cell r="R338">
            <v>652269669</v>
          </cell>
          <cell r="S338" t="str">
            <v>Valery Doudou</v>
          </cell>
          <cell r="T338" t="str">
            <v>GEORGES NAKHOUL</v>
          </cell>
          <cell r="U338" t="str">
            <v>I H S</v>
          </cell>
        </row>
        <row r="339">
          <cell r="A339" t="str">
            <v>LIT_535</v>
          </cell>
          <cell r="B339" t="str">
            <v>IHS_BNB_001</v>
          </cell>
          <cell r="C339" t="str">
            <v>LIT_535</v>
          </cell>
          <cell r="D339" t="str">
            <v>Littoral</v>
          </cell>
          <cell r="E339" t="str">
            <v>Littoral</v>
          </cell>
          <cell r="F339" t="str">
            <v>Bberi Q Prince New</v>
          </cell>
          <cell r="G339" t="str">
            <v>P4</v>
          </cell>
          <cell r="H339" t="str">
            <v>Grid Only</v>
          </cell>
          <cell r="I339" t="str">
            <v>On Air</v>
          </cell>
          <cell r="J339" t="str">
            <v>Indoor</v>
          </cell>
          <cell r="K339" t="str">
            <v>AC</v>
          </cell>
          <cell r="L339" t="str">
            <v>SAGEMCOM</v>
          </cell>
          <cell r="M339" t="str">
            <v>Bonaberi</v>
          </cell>
          <cell r="N339" t="str">
            <v>WOURI</v>
          </cell>
          <cell r="O339" t="str">
            <v>Douala 4</v>
          </cell>
          <cell r="P339" t="str">
            <v>Armel Tchokonte</v>
          </cell>
          <cell r="Q339">
            <v>655021899</v>
          </cell>
          <cell r="R339">
            <v>652269669</v>
          </cell>
          <cell r="S339" t="str">
            <v>Valery Doudou</v>
          </cell>
          <cell r="T339" t="str">
            <v>GEORGES NAKHOUL</v>
          </cell>
          <cell r="U339" t="str">
            <v>I H S</v>
          </cell>
        </row>
        <row r="340">
          <cell r="A340" t="str">
            <v>LIT_589</v>
          </cell>
          <cell r="B340" t="str">
            <v>IHS_DLA_480</v>
          </cell>
          <cell r="C340" t="str">
            <v>LIT_589</v>
          </cell>
          <cell r="D340" t="str">
            <v>Littoral</v>
          </cell>
          <cell r="E340" t="str">
            <v>Littoral</v>
          </cell>
          <cell r="F340" t="str">
            <v>Bonassama-New-IHS</v>
          </cell>
          <cell r="G340" t="str">
            <v>P4</v>
          </cell>
          <cell r="H340" t="str">
            <v>Grid-Gen</v>
          </cell>
          <cell r="I340" t="str">
            <v>On Air</v>
          </cell>
          <cell r="J340" t="str">
            <v>Indoor</v>
          </cell>
          <cell r="K340" t="str">
            <v>AC</v>
          </cell>
          <cell r="L340" t="str">
            <v>SAGEMCOM</v>
          </cell>
          <cell r="M340" t="str">
            <v>Bonaberi</v>
          </cell>
          <cell r="N340" t="str">
            <v>WOURI</v>
          </cell>
          <cell r="O340" t="str">
            <v>Douala 4</v>
          </cell>
          <cell r="P340" t="str">
            <v>Armel Tchokonte</v>
          </cell>
          <cell r="Q340">
            <v>655021899</v>
          </cell>
          <cell r="R340">
            <v>652269669</v>
          </cell>
          <cell r="S340" t="str">
            <v>Valery Doudou</v>
          </cell>
          <cell r="T340" t="str">
            <v>GEORGES NAKHOUL</v>
          </cell>
          <cell r="U340" t="str">
            <v>I H S</v>
          </cell>
        </row>
        <row r="341">
          <cell r="A341" t="str">
            <v>LIT_362</v>
          </cell>
          <cell r="B341" t="str">
            <v>IHS_BNB_031</v>
          </cell>
          <cell r="C341" t="str">
            <v>LIT_362</v>
          </cell>
          <cell r="D341" t="str">
            <v>Littoral</v>
          </cell>
          <cell r="E341" t="str">
            <v>Littoral</v>
          </cell>
          <cell r="F341" t="str">
            <v>Bonabappe-II</v>
          </cell>
          <cell r="G341" t="str">
            <v>P5</v>
          </cell>
          <cell r="H341" t="str">
            <v>Grid-Gen</v>
          </cell>
          <cell r="I341" t="str">
            <v>On Air</v>
          </cell>
          <cell r="J341" t="str">
            <v>Outdoor</v>
          </cell>
          <cell r="K341" t="str">
            <v>AC</v>
          </cell>
          <cell r="L341" t="str">
            <v>SAGEMCOM</v>
          </cell>
          <cell r="M341" t="str">
            <v>Bonaberi</v>
          </cell>
          <cell r="N341" t="str">
            <v>WOURI</v>
          </cell>
          <cell r="O341" t="str">
            <v>Kribi 1</v>
          </cell>
          <cell r="P341" t="str">
            <v>Armel Tchokonte</v>
          </cell>
          <cell r="Q341">
            <v>655021899</v>
          </cell>
          <cell r="R341">
            <v>652269669</v>
          </cell>
          <cell r="S341" t="str">
            <v>Valery Doudou</v>
          </cell>
          <cell r="T341" t="str">
            <v>GEORGES NAKHOUL</v>
          </cell>
          <cell r="U341" t="str">
            <v>I H S</v>
          </cell>
        </row>
        <row r="342">
          <cell r="A342" t="str">
            <v>LIT_489</v>
          </cell>
          <cell r="B342" t="str">
            <v>IHS_DLA_469</v>
          </cell>
          <cell r="C342" t="str">
            <v>LIT_489</v>
          </cell>
          <cell r="D342" t="str">
            <v>Littoral</v>
          </cell>
          <cell r="E342" t="str">
            <v>Littoral</v>
          </cell>
          <cell r="F342" t="str">
            <v>Mabanda 4 IHS</v>
          </cell>
          <cell r="G342" t="str">
            <v>P5</v>
          </cell>
          <cell r="H342" t="str">
            <v>Grid-Gen</v>
          </cell>
          <cell r="I342" t="str">
            <v>On Air</v>
          </cell>
          <cell r="J342" t="str">
            <v>Outdoor</v>
          </cell>
          <cell r="K342" t="str">
            <v>AC</v>
          </cell>
          <cell r="L342" t="str">
            <v>SAGEMCOM</v>
          </cell>
          <cell r="M342" t="str">
            <v>AKWA</v>
          </cell>
          <cell r="N342" t="str">
            <v>WOURI</v>
          </cell>
          <cell r="O342" t="str">
            <v>Douala 4</v>
          </cell>
          <cell r="P342" t="str">
            <v>Armel Tchokonte</v>
          </cell>
          <cell r="Q342">
            <v>655021899</v>
          </cell>
          <cell r="R342">
            <v>652269669</v>
          </cell>
          <cell r="S342" t="str">
            <v>Valery Doudou</v>
          </cell>
          <cell r="T342" t="str">
            <v>GEORGES NAKHOUL</v>
          </cell>
          <cell r="U342" t="str">
            <v>I H S</v>
          </cell>
        </row>
        <row r="343">
          <cell r="A343" t="str">
            <v>LIT_490</v>
          </cell>
          <cell r="B343" t="str">
            <v>IHS_DLA_470</v>
          </cell>
          <cell r="C343" t="str">
            <v>LIT_490</v>
          </cell>
          <cell r="D343" t="str">
            <v>Littoral</v>
          </cell>
          <cell r="E343" t="str">
            <v>Littoral</v>
          </cell>
          <cell r="F343" t="str">
            <v>Makepe Discharge 2</v>
          </cell>
          <cell r="G343" t="str">
            <v>P5</v>
          </cell>
          <cell r="H343" t="str">
            <v>Grid-Gen</v>
          </cell>
          <cell r="I343" t="str">
            <v>On Air</v>
          </cell>
          <cell r="J343" t="str">
            <v>Outdoor</v>
          </cell>
          <cell r="K343" t="str">
            <v>AC</v>
          </cell>
          <cell r="L343" t="str">
            <v>SAGEMCOM</v>
          </cell>
          <cell r="M343" t="str">
            <v>Bepanda</v>
          </cell>
          <cell r="N343" t="str">
            <v>WOURI</v>
          </cell>
          <cell r="O343" t="str">
            <v>Douala 5</v>
          </cell>
          <cell r="P343" t="str">
            <v>Armel Tchokonte</v>
          </cell>
          <cell r="Q343">
            <v>655021899</v>
          </cell>
          <cell r="R343">
            <v>652269669</v>
          </cell>
          <cell r="S343" t="str">
            <v>Valery Doudou</v>
          </cell>
          <cell r="T343" t="str">
            <v>GEORGES NAKHOUL</v>
          </cell>
          <cell r="U343" t="str">
            <v>I H S</v>
          </cell>
        </row>
        <row r="344">
          <cell r="A344" t="str">
            <v>LIT_418</v>
          </cell>
          <cell r="B344" t="str">
            <v>IHS_BNB_010</v>
          </cell>
          <cell r="C344" t="str">
            <v>LIT_418</v>
          </cell>
          <cell r="D344" t="str">
            <v>Littoral</v>
          </cell>
          <cell r="E344" t="str">
            <v>Littoral</v>
          </cell>
          <cell r="F344" t="str">
            <v>Bberi-Sodiko-II-MTN</v>
          </cell>
          <cell r="G344" t="str">
            <v>P5</v>
          </cell>
          <cell r="H344" t="str">
            <v>Grid-Gen</v>
          </cell>
          <cell r="I344" t="str">
            <v>On Air</v>
          </cell>
          <cell r="J344" t="str">
            <v>Indoor</v>
          </cell>
          <cell r="K344" t="str">
            <v>AC</v>
          </cell>
          <cell r="L344" t="str">
            <v>SAGEMCOM</v>
          </cell>
          <cell r="M344" t="str">
            <v>Bonaberi</v>
          </cell>
          <cell r="N344" t="str">
            <v>WOURI</v>
          </cell>
          <cell r="O344" t="str">
            <v>Douala 4</v>
          </cell>
          <cell r="P344" t="str">
            <v>Armel Tchokonte</v>
          </cell>
          <cell r="Q344">
            <v>655021899</v>
          </cell>
          <cell r="R344">
            <v>652269669</v>
          </cell>
          <cell r="S344" t="str">
            <v>Valery Doudou</v>
          </cell>
          <cell r="T344" t="str">
            <v>GEORGES NAKHOUL</v>
          </cell>
          <cell r="U344" t="str">
            <v>I H S</v>
          </cell>
        </row>
        <row r="345">
          <cell r="A345" t="str">
            <v>LIT_479</v>
          </cell>
          <cell r="B345" t="str">
            <v>IHS_BNB_036</v>
          </cell>
          <cell r="C345" t="str">
            <v>LIT_479</v>
          </cell>
          <cell r="D345" t="str">
            <v>Littoral</v>
          </cell>
          <cell r="E345" t="str">
            <v>Littoral</v>
          </cell>
          <cell r="F345" t="str">
            <v>Mimkwele Yapaki Bakolo</v>
          </cell>
          <cell r="G345" t="str">
            <v>P5</v>
          </cell>
          <cell r="H345" t="str">
            <v>Grid-Gen</v>
          </cell>
          <cell r="I345" t="str">
            <v>On Air</v>
          </cell>
          <cell r="J345" t="str">
            <v>Outdoor</v>
          </cell>
          <cell r="K345" t="str">
            <v>AC</v>
          </cell>
          <cell r="L345" t="str">
            <v>SAGEMCOM</v>
          </cell>
          <cell r="M345" t="str">
            <v>Bonaberi</v>
          </cell>
          <cell r="N345" t="str">
            <v>WOURI</v>
          </cell>
          <cell r="O345" t="str">
            <v>Douala 4</v>
          </cell>
          <cell r="P345" t="str">
            <v>Armel Tchokonte</v>
          </cell>
          <cell r="Q345">
            <v>655021899</v>
          </cell>
          <cell r="R345">
            <v>652269669</v>
          </cell>
          <cell r="S345" t="str">
            <v>Valery Doudou</v>
          </cell>
          <cell r="T345" t="str">
            <v>GEORGES NAKHOUL</v>
          </cell>
          <cell r="U345" t="str">
            <v>I H S</v>
          </cell>
        </row>
        <row r="346">
          <cell r="A346" t="str">
            <v>LIT_531</v>
          </cell>
          <cell r="B346" t="str">
            <v>IHS_DLA_213</v>
          </cell>
          <cell r="C346" t="str">
            <v>LIT_531</v>
          </cell>
          <cell r="D346" t="str">
            <v>Littoral</v>
          </cell>
          <cell r="E346" t="str">
            <v>Littoral</v>
          </cell>
          <cell r="F346" t="str">
            <v>Ndogbong plateau</v>
          </cell>
          <cell r="G346" t="str">
            <v>P5</v>
          </cell>
          <cell r="H346" t="str">
            <v>Grid-Gen</v>
          </cell>
          <cell r="I346" t="str">
            <v>On Air</v>
          </cell>
          <cell r="J346" t="str">
            <v>Outdoor</v>
          </cell>
          <cell r="K346" t="str">
            <v>AC</v>
          </cell>
          <cell r="L346" t="str">
            <v>SAGEMCOM</v>
          </cell>
          <cell r="M346" t="str">
            <v>Ndogbong</v>
          </cell>
          <cell r="N346" t="str">
            <v>WOURI</v>
          </cell>
          <cell r="O346" t="str">
            <v>Douala 5</v>
          </cell>
          <cell r="P346" t="str">
            <v>Armel Tchokonte</v>
          </cell>
          <cell r="Q346">
            <v>655021899</v>
          </cell>
          <cell r="R346">
            <v>652269669</v>
          </cell>
          <cell r="S346" t="str">
            <v>Valery Doudou</v>
          </cell>
          <cell r="T346" t="str">
            <v>GEORGES NAKHOUL</v>
          </cell>
          <cell r="U346" t="str">
            <v>I H S</v>
          </cell>
        </row>
        <row r="347">
          <cell r="A347" t="str">
            <v>LIT_017</v>
          </cell>
          <cell r="B347" t="str">
            <v>IHS_BNB_104</v>
          </cell>
          <cell r="C347" t="str">
            <v>LIT_017</v>
          </cell>
          <cell r="D347" t="str">
            <v>Littoral</v>
          </cell>
          <cell r="E347" t="str">
            <v>Littoral</v>
          </cell>
          <cell r="F347" t="str">
            <v>Bberi-Chateau</v>
          </cell>
          <cell r="G347" t="str">
            <v>P4</v>
          </cell>
          <cell r="H347" t="str">
            <v>Grid-Gen</v>
          </cell>
          <cell r="I347" t="str">
            <v>On Air</v>
          </cell>
          <cell r="J347" t="str">
            <v>Indoor</v>
          </cell>
          <cell r="K347" t="str">
            <v>AC</v>
          </cell>
          <cell r="L347" t="str">
            <v>SAGEMCOM</v>
          </cell>
          <cell r="M347" t="str">
            <v>AKWA</v>
          </cell>
          <cell r="N347" t="str">
            <v>WOURI</v>
          </cell>
          <cell r="O347" t="str">
            <v>Douala 4</v>
          </cell>
          <cell r="P347" t="str">
            <v>Armel Tchokonte</v>
          </cell>
          <cell r="Q347">
            <v>655021899</v>
          </cell>
          <cell r="R347">
            <v>652269669</v>
          </cell>
          <cell r="S347" t="str">
            <v>Valery Doudou</v>
          </cell>
          <cell r="T347" t="str">
            <v>GEORGES NAKHOUL</v>
          </cell>
          <cell r="U347" t="str">
            <v>I H S</v>
          </cell>
        </row>
        <row r="348">
          <cell r="A348" t="str">
            <v>CTR_031</v>
          </cell>
          <cell r="B348" t="str">
            <v>IHS_YND_319</v>
          </cell>
          <cell r="C348" t="str">
            <v>CTR_031</v>
          </cell>
          <cell r="D348" t="str">
            <v>Center</v>
          </cell>
          <cell r="E348" t="str">
            <v>Center</v>
          </cell>
          <cell r="F348" t="str">
            <v>SOA</v>
          </cell>
          <cell r="G348" t="str">
            <v>P2</v>
          </cell>
          <cell r="H348" t="str">
            <v>Grid-Gen</v>
          </cell>
          <cell r="I348" t="str">
            <v>On Air</v>
          </cell>
          <cell r="J348" t="str">
            <v>Indoor</v>
          </cell>
          <cell r="K348" t="str">
            <v>AC</v>
          </cell>
          <cell r="L348" t="str">
            <v>SAGEMCOM</v>
          </cell>
          <cell r="M348" t="str">
            <v>Omnisport</v>
          </cell>
          <cell r="N348" t="str">
            <v>MFOUNDI</v>
          </cell>
          <cell r="O348" t="str">
            <v>SOA</v>
          </cell>
          <cell r="P348" t="str">
            <v>Astrid DJOUASSI</v>
          </cell>
          <cell r="Q348">
            <v>677549179</v>
          </cell>
          <cell r="R348">
            <v>656993735</v>
          </cell>
          <cell r="S348" t="str">
            <v>Desire Moussinga</v>
          </cell>
          <cell r="T348" t="str">
            <v>Valeur HOUELL</v>
          </cell>
          <cell r="U348" t="str">
            <v>I H S</v>
          </cell>
        </row>
        <row r="349">
          <cell r="A349" t="str">
            <v>CTR_327</v>
          </cell>
          <cell r="B349" t="str">
            <v>IHS_YND_092</v>
          </cell>
          <cell r="C349" t="str">
            <v>CTR_327</v>
          </cell>
          <cell r="D349" t="str">
            <v>Center</v>
          </cell>
          <cell r="E349" t="str">
            <v>Center</v>
          </cell>
          <cell r="F349" t="str">
            <v>Fouda-New</v>
          </cell>
          <cell r="G349" t="str">
            <v>P3</v>
          </cell>
          <cell r="H349" t="str">
            <v>Grid-Gen</v>
          </cell>
          <cell r="I349" t="str">
            <v>On Air</v>
          </cell>
          <cell r="J349" t="str">
            <v>Outdoor</v>
          </cell>
          <cell r="K349" t="str">
            <v>AC</v>
          </cell>
          <cell r="L349" t="str">
            <v>SAGEMCOM</v>
          </cell>
          <cell r="M349" t="str">
            <v>Omnisport</v>
          </cell>
          <cell r="N349" t="str">
            <v>MFOUNDI</v>
          </cell>
          <cell r="O349" t="str">
            <v>YAOUNDE 5</v>
          </cell>
          <cell r="P349" t="str">
            <v>Astrid DJOUASSI</v>
          </cell>
          <cell r="Q349">
            <v>677549179</v>
          </cell>
          <cell r="R349">
            <v>656993735</v>
          </cell>
          <cell r="S349" t="str">
            <v>Desire Moussinga</v>
          </cell>
          <cell r="T349" t="str">
            <v>Valeur HOUELL</v>
          </cell>
          <cell r="U349" t="str">
            <v>I H S</v>
          </cell>
        </row>
        <row r="350">
          <cell r="A350" t="str">
            <v>CTR_263</v>
          </cell>
          <cell r="B350" t="str">
            <v>IHS_YND_217</v>
          </cell>
          <cell r="C350" t="str">
            <v>CTR_263</v>
          </cell>
          <cell r="D350" t="str">
            <v>Center</v>
          </cell>
          <cell r="E350" t="str">
            <v>Center</v>
          </cell>
          <cell r="F350" t="str">
            <v>Abom</v>
          </cell>
          <cell r="G350" t="str">
            <v>P3</v>
          </cell>
          <cell r="H350" t="str">
            <v>Grid-Gen</v>
          </cell>
          <cell r="I350" t="str">
            <v>On Air</v>
          </cell>
          <cell r="J350" t="str">
            <v>Outdoor</v>
          </cell>
          <cell r="K350" t="str">
            <v>AC</v>
          </cell>
          <cell r="L350" t="str">
            <v>SAGEMCOM</v>
          </cell>
          <cell r="M350" t="str">
            <v>Omnisport</v>
          </cell>
          <cell r="N350" t="str">
            <v>MFOUNDI</v>
          </cell>
          <cell r="O350" t="str">
            <v>SOA</v>
          </cell>
          <cell r="P350" t="str">
            <v>Astrid DJOUASSI</v>
          </cell>
          <cell r="Q350">
            <v>677549179</v>
          </cell>
          <cell r="R350">
            <v>656993735</v>
          </cell>
          <cell r="S350" t="str">
            <v>Desire Moussinga</v>
          </cell>
          <cell r="T350" t="str">
            <v>Valeur HOUELL</v>
          </cell>
          <cell r="U350" t="str">
            <v>I H S</v>
          </cell>
        </row>
        <row r="351">
          <cell r="A351" t="str">
            <v>CTR_273</v>
          </cell>
          <cell r="B351" t="str">
            <v>IHS_YND_214</v>
          </cell>
          <cell r="C351" t="str">
            <v>CTR_273</v>
          </cell>
          <cell r="D351" t="str">
            <v>Center</v>
          </cell>
          <cell r="E351" t="str">
            <v>Center</v>
          </cell>
          <cell r="F351" t="str">
            <v>Nkolmesseng-II</v>
          </cell>
          <cell r="G351" t="str">
            <v>P3</v>
          </cell>
          <cell r="H351" t="str">
            <v>Grid-Gen</v>
          </cell>
          <cell r="I351" t="str">
            <v>On Air</v>
          </cell>
          <cell r="J351" t="str">
            <v>Outdoor</v>
          </cell>
          <cell r="K351" t="str">
            <v>AC</v>
          </cell>
          <cell r="L351" t="str">
            <v>SAGEMCOM</v>
          </cell>
          <cell r="M351" t="str">
            <v>Essos</v>
          </cell>
          <cell r="N351" t="str">
            <v>MFOUNDI</v>
          </cell>
          <cell r="O351" t="str">
            <v>YAOUNDE 5</v>
          </cell>
          <cell r="P351" t="str">
            <v>Astrid DJOUASSI</v>
          </cell>
          <cell r="Q351">
            <v>677549179</v>
          </cell>
          <cell r="R351">
            <v>656993735</v>
          </cell>
          <cell r="S351" t="str">
            <v>Desire Moussinga</v>
          </cell>
          <cell r="T351" t="str">
            <v>Valeur HOUELL</v>
          </cell>
          <cell r="U351" t="str">
            <v>I H S</v>
          </cell>
        </row>
        <row r="352">
          <cell r="A352" t="str">
            <v>CTR_317</v>
          </cell>
          <cell r="B352" t="str">
            <v>IHS_YND_322</v>
          </cell>
          <cell r="C352" t="str">
            <v>CTR_317</v>
          </cell>
          <cell r="D352" t="str">
            <v>Center</v>
          </cell>
          <cell r="E352" t="str">
            <v>Center</v>
          </cell>
          <cell r="F352" t="str">
            <v>Soa-II</v>
          </cell>
          <cell r="G352" t="str">
            <v>P3</v>
          </cell>
          <cell r="H352" t="str">
            <v>Grid-Gen</v>
          </cell>
          <cell r="I352" t="str">
            <v>On Air</v>
          </cell>
          <cell r="J352" t="str">
            <v>Outdoor</v>
          </cell>
          <cell r="K352" t="str">
            <v>AC</v>
          </cell>
          <cell r="L352" t="str">
            <v>SAGEMCOM</v>
          </cell>
          <cell r="M352" t="str">
            <v>Omnisport</v>
          </cell>
          <cell r="N352" t="str">
            <v>MFOUNDI</v>
          </cell>
          <cell r="O352" t="str">
            <v>SOA</v>
          </cell>
          <cell r="P352" t="str">
            <v>Astrid DJOUASSI</v>
          </cell>
          <cell r="Q352">
            <v>677549179</v>
          </cell>
          <cell r="R352">
            <v>656993735</v>
          </cell>
          <cell r="S352" t="str">
            <v>Desire Moussinga</v>
          </cell>
          <cell r="T352" t="str">
            <v>Valeur HOUELL</v>
          </cell>
          <cell r="U352" t="str">
            <v>I H S</v>
          </cell>
        </row>
        <row r="353">
          <cell r="A353" t="str">
            <v>CTR_214</v>
          </cell>
          <cell r="B353" t="str">
            <v>IHS_YND_296</v>
          </cell>
          <cell r="C353" t="str">
            <v>CTR_214</v>
          </cell>
          <cell r="D353" t="str">
            <v>Center</v>
          </cell>
          <cell r="E353" t="str">
            <v>Center</v>
          </cell>
          <cell r="F353" t="str">
            <v>Nkolfoulou</v>
          </cell>
          <cell r="G353" t="str">
            <v>P3</v>
          </cell>
          <cell r="H353" t="str">
            <v>Grid-Gen</v>
          </cell>
          <cell r="I353" t="str">
            <v>On Air</v>
          </cell>
          <cell r="J353" t="str">
            <v>Outdoor</v>
          </cell>
          <cell r="K353" t="str">
            <v>AC</v>
          </cell>
          <cell r="L353" t="str">
            <v>SAGEMCOM</v>
          </cell>
          <cell r="M353" t="str">
            <v>Omnisport</v>
          </cell>
          <cell r="N353" t="str">
            <v>MFOUNDI</v>
          </cell>
          <cell r="O353" t="str">
            <v>SOA</v>
          </cell>
          <cell r="P353" t="str">
            <v>Astrid DJOUASSI</v>
          </cell>
          <cell r="Q353">
            <v>677549179</v>
          </cell>
          <cell r="R353">
            <v>656993735</v>
          </cell>
          <cell r="S353" t="str">
            <v>Desire Moussinga</v>
          </cell>
          <cell r="T353" t="str">
            <v>Valeur HOUELL</v>
          </cell>
          <cell r="U353" t="str">
            <v>I H S</v>
          </cell>
        </row>
        <row r="354">
          <cell r="A354" t="str">
            <v>CTR_093</v>
          </cell>
          <cell r="B354" t="str">
            <v>IHS_YND_188</v>
          </cell>
          <cell r="C354" t="str">
            <v>CTR_093</v>
          </cell>
          <cell r="D354" t="str">
            <v>Center</v>
          </cell>
          <cell r="E354" t="str">
            <v>Center</v>
          </cell>
          <cell r="F354" t="str">
            <v>H-Paradis</v>
          </cell>
          <cell r="G354" t="str">
            <v>P3</v>
          </cell>
          <cell r="H354" t="str">
            <v>Grid Only</v>
          </cell>
          <cell r="I354" t="str">
            <v>On Air</v>
          </cell>
          <cell r="J354" t="str">
            <v>Outdoor</v>
          </cell>
          <cell r="K354" t="str">
            <v>AC</v>
          </cell>
          <cell r="L354" t="str">
            <v>SAGEMCOM</v>
          </cell>
          <cell r="M354" t="str">
            <v>Omnisport</v>
          </cell>
          <cell r="N354" t="str">
            <v>MFOUNDI</v>
          </cell>
          <cell r="O354" t="str">
            <v>YAOUNDE 5</v>
          </cell>
          <cell r="P354" t="str">
            <v>Astrid DJOUASSI</v>
          </cell>
          <cell r="Q354">
            <v>677549179</v>
          </cell>
          <cell r="R354">
            <v>656993735</v>
          </cell>
          <cell r="S354" t="str">
            <v>Desire Moussinga</v>
          </cell>
          <cell r="T354" t="str">
            <v>Valeur HOUELL</v>
          </cell>
          <cell r="U354" t="str">
            <v>I H S</v>
          </cell>
        </row>
        <row r="355">
          <cell r="A355" t="str">
            <v>CTR_029</v>
          </cell>
          <cell r="B355" t="str">
            <v>IHS_YND_046</v>
          </cell>
          <cell r="C355" t="str">
            <v>CTR_029</v>
          </cell>
          <cell r="D355" t="str">
            <v>Center</v>
          </cell>
          <cell r="E355" t="str">
            <v>Center</v>
          </cell>
          <cell r="F355" t="str">
            <v>Djoungolo</v>
          </cell>
          <cell r="G355" t="str">
            <v>P3</v>
          </cell>
          <cell r="H355" t="str">
            <v>Grid-Gen</v>
          </cell>
          <cell r="I355" t="str">
            <v>On Air</v>
          </cell>
          <cell r="J355" t="str">
            <v>Indoor</v>
          </cell>
          <cell r="K355" t="str">
            <v>AC</v>
          </cell>
          <cell r="L355" t="str">
            <v>SAGEMCOM</v>
          </cell>
          <cell r="M355" t="str">
            <v>Omnisport</v>
          </cell>
          <cell r="N355" t="str">
            <v>MFOUNDI</v>
          </cell>
          <cell r="O355" t="str">
            <v>YAOUNDE 5</v>
          </cell>
          <cell r="P355" t="str">
            <v>Astrid DJOUASSI</v>
          </cell>
          <cell r="Q355">
            <v>677549179</v>
          </cell>
          <cell r="R355">
            <v>656993735</v>
          </cell>
          <cell r="S355" t="str">
            <v>Desire Moussinga</v>
          </cell>
          <cell r="T355" t="str">
            <v>Valeur HOUELL</v>
          </cell>
          <cell r="U355" t="str">
            <v>I H S</v>
          </cell>
        </row>
        <row r="356">
          <cell r="A356" t="str">
            <v>CTR_014</v>
          </cell>
          <cell r="B356" t="str">
            <v>IHS_YND_003</v>
          </cell>
          <cell r="C356" t="str">
            <v>CTR_014</v>
          </cell>
          <cell r="D356" t="str">
            <v>Center</v>
          </cell>
          <cell r="E356" t="str">
            <v>Center</v>
          </cell>
          <cell r="F356" t="str">
            <v>Mercure</v>
          </cell>
          <cell r="G356" t="str">
            <v>P3</v>
          </cell>
          <cell r="H356" t="str">
            <v>Grid Only</v>
          </cell>
          <cell r="I356" t="str">
            <v>On Air</v>
          </cell>
          <cell r="J356" t="str">
            <v>Indoor</v>
          </cell>
          <cell r="K356" t="str">
            <v>AC</v>
          </cell>
          <cell r="L356" t="str">
            <v>SAGEMCOM</v>
          </cell>
          <cell r="M356" t="str">
            <v>Essos</v>
          </cell>
          <cell r="N356" t="str">
            <v>MFOUNDI</v>
          </cell>
          <cell r="O356" t="str">
            <v>YAOUNDE 1</v>
          </cell>
          <cell r="P356" t="str">
            <v>Astrid DJOUASSI</v>
          </cell>
          <cell r="Q356">
            <v>677549179</v>
          </cell>
          <cell r="R356">
            <v>656993735</v>
          </cell>
          <cell r="S356" t="str">
            <v>Desire Moussinga</v>
          </cell>
          <cell r="T356" t="str">
            <v>Valeur HOUELL</v>
          </cell>
          <cell r="U356" t="str">
            <v>I H S</v>
          </cell>
        </row>
        <row r="357">
          <cell r="A357" t="str">
            <v>CTR_272</v>
          </cell>
          <cell r="B357" t="str">
            <v>IHS_YND_245</v>
          </cell>
          <cell r="C357" t="str">
            <v>CTR_272</v>
          </cell>
          <cell r="D357" t="str">
            <v>Center</v>
          </cell>
          <cell r="E357" t="str">
            <v>Center</v>
          </cell>
          <cell r="F357" t="str">
            <v>Ngousso-Savana</v>
          </cell>
          <cell r="G357" t="str">
            <v>P4</v>
          </cell>
          <cell r="H357" t="str">
            <v>Grid-Gen</v>
          </cell>
          <cell r="I357" t="str">
            <v>On Air</v>
          </cell>
          <cell r="J357" t="str">
            <v>Outdoor</v>
          </cell>
          <cell r="K357" t="str">
            <v>AC</v>
          </cell>
          <cell r="L357" t="str">
            <v>SAGEMCOM</v>
          </cell>
          <cell r="M357" t="str">
            <v>Omnisport</v>
          </cell>
          <cell r="N357" t="str">
            <v>MFOUNDI</v>
          </cell>
          <cell r="O357" t="str">
            <v>YAOUNDE 5</v>
          </cell>
          <cell r="P357" t="str">
            <v>Astrid DJOUASSI</v>
          </cell>
          <cell r="Q357">
            <v>677549179</v>
          </cell>
          <cell r="R357">
            <v>656993735</v>
          </cell>
          <cell r="S357" t="str">
            <v>Desire Moussinga</v>
          </cell>
          <cell r="T357" t="str">
            <v>Valeur HOUELL</v>
          </cell>
          <cell r="U357" t="str">
            <v>I H S</v>
          </cell>
        </row>
        <row r="358">
          <cell r="A358" t="str">
            <v>CTR_078</v>
          </cell>
          <cell r="B358" t="str">
            <v>IHS_YND_213</v>
          </cell>
          <cell r="C358" t="str">
            <v>CTR_078</v>
          </cell>
          <cell r="D358" t="str">
            <v>Center</v>
          </cell>
          <cell r="E358" t="str">
            <v>Center</v>
          </cell>
          <cell r="F358" t="str">
            <v>Nkolmesseng</v>
          </cell>
          <cell r="G358" t="str">
            <v>P4</v>
          </cell>
          <cell r="H358" t="str">
            <v>Grid-Gen</v>
          </cell>
          <cell r="I358" t="str">
            <v>On Air</v>
          </cell>
          <cell r="J358" t="str">
            <v>Indoor</v>
          </cell>
          <cell r="K358" t="str">
            <v>AC</v>
          </cell>
          <cell r="L358" t="str">
            <v>SAGEMCOM</v>
          </cell>
          <cell r="M358" t="str">
            <v>Essos</v>
          </cell>
          <cell r="N358" t="str">
            <v>MFOUNDI</v>
          </cell>
          <cell r="O358" t="str">
            <v>YAOUNDE 5</v>
          </cell>
          <cell r="P358" t="str">
            <v>Astrid DJOUASSI</v>
          </cell>
          <cell r="Q358">
            <v>677549179</v>
          </cell>
          <cell r="R358">
            <v>656993735</v>
          </cell>
          <cell r="S358" t="str">
            <v>Desire Moussinga</v>
          </cell>
          <cell r="T358" t="str">
            <v>Valeur HOUELL</v>
          </cell>
          <cell r="U358" t="str">
            <v>I H S</v>
          </cell>
        </row>
        <row r="359">
          <cell r="A359" t="str">
            <v>CTR_379</v>
          </cell>
          <cell r="B359" t="str">
            <v>IHS_YND_277</v>
          </cell>
          <cell r="C359" t="str">
            <v>CTR_379</v>
          </cell>
          <cell r="D359" t="str">
            <v>Center</v>
          </cell>
          <cell r="E359" t="str">
            <v>Center</v>
          </cell>
          <cell r="F359" t="str">
            <v>Ngoulmekong-Nord</v>
          </cell>
          <cell r="G359" t="str">
            <v>P4</v>
          </cell>
          <cell r="H359" t="str">
            <v>Grid-Gen</v>
          </cell>
          <cell r="I359" t="str">
            <v>On Air</v>
          </cell>
          <cell r="J359" t="str">
            <v>Outdoor</v>
          </cell>
          <cell r="K359" t="str">
            <v>AC</v>
          </cell>
          <cell r="L359" t="str">
            <v>SAGEMCOM</v>
          </cell>
          <cell r="M359" t="str">
            <v>Omnisport</v>
          </cell>
          <cell r="N359" t="str">
            <v>MFOUNDI</v>
          </cell>
          <cell r="O359" t="str">
            <v>YAOUNDE 5</v>
          </cell>
          <cell r="P359" t="str">
            <v>Astrid DJOUASSI</v>
          </cell>
          <cell r="Q359">
            <v>677549179</v>
          </cell>
          <cell r="R359">
            <v>656993735</v>
          </cell>
          <cell r="S359" t="str">
            <v>Desire Moussinga</v>
          </cell>
          <cell r="T359" t="str">
            <v>Valeur HOUELL</v>
          </cell>
          <cell r="U359" t="str">
            <v>I H S</v>
          </cell>
        </row>
        <row r="360">
          <cell r="A360" t="str">
            <v>CTR_336</v>
          </cell>
          <cell r="B360" t="str">
            <v>IHS_YND_212</v>
          </cell>
          <cell r="C360" t="str">
            <v>CTR_336</v>
          </cell>
          <cell r="D360" t="str">
            <v>Center</v>
          </cell>
          <cell r="E360" t="str">
            <v>Center</v>
          </cell>
          <cell r="F360" t="str">
            <v>H-General-Yde</v>
          </cell>
          <cell r="G360" t="str">
            <v>P4</v>
          </cell>
          <cell r="H360" t="str">
            <v>Grid-Gen</v>
          </cell>
          <cell r="I360" t="str">
            <v>On Air</v>
          </cell>
          <cell r="J360" t="str">
            <v>Outdoor</v>
          </cell>
          <cell r="K360" t="str">
            <v>AC</v>
          </cell>
          <cell r="L360" t="str">
            <v>SAGEMCOM</v>
          </cell>
          <cell r="M360" t="str">
            <v>Omnisport</v>
          </cell>
          <cell r="N360" t="str">
            <v>MFOUNDI</v>
          </cell>
          <cell r="O360" t="str">
            <v>YAOUNDE 5</v>
          </cell>
          <cell r="P360" t="str">
            <v>Astrid DJOUASSI</v>
          </cell>
          <cell r="Q360">
            <v>677549179</v>
          </cell>
          <cell r="R360">
            <v>656993735</v>
          </cell>
          <cell r="S360" t="str">
            <v>Desire Moussinga</v>
          </cell>
          <cell r="T360" t="str">
            <v>Valeur HOUELL</v>
          </cell>
          <cell r="U360" t="str">
            <v>I H S</v>
          </cell>
        </row>
        <row r="361">
          <cell r="A361" t="str">
            <v>CTR_313</v>
          </cell>
          <cell r="B361" t="str">
            <v>IHS_YND_307</v>
          </cell>
          <cell r="C361" t="str">
            <v>CTR_313</v>
          </cell>
          <cell r="D361" t="str">
            <v>Center</v>
          </cell>
          <cell r="E361" t="str">
            <v>Center</v>
          </cell>
          <cell r="F361" t="str">
            <v>Ebogo</v>
          </cell>
          <cell r="G361" t="str">
            <v>P4</v>
          </cell>
          <cell r="H361" t="str">
            <v>Grid-Gen</v>
          </cell>
          <cell r="I361" t="str">
            <v>On Air</v>
          </cell>
          <cell r="J361" t="str">
            <v>Outdoor</v>
          </cell>
          <cell r="K361" t="str">
            <v>AC</v>
          </cell>
          <cell r="L361" t="str">
            <v>SAGEMCOM</v>
          </cell>
          <cell r="M361" t="str">
            <v>Omnisport</v>
          </cell>
          <cell r="N361" t="str">
            <v>MFOUNDI</v>
          </cell>
          <cell r="O361" t="str">
            <v>YAOUNDE 5</v>
          </cell>
          <cell r="P361" t="str">
            <v>Astrid DJOUASSI</v>
          </cell>
          <cell r="Q361">
            <v>677549179</v>
          </cell>
          <cell r="R361">
            <v>656993735</v>
          </cell>
          <cell r="S361" t="str">
            <v>Desire Moussinga</v>
          </cell>
          <cell r="T361" t="str">
            <v>Valeur HOUELL</v>
          </cell>
          <cell r="U361" t="str">
            <v>I H S</v>
          </cell>
        </row>
        <row r="362">
          <cell r="A362" t="str">
            <v>CTR_430</v>
          </cell>
          <cell r="B362" t="str">
            <v>IHS_YND_317</v>
          </cell>
          <cell r="C362" t="str">
            <v>CTR_430</v>
          </cell>
          <cell r="D362" t="str">
            <v>Center</v>
          </cell>
          <cell r="E362" t="str">
            <v>Center</v>
          </cell>
          <cell r="F362" t="str">
            <v>Soa-Sofamac</v>
          </cell>
          <cell r="G362" t="str">
            <v>P4</v>
          </cell>
          <cell r="H362" t="str">
            <v>Grid-Gen</v>
          </cell>
          <cell r="I362" t="str">
            <v>On Air</v>
          </cell>
          <cell r="J362" t="str">
            <v>Outdoor</v>
          </cell>
          <cell r="K362" t="str">
            <v>AC</v>
          </cell>
          <cell r="L362" t="str">
            <v>SAGEMCOM</v>
          </cell>
          <cell r="M362" t="str">
            <v>Omnisport</v>
          </cell>
          <cell r="N362" t="str">
            <v>MFOUNDI</v>
          </cell>
          <cell r="O362" t="str">
            <v>SOA</v>
          </cell>
          <cell r="P362" t="str">
            <v>Astrid DJOUASSI</v>
          </cell>
          <cell r="Q362">
            <v>677549179</v>
          </cell>
          <cell r="R362">
            <v>656993735</v>
          </cell>
          <cell r="S362" t="str">
            <v>Desire Moussinga</v>
          </cell>
          <cell r="T362" t="str">
            <v>Valeur HOUELL</v>
          </cell>
          <cell r="U362" t="str">
            <v>I H S</v>
          </cell>
        </row>
        <row r="363">
          <cell r="A363" t="str">
            <v>CTR_254</v>
          </cell>
          <cell r="B363" t="str">
            <v>IHS_YND_216</v>
          </cell>
          <cell r="C363" t="str">
            <v>CTR_254</v>
          </cell>
          <cell r="D363" t="str">
            <v>Center</v>
          </cell>
          <cell r="E363" t="str">
            <v>Center</v>
          </cell>
          <cell r="F363" t="str">
            <v>Eleveur</v>
          </cell>
          <cell r="G363" t="str">
            <v>P4</v>
          </cell>
          <cell r="H363" t="str">
            <v>Grid-Gen</v>
          </cell>
          <cell r="I363" t="str">
            <v>On Air</v>
          </cell>
          <cell r="J363" t="str">
            <v>Outdoor</v>
          </cell>
          <cell r="K363" t="str">
            <v>AC</v>
          </cell>
          <cell r="L363" t="str">
            <v>SAGEMCOM</v>
          </cell>
          <cell r="M363" t="str">
            <v>Omnisport</v>
          </cell>
          <cell r="N363" t="str">
            <v>MFOUNDI</v>
          </cell>
          <cell r="O363" t="str">
            <v>YAOUNDE 5</v>
          </cell>
          <cell r="P363" t="str">
            <v>Astrid DJOUASSI</v>
          </cell>
          <cell r="Q363">
            <v>677549179</v>
          </cell>
          <cell r="R363">
            <v>656993735</v>
          </cell>
          <cell r="S363" t="str">
            <v>Desire Moussinga</v>
          </cell>
          <cell r="T363" t="str">
            <v>Valeur HOUELL</v>
          </cell>
          <cell r="U363" t="str">
            <v>I H S</v>
          </cell>
        </row>
        <row r="364">
          <cell r="A364" t="str">
            <v>CTR_341</v>
          </cell>
          <cell r="B364" t="str">
            <v>IHS_YND_269</v>
          </cell>
          <cell r="C364" t="str">
            <v>CTR_341</v>
          </cell>
          <cell r="D364" t="str">
            <v>Center</v>
          </cell>
          <cell r="E364" t="str">
            <v>Center</v>
          </cell>
          <cell r="F364" t="str">
            <v>Mvog-Ebanda</v>
          </cell>
          <cell r="G364" t="str">
            <v>P4</v>
          </cell>
          <cell r="H364" t="str">
            <v>Grid-Gen</v>
          </cell>
          <cell r="I364" t="str">
            <v>On Air</v>
          </cell>
          <cell r="J364" t="str">
            <v>Outdoor</v>
          </cell>
          <cell r="K364" t="str">
            <v>AC</v>
          </cell>
          <cell r="L364" t="str">
            <v>SAGEMCOM</v>
          </cell>
          <cell r="M364" t="str">
            <v>Omnisport</v>
          </cell>
          <cell r="N364" t="str">
            <v>MFOUNDI</v>
          </cell>
          <cell r="O364" t="str">
            <v>YAOUNDE 5</v>
          </cell>
          <cell r="P364" t="str">
            <v>Astrid DJOUASSI</v>
          </cell>
          <cell r="Q364">
            <v>677549179</v>
          </cell>
          <cell r="R364">
            <v>656993735</v>
          </cell>
          <cell r="S364" t="str">
            <v>Desire Moussinga</v>
          </cell>
          <cell r="T364" t="str">
            <v>Valeur HOUELL</v>
          </cell>
          <cell r="U364" t="str">
            <v>I H S</v>
          </cell>
        </row>
        <row r="365">
          <cell r="A365" t="str">
            <v>CTR_024</v>
          </cell>
          <cell r="B365" t="str">
            <v>IHS_YND_017</v>
          </cell>
          <cell r="C365" t="str">
            <v>CTR_024</v>
          </cell>
          <cell r="D365" t="str">
            <v>Center</v>
          </cell>
          <cell r="E365" t="str">
            <v>Center</v>
          </cell>
          <cell r="F365" t="str">
            <v>H-Deputes</v>
          </cell>
          <cell r="G365" t="str">
            <v>P4</v>
          </cell>
          <cell r="H365" t="str">
            <v>Grid Only</v>
          </cell>
          <cell r="I365" t="str">
            <v>On Air</v>
          </cell>
          <cell r="J365" t="str">
            <v>Indoor</v>
          </cell>
          <cell r="K365" t="str">
            <v>AC</v>
          </cell>
          <cell r="L365" t="str">
            <v>SAGEMCOM</v>
          </cell>
          <cell r="M365" t="str">
            <v>Essos</v>
          </cell>
          <cell r="N365" t="str">
            <v>MFOUNDI</v>
          </cell>
          <cell r="O365" t="str">
            <v>YAOUNDE 1</v>
          </cell>
          <cell r="P365" t="str">
            <v>Astrid DJOUASSI</v>
          </cell>
          <cell r="Q365">
            <v>677549179</v>
          </cell>
          <cell r="R365">
            <v>656993735</v>
          </cell>
          <cell r="S365" t="str">
            <v>Desire Moussinga</v>
          </cell>
          <cell r="T365" t="str">
            <v>Valeur HOUELL</v>
          </cell>
          <cell r="U365" t="str">
            <v>I H S</v>
          </cell>
        </row>
        <row r="366">
          <cell r="A366" t="str">
            <v>CTR_130</v>
          </cell>
          <cell r="B366" t="str">
            <v>IHS_YND_539</v>
          </cell>
          <cell r="C366" t="str">
            <v>CTR_130</v>
          </cell>
          <cell r="D366" t="str">
            <v>Center</v>
          </cell>
          <cell r="E366" t="str">
            <v>Center</v>
          </cell>
          <cell r="F366" t="str">
            <v>Ngousso</v>
          </cell>
          <cell r="G366" t="str">
            <v>P4</v>
          </cell>
          <cell r="H366" t="str">
            <v>Grid-Gen</v>
          </cell>
          <cell r="I366" t="str">
            <v>On Air</v>
          </cell>
          <cell r="J366" t="str">
            <v>Outdoor</v>
          </cell>
          <cell r="K366" t="str">
            <v>AC</v>
          </cell>
          <cell r="L366" t="str">
            <v>SAGEMCOM</v>
          </cell>
          <cell r="M366" t="str">
            <v>Omnisport</v>
          </cell>
          <cell r="N366" t="str">
            <v>MFOUNDI</v>
          </cell>
          <cell r="O366" t="str">
            <v>YAOUNDE 5</v>
          </cell>
          <cell r="P366" t="str">
            <v>Astrid DJOUASSI</v>
          </cell>
          <cell r="Q366">
            <v>677549179</v>
          </cell>
          <cell r="R366">
            <v>656993735</v>
          </cell>
          <cell r="S366" t="str">
            <v>Desire Moussinga</v>
          </cell>
          <cell r="T366" t="str">
            <v>Valeur HOUELL</v>
          </cell>
          <cell r="U366" t="str">
            <v>I H S</v>
          </cell>
        </row>
        <row r="367">
          <cell r="A367" t="str">
            <v>CTR_070</v>
          </cell>
          <cell r="B367" t="str">
            <v>IHS_YND_104</v>
          </cell>
          <cell r="C367" t="str">
            <v>CTR_070</v>
          </cell>
          <cell r="D367" t="str">
            <v>Center</v>
          </cell>
          <cell r="E367" t="str">
            <v>Center</v>
          </cell>
          <cell r="F367" t="str">
            <v>Carington</v>
          </cell>
          <cell r="G367" t="str">
            <v>P4</v>
          </cell>
          <cell r="H367" t="str">
            <v>Grid Only</v>
          </cell>
          <cell r="I367" t="str">
            <v>On Air</v>
          </cell>
          <cell r="J367" t="str">
            <v>Indoor</v>
          </cell>
          <cell r="K367" t="str">
            <v>AC</v>
          </cell>
          <cell r="L367" t="str">
            <v>SAGEMCOM</v>
          </cell>
          <cell r="M367" t="str">
            <v>Omnisport</v>
          </cell>
          <cell r="N367" t="str">
            <v>MFOUNDI</v>
          </cell>
          <cell r="O367" t="str">
            <v>YAOUNDE 5</v>
          </cell>
          <cell r="P367" t="str">
            <v>Astrid DJOUASSI</v>
          </cell>
          <cell r="Q367">
            <v>677549179</v>
          </cell>
          <cell r="R367">
            <v>656993735</v>
          </cell>
          <cell r="S367" t="str">
            <v>Desire Moussinga</v>
          </cell>
          <cell r="T367" t="str">
            <v>Valeur HOUELL</v>
          </cell>
          <cell r="U367" t="str">
            <v>I H S</v>
          </cell>
        </row>
        <row r="368">
          <cell r="A368" t="str">
            <v>CTR_132</v>
          </cell>
          <cell r="B368" t="str">
            <v>IHS_YND_107</v>
          </cell>
          <cell r="C368" t="str">
            <v>CTR_132</v>
          </cell>
          <cell r="D368" t="str">
            <v>Center</v>
          </cell>
          <cell r="E368" t="str">
            <v>Center</v>
          </cell>
          <cell r="F368" t="str">
            <v>NR-Omnisport</v>
          </cell>
          <cell r="G368" t="str">
            <v>P4</v>
          </cell>
          <cell r="H368" t="str">
            <v>Grid-Gen</v>
          </cell>
          <cell r="I368" t="str">
            <v>On Air</v>
          </cell>
          <cell r="J368" t="str">
            <v>Indoor</v>
          </cell>
          <cell r="K368" t="str">
            <v>AC</v>
          </cell>
          <cell r="L368" t="str">
            <v>SAGEMCOM</v>
          </cell>
          <cell r="M368" t="str">
            <v>Omnisport</v>
          </cell>
          <cell r="N368" t="str">
            <v>MFOUNDI</v>
          </cell>
          <cell r="O368" t="str">
            <v>YAOUNDE 5</v>
          </cell>
          <cell r="P368" t="str">
            <v>Astrid DJOUASSI</v>
          </cell>
          <cell r="Q368">
            <v>677549179</v>
          </cell>
          <cell r="R368">
            <v>656993735</v>
          </cell>
          <cell r="S368" t="str">
            <v>Desire Moussinga</v>
          </cell>
          <cell r="T368" t="str">
            <v>Valeur HOUELL</v>
          </cell>
          <cell r="U368" t="str">
            <v>I H S</v>
          </cell>
        </row>
        <row r="369">
          <cell r="A369" t="str">
            <v>CTR_047</v>
          </cell>
          <cell r="B369" t="str">
            <v>IHS_YND_012</v>
          </cell>
          <cell r="C369" t="str">
            <v>CTR_047</v>
          </cell>
          <cell r="D369" t="str">
            <v>Center</v>
          </cell>
          <cell r="E369" t="str">
            <v>Center</v>
          </cell>
          <cell r="F369" t="str">
            <v>Elig-Essono</v>
          </cell>
          <cell r="G369" t="str">
            <v>P4</v>
          </cell>
          <cell r="H369" t="str">
            <v>Grid Only</v>
          </cell>
          <cell r="I369" t="str">
            <v>On Air</v>
          </cell>
          <cell r="J369" t="str">
            <v>Indoor</v>
          </cell>
          <cell r="K369" t="str">
            <v>AC</v>
          </cell>
          <cell r="L369" t="str">
            <v>SAGEMCOM</v>
          </cell>
          <cell r="M369" t="str">
            <v>Essos</v>
          </cell>
          <cell r="N369" t="str">
            <v>MFOUNDI</v>
          </cell>
          <cell r="O369" t="str">
            <v>YAOUNDE 1</v>
          </cell>
          <cell r="P369" t="str">
            <v>Astrid DJOUASSI</v>
          </cell>
          <cell r="Q369">
            <v>677549179</v>
          </cell>
          <cell r="R369">
            <v>656993735</v>
          </cell>
          <cell r="S369" t="str">
            <v>Desire Moussinga</v>
          </cell>
          <cell r="T369" t="str">
            <v>Valeur HOUELL</v>
          </cell>
          <cell r="U369" t="str">
            <v>I H S</v>
          </cell>
        </row>
        <row r="370">
          <cell r="A370" t="str">
            <v>CTR_244</v>
          </cell>
          <cell r="B370" t="str">
            <v>IHS_YND_002</v>
          </cell>
          <cell r="C370" t="str">
            <v>CTR_244</v>
          </cell>
          <cell r="D370" t="str">
            <v>Center</v>
          </cell>
          <cell r="E370" t="str">
            <v>Center</v>
          </cell>
          <cell r="F370" t="str">
            <v>Yde-M-Central</v>
          </cell>
          <cell r="G370" t="str">
            <v>P4</v>
          </cell>
          <cell r="H370" t="str">
            <v>Grid Only</v>
          </cell>
          <cell r="I370" t="str">
            <v>On Air</v>
          </cell>
          <cell r="J370" t="str">
            <v>Outdoor</v>
          </cell>
          <cell r="K370" t="str">
            <v>AC</v>
          </cell>
          <cell r="L370" t="str">
            <v>SAGEMCOM</v>
          </cell>
          <cell r="M370" t="str">
            <v>Essos</v>
          </cell>
          <cell r="N370" t="str">
            <v>MFOUNDI</v>
          </cell>
          <cell r="O370" t="str">
            <v>YAOUNDE 1</v>
          </cell>
          <cell r="P370" t="str">
            <v>Astrid DJOUASSI</v>
          </cell>
          <cell r="Q370">
            <v>677549179</v>
          </cell>
          <cell r="R370">
            <v>656993735</v>
          </cell>
          <cell r="S370" t="str">
            <v>Desire Moussinga</v>
          </cell>
          <cell r="T370" t="str">
            <v>Valeur HOUELL</v>
          </cell>
          <cell r="U370" t="str">
            <v>I H S</v>
          </cell>
        </row>
        <row r="371">
          <cell r="A371" t="str">
            <v>CTR_377</v>
          </cell>
          <cell r="B371" t="str">
            <v>IHS_YND_005</v>
          </cell>
          <cell r="C371" t="str">
            <v>CTR_377</v>
          </cell>
          <cell r="D371" t="str">
            <v>Center</v>
          </cell>
          <cell r="E371" t="str">
            <v>Center</v>
          </cell>
          <cell r="F371" t="str">
            <v>Imm-Olympique</v>
          </cell>
          <cell r="G371" t="str">
            <v>P4</v>
          </cell>
          <cell r="H371" t="str">
            <v>Grid-Gen</v>
          </cell>
          <cell r="I371" t="str">
            <v>On Air</v>
          </cell>
          <cell r="J371" t="str">
            <v>Outdoor</v>
          </cell>
          <cell r="K371" t="str">
            <v>AC</v>
          </cell>
          <cell r="L371" t="str">
            <v>SAGEMCOM</v>
          </cell>
          <cell r="M371" t="str">
            <v>Essos</v>
          </cell>
          <cell r="N371" t="str">
            <v>MFOUNDI</v>
          </cell>
          <cell r="O371" t="str">
            <v>YAOUNDE 1</v>
          </cell>
          <cell r="P371" t="str">
            <v>Astrid DJOUASSI</v>
          </cell>
          <cell r="Q371">
            <v>677549179</v>
          </cell>
          <cell r="R371">
            <v>656993735</v>
          </cell>
          <cell r="S371" t="str">
            <v>Desire Moussinga</v>
          </cell>
          <cell r="T371" t="str">
            <v>Valeur HOUELL</v>
          </cell>
          <cell r="U371" t="str">
            <v>I H S</v>
          </cell>
        </row>
        <row r="372">
          <cell r="A372" t="str">
            <v>CTR_373</v>
          </cell>
          <cell r="B372" t="str">
            <v>IHS_YND_007</v>
          </cell>
          <cell r="C372" t="str">
            <v>CTR_373</v>
          </cell>
          <cell r="D372" t="str">
            <v>Center</v>
          </cell>
          <cell r="E372" t="str">
            <v>Center</v>
          </cell>
          <cell r="F372" t="str">
            <v>Montee-Anne-Rouge</v>
          </cell>
          <cell r="G372" t="str">
            <v>P4</v>
          </cell>
          <cell r="H372" t="str">
            <v>Grid Only</v>
          </cell>
          <cell r="I372" t="str">
            <v>On Air</v>
          </cell>
          <cell r="J372" t="str">
            <v>Outdoor</v>
          </cell>
          <cell r="K372" t="str">
            <v>AC</v>
          </cell>
          <cell r="L372" t="str">
            <v>SAGEMCOM</v>
          </cell>
          <cell r="M372" t="str">
            <v>Essos</v>
          </cell>
          <cell r="N372" t="str">
            <v>MFOUNDI</v>
          </cell>
          <cell r="O372" t="str">
            <v>YAOUNDE 1</v>
          </cell>
          <cell r="P372" t="str">
            <v>Astrid DJOUASSI</v>
          </cell>
          <cell r="Q372">
            <v>677549179</v>
          </cell>
          <cell r="R372">
            <v>656993735</v>
          </cell>
          <cell r="S372" t="str">
            <v>Desire Moussinga</v>
          </cell>
          <cell r="T372" t="str">
            <v>Valeur HOUELL</v>
          </cell>
          <cell r="U372" t="str">
            <v>I H S</v>
          </cell>
        </row>
        <row r="373">
          <cell r="A373" t="str">
            <v>CTR_199</v>
          </cell>
          <cell r="B373" t="str">
            <v>IHS_YND_050</v>
          </cell>
          <cell r="C373" t="str">
            <v>CTR_199</v>
          </cell>
          <cell r="D373" t="str">
            <v>Center</v>
          </cell>
          <cell r="E373" t="str">
            <v>Center</v>
          </cell>
          <cell r="F373" t="str">
            <v>Satcom</v>
          </cell>
          <cell r="G373" t="str">
            <v>P4</v>
          </cell>
          <cell r="H373" t="str">
            <v>Grid-Gen</v>
          </cell>
          <cell r="I373" t="str">
            <v>On Air</v>
          </cell>
          <cell r="J373" t="str">
            <v>Indoor</v>
          </cell>
          <cell r="K373" t="str">
            <v>AC</v>
          </cell>
          <cell r="L373" t="str">
            <v>SAGEMCOM</v>
          </cell>
          <cell r="M373" t="str">
            <v>Essos</v>
          </cell>
          <cell r="N373" t="str">
            <v>MFOUNDI</v>
          </cell>
          <cell r="O373" t="str">
            <v>YAOUNDE 1</v>
          </cell>
          <cell r="P373" t="str">
            <v>Astrid DJOUASSI</v>
          </cell>
          <cell r="Q373">
            <v>677549179</v>
          </cell>
          <cell r="R373">
            <v>656993735</v>
          </cell>
          <cell r="S373" t="str">
            <v>Desire Moussinga</v>
          </cell>
          <cell r="T373" t="str">
            <v>Valeur HOUELL</v>
          </cell>
          <cell r="U373" t="str">
            <v>I H S</v>
          </cell>
        </row>
        <row r="374">
          <cell r="A374" t="str">
            <v>CTR_342</v>
          </cell>
          <cell r="B374" t="str">
            <v>IHS_YND_190</v>
          </cell>
          <cell r="C374" t="str">
            <v>CTR_342</v>
          </cell>
          <cell r="D374" t="str">
            <v>Center</v>
          </cell>
          <cell r="E374" t="str">
            <v>Center</v>
          </cell>
          <cell r="F374" t="str">
            <v>Ngousso-II</v>
          </cell>
          <cell r="G374" t="str">
            <v>P4</v>
          </cell>
          <cell r="H374" t="str">
            <v>Grid-Gen</v>
          </cell>
          <cell r="I374" t="str">
            <v>On Air</v>
          </cell>
          <cell r="J374" t="str">
            <v>Outdoor</v>
          </cell>
          <cell r="K374" t="str">
            <v>AC</v>
          </cell>
          <cell r="L374" t="str">
            <v>SAGEMCOM</v>
          </cell>
          <cell r="M374" t="str">
            <v>Omnisport</v>
          </cell>
          <cell r="N374" t="str">
            <v>MFOUNDI</v>
          </cell>
          <cell r="O374" t="str">
            <v>YAOUNDE 5</v>
          </cell>
          <cell r="P374" t="str">
            <v>Astrid DJOUASSI</v>
          </cell>
          <cell r="Q374">
            <v>677549179</v>
          </cell>
          <cell r="R374">
            <v>656993735</v>
          </cell>
          <cell r="S374" t="str">
            <v>Desire Moussinga</v>
          </cell>
          <cell r="T374" t="str">
            <v>Valeur HOUELL</v>
          </cell>
          <cell r="U374" t="str">
            <v>I H S</v>
          </cell>
        </row>
        <row r="375">
          <cell r="A375" t="str">
            <v>CTR_473</v>
          </cell>
          <cell r="B375" t="str">
            <v>IHS_YND_561</v>
          </cell>
          <cell r="C375" t="str">
            <v>CTR_473</v>
          </cell>
          <cell r="D375" t="str">
            <v>Center</v>
          </cell>
          <cell r="E375" t="str">
            <v>Center</v>
          </cell>
          <cell r="F375" t="str">
            <v>Fougerole mtn IHS</v>
          </cell>
          <cell r="G375" t="str">
            <v>P4</v>
          </cell>
          <cell r="H375" t="str">
            <v>Grid-Gen</v>
          </cell>
          <cell r="I375" t="str">
            <v>On Air</v>
          </cell>
          <cell r="J375" t="str">
            <v>Outdoor</v>
          </cell>
          <cell r="K375" t="str">
            <v>AC</v>
          </cell>
          <cell r="L375" t="str">
            <v>SAGEMCOM</v>
          </cell>
          <cell r="M375" t="str">
            <v>Omnisport</v>
          </cell>
          <cell r="N375" t="str">
            <v>MFOUNDI</v>
          </cell>
          <cell r="O375" t="str">
            <v>SOA</v>
          </cell>
          <cell r="P375" t="str">
            <v>Astrid DJOUASSI</v>
          </cell>
          <cell r="Q375">
            <v>677549179</v>
          </cell>
          <cell r="R375">
            <v>656993735</v>
          </cell>
          <cell r="S375" t="str">
            <v>Desire Moussinga</v>
          </cell>
          <cell r="T375" t="str">
            <v>Valeur HOUELL</v>
          </cell>
          <cell r="U375" t="str">
            <v>I H S</v>
          </cell>
        </row>
        <row r="376">
          <cell r="A376" t="str">
            <v>CTR_542</v>
          </cell>
          <cell r="B376" t="str">
            <v>IHS_YND_182</v>
          </cell>
          <cell r="C376" t="str">
            <v>CTR_542</v>
          </cell>
          <cell r="D376" t="str">
            <v>Center</v>
          </cell>
          <cell r="E376" t="str">
            <v>Center</v>
          </cell>
          <cell r="F376" t="str">
            <v>Titi-Garage New</v>
          </cell>
          <cell r="G376" t="str">
            <v>P4</v>
          </cell>
          <cell r="H376" t="str">
            <v>Grid-Gen</v>
          </cell>
          <cell r="I376" t="str">
            <v>On Air</v>
          </cell>
          <cell r="J376" t="str">
            <v>Outdoor</v>
          </cell>
          <cell r="K376" t="str">
            <v>AC</v>
          </cell>
          <cell r="L376" t="str">
            <v>SAGEMCOM</v>
          </cell>
          <cell r="M376" t="str">
            <v>Omnisport</v>
          </cell>
          <cell r="N376" t="str">
            <v>MFOUNDI</v>
          </cell>
          <cell r="O376" t="str">
            <v>YAOUNDE 5</v>
          </cell>
          <cell r="P376" t="str">
            <v>Astrid DJOUASSI</v>
          </cell>
          <cell r="Q376">
            <v>677549179</v>
          </cell>
          <cell r="R376">
            <v>656993735</v>
          </cell>
          <cell r="S376" t="str">
            <v>Desire Moussinga</v>
          </cell>
          <cell r="T376" t="str">
            <v>Valeur HOUELL</v>
          </cell>
          <cell r="U376" t="str">
            <v>I H S</v>
          </cell>
        </row>
        <row r="377">
          <cell r="A377" t="str">
            <v>CTR_643</v>
          </cell>
          <cell r="B377" t="str">
            <v>IHS_YND_105</v>
          </cell>
          <cell r="C377" t="str">
            <v>CTR_643</v>
          </cell>
          <cell r="D377" t="str">
            <v>Center</v>
          </cell>
          <cell r="E377" t="str">
            <v>Center</v>
          </cell>
          <cell r="F377" t="str">
            <v>Mfandena IHS (Omnisport 3)</v>
          </cell>
          <cell r="G377" t="str">
            <v>P4</v>
          </cell>
          <cell r="H377" t="str">
            <v>Grid-Gen</v>
          </cell>
          <cell r="I377" t="str">
            <v>On Air</v>
          </cell>
          <cell r="J377" t="str">
            <v>Outdoor</v>
          </cell>
          <cell r="K377" t="str">
            <v>AC</v>
          </cell>
          <cell r="L377" t="str">
            <v>SAGEMCOM</v>
          </cell>
          <cell r="M377" t="str">
            <v>Omnisport</v>
          </cell>
          <cell r="N377" t="str">
            <v>MFOUNDI</v>
          </cell>
          <cell r="O377" t="str">
            <v>YAOUNDE 5</v>
          </cell>
          <cell r="P377" t="str">
            <v>Astrid DJOUASSI</v>
          </cell>
          <cell r="Q377">
            <v>677549179</v>
          </cell>
          <cell r="R377">
            <v>656993735</v>
          </cell>
          <cell r="S377" t="str">
            <v>Desire Moussinga</v>
          </cell>
          <cell r="T377" t="str">
            <v>Valeur HOUELL</v>
          </cell>
          <cell r="U377" t="str">
            <v>I H S</v>
          </cell>
        </row>
        <row r="378">
          <cell r="A378" t="str">
            <v>CTR_594</v>
          </cell>
          <cell r="B378" t="str">
            <v>IHS_YND_308</v>
          </cell>
          <cell r="C378" t="str">
            <v>CTR_594</v>
          </cell>
          <cell r="D378" t="str">
            <v>Center</v>
          </cell>
          <cell r="E378" t="str">
            <v>Center</v>
          </cell>
          <cell r="F378" t="str">
            <v>Melen-Baaba</v>
          </cell>
          <cell r="G378" t="str">
            <v>P4</v>
          </cell>
          <cell r="H378" t="str">
            <v>Grid-Gen</v>
          </cell>
          <cell r="I378" t="str">
            <v>On Air</v>
          </cell>
          <cell r="J378" t="str">
            <v>Outdoor</v>
          </cell>
          <cell r="K378" t="str">
            <v>AC</v>
          </cell>
          <cell r="L378" t="str">
            <v>SAGEMCOM</v>
          </cell>
          <cell r="M378" t="str">
            <v>Omnisport</v>
          </cell>
          <cell r="N378" t="str">
            <v>MFOUNDI</v>
          </cell>
          <cell r="O378" t="str">
            <v>SOA</v>
          </cell>
          <cell r="P378" t="str">
            <v>Astrid DJOUASSI</v>
          </cell>
          <cell r="Q378">
            <v>677549179</v>
          </cell>
          <cell r="R378">
            <v>656993735</v>
          </cell>
          <cell r="S378" t="str">
            <v>Desire Moussinga</v>
          </cell>
          <cell r="T378" t="str">
            <v>Valeur HOUELL</v>
          </cell>
          <cell r="U378" t="str">
            <v>I H S</v>
          </cell>
        </row>
        <row r="379">
          <cell r="A379" t="str">
            <v>CTR_649</v>
          </cell>
          <cell r="B379" t="str">
            <v>IHS_YND_320</v>
          </cell>
          <cell r="C379" t="str">
            <v>CTR_649</v>
          </cell>
          <cell r="D379" t="str">
            <v>Center</v>
          </cell>
          <cell r="E379" t="str">
            <v>Center</v>
          </cell>
          <cell r="F379" t="str">
            <v>Soa Town IHS</v>
          </cell>
          <cell r="G379" t="str">
            <v>P4</v>
          </cell>
          <cell r="H379" t="str">
            <v>Grid-Gen</v>
          </cell>
          <cell r="I379" t="str">
            <v>On Air</v>
          </cell>
          <cell r="J379" t="str">
            <v>Outdoor</v>
          </cell>
          <cell r="K379" t="str">
            <v>AC</v>
          </cell>
          <cell r="L379" t="str">
            <v>SAGEMCOM</v>
          </cell>
          <cell r="M379" t="str">
            <v>Omnisport</v>
          </cell>
          <cell r="N379" t="str">
            <v>MFOUNDI</v>
          </cell>
          <cell r="O379" t="str">
            <v>SOA</v>
          </cell>
          <cell r="P379" t="str">
            <v>Astrid DJOUASSI</v>
          </cell>
          <cell r="Q379">
            <v>677549179</v>
          </cell>
          <cell r="R379">
            <v>656993735</v>
          </cell>
          <cell r="S379" t="str">
            <v>Desire Moussinga</v>
          </cell>
          <cell r="T379" t="str">
            <v>Valeur HOUELL</v>
          </cell>
          <cell r="U379" t="str">
            <v>I H S</v>
          </cell>
        </row>
        <row r="380">
          <cell r="A380" t="str">
            <v>CTR_621</v>
          </cell>
          <cell r="B380" t="str">
            <v>IHS_YND_278</v>
          </cell>
          <cell r="C380" t="str">
            <v>CTR_621</v>
          </cell>
          <cell r="D380" t="str">
            <v>Center</v>
          </cell>
          <cell r="E380" t="str">
            <v>Center</v>
          </cell>
          <cell r="F380" t="str">
            <v>Nkolfoulou-II</v>
          </cell>
          <cell r="G380" t="str">
            <v>P4</v>
          </cell>
          <cell r="H380" t="str">
            <v>Grid-Gen</v>
          </cell>
          <cell r="I380" t="str">
            <v>On Air</v>
          </cell>
          <cell r="J380" t="str">
            <v>Indoor</v>
          </cell>
          <cell r="K380" t="str">
            <v>AC</v>
          </cell>
          <cell r="L380" t="str">
            <v>SAGEMCOM</v>
          </cell>
          <cell r="M380" t="str">
            <v>Omnisport</v>
          </cell>
          <cell r="N380" t="str">
            <v>MFOUNDI</v>
          </cell>
          <cell r="O380" t="str">
            <v>SOA</v>
          </cell>
          <cell r="P380" t="str">
            <v>Astrid DJOUASSI</v>
          </cell>
          <cell r="Q380">
            <v>677549179</v>
          </cell>
          <cell r="R380">
            <v>656993735</v>
          </cell>
          <cell r="S380" t="str">
            <v>Desire Moussinga</v>
          </cell>
          <cell r="T380" t="str">
            <v>Valeur HOUELL</v>
          </cell>
          <cell r="U380" t="str">
            <v>I H S</v>
          </cell>
        </row>
        <row r="381">
          <cell r="A381" t="str">
            <v>CTR_431</v>
          </cell>
          <cell r="B381" t="str">
            <v>IHS_YND_321</v>
          </cell>
          <cell r="C381" t="str">
            <v>CTR_431</v>
          </cell>
          <cell r="D381" t="str">
            <v>Center</v>
          </cell>
          <cell r="E381" t="str">
            <v>Center</v>
          </cell>
          <cell r="F381" t="str">
            <v>Soa-UNIV-MTN</v>
          </cell>
          <cell r="G381" t="str">
            <v>P4</v>
          </cell>
          <cell r="H381" t="str">
            <v>Grid-Gen</v>
          </cell>
          <cell r="I381" t="str">
            <v>On Air</v>
          </cell>
          <cell r="J381" t="str">
            <v>Indoor</v>
          </cell>
          <cell r="K381" t="str">
            <v>AC</v>
          </cell>
          <cell r="L381" t="str">
            <v>SAGEMCOM</v>
          </cell>
          <cell r="M381" t="str">
            <v>Omnisport</v>
          </cell>
          <cell r="N381" t="str">
            <v>MFOUNDI</v>
          </cell>
          <cell r="O381" t="str">
            <v>SOA</v>
          </cell>
          <cell r="P381" t="str">
            <v>Astrid DJOUASSI</v>
          </cell>
          <cell r="Q381">
            <v>677549179</v>
          </cell>
          <cell r="R381">
            <v>656993735</v>
          </cell>
          <cell r="S381" t="str">
            <v>Desire Moussinga</v>
          </cell>
          <cell r="T381" t="str">
            <v>Valeur HOUELL</v>
          </cell>
          <cell r="U381" t="str">
            <v>I H S</v>
          </cell>
        </row>
        <row r="382">
          <cell r="A382" t="str">
            <v>CTR_674</v>
          </cell>
          <cell r="B382" t="str">
            <v>IHS_YND_720</v>
          </cell>
          <cell r="C382" t="str">
            <v>CTR_674</v>
          </cell>
          <cell r="D382" t="str">
            <v>Center</v>
          </cell>
          <cell r="E382" t="str">
            <v>Center</v>
          </cell>
          <cell r="F382" t="str">
            <v>SOA UNIVERSITY STADIUM</v>
          </cell>
          <cell r="G382" t="str">
            <v>P4</v>
          </cell>
          <cell r="H382" t="str">
            <v>Grid-Gen</v>
          </cell>
          <cell r="I382" t="str">
            <v>On Air</v>
          </cell>
          <cell r="J382" t="str">
            <v>Outdoor</v>
          </cell>
          <cell r="K382" t="str">
            <v>AC</v>
          </cell>
          <cell r="L382" t="str">
            <v>SAGEMCOM</v>
          </cell>
          <cell r="M382" t="str">
            <v>Essos</v>
          </cell>
          <cell r="N382" t="str">
            <v>MFOUNDI</v>
          </cell>
          <cell r="O382" t="str">
            <v>SOA</v>
          </cell>
          <cell r="P382" t="str">
            <v>Astrid DJOUASSI</v>
          </cell>
          <cell r="Q382">
            <v>677549179</v>
          </cell>
          <cell r="R382">
            <v>656993735</v>
          </cell>
          <cell r="S382" t="str">
            <v>Desire Moussinga</v>
          </cell>
          <cell r="T382" t="str">
            <v>Valeur HOUELL</v>
          </cell>
          <cell r="U382" t="str">
            <v>I H S</v>
          </cell>
        </row>
        <row r="383">
          <cell r="A383" t="str">
            <v>ADM_012</v>
          </cell>
          <cell r="B383" t="str">
            <v>IHS_NGD_101</v>
          </cell>
          <cell r="C383" t="str">
            <v>ADM_012</v>
          </cell>
          <cell r="D383" t="str">
            <v>West</v>
          </cell>
          <cell r="E383" t="str">
            <v>West</v>
          </cell>
          <cell r="F383" t="str">
            <v>Bankim</v>
          </cell>
          <cell r="G383" t="str">
            <v>P2</v>
          </cell>
          <cell r="H383" t="str">
            <v>Grid-Gen</v>
          </cell>
          <cell r="I383" t="str">
            <v>On Air</v>
          </cell>
          <cell r="J383" t="str">
            <v>Indoor</v>
          </cell>
          <cell r="K383" t="str">
            <v>AC</v>
          </cell>
          <cell r="L383" t="str">
            <v>I-Eng</v>
          </cell>
          <cell r="M383" t="str">
            <v>Foumban</v>
          </cell>
          <cell r="N383" t="str">
            <v>Mayo Banyo</v>
          </cell>
          <cell r="O383" t="str">
            <v>Bankim</v>
          </cell>
          <cell r="P383" t="str">
            <v>Bernard Atangana</v>
          </cell>
          <cell r="Q383">
            <v>677548315</v>
          </cell>
          <cell r="R383">
            <v>655999862</v>
          </cell>
          <cell r="S383" t="str">
            <v>Vensa Mohammadu</v>
          </cell>
          <cell r="T383" t="str">
            <v>GEORGES NAKHOUL</v>
          </cell>
          <cell r="U383" t="str">
            <v>I H S</v>
          </cell>
        </row>
        <row r="384">
          <cell r="A384" t="str">
            <v>OST_004</v>
          </cell>
          <cell r="B384" t="str">
            <v>IHS_FBN_001</v>
          </cell>
          <cell r="C384" t="str">
            <v>OST_004</v>
          </cell>
          <cell r="D384" t="str">
            <v>West</v>
          </cell>
          <cell r="E384" t="str">
            <v>West</v>
          </cell>
          <cell r="F384" t="str">
            <v>Foumban</v>
          </cell>
          <cell r="G384" t="str">
            <v>P4</v>
          </cell>
          <cell r="H384" t="str">
            <v>Grid-Gen</v>
          </cell>
          <cell r="I384" t="str">
            <v>On Air</v>
          </cell>
          <cell r="J384" t="str">
            <v>Indoor</v>
          </cell>
          <cell r="K384" t="str">
            <v>AC</v>
          </cell>
          <cell r="L384" t="str">
            <v>I-Eng</v>
          </cell>
          <cell r="M384" t="str">
            <v>Foumban</v>
          </cell>
          <cell r="N384" t="str">
            <v>Noun</v>
          </cell>
          <cell r="O384" t="str">
            <v>Foumban</v>
          </cell>
          <cell r="P384" t="str">
            <v>Bernard Atangana</v>
          </cell>
          <cell r="Q384">
            <v>677548315</v>
          </cell>
          <cell r="R384">
            <v>655999862</v>
          </cell>
          <cell r="S384" t="str">
            <v>Vensa Mohammadu</v>
          </cell>
          <cell r="T384" t="str">
            <v>GEORGES NAKHOUL</v>
          </cell>
          <cell r="U384" t="str">
            <v>I H S</v>
          </cell>
        </row>
        <row r="385">
          <cell r="A385" t="str">
            <v>OST_042</v>
          </cell>
          <cell r="B385" t="str">
            <v>IHS_FBN_006</v>
          </cell>
          <cell r="C385" t="str">
            <v>OST_042</v>
          </cell>
          <cell r="D385" t="str">
            <v>West</v>
          </cell>
          <cell r="E385" t="str">
            <v>West</v>
          </cell>
          <cell r="F385" t="str">
            <v>Foumban Manka</v>
          </cell>
          <cell r="G385" t="str">
            <v>P5</v>
          </cell>
          <cell r="H385" t="str">
            <v>Grid-Gen</v>
          </cell>
          <cell r="I385" t="str">
            <v>On Air</v>
          </cell>
          <cell r="J385" t="str">
            <v>Outdoor</v>
          </cell>
          <cell r="K385" t="str">
            <v>AC</v>
          </cell>
          <cell r="L385" t="str">
            <v>I-Eng</v>
          </cell>
          <cell r="M385" t="str">
            <v>Foumban</v>
          </cell>
          <cell r="N385" t="str">
            <v>Noun</v>
          </cell>
          <cell r="O385" t="str">
            <v>Foumban</v>
          </cell>
          <cell r="P385" t="str">
            <v>Bernard Atangana</v>
          </cell>
          <cell r="Q385">
            <v>677548315</v>
          </cell>
          <cell r="R385">
            <v>655999862</v>
          </cell>
          <cell r="S385" t="str">
            <v>Vensa Mohammadu</v>
          </cell>
          <cell r="T385" t="str">
            <v>GEORGES NAKHOUL</v>
          </cell>
          <cell r="U385" t="str">
            <v>I H S</v>
          </cell>
        </row>
        <row r="386">
          <cell r="A386" t="str">
            <v>OST_023</v>
          </cell>
          <cell r="B386" t="str">
            <v>IHS_FBN_015</v>
          </cell>
          <cell r="C386" t="str">
            <v>OST_023</v>
          </cell>
          <cell r="D386" t="str">
            <v>West</v>
          </cell>
          <cell r="E386" t="str">
            <v>West</v>
          </cell>
          <cell r="F386" t="str">
            <v>Magba</v>
          </cell>
          <cell r="G386" t="str">
            <v>P2</v>
          </cell>
          <cell r="H386" t="str">
            <v>Grid-Gen</v>
          </cell>
          <cell r="I386" t="str">
            <v>On Air</v>
          </cell>
          <cell r="J386" t="str">
            <v>Indoor</v>
          </cell>
          <cell r="K386" t="str">
            <v>AC</v>
          </cell>
          <cell r="L386" t="str">
            <v>I-Eng</v>
          </cell>
          <cell r="M386" t="str">
            <v>Foumban</v>
          </cell>
          <cell r="N386" t="str">
            <v>Noun</v>
          </cell>
          <cell r="O386" t="str">
            <v>Magba</v>
          </cell>
          <cell r="P386" t="str">
            <v>Bernard Atangana</v>
          </cell>
          <cell r="Q386">
            <v>677548315</v>
          </cell>
          <cell r="R386">
            <v>655999862</v>
          </cell>
          <cell r="S386" t="str">
            <v>Vensa Mohammadu</v>
          </cell>
          <cell r="T386" t="str">
            <v>GEORGES NAKHOUL</v>
          </cell>
          <cell r="U386" t="str">
            <v>I H S</v>
          </cell>
        </row>
        <row r="387">
          <cell r="A387" t="str">
            <v>OST_093</v>
          </cell>
          <cell r="B387" t="str">
            <v>IHS_NGD_099</v>
          </cell>
          <cell r="C387" t="str">
            <v>OST_093</v>
          </cell>
          <cell r="D387" t="str">
            <v>West</v>
          </cell>
          <cell r="E387" t="str">
            <v>West</v>
          </cell>
          <cell r="F387" t="str">
            <v>Mayo-Djinga-FH</v>
          </cell>
          <cell r="G387" t="str">
            <v>P2</v>
          </cell>
          <cell r="H387" t="str">
            <v>Solar-Gen</v>
          </cell>
          <cell r="I387" t="str">
            <v>On Air</v>
          </cell>
          <cell r="J387" t="str">
            <v>Indoor</v>
          </cell>
          <cell r="K387" t="str">
            <v>AC</v>
          </cell>
          <cell r="L387" t="str">
            <v>I-Eng</v>
          </cell>
          <cell r="M387" t="str">
            <v>Foumban</v>
          </cell>
          <cell r="N387" t="str">
            <v>Mayo banyo</v>
          </cell>
          <cell r="O387" t="str">
            <v>Mayo darle</v>
          </cell>
          <cell r="P387" t="str">
            <v>Bernard Atangana</v>
          </cell>
          <cell r="Q387">
            <v>677548315</v>
          </cell>
          <cell r="R387">
            <v>655999862</v>
          </cell>
          <cell r="S387" t="str">
            <v>Vensa Mohammadu</v>
          </cell>
          <cell r="T387" t="str">
            <v>GEORGES NAKHOUL</v>
          </cell>
          <cell r="U387" t="str">
            <v>I H S</v>
          </cell>
        </row>
        <row r="388">
          <cell r="A388" t="str">
            <v>NRO_034</v>
          </cell>
          <cell r="B388" t="str">
            <v>IHS_BMD_044</v>
          </cell>
          <cell r="C388" t="str">
            <v>NRO_034</v>
          </cell>
          <cell r="D388" t="str">
            <v>West</v>
          </cell>
          <cell r="E388" t="str">
            <v>West</v>
          </cell>
          <cell r="F388" t="str">
            <v>Balikumbat-Palais</v>
          </cell>
          <cell r="G388" t="str">
            <v>P3</v>
          </cell>
          <cell r="H388" t="str">
            <v>Grid-Gen</v>
          </cell>
          <cell r="I388" t="str">
            <v>On Air</v>
          </cell>
          <cell r="J388" t="str">
            <v>Indoor</v>
          </cell>
          <cell r="K388" t="str">
            <v>AC</v>
          </cell>
          <cell r="L388" t="str">
            <v>I-Eng</v>
          </cell>
          <cell r="M388" t="str">
            <v>Foumban</v>
          </cell>
          <cell r="N388" t="str">
            <v>NGO-KETUNJIA</v>
          </cell>
          <cell r="O388" t="str">
            <v>Balikumbat</v>
          </cell>
          <cell r="P388" t="str">
            <v>Bernard Atangana</v>
          </cell>
          <cell r="Q388">
            <v>677548315</v>
          </cell>
          <cell r="R388">
            <v>655999862</v>
          </cell>
          <cell r="S388" t="str">
            <v>Vensa Mohammadu</v>
          </cell>
          <cell r="T388" t="str">
            <v>GEORGES NAKHOUL</v>
          </cell>
          <cell r="U388" t="str">
            <v>I H S</v>
          </cell>
        </row>
        <row r="389">
          <cell r="A389" t="str">
            <v>OST_175</v>
          </cell>
          <cell r="B389" t="str">
            <v>IHS_FBN_029</v>
          </cell>
          <cell r="C389" t="str">
            <v>OST_175</v>
          </cell>
          <cell r="D389" t="str">
            <v>West</v>
          </cell>
          <cell r="E389" t="str">
            <v>West</v>
          </cell>
          <cell r="F389" t="str">
            <v>Foumban Ndjidare II</v>
          </cell>
          <cell r="G389" t="str">
            <v>P5</v>
          </cell>
          <cell r="H389" t="str">
            <v>Grid Only</v>
          </cell>
          <cell r="I389" t="str">
            <v>On Air</v>
          </cell>
          <cell r="J389" t="str">
            <v>Outdoor</v>
          </cell>
          <cell r="K389" t="str">
            <v>AC</v>
          </cell>
          <cell r="L389" t="str">
            <v>I-Eng</v>
          </cell>
          <cell r="M389" t="str">
            <v>Foumban</v>
          </cell>
          <cell r="N389" t="str">
            <v>Noun</v>
          </cell>
          <cell r="O389" t="str">
            <v>Foumban</v>
          </cell>
          <cell r="P389" t="str">
            <v>Bernard Atangana</v>
          </cell>
          <cell r="Q389">
            <v>677548315</v>
          </cell>
          <cell r="R389">
            <v>655999862</v>
          </cell>
          <cell r="S389" t="str">
            <v>Vensa Mohammadu</v>
          </cell>
          <cell r="T389" t="str">
            <v>GEORGES NAKHOUL</v>
          </cell>
          <cell r="U389" t="str">
            <v>I H S</v>
          </cell>
        </row>
        <row r="390">
          <cell r="A390" t="str">
            <v>OST_070</v>
          </cell>
          <cell r="B390" t="str">
            <v>IHS_FBN_013</v>
          </cell>
          <cell r="C390" t="str">
            <v>OST_070</v>
          </cell>
          <cell r="D390" t="str">
            <v>West</v>
          </cell>
          <cell r="E390" t="str">
            <v>West</v>
          </cell>
          <cell r="F390" t="str">
            <v>Baigon</v>
          </cell>
          <cell r="G390" t="str">
            <v>P3</v>
          </cell>
          <cell r="H390" t="str">
            <v>Grid-Gen</v>
          </cell>
          <cell r="I390" t="str">
            <v>On Air</v>
          </cell>
          <cell r="J390" t="str">
            <v>Outdoor</v>
          </cell>
          <cell r="K390" t="str">
            <v>AC</v>
          </cell>
          <cell r="L390" t="str">
            <v>I-Eng</v>
          </cell>
          <cell r="M390" t="str">
            <v>Foumban</v>
          </cell>
          <cell r="N390" t="str">
            <v>Noun</v>
          </cell>
          <cell r="O390" t="str">
            <v>Foumbot</v>
          </cell>
          <cell r="P390" t="str">
            <v>Bernard Atangana</v>
          </cell>
          <cell r="Q390">
            <v>677548315</v>
          </cell>
          <cell r="R390">
            <v>655999862</v>
          </cell>
          <cell r="S390" t="str">
            <v>Vensa Mohammadu</v>
          </cell>
          <cell r="T390" t="str">
            <v>GEORGES NAKHOUL</v>
          </cell>
          <cell r="U390" t="str">
            <v>I H S</v>
          </cell>
        </row>
        <row r="391">
          <cell r="A391" t="str">
            <v>OST_207</v>
          </cell>
          <cell r="B391" t="str">
            <v>IHS_FBN_046</v>
          </cell>
          <cell r="C391" t="str">
            <v>OST_207</v>
          </cell>
          <cell r="D391" t="str">
            <v>West</v>
          </cell>
          <cell r="E391" t="str">
            <v>West</v>
          </cell>
          <cell r="F391" t="str">
            <v>Ndoumken</v>
          </cell>
          <cell r="G391" t="str">
            <v>P4</v>
          </cell>
          <cell r="H391" t="str">
            <v>Grid-Gen</v>
          </cell>
          <cell r="I391" t="str">
            <v>On Air</v>
          </cell>
          <cell r="J391" t="str">
            <v>Outdoor</v>
          </cell>
          <cell r="K391" t="str">
            <v>AC</v>
          </cell>
          <cell r="L391" t="str">
            <v>I-Eng</v>
          </cell>
          <cell r="M391" t="str">
            <v>Foumban</v>
          </cell>
          <cell r="N391" t="str">
            <v>Noun</v>
          </cell>
          <cell r="O391" t="str">
            <v>Kouoptamo</v>
          </cell>
          <cell r="P391" t="str">
            <v>Bernard Atangana</v>
          </cell>
          <cell r="Q391">
            <v>677548315</v>
          </cell>
          <cell r="R391">
            <v>655999862</v>
          </cell>
          <cell r="S391" t="str">
            <v>Vensa Mohammadu</v>
          </cell>
          <cell r="T391" t="str">
            <v>GEORGES NAKHOUL</v>
          </cell>
          <cell r="U391" t="str">
            <v>I H S</v>
          </cell>
        </row>
        <row r="392">
          <cell r="A392" t="str">
            <v>OST_201</v>
          </cell>
          <cell r="B392" t="str">
            <v>IHS_FBN_053</v>
          </cell>
          <cell r="C392" t="str">
            <v>OST_201</v>
          </cell>
          <cell r="D392" t="str">
            <v>West</v>
          </cell>
          <cell r="E392" t="str">
            <v>West</v>
          </cell>
          <cell r="F392" t="str">
            <v>Mantoum Ville</v>
          </cell>
          <cell r="G392" t="str">
            <v>P4</v>
          </cell>
          <cell r="H392" t="str">
            <v>Hybrid-Gen</v>
          </cell>
          <cell r="I392" t="str">
            <v>On Air</v>
          </cell>
          <cell r="J392" t="str">
            <v>Outdoor</v>
          </cell>
          <cell r="K392" t="str">
            <v>AC</v>
          </cell>
          <cell r="L392" t="str">
            <v>I-Eng</v>
          </cell>
          <cell r="M392" t="str">
            <v>Foumban</v>
          </cell>
          <cell r="N392" t="str">
            <v>Noun</v>
          </cell>
          <cell r="O392" t="str">
            <v>Malantouen</v>
          </cell>
          <cell r="P392" t="str">
            <v>Bernard Atangana</v>
          </cell>
          <cell r="Q392">
            <v>677548315</v>
          </cell>
          <cell r="R392">
            <v>655999862</v>
          </cell>
          <cell r="S392" t="str">
            <v>Vensa Mohammadu</v>
          </cell>
          <cell r="T392" t="str">
            <v>GEORGES NAKHOUL</v>
          </cell>
          <cell r="U392" t="str">
            <v>I H S</v>
          </cell>
        </row>
        <row r="393">
          <cell r="A393" t="str">
            <v>OST_215</v>
          </cell>
          <cell r="B393" t="str">
            <v>IHS_MBD_019</v>
          </cell>
          <cell r="C393" t="str">
            <v>OST_215</v>
          </cell>
          <cell r="D393" t="str">
            <v>West</v>
          </cell>
          <cell r="E393" t="str">
            <v>West</v>
          </cell>
          <cell r="F393" t="str">
            <v>Bati</v>
          </cell>
          <cell r="G393" t="str">
            <v>P4</v>
          </cell>
          <cell r="H393" t="str">
            <v>Grid-Gen</v>
          </cell>
          <cell r="I393" t="str">
            <v>On Air</v>
          </cell>
          <cell r="J393" t="str">
            <v>Outdoor</v>
          </cell>
          <cell r="K393" t="str">
            <v>AC</v>
          </cell>
          <cell r="L393" t="str">
            <v>I-Eng</v>
          </cell>
          <cell r="M393" t="str">
            <v>Foumban</v>
          </cell>
          <cell r="N393" t="str">
            <v>BAMBOUTOUS</v>
          </cell>
          <cell r="O393" t="str">
            <v>Galim</v>
          </cell>
          <cell r="P393" t="str">
            <v>Bernard Atangana</v>
          </cell>
          <cell r="Q393">
            <v>677548315</v>
          </cell>
          <cell r="R393">
            <v>655999862</v>
          </cell>
          <cell r="S393" t="str">
            <v>Vensa Mohammadu</v>
          </cell>
          <cell r="T393" t="str">
            <v>GEORGES NAKHOUL</v>
          </cell>
          <cell r="U393" t="str">
            <v>I H S</v>
          </cell>
        </row>
        <row r="394">
          <cell r="A394" t="str">
            <v>OST_030</v>
          </cell>
          <cell r="B394" t="str">
            <v>IHS_MBD_016</v>
          </cell>
          <cell r="C394" t="str">
            <v>OST_030</v>
          </cell>
          <cell r="D394" t="str">
            <v>West</v>
          </cell>
          <cell r="E394" t="str">
            <v>West</v>
          </cell>
          <cell r="F394" t="str">
            <v>Bamendjing</v>
          </cell>
          <cell r="G394" t="str">
            <v>P4</v>
          </cell>
          <cell r="H394" t="str">
            <v>Grid-Hybrid-Gen</v>
          </cell>
          <cell r="I394" t="str">
            <v>On Air</v>
          </cell>
          <cell r="J394" t="str">
            <v>Outdoor</v>
          </cell>
          <cell r="K394" t="str">
            <v>AC</v>
          </cell>
          <cell r="L394" t="str">
            <v>I-Eng</v>
          </cell>
          <cell r="M394" t="str">
            <v>Foumban</v>
          </cell>
          <cell r="N394" t="str">
            <v>BAMBOUTOUS</v>
          </cell>
          <cell r="O394" t="str">
            <v>Galim</v>
          </cell>
          <cell r="P394" t="str">
            <v>Bernard Atangana</v>
          </cell>
          <cell r="Q394">
            <v>677548315</v>
          </cell>
          <cell r="R394">
            <v>655999862</v>
          </cell>
          <cell r="S394" t="str">
            <v>Vensa Mohammadu</v>
          </cell>
          <cell r="T394" t="str">
            <v>GEORGES NAKHOUL</v>
          </cell>
          <cell r="U394" t="str">
            <v>I H S</v>
          </cell>
        </row>
        <row r="395">
          <cell r="A395" t="str">
            <v>NRO_051</v>
          </cell>
          <cell r="B395" t="str">
            <v>IHS_BMD_2251</v>
          </cell>
          <cell r="C395" t="str">
            <v>NRO_051</v>
          </cell>
          <cell r="D395" t="str">
            <v>West</v>
          </cell>
          <cell r="E395" t="str">
            <v>West</v>
          </cell>
          <cell r="F395" t="str">
            <v>Bafanji</v>
          </cell>
          <cell r="G395" t="str">
            <v>P4</v>
          </cell>
          <cell r="H395" t="str">
            <v>Gen Only</v>
          </cell>
          <cell r="I395" t="str">
            <v>On Air</v>
          </cell>
          <cell r="J395" t="str">
            <v>Outdoor</v>
          </cell>
          <cell r="K395" t="str">
            <v>AC</v>
          </cell>
          <cell r="L395" t="str">
            <v>I-Eng</v>
          </cell>
          <cell r="M395" t="str">
            <v>Foumban</v>
          </cell>
          <cell r="N395" t="str">
            <v>NGO-KETUNJIA</v>
          </cell>
          <cell r="O395" t="str">
            <v>Balikumbat</v>
          </cell>
          <cell r="P395" t="str">
            <v>Bernard Atangana</v>
          </cell>
          <cell r="Q395">
            <v>677548315</v>
          </cell>
          <cell r="R395">
            <v>655999862</v>
          </cell>
          <cell r="S395" t="str">
            <v>Vensa Mohammadu</v>
          </cell>
          <cell r="T395" t="str">
            <v>GEORGES NAKHOUL</v>
          </cell>
          <cell r="U395" t="str">
            <v>I H S</v>
          </cell>
        </row>
        <row r="396">
          <cell r="A396" t="str">
            <v>NRO_100</v>
          </cell>
          <cell r="B396" t="str">
            <v>IHS_BMD_2226</v>
          </cell>
          <cell r="C396" t="str">
            <v>NRO_100</v>
          </cell>
          <cell r="D396" t="str">
            <v>West</v>
          </cell>
          <cell r="E396" t="str">
            <v>West</v>
          </cell>
          <cell r="F396" t="str">
            <v>Bambalang</v>
          </cell>
          <cell r="G396" t="str">
            <v>P4</v>
          </cell>
          <cell r="H396" t="str">
            <v>Hybrid-Gen</v>
          </cell>
          <cell r="I396" t="str">
            <v>On Air</v>
          </cell>
          <cell r="J396" t="str">
            <v>Outdoor</v>
          </cell>
          <cell r="K396" t="str">
            <v>AC</v>
          </cell>
          <cell r="L396" t="str">
            <v>I-Eng</v>
          </cell>
          <cell r="M396" t="str">
            <v>Foumban</v>
          </cell>
          <cell r="N396" t="str">
            <v>NGO-KETUNJIA</v>
          </cell>
          <cell r="O396" t="str">
            <v>Balikumbat</v>
          </cell>
          <cell r="P396" t="str">
            <v>Bernard Atangana</v>
          </cell>
          <cell r="Q396">
            <v>677548315</v>
          </cell>
          <cell r="R396">
            <v>655999862</v>
          </cell>
          <cell r="S396" t="str">
            <v>Vensa Mohammadu</v>
          </cell>
          <cell r="T396" t="str">
            <v>GEORGES NAKHOUL</v>
          </cell>
          <cell r="U396" t="str">
            <v>I H S</v>
          </cell>
        </row>
        <row r="397">
          <cell r="A397" t="str">
            <v>OST_176</v>
          </cell>
          <cell r="B397" t="str">
            <v>IHS_FBN_031</v>
          </cell>
          <cell r="C397" t="str">
            <v>OST_176</v>
          </cell>
          <cell r="D397" t="str">
            <v>West</v>
          </cell>
          <cell r="E397" t="str">
            <v>West</v>
          </cell>
          <cell r="F397" t="str">
            <v>Foumban Njintout</v>
          </cell>
          <cell r="G397" t="str">
            <v>P4</v>
          </cell>
          <cell r="H397" t="str">
            <v>Grid-Gen</v>
          </cell>
          <cell r="I397" t="str">
            <v>On Air</v>
          </cell>
          <cell r="J397" t="str">
            <v>Outdoor</v>
          </cell>
          <cell r="K397" t="str">
            <v>AC</v>
          </cell>
          <cell r="L397" t="str">
            <v>I-Eng</v>
          </cell>
          <cell r="M397" t="str">
            <v>Foumban</v>
          </cell>
          <cell r="N397" t="str">
            <v>Noun</v>
          </cell>
          <cell r="O397" t="str">
            <v>Foumban</v>
          </cell>
          <cell r="P397" t="str">
            <v>Bernard Atangana</v>
          </cell>
          <cell r="Q397">
            <v>677548315</v>
          </cell>
          <cell r="R397">
            <v>655999862</v>
          </cell>
          <cell r="S397" t="str">
            <v>Vensa Mohammadu</v>
          </cell>
          <cell r="T397" t="str">
            <v>GEORGES NAKHOUL</v>
          </cell>
          <cell r="U397" t="str">
            <v>I H S</v>
          </cell>
        </row>
        <row r="398">
          <cell r="A398" t="str">
            <v>OST_058</v>
          </cell>
          <cell r="B398" t="str">
            <v>IHS_FBN_023</v>
          </cell>
          <cell r="C398" t="str">
            <v>OST_058</v>
          </cell>
          <cell r="D398" t="str">
            <v>West</v>
          </cell>
          <cell r="E398" t="str">
            <v>West</v>
          </cell>
          <cell r="F398" t="str">
            <v>Kouoptamo</v>
          </cell>
          <cell r="G398" t="str">
            <v>P4</v>
          </cell>
          <cell r="H398" t="str">
            <v>Grid-Gen</v>
          </cell>
          <cell r="I398" t="str">
            <v>On Air</v>
          </cell>
          <cell r="J398" t="str">
            <v>Outdoor</v>
          </cell>
          <cell r="K398" t="str">
            <v>AC</v>
          </cell>
          <cell r="L398" t="str">
            <v>I-Eng</v>
          </cell>
          <cell r="M398" t="str">
            <v>Foumban</v>
          </cell>
          <cell r="N398" t="str">
            <v>Noun</v>
          </cell>
          <cell r="O398" t="str">
            <v>Kouoptamo</v>
          </cell>
          <cell r="P398" t="str">
            <v>Bernard Atangana</v>
          </cell>
          <cell r="Q398">
            <v>677548315</v>
          </cell>
          <cell r="R398">
            <v>655999862</v>
          </cell>
          <cell r="S398" t="str">
            <v>Vensa Mohammadu</v>
          </cell>
          <cell r="T398" t="str">
            <v>GEORGES NAKHOUL</v>
          </cell>
          <cell r="U398" t="str">
            <v>I H S</v>
          </cell>
        </row>
        <row r="399">
          <cell r="A399" t="str">
            <v>OST_027</v>
          </cell>
          <cell r="B399" t="str">
            <v>IHS_FBN_102</v>
          </cell>
          <cell r="C399" t="str">
            <v>OST_027</v>
          </cell>
          <cell r="D399" t="str">
            <v>West</v>
          </cell>
          <cell r="E399" t="str">
            <v>West</v>
          </cell>
          <cell r="F399" t="str">
            <v>Lamape</v>
          </cell>
          <cell r="G399" t="str">
            <v>P4</v>
          </cell>
          <cell r="H399" t="str">
            <v>Grid-Gen</v>
          </cell>
          <cell r="I399" t="str">
            <v>On Air</v>
          </cell>
          <cell r="J399" t="str">
            <v>Outdoor</v>
          </cell>
          <cell r="K399" t="str">
            <v>AC</v>
          </cell>
          <cell r="L399" t="str">
            <v>I-Eng</v>
          </cell>
          <cell r="M399" t="str">
            <v>Foumban</v>
          </cell>
          <cell r="N399" t="str">
            <v>Mayo Banyo</v>
          </cell>
          <cell r="O399" t="str">
            <v>Magba</v>
          </cell>
          <cell r="P399" t="str">
            <v>Bernard Atangana</v>
          </cell>
          <cell r="Q399">
            <v>677548315</v>
          </cell>
          <cell r="R399">
            <v>655999862</v>
          </cell>
          <cell r="S399" t="str">
            <v>Vensa Mohammadu</v>
          </cell>
          <cell r="T399" t="str">
            <v>GEORGES NAKHOUL</v>
          </cell>
          <cell r="U399" t="str">
            <v>I H S</v>
          </cell>
        </row>
        <row r="400">
          <cell r="A400" t="str">
            <v>OST_137</v>
          </cell>
          <cell r="B400" t="str">
            <v>IHS_FBN_100</v>
          </cell>
          <cell r="C400" t="str">
            <v>OST_137</v>
          </cell>
          <cell r="D400" t="str">
            <v>West</v>
          </cell>
          <cell r="E400" t="str">
            <v>West</v>
          </cell>
          <cell r="F400" t="str">
            <v>Foumban-Djisse-II (Foumban-Njiyouom)</v>
          </cell>
          <cell r="G400" t="str">
            <v>P4</v>
          </cell>
          <cell r="H400" t="str">
            <v>Grid-Gen</v>
          </cell>
          <cell r="I400" t="str">
            <v>On Air</v>
          </cell>
          <cell r="J400" t="str">
            <v>Outdoor</v>
          </cell>
          <cell r="K400" t="str">
            <v>AC</v>
          </cell>
          <cell r="L400" t="str">
            <v>I-Eng</v>
          </cell>
          <cell r="M400" t="str">
            <v>Foumban</v>
          </cell>
          <cell r="N400" t="str">
            <v>Noun</v>
          </cell>
          <cell r="O400" t="str">
            <v>Foumban</v>
          </cell>
          <cell r="P400" t="str">
            <v>Bernard Atangana</v>
          </cell>
          <cell r="Q400">
            <v>677548315</v>
          </cell>
          <cell r="R400">
            <v>655999862</v>
          </cell>
          <cell r="S400" t="str">
            <v>Vensa Mohammadu</v>
          </cell>
          <cell r="T400" t="str">
            <v>GEORGES NAKHOUL</v>
          </cell>
          <cell r="U400" t="str">
            <v>I H S</v>
          </cell>
        </row>
        <row r="401">
          <cell r="A401" t="str">
            <v>OST_090</v>
          </cell>
          <cell r="B401" t="str">
            <v>IHS_FBN_018</v>
          </cell>
          <cell r="C401" t="str">
            <v>OST_090</v>
          </cell>
          <cell r="D401" t="str">
            <v>West</v>
          </cell>
          <cell r="E401" t="str">
            <v>West</v>
          </cell>
          <cell r="F401" t="str">
            <v>Bangourain</v>
          </cell>
          <cell r="G401" t="str">
            <v>P4</v>
          </cell>
          <cell r="H401" t="str">
            <v>Grid-Gen</v>
          </cell>
          <cell r="I401" t="str">
            <v>On Air</v>
          </cell>
          <cell r="J401" t="str">
            <v>Outdoor</v>
          </cell>
          <cell r="K401" t="str">
            <v>AC</v>
          </cell>
          <cell r="L401" t="str">
            <v>I-Eng</v>
          </cell>
          <cell r="M401" t="str">
            <v>Foumban</v>
          </cell>
          <cell r="N401" t="str">
            <v>Noun</v>
          </cell>
          <cell r="O401" t="str">
            <v>Bangourain</v>
          </cell>
          <cell r="P401" t="str">
            <v>Bernard Atangana</v>
          </cell>
          <cell r="Q401">
            <v>677548315</v>
          </cell>
          <cell r="R401">
            <v>655999862</v>
          </cell>
          <cell r="S401" t="str">
            <v>Vensa Mohammadu</v>
          </cell>
          <cell r="T401" t="str">
            <v>GEORGES NAKHOUL</v>
          </cell>
          <cell r="U401" t="str">
            <v>I H S</v>
          </cell>
        </row>
        <row r="402">
          <cell r="A402" t="str">
            <v>OST_028</v>
          </cell>
          <cell r="B402" t="str">
            <v>IHS_FBN_005</v>
          </cell>
          <cell r="C402" t="str">
            <v>OST_028</v>
          </cell>
          <cell r="D402" t="str">
            <v>West</v>
          </cell>
          <cell r="E402" t="str">
            <v>West</v>
          </cell>
          <cell r="F402" t="str">
            <v>Foumban-Kounga</v>
          </cell>
          <cell r="G402" t="str">
            <v>P2</v>
          </cell>
          <cell r="H402" t="str">
            <v>Grid-Gen</v>
          </cell>
          <cell r="I402" t="str">
            <v>On Air</v>
          </cell>
          <cell r="J402" t="str">
            <v>Indoor</v>
          </cell>
          <cell r="K402" t="str">
            <v>AC</v>
          </cell>
          <cell r="L402" t="str">
            <v>I-Eng</v>
          </cell>
          <cell r="M402" t="str">
            <v>Foumban</v>
          </cell>
          <cell r="N402" t="str">
            <v>Noun</v>
          </cell>
          <cell r="O402" t="str">
            <v>Foumban</v>
          </cell>
          <cell r="P402" t="str">
            <v>Bernard Atangana</v>
          </cell>
          <cell r="Q402">
            <v>677548315</v>
          </cell>
          <cell r="R402">
            <v>655999862</v>
          </cell>
          <cell r="S402" t="str">
            <v>Vensa Mohammadu</v>
          </cell>
          <cell r="T402" t="str">
            <v>GEORGES NAKHOUL</v>
          </cell>
          <cell r="U402" t="str">
            <v>I H S</v>
          </cell>
        </row>
        <row r="403">
          <cell r="A403" t="str">
            <v>OST_128</v>
          </cell>
          <cell r="B403" t="str">
            <v>IHS_FBN_008</v>
          </cell>
          <cell r="C403" t="str">
            <v>OST_128</v>
          </cell>
          <cell r="D403" t="str">
            <v>West</v>
          </cell>
          <cell r="E403" t="str">
            <v>West</v>
          </cell>
          <cell r="F403" t="str">
            <v>Foumban-Lycee-MTN</v>
          </cell>
          <cell r="G403" t="str">
            <v>P4</v>
          </cell>
          <cell r="H403" t="str">
            <v>Grid-Gen</v>
          </cell>
          <cell r="I403" t="str">
            <v>On Air</v>
          </cell>
          <cell r="J403" t="str">
            <v>Indoor</v>
          </cell>
          <cell r="K403" t="str">
            <v>AC</v>
          </cell>
          <cell r="L403" t="str">
            <v>I-Eng</v>
          </cell>
          <cell r="M403" t="str">
            <v>Foumban</v>
          </cell>
          <cell r="N403" t="str">
            <v>Noun</v>
          </cell>
          <cell r="O403" t="str">
            <v>Foumban</v>
          </cell>
          <cell r="P403" t="str">
            <v>Bernard Atangana</v>
          </cell>
          <cell r="Q403">
            <v>677548315</v>
          </cell>
          <cell r="R403">
            <v>655999862</v>
          </cell>
          <cell r="S403" t="str">
            <v>Vensa Mohammadu</v>
          </cell>
          <cell r="T403" t="str">
            <v>GEORGES NAKHOUL</v>
          </cell>
          <cell r="U403" t="str">
            <v>I H S</v>
          </cell>
        </row>
        <row r="404">
          <cell r="A404" t="str">
            <v>OST_039</v>
          </cell>
          <cell r="B404" t="str">
            <v>IHS_FBN_016</v>
          </cell>
          <cell r="C404" t="str">
            <v>OST_039</v>
          </cell>
          <cell r="D404" t="str">
            <v>West</v>
          </cell>
          <cell r="E404" t="str">
            <v>West</v>
          </cell>
          <cell r="F404" t="str">
            <v>Malantouen</v>
          </cell>
          <cell r="G404" t="str">
            <v>P4</v>
          </cell>
          <cell r="H404" t="str">
            <v>Grid-Gen</v>
          </cell>
          <cell r="I404" t="str">
            <v>On Air</v>
          </cell>
          <cell r="J404" t="str">
            <v>Outdoor</v>
          </cell>
          <cell r="K404" t="str">
            <v>AC</v>
          </cell>
          <cell r="L404" t="str">
            <v>I-Eng</v>
          </cell>
          <cell r="M404" t="str">
            <v>Foumban</v>
          </cell>
          <cell r="N404" t="str">
            <v>Noun</v>
          </cell>
          <cell r="O404" t="str">
            <v>Malantouen</v>
          </cell>
          <cell r="P404" t="str">
            <v>Bernard Atangana</v>
          </cell>
          <cell r="Q404">
            <v>677548315</v>
          </cell>
          <cell r="R404">
            <v>655999862</v>
          </cell>
          <cell r="S404" t="str">
            <v>Vensa Mohammadu</v>
          </cell>
          <cell r="T404" t="str">
            <v>GEORGES NAKHOUL</v>
          </cell>
          <cell r="U404" t="str">
            <v>I H S</v>
          </cell>
        </row>
        <row r="405">
          <cell r="A405" t="str">
            <v>OST_087</v>
          </cell>
          <cell r="B405" t="str">
            <v>IHS_FBN_007</v>
          </cell>
          <cell r="C405" t="str">
            <v>OST_087</v>
          </cell>
          <cell r="D405" t="str">
            <v>West</v>
          </cell>
          <cell r="E405" t="str">
            <v>West</v>
          </cell>
          <cell r="F405" t="str">
            <v>Foumban-Ndjidare</v>
          </cell>
          <cell r="G405" t="str">
            <v>P4</v>
          </cell>
          <cell r="H405" t="str">
            <v>Grid-Gen</v>
          </cell>
          <cell r="I405" t="str">
            <v>On Air</v>
          </cell>
          <cell r="J405" t="str">
            <v>Outdoor</v>
          </cell>
          <cell r="K405" t="str">
            <v>AC</v>
          </cell>
          <cell r="L405" t="str">
            <v>I-Eng</v>
          </cell>
          <cell r="M405" t="str">
            <v>Foumban</v>
          </cell>
          <cell r="N405" t="str">
            <v>Noun</v>
          </cell>
          <cell r="O405" t="str">
            <v>Foumban</v>
          </cell>
          <cell r="P405" t="str">
            <v>Bernard Atangana</v>
          </cell>
          <cell r="Q405">
            <v>677548315</v>
          </cell>
          <cell r="R405">
            <v>655999862</v>
          </cell>
          <cell r="S405" t="str">
            <v>Vensa Mohammadu</v>
          </cell>
          <cell r="T405" t="str">
            <v>GEORGES NAKHOUL</v>
          </cell>
          <cell r="U405" t="str">
            <v>I H S</v>
          </cell>
        </row>
        <row r="406">
          <cell r="A406" t="str">
            <v>OST_057</v>
          </cell>
          <cell r="B406" t="str">
            <v>IHS_FBN_024</v>
          </cell>
          <cell r="C406" t="str">
            <v>OST_057</v>
          </cell>
          <cell r="D406" t="str">
            <v>West</v>
          </cell>
          <cell r="E406" t="str">
            <v>West</v>
          </cell>
          <cell r="F406" t="str">
            <v>Massangam</v>
          </cell>
          <cell r="G406" t="str">
            <v>P4</v>
          </cell>
          <cell r="H406" t="str">
            <v>Solar-Grid-Gen</v>
          </cell>
          <cell r="I406" t="str">
            <v>On Air</v>
          </cell>
          <cell r="J406" t="str">
            <v>Outdoor</v>
          </cell>
          <cell r="K406" t="str">
            <v>AC</v>
          </cell>
          <cell r="L406" t="str">
            <v>I-Eng</v>
          </cell>
          <cell r="M406" t="str">
            <v>Foumban</v>
          </cell>
          <cell r="N406" t="str">
            <v>Noun</v>
          </cell>
          <cell r="O406" t="str">
            <v>Massangam</v>
          </cell>
          <cell r="P406" t="str">
            <v>Bernard Atangana</v>
          </cell>
          <cell r="Q406">
            <v>677548315</v>
          </cell>
          <cell r="R406">
            <v>655999862</v>
          </cell>
          <cell r="S406" t="str">
            <v>Vensa Mohammadu</v>
          </cell>
          <cell r="T406" t="str">
            <v>GEORGES NAKHOUL</v>
          </cell>
          <cell r="U406" t="str">
            <v>I H S</v>
          </cell>
        </row>
        <row r="407">
          <cell r="A407" t="str">
            <v>OST_221</v>
          </cell>
          <cell r="B407" t="str">
            <v>IHS_MBD_013</v>
          </cell>
          <cell r="C407" t="str">
            <v>OST_221</v>
          </cell>
          <cell r="D407" t="str">
            <v>West</v>
          </cell>
          <cell r="E407" t="str">
            <v>West</v>
          </cell>
          <cell r="F407" t="str">
            <v>Bamendjing MTN</v>
          </cell>
          <cell r="G407" t="str">
            <v>P4</v>
          </cell>
          <cell r="H407" t="str">
            <v>Grid-Gen</v>
          </cell>
          <cell r="I407" t="str">
            <v>On Air</v>
          </cell>
          <cell r="J407" t="str">
            <v>Indoor</v>
          </cell>
          <cell r="K407" t="str">
            <v>AC</v>
          </cell>
          <cell r="L407" t="str">
            <v>I-Eng</v>
          </cell>
          <cell r="M407" t="str">
            <v>Foumban</v>
          </cell>
          <cell r="N407" t="str">
            <v>BAMBOUTOUS</v>
          </cell>
          <cell r="O407" t="str">
            <v>Galim</v>
          </cell>
          <cell r="P407" t="str">
            <v>Bernard Atangana</v>
          </cell>
          <cell r="Q407">
            <v>677548315</v>
          </cell>
          <cell r="R407">
            <v>655999862</v>
          </cell>
          <cell r="S407" t="str">
            <v>Vensa Mohammadu</v>
          </cell>
          <cell r="T407" t="str">
            <v>GEORGES NAKHOUL</v>
          </cell>
          <cell r="U407" t="str">
            <v>I H S</v>
          </cell>
        </row>
        <row r="408">
          <cell r="A408" t="str">
            <v>OST_083</v>
          </cell>
          <cell r="B408" t="str">
            <v>IHS_FBN_002</v>
          </cell>
          <cell r="C408" t="str">
            <v>OST_083</v>
          </cell>
          <cell r="D408" t="str">
            <v>West</v>
          </cell>
          <cell r="E408" t="str">
            <v>West</v>
          </cell>
          <cell r="F408" t="str">
            <v>Foumban-Ndjisse</v>
          </cell>
          <cell r="G408" t="str">
            <v>P4</v>
          </cell>
          <cell r="H408" t="str">
            <v>Grid-Gen</v>
          </cell>
          <cell r="I408" t="str">
            <v>On Air</v>
          </cell>
          <cell r="J408" t="str">
            <v>Outdoor</v>
          </cell>
          <cell r="K408" t="str">
            <v>AC</v>
          </cell>
          <cell r="L408" t="str">
            <v>I-Eng</v>
          </cell>
          <cell r="M408" t="str">
            <v>Foumban</v>
          </cell>
          <cell r="N408" t="str">
            <v>Noun</v>
          </cell>
          <cell r="O408" t="str">
            <v>Foumban</v>
          </cell>
          <cell r="P408" t="str">
            <v>Bernard Atangana</v>
          </cell>
          <cell r="Q408">
            <v>677548315</v>
          </cell>
          <cell r="R408">
            <v>655999862</v>
          </cell>
          <cell r="S408" t="str">
            <v>Vensa Mohammadu</v>
          </cell>
          <cell r="T408" t="str">
            <v>GEORGES NAKHOUL</v>
          </cell>
          <cell r="U408" t="str">
            <v>I H S</v>
          </cell>
        </row>
        <row r="409">
          <cell r="A409" t="str">
            <v>OST_138</v>
          </cell>
          <cell r="B409" t="str">
            <v>IHS_FBN_011</v>
          </cell>
          <cell r="C409" t="str">
            <v>OST_138</v>
          </cell>
          <cell r="D409" t="str">
            <v>West</v>
          </cell>
          <cell r="E409" t="str">
            <v>West</v>
          </cell>
          <cell r="F409" t="str">
            <v>Koutaba-IHS</v>
          </cell>
          <cell r="G409" t="str">
            <v>P4</v>
          </cell>
          <cell r="H409" t="str">
            <v>Grid-Gen</v>
          </cell>
          <cell r="I409" t="str">
            <v>On Air</v>
          </cell>
          <cell r="J409" t="str">
            <v>Indoor</v>
          </cell>
          <cell r="K409" t="str">
            <v>AC</v>
          </cell>
          <cell r="L409" t="str">
            <v>I-Eng</v>
          </cell>
          <cell r="M409" t="str">
            <v>Foumban</v>
          </cell>
          <cell r="N409" t="str">
            <v>Noun</v>
          </cell>
          <cell r="O409" t="str">
            <v>Koutaba</v>
          </cell>
          <cell r="P409" t="str">
            <v>Bernard Atangana</v>
          </cell>
          <cell r="Q409">
            <v>677548315</v>
          </cell>
          <cell r="R409">
            <v>655999862</v>
          </cell>
          <cell r="S409" t="str">
            <v>Vensa Mohammadu</v>
          </cell>
          <cell r="T409" t="str">
            <v>GEORGES NAKHOUL</v>
          </cell>
          <cell r="U409" t="str">
            <v>I H S</v>
          </cell>
        </row>
        <row r="410">
          <cell r="A410" t="str">
            <v>OST_101</v>
          </cell>
          <cell r="B410" t="str">
            <v>IHS_FBN_004</v>
          </cell>
          <cell r="C410" t="str">
            <v>OST_101</v>
          </cell>
          <cell r="D410" t="str">
            <v>West</v>
          </cell>
          <cell r="E410" t="str">
            <v>West</v>
          </cell>
          <cell r="F410" t="str">
            <v>Foumban-Njinka</v>
          </cell>
          <cell r="G410" t="str">
            <v>P3</v>
          </cell>
          <cell r="H410" t="str">
            <v>Grid-Gen</v>
          </cell>
          <cell r="I410" t="str">
            <v>On Air</v>
          </cell>
          <cell r="J410" t="str">
            <v>Outdoor</v>
          </cell>
          <cell r="K410" t="str">
            <v>AC</v>
          </cell>
          <cell r="L410" t="str">
            <v>I-Eng</v>
          </cell>
          <cell r="M410" t="str">
            <v>Foumban</v>
          </cell>
          <cell r="N410" t="str">
            <v>Noun</v>
          </cell>
          <cell r="O410" t="str">
            <v>Foumban</v>
          </cell>
          <cell r="P410" t="str">
            <v>Bernard Atangana</v>
          </cell>
          <cell r="Q410">
            <v>677548315</v>
          </cell>
          <cell r="R410">
            <v>655999862</v>
          </cell>
          <cell r="S410" t="str">
            <v>Vensa Mohammadu</v>
          </cell>
          <cell r="T410" t="str">
            <v>GEORGES NAKHOUL</v>
          </cell>
          <cell r="U410" t="str">
            <v>I H S</v>
          </cell>
        </row>
        <row r="411">
          <cell r="A411" t="str">
            <v>OST_149</v>
          </cell>
          <cell r="B411" t="str">
            <v>IHS_FBN_009</v>
          </cell>
          <cell r="C411" t="str">
            <v>OST_149</v>
          </cell>
          <cell r="D411" t="str">
            <v>West</v>
          </cell>
          <cell r="E411" t="str">
            <v>West</v>
          </cell>
          <cell r="F411" t="str">
            <v>NJIMOM</v>
          </cell>
          <cell r="G411" t="str">
            <v>P4</v>
          </cell>
          <cell r="H411" t="str">
            <v>Grid-Gen</v>
          </cell>
          <cell r="I411" t="str">
            <v>On Air</v>
          </cell>
          <cell r="J411" t="str">
            <v>Outdoor</v>
          </cell>
          <cell r="K411" t="str">
            <v>AC</v>
          </cell>
          <cell r="L411" t="str">
            <v>I-Eng</v>
          </cell>
          <cell r="M411" t="str">
            <v>Foumban</v>
          </cell>
          <cell r="N411" t="str">
            <v>Noun</v>
          </cell>
          <cell r="O411" t="str">
            <v>Njimom</v>
          </cell>
          <cell r="P411" t="str">
            <v>Bernard Atangana</v>
          </cell>
          <cell r="Q411">
            <v>677548315</v>
          </cell>
          <cell r="R411">
            <v>655999862</v>
          </cell>
          <cell r="S411" t="str">
            <v>Vensa Mohammadu</v>
          </cell>
          <cell r="T411" t="str">
            <v>GEORGES NAKHOUL</v>
          </cell>
          <cell r="U411" t="str">
            <v>I H S</v>
          </cell>
        </row>
        <row r="412">
          <cell r="A412" t="str">
            <v>OST_116</v>
          </cell>
          <cell r="B412" t="str">
            <v>IHS_FBN_010</v>
          </cell>
          <cell r="C412" t="str">
            <v>OST_116</v>
          </cell>
          <cell r="D412" t="str">
            <v>West</v>
          </cell>
          <cell r="E412" t="str">
            <v>West</v>
          </cell>
          <cell r="F412" t="str">
            <v>Doumofe-MTN</v>
          </cell>
          <cell r="G412" t="str">
            <v>P4</v>
          </cell>
          <cell r="H412" t="str">
            <v>Solar-Gen</v>
          </cell>
          <cell r="I412" t="str">
            <v>On Air</v>
          </cell>
          <cell r="J412" t="str">
            <v>Outdoor</v>
          </cell>
          <cell r="K412" t="str">
            <v>AC</v>
          </cell>
          <cell r="L412" t="str">
            <v>I-Eng</v>
          </cell>
          <cell r="M412" t="str">
            <v>Foumban</v>
          </cell>
          <cell r="N412" t="str">
            <v>Noun</v>
          </cell>
          <cell r="O412" t="str">
            <v>Njimom</v>
          </cell>
          <cell r="P412" t="str">
            <v>Bernard Atangana</v>
          </cell>
          <cell r="Q412">
            <v>677548315</v>
          </cell>
          <cell r="R412">
            <v>655999862</v>
          </cell>
          <cell r="S412" t="str">
            <v>Vensa Mohammadu</v>
          </cell>
          <cell r="T412" t="str">
            <v>GEORGES NAKHOUL</v>
          </cell>
          <cell r="U412" t="str">
            <v>I H S</v>
          </cell>
        </row>
        <row r="413">
          <cell r="A413" t="str">
            <v>OST_219</v>
          </cell>
          <cell r="B413" t="str">
            <v>IHS_FBN_055</v>
          </cell>
          <cell r="C413" t="str">
            <v>OST_219</v>
          </cell>
          <cell r="D413" t="str">
            <v>West</v>
          </cell>
          <cell r="E413" t="str">
            <v>West</v>
          </cell>
          <cell r="F413" t="str">
            <v>Ngbetnsouen</v>
          </cell>
          <cell r="G413" t="str">
            <v>P5</v>
          </cell>
          <cell r="H413" t="str">
            <v>Grid-Gen</v>
          </cell>
          <cell r="I413" t="str">
            <v>On Air</v>
          </cell>
          <cell r="J413" t="str">
            <v>Outdoor</v>
          </cell>
          <cell r="K413" t="str">
            <v>AC</v>
          </cell>
          <cell r="L413" t="str">
            <v>I-Eng</v>
          </cell>
          <cell r="M413" t="str">
            <v>Foumban</v>
          </cell>
          <cell r="N413" t="str">
            <v>Noun</v>
          </cell>
          <cell r="O413" t="str">
            <v>Kouoptamo</v>
          </cell>
          <cell r="P413" t="str">
            <v>Bernard Atangana</v>
          </cell>
          <cell r="Q413">
            <v>677548315</v>
          </cell>
          <cell r="R413">
            <v>655999862</v>
          </cell>
          <cell r="S413" t="str">
            <v>Vensa Mohammadu</v>
          </cell>
          <cell r="T413" t="str">
            <v>GEORGES NAKHOUL</v>
          </cell>
          <cell r="U413" t="str">
            <v>I H S</v>
          </cell>
        </row>
        <row r="414">
          <cell r="A414" t="str">
            <v>OST_114</v>
          </cell>
          <cell r="B414" t="str">
            <v>IHS_FBN_017</v>
          </cell>
          <cell r="C414" t="str">
            <v>OST_114</v>
          </cell>
          <cell r="D414" t="str">
            <v>West</v>
          </cell>
          <cell r="E414" t="str">
            <v>West</v>
          </cell>
          <cell r="F414" t="str">
            <v>Koupa-Kagnam</v>
          </cell>
          <cell r="G414" t="str">
            <v>P5</v>
          </cell>
          <cell r="H414" t="str">
            <v>Grid-Gen</v>
          </cell>
          <cell r="I414" t="str">
            <v>On Air</v>
          </cell>
          <cell r="J414" t="str">
            <v>Outdoor</v>
          </cell>
          <cell r="K414" t="str">
            <v>AC</v>
          </cell>
          <cell r="L414" t="str">
            <v>I-Eng</v>
          </cell>
          <cell r="M414" t="str">
            <v>Foumban</v>
          </cell>
          <cell r="N414" t="str">
            <v>Noun</v>
          </cell>
          <cell r="O414" t="str">
            <v>Koutaba</v>
          </cell>
          <cell r="P414" t="str">
            <v>Bernard Atangana</v>
          </cell>
          <cell r="Q414">
            <v>677548315</v>
          </cell>
          <cell r="R414">
            <v>655999862</v>
          </cell>
          <cell r="S414" t="str">
            <v>Vensa Mohammadu</v>
          </cell>
          <cell r="T414" t="str">
            <v>GEORGES NAKHOUL</v>
          </cell>
          <cell r="U414" t="str">
            <v>I H S</v>
          </cell>
        </row>
        <row r="415">
          <cell r="A415" t="str">
            <v>OST_178</v>
          </cell>
          <cell r="B415" t="str">
            <v>IHS_FBN_030</v>
          </cell>
          <cell r="C415" t="str">
            <v>OST_178</v>
          </cell>
          <cell r="D415" t="str">
            <v>West</v>
          </cell>
          <cell r="E415" t="str">
            <v>West</v>
          </cell>
          <cell r="F415" t="str">
            <v>Founban Njintout II</v>
          </cell>
          <cell r="G415" t="str">
            <v>P5</v>
          </cell>
          <cell r="H415" t="str">
            <v>Grid-Gen</v>
          </cell>
          <cell r="I415" t="str">
            <v>On Air</v>
          </cell>
          <cell r="J415" t="str">
            <v>Outdoor</v>
          </cell>
          <cell r="K415" t="str">
            <v>AC</v>
          </cell>
          <cell r="L415" t="str">
            <v>I-Eng</v>
          </cell>
          <cell r="M415" t="str">
            <v>Foumban</v>
          </cell>
          <cell r="N415" t="str">
            <v>Noun</v>
          </cell>
          <cell r="O415" t="str">
            <v>Foumban</v>
          </cell>
          <cell r="P415" t="str">
            <v>Bernard Atangana</v>
          </cell>
          <cell r="Q415">
            <v>677548315</v>
          </cell>
          <cell r="R415">
            <v>655999862</v>
          </cell>
          <cell r="S415" t="str">
            <v>Vensa Mohammadu</v>
          </cell>
          <cell r="T415" t="str">
            <v>GEORGES NAKHOUL</v>
          </cell>
          <cell r="U415" t="str">
            <v>I H S</v>
          </cell>
        </row>
        <row r="416">
          <cell r="A416" t="str">
            <v>OST_082</v>
          </cell>
          <cell r="B416" t="str">
            <v>IHS_FBN_003</v>
          </cell>
          <cell r="C416" t="str">
            <v>OST_082</v>
          </cell>
          <cell r="D416" t="str">
            <v>West</v>
          </cell>
          <cell r="E416" t="str">
            <v>West</v>
          </cell>
          <cell r="F416" t="str">
            <v>Foumban-Nkoungougnet</v>
          </cell>
          <cell r="G416" t="str">
            <v>P5</v>
          </cell>
          <cell r="H416" t="str">
            <v>Grid-Gen</v>
          </cell>
          <cell r="I416" t="str">
            <v>On Air</v>
          </cell>
          <cell r="J416" t="str">
            <v>Outdoor</v>
          </cell>
          <cell r="K416" t="str">
            <v>AC</v>
          </cell>
          <cell r="L416" t="str">
            <v>I-Eng</v>
          </cell>
          <cell r="M416" t="str">
            <v>Foumban</v>
          </cell>
          <cell r="N416" t="str">
            <v>Noun</v>
          </cell>
          <cell r="O416" t="str">
            <v>Foumban</v>
          </cell>
          <cell r="P416" t="str">
            <v>Bernard Atangana</v>
          </cell>
          <cell r="Q416">
            <v>677548315</v>
          </cell>
          <cell r="R416">
            <v>655999862</v>
          </cell>
          <cell r="S416" t="str">
            <v>Vensa Mohammadu</v>
          </cell>
          <cell r="T416" t="str">
            <v>GEORGES NAKHOUL</v>
          </cell>
          <cell r="U416" t="str">
            <v>I H S</v>
          </cell>
        </row>
        <row r="417">
          <cell r="A417" t="str">
            <v>NRO_050</v>
          </cell>
          <cell r="B417" t="str">
            <v>IHS_BMD_310</v>
          </cell>
          <cell r="C417" t="str">
            <v>NRO_050</v>
          </cell>
          <cell r="D417" t="str">
            <v>West</v>
          </cell>
          <cell r="E417" t="str">
            <v>West</v>
          </cell>
          <cell r="F417" t="str">
            <v>BANGOLAN</v>
          </cell>
          <cell r="G417" t="str">
            <v>P5</v>
          </cell>
          <cell r="H417" t="str">
            <v>Hybrid-Gen</v>
          </cell>
          <cell r="I417" t="str">
            <v>On Air</v>
          </cell>
          <cell r="J417" t="str">
            <v>Outdoor</v>
          </cell>
          <cell r="K417" t="str">
            <v>AC</v>
          </cell>
          <cell r="L417" t="str">
            <v>I-Eng</v>
          </cell>
          <cell r="M417" t="str">
            <v>Foumban</v>
          </cell>
          <cell r="N417" t="str">
            <v>NGO-KETUNJIA</v>
          </cell>
          <cell r="O417" t="str">
            <v>Bangourain</v>
          </cell>
          <cell r="P417" t="str">
            <v>Bernard Atangana</v>
          </cell>
          <cell r="Q417">
            <v>677548315</v>
          </cell>
          <cell r="R417">
            <v>655999862</v>
          </cell>
          <cell r="S417" t="str">
            <v>Vensa Mohammadu</v>
          </cell>
          <cell r="T417" t="str">
            <v>GEORGES NAKHOUL</v>
          </cell>
          <cell r="U417" t="str">
            <v>I H S</v>
          </cell>
        </row>
        <row r="418">
          <cell r="A418" t="str">
            <v>OST_186</v>
          </cell>
          <cell r="B418" t="str">
            <v>IHS_BAF_322</v>
          </cell>
          <cell r="C418" t="str">
            <v>OST_186</v>
          </cell>
          <cell r="D418" t="str">
            <v>West</v>
          </cell>
          <cell r="E418" t="str">
            <v>West</v>
          </cell>
          <cell r="F418" t="str">
            <v>Bamenyam</v>
          </cell>
          <cell r="G418" t="str">
            <v>P5</v>
          </cell>
          <cell r="H418" t="str">
            <v>Grid-Gen</v>
          </cell>
          <cell r="I418" t="str">
            <v>On Air</v>
          </cell>
          <cell r="J418" t="str">
            <v>Outdoor</v>
          </cell>
          <cell r="K418" t="str">
            <v>AC</v>
          </cell>
          <cell r="L418" t="str">
            <v>I-Eng</v>
          </cell>
          <cell r="M418" t="str">
            <v>Bafoussam</v>
          </cell>
          <cell r="N418" t="str">
            <v>MENOUA</v>
          </cell>
          <cell r="O418" t="str">
            <v>Galim</v>
          </cell>
          <cell r="P418" t="str">
            <v>Bernard Atangana</v>
          </cell>
          <cell r="Q418">
            <v>677548315</v>
          </cell>
          <cell r="R418">
            <v>655999862</v>
          </cell>
          <cell r="S418" t="str">
            <v>Vensa Mohammadu</v>
          </cell>
          <cell r="T418" t="str">
            <v>GEORGES NAKHOUL</v>
          </cell>
          <cell r="U418" t="str">
            <v>I H S</v>
          </cell>
        </row>
        <row r="419">
          <cell r="A419" t="str">
            <v>OST_220</v>
          </cell>
          <cell r="B419" t="str">
            <v>IHS_FBN_056</v>
          </cell>
          <cell r="C419" t="str">
            <v>OST_220</v>
          </cell>
          <cell r="D419" t="str">
            <v>West</v>
          </cell>
          <cell r="E419" t="str">
            <v>West</v>
          </cell>
          <cell r="F419" t="str">
            <v>Ngambouo</v>
          </cell>
          <cell r="G419" t="str">
            <v>P5</v>
          </cell>
          <cell r="H419" t="str">
            <v>Hybrid-Gen</v>
          </cell>
          <cell r="I419" t="str">
            <v>On Air</v>
          </cell>
          <cell r="J419" t="str">
            <v>Outdoor</v>
          </cell>
          <cell r="K419" t="str">
            <v>AC</v>
          </cell>
          <cell r="L419" t="str">
            <v>I-Eng</v>
          </cell>
          <cell r="M419" t="str">
            <v>Foumban</v>
          </cell>
          <cell r="N419" t="str">
            <v>Noun</v>
          </cell>
          <cell r="O419" t="str">
            <v>Kouoptamo</v>
          </cell>
          <cell r="P419" t="str">
            <v>Bernard Atangana</v>
          </cell>
          <cell r="Q419">
            <v>677548315</v>
          </cell>
          <cell r="R419">
            <v>655999862</v>
          </cell>
          <cell r="S419" t="str">
            <v>Vensa Mohammadu</v>
          </cell>
          <cell r="T419" t="str">
            <v>GEORGES NAKHOUL</v>
          </cell>
          <cell r="U419" t="str">
            <v>I H S</v>
          </cell>
        </row>
        <row r="420">
          <cell r="A420" t="str">
            <v>OST_189</v>
          </cell>
          <cell r="B420" t="str">
            <v>IHS_FBN_044</v>
          </cell>
          <cell r="C420" t="str">
            <v>OST_189</v>
          </cell>
          <cell r="D420" t="str">
            <v>West</v>
          </cell>
          <cell r="E420" t="str">
            <v>West</v>
          </cell>
          <cell r="F420" t="str">
            <v>Mfessang</v>
          </cell>
          <cell r="G420" t="str">
            <v>P5</v>
          </cell>
          <cell r="H420" t="str">
            <v>Hybrid-Gen</v>
          </cell>
          <cell r="I420" t="str">
            <v>On Air</v>
          </cell>
          <cell r="J420" t="str">
            <v>Outdoor</v>
          </cell>
          <cell r="K420" t="str">
            <v>AC</v>
          </cell>
          <cell r="L420" t="str">
            <v>I-Eng</v>
          </cell>
          <cell r="M420" t="str">
            <v>Foumban</v>
          </cell>
          <cell r="N420" t="str">
            <v>Noun</v>
          </cell>
          <cell r="O420" t="str">
            <v>Foumbot</v>
          </cell>
          <cell r="P420" t="str">
            <v>Bernard Atangana</v>
          </cell>
          <cell r="Q420">
            <v>677548315</v>
          </cell>
          <cell r="R420">
            <v>655999862</v>
          </cell>
          <cell r="S420" t="str">
            <v>Vensa Mohammadu</v>
          </cell>
          <cell r="T420" t="str">
            <v>GEORGES NAKHOUL</v>
          </cell>
          <cell r="U420" t="str">
            <v>I H S</v>
          </cell>
        </row>
        <row r="421">
          <cell r="A421" t="str">
            <v>OST_200</v>
          </cell>
          <cell r="B421" t="str">
            <v>IHS_FBN_041</v>
          </cell>
          <cell r="C421" t="str">
            <v>OST_200</v>
          </cell>
          <cell r="D421" t="str">
            <v>West</v>
          </cell>
          <cell r="E421" t="str">
            <v>West</v>
          </cell>
          <cell r="F421" t="str">
            <v>MantoumVillage</v>
          </cell>
          <cell r="G421" t="str">
            <v>P5</v>
          </cell>
          <cell r="H421" t="str">
            <v>Hybrid-Gen</v>
          </cell>
          <cell r="I421" t="str">
            <v>On Air</v>
          </cell>
          <cell r="J421" t="str">
            <v>Outdoor</v>
          </cell>
          <cell r="K421" t="str">
            <v>AC</v>
          </cell>
          <cell r="L421" t="str">
            <v>I-Eng</v>
          </cell>
          <cell r="M421" t="str">
            <v>Foumban</v>
          </cell>
          <cell r="N421" t="str">
            <v>Noun</v>
          </cell>
          <cell r="O421" t="str">
            <v>Malantouen</v>
          </cell>
          <cell r="P421" t="str">
            <v>Bernard Atangana</v>
          </cell>
          <cell r="Q421">
            <v>677548315</v>
          </cell>
          <cell r="R421">
            <v>655999862</v>
          </cell>
          <cell r="S421" t="str">
            <v>Vensa Mohammadu</v>
          </cell>
          <cell r="T421" t="str">
            <v>GEORGES NAKHOUL</v>
          </cell>
          <cell r="U421" t="str">
            <v>I H S</v>
          </cell>
        </row>
        <row r="422">
          <cell r="A422" t="str">
            <v>OST_177</v>
          </cell>
          <cell r="B422" t="str">
            <v>IHS_FBN_032</v>
          </cell>
          <cell r="C422" t="str">
            <v>OST_177</v>
          </cell>
          <cell r="D422" t="str">
            <v>West</v>
          </cell>
          <cell r="E422" t="str">
            <v>West</v>
          </cell>
          <cell r="F422" t="str">
            <v>Fouban Njibam</v>
          </cell>
          <cell r="G422" t="str">
            <v>P5</v>
          </cell>
          <cell r="H422" t="str">
            <v>Grid-Gen</v>
          </cell>
          <cell r="I422" t="str">
            <v>On Air</v>
          </cell>
          <cell r="J422" t="str">
            <v>Outdoor</v>
          </cell>
          <cell r="K422" t="str">
            <v>AC</v>
          </cell>
          <cell r="L422" t="str">
            <v>I-Eng</v>
          </cell>
          <cell r="M422" t="str">
            <v>Foumban</v>
          </cell>
          <cell r="N422" t="str">
            <v>Noun</v>
          </cell>
          <cell r="O422" t="str">
            <v>Foumban</v>
          </cell>
          <cell r="P422" t="str">
            <v>Bernard Atangana</v>
          </cell>
          <cell r="Q422">
            <v>677548315</v>
          </cell>
          <cell r="R422">
            <v>655999862</v>
          </cell>
          <cell r="S422" t="str">
            <v>Vensa Mohammadu</v>
          </cell>
          <cell r="T422" t="str">
            <v>GEORGES NAKHOUL</v>
          </cell>
          <cell r="U422" t="str">
            <v>I H S</v>
          </cell>
        </row>
        <row r="423">
          <cell r="A423" t="str">
            <v>OST_026</v>
          </cell>
          <cell r="B423" t="str">
            <v>IHS_MBD_015</v>
          </cell>
          <cell r="C423" t="str">
            <v>OST_026</v>
          </cell>
          <cell r="D423" t="str">
            <v>West</v>
          </cell>
          <cell r="E423" t="str">
            <v>West</v>
          </cell>
          <cell r="F423" t="str">
            <v>Galim</v>
          </cell>
          <cell r="G423" t="str">
            <v>P5</v>
          </cell>
          <cell r="H423" t="str">
            <v>Grid-Gen</v>
          </cell>
          <cell r="I423" t="str">
            <v>On Air</v>
          </cell>
          <cell r="J423" t="str">
            <v>Outdoor</v>
          </cell>
          <cell r="K423" t="str">
            <v>AC</v>
          </cell>
          <cell r="L423" t="str">
            <v>I-Eng</v>
          </cell>
          <cell r="M423" t="str">
            <v>Bafoussam</v>
          </cell>
          <cell r="N423" t="str">
            <v>BAMBOUTOUS</v>
          </cell>
          <cell r="O423" t="str">
            <v>Galim</v>
          </cell>
          <cell r="P423" t="str">
            <v>Bernard Atangana</v>
          </cell>
          <cell r="Q423">
            <v>677548315</v>
          </cell>
          <cell r="R423">
            <v>655999862</v>
          </cell>
          <cell r="S423" t="str">
            <v>Vensa Mohammadu</v>
          </cell>
          <cell r="T423" t="str">
            <v>GEORGES NAKHOUL</v>
          </cell>
          <cell r="U423" t="str">
            <v>I H S</v>
          </cell>
        </row>
        <row r="424">
          <cell r="A424" t="str">
            <v>OST_195</v>
          </cell>
          <cell r="B424" t="str">
            <v>IHS_FBN_052</v>
          </cell>
          <cell r="C424" t="str">
            <v>OST_195</v>
          </cell>
          <cell r="D424" t="str">
            <v>West</v>
          </cell>
          <cell r="E424" t="str">
            <v>West</v>
          </cell>
          <cell r="F424" t="str">
            <v>Fochieya</v>
          </cell>
          <cell r="G424" t="str">
            <v>P5</v>
          </cell>
          <cell r="H424" t="str">
            <v>Grid-Gen</v>
          </cell>
          <cell r="I424" t="str">
            <v>On Air</v>
          </cell>
          <cell r="J424" t="str">
            <v>Outdoor</v>
          </cell>
          <cell r="K424" t="str">
            <v>AC</v>
          </cell>
          <cell r="L424" t="str">
            <v>I-Eng</v>
          </cell>
          <cell r="M424" t="str">
            <v>Foumban</v>
          </cell>
          <cell r="N424" t="str">
            <v>Noun</v>
          </cell>
          <cell r="O424" t="str">
            <v>Foumbot</v>
          </cell>
          <cell r="P424" t="str">
            <v>Bernard Atangana</v>
          </cell>
          <cell r="Q424">
            <v>677548315</v>
          </cell>
          <cell r="R424">
            <v>655999862</v>
          </cell>
          <cell r="S424" t="str">
            <v>Vensa Mohammadu</v>
          </cell>
          <cell r="T424" t="str">
            <v>GEORGES NAKHOUL</v>
          </cell>
          <cell r="U424" t="str">
            <v>I H S</v>
          </cell>
        </row>
        <row r="425">
          <cell r="A425" t="str">
            <v>OST_005</v>
          </cell>
          <cell r="B425" t="str">
            <v>IHS_FBN_020</v>
          </cell>
          <cell r="C425" t="str">
            <v>OST_005</v>
          </cell>
          <cell r="D425" t="str">
            <v>West</v>
          </cell>
          <cell r="E425" t="str">
            <v>West</v>
          </cell>
          <cell r="F425" t="str">
            <v>Foumbot</v>
          </cell>
          <cell r="G425" t="str">
            <v>P2</v>
          </cell>
          <cell r="H425" t="str">
            <v>Grid-Gen</v>
          </cell>
          <cell r="I425" t="str">
            <v>On Air</v>
          </cell>
          <cell r="J425" t="str">
            <v>Indoor</v>
          </cell>
          <cell r="K425" t="str">
            <v>AC</v>
          </cell>
          <cell r="L425" t="str">
            <v>I-Eng</v>
          </cell>
          <cell r="M425" t="str">
            <v>Foumban</v>
          </cell>
          <cell r="N425" t="str">
            <v>Noun</v>
          </cell>
          <cell r="O425" t="str">
            <v>Foumbot</v>
          </cell>
          <cell r="P425" t="str">
            <v>Bernard Atangana</v>
          </cell>
          <cell r="Q425">
            <v>677548315</v>
          </cell>
          <cell r="R425">
            <v>655999862</v>
          </cell>
          <cell r="S425" t="str">
            <v>Vensa Mohammadu</v>
          </cell>
          <cell r="T425" t="str">
            <v>GEORGES NAKHOUL</v>
          </cell>
          <cell r="U425" t="str">
            <v>I H S</v>
          </cell>
        </row>
        <row r="426">
          <cell r="A426" t="str">
            <v>OST_125</v>
          </cell>
          <cell r="B426" t="str">
            <v>IHS_FBN_021</v>
          </cell>
          <cell r="C426" t="str">
            <v>OST_125</v>
          </cell>
          <cell r="D426" t="str">
            <v>West</v>
          </cell>
          <cell r="E426" t="str">
            <v>West</v>
          </cell>
          <cell r="F426" t="str">
            <v>Foumbot-Centre-Ville</v>
          </cell>
          <cell r="G426" t="str">
            <v>P5</v>
          </cell>
          <cell r="H426" t="str">
            <v>Grid-Gen</v>
          </cell>
          <cell r="I426" t="str">
            <v>On Air</v>
          </cell>
          <cell r="J426" t="str">
            <v>Outdoor</v>
          </cell>
          <cell r="K426" t="str">
            <v>AC</v>
          </cell>
          <cell r="L426" t="str">
            <v>I-Eng</v>
          </cell>
          <cell r="M426" t="str">
            <v>Foumban</v>
          </cell>
          <cell r="N426" t="str">
            <v>Noun</v>
          </cell>
          <cell r="O426" t="str">
            <v>Foumbot</v>
          </cell>
          <cell r="P426" t="str">
            <v>Bernard Atangana</v>
          </cell>
          <cell r="Q426">
            <v>677548315</v>
          </cell>
          <cell r="R426">
            <v>655999862</v>
          </cell>
          <cell r="S426" t="str">
            <v>Vensa Mohammadu</v>
          </cell>
          <cell r="T426" t="str">
            <v>GEORGES NAKHOUL</v>
          </cell>
          <cell r="U426" t="str">
            <v>I H S</v>
          </cell>
        </row>
        <row r="427">
          <cell r="A427" t="str">
            <v>OST_136</v>
          </cell>
          <cell r="B427" t="str">
            <v>IHS_FBN_101</v>
          </cell>
          <cell r="C427" t="str">
            <v>OST_136</v>
          </cell>
          <cell r="D427" t="str">
            <v>West</v>
          </cell>
          <cell r="E427" t="str">
            <v>West</v>
          </cell>
          <cell r="F427" t="str">
            <v>Foumbot-Mangoum</v>
          </cell>
          <cell r="G427" t="str">
            <v>P5</v>
          </cell>
          <cell r="H427" t="str">
            <v>Grid-Gen</v>
          </cell>
          <cell r="I427" t="str">
            <v>On Air</v>
          </cell>
          <cell r="J427" t="str">
            <v>Outdoor</v>
          </cell>
          <cell r="K427" t="str">
            <v>AC</v>
          </cell>
          <cell r="L427" t="str">
            <v>I-Eng</v>
          </cell>
          <cell r="M427" t="str">
            <v>Foumban</v>
          </cell>
          <cell r="N427" t="str">
            <v>Noun</v>
          </cell>
          <cell r="O427" t="str">
            <v>Foumbot</v>
          </cell>
          <cell r="P427" t="str">
            <v>Bernard Atangana</v>
          </cell>
          <cell r="Q427">
            <v>677548315</v>
          </cell>
          <cell r="R427">
            <v>655999862</v>
          </cell>
          <cell r="S427" t="str">
            <v>Vensa Mohammadu</v>
          </cell>
          <cell r="T427" t="str">
            <v>GEORGES NAKHOUL</v>
          </cell>
          <cell r="U427" t="str">
            <v>I H S</v>
          </cell>
        </row>
        <row r="428">
          <cell r="A428" t="str">
            <v>NRO_033</v>
          </cell>
          <cell r="B428" t="str">
            <v>IHS_BMD_045</v>
          </cell>
          <cell r="C428" t="str">
            <v>NRO_033</v>
          </cell>
          <cell r="D428" t="str">
            <v>West</v>
          </cell>
          <cell r="E428" t="str">
            <v>West</v>
          </cell>
          <cell r="F428" t="str">
            <v>Balikumbat-Ville</v>
          </cell>
          <cell r="G428" t="str">
            <v>P5</v>
          </cell>
          <cell r="H428" t="str">
            <v>Grid-Gen</v>
          </cell>
          <cell r="I428" t="str">
            <v>On Air</v>
          </cell>
          <cell r="J428" t="str">
            <v>Outdoor</v>
          </cell>
          <cell r="K428" t="str">
            <v>AC</v>
          </cell>
          <cell r="L428" t="str">
            <v>I-Eng</v>
          </cell>
          <cell r="M428" t="str">
            <v>Foumban</v>
          </cell>
          <cell r="N428" t="str">
            <v>NGO-KETUNJIA</v>
          </cell>
          <cell r="O428" t="str">
            <v>Balikumbat</v>
          </cell>
          <cell r="P428" t="str">
            <v>Bernard Atangana</v>
          </cell>
          <cell r="Q428">
            <v>677548315</v>
          </cell>
          <cell r="R428">
            <v>655999862</v>
          </cell>
          <cell r="S428" t="str">
            <v>Vensa Mohammadu</v>
          </cell>
          <cell r="T428" t="str">
            <v>GEORGES NAKHOUL</v>
          </cell>
          <cell r="U428" t="str">
            <v>I H S</v>
          </cell>
        </row>
        <row r="429">
          <cell r="A429" t="str">
            <v>OST_006</v>
          </cell>
          <cell r="B429" t="str">
            <v>IHS_FBN_012</v>
          </cell>
          <cell r="C429" t="str">
            <v>OST_006</v>
          </cell>
          <cell r="D429" t="str">
            <v>West</v>
          </cell>
          <cell r="E429" t="str">
            <v>West</v>
          </cell>
          <cell r="F429" t="str">
            <v>Nkoundja</v>
          </cell>
          <cell r="G429" t="str">
            <v>P5</v>
          </cell>
          <cell r="H429" t="str">
            <v>Grid-Gen</v>
          </cell>
          <cell r="I429" t="str">
            <v>On Air</v>
          </cell>
          <cell r="J429" t="str">
            <v>Indoor</v>
          </cell>
          <cell r="K429" t="str">
            <v>AC</v>
          </cell>
          <cell r="L429" t="str">
            <v>I-Eng</v>
          </cell>
          <cell r="M429" t="str">
            <v>Foumban</v>
          </cell>
          <cell r="N429" t="str">
            <v>Noun</v>
          </cell>
          <cell r="O429" t="str">
            <v>Koutaba</v>
          </cell>
          <cell r="P429" t="str">
            <v>Bernard Atangana</v>
          </cell>
          <cell r="Q429">
            <v>677548315</v>
          </cell>
          <cell r="R429">
            <v>655999862</v>
          </cell>
          <cell r="S429" t="str">
            <v>Vensa Mohammadu</v>
          </cell>
          <cell r="T429" t="str">
            <v>GEORGES NAKHOUL</v>
          </cell>
          <cell r="U429" t="str">
            <v>I H S</v>
          </cell>
        </row>
        <row r="430">
          <cell r="A430" t="str">
            <v>OST_031</v>
          </cell>
          <cell r="B430" t="str">
            <v>IHS_FBN_104</v>
          </cell>
          <cell r="C430" t="str">
            <v>OST_031</v>
          </cell>
          <cell r="D430" t="str">
            <v>West</v>
          </cell>
          <cell r="E430" t="str">
            <v>West</v>
          </cell>
          <cell r="F430" t="str">
            <v>Ngambe-Tikar-IHS</v>
          </cell>
          <cell r="G430" t="str">
            <v>P5</v>
          </cell>
          <cell r="H430" t="str">
            <v>Grid-Hybrid-Gen</v>
          </cell>
          <cell r="I430" t="str">
            <v>On Air</v>
          </cell>
          <cell r="J430" t="str">
            <v>Outdoor</v>
          </cell>
          <cell r="K430" t="str">
            <v>AC</v>
          </cell>
          <cell r="L430" t="str">
            <v>I-Eng</v>
          </cell>
          <cell r="M430" t="str">
            <v>Foumban</v>
          </cell>
          <cell r="N430" t="str">
            <v>MBAM ET KIM</v>
          </cell>
          <cell r="O430" t="str">
            <v>Ngambe tikar</v>
          </cell>
          <cell r="P430" t="str">
            <v>Bernard Atangana</v>
          </cell>
          <cell r="Q430">
            <v>677548315</v>
          </cell>
          <cell r="R430">
            <v>655999862</v>
          </cell>
          <cell r="S430" t="str">
            <v>Vensa Mohammadu</v>
          </cell>
          <cell r="T430" t="str">
            <v>GEORGES NAKHOUL</v>
          </cell>
          <cell r="U430" t="str">
            <v>I H S</v>
          </cell>
        </row>
        <row r="431">
          <cell r="A431" t="str">
            <v>OST_209</v>
          </cell>
          <cell r="B431" t="str">
            <v>IHS_FBN_028</v>
          </cell>
          <cell r="C431" t="str">
            <v>OST_209</v>
          </cell>
          <cell r="D431" t="str">
            <v>West</v>
          </cell>
          <cell r="E431" t="str">
            <v>West</v>
          </cell>
          <cell r="F431" t="str">
            <v>Koupa Matapit</v>
          </cell>
          <cell r="G431" t="str">
            <v>P5</v>
          </cell>
          <cell r="H431" t="str">
            <v>Hybrid-Gen</v>
          </cell>
          <cell r="I431" t="str">
            <v>On Air</v>
          </cell>
          <cell r="J431" t="str">
            <v>Outdoor</v>
          </cell>
          <cell r="K431" t="str">
            <v>AC</v>
          </cell>
          <cell r="L431" t="str">
            <v>I-Eng</v>
          </cell>
          <cell r="M431" t="str">
            <v>Foumban</v>
          </cell>
          <cell r="N431" t="str">
            <v>Noun</v>
          </cell>
          <cell r="O431" t="str">
            <v>Foumban</v>
          </cell>
          <cell r="P431" t="str">
            <v>Bernard Atangana</v>
          </cell>
          <cell r="Q431">
            <v>677548315</v>
          </cell>
          <cell r="R431">
            <v>655999862</v>
          </cell>
          <cell r="S431" t="str">
            <v>Vensa Mohammadu</v>
          </cell>
          <cell r="T431" t="str">
            <v>GEORGES NAKHOUL</v>
          </cell>
          <cell r="U431" t="str">
            <v>I H S</v>
          </cell>
        </row>
        <row r="432">
          <cell r="A432" t="str">
            <v>OST_205</v>
          </cell>
          <cell r="B432" t="str">
            <v>IHS_FBN_026</v>
          </cell>
          <cell r="C432" t="str">
            <v>OST_205</v>
          </cell>
          <cell r="D432" t="str">
            <v>West</v>
          </cell>
          <cell r="E432" t="str">
            <v>West</v>
          </cell>
          <cell r="F432" t="str">
            <v>Bangambi</v>
          </cell>
          <cell r="G432" t="str">
            <v>P5</v>
          </cell>
          <cell r="H432" t="str">
            <v>Grid-Gen</v>
          </cell>
          <cell r="I432" t="str">
            <v>On Air</v>
          </cell>
          <cell r="J432" t="str">
            <v>Outdoor</v>
          </cell>
          <cell r="K432" t="str">
            <v>AC</v>
          </cell>
          <cell r="L432" t="str">
            <v>I-Eng</v>
          </cell>
          <cell r="M432" t="str">
            <v>Foumban</v>
          </cell>
          <cell r="N432" t="str">
            <v>Noun</v>
          </cell>
          <cell r="O432" t="str">
            <v>Bangourain</v>
          </cell>
          <cell r="P432" t="str">
            <v>Bernard Atangana</v>
          </cell>
          <cell r="Q432">
            <v>677548315</v>
          </cell>
          <cell r="R432">
            <v>655999862</v>
          </cell>
          <cell r="S432" t="str">
            <v>Vensa Mohammadu</v>
          </cell>
          <cell r="T432" t="str">
            <v>GEORGES NAKHOUL</v>
          </cell>
          <cell r="U432" t="str">
            <v>I H S</v>
          </cell>
        </row>
        <row r="433">
          <cell r="A433" t="str">
            <v>OST_264</v>
          </cell>
          <cell r="B433" t="str">
            <v>IHS_FBN_019</v>
          </cell>
          <cell r="C433" t="str">
            <v>OST_264</v>
          </cell>
          <cell r="D433" t="str">
            <v>West</v>
          </cell>
          <cell r="E433" t="str">
            <v>West</v>
          </cell>
          <cell r="F433" t="str">
            <v>Fosset</v>
          </cell>
          <cell r="G433" t="str">
            <v>P5</v>
          </cell>
          <cell r="H433" t="str">
            <v>Grid-Gen</v>
          </cell>
          <cell r="I433" t="str">
            <v>On Air</v>
          </cell>
          <cell r="J433" t="str">
            <v>Indoor</v>
          </cell>
          <cell r="K433" t="str">
            <v>AC</v>
          </cell>
          <cell r="L433" t="str">
            <v>I-Eng</v>
          </cell>
          <cell r="M433" t="str">
            <v>Foumban</v>
          </cell>
          <cell r="N433" t="str">
            <v>Noun</v>
          </cell>
          <cell r="O433" t="str">
            <v>Foumbot</v>
          </cell>
          <cell r="P433" t="str">
            <v>Bernard Atangana</v>
          </cell>
          <cell r="Q433">
            <v>677548315</v>
          </cell>
          <cell r="R433">
            <v>655999862</v>
          </cell>
          <cell r="S433" t="str">
            <v>Vensa Mohammadu</v>
          </cell>
          <cell r="T433" t="str">
            <v>GEORGES NAKHOUL</v>
          </cell>
          <cell r="U433" t="str">
            <v>I H S</v>
          </cell>
        </row>
        <row r="434">
          <cell r="A434" t="str">
            <v>OST_043</v>
          </cell>
          <cell r="B434" t="str">
            <v>IHS_FBN_022</v>
          </cell>
          <cell r="C434" t="str">
            <v>OST_043</v>
          </cell>
          <cell r="D434" t="str">
            <v>West</v>
          </cell>
          <cell r="E434" t="str">
            <v>West</v>
          </cell>
          <cell r="F434" t="str">
            <v>Foumbot-MTN</v>
          </cell>
          <cell r="G434" t="str">
            <v>P4</v>
          </cell>
          <cell r="H434" t="str">
            <v>Grid-Gen</v>
          </cell>
          <cell r="I434" t="str">
            <v>On Air</v>
          </cell>
          <cell r="J434" t="str">
            <v>Indoor</v>
          </cell>
          <cell r="K434" t="str">
            <v>AC</v>
          </cell>
          <cell r="L434" t="str">
            <v>I-Eng</v>
          </cell>
          <cell r="M434" t="str">
            <v>Foumban</v>
          </cell>
          <cell r="N434" t="str">
            <v>Noun</v>
          </cell>
          <cell r="O434" t="str">
            <v>Foumbot</v>
          </cell>
          <cell r="P434" t="str">
            <v>Bernard Atangana</v>
          </cell>
          <cell r="Q434">
            <v>677548315</v>
          </cell>
          <cell r="R434">
            <v>655999862</v>
          </cell>
          <cell r="S434" t="str">
            <v>Vensa Mohammadu</v>
          </cell>
          <cell r="T434" t="str">
            <v>GEORGES NAKHOUL</v>
          </cell>
          <cell r="U434" t="str">
            <v>I H S</v>
          </cell>
        </row>
        <row r="435">
          <cell r="A435" t="str">
            <v>OST_160</v>
          </cell>
          <cell r="B435" t="str">
            <v>IHS_MBD_007</v>
          </cell>
          <cell r="C435" t="str">
            <v>OST_160</v>
          </cell>
          <cell r="D435" t="str">
            <v>West</v>
          </cell>
          <cell r="E435" t="str">
            <v>West</v>
          </cell>
          <cell r="F435" t="str">
            <v>Bagam</v>
          </cell>
          <cell r="G435" t="str">
            <v>P5</v>
          </cell>
          <cell r="H435" t="str">
            <v>Grid-Gen</v>
          </cell>
          <cell r="I435" t="str">
            <v>On Air</v>
          </cell>
          <cell r="J435" t="str">
            <v>Outdoor</v>
          </cell>
          <cell r="K435" t="str">
            <v>AC</v>
          </cell>
          <cell r="L435" t="str">
            <v>I-Eng</v>
          </cell>
          <cell r="M435" t="str">
            <v>Bafoussam</v>
          </cell>
          <cell r="N435" t="str">
            <v>BAMBOUTOUS</v>
          </cell>
          <cell r="O435" t="str">
            <v>Galim</v>
          </cell>
          <cell r="P435" t="str">
            <v>Bernard Atangana</v>
          </cell>
          <cell r="Q435">
            <v>677548315</v>
          </cell>
          <cell r="R435">
            <v>655999862</v>
          </cell>
          <cell r="S435" t="str">
            <v>Vensa Mohammadu</v>
          </cell>
          <cell r="T435" t="str">
            <v>GEORGES NAKHOUL</v>
          </cell>
          <cell r="U435" t="str">
            <v>I H S</v>
          </cell>
        </row>
        <row r="436">
          <cell r="A436" t="str">
            <v>ADM_068</v>
          </cell>
          <cell r="B436" t="str">
            <v>IHS_NGD_098</v>
          </cell>
          <cell r="C436" t="str">
            <v>ADM_068</v>
          </cell>
          <cell r="D436" t="str">
            <v>West</v>
          </cell>
          <cell r="E436" t="str">
            <v>West</v>
          </cell>
          <cell r="F436" t="str">
            <v>Mayo-Darle-MTN</v>
          </cell>
          <cell r="G436" t="str">
            <v>P5</v>
          </cell>
          <cell r="H436" t="str">
            <v>Hybrid-Gen</v>
          </cell>
          <cell r="I436" t="str">
            <v>On Air</v>
          </cell>
          <cell r="J436" t="str">
            <v>Outdoor</v>
          </cell>
          <cell r="K436" t="str">
            <v>AC</v>
          </cell>
          <cell r="L436" t="str">
            <v>I-Eng</v>
          </cell>
          <cell r="M436" t="str">
            <v>Foumban</v>
          </cell>
          <cell r="N436" t="str">
            <v>Mayo banyo</v>
          </cell>
          <cell r="O436" t="str">
            <v>Mayo darle</v>
          </cell>
          <cell r="P436" t="str">
            <v>Bernard Atangana</v>
          </cell>
          <cell r="Q436">
            <v>677548315</v>
          </cell>
          <cell r="R436">
            <v>655999862</v>
          </cell>
          <cell r="S436" t="str">
            <v>Vensa Mohammadu</v>
          </cell>
          <cell r="T436" t="str">
            <v>GEORGES NAKHOUL</v>
          </cell>
          <cell r="U436" t="str">
            <v>I H S</v>
          </cell>
        </row>
        <row r="437">
          <cell r="A437" t="str">
            <v>OST_115</v>
          </cell>
          <cell r="B437" t="str">
            <v>IHS_NGD_100</v>
          </cell>
          <cell r="C437" t="str">
            <v>OST_115</v>
          </cell>
          <cell r="D437" t="str">
            <v>West</v>
          </cell>
          <cell r="E437" t="str">
            <v>West</v>
          </cell>
          <cell r="F437" t="str">
            <v>Pangari-MTN</v>
          </cell>
          <cell r="G437" t="str">
            <v>P5</v>
          </cell>
          <cell r="H437" t="str">
            <v>Solar-Gen</v>
          </cell>
          <cell r="I437" t="str">
            <v>On Air</v>
          </cell>
          <cell r="J437" t="str">
            <v>Indoor</v>
          </cell>
          <cell r="K437" t="str">
            <v>AC</v>
          </cell>
          <cell r="L437" t="str">
            <v>I-Eng</v>
          </cell>
          <cell r="M437" t="str">
            <v>Foumban</v>
          </cell>
          <cell r="N437" t="str">
            <v>Mayo banyo</v>
          </cell>
          <cell r="O437" t="str">
            <v>Mayo darle</v>
          </cell>
          <cell r="P437" t="str">
            <v>Bernard Atangana</v>
          </cell>
          <cell r="Q437">
            <v>677548315</v>
          </cell>
          <cell r="R437">
            <v>655999862</v>
          </cell>
          <cell r="S437" t="str">
            <v>Vensa Mohammadu</v>
          </cell>
          <cell r="T437" t="str">
            <v>GEORGES NAKHOUL</v>
          </cell>
          <cell r="U437" t="str">
            <v>I H S</v>
          </cell>
        </row>
        <row r="438">
          <cell r="A438" t="str">
            <v>CTR_145</v>
          </cell>
          <cell r="B438" t="str">
            <v>IHS_EBO_014</v>
          </cell>
          <cell r="C438" t="str">
            <v>CTR_145</v>
          </cell>
          <cell r="D438" t="str">
            <v>South/East</v>
          </cell>
          <cell r="E438" t="str">
            <v>South</v>
          </cell>
          <cell r="F438" t="str">
            <v>Meyo-Centre</v>
          </cell>
          <cell r="G438" t="str">
            <v>P2</v>
          </cell>
          <cell r="H438" t="str">
            <v>Solar-Gen</v>
          </cell>
          <cell r="I438" t="str">
            <v>On Air</v>
          </cell>
          <cell r="J438" t="str">
            <v>Indoor</v>
          </cell>
          <cell r="K438" t="str">
            <v>AC</v>
          </cell>
          <cell r="L438" t="str">
            <v>Dowen</v>
          </cell>
          <cell r="M438" t="str">
            <v>Ebolowa</v>
          </cell>
          <cell r="N438" t="str">
            <v>NTEM</v>
          </cell>
          <cell r="O438" t="str">
            <v>Ambam</v>
          </cell>
          <cell r="P438" t="str">
            <v>Bertrand Deffo</v>
          </cell>
          <cell r="Q438">
            <v>677549913</v>
          </cell>
          <cell r="R438">
            <v>655999890</v>
          </cell>
          <cell r="S438" t="str">
            <v>Stephane KETCHOUANG</v>
          </cell>
          <cell r="T438" t="str">
            <v>GEORGES NAKHOUL</v>
          </cell>
          <cell r="U438" t="str">
            <v>I H S</v>
          </cell>
        </row>
        <row r="439">
          <cell r="A439" t="str">
            <v>SUD_020</v>
          </cell>
          <cell r="B439" t="str">
            <v>IHS_EBO_020</v>
          </cell>
          <cell r="C439" t="str">
            <v>SUD_020</v>
          </cell>
          <cell r="D439" t="str">
            <v>South/East</v>
          </cell>
          <cell r="E439" t="str">
            <v>South</v>
          </cell>
          <cell r="F439" t="str">
            <v>Ambam-FH</v>
          </cell>
          <cell r="G439" t="str">
            <v>P2</v>
          </cell>
          <cell r="H439" t="str">
            <v>Solar-Gen</v>
          </cell>
          <cell r="I439" t="str">
            <v>On Air</v>
          </cell>
          <cell r="J439" t="str">
            <v>Indoor</v>
          </cell>
          <cell r="K439" t="str">
            <v>AC</v>
          </cell>
          <cell r="L439" t="str">
            <v>Dowen</v>
          </cell>
          <cell r="M439" t="str">
            <v>Ebolowa</v>
          </cell>
          <cell r="N439" t="str">
            <v>NTEM</v>
          </cell>
          <cell r="O439" t="str">
            <v>Ambam</v>
          </cell>
          <cell r="P439" t="str">
            <v>Bertrand Deffo</v>
          </cell>
          <cell r="Q439">
            <v>677549913</v>
          </cell>
          <cell r="R439">
            <v>655999890</v>
          </cell>
          <cell r="S439" t="str">
            <v>Stephane KETCHOUANG</v>
          </cell>
          <cell r="T439" t="str">
            <v>GEORGES NAKHOUL</v>
          </cell>
          <cell r="U439" t="str">
            <v>I H S</v>
          </cell>
        </row>
        <row r="440">
          <cell r="A440" t="str">
            <v>SUD_054</v>
          </cell>
          <cell r="B440" t="str">
            <v>IHS_KRI_101</v>
          </cell>
          <cell r="C440" t="str">
            <v>SUD_054</v>
          </cell>
          <cell r="D440" t="str">
            <v>South/East</v>
          </cell>
          <cell r="E440" t="str">
            <v>South</v>
          </cell>
          <cell r="F440" t="str">
            <v>Akom II</v>
          </cell>
          <cell r="G440" t="str">
            <v>P2</v>
          </cell>
          <cell r="H440" t="str">
            <v>Gen Only</v>
          </cell>
          <cell r="I440" t="str">
            <v>On Air</v>
          </cell>
          <cell r="J440" t="str">
            <v>Indoor / Outdoor</v>
          </cell>
          <cell r="K440" t="str">
            <v>AC</v>
          </cell>
          <cell r="L440" t="str">
            <v>Dowen</v>
          </cell>
          <cell r="M440" t="str">
            <v>Ebolowa</v>
          </cell>
          <cell r="N440" t="str">
            <v>OCEAN</v>
          </cell>
          <cell r="O440" t="str">
            <v>Akom 2</v>
          </cell>
          <cell r="P440" t="str">
            <v>Bertrand Deffo</v>
          </cell>
          <cell r="Q440">
            <v>677549913</v>
          </cell>
          <cell r="R440">
            <v>655999890</v>
          </cell>
          <cell r="S440" t="str">
            <v>Stephane KETCHOUANG</v>
          </cell>
          <cell r="T440" t="str">
            <v>GEORGES NAKHOUL</v>
          </cell>
          <cell r="U440" t="str">
            <v>I H S</v>
          </cell>
        </row>
        <row r="441">
          <cell r="A441" t="str">
            <v>CTR_305</v>
          </cell>
          <cell r="B441" t="str">
            <v>IHS_EBO_018</v>
          </cell>
          <cell r="C441" t="str">
            <v>CTR_305</v>
          </cell>
          <cell r="D441" t="str">
            <v>South/East</v>
          </cell>
          <cell r="E441" t="str">
            <v>South</v>
          </cell>
          <cell r="F441" t="str">
            <v>Andom-MTN</v>
          </cell>
          <cell r="G441" t="str">
            <v>P2</v>
          </cell>
          <cell r="H441" t="str">
            <v>Hybrid-Gen</v>
          </cell>
          <cell r="I441" t="str">
            <v>On Air</v>
          </cell>
          <cell r="J441" t="str">
            <v>Outdoor</v>
          </cell>
          <cell r="K441" t="str">
            <v>AC</v>
          </cell>
          <cell r="L441" t="str">
            <v>Dowen</v>
          </cell>
          <cell r="M441" t="str">
            <v>Ebolowa</v>
          </cell>
          <cell r="N441" t="str">
            <v>NTEM</v>
          </cell>
          <cell r="O441" t="str">
            <v>Ambam</v>
          </cell>
          <cell r="P441" t="str">
            <v>Bertrand Deffo</v>
          </cell>
          <cell r="Q441">
            <v>677549913</v>
          </cell>
          <cell r="R441">
            <v>655999890</v>
          </cell>
          <cell r="S441" t="str">
            <v>Stephane KETCHOUANG</v>
          </cell>
          <cell r="T441" t="str">
            <v>GEORGES NAKHOUL</v>
          </cell>
          <cell r="U441" t="str">
            <v>I H S</v>
          </cell>
        </row>
        <row r="442">
          <cell r="A442" t="str">
            <v>SUD_238</v>
          </cell>
          <cell r="B442" t="str">
            <v>IHS_EBO_013</v>
          </cell>
          <cell r="C442" t="str">
            <v>SUD_238</v>
          </cell>
          <cell r="D442" t="str">
            <v>South/East</v>
          </cell>
          <cell r="E442" t="str">
            <v>South</v>
          </cell>
          <cell r="F442" t="str">
            <v>Abouta-MTN</v>
          </cell>
          <cell r="G442" t="str">
            <v>P2</v>
          </cell>
          <cell r="H442" t="str">
            <v>Solar-Grid-Gen</v>
          </cell>
          <cell r="I442" t="str">
            <v>On Air</v>
          </cell>
          <cell r="J442" t="str">
            <v>Outdoor</v>
          </cell>
          <cell r="K442" t="str">
            <v>AC</v>
          </cell>
          <cell r="L442" t="str">
            <v>Dowen</v>
          </cell>
          <cell r="M442" t="str">
            <v>Ebolowa</v>
          </cell>
          <cell r="N442" t="str">
            <v>NTEM</v>
          </cell>
          <cell r="O442" t="str">
            <v>Ambam</v>
          </cell>
          <cell r="P442" t="str">
            <v>Bertrand Deffo</v>
          </cell>
          <cell r="Q442">
            <v>677549913</v>
          </cell>
          <cell r="R442">
            <v>655999890</v>
          </cell>
          <cell r="S442" t="str">
            <v>Stephane KETCHOUANG</v>
          </cell>
          <cell r="T442" t="str">
            <v>GEORGES NAKHOUL</v>
          </cell>
          <cell r="U442" t="str">
            <v>I H S</v>
          </cell>
        </row>
        <row r="443">
          <cell r="A443" t="str">
            <v>CTR_394</v>
          </cell>
          <cell r="B443" t="str">
            <v>IHS_EBO_022</v>
          </cell>
          <cell r="C443" t="str">
            <v>CTR_394</v>
          </cell>
          <cell r="D443" t="str">
            <v>South/East</v>
          </cell>
          <cell r="E443" t="str">
            <v>South</v>
          </cell>
          <cell r="F443" t="str">
            <v>Ambam</v>
          </cell>
          <cell r="G443" t="str">
            <v>P3</v>
          </cell>
          <cell r="H443" t="str">
            <v>Grid-Gen</v>
          </cell>
          <cell r="I443" t="str">
            <v>On Air</v>
          </cell>
          <cell r="J443" t="str">
            <v>Outdoor</v>
          </cell>
          <cell r="K443" t="str">
            <v>AC</v>
          </cell>
          <cell r="L443" t="str">
            <v>Dowen</v>
          </cell>
          <cell r="M443" t="str">
            <v>Ebolowa</v>
          </cell>
          <cell r="N443" t="str">
            <v>NTEM</v>
          </cell>
          <cell r="O443" t="str">
            <v>Ambam</v>
          </cell>
          <cell r="P443" t="str">
            <v>Bertrand Deffo</v>
          </cell>
          <cell r="Q443">
            <v>677549913</v>
          </cell>
          <cell r="R443">
            <v>655999890</v>
          </cell>
          <cell r="S443" t="str">
            <v>Stephane KETCHOUANG</v>
          </cell>
          <cell r="T443" t="str">
            <v>GEORGES NAKHOUL</v>
          </cell>
          <cell r="U443" t="str">
            <v>I H S</v>
          </cell>
        </row>
        <row r="444">
          <cell r="A444" t="str">
            <v>SUD_060</v>
          </cell>
          <cell r="B444" t="str">
            <v>IHS_EBO_1035</v>
          </cell>
          <cell r="C444" t="str">
            <v>SUD_060</v>
          </cell>
          <cell r="D444" t="str">
            <v>South/East</v>
          </cell>
          <cell r="E444" t="str">
            <v>South</v>
          </cell>
          <cell r="F444" t="str">
            <v>AZEM</v>
          </cell>
          <cell r="G444" t="str">
            <v>P3</v>
          </cell>
          <cell r="H444" t="str">
            <v>Grid-Gen</v>
          </cell>
          <cell r="I444" t="str">
            <v>On Air</v>
          </cell>
          <cell r="J444" t="str">
            <v>Outdoor</v>
          </cell>
          <cell r="K444" t="str">
            <v>AC</v>
          </cell>
          <cell r="L444" t="str">
            <v>Dowen</v>
          </cell>
          <cell r="M444" t="str">
            <v>Ebolowa</v>
          </cell>
          <cell r="N444" t="str">
            <v>MVILLA</v>
          </cell>
          <cell r="O444" t="str">
            <v>Ebolowa 1</v>
          </cell>
          <cell r="P444" t="str">
            <v>Bertrand Deffo</v>
          </cell>
          <cell r="Q444">
            <v>677549913</v>
          </cell>
          <cell r="R444">
            <v>655999890</v>
          </cell>
          <cell r="S444" t="str">
            <v>Stephane KETCHOUANG</v>
          </cell>
          <cell r="T444" t="str">
            <v>GEORGES NAKHOUL</v>
          </cell>
          <cell r="U444" t="str">
            <v>I H S</v>
          </cell>
        </row>
        <row r="445">
          <cell r="A445" t="str">
            <v>SUD_227</v>
          </cell>
          <cell r="B445" t="str">
            <v>IHS_EBO_009</v>
          </cell>
          <cell r="C445" t="str">
            <v>SUD_227</v>
          </cell>
          <cell r="D445" t="str">
            <v>South/East</v>
          </cell>
          <cell r="E445" t="str">
            <v>South</v>
          </cell>
          <cell r="F445" t="str">
            <v>Ebolowa-Si</v>
          </cell>
          <cell r="G445" t="str">
            <v>P3</v>
          </cell>
          <cell r="H445" t="str">
            <v>Grid-Gen</v>
          </cell>
          <cell r="I445" t="str">
            <v>On Air</v>
          </cell>
          <cell r="J445" t="str">
            <v>Outdoor</v>
          </cell>
          <cell r="K445" t="str">
            <v>AC</v>
          </cell>
          <cell r="L445" t="str">
            <v>Dowen</v>
          </cell>
          <cell r="M445" t="str">
            <v>Ebolowa</v>
          </cell>
          <cell r="N445" t="str">
            <v>MVILLA</v>
          </cell>
          <cell r="O445" t="str">
            <v>Ebolowa 1</v>
          </cell>
          <cell r="P445" t="str">
            <v>Bertrand Deffo</v>
          </cell>
          <cell r="Q445">
            <v>677549913</v>
          </cell>
          <cell r="R445">
            <v>655999890</v>
          </cell>
          <cell r="S445" t="str">
            <v>Stephane KETCHOUANG</v>
          </cell>
          <cell r="T445" t="str">
            <v>GEORGES NAKHOUL</v>
          </cell>
          <cell r="U445" t="str">
            <v>I H S</v>
          </cell>
        </row>
        <row r="446">
          <cell r="A446" t="str">
            <v>CTR_188</v>
          </cell>
          <cell r="B446" t="str">
            <v>IHS_YND_451</v>
          </cell>
          <cell r="C446" t="str">
            <v>CTR_188</v>
          </cell>
          <cell r="D446" t="str">
            <v>South/East</v>
          </cell>
          <cell r="E446" t="str">
            <v>South</v>
          </cell>
          <cell r="F446" t="str">
            <v>Ngomedzap</v>
          </cell>
          <cell r="G446" t="str">
            <v>P3</v>
          </cell>
          <cell r="H446" t="str">
            <v>Grid-Gen</v>
          </cell>
          <cell r="I446" t="str">
            <v>On Air</v>
          </cell>
          <cell r="J446" t="str">
            <v>Outdoor</v>
          </cell>
          <cell r="K446" t="str">
            <v>AC</v>
          </cell>
          <cell r="L446" t="str">
            <v>Dowen</v>
          </cell>
          <cell r="M446" t="str">
            <v>Mbalmayo</v>
          </cell>
          <cell r="N446" t="str">
            <v>NYON-ET-SO'O</v>
          </cell>
          <cell r="O446" t="str">
            <v>ngomedzap</v>
          </cell>
          <cell r="P446" t="str">
            <v>Bertrand Deffo</v>
          </cell>
          <cell r="Q446">
            <v>677549913</v>
          </cell>
          <cell r="R446">
            <v>655999890</v>
          </cell>
          <cell r="S446" t="str">
            <v>Stephane KETCHOUANG</v>
          </cell>
          <cell r="T446" t="str">
            <v>GEORGES NAKHOUL</v>
          </cell>
          <cell r="U446" t="str">
            <v>I H S</v>
          </cell>
        </row>
        <row r="447">
          <cell r="A447" t="str">
            <v>SUD_024</v>
          </cell>
          <cell r="B447" t="str">
            <v>IHS_KRI_026</v>
          </cell>
          <cell r="C447" t="str">
            <v>SUD_024</v>
          </cell>
          <cell r="D447" t="str">
            <v>South/East</v>
          </cell>
          <cell r="E447" t="str">
            <v>South</v>
          </cell>
          <cell r="F447" t="str">
            <v>Lolodorf</v>
          </cell>
          <cell r="G447" t="str">
            <v>P3</v>
          </cell>
          <cell r="H447" t="str">
            <v>Solar-Gen</v>
          </cell>
          <cell r="I447" t="str">
            <v>On Air</v>
          </cell>
          <cell r="J447" t="str">
            <v>Outdoor</v>
          </cell>
          <cell r="K447" t="str">
            <v>AC</v>
          </cell>
          <cell r="L447" t="str">
            <v>Dowen</v>
          </cell>
          <cell r="M447" t="str">
            <v>Ebolowa</v>
          </cell>
          <cell r="N447" t="str">
            <v>OCEAN</v>
          </cell>
          <cell r="O447" t="str">
            <v>Lolodorf</v>
          </cell>
          <cell r="P447" t="str">
            <v>Bertrand Deffo</v>
          </cell>
          <cell r="Q447">
            <v>677549913</v>
          </cell>
          <cell r="R447">
            <v>655999890</v>
          </cell>
          <cell r="S447" t="str">
            <v>Stephane KETCHOUANG</v>
          </cell>
          <cell r="T447" t="str">
            <v>GEORGES NAKHOUL</v>
          </cell>
          <cell r="U447" t="str">
            <v>I H S</v>
          </cell>
        </row>
        <row r="448">
          <cell r="A448" t="str">
            <v>SUD_015</v>
          </cell>
          <cell r="B448" t="str">
            <v>IHS_EBO_025</v>
          </cell>
          <cell r="C448" t="str">
            <v>SUD_015</v>
          </cell>
          <cell r="D448" t="str">
            <v>South/East</v>
          </cell>
          <cell r="E448" t="str">
            <v>South</v>
          </cell>
          <cell r="F448" t="str">
            <v>Kye-Ossi</v>
          </cell>
          <cell r="G448" t="str">
            <v>P3</v>
          </cell>
          <cell r="H448" t="str">
            <v>Solar-Gen</v>
          </cell>
          <cell r="I448" t="str">
            <v>On Air</v>
          </cell>
          <cell r="J448" t="str">
            <v>Indoor</v>
          </cell>
          <cell r="K448" t="str">
            <v>AC</v>
          </cell>
          <cell r="L448" t="str">
            <v>Dowen</v>
          </cell>
          <cell r="M448" t="str">
            <v>Ebolowa</v>
          </cell>
          <cell r="N448" t="str">
            <v>NTEM</v>
          </cell>
          <cell r="O448" t="str">
            <v>KYEOSSI</v>
          </cell>
          <cell r="P448" t="str">
            <v>Bertrand Deffo</v>
          </cell>
          <cell r="Q448">
            <v>677549913</v>
          </cell>
          <cell r="R448">
            <v>655999890</v>
          </cell>
          <cell r="S448" t="str">
            <v>Stephane KETCHOUANG</v>
          </cell>
          <cell r="T448" t="str">
            <v>GEORGES NAKHOUL</v>
          </cell>
          <cell r="U448" t="str">
            <v>I H S</v>
          </cell>
        </row>
        <row r="449">
          <cell r="A449" t="str">
            <v>CTR_442</v>
          </cell>
          <cell r="B449" t="str">
            <v>IHS_YND_554</v>
          </cell>
          <cell r="C449" t="str">
            <v>CTR_442</v>
          </cell>
          <cell r="D449" t="str">
            <v>South/East</v>
          </cell>
          <cell r="E449" t="str">
            <v>South</v>
          </cell>
          <cell r="F449" t="str">
            <v>NKOLMEYANG</v>
          </cell>
          <cell r="G449" t="str">
            <v>P4</v>
          </cell>
          <cell r="H449" t="str">
            <v>Grid-Gen</v>
          </cell>
          <cell r="I449" t="str">
            <v>On Air</v>
          </cell>
          <cell r="J449" t="str">
            <v>Outdoor</v>
          </cell>
          <cell r="K449" t="str">
            <v>AC</v>
          </cell>
          <cell r="L449" t="str">
            <v>Dowen</v>
          </cell>
          <cell r="M449" t="str">
            <v>Mbalmayo</v>
          </cell>
          <cell r="N449" t="str">
            <v>NYON-ET-SO'O</v>
          </cell>
          <cell r="O449" t="str">
            <v>ngomedzap</v>
          </cell>
          <cell r="P449" t="str">
            <v>Bertrand Deffo</v>
          </cell>
          <cell r="Q449">
            <v>677549913</v>
          </cell>
          <cell r="R449">
            <v>655999890</v>
          </cell>
          <cell r="S449" t="str">
            <v>Stephane KETCHOUANG</v>
          </cell>
          <cell r="T449" t="str">
            <v>GEORGES NAKHOUL</v>
          </cell>
          <cell r="U449" t="str">
            <v>I H S</v>
          </cell>
        </row>
        <row r="450">
          <cell r="A450" t="str">
            <v>CTR_440</v>
          </cell>
          <cell r="B450" t="str">
            <v>IHS_YND_553</v>
          </cell>
          <cell r="C450" t="str">
            <v>CTR_440</v>
          </cell>
          <cell r="D450" t="str">
            <v>South/East</v>
          </cell>
          <cell r="E450" t="str">
            <v>South</v>
          </cell>
          <cell r="F450" t="str">
            <v>Nkolbewae</v>
          </cell>
          <cell r="G450" t="str">
            <v>P4</v>
          </cell>
          <cell r="H450" t="str">
            <v>Grid-Gen</v>
          </cell>
          <cell r="I450" t="str">
            <v>On Air</v>
          </cell>
          <cell r="J450" t="str">
            <v>Outdoor</v>
          </cell>
          <cell r="K450" t="str">
            <v>AC</v>
          </cell>
          <cell r="L450" t="str">
            <v>Dowen</v>
          </cell>
          <cell r="M450" t="str">
            <v>Mbalmayo</v>
          </cell>
          <cell r="N450" t="str">
            <v>NYON-ET-SO'O</v>
          </cell>
          <cell r="O450" t="str">
            <v>ngomedzap</v>
          </cell>
          <cell r="P450" t="str">
            <v>Bertrand Deffo</v>
          </cell>
          <cell r="Q450">
            <v>677549913</v>
          </cell>
          <cell r="R450">
            <v>655999890</v>
          </cell>
          <cell r="S450" t="str">
            <v>Stephane KETCHOUANG</v>
          </cell>
          <cell r="T450" t="str">
            <v>GEORGES NAKHOUL</v>
          </cell>
          <cell r="U450" t="str">
            <v>I H S</v>
          </cell>
        </row>
        <row r="451">
          <cell r="A451" t="str">
            <v>CTR_393</v>
          </cell>
          <cell r="B451" t="str">
            <v>IHS_YND_359</v>
          </cell>
          <cell r="C451" t="str">
            <v>CTR_393</v>
          </cell>
          <cell r="D451" t="str">
            <v>South/East</v>
          </cell>
          <cell r="E451" t="str">
            <v>South</v>
          </cell>
          <cell r="F451" t="str">
            <v>Mbalmayo-Haoussa</v>
          </cell>
          <cell r="G451" t="str">
            <v>P4</v>
          </cell>
          <cell r="H451" t="str">
            <v>Grid-Gen</v>
          </cell>
          <cell r="I451" t="str">
            <v>On Air</v>
          </cell>
          <cell r="J451" t="str">
            <v>Outdoor</v>
          </cell>
          <cell r="K451" t="str">
            <v>AC</v>
          </cell>
          <cell r="L451" t="str">
            <v>Dowen</v>
          </cell>
          <cell r="M451" t="str">
            <v>Mbalmayo</v>
          </cell>
          <cell r="N451" t="str">
            <v>NYON-ET-SO'O</v>
          </cell>
          <cell r="O451" t="str">
            <v>Mbalmayo</v>
          </cell>
          <cell r="P451" t="str">
            <v>Bertrand Deffo</v>
          </cell>
          <cell r="Q451">
            <v>677549913</v>
          </cell>
          <cell r="R451">
            <v>655999890</v>
          </cell>
          <cell r="S451" t="str">
            <v>Stephane KETCHOUANG</v>
          </cell>
          <cell r="T451" t="str">
            <v>GEORGES NAKHOUL</v>
          </cell>
          <cell r="U451" t="str">
            <v>I H S</v>
          </cell>
        </row>
        <row r="452">
          <cell r="A452" t="str">
            <v>SUD_226</v>
          </cell>
          <cell r="B452" t="str">
            <v>IHS_KRI_027</v>
          </cell>
          <cell r="C452" t="str">
            <v>SUD_226</v>
          </cell>
          <cell r="D452" t="str">
            <v>South/East</v>
          </cell>
          <cell r="E452" t="str">
            <v>South</v>
          </cell>
          <cell r="F452" t="str">
            <v>Mvengue</v>
          </cell>
          <cell r="G452" t="str">
            <v>P4</v>
          </cell>
          <cell r="H452" t="str">
            <v>Grid-Gen</v>
          </cell>
          <cell r="I452" t="str">
            <v>On Air</v>
          </cell>
          <cell r="J452" t="str">
            <v>Outdoor</v>
          </cell>
          <cell r="K452" t="str">
            <v>AC</v>
          </cell>
          <cell r="L452" t="str">
            <v>Dowen</v>
          </cell>
          <cell r="M452" t="str">
            <v>Mbalmayo</v>
          </cell>
          <cell r="N452" t="str">
            <v>OCEAN</v>
          </cell>
          <cell r="O452" t="str">
            <v>Mvengue</v>
          </cell>
          <cell r="P452" t="str">
            <v>Bertrand Deffo</v>
          </cell>
          <cell r="Q452">
            <v>677549913</v>
          </cell>
          <cell r="R452">
            <v>655999890</v>
          </cell>
          <cell r="S452" t="str">
            <v>Stephane KETCHOUANG</v>
          </cell>
          <cell r="T452" t="str">
            <v>GEORGES NAKHOUL</v>
          </cell>
          <cell r="U452" t="str">
            <v>I H S</v>
          </cell>
        </row>
        <row r="453">
          <cell r="A453" t="str">
            <v>SUD_017</v>
          </cell>
          <cell r="B453" t="str">
            <v>IHS_EBO_012</v>
          </cell>
          <cell r="C453" t="str">
            <v>SUD_017</v>
          </cell>
          <cell r="D453" t="str">
            <v>South/East</v>
          </cell>
          <cell r="E453" t="str">
            <v>South</v>
          </cell>
          <cell r="F453" t="str">
            <v>Mengong</v>
          </cell>
          <cell r="G453" t="str">
            <v>P4</v>
          </cell>
          <cell r="H453" t="str">
            <v>Gen Only</v>
          </cell>
          <cell r="I453" t="str">
            <v>On Air</v>
          </cell>
          <cell r="J453" t="str">
            <v>Indoor</v>
          </cell>
          <cell r="K453" t="str">
            <v>AC</v>
          </cell>
          <cell r="L453" t="str">
            <v>Dowen</v>
          </cell>
          <cell r="M453" t="str">
            <v>Ebolowa</v>
          </cell>
          <cell r="N453" t="str">
            <v>MVILLA</v>
          </cell>
          <cell r="O453" t="str">
            <v>Mengong</v>
          </cell>
          <cell r="P453" t="str">
            <v>Bertrand Deffo</v>
          </cell>
          <cell r="Q453">
            <v>677549913</v>
          </cell>
          <cell r="R453">
            <v>655999890</v>
          </cell>
          <cell r="S453" t="str">
            <v>Stephane KETCHOUANG</v>
          </cell>
          <cell r="T453" t="str">
            <v>GEORGES NAKHOUL</v>
          </cell>
          <cell r="U453" t="str">
            <v>I H S</v>
          </cell>
        </row>
        <row r="454">
          <cell r="A454" t="str">
            <v>SUD_217</v>
          </cell>
          <cell r="B454" t="str">
            <v>IHS_EBO_006</v>
          </cell>
          <cell r="C454" t="str">
            <v>SUD_217</v>
          </cell>
          <cell r="D454" t="str">
            <v>South/East</v>
          </cell>
          <cell r="E454" t="str">
            <v>South</v>
          </cell>
          <cell r="F454" t="str">
            <v>Ebolowa-Elat</v>
          </cell>
          <cell r="G454" t="str">
            <v>P4</v>
          </cell>
          <cell r="H454" t="str">
            <v>Grid-Gen</v>
          </cell>
          <cell r="I454" t="str">
            <v>On Air</v>
          </cell>
          <cell r="J454" t="str">
            <v>Outdoor</v>
          </cell>
          <cell r="K454" t="str">
            <v>AC</v>
          </cell>
          <cell r="L454" t="str">
            <v>Dowen</v>
          </cell>
          <cell r="M454" t="str">
            <v>Ebolowa</v>
          </cell>
          <cell r="N454" t="str">
            <v>MVILLA</v>
          </cell>
          <cell r="O454" t="str">
            <v>Ebolowa 2</v>
          </cell>
          <cell r="P454" t="str">
            <v>Bertrand Deffo</v>
          </cell>
          <cell r="Q454">
            <v>677549913</v>
          </cell>
          <cell r="R454">
            <v>655999890</v>
          </cell>
          <cell r="S454" t="str">
            <v>Stephane KETCHOUANG</v>
          </cell>
          <cell r="T454" t="str">
            <v>GEORGES NAKHOUL</v>
          </cell>
          <cell r="U454" t="str">
            <v>I H S</v>
          </cell>
        </row>
        <row r="455">
          <cell r="A455" t="str">
            <v>SUD_262</v>
          </cell>
          <cell r="B455" t="str">
            <v>IHS_EBO_005</v>
          </cell>
          <cell r="C455" t="str">
            <v>SUD_262</v>
          </cell>
          <cell r="D455" t="str">
            <v>South/East</v>
          </cell>
          <cell r="E455" t="str">
            <v>South</v>
          </cell>
          <cell r="F455" t="str">
            <v>Ebolowa-Newb</v>
          </cell>
          <cell r="G455" t="str">
            <v>P4</v>
          </cell>
          <cell r="H455" t="str">
            <v>Grid-Gen</v>
          </cell>
          <cell r="I455" t="str">
            <v>On Air</v>
          </cell>
          <cell r="J455" t="str">
            <v>Outdoor</v>
          </cell>
          <cell r="K455" t="str">
            <v>AC</v>
          </cell>
          <cell r="L455" t="str">
            <v>Dowen</v>
          </cell>
          <cell r="M455" t="str">
            <v>Ebolowa</v>
          </cell>
          <cell r="N455" t="str">
            <v>MVILLA</v>
          </cell>
          <cell r="O455" t="str">
            <v>EBOLOWA 1</v>
          </cell>
          <cell r="P455" t="str">
            <v>Bertrand Deffo</v>
          </cell>
          <cell r="Q455">
            <v>677549913</v>
          </cell>
          <cell r="R455">
            <v>655999890</v>
          </cell>
          <cell r="S455" t="str">
            <v>Stephane KETCHOUANG</v>
          </cell>
          <cell r="T455" t="str">
            <v>GEORGES NAKHOUL</v>
          </cell>
          <cell r="U455" t="str">
            <v>I H S</v>
          </cell>
        </row>
        <row r="456">
          <cell r="A456" t="str">
            <v>CTR_392</v>
          </cell>
          <cell r="B456" t="str">
            <v>IHS_EBO_001</v>
          </cell>
          <cell r="C456" t="str">
            <v>CTR_392</v>
          </cell>
          <cell r="D456" t="str">
            <v>South/East</v>
          </cell>
          <cell r="E456" t="str">
            <v>South</v>
          </cell>
          <cell r="F456" t="str">
            <v>Ebolowa-Ville</v>
          </cell>
          <cell r="G456" t="str">
            <v>P4</v>
          </cell>
          <cell r="H456" t="str">
            <v>Grid-Gen</v>
          </cell>
          <cell r="I456" t="str">
            <v>On Air</v>
          </cell>
          <cell r="J456" t="str">
            <v>Outdoor</v>
          </cell>
          <cell r="K456" t="str">
            <v>AC</v>
          </cell>
          <cell r="L456" t="str">
            <v>Dowen</v>
          </cell>
          <cell r="M456" t="str">
            <v>Ebolowa</v>
          </cell>
          <cell r="N456" t="str">
            <v>MVILLA</v>
          </cell>
          <cell r="O456" t="str">
            <v>Ebolowa 2</v>
          </cell>
          <cell r="P456" t="str">
            <v>Bertrand Deffo</v>
          </cell>
          <cell r="Q456">
            <v>677549913</v>
          </cell>
          <cell r="R456">
            <v>655999890</v>
          </cell>
          <cell r="S456" t="str">
            <v>Stephane KETCHOUANG</v>
          </cell>
          <cell r="T456" t="str">
            <v>GEORGES NAKHOUL</v>
          </cell>
          <cell r="U456" t="str">
            <v>I H S</v>
          </cell>
        </row>
        <row r="457">
          <cell r="A457" t="str">
            <v>CTR_354</v>
          </cell>
          <cell r="B457" t="str">
            <v>IHS_YND_411</v>
          </cell>
          <cell r="C457" t="str">
            <v>CTR_354</v>
          </cell>
          <cell r="D457" t="str">
            <v>South/East</v>
          </cell>
          <cell r="E457" t="str">
            <v>South</v>
          </cell>
          <cell r="F457" t="str">
            <v>Mengueme</v>
          </cell>
          <cell r="G457" t="str">
            <v>P4</v>
          </cell>
          <cell r="H457" t="str">
            <v>Grid-Gen</v>
          </cell>
          <cell r="I457" t="str">
            <v>On Air</v>
          </cell>
          <cell r="J457" t="str">
            <v>Outdoor</v>
          </cell>
          <cell r="K457" t="str">
            <v>AC</v>
          </cell>
          <cell r="L457" t="str">
            <v>Dowen</v>
          </cell>
          <cell r="M457" t="str">
            <v>Mbalmayo</v>
          </cell>
          <cell r="N457" t="str">
            <v>NYON-ET-SO'O</v>
          </cell>
          <cell r="O457" t="str">
            <v>MENGUEME</v>
          </cell>
          <cell r="P457" t="str">
            <v>Bertrand Deffo</v>
          </cell>
          <cell r="Q457">
            <v>677549913</v>
          </cell>
          <cell r="R457">
            <v>655999890</v>
          </cell>
          <cell r="S457" t="str">
            <v>Stephane KETCHOUANG</v>
          </cell>
          <cell r="T457" t="str">
            <v>GEORGES NAKHOUL</v>
          </cell>
          <cell r="U457" t="str">
            <v>I H S</v>
          </cell>
        </row>
        <row r="458">
          <cell r="A458" t="str">
            <v>CTR_252</v>
          </cell>
          <cell r="B458" t="str">
            <v>IHS_YND_358</v>
          </cell>
          <cell r="C458" t="str">
            <v>CTR_252</v>
          </cell>
          <cell r="D458" t="str">
            <v>South/East</v>
          </cell>
          <cell r="E458" t="str">
            <v>South</v>
          </cell>
          <cell r="F458" t="str">
            <v>Mbalmayo-Ngalan</v>
          </cell>
          <cell r="G458" t="str">
            <v>P4</v>
          </cell>
          <cell r="H458" t="str">
            <v>Grid-Gen</v>
          </cell>
          <cell r="I458" t="str">
            <v>On Air</v>
          </cell>
          <cell r="J458" t="str">
            <v>Outdoor</v>
          </cell>
          <cell r="K458" t="str">
            <v>AC</v>
          </cell>
          <cell r="L458" t="str">
            <v>Dowen</v>
          </cell>
          <cell r="M458" t="str">
            <v>Mbalmayo</v>
          </cell>
          <cell r="N458" t="str">
            <v>NYON-ET-SO'O</v>
          </cell>
          <cell r="O458" t="str">
            <v>Mbalmayo</v>
          </cell>
          <cell r="P458" t="str">
            <v>Bertrand Deffo</v>
          </cell>
          <cell r="Q458">
            <v>677549913</v>
          </cell>
          <cell r="R458">
            <v>655999890</v>
          </cell>
          <cell r="S458" t="str">
            <v>Stephane KETCHOUANG</v>
          </cell>
          <cell r="T458" t="str">
            <v>GEORGES NAKHOUL</v>
          </cell>
          <cell r="U458" t="str">
            <v>I H S</v>
          </cell>
        </row>
        <row r="459">
          <cell r="A459" t="str">
            <v>CTR_260</v>
          </cell>
          <cell r="B459" t="str">
            <v>IHS_YND_346</v>
          </cell>
          <cell r="C459" t="str">
            <v>CTR_260</v>
          </cell>
          <cell r="D459" t="str">
            <v>South/East</v>
          </cell>
          <cell r="E459" t="str">
            <v>South</v>
          </cell>
          <cell r="F459" t="str">
            <v>Bikok</v>
          </cell>
          <cell r="G459" t="str">
            <v>P4</v>
          </cell>
          <cell r="H459" t="str">
            <v>Grid-Hybrid-Gen</v>
          </cell>
          <cell r="I459" t="str">
            <v>On Air</v>
          </cell>
          <cell r="J459" t="str">
            <v>Outdoor</v>
          </cell>
          <cell r="K459" t="str">
            <v>AC</v>
          </cell>
          <cell r="L459" t="str">
            <v>Dowen</v>
          </cell>
          <cell r="M459" t="str">
            <v>Mbalmayo</v>
          </cell>
          <cell r="N459" t="str">
            <v>NYON-ET-SO'O</v>
          </cell>
          <cell r="O459" t="str">
            <v>Bikok</v>
          </cell>
          <cell r="P459" t="str">
            <v>Bertrand Deffo</v>
          </cell>
          <cell r="Q459">
            <v>677549913</v>
          </cell>
          <cell r="R459">
            <v>655999890</v>
          </cell>
          <cell r="S459" t="str">
            <v>Stephane KETCHOUANG</v>
          </cell>
          <cell r="T459" t="str">
            <v>GEORGES NAKHOUL</v>
          </cell>
          <cell r="U459" t="str">
            <v>I H S</v>
          </cell>
        </row>
        <row r="460">
          <cell r="A460" t="str">
            <v>SUD_056</v>
          </cell>
          <cell r="B460" t="str">
            <v>IHS_EBO_106</v>
          </cell>
          <cell r="C460" t="str">
            <v>SUD_056</v>
          </cell>
          <cell r="D460" t="str">
            <v>South/East</v>
          </cell>
          <cell r="E460" t="str">
            <v>South</v>
          </cell>
          <cell r="F460" t="str">
            <v>MEMVELE OCM</v>
          </cell>
          <cell r="G460" t="str">
            <v>P4</v>
          </cell>
          <cell r="H460" t="str">
            <v>Hybrid-Gen</v>
          </cell>
          <cell r="I460" t="str">
            <v>On Air</v>
          </cell>
          <cell r="J460" t="str">
            <v>Outdoor</v>
          </cell>
          <cell r="K460" t="str">
            <v>AC</v>
          </cell>
          <cell r="L460" t="str">
            <v>Dowen</v>
          </cell>
          <cell r="M460" t="str">
            <v>Ebolowa</v>
          </cell>
          <cell r="N460" t="str">
            <v>NTEM</v>
          </cell>
          <cell r="O460" t="str">
            <v>Ma'an</v>
          </cell>
          <cell r="P460" t="str">
            <v>Bertrand Deffo</v>
          </cell>
          <cell r="Q460">
            <v>677549913</v>
          </cell>
          <cell r="R460">
            <v>655999890</v>
          </cell>
          <cell r="S460" t="str">
            <v>Stephane KETCHOUANG</v>
          </cell>
          <cell r="T460" t="str">
            <v>GEORGES NAKHOUL</v>
          </cell>
          <cell r="U460" t="str">
            <v>I H S</v>
          </cell>
        </row>
        <row r="461">
          <cell r="A461" t="str">
            <v>CTR_136</v>
          </cell>
          <cell r="B461" t="str">
            <v>IHS_YND_361</v>
          </cell>
          <cell r="C461" t="str">
            <v>CTR_136</v>
          </cell>
          <cell r="D461" t="str">
            <v>South/East</v>
          </cell>
          <cell r="E461" t="str">
            <v>South</v>
          </cell>
          <cell r="F461" t="str">
            <v>Mbalmayou-Mboukoulou-IHS</v>
          </cell>
          <cell r="G461" t="str">
            <v>P4</v>
          </cell>
          <cell r="H461" t="str">
            <v>Grid-Gen</v>
          </cell>
          <cell r="I461" t="str">
            <v>On Air</v>
          </cell>
          <cell r="J461" t="str">
            <v>Outdoor</v>
          </cell>
          <cell r="K461" t="str">
            <v>AC</v>
          </cell>
          <cell r="L461" t="str">
            <v>Dowen</v>
          </cell>
          <cell r="M461" t="str">
            <v>Mbalmayo</v>
          </cell>
          <cell r="N461" t="str">
            <v>NYON-ET-SO'O</v>
          </cell>
          <cell r="O461" t="str">
            <v>Mbalmayo</v>
          </cell>
          <cell r="P461" t="str">
            <v>Bertrand Deffo</v>
          </cell>
          <cell r="Q461">
            <v>677549913</v>
          </cell>
          <cell r="R461">
            <v>655999890</v>
          </cell>
          <cell r="S461" t="str">
            <v>Stephane KETCHOUANG</v>
          </cell>
          <cell r="T461" t="str">
            <v>GEORGES NAKHOUL</v>
          </cell>
          <cell r="U461" t="str">
            <v>I H S</v>
          </cell>
        </row>
        <row r="462">
          <cell r="A462" t="str">
            <v>SUD_040</v>
          </cell>
          <cell r="B462" t="str">
            <v>IHS_KRI_025</v>
          </cell>
          <cell r="C462" t="str">
            <v>SUD_040</v>
          </cell>
          <cell r="D462" t="str">
            <v>South/East</v>
          </cell>
          <cell r="E462" t="str">
            <v>South</v>
          </cell>
          <cell r="F462" t="str">
            <v>BIPINDI-IHS</v>
          </cell>
          <cell r="G462" t="str">
            <v>P4</v>
          </cell>
          <cell r="H462" t="str">
            <v>Hybrid-Gen</v>
          </cell>
          <cell r="I462" t="str">
            <v>On Air</v>
          </cell>
          <cell r="J462" t="str">
            <v>Outdoor</v>
          </cell>
          <cell r="K462" t="str">
            <v>AC</v>
          </cell>
          <cell r="L462" t="str">
            <v>Dowen</v>
          </cell>
          <cell r="M462" t="str">
            <v>Ebolowa</v>
          </cell>
          <cell r="N462" t="str">
            <v>OCEAN</v>
          </cell>
          <cell r="O462" t="str">
            <v>Bipindi</v>
          </cell>
          <cell r="P462" t="str">
            <v>Bertrand Deffo</v>
          </cell>
          <cell r="Q462">
            <v>677549913</v>
          </cell>
          <cell r="R462">
            <v>655999890</v>
          </cell>
          <cell r="S462" t="str">
            <v>Stephane KETCHOUANG</v>
          </cell>
          <cell r="T462" t="str">
            <v>GEORGES NAKHOUL</v>
          </cell>
          <cell r="U462" t="str">
            <v>I H S</v>
          </cell>
        </row>
        <row r="463">
          <cell r="A463" t="str">
            <v>SUD_038</v>
          </cell>
          <cell r="B463" t="str">
            <v>IHS_EBO_102</v>
          </cell>
          <cell r="C463" t="str">
            <v>SUD_038</v>
          </cell>
          <cell r="D463" t="str">
            <v>South/East</v>
          </cell>
          <cell r="E463" t="str">
            <v>South</v>
          </cell>
          <cell r="F463" t="str">
            <v>Olamze-IHS</v>
          </cell>
          <cell r="G463" t="str">
            <v>P5</v>
          </cell>
          <cell r="H463" t="str">
            <v>Grid-Gen</v>
          </cell>
          <cell r="I463" t="str">
            <v>On Air</v>
          </cell>
          <cell r="J463" t="str">
            <v>Outdoor</v>
          </cell>
          <cell r="K463" t="str">
            <v>AC</v>
          </cell>
          <cell r="L463" t="str">
            <v>Dowen</v>
          </cell>
          <cell r="M463" t="str">
            <v>Ebolowa</v>
          </cell>
          <cell r="N463" t="str">
            <v>NTEM</v>
          </cell>
          <cell r="O463" t="str">
            <v>Olamze</v>
          </cell>
          <cell r="P463" t="str">
            <v>Bertrand Deffo</v>
          </cell>
          <cell r="Q463">
            <v>677549913</v>
          </cell>
          <cell r="R463">
            <v>655999890</v>
          </cell>
          <cell r="S463" t="str">
            <v>Stephane KETCHOUANG</v>
          </cell>
          <cell r="T463" t="str">
            <v>GEORGES NAKHOUL</v>
          </cell>
          <cell r="U463" t="str">
            <v>I H S</v>
          </cell>
        </row>
        <row r="464">
          <cell r="A464" t="str">
            <v>SUD_256</v>
          </cell>
          <cell r="B464" t="str">
            <v>IHS_EBO_016</v>
          </cell>
          <cell r="C464" t="str">
            <v>SUD_256</v>
          </cell>
          <cell r="D464" t="str">
            <v>South/East</v>
          </cell>
          <cell r="E464" t="str">
            <v>South</v>
          </cell>
          <cell r="F464" t="str">
            <v>Melane</v>
          </cell>
          <cell r="G464" t="str">
            <v>P5</v>
          </cell>
          <cell r="H464" t="str">
            <v>Grid-Gen</v>
          </cell>
          <cell r="I464" t="str">
            <v>On Air</v>
          </cell>
          <cell r="J464" t="str">
            <v>Outdoor</v>
          </cell>
          <cell r="K464" t="str">
            <v>AC</v>
          </cell>
          <cell r="L464" t="str">
            <v>Dowen</v>
          </cell>
          <cell r="M464" t="str">
            <v>Mbalmayo</v>
          </cell>
          <cell r="N464" t="str">
            <v>MVILLA</v>
          </cell>
          <cell r="O464" t="str">
            <v>MENGONG</v>
          </cell>
          <cell r="P464" t="str">
            <v>Bertrand Deffo</v>
          </cell>
          <cell r="Q464">
            <v>677549913</v>
          </cell>
          <cell r="R464">
            <v>655999890</v>
          </cell>
          <cell r="S464" t="str">
            <v>Stephane KETCHOUANG</v>
          </cell>
          <cell r="T464" t="str">
            <v>GEORGES NAKHOUL</v>
          </cell>
          <cell r="U464" t="str">
            <v>I H S</v>
          </cell>
        </row>
        <row r="465">
          <cell r="A465" t="str">
            <v>SUD_037</v>
          </cell>
          <cell r="B465" t="str">
            <v>IHS_EBO_105</v>
          </cell>
          <cell r="C465" t="str">
            <v>SUD_037</v>
          </cell>
          <cell r="D465" t="str">
            <v>South/East</v>
          </cell>
          <cell r="E465" t="str">
            <v>South</v>
          </cell>
          <cell r="F465" t="str">
            <v>Maan-IHS</v>
          </cell>
          <cell r="G465" t="str">
            <v>P5</v>
          </cell>
          <cell r="H465" t="str">
            <v>Gen Only</v>
          </cell>
          <cell r="I465" t="str">
            <v>On Air</v>
          </cell>
          <cell r="J465" t="str">
            <v>Outdoor</v>
          </cell>
          <cell r="K465" t="str">
            <v>AC</v>
          </cell>
          <cell r="L465" t="str">
            <v>Dowen</v>
          </cell>
          <cell r="M465" t="str">
            <v>Ebolowa</v>
          </cell>
          <cell r="N465" t="str">
            <v>NTEM</v>
          </cell>
          <cell r="O465" t="str">
            <v>Ma'an</v>
          </cell>
          <cell r="P465" t="str">
            <v>Bertrand Deffo</v>
          </cell>
          <cell r="Q465">
            <v>677549913</v>
          </cell>
          <cell r="R465">
            <v>655999890</v>
          </cell>
          <cell r="S465" t="str">
            <v>Stephane KETCHOUANG</v>
          </cell>
          <cell r="T465" t="str">
            <v>GEORGES NAKHOUL</v>
          </cell>
          <cell r="U465" t="str">
            <v>I H S</v>
          </cell>
        </row>
        <row r="466">
          <cell r="A466" t="str">
            <v>SUD_070</v>
          </cell>
          <cell r="B466" t="str">
            <v>IHS_KRI_118</v>
          </cell>
          <cell r="C466" t="str">
            <v>SUD_070</v>
          </cell>
          <cell r="D466" t="str">
            <v>South/East</v>
          </cell>
          <cell r="E466" t="str">
            <v>South</v>
          </cell>
          <cell r="F466" t="str">
            <v>Adjap</v>
          </cell>
          <cell r="G466" t="str">
            <v>P5</v>
          </cell>
          <cell r="H466" t="str">
            <v>Grid-Gen</v>
          </cell>
          <cell r="I466" t="str">
            <v>On Air</v>
          </cell>
          <cell r="J466" t="str">
            <v>Outdoor</v>
          </cell>
          <cell r="K466" t="str">
            <v>AC</v>
          </cell>
          <cell r="L466" t="str">
            <v>Dowen</v>
          </cell>
          <cell r="M466" t="str">
            <v>Ebolowa</v>
          </cell>
          <cell r="N466" t="str">
            <v>OCEAN</v>
          </cell>
          <cell r="O466" t="str">
            <v>Effoulane</v>
          </cell>
          <cell r="P466" t="str">
            <v>Bertrand Deffo</v>
          </cell>
          <cell r="Q466">
            <v>677549913</v>
          </cell>
          <cell r="R466">
            <v>655999890</v>
          </cell>
          <cell r="S466" t="str">
            <v>Stephane KETCHOUANG</v>
          </cell>
          <cell r="T466" t="str">
            <v>GEORGES NAKHOUL</v>
          </cell>
          <cell r="U466" t="str">
            <v>I H S</v>
          </cell>
        </row>
        <row r="467">
          <cell r="A467" t="str">
            <v>CTR_493</v>
          </cell>
          <cell r="B467" t="str">
            <v>IHS_YND_585</v>
          </cell>
          <cell r="C467" t="str">
            <v>CTR_493</v>
          </cell>
          <cell r="D467" t="str">
            <v>South/East</v>
          </cell>
          <cell r="E467" t="str">
            <v>South</v>
          </cell>
          <cell r="F467" t="str">
            <v>Mbalmayo Oyak</v>
          </cell>
          <cell r="G467" t="str">
            <v>P5</v>
          </cell>
          <cell r="H467" t="str">
            <v>Grid-Gen</v>
          </cell>
          <cell r="I467" t="str">
            <v>On Air</v>
          </cell>
          <cell r="J467" t="str">
            <v>Outdoor</v>
          </cell>
          <cell r="K467" t="str">
            <v>AC</v>
          </cell>
          <cell r="L467" t="str">
            <v>Dowen</v>
          </cell>
          <cell r="M467" t="str">
            <v>Mbalmayo</v>
          </cell>
          <cell r="N467" t="str">
            <v>NYON-ET-SO'O</v>
          </cell>
          <cell r="O467" t="str">
            <v>MBALMAYO</v>
          </cell>
          <cell r="P467" t="str">
            <v>Bertrand Deffo</v>
          </cell>
          <cell r="Q467">
            <v>677549913</v>
          </cell>
          <cell r="R467">
            <v>655999890</v>
          </cell>
          <cell r="S467" t="str">
            <v>Stephane KETCHOUANG</v>
          </cell>
          <cell r="T467" t="str">
            <v>GEORGES NAKHOUL</v>
          </cell>
          <cell r="U467" t="str">
            <v>I H S</v>
          </cell>
        </row>
        <row r="468">
          <cell r="A468" t="str">
            <v>CTR_117</v>
          </cell>
          <cell r="B468" t="str">
            <v>IHS_YND_364</v>
          </cell>
          <cell r="C468" t="str">
            <v>CTR_117</v>
          </cell>
          <cell r="D468" t="str">
            <v>South/East</v>
          </cell>
          <cell r="E468" t="str">
            <v>South</v>
          </cell>
          <cell r="F468" t="str">
            <v>Manmenye</v>
          </cell>
          <cell r="G468" t="str">
            <v>P5</v>
          </cell>
          <cell r="H468" t="str">
            <v>Grid-Hybrid-Gen</v>
          </cell>
          <cell r="I468" t="str">
            <v>On Air</v>
          </cell>
          <cell r="J468" t="str">
            <v>Indoor</v>
          </cell>
          <cell r="K468" t="str">
            <v>AC</v>
          </cell>
          <cell r="L468" t="str">
            <v>Dowen</v>
          </cell>
          <cell r="M468" t="str">
            <v>Mbalmayo</v>
          </cell>
          <cell r="N468" t="str">
            <v>NYON-ET-SO'O</v>
          </cell>
          <cell r="O468" t="str">
            <v>Mbalmayo</v>
          </cell>
          <cell r="P468" t="str">
            <v>Bertrand Deffo</v>
          </cell>
          <cell r="Q468">
            <v>677549913</v>
          </cell>
          <cell r="R468">
            <v>655999890</v>
          </cell>
          <cell r="S468" t="str">
            <v>Stephane KETCHOUANG</v>
          </cell>
          <cell r="T468" t="str">
            <v>GEORGES NAKHOUL</v>
          </cell>
          <cell r="U468" t="str">
            <v>I H S</v>
          </cell>
        </row>
        <row r="469">
          <cell r="A469" t="str">
            <v>SUD_245</v>
          </cell>
          <cell r="B469" t="str">
            <v>IHS_EBO_017</v>
          </cell>
          <cell r="C469" t="str">
            <v>SUD_245</v>
          </cell>
          <cell r="D469" t="str">
            <v>South/East</v>
          </cell>
          <cell r="E469" t="str">
            <v>South</v>
          </cell>
          <cell r="F469" t="str">
            <v>Mvoula</v>
          </cell>
          <cell r="G469" t="str">
            <v>P5</v>
          </cell>
          <cell r="H469" t="str">
            <v>Grid-Gen</v>
          </cell>
          <cell r="I469" t="str">
            <v>On Air</v>
          </cell>
          <cell r="J469" t="str">
            <v>Outdoor</v>
          </cell>
          <cell r="K469" t="str">
            <v>AC</v>
          </cell>
          <cell r="L469" t="str">
            <v>Dowen</v>
          </cell>
          <cell r="M469" t="str">
            <v>Ebolowa</v>
          </cell>
          <cell r="N469" t="str">
            <v>MVILLA</v>
          </cell>
          <cell r="O469" t="str">
            <v>BIWONG BOULOU</v>
          </cell>
          <cell r="P469" t="str">
            <v>Bertrand Deffo</v>
          </cell>
          <cell r="Q469">
            <v>677549913</v>
          </cell>
          <cell r="R469">
            <v>655999890</v>
          </cell>
          <cell r="S469" t="str">
            <v>Stephane KETCHOUANG</v>
          </cell>
          <cell r="T469" t="str">
            <v>GEORGES NAKHOUL</v>
          </cell>
          <cell r="U469" t="str">
            <v>I H S</v>
          </cell>
        </row>
        <row r="470">
          <cell r="A470" t="str">
            <v>SUD_264</v>
          </cell>
          <cell r="B470" t="str">
            <v>IHS_EBO_002</v>
          </cell>
          <cell r="C470" t="str">
            <v>SUD_264</v>
          </cell>
          <cell r="D470" t="str">
            <v>South/East</v>
          </cell>
          <cell r="E470" t="str">
            <v>South</v>
          </cell>
          <cell r="F470" t="str">
            <v>Ebolowa-Angale</v>
          </cell>
          <cell r="G470" t="str">
            <v>P5</v>
          </cell>
          <cell r="H470" t="str">
            <v>Grid-Gen</v>
          </cell>
          <cell r="I470" t="str">
            <v>On Air</v>
          </cell>
          <cell r="J470" t="str">
            <v>Outdoor</v>
          </cell>
          <cell r="K470" t="str">
            <v>AC</v>
          </cell>
          <cell r="L470" t="str">
            <v>Dowen</v>
          </cell>
          <cell r="M470" t="str">
            <v>Ebolowa</v>
          </cell>
          <cell r="N470" t="str">
            <v>MVILLA</v>
          </cell>
          <cell r="O470" t="str">
            <v>Ebolowa 2</v>
          </cell>
          <cell r="P470" t="str">
            <v>Bertrand Deffo</v>
          </cell>
          <cell r="Q470">
            <v>677549913</v>
          </cell>
          <cell r="R470">
            <v>655999890</v>
          </cell>
          <cell r="S470" t="str">
            <v>Stephane KETCHOUANG</v>
          </cell>
          <cell r="T470" t="str">
            <v>GEORGES NAKHOUL</v>
          </cell>
          <cell r="U470" t="str">
            <v>I H S</v>
          </cell>
        </row>
        <row r="471">
          <cell r="A471" t="str">
            <v>SUD_223</v>
          </cell>
          <cell r="B471" t="str">
            <v>IHS_EBO_007</v>
          </cell>
          <cell r="C471" t="str">
            <v>SUD_223</v>
          </cell>
          <cell r="D471" t="str">
            <v>South/East</v>
          </cell>
          <cell r="E471" t="str">
            <v>South</v>
          </cell>
          <cell r="F471" t="str">
            <v>Ebolowa-Mekalat</v>
          </cell>
          <cell r="G471" t="str">
            <v>P5</v>
          </cell>
          <cell r="H471" t="str">
            <v>Grid-Gen</v>
          </cell>
          <cell r="I471" t="str">
            <v>On Air</v>
          </cell>
          <cell r="J471" t="str">
            <v>Outdoor</v>
          </cell>
          <cell r="K471" t="str">
            <v>AC</v>
          </cell>
          <cell r="L471" t="str">
            <v>Dowen</v>
          </cell>
          <cell r="M471" t="str">
            <v>Ebolowa</v>
          </cell>
          <cell r="N471" t="str">
            <v>MVILLA</v>
          </cell>
          <cell r="O471" t="str">
            <v>Ebolowa 2</v>
          </cell>
          <cell r="P471" t="str">
            <v>Bertrand Deffo</v>
          </cell>
          <cell r="Q471">
            <v>677549913</v>
          </cell>
          <cell r="R471">
            <v>655999890</v>
          </cell>
          <cell r="S471" t="str">
            <v>Stephane KETCHOUANG</v>
          </cell>
          <cell r="T471" t="str">
            <v>GEORGES NAKHOUL</v>
          </cell>
          <cell r="U471" t="str">
            <v>I H S</v>
          </cell>
        </row>
        <row r="472">
          <cell r="A472" t="str">
            <v>CTR_517</v>
          </cell>
          <cell r="B472" t="str">
            <v>IHS_YND_595</v>
          </cell>
          <cell r="C472" t="str">
            <v>CTR_517</v>
          </cell>
          <cell r="D472" t="str">
            <v>South/East</v>
          </cell>
          <cell r="E472" t="str">
            <v>South</v>
          </cell>
          <cell r="F472" t="str">
            <v>Akoeman</v>
          </cell>
          <cell r="G472" t="str">
            <v>P5</v>
          </cell>
          <cell r="H472" t="str">
            <v>Grid-Hybrid-Gen</v>
          </cell>
          <cell r="I472" t="str">
            <v>On Air</v>
          </cell>
          <cell r="J472" t="str">
            <v>Outdoor</v>
          </cell>
          <cell r="K472" t="str">
            <v>AC</v>
          </cell>
          <cell r="L472" t="str">
            <v>Dowen</v>
          </cell>
          <cell r="M472" t="str">
            <v>Mbalmayo</v>
          </cell>
          <cell r="N472" t="str">
            <v>NYON-ET-SO'O</v>
          </cell>
          <cell r="O472" t="str">
            <v>Akoeman</v>
          </cell>
          <cell r="P472" t="str">
            <v>Bertrand Deffo</v>
          </cell>
          <cell r="Q472">
            <v>677549913</v>
          </cell>
          <cell r="R472">
            <v>655999890</v>
          </cell>
          <cell r="S472" t="str">
            <v>Stephane KETCHOUANG</v>
          </cell>
          <cell r="T472" t="str">
            <v>GEORGES NAKHOUL</v>
          </cell>
          <cell r="U472" t="str">
            <v>I H S</v>
          </cell>
        </row>
        <row r="473">
          <cell r="A473" t="str">
            <v>CTR_355</v>
          </cell>
          <cell r="B473" t="str">
            <v>IHS_EBO_015</v>
          </cell>
          <cell r="C473" t="str">
            <v>CTR_355</v>
          </cell>
          <cell r="D473" t="str">
            <v>South/East</v>
          </cell>
          <cell r="E473" t="str">
            <v>South</v>
          </cell>
          <cell r="F473" t="str">
            <v>Ntoumba</v>
          </cell>
          <cell r="G473" t="str">
            <v>P5</v>
          </cell>
          <cell r="H473" t="str">
            <v>Grid-Gen</v>
          </cell>
          <cell r="I473" t="str">
            <v>On Air</v>
          </cell>
          <cell r="J473" t="str">
            <v>Outdoor</v>
          </cell>
          <cell r="K473" t="str">
            <v>AC</v>
          </cell>
          <cell r="L473" t="str">
            <v>Dowen</v>
          </cell>
          <cell r="M473" t="str">
            <v>Ebolowa</v>
          </cell>
          <cell r="N473" t="str">
            <v>MVILLA</v>
          </cell>
          <cell r="O473" t="str">
            <v>Ngoulemakong</v>
          </cell>
          <cell r="P473" t="str">
            <v>Bertrand Deffo</v>
          </cell>
          <cell r="Q473">
            <v>677549913</v>
          </cell>
          <cell r="R473">
            <v>655999890</v>
          </cell>
          <cell r="S473" t="str">
            <v>Stephane KETCHOUANG</v>
          </cell>
          <cell r="T473" t="str">
            <v>GEORGES NAKHOUL</v>
          </cell>
          <cell r="U473" t="str">
            <v>I H S</v>
          </cell>
        </row>
        <row r="474">
          <cell r="A474" t="str">
            <v>SUD_801</v>
          </cell>
          <cell r="B474" t="str">
            <v>IHS_EBO_026</v>
          </cell>
          <cell r="C474" t="str">
            <v>SUD_801</v>
          </cell>
          <cell r="D474" t="str">
            <v>South/East</v>
          </cell>
          <cell r="E474" t="str">
            <v>South</v>
          </cell>
          <cell r="F474" t="str">
            <v>Ntoumou</v>
          </cell>
          <cell r="G474" t="str">
            <v>P5</v>
          </cell>
          <cell r="H474" t="str">
            <v>Gen Only</v>
          </cell>
          <cell r="I474" t="str">
            <v>On Air</v>
          </cell>
          <cell r="J474" t="str">
            <v>Outdoor</v>
          </cell>
          <cell r="K474" t="str">
            <v>AC</v>
          </cell>
          <cell r="L474" t="str">
            <v>Dowen</v>
          </cell>
          <cell r="M474" t="str">
            <v>Ebolowa</v>
          </cell>
          <cell r="N474" t="str">
            <v>NTEM</v>
          </cell>
          <cell r="O474" t="str">
            <v>MAAN</v>
          </cell>
          <cell r="P474" t="str">
            <v>Bertrand Deffo</v>
          </cell>
          <cell r="Q474">
            <v>677549913</v>
          </cell>
          <cell r="R474">
            <v>655999890</v>
          </cell>
          <cell r="S474" t="str">
            <v>Stephane KETCHOUANG</v>
          </cell>
          <cell r="T474" t="str">
            <v>GEORGES NAKHOUL</v>
          </cell>
          <cell r="U474" t="str">
            <v>I H S</v>
          </cell>
        </row>
        <row r="475">
          <cell r="A475" t="str">
            <v>CTR_532</v>
          </cell>
          <cell r="B475" t="str">
            <v>IHS_YND_678</v>
          </cell>
          <cell r="C475" t="str">
            <v>CTR_532</v>
          </cell>
          <cell r="D475" t="str">
            <v>South/East</v>
          </cell>
          <cell r="E475" t="str">
            <v>South</v>
          </cell>
          <cell r="F475" t="str">
            <v>Ngomedzap</v>
          </cell>
          <cell r="G475" t="str">
            <v>P5</v>
          </cell>
          <cell r="H475" t="str">
            <v>Gen Only</v>
          </cell>
          <cell r="I475" t="str">
            <v>On Air</v>
          </cell>
          <cell r="J475" t="str">
            <v>Outdoor</v>
          </cell>
          <cell r="K475" t="str">
            <v>AC</v>
          </cell>
          <cell r="L475" t="str">
            <v>Dowen</v>
          </cell>
          <cell r="M475" t="str">
            <v>Mbalmayo</v>
          </cell>
          <cell r="N475" t="str">
            <v>NYON-ET-SO'O</v>
          </cell>
          <cell r="O475" t="str">
            <v>ngomedzap</v>
          </cell>
          <cell r="P475" t="str">
            <v>Bertrand Deffo</v>
          </cell>
          <cell r="Q475">
            <v>677549913</v>
          </cell>
          <cell r="R475">
            <v>655999890</v>
          </cell>
          <cell r="S475" t="str">
            <v>Stephane KETCHOUANG</v>
          </cell>
          <cell r="T475" t="str">
            <v>GEORGES NAKHOUL</v>
          </cell>
          <cell r="U475" t="str">
            <v>I H S</v>
          </cell>
        </row>
        <row r="476">
          <cell r="A476" t="str">
            <v>SUD_026</v>
          </cell>
          <cell r="B476" t="str">
            <v>IHS_EBO_104</v>
          </cell>
          <cell r="C476" t="str">
            <v>SUD_026</v>
          </cell>
          <cell r="D476" t="str">
            <v>South/East</v>
          </cell>
          <cell r="E476" t="str">
            <v>South</v>
          </cell>
          <cell r="F476" t="str">
            <v>Kye ossi ii</v>
          </cell>
          <cell r="G476" t="str">
            <v>P5</v>
          </cell>
          <cell r="H476" t="str">
            <v>Gen Only</v>
          </cell>
          <cell r="I476" t="str">
            <v>On Air</v>
          </cell>
          <cell r="J476" t="str">
            <v>Outdoor</v>
          </cell>
          <cell r="K476" t="str">
            <v>AC</v>
          </cell>
          <cell r="L476" t="str">
            <v>Dowen</v>
          </cell>
          <cell r="M476" t="str">
            <v>Ebolowa</v>
          </cell>
          <cell r="N476" t="str">
            <v>NTEM</v>
          </cell>
          <cell r="O476" t="str">
            <v>Kyeossi</v>
          </cell>
          <cell r="P476" t="str">
            <v>Bertrand Deffo</v>
          </cell>
          <cell r="Q476">
            <v>677549913</v>
          </cell>
          <cell r="R476">
            <v>655999890</v>
          </cell>
          <cell r="S476" t="str">
            <v>Stephane KETCHOUANG</v>
          </cell>
          <cell r="T476" t="str">
            <v>GEORGES NAKHOUL</v>
          </cell>
          <cell r="U476" t="str">
            <v>I H S</v>
          </cell>
        </row>
        <row r="477">
          <cell r="A477" t="str">
            <v>CTR_366</v>
          </cell>
          <cell r="B477" t="str">
            <v>IHS_YND_344</v>
          </cell>
          <cell r="C477" t="str">
            <v>CTR_366</v>
          </cell>
          <cell r="D477" t="str">
            <v>South/East</v>
          </cell>
          <cell r="E477" t="str">
            <v>South</v>
          </cell>
          <cell r="F477" t="str">
            <v>Zamakoe-MTN</v>
          </cell>
          <cell r="G477" t="str">
            <v>P5</v>
          </cell>
          <cell r="H477" t="str">
            <v>Grid-Gen</v>
          </cell>
          <cell r="I477" t="str">
            <v>On Air</v>
          </cell>
          <cell r="J477" t="str">
            <v>Indoor</v>
          </cell>
          <cell r="K477" t="str">
            <v>AC</v>
          </cell>
          <cell r="L477" t="str">
            <v>Dowen</v>
          </cell>
          <cell r="M477" t="str">
            <v>Mbalmayo</v>
          </cell>
          <cell r="N477" t="str">
            <v>NYON-ET-SO'O</v>
          </cell>
          <cell r="O477" t="str">
            <v>Mbalmayo</v>
          </cell>
          <cell r="P477" t="str">
            <v>Bertrand Deffo</v>
          </cell>
          <cell r="Q477">
            <v>677549913</v>
          </cell>
          <cell r="R477">
            <v>655999890</v>
          </cell>
          <cell r="S477" t="str">
            <v>Stephane KETCHOUANG</v>
          </cell>
          <cell r="T477" t="str">
            <v>GEORGES NAKHOUL</v>
          </cell>
          <cell r="U477" t="str">
            <v>I H S</v>
          </cell>
        </row>
        <row r="478">
          <cell r="A478" t="str">
            <v>SUD_236</v>
          </cell>
          <cell r="B478" t="str">
            <v>IHS_YND_410</v>
          </cell>
          <cell r="C478" t="str">
            <v>SUD_236</v>
          </cell>
          <cell r="D478" t="str">
            <v>South/East</v>
          </cell>
          <cell r="E478" t="str">
            <v>South</v>
          </cell>
          <cell r="F478" t="str">
            <v>Avebe-MTN</v>
          </cell>
          <cell r="G478" t="str">
            <v>P5</v>
          </cell>
          <cell r="H478" t="str">
            <v>Grid-Gen</v>
          </cell>
          <cell r="I478" t="str">
            <v>On Air</v>
          </cell>
          <cell r="J478" t="str">
            <v>Outdoor</v>
          </cell>
          <cell r="K478" t="str">
            <v>AC</v>
          </cell>
          <cell r="L478" t="str">
            <v>Dowen</v>
          </cell>
          <cell r="M478" t="str">
            <v>Mbalmayo</v>
          </cell>
          <cell r="N478" t="str">
            <v>NYON-ET-SO'O</v>
          </cell>
          <cell r="O478" t="str">
            <v>Mbalmayo</v>
          </cell>
          <cell r="P478" t="str">
            <v>Bertrand Deffo</v>
          </cell>
          <cell r="Q478">
            <v>677549913</v>
          </cell>
          <cell r="R478">
            <v>655999890</v>
          </cell>
          <cell r="S478" t="str">
            <v>Stephane KETCHOUANG</v>
          </cell>
          <cell r="T478" t="str">
            <v>GEORGES NAKHOUL</v>
          </cell>
          <cell r="U478" t="str">
            <v>I H S</v>
          </cell>
        </row>
        <row r="479">
          <cell r="A479" t="str">
            <v>CTR_304</v>
          </cell>
          <cell r="B479" t="str">
            <v>IHS_EBO_011</v>
          </cell>
          <cell r="C479" t="str">
            <v>CTR_304</v>
          </cell>
          <cell r="D479" t="str">
            <v>South/East</v>
          </cell>
          <cell r="E479" t="str">
            <v>South</v>
          </cell>
          <cell r="F479" t="str">
            <v>Biba-MTN</v>
          </cell>
          <cell r="G479" t="str">
            <v>P5</v>
          </cell>
          <cell r="H479" t="str">
            <v>Grid-Gen</v>
          </cell>
          <cell r="I479" t="str">
            <v>On Air</v>
          </cell>
          <cell r="J479" t="str">
            <v>Outdoor</v>
          </cell>
          <cell r="K479" t="str">
            <v>AC</v>
          </cell>
          <cell r="L479" t="str">
            <v>Dowen</v>
          </cell>
          <cell r="M479" t="str">
            <v>Ebolowa</v>
          </cell>
          <cell r="N479" t="str">
            <v>MVILLA</v>
          </cell>
          <cell r="O479" t="str">
            <v>Ebolowa 1</v>
          </cell>
          <cell r="P479" t="str">
            <v>Bertrand Deffo</v>
          </cell>
          <cell r="Q479">
            <v>677549913</v>
          </cell>
          <cell r="R479">
            <v>655999890</v>
          </cell>
          <cell r="S479" t="str">
            <v>Stephane KETCHOUANG</v>
          </cell>
          <cell r="T479" t="str">
            <v>GEORGES NAKHOUL</v>
          </cell>
          <cell r="U479" t="str">
            <v>I H S</v>
          </cell>
        </row>
        <row r="480">
          <cell r="A480" t="str">
            <v>SUD_263</v>
          </cell>
          <cell r="B480" t="str">
            <v>IHS_EBO_003</v>
          </cell>
          <cell r="C480" t="str">
            <v>SUD_263</v>
          </cell>
          <cell r="D480" t="str">
            <v>South/East</v>
          </cell>
          <cell r="E480" t="str">
            <v>South</v>
          </cell>
          <cell r="F480" t="str">
            <v>Ebolowa-Si-MTN</v>
          </cell>
          <cell r="G480" t="str">
            <v>P5</v>
          </cell>
          <cell r="H480" t="str">
            <v>Grid-Gen</v>
          </cell>
          <cell r="I480" t="str">
            <v>On Air</v>
          </cell>
          <cell r="J480" t="str">
            <v>Outdoor</v>
          </cell>
          <cell r="K480" t="str">
            <v>AC</v>
          </cell>
          <cell r="L480" t="str">
            <v>Dowen</v>
          </cell>
          <cell r="M480" t="str">
            <v>Ebolowa</v>
          </cell>
          <cell r="N480" t="str">
            <v>MVILLA</v>
          </cell>
          <cell r="O480" t="str">
            <v>Ebolowa 1</v>
          </cell>
          <cell r="P480" t="str">
            <v>Bertrand Deffo</v>
          </cell>
          <cell r="Q480">
            <v>677549913</v>
          </cell>
          <cell r="R480">
            <v>655999890</v>
          </cell>
          <cell r="S480" t="str">
            <v>Stephane KETCHOUANG</v>
          </cell>
          <cell r="T480" t="str">
            <v>GEORGES NAKHOUL</v>
          </cell>
          <cell r="U480" t="str">
            <v>I H S</v>
          </cell>
        </row>
        <row r="481">
          <cell r="A481" t="str">
            <v>SUD_082</v>
          </cell>
          <cell r="B481" t="str">
            <v>IHS_EBO_008</v>
          </cell>
          <cell r="C481" t="str">
            <v>SUD_082</v>
          </cell>
          <cell r="D481" t="str">
            <v>South/East</v>
          </cell>
          <cell r="E481" t="str">
            <v>South</v>
          </cell>
          <cell r="F481" t="str">
            <v>Ebolowa-Makalat-IHS</v>
          </cell>
          <cell r="G481" t="str">
            <v>P5</v>
          </cell>
          <cell r="H481" t="str">
            <v>Grid-Gen</v>
          </cell>
          <cell r="I481" t="str">
            <v>On Air</v>
          </cell>
          <cell r="J481" t="str">
            <v>Outdoor</v>
          </cell>
          <cell r="K481" t="str">
            <v>AC</v>
          </cell>
          <cell r="L481" t="str">
            <v>Dowen</v>
          </cell>
          <cell r="M481" t="str">
            <v>Ebolowa</v>
          </cell>
          <cell r="N481" t="str">
            <v>MVILLA</v>
          </cell>
          <cell r="O481" t="str">
            <v>Ebolowa 2</v>
          </cell>
          <cell r="P481" t="str">
            <v>Bertrand Deffo</v>
          </cell>
          <cell r="Q481">
            <v>677549913</v>
          </cell>
          <cell r="R481">
            <v>655999890</v>
          </cell>
          <cell r="S481" t="str">
            <v>Stephane KETCHOUANG</v>
          </cell>
          <cell r="T481" t="str">
            <v>GEORGES NAKHOUL</v>
          </cell>
          <cell r="U481" t="str">
            <v>I H S</v>
          </cell>
        </row>
        <row r="482">
          <cell r="A482" t="str">
            <v>SUD_255</v>
          </cell>
          <cell r="B482" t="str">
            <v>IHS_EBO_010</v>
          </cell>
          <cell r="C482" t="str">
            <v>SUD_255</v>
          </cell>
          <cell r="D482" t="str">
            <v>South/East</v>
          </cell>
          <cell r="E482" t="str">
            <v>South</v>
          </cell>
          <cell r="F482" t="str">
            <v>Ke-Eke-MTN</v>
          </cell>
          <cell r="G482" t="str">
            <v>P5</v>
          </cell>
          <cell r="H482" t="str">
            <v>Grid-Gen</v>
          </cell>
          <cell r="I482" t="str">
            <v>On Air</v>
          </cell>
          <cell r="J482" t="str">
            <v>Outdoor</v>
          </cell>
          <cell r="K482" t="str">
            <v>AC</v>
          </cell>
          <cell r="L482" t="str">
            <v>Dowen</v>
          </cell>
          <cell r="M482" t="str">
            <v>Ebolowa</v>
          </cell>
          <cell r="N482" t="str">
            <v>MVILLA</v>
          </cell>
          <cell r="O482" t="str">
            <v>Ebolowa 2</v>
          </cell>
          <cell r="P482" t="str">
            <v>Bertrand Deffo</v>
          </cell>
          <cell r="Q482">
            <v>677549913</v>
          </cell>
          <cell r="R482">
            <v>655999890</v>
          </cell>
          <cell r="S482" t="str">
            <v>Stephane KETCHOUANG</v>
          </cell>
          <cell r="T482" t="str">
            <v>GEORGES NAKHOUL</v>
          </cell>
          <cell r="U482" t="str">
            <v>I H S</v>
          </cell>
        </row>
        <row r="483">
          <cell r="A483" t="str">
            <v>SUD_044</v>
          </cell>
          <cell r="B483" t="str">
            <v>IHS_EBO_023</v>
          </cell>
          <cell r="C483" t="str">
            <v>SUD_044</v>
          </cell>
          <cell r="D483" t="str">
            <v>South/East</v>
          </cell>
          <cell r="E483" t="str">
            <v>South</v>
          </cell>
          <cell r="F483" t="str">
            <v>Abang-Minko-IHS</v>
          </cell>
          <cell r="G483" t="str">
            <v>P5</v>
          </cell>
          <cell r="H483" t="str">
            <v>Solar-Gen</v>
          </cell>
          <cell r="I483" t="str">
            <v>On Air</v>
          </cell>
          <cell r="J483" t="str">
            <v>Outdoor</v>
          </cell>
          <cell r="K483" t="str">
            <v>AC</v>
          </cell>
          <cell r="L483" t="str">
            <v>Dowen</v>
          </cell>
          <cell r="M483" t="str">
            <v>Ebolowa</v>
          </cell>
          <cell r="N483" t="str">
            <v>NTEM</v>
          </cell>
          <cell r="O483" t="str">
            <v>Ambam</v>
          </cell>
          <cell r="P483" t="str">
            <v>Bertrand Deffo</v>
          </cell>
          <cell r="Q483">
            <v>677549913</v>
          </cell>
          <cell r="R483">
            <v>655999890</v>
          </cell>
          <cell r="S483" t="str">
            <v>Stephane KETCHOUANG</v>
          </cell>
          <cell r="T483" t="str">
            <v>GEORGES NAKHOUL</v>
          </cell>
          <cell r="U483" t="str">
            <v>I H S</v>
          </cell>
        </row>
        <row r="484">
          <cell r="A484" t="str">
            <v>SUD_111</v>
          </cell>
          <cell r="B484" t="str">
            <v>IHS_SGM_027</v>
          </cell>
          <cell r="C484" t="str">
            <v>SUD_111</v>
          </cell>
          <cell r="D484" t="str">
            <v>South/East</v>
          </cell>
          <cell r="E484" t="str">
            <v>South</v>
          </cell>
          <cell r="F484" t="str">
            <v>Nkolmeyos</v>
          </cell>
          <cell r="G484" t="str">
            <v>P4</v>
          </cell>
          <cell r="H484" t="str">
            <v>Hybrid-Gen</v>
          </cell>
          <cell r="I484" t="str">
            <v>On Air</v>
          </cell>
          <cell r="J484" t="str">
            <v>Outdoor</v>
          </cell>
          <cell r="K484" t="str">
            <v>AC</v>
          </cell>
          <cell r="L484" t="str">
            <v>Dowen</v>
          </cell>
          <cell r="M484" t="str">
            <v>Ebolowa</v>
          </cell>
          <cell r="N484" t="str">
            <v>OCEAN</v>
          </cell>
          <cell r="O484" t="str">
            <v>Akom 2</v>
          </cell>
          <cell r="P484" t="str">
            <v>Bertrand Deffo</v>
          </cell>
          <cell r="Q484">
            <v>677549913</v>
          </cell>
          <cell r="R484">
            <v>655999890</v>
          </cell>
          <cell r="S484" t="str">
            <v>Stephane KETCHOUANG</v>
          </cell>
          <cell r="T484" t="str">
            <v>GEORGES NAKHOUL</v>
          </cell>
          <cell r="U484" t="str">
            <v>I H S</v>
          </cell>
        </row>
        <row r="485">
          <cell r="A485" t="str">
            <v>CTR_005</v>
          </cell>
          <cell r="B485" t="str">
            <v>IHS_YND_374</v>
          </cell>
          <cell r="C485" t="str">
            <v>CTR_005</v>
          </cell>
          <cell r="D485" t="str">
            <v>Center</v>
          </cell>
          <cell r="E485" t="str">
            <v>Center</v>
          </cell>
          <cell r="F485" t="str">
            <v>Matomb</v>
          </cell>
          <cell r="G485" t="str">
            <v>P2</v>
          </cell>
          <cell r="H485" t="str">
            <v>Grid-Gen</v>
          </cell>
          <cell r="I485" t="str">
            <v>On Air</v>
          </cell>
          <cell r="J485" t="str">
            <v>Indoor</v>
          </cell>
          <cell r="K485" t="str">
            <v>AC</v>
          </cell>
          <cell r="L485" t="str">
            <v>SAGEMCOM</v>
          </cell>
          <cell r="M485" t="str">
            <v>Barriere / Namayos</v>
          </cell>
          <cell r="N485" t="str">
            <v>NYONG-ET-KELLE</v>
          </cell>
          <cell r="O485" t="str">
            <v>MAKAK</v>
          </cell>
          <cell r="P485" t="str">
            <v>Bruno Ewane</v>
          </cell>
          <cell r="Q485">
            <v>670237379</v>
          </cell>
          <cell r="R485">
            <v>656072658</v>
          </cell>
          <cell r="S485" t="str">
            <v>Desire Moussinga</v>
          </cell>
          <cell r="T485" t="str">
            <v>Valeur HOUELL</v>
          </cell>
          <cell r="U485" t="str">
            <v>I H S</v>
          </cell>
        </row>
        <row r="486">
          <cell r="A486" t="str">
            <v>CTR_063</v>
          </cell>
          <cell r="B486" t="str">
            <v>IHS_YND_365</v>
          </cell>
          <cell r="C486" t="str">
            <v>CTR_063</v>
          </cell>
          <cell r="D486" t="str">
            <v>Center</v>
          </cell>
          <cell r="E486" t="str">
            <v>Center</v>
          </cell>
          <cell r="F486" t="str">
            <v>Akono</v>
          </cell>
          <cell r="G486" t="str">
            <v>P2</v>
          </cell>
          <cell r="H486" t="str">
            <v>Grid-Gen</v>
          </cell>
          <cell r="I486" t="str">
            <v>On Air</v>
          </cell>
          <cell r="J486" t="str">
            <v>Indoor</v>
          </cell>
          <cell r="K486" t="str">
            <v>AC</v>
          </cell>
          <cell r="L486" t="str">
            <v>SAGEMCOM</v>
          </cell>
          <cell r="M486" t="str">
            <v>Barriere / Namayos</v>
          </cell>
          <cell r="N486" t="str">
            <v>MEFOU-ET-AKONO</v>
          </cell>
          <cell r="O486" t="str">
            <v>AKONO</v>
          </cell>
          <cell r="P486" t="str">
            <v>Bruno Ewane</v>
          </cell>
          <cell r="Q486">
            <v>670237379</v>
          </cell>
          <cell r="R486">
            <v>656072658</v>
          </cell>
          <cell r="S486" t="str">
            <v>Desire Moussinga</v>
          </cell>
          <cell r="T486" t="str">
            <v>Valeur HOUELL</v>
          </cell>
          <cell r="U486" t="str">
            <v>I H S</v>
          </cell>
        </row>
        <row r="487">
          <cell r="A487" t="str">
            <v>CTR_062</v>
          </cell>
          <cell r="B487" t="str">
            <v>IHS_YND_310</v>
          </cell>
          <cell r="C487" t="str">
            <v>CTR_062</v>
          </cell>
          <cell r="D487" t="str">
            <v>Center</v>
          </cell>
          <cell r="E487" t="str">
            <v>Center</v>
          </cell>
          <cell r="F487" t="str">
            <v>Nomayos</v>
          </cell>
          <cell r="G487" t="str">
            <v>P2</v>
          </cell>
          <cell r="H487" t="str">
            <v>Grid-Gen</v>
          </cell>
          <cell r="I487" t="str">
            <v>On Air</v>
          </cell>
          <cell r="J487" t="str">
            <v>Indoor</v>
          </cell>
          <cell r="K487" t="str">
            <v>AC</v>
          </cell>
          <cell r="L487" t="str">
            <v>SAGEMCOM</v>
          </cell>
          <cell r="M487" t="str">
            <v>Mendong</v>
          </cell>
          <cell r="N487" t="str">
            <v>MEFOU-ET-AKONO</v>
          </cell>
          <cell r="O487" t="str">
            <v>YAOUNDE 3</v>
          </cell>
          <cell r="P487" t="str">
            <v>Bruno Ewane</v>
          </cell>
          <cell r="Q487">
            <v>670237379</v>
          </cell>
          <cell r="R487">
            <v>656072658</v>
          </cell>
          <cell r="S487" t="str">
            <v>Desire Moussinga</v>
          </cell>
          <cell r="T487" t="str">
            <v>Valeur HOUELL</v>
          </cell>
          <cell r="U487" t="str">
            <v>I H S</v>
          </cell>
        </row>
        <row r="488">
          <cell r="A488" t="str">
            <v>CTR_541</v>
          </cell>
          <cell r="B488" t="str">
            <v>IHS_YND_330</v>
          </cell>
          <cell r="C488" t="str">
            <v>CTR_541</v>
          </cell>
          <cell r="D488" t="str">
            <v>Center</v>
          </cell>
          <cell r="E488" t="str">
            <v>Center</v>
          </cell>
          <cell r="F488" t="str">
            <v>Mbankomo</v>
          </cell>
          <cell r="G488" t="str">
            <v>P2</v>
          </cell>
          <cell r="H488" t="str">
            <v>Grid-Gen</v>
          </cell>
          <cell r="I488" t="str">
            <v>On Air</v>
          </cell>
          <cell r="J488" t="str">
            <v>Outdoor</v>
          </cell>
          <cell r="K488" t="str">
            <v>AC</v>
          </cell>
          <cell r="L488" t="str">
            <v>SAGEMCOM</v>
          </cell>
          <cell r="M488" t="str">
            <v>Barriere / Namayos</v>
          </cell>
          <cell r="N488" t="str">
            <v>MEFOU-ET-AKONO</v>
          </cell>
          <cell r="O488" t="str">
            <v>MBANKOMO</v>
          </cell>
          <cell r="P488" t="str">
            <v>Bruno Ewane</v>
          </cell>
          <cell r="Q488">
            <v>670237379</v>
          </cell>
          <cell r="R488">
            <v>656072658</v>
          </cell>
          <cell r="S488" t="str">
            <v>Desire Moussinga</v>
          </cell>
          <cell r="T488" t="str">
            <v>Valeur HOUELL</v>
          </cell>
          <cell r="U488" t="str">
            <v>I H S</v>
          </cell>
        </row>
        <row r="489">
          <cell r="A489" t="str">
            <v>CTR_528</v>
          </cell>
          <cell r="B489" t="str">
            <v>IHS_YND_695</v>
          </cell>
          <cell r="C489" t="str">
            <v>CTR_528</v>
          </cell>
          <cell r="D489" t="str">
            <v>Center</v>
          </cell>
          <cell r="E489" t="str">
            <v>Center</v>
          </cell>
          <cell r="F489" t="str">
            <v>Mbankomo IHS</v>
          </cell>
          <cell r="G489" t="str">
            <v>P3</v>
          </cell>
          <cell r="H489" t="str">
            <v>Grid-Gen</v>
          </cell>
          <cell r="I489" t="str">
            <v>On Air</v>
          </cell>
          <cell r="J489" t="str">
            <v>Outdoor</v>
          </cell>
          <cell r="K489" t="str">
            <v>AC</v>
          </cell>
          <cell r="L489" t="str">
            <v>SAGEMCOM</v>
          </cell>
          <cell r="M489" t="str">
            <v>Barriere / Namayos</v>
          </cell>
          <cell r="N489" t="str">
            <v>MEFOU-ET-AKONO</v>
          </cell>
          <cell r="O489" t="str">
            <v>MBANKOMO</v>
          </cell>
          <cell r="P489" t="str">
            <v>Bruno Ewane</v>
          </cell>
          <cell r="Q489">
            <v>670237379</v>
          </cell>
          <cell r="R489">
            <v>656072658</v>
          </cell>
          <cell r="S489" t="str">
            <v>Desire Moussinga</v>
          </cell>
          <cell r="T489" t="str">
            <v>Valeur HOUELL</v>
          </cell>
          <cell r="U489" t="str">
            <v>I H S</v>
          </cell>
        </row>
        <row r="490">
          <cell r="A490" t="str">
            <v>CTR_527</v>
          </cell>
          <cell r="B490" t="str">
            <v>IHS_YND_697</v>
          </cell>
          <cell r="C490" t="str">
            <v>CTR_527</v>
          </cell>
          <cell r="D490" t="str">
            <v>Center</v>
          </cell>
          <cell r="E490" t="str">
            <v>Center</v>
          </cell>
          <cell r="F490" t="str">
            <v>Nomayos-IHS</v>
          </cell>
          <cell r="G490" t="str">
            <v>P3</v>
          </cell>
          <cell r="H490" t="str">
            <v>Grid-Gen</v>
          </cell>
          <cell r="I490" t="str">
            <v>On Air</v>
          </cell>
          <cell r="J490" t="str">
            <v>Outdoor</v>
          </cell>
          <cell r="K490" t="str">
            <v>AC</v>
          </cell>
          <cell r="L490" t="str">
            <v>SAGEMCOM</v>
          </cell>
          <cell r="M490" t="str">
            <v>Barriere / Namayos</v>
          </cell>
          <cell r="N490" t="str">
            <v>MEFOU-ET-AKONO</v>
          </cell>
          <cell r="O490" t="str">
            <v>MBANKOMO</v>
          </cell>
          <cell r="P490" t="str">
            <v>Bruno Ewane</v>
          </cell>
          <cell r="Q490">
            <v>670237379</v>
          </cell>
          <cell r="R490">
            <v>656072658</v>
          </cell>
          <cell r="S490" t="str">
            <v>Desire Moussinga</v>
          </cell>
          <cell r="T490" t="str">
            <v>Valeur HOUELL</v>
          </cell>
          <cell r="U490" t="str">
            <v>I H S</v>
          </cell>
        </row>
        <row r="491">
          <cell r="A491" t="str">
            <v>CTR_320</v>
          </cell>
          <cell r="B491" t="str">
            <v>IHS_YND_282</v>
          </cell>
          <cell r="C491" t="str">
            <v>CTR_320</v>
          </cell>
          <cell r="D491" t="str">
            <v>Center</v>
          </cell>
          <cell r="E491" t="str">
            <v>Center</v>
          </cell>
          <cell r="F491" t="str">
            <v>Meyo</v>
          </cell>
          <cell r="G491" t="str">
            <v>P3</v>
          </cell>
          <cell r="H491" t="str">
            <v>Grid-Gen</v>
          </cell>
          <cell r="I491" t="str">
            <v>On Air</v>
          </cell>
          <cell r="J491" t="str">
            <v>Outdoor</v>
          </cell>
          <cell r="K491" t="str">
            <v>AC</v>
          </cell>
          <cell r="L491" t="str">
            <v>SAGEMCOM</v>
          </cell>
          <cell r="M491" t="str">
            <v>Mendong</v>
          </cell>
          <cell r="N491" t="str">
            <v>MFOUNDI</v>
          </cell>
          <cell r="O491" t="str">
            <v>YAOUNDE 3</v>
          </cell>
          <cell r="P491" t="str">
            <v>Bruno Ewane</v>
          </cell>
          <cell r="Q491">
            <v>670237379</v>
          </cell>
          <cell r="R491">
            <v>656072658</v>
          </cell>
          <cell r="S491" t="str">
            <v>Desire Moussinga</v>
          </cell>
          <cell r="T491" t="str">
            <v>Valeur HOUELL</v>
          </cell>
          <cell r="U491" t="str">
            <v>I H S</v>
          </cell>
        </row>
        <row r="492">
          <cell r="A492" t="str">
            <v>CTR_202</v>
          </cell>
          <cell r="B492" t="str">
            <v>IHS_YND_370</v>
          </cell>
          <cell r="C492" t="str">
            <v>CTR_202</v>
          </cell>
          <cell r="D492" t="str">
            <v>Center</v>
          </cell>
          <cell r="E492" t="str">
            <v>Center</v>
          </cell>
          <cell r="F492" t="str">
            <v>Mom</v>
          </cell>
          <cell r="G492" t="str">
            <v>P3</v>
          </cell>
          <cell r="H492" t="str">
            <v>Grid-Gen</v>
          </cell>
          <cell r="I492" t="str">
            <v>On Air</v>
          </cell>
          <cell r="J492" t="str">
            <v>Outdoor</v>
          </cell>
          <cell r="K492" t="str">
            <v>AC</v>
          </cell>
          <cell r="L492" t="str">
            <v>SAGEMCOM</v>
          </cell>
          <cell r="M492" t="str">
            <v>Barriere / Namayos</v>
          </cell>
          <cell r="N492" t="str">
            <v>NYONG-ET-KELLE</v>
          </cell>
          <cell r="O492" t="str">
            <v>MAKAK</v>
          </cell>
          <cell r="P492" t="str">
            <v>Bruno Ewane</v>
          </cell>
          <cell r="Q492">
            <v>670237379</v>
          </cell>
          <cell r="R492">
            <v>656072658</v>
          </cell>
          <cell r="S492" t="str">
            <v>Desire Moussinga</v>
          </cell>
          <cell r="T492" t="str">
            <v>Valeur HOUELL</v>
          </cell>
          <cell r="U492" t="str">
            <v>I H S</v>
          </cell>
        </row>
        <row r="493">
          <cell r="A493" t="str">
            <v>CTR_195</v>
          </cell>
          <cell r="B493" t="str">
            <v>IHS_YND_165</v>
          </cell>
          <cell r="C493" t="str">
            <v>CTR_195</v>
          </cell>
          <cell r="D493" t="str">
            <v>Center</v>
          </cell>
          <cell r="E493" t="str">
            <v>Center</v>
          </cell>
          <cell r="F493" t="str">
            <v>Ahala</v>
          </cell>
          <cell r="G493" t="str">
            <v>P3</v>
          </cell>
          <cell r="H493" t="str">
            <v>Grid-Gen</v>
          </cell>
          <cell r="I493" t="str">
            <v>On Air</v>
          </cell>
          <cell r="J493" t="str">
            <v>Outdoor</v>
          </cell>
          <cell r="K493" t="str">
            <v>AC</v>
          </cell>
          <cell r="L493" t="str">
            <v>SAGEMCOM</v>
          </cell>
          <cell r="M493" t="str">
            <v>Mendong</v>
          </cell>
          <cell r="N493" t="str">
            <v>MFOUNDI</v>
          </cell>
          <cell r="O493" t="str">
            <v>YAOUNDE 3</v>
          </cell>
          <cell r="P493" t="str">
            <v>Pascaline MANDA</v>
          </cell>
          <cell r="Q493">
            <v>670237379</v>
          </cell>
          <cell r="R493">
            <v>656072658</v>
          </cell>
          <cell r="S493" t="str">
            <v>Desire Moussinga</v>
          </cell>
          <cell r="T493" t="str">
            <v>Valeur HOUELL</v>
          </cell>
          <cell r="U493" t="str">
            <v>I H S</v>
          </cell>
        </row>
        <row r="494">
          <cell r="A494" t="str">
            <v>CTR_058</v>
          </cell>
          <cell r="B494" t="str">
            <v>IHS_YND_380</v>
          </cell>
          <cell r="C494" t="str">
            <v>CTR_058</v>
          </cell>
          <cell r="D494" t="str">
            <v>Center</v>
          </cell>
          <cell r="E494" t="str">
            <v>Center</v>
          </cell>
          <cell r="F494" t="str">
            <v>Boumnyebel</v>
          </cell>
          <cell r="G494" t="str">
            <v>P3</v>
          </cell>
          <cell r="H494" t="str">
            <v>Grid-Gen</v>
          </cell>
          <cell r="I494" t="str">
            <v>On Air</v>
          </cell>
          <cell r="J494" t="str">
            <v>Indoor</v>
          </cell>
          <cell r="K494" t="str">
            <v>AC</v>
          </cell>
          <cell r="L494" t="str">
            <v>SAGEMCOM</v>
          </cell>
          <cell r="M494" t="str">
            <v>Barriere / Namayos</v>
          </cell>
          <cell r="N494" t="str">
            <v>NYONG-ET-KELLE</v>
          </cell>
          <cell r="O494" t="str">
            <v>ESEKA</v>
          </cell>
          <cell r="P494" t="str">
            <v>Bruno Ewane</v>
          </cell>
          <cell r="Q494">
            <v>670237379</v>
          </cell>
          <cell r="R494">
            <v>656072658</v>
          </cell>
          <cell r="S494" t="str">
            <v>Desire Moussinga</v>
          </cell>
          <cell r="T494" t="str">
            <v>Valeur HOUELL</v>
          </cell>
          <cell r="U494" t="str">
            <v>I H S</v>
          </cell>
        </row>
        <row r="495">
          <cell r="A495" t="str">
            <v>CTR_067</v>
          </cell>
          <cell r="B495" t="str">
            <v>IHS_YND_377</v>
          </cell>
          <cell r="C495" t="str">
            <v>CTR_067</v>
          </cell>
          <cell r="D495" t="str">
            <v>Center</v>
          </cell>
          <cell r="E495" t="str">
            <v>Center</v>
          </cell>
          <cell r="F495" t="str">
            <v>Eseka</v>
          </cell>
          <cell r="G495" t="str">
            <v>P3</v>
          </cell>
          <cell r="H495" t="str">
            <v>Grid-Gen</v>
          </cell>
          <cell r="I495" t="str">
            <v>On Air</v>
          </cell>
          <cell r="J495" t="str">
            <v>Indoor</v>
          </cell>
          <cell r="K495" t="str">
            <v>AC</v>
          </cell>
          <cell r="L495" t="str">
            <v>SAGEMCOM</v>
          </cell>
          <cell r="M495" t="str">
            <v>Barriere / Namayos</v>
          </cell>
          <cell r="N495" t="str">
            <v>NYONG-ET-KELLE</v>
          </cell>
          <cell r="O495" t="str">
            <v>ESEKA</v>
          </cell>
          <cell r="P495" t="str">
            <v>Bruno Ewane</v>
          </cell>
          <cell r="Q495">
            <v>670237379</v>
          </cell>
          <cell r="R495">
            <v>656072658</v>
          </cell>
          <cell r="S495" t="str">
            <v>Desire Moussinga</v>
          </cell>
          <cell r="T495" t="str">
            <v>Valeur HOUELL</v>
          </cell>
          <cell r="U495" t="str">
            <v>I H S</v>
          </cell>
        </row>
        <row r="496">
          <cell r="A496" t="str">
            <v>CTR_201</v>
          </cell>
          <cell r="B496" t="str">
            <v>IHS_YND_368</v>
          </cell>
          <cell r="C496" t="str">
            <v>CTR_201</v>
          </cell>
          <cell r="D496" t="str">
            <v>Center</v>
          </cell>
          <cell r="E496" t="str">
            <v>Center</v>
          </cell>
          <cell r="F496" t="str">
            <v>Otele</v>
          </cell>
          <cell r="G496" t="str">
            <v>P3</v>
          </cell>
          <cell r="H496" t="str">
            <v>Grid-Gen</v>
          </cell>
          <cell r="I496" t="str">
            <v>On Air</v>
          </cell>
          <cell r="J496" t="str">
            <v>Indoor</v>
          </cell>
          <cell r="K496" t="str">
            <v>AC</v>
          </cell>
          <cell r="L496" t="str">
            <v>SAGEMCOM</v>
          </cell>
          <cell r="M496" t="str">
            <v>Barriere / Namayos</v>
          </cell>
          <cell r="N496" t="str">
            <v>MEFOU-ET-AKONO</v>
          </cell>
          <cell r="O496" t="str">
            <v>NGOUMOU</v>
          </cell>
          <cell r="P496" t="str">
            <v>Bruno Ewane</v>
          </cell>
          <cell r="Q496">
            <v>670237379</v>
          </cell>
          <cell r="R496">
            <v>656072658</v>
          </cell>
          <cell r="S496" t="str">
            <v>Desire Moussinga</v>
          </cell>
          <cell r="T496" t="str">
            <v>Valeur HOUELL</v>
          </cell>
          <cell r="U496" t="str">
            <v>I H S</v>
          </cell>
        </row>
        <row r="497">
          <cell r="A497" t="str">
            <v>CTR_242</v>
          </cell>
          <cell r="B497" t="str">
            <v>IHS_YND_059</v>
          </cell>
          <cell r="C497" t="str">
            <v>CTR_242</v>
          </cell>
          <cell r="D497" t="str">
            <v>Center</v>
          </cell>
          <cell r="E497" t="str">
            <v>Center</v>
          </cell>
          <cell r="F497" t="str">
            <v>E-Poste</v>
          </cell>
          <cell r="G497" t="str">
            <v>P3</v>
          </cell>
          <cell r="H497" t="str">
            <v>Grid-Gen</v>
          </cell>
          <cell r="I497" t="str">
            <v>On Air</v>
          </cell>
          <cell r="J497" t="str">
            <v>Indoor</v>
          </cell>
          <cell r="K497" t="str">
            <v>AC</v>
          </cell>
          <cell r="L497" t="str">
            <v>SAGEMCOM</v>
          </cell>
          <cell r="M497" t="str">
            <v>Tsinga</v>
          </cell>
          <cell r="N497" t="str">
            <v>MFOUNDI</v>
          </cell>
          <cell r="O497" t="str">
            <v>YAOUNDE 3</v>
          </cell>
          <cell r="P497" t="str">
            <v>Bruno Ewane</v>
          </cell>
          <cell r="Q497">
            <v>670237379</v>
          </cell>
          <cell r="R497">
            <v>656072658</v>
          </cell>
          <cell r="S497" t="str">
            <v>Desire Moussinga</v>
          </cell>
          <cell r="T497" t="str">
            <v>Valeur HOUELL</v>
          </cell>
          <cell r="U497" t="str">
            <v>I H S</v>
          </cell>
        </row>
        <row r="498">
          <cell r="A498" t="str">
            <v>CTR_323</v>
          </cell>
          <cell r="B498" t="str">
            <v>IHS_YND_043</v>
          </cell>
          <cell r="C498" t="str">
            <v>CTR_323</v>
          </cell>
          <cell r="D498" t="str">
            <v>Center</v>
          </cell>
          <cell r="E498" t="str">
            <v>Center</v>
          </cell>
          <cell r="F498" t="str">
            <v>Emia</v>
          </cell>
          <cell r="G498" t="str">
            <v>P3</v>
          </cell>
          <cell r="H498" t="str">
            <v>Grid Only</v>
          </cell>
          <cell r="I498" t="str">
            <v>On Air</v>
          </cell>
          <cell r="J498" t="str">
            <v>Outdoor</v>
          </cell>
          <cell r="K498" t="str">
            <v>AC</v>
          </cell>
          <cell r="L498" t="str">
            <v>SAGEMCOM</v>
          </cell>
          <cell r="M498" t="str">
            <v>Tsinga</v>
          </cell>
          <cell r="N498" t="str">
            <v>MFOUNDI</v>
          </cell>
          <cell r="O498" t="str">
            <v>YAOUNDE 3</v>
          </cell>
          <cell r="P498" t="str">
            <v>Bruno Ewane</v>
          </cell>
          <cell r="Q498">
            <v>670237379</v>
          </cell>
          <cell r="R498">
            <v>656072658</v>
          </cell>
          <cell r="S498" t="str">
            <v>Desire Moussinga</v>
          </cell>
          <cell r="T498" t="str">
            <v>Valeur HOUELL</v>
          </cell>
          <cell r="U498" t="str">
            <v>I H S</v>
          </cell>
        </row>
        <row r="499">
          <cell r="A499" t="str">
            <v>CTR_012</v>
          </cell>
          <cell r="B499" t="str">
            <v>IHS_YND_152</v>
          </cell>
          <cell r="C499" t="str">
            <v>CTR_012</v>
          </cell>
          <cell r="D499" t="str">
            <v>Center</v>
          </cell>
          <cell r="E499" t="str">
            <v>Center</v>
          </cell>
          <cell r="F499" t="str">
            <v>Rd-Pt-Express</v>
          </cell>
          <cell r="G499" t="str">
            <v>P3</v>
          </cell>
          <cell r="H499" t="str">
            <v>Grid Only</v>
          </cell>
          <cell r="I499" t="str">
            <v>On Air</v>
          </cell>
          <cell r="J499" t="str">
            <v>Indoor</v>
          </cell>
          <cell r="K499" t="str">
            <v>AC</v>
          </cell>
          <cell r="L499" t="str">
            <v>SAGEMCOM</v>
          </cell>
          <cell r="M499" t="str">
            <v>Mendong</v>
          </cell>
          <cell r="N499" t="str">
            <v>MFOUNDI</v>
          </cell>
          <cell r="O499" t="str">
            <v>YAOUNDE 6</v>
          </cell>
          <cell r="P499" t="str">
            <v>Bruno Ewane</v>
          </cell>
          <cell r="Q499">
            <v>670237379</v>
          </cell>
          <cell r="R499">
            <v>656072658</v>
          </cell>
          <cell r="S499" t="str">
            <v>Desire Moussinga</v>
          </cell>
          <cell r="T499" t="str">
            <v>Valeur HOUELL</v>
          </cell>
          <cell r="U499" t="str">
            <v>I H S</v>
          </cell>
        </row>
        <row r="500">
          <cell r="A500" t="str">
            <v>CTR_060</v>
          </cell>
          <cell r="B500" t="str">
            <v>IHS_YND_348</v>
          </cell>
          <cell r="C500" t="str">
            <v>CTR_060</v>
          </cell>
          <cell r="D500" t="str">
            <v>Center</v>
          </cell>
          <cell r="E500" t="str">
            <v>Center</v>
          </cell>
          <cell r="F500" t="str">
            <v>Nkenglikok</v>
          </cell>
          <cell r="G500" t="str">
            <v>P3</v>
          </cell>
          <cell r="H500" t="str">
            <v>Solar-Grid-Gen</v>
          </cell>
          <cell r="I500" t="str">
            <v>On Air</v>
          </cell>
          <cell r="J500" t="str">
            <v>Indoor</v>
          </cell>
          <cell r="K500" t="str">
            <v>AC</v>
          </cell>
          <cell r="L500" t="str">
            <v>SAGEMCOM</v>
          </cell>
          <cell r="M500" t="str">
            <v>Barriere / Namayos</v>
          </cell>
          <cell r="N500" t="str">
            <v>NYONG-ET-KELLE</v>
          </cell>
          <cell r="O500" t="str">
            <v>MAKAK</v>
          </cell>
          <cell r="P500" t="str">
            <v>Bruno Ewane</v>
          </cell>
          <cell r="Q500">
            <v>670237379</v>
          </cell>
          <cell r="R500">
            <v>656072658</v>
          </cell>
          <cell r="S500" t="str">
            <v>Desire Moussinga</v>
          </cell>
          <cell r="T500" t="str">
            <v>Valeur HOUELL</v>
          </cell>
          <cell r="U500" t="str">
            <v>I H S</v>
          </cell>
        </row>
        <row r="501">
          <cell r="A501" t="str">
            <v>CTR_186</v>
          </cell>
          <cell r="B501" t="str">
            <v>IHS_YND_371</v>
          </cell>
          <cell r="C501" t="str">
            <v>CTR_186</v>
          </cell>
          <cell r="D501" t="str">
            <v>Center</v>
          </cell>
          <cell r="E501" t="str">
            <v>Center</v>
          </cell>
          <cell r="F501" t="str">
            <v>Minka-MTN-IHS </v>
          </cell>
          <cell r="G501" t="str">
            <v>P3</v>
          </cell>
          <cell r="H501" t="str">
            <v>Hybrid-Gen</v>
          </cell>
          <cell r="I501" t="str">
            <v>On Air</v>
          </cell>
          <cell r="J501" t="str">
            <v>Outdoor</v>
          </cell>
          <cell r="K501" t="str">
            <v>AC</v>
          </cell>
          <cell r="L501" t="str">
            <v>SAGEMCOM</v>
          </cell>
          <cell r="M501" t="str">
            <v>Barriere / Namayos</v>
          </cell>
          <cell r="N501" t="str">
            <v>NYONG-ET-KELLE</v>
          </cell>
          <cell r="O501" t="str">
            <v>MAKAK</v>
          </cell>
          <cell r="P501" t="str">
            <v>Bruno Ewane</v>
          </cell>
          <cell r="Q501">
            <v>670237379</v>
          </cell>
          <cell r="R501">
            <v>656072658</v>
          </cell>
          <cell r="S501" t="str">
            <v>Desire Moussinga</v>
          </cell>
          <cell r="T501" t="str">
            <v>Valeur HOUELL</v>
          </cell>
          <cell r="U501" t="str">
            <v>I H S</v>
          </cell>
        </row>
        <row r="502">
          <cell r="A502" t="str">
            <v>CTR_164</v>
          </cell>
          <cell r="B502" t="str">
            <v>IHS_YND_257</v>
          </cell>
          <cell r="C502" t="str">
            <v>CTR_164</v>
          </cell>
          <cell r="D502" t="str">
            <v>Center</v>
          </cell>
          <cell r="E502" t="str">
            <v>Center</v>
          </cell>
          <cell r="F502" t="str">
            <v>Ahala</v>
          </cell>
          <cell r="G502" t="str">
            <v>P3</v>
          </cell>
          <cell r="H502" t="str">
            <v>Grid-Gen</v>
          </cell>
          <cell r="I502" t="str">
            <v>On Air</v>
          </cell>
          <cell r="J502" t="str">
            <v>Indoor</v>
          </cell>
          <cell r="K502" t="str">
            <v>AC</v>
          </cell>
          <cell r="L502" t="str">
            <v>SAGEMCOM</v>
          </cell>
          <cell r="M502" t="str">
            <v>Mendong</v>
          </cell>
          <cell r="N502" t="str">
            <v>MFOUNDI</v>
          </cell>
          <cell r="O502" t="str">
            <v>YAOUNDE 3</v>
          </cell>
          <cell r="P502" t="str">
            <v>Pascaline MANDA</v>
          </cell>
          <cell r="Q502">
            <v>670237379</v>
          </cell>
          <cell r="R502">
            <v>656072658</v>
          </cell>
          <cell r="S502" t="str">
            <v>Desire Moussinga</v>
          </cell>
          <cell r="T502" t="str">
            <v>Valeur HOUELL</v>
          </cell>
          <cell r="U502" t="str">
            <v>I H S</v>
          </cell>
        </row>
        <row r="503">
          <cell r="A503" t="str">
            <v>CTR_286</v>
          </cell>
          <cell r="B503" t="str">
            <v>IHS_YND_381</v>
          </cell>
          <cell r="C503" t="str">
            <v>CTR_286</v>
          </cell>
          <cell r="D503" t="str">
            <v>Center</v>
          </cell>
          <cell r="E503" t="str">
            <v>Center</v>
          </cell>
          <cell r="F503" t="str">
            <v>Boumnyebel-MTN</v>
          </cell>
          <cell r="G503" t="str">
            <v>P3</v>
          </cell>
          <cell r="H503" t="str">
            <v>Grid-Gen</v>
          </cell>
          <cell r="I503" t="str">
            <v>On Air</v>
          </cell>
          <cell r="J503" t="str">
            <v>Indoor</v>
          </cell>
          <cell r="K503" t="str">
            <v>AC</v>
          </cell>
          <cell r="L503" t="str">
            <v>SAGEMCOM</v>
          </cell>
          <cell r="M503" t="str">
            <v>Barriere / Namayos</v>
          </cell>
          <cell r="N503" t="str">
            <v>NYONG-ET-KELLE</v>
          </cell>
          <cell r="O503" t="str">
            <v>ESEKA</v>
          </cell>
          <cell r="P503" t="str">
            <v>Bruno Ewane</v>
          </cell>
          <cell r="Q503">
            <v>670237379</v>
          </cell>
          <cell r="R503">
            <v>656072658</v>
          </cell>
          <cell r="S503" t="str">
            <v>Desire Moussinga</v>
          </cell>
          <cell r="T503" t="str">
            <v>Valeur HOUELL</v>
          </cell>
          <cell r="U503" t="str">
            <v>I H S</v>
          </cell>
        </row>
        <row r="504">
          <cell r="A504" t="str">
            <v>CTR_441</v>
          </cell>
          <cell r="B504" t="str">
            <v>IHS_YND_687</v>
          </cell>
          <cell r="C504" t="str">
            <v>CTR_441</v>
          </cell>
          <cell r="D504" t="str">
            <v>Center</v>
          </cell>
          <cell r="E504" t="str">
            <v>Center</v>
          </cell>
          <cell r="F504" t="str">
            <v>OLAMA</v>
          </cell>
          <cell r="G504" t="str">
            <v>P4</v>
          </cell>
          <cell r="H504" t="str">
            <v>Grid-Gen</v>
          </cell>
          <cell r="I504" t="str">
            <v>On Air</v>
          </cell>
          <cell r="J504" t="str">
            <v>Outdoor</v>
          </cell>
          <cell r="K504" t="str">
            <v>AC</v>
          </cell>
          <cell r="L504" t="str">
            <v>SAGEMCOM</v>
          </cell>
          <cell r="M504" t="str">
            <v>Barriere / Namayos</v>
          </cell>
          <cell r="N504" t="str">
            <v>MEFOU-ET-AKONO</v>
          </cell>
          <cell r="O504" t="str">
            <v>AKONO</v>
          </cell>
          <cell r="P504" t="str">
            <v>Bruno Ewane</v>
          </cell>
          <cell r="Q504">
            <v>670237379</v>
          </cell>
          <cell r="R504">
            <v>656072658</v>
          </cell>
          <cell r="S504" t="str">
            <v>Desire Moussinga</v>
          </cell>
          <cell r="T504" t="str">
            <v>Valeur HOUELL</v>
          </cell>
          <cell r="U504" t="str">
            <v>I H S</v>
          </cell>
        </row>
        <row r="505">
          <cell r="A505" t="str">
            <v>CTR_385</v>
          </cell>
          <cell r="B505" t="str">
            <v>IHS_YND_369</v>
          </cell>
          <cell r="C505" t="str">
            <v>CTR_385</v>
          </cell>
          <cell r="D505" t="str">
            <v>Center</v>
          </cell>
          <cell r="E505" t="str">
            <v>Center</v>
          </cell>
          <cell r="F505" t="str">
            <v>Mbeng</v>
          </cell>
          <cell r="G505" t="str">
            <v>P4</v>
          </cell>
          <cell r="H505" t="str">
            <v>Grid-Gen</v>
          </cell>
          <cell r="I505" t="str">
            <v>On Air</v>
          </cell>
          <cell r="J505" t="str">
            <v>Outdoor</v>
          </cell>
          <cell r="K505" t="str">
            <v>AC</v>
          </cell>
          <cell r="L505" t="str">
            <v>SAGEMCOM</v>
          </cell>
          <cell r="M505" t="str">
            <v>Barriere / Namayos</v>
          </cell>
          <cell r="N505" t="str">
            <v>MEFOU-ET-AKONO</v>
          </cell>
          <cell r="O505" t="str">
            <v>AKONO</v>
          </cell>
          <cell r="P505" t="str">
            <v>Bruno Ewane</v>
          </cell>
          <cell r="Q505">
            <v>670237379</v>
          </cell>
          <cell r="R505">
            <v>656072658</v>
          </cell>
          <cell r="S505" t="str">
            <v>Desire Moussinga</v>
          </cell>
          <cell r="T505" t="str">
            <v>Valeur HOUELL</v>
          </cell>
          <cell r="U505" t="str">
            <v>I H S</v>
          </cell>
        </row>
        <row r="506">
          <cell r="A506" t="str">
            <v>CTR_436</v>
          </cell>
          <cell r="B506" t="str">
            <v>IHS_YND_551</v>
          </cell>
          <cell r="C506" t="str">
            <v>CTR_436</v>
          </cell>
          <cell r="D506" t="str">
            <v>Center</v>
          </cell>
          <cell r="E506" t="str">
            <v>Center</v>
          </cell>
          <cell r="F506" t="str">
            <v>AKONGO</v>
          </cell>
          <cell r="G506" t="str">
            <v>P4</v>
          </cell>
          <cell r="H506" t="str">
            <v>Gen Only</v>
          </cell>
          <cell r="I506" t="str">
            <v>On Air</v>
          </cell>
          <cell r="J506" t="str">
            <v>Outdoor</v>
          </cell>
          <cell r="K506" t="str">
            <v>AC</v>
          </cell>
          <cell r="L506" t="str">
            <v>SAGEMCOM</v>
          </cell>
          <cell r="M506" t="str">
            <v>Barriere / Namayos</v>
          </cell>
          <cell r="N506" t="str">
            <v>MEFOU-ET-AKONO</v>
          </cell>
          <cell r="O506" t="str">
            <v>AKONO</v>
          </cell>
          <cell r="P506" t="str">
            <v>Bruno Ewane</v>
          </cell>
          <cell r="Q506">
            <v>670237379</v>
          </cell>
          <cell r="R506">
            <v>656072658</v>
          </cell>
          <cell r="S506" t="str">
            <v>Desire Moussinga</v>
          </cell>
          <cell r="T506" t="str">
            <v>Valeur HOUELL</v>
          </cell>
          <cell r="U506" t="str">
            <v>I H S</v>
          </cell>
        </row>
        <row r="507">
          <cell r="A507" t="str">
            <v>CTR_025</v>
          </cell>
          <cell r="B507" t="str">
            <v>IHS_YND_238</v>
          </cell>
          <cell r="C507" t="str">
            <v>CTR_025</v>
          </cell>
          <cell r="D507" t="str">
            <v>Center</v>
          </cell>
          <cell r="E507" t="str">
            <v>Center</v>
          </cell>
          <cell r="F507" t="str">
            <v>Mendong</v>
          </cell>
          <cell r="G507" t="str">
            <v>P4</v>
          </cell>
          <cell r="H507" t="str">
            <v>Grid-Gen</v>
          </cell>
          <cell r="I507" t="str">
            <v>On Air</v>
          </cell>
          <cell r="J507" t="str">
            <v>Indoor</v>
          </cell>
          <cell r="K507" t="str">
            <v>AC</v>
          </cell>
          <cell r="L507" t="str">
            <v>SAGEMCOM</v>
          </cell>
          <cell r="M507" t="str">
            <v>Mendong</v>
          </cell>
          <cell r="N507" t="str">
            <v>MFOUNDI</v>
          </cell>
          <cell r="O507" t="str">
            <v>YAOUNDE 6</v>
          </cell>
          <cell r="P507" t="str">
            <v>Bruno Ewane</v>
          </cell>
          <cell r="Q507">
            <v>670237379</v>
          </cell>
          <cell r="R507">
            <v>656072658</v>
          </cell>
          <cell r="S507" t="str">
            <v>Desire Moussinga</v>
          </cell>
          <cell r="T507" t="str">
            <v>Valeur HOUELL</v>
          </cell>
          <cell r="U507" t="str">
            <v>I H S</v>
          </cell>
        </row>
        <row r="508">
          <cell r="A508" t="str">
            <v>CTR_339</v>
          </cell>
          <cell r="B508" t="str">
            <v>IHS_YND_073</v>
          </cell>
          <cell r="C508" t="str">
            <v>CTR_339</v>
          </cell>
          <cell r="D508" t="str">
            <v>Center</v>
          </cell>
          <cell r="E508" t="str">
            <v>Center</v>
          </cell>
          <cell r="F508" t="str">
            <v>Chapelle-Obili</v>
          </cell>
          <cell r="G508" t="str">
            <v>P4</v>
          </cell>
          <cell r="H508" t="str">
            <v>Grid-Gen</v>
          </cell>
          <cell r="I508" t="str">
            <v>On Air</v>
          </cell>
          <cell r="J508" t="str">
            <v>Outdoor</v>
          </cell>
          <cell r="K508" t="str">
            <v>AC</v>
          </cell>
          <cell r="L508" t="str">
            <v>SAGEMCOM</v>
          </cell>
          <cell r="M508" t="str">
            <v>Mendong</v>
          </cell>
          <cell r="N508" t="str">
            <v>MFOUNDI</v>
          </cell>
          <cell r="O508" t="str">
            <v>YAOUNDE 3</v>
          </cell>
          <cell r="P508" t="str">
            <v>Bruno Ewane</v>
          </cell>
          <cell r="Q508">
            <v>670237379</v>
          </cell>
          <cell r="R508">
            <v>656072658</v>
          </cell>
          <cell r="S508" t="str">
            <v>Desire Moussinga</v>
          </cell>
          <cell r="T508" t="str">
            <v>Valeur HOUELL</v>
          </cell>
          <cell r="U508" t="str">
            <v>I H S</v>
          </cell>
        </row>
        <row r="509">
          <cell r="A509" t="str">
            <v>CTR_265</v>
          </cell>
          <cell r="B509" t="str">
            <v>IHS_YND_229</v>
          </cell>
          <cell r="C509" t="str">
            <v>CTR_265</v>
          </cell>
          <cell r="D509" t="str">
            <v>Center</v>
          </cell>
          <cell r="E509" t="str">
            <v>Center</v>
          </cell>
          <cell r="F509" t="str">
            <v>CRH-Etoug-Ebe</v>
          </cell>
          <cell r="G509" t="str">
            <v>P4</v>
          </cell>
          <cell r="H509" t="str">
            <v>Grid-Gen</v>
          </cell>
          <cell r="I509" t="str">
            <v>On Air</v>
          </cell>
          <cell r="J509" t="str">
            <v>Outdoor</v>
          </cell>
          <cell r="K509" t="str">
            <v>AC</v>
          </cell>
          <cell r="L509" t="str">
            <v>SAGEMCOM</v>
          </cell>
          <cell r="M509" t="str">
            <v>Nkolbisson</v>
          </cell>
          <cell r="N509" t="str">
            <v>MFOUNDI</v>
          </cell>
          <cell r="O509" t="str">
            <v>YAOUNDE 6</v>
          </cell>
          <cell r="P509" t="str">
            <v>Bruno Ewane</v>
          </cell>
          <cell r="Q509">
            <v>670237379</v>
          </cell>
          <cell r="R509">
            <v>656072658</v>
          </cell>
          <cell r="S509" t="str">
            <v>Desire Moussinga</v>
          </cell>
          <cell r="T509" t="str">
            <v>Valeur HOUELL</v>
          </cell>
          <cell r="U509" t="str">
            <v>I H S</v>
          </cell>
        </row>
        <row r="510">
          <cell r="A510" t="str">
            <v>CTR_189</v>
          </cell>
          <cell r="B510" t="str">
            <v>IHS_YND_422</v>
          </cell>
          <cell r="C510" t="str">
            <v>CTR_189</v>
          </cell>
          <cell r="D510" t="str">
            <v>Center</v>
          </cell>
          <cell r="E510" t="str">
            <v>Center</v>
          </cell>
          <cell r="F510" t="str">
            <v>Botmakak</v>
          </cell>
          <cell r="G510" t="str">
            <v>P4</v>
          </cell>
          <cell r="H510" t="str">
            <v>Grid-Gen</v>
          </cell>
          <cell r="I510" t="str">
            <v>On Air</v>
          </cell>
          <cell r="J510" t="str">
            <v>Outdoor</v>
          </cell>
          <cell r="K510" t="str">
            <v>AC</v>
          </cell>
          <cell r="L510" t="str">
            <v>SAGEMCOM</v>
          </cell>
          <cell r="M510" t="str">
            <v>Barriere / Namayos</v>
          </cell>
          <cell r="N510" t="str">
            <v>NYONG-ET-KELLE</v>
          </cell>
          <cell r="O510" t="str">
            <v>BOT MAKAK</v>
          </cell>
          <cell r="P510" t="str">
            <v>Bruno Ewane</v>
          </cell>
          <cell r="Q510">
            <v>670237379</v>
          </cell>
          <cell r="R510">
            <v>656072658</v>
          </cell>
          <cell r="S510" t="str">
            <v>Desire Moussinga</v>
          </cell>
          <cell r="T510" t="str">
            <v>Valeur HOUELL</v>
          </cell>
          <cell r="U510" t="str">
            <v>I H S</v>
          </cell>
        </row>
        <row r="511">
          <cell r="A511" t="str">
            <v>CTR_116</v>
          </cell>
          <cell r="B511" t="str">
            <v>IHS_YND_339</v>
          </cell>
          <cell r="C511" t="str">
            <v>CTR_116</v>
          </cell>
          <cell r="D511" t="str">
            <v>Center</v>
          </cell>
          <cell r="E511" t="str">
            <v>Center</v>
          </cell>
          <cell r="F511" t="str">
            <v>Ebeba</v>
          </cell>
          <cell r="G511" t="str">
            <v>P4</v>
          </cell>
          <cell r="H511" t="str">
            <v>Grid-Hybrid-Gen</v>
          </cell>
          <cell r="I511" t="str">
            <v>On Air</v>
          </cell>
          <cell r="J511" t="str">
            <v>Indoor</v>
          </cell>
          <cell r="K511" t="str">
            <v>AC</v>
          </cell>
          <cell r="L511" t="str">
            <v>SAGEMCOM</v>
          </cell>
          <cell r="M511" t="str">
            <v>Barriere / Namayos</v>
          </cell>
          <cell r="N511" t="str">
            <v>MEFOU-ET-AKONO</v>
          </cell>
          <cell r="O511" t="str">
            <v>MBANKOMO</v>
          </cell>
          <cell r="P511" t="str">
            <v>Bruno Ewane</v>
          </cell>
          <cell r="Q511">
            <v>670237379</v>
          </cell>
          <cell r="R511">
            <v>656072658</v>
          </cell>
          <cell r="S511" t="str">
            <v>Desire Moussinga</v>
          </cell>
          <cell r="T511" t="str">
            <v>Valeur HOUELL</v>
          </cell>
          <cell r="U511" t="str">
            <v>I H S</v>
          </cell>
        </row>
        <row r="512">
          <cell r="A512" t="str">
            <v>CTR_069</v>
          </cell>
          <cell r="B512" t="str">
            <v>IHS_YND_264</v>
          </cell>
          <cell r="C512" t="str">
            <v>CTR_069</v>
          </cell>
          <cell r="D512" t="str">
            <v>Center</v>
          </cell>
          <cell r="E512" t="str">
            <v>Center</v>
          </cell>
          <cell r="F512" t="str">
            <v>Simbock</v>
          </cell>
          <cell r="G512" t="str">
            <v>P4</v>
          </cell>
          <cell r="H512" t="str">
            <v>Grid-Gen</v>
          </cell>
          <cell r="I512" t="str">
            <v>On Air</v>
          </cell>
          <cell r="J512" t="str">
            <v>Indoor</v>
          </cell>
          <cell r="K512" t="str">
            <v>AC</v>
          </cell>
          <cell r="L512" t="str">
            <v>SAGEMCOM</v>
          </cell>
          <cell r="M512" t="str">
            <v>Mendong</v>
          </cell>
          <cell r="N512" t="str">
            <v>MFOUNDI</v>
          </cell>
          <cell r="O512" t="str">
            <v>YAOUNDE 6</v>
          </cell>
          <cell r="P512" t="str">
            <v>Bruno Ewane</v>
          </cell>
          <cell r="Q512">
            <v>670237379</v>
          </cell>
          <cell r="R512">
            <v>656072658</v>
          </cell>
          <cell r="S512" t="str">
            <v>Desire Moussinga</v>
          </cell>
          <cell r="T512" t="str">
            <v>Valeur HOUELL</v>
          </cell>
          <cell r="U512" t="str">
            <v>I H S</v>
          </cell>
        </row>
        <row r="513">
          <cell r="A513" t="str">
            <v>CTR_425</v>
          </cell>
          <cell r="B513" t="str">
            <v>IHS_YND_141</v>
          </cell>
          <cell r="C513" t="str">
            <v>CTR_425</v>
          </cell>
          <cell r="D513" t="str">
            <v>Center</v>
          </cell>
          <cell r="E513" t="str">
            <v>Center</v>
          </cell>
          <cell r="F513" t="str">
            <v>New-Marche-Melen</v>
          </cell>
          <cell r="G513" t="str">
            <v>P4</v>
          </cell>
          <cell r="H513" t="str">
            <v>Grid-Gen</v>
          </cell>
          <cell r="I513" t="str">
            <v>On Air</v>
          </cell>
          <cell r="J513" t="str">
            <v>Outdoor</v>
          </cell>
          <cell r="K513" t="str">
            <v>AC</v>
          </cell>
          <cell r="L513" t="str">
            <v>SAGEMCOM</v>
          </cell>
          <cell r="M513" t="str">
            <v>Mendong</v>
          </cell>
          <cell r="N513" t="str">
            <v>MFOUNDI</v>
          </cell>
          <cell r="O513" t="str">
            <v>YAOUNDE 6</v>
          </cell>
          <cell r="P513" t="str">
            <v>Bruno Ewane</v>
          </cell>
          <cell r="Q513">
            <v>670237379</v>
          </cell>
          <cell r="R513">
            <v>656072658</v>
          </cell>
          <cell r="S513" t="str">
            <v>Desire Moussinga</v>
          </cell>
          <cell r="T513" t="str">
            <v>Valeur HOUELL</v>
          </cell>
          <cell r="U513" t="str">
            <v>I H S</v>
          </cell>
        </row>
        <row r="514">
          <cell r="A514" t="str">
            <v>CTR_205</v>
          </cell>
          <cell r="B514" t="str">
            <v>IHS_YND_372</v>
          </cell>
          <cell r="C514" t="str">
            <v>CTR_205</v>
          </cell>
          <cell r="D514" t="str">
            <v>Center</v>
          </cell>
          <cell r="E514" t="str">
            <v>Center</v>
          </cell>
          <cell r="F514" t="str">
            <v>Bondjock</v>
          </cell>
          <cell r="G514" t="str">
            <v>P4</v>
          </cell>
          <cell r="H514" t="str">
            <v>Grid-Gen</v>
          </cell>
          <cell r="I514" t="str">
            <v>On Air</v>
          </cell>
          <cell r="J514" t="str">
            <v>Indoor</v>
          </cell>
          <cell r="K514" t="str">
            <v>AC</v>
          </cell>
          <cell r="L514" t="str">
            <v>SAGEMCOM</v>
          </cell>
          <cell r="M514" t="str">
            <v>Barriere / Namayos</v>
          </cell>
          <cell r="N514" t="str">
            <v>NYONG-ET-KELLE</v>
          </cell>
          <cell r="O514" t="str">
            <v>MAKAK</v>
          </cell>
          <cell r="P514" t="str">
            <v>Bruno Ewane</v>
          </cell>
          <cell r="Q514">
            <v>670237379</v>
          </cell>
          <cell r="R514">
            <v>656072658</v>
          </cell>
          <cell r="S514" t="str">
            <v>Desire Moussinga</v>
          </cell>
          <cell r="T514" t="str">
            <v>Valeur HOUELL</v>
          </cell>
          <cell r="U514" t="str">
            <v>I H S</v>
          </cell>
        </row>
        <row r="515">
          <cell r="A515" t="str">
            <v>CTR_237</v>
          </cell>
          <cell r="B515" t="str">
            <v>IHS_YND_261</v>
          </cell>
          <cell r="C515" t="str">
            <v>CTR_237</v>
          </cell>
          <cell r="D515" t="str">
            <v>Center</v>
          </cell>
          <cell r="E515" t="str">
            <v>Center</v>
          </cell>
          <cell r="F515" t="str">
            <v>Barriere</v>
          </cell>
          <cell r="G515" t="str">
            <v>P4</v>
          </cell>
          <cell r="H515" t="str">
            <v>Grid-Gen</v>
          </cell>
          <cell r="I515" t="str">
            <v>On Air</v>
          </cell>
          <cell r="J515" t="str">
            <v>Outdoor</v>
          </cell>
          <cell r="K515" t="str">
            <v>AC</v>
          </cell>
          <cell r="L515" t="str">
            <v>SAGEMCOM</v>
          </cell>
          <cell r="M515" t="str">
            <v>Barriere / Namayos</v>
          </cell>
          <cell r="N515" t="str">
            <v>MFOUNDI</v>
          </cell>
          <cell r="O515" t="str">
            <v>YAOUNDE 6</v>
          </cell>
          <cell r="P515" t="str">
            <v>Bruno Ewane</v>
          </cell>
          <cell r="Q515">
            <v>670237379</v>
          </cell>
          <cell r="R515">
            <v>656072658</v>
          </cell>
          <cell r="S515" t="str">
            <v>Desire Moussinga</v>
          </cell>
          <cell r="T515" t="str">
            <v>Valeur HOUELL</v>
          </cell>
          <cell r="U515" t="str">
            <v>I H S</v>
          </cell>
        </row>
        <row r="516">
          <cell r="A516" t="str">
            <v>CTR_210</v>
          </cell>
          <cell r="B516" t="str">
            <v>IHS_YND_071</v>
          </cell>
          <cell r="C516" t="str">
            <v>CTR_210</v>
          </cell>
          <cell r="D516" t="str">
            <v>Center</v>
          </cell>
          <cell r="E516" t="str">
            <v>Center</v>
          </cell>
          <cell r="F516" t="str">
            <v>Scalom</v>
          </cell>
          <cell r="G516" t="str">
            <v>P4</v>
          </cell>
          <cell r="H516" t="str">
            <v>Grid-Gen</v>
          </cell>
          <cell r="I516" t="str">
            <v>On Air</v>
          </cell>
          <cell r="J516" t="str">
            <v>Outdoor</v>
          </cell>
          <cell r="K516" t="str">
            <v>AC</v>
          </cell>
          <cell r="L516" t="str">
            <v>SAGEMCOM</v>
          </cell>
          <cell r="M516" t="str">
            <v>Mendong</v>
          </cell>
          <cell r="N516" t="str">
            <v>MFOUNDI</v>
          </cell>
          <cell r="O516" t="str">
            <v>YAOUNDE 3</v>
          </cell>
          <cell r="P516" t="str">
            <v>Bruno Ewane</v>
          </cell>
          <cell r="Q516">
            <v>670237379</v>
          </cell>
          <cell r="R516">
            <v>656072658</v>
          </cell>
          <cell r="S516" t="str">
            <v>Desire Moussinga</v>
          </cell>
          <cell r="T516" t="str">
            <v>Valeur HOUELL</v>
          </cell>
          <cell r="U516" t="str">
            <v>I H S</v>
          </cell>
        </row>
        <row r="517">
          <cell r="A517" t="str">
            <v>CTR_253</v>
          </cell>
          <cell r="B517" t="str">
            <v>IHS_YND_258</v>
          </cell>
          <cell r="C517" t="str">
            <v>CTR_253</v>
          </cell>
          <cell r="D517" t="str">
            <v>Center</v>
          </cell>
          <cell r="E517" t="str">
            <v>Center</v>
          </cell>
          <cell r="F517" t="str">
            <v>Mefou-Assi</v>
          </cell>
          <cell r="G517" t="str">
            <v>P4</v>
          </cell>
          <cell r="H517" t="str">
            <v>Grid-Gen</v>
          </cell>
          <cell r="I517" t="str">
            <v>On Air</v>
          </cell>
          <cell r="J517" t="str">
            <v>Outdoor</v>
          </cell>
          <cell r="K517" t="str">
            <v>AC</v>
          </cell>
          <cell r="L517" t="str">
            <v>SAGEMCOM</v>
          </cell>
          <cell r="M517" t="str">
            <v>Mendong</v>
          </cell>
          <cell r="N517" t="str">
            <v>MEFOU-ET-AKONO</v>
          </cell>
          <cell r="O517" t="str">
            <v>YAOUNDE 6</v>
          </cell>
          <cell r="P517" t="str">
            <v>Bruno Ewane</v>
          </cell>
          <cell r="Q517">
            <v>670237379</v>
          </cell>
          <cell r="R517">
            <v>656072658</v>
          </cell>
          <cell r="S517" t="str">
            <v>Desire Moussinga</v>
          </cell>
          <cell r="T517" t="str">
            <v>Valeur HOUELL</v>
          </cell>
          <cell r="U517" t="str">
            <v>I H S</v>
          </cell>
        </row>
        <row r="518">
          <cell r="A518" t="str">
            <v>CTR_149</v>
          </cell>
          <cell r="B518" t="str">
            <v>IHS_YND_517</v>
          </cell>
          <cell r="C518" t="str">
            <v>CTR_149</v>
          </cell>
          <cell r="D518" t="str">
            <v>Center</v>
          </cell>
          <cell r="E518" t="str">
            <v>Center</v>
          </cell>
          <cell r="F518" t="str">
            <v>Montee-Des-Soeurs</v>
          </cell>
          <cell r="G518" t="str">
            <v>P4</v>
          </cell>
          <cell r="H518" t="str">
            <v>Grid-Gen</v>
          </cell>
          <cell r="I518" t="str">
            <v>On Air</v>
          </cell>
          <cell r="J518" t="str">
            <v>Outdoor</v>
          </cell>
          <cell r="K518" t="str">
            <v>AC</v>
          </cell>
          <cell r="L518" t="str">
            <v>SAGEMCOM</v>
          </cell>
          <cell r="M518" t="str">
            <v>Mendong</v>
          </cell>
          <cell r="N518" t="str">
            <v>MFOUNDI</v>
          </cell>
          <cell r="O518" t="str">
            <v>YAOUNDE 6</v>
          </cell>
          <cell r="P518" t="str">
            <v>Bruno Ewane</v>
          </cell>
          <cell r="Q518">
            <v>670237379</v>
          </cell>
          <cell r="R518">
            <v>656072658</v>
          </cell>
          <cell r="S518" t="str">
            <v>Desire Moussinga</v>
          </cell>
          <cell r="T518" t="str">
            <v>Valeur HOUELL</v>
          </cell>
          <cell r="U518" t="str">
            <v>I H S</v>
          </cell>
        </row>
        <row r="519">
          <cell r="A519" t="str">
            <v>CTR_155</v>
          </cell>
          <cell r="B519" t="str">
            <v>IHS_YND_505</v>
          </cell>
          <cell r="C519" t="str">
            <v>CTR_155</v>
          </cell>
          <cell r="D519" t="str">
            <v>Center</v>
          </cell>
          <cell r="E519" t="str">
            <v>Center</v>
          </cell>
          <cell r="F519" t="str">
            <v>Scalom-IHS</v>
          </cell>
          <cell r="G519" t="str">
            <v>P4</v>
          </cell>
          <cell r="H519" t="str">
            <v>Grid Only</v>
          </cell>
          <cell r="I519" t="str">
            <v>On Air</v>
          </cell>
          <cell r="J519" t="str">
            <v>Outdoor</v>
          </cell>
          <cell r="K519" t="str">
            <v>AC</v>
          </cell>
          <cell r="L519" t="str">
            <v>SAGEMCOM</v>
          </cell>
          <cell r="M519" t="str">
            <v>Mendong</v>
          </cell>
          <cell r="N519" t="str">
            <v>MFOUNDI</v>
          </cell>
          <cell r="O519" t="str">
            <v>YAOUNDE 3</v>
          </cell>
          <cell r="P519" t="str">
            <v>Bruno Ewane</v>
          </cell>
          <cell r="Q519">
            <v>670237379</v>
          </cell>
          <cell r="R519">
            <v>656072658</v>
          </cell>
          <cell r="S519" t="str">
            <v>Desire Moussinga</v>
          </cell>
          <cell r="T519" t="str">
            <v>Valeur HOUELL</v>
          </cell>
          <cell r="U519" t="str">
            <v>I H S</v>
          </cell>
        </row>
        <row r="520">
          <cell r="A520" t="str">
            <v>CTR_486</v>
          </cell>
          <cell r="B520" t="str">
            <v>IHS_YND_569</v>
          </cell>
          <cell r="C520" t="str">
            <v>CTR_486</v>
          </cell>
          <cell r="D520" t="str">
            <v>Center</v>
          </cell>
          <cell r="E520" t="str">
            <v>Center</v>
          </cell>
          <cell r="F520" t="str">
            <v>Mendong Maeture</v>
          </cell>
          <cell r="G520" t="str">
            <v>P4</v>
          </cell>
          <cell r="H520" t="str">
            <v>Grid-Gen</v>
          </cell>
          <cell r="I520" t="str">
            <v>On Air</v>
          </cell>
          <cell r="J520" t="str">
            <v>Outdoor</v>
          </cell>
          <cell r="K520" t="str">
            <v>AC</v>
          </cell>
          <cell r="L520" t="str">
            <v>SAGEMCOM</v>
          </cell>
          <cell r="M520" t="str">
            <v>Mendong</v>
          </cell>
          <cell r="N520" t="str">
            <v>MFOUNDI</v>
          </cell>
          <cell r="O520" t="str">
            <v>YAOUNDE 6</v>
          </cell>
          <cell r="P520" t="str">
            <v>Bruno Ewane</v>
          </cell>
          <cell r="Q520">
            <v>670237379</v>
          </cell>
          <cell r="R520">
            <v>656072658</v>
          </cell>
          <cell r="S520" t="str">
            <v>Desire Moussinga</v>
          </cell>
          <cell r="T520" t="str">
            <v>Valeur HOUELL</v>
          </cell>
          <cell r="U520" t="str">
            <v>I H S</v>
          </cell>
        </row>
        <row r="521">
          <cell r="A521" t="str">
            <v>CTR_154</v>
          </cell>
          <cell r="B521" t="str">
            <v>IHS_YND_518</v>
          </cell>
          <cell r="C521" t="str">
            <v>CTR_154</v>
          </cell>
          <cell r="D521" t="str">
            <v>Center</v>
          </cell>
          <cell r="E521" t="str">
            <v>Center</v>
          </cell>
          <cell r="F521" t="str">
            <v>Montee-Jouvence-II</v>
          </cell>
          <cell r="G521" t="str">
            <v>P4</v>
          </cell>
          <cell r="H521" t="str">
            <v>Grid-Gen</v>
          </cell>
          <cell r="I521" t="str">
            <v>On Air</v>
          </cell>
          <cell r="J521" t="str">
            <v>Outdoor</v>
          </cell>
          <cell r="K521" t="str">
            <v>AC</v>
          </cell>
          <cell r="L521" t="str">
            <v>SAGEMCOM</v>
          </cell>
          <cell r="M521" t="str">
            <v>Mendong</v>
          </cell>
          <cell r="N521" t="str">
            <v>MFOUNDI</v>
          </cell>
          <cell r="O521" t="str">
            <v>YAOUNDE 6</v>
          </cell>
          <cell r="P521" t="str">
            <v>Bruno Ewane</v>
          </cell>
          <cell r="Q521">
            <v>670237379</v>
          </cell>
          <cell r="R521">
            <v>656072658</v>
          </cell>
          <cell r="S521" t="str">
            <v>Desire Moussinga</v>
          </cell>
          <cell r="T521" t="str">
            <v>Valeur HOUELL</v>
          </cell>
          <cell r="U521" t="str">
            <v>I H S</v>
          </cell>
        </row>
        <row r="522">
          <cell r="A522" t="str">
            <v>CTR_128</v>
          </cell>
          <cell r="B522" t="str">
            <v>IHS_YND_044</v>
          </cell>
          <cell r="C522" t="str">
            <v>CTR_128</v>
          </cell>
          <cell r="D522" t="str">
            <v>Center</v>
          </cell>
          <cell r="E522" t="str">
            <v>Center</v>
          </cell>
          <cell r="F522" t="str">
            <v>Polytechnique</v>
          </cell>
          <cell r="G522" t="str">
            <v>P4</v>
          </cell>
          <cell r="H522" t="str">
            <v>Grid Only</v>
          </cell>
          <cell r="I522" t="str">
            <v>On Air</v>
          </cell>
          <cell r="J522" t="str">
            <v>Indoor</v>
          </cell>
          <cell r="K522" t="str">
            <v>AC</v>
          </cell>
          <cell r="L522" t="str">
            <v>SAGEMCOM</v>
          </cell>
          <cell r="M522" t="str">
            <v>Mendong</v>
          </cell>
          <cell r="N522" t="str">
            <v>MFOUNDI</v>
          </cell>
          <cell r="O522" t="str">
            <v>YAOUNDE 3</v>
          </cell>
          <cell r="P522" t="str">
            <v>Bruno Ewane</v>
          </cell>
          <cell r="Q522">
            <v>670237379</v>
          </cell>
          <cell r="R522">
            <v>656072658</v>
          </cell>
          <cell r="S522" t="str">
            <v>Desire Moussinga</v>
          </cell>
          <cell r="T522" t="str">
            <v>Valeur HOUELL</v>
          </cell>
          <cell r="U522" t="str">
            <v>I H S</v>
          </cell>
        </row>
        <row r="523">
          <cell r="A523" t="str">
            <v>CTR_482</v>
          </cell>
          <cell r="B523" t="str">
            <v>IHS_YND_562</v>
          </cell>
          <cell r="C523" t="str">
            <v>CTR_482</v>
          </cell>
          <cell r="D523" t="str">
            <v>Center</v>
          </cell>
          <cell r="E523" t="str">
            <v>Center</v>
          </cell>
          <cell r="F523" t="str">
            <v>Accacia New</v>
          </cell>
          <cell r="G523" t="str">
            <v>P4</v>
          </cell>
          <cell r="H523" t="str">
            <v>Grid Only</v>
          </cell>
          <cell r="I523" t="str">
            <v>On Air</v>
          </cell>
          <cell r="J523" t="str">
            <v>Outdoor</v>
          </cell>
          <cell r="K523" t="str">
            <v>AC</v>
          </cell>
          <cell r="L523" t="str">
            <v>SAGEMCOM</v>
          </cell>
          <cell r="M523" t="str">
            <v>Mendong</v>
          </cell>
          <cell r="N523" t="str">
            <v>MFOUNDI</v>
          </cell>
          <cell r="O523" t="str">
            <v>YAOUNDE 6</v>
          </cell>
          <cell r="P523" t="str">
            <v>Bruno Ewane</v>
          </cell>
          <cell r="Q523">
            <v>670237379</v>
          </cell>
          <cell r="R523">
            <v>656072658</v>
          </cell>
          <cell r="S523" t="str">
            <v>Desire Moussinga</v>
          </cell>
          <cell r="T523" t="str">
            <v>Valeur HOUELL</v>
          </cell>
          <cell r="U523" t="str">
            <v>I H S</v>
          </cell>
        </row>
        <row r="524">
          <cell r="A524" t="str">
            <v>CTR_326</v>
          </cell>
          <cell r="B524" t="str">
            <v>IHS_YND_236</v>
          </cell>
          <cell r="C524" t="str">
            <v>CTR_326</v>
          </cell>
          <cell r="D524" t="str">
            <v>Center</v>
          </cell>
          <cell r="E524" t="str">
            <v>Center</v>
          </cell>
          <cell r="F524" t="str">
            <v>Montee-Jouvence</v>
          </cell>
          <cell r="G524" t="str">
            <v>P4</v>
          </cell>
          <cell r="H524" t="str">
            <v>Grid-Gen</v>
          </cell>
          <cell r="I524" t="str">
            <v>On Air</v>
          </cell>
          <cell r="J524" t="str">
            <v>Outdoor</v>
          </cell>
          <cell r="K524" t="str">
            <v>AC</v>
          </cell>
          <cell r="L524" t="str">
            <v>SAGEMCOM</v>
          </cell>
          <cell r="M524" t="str">
            <v>Mendong</v>
          </cell>
          <cell r="N524" t="str">
            <v>MFOUNDI</v>
          </cell>
          <cell r="O524" t="str">
            <v>YAOUNDE 6</v>
          </cell>
          <cell r="P524" t="str">
            <v>Bruno Ewane</v>
          </cell>
          <cell r="Q524">
            <v>670237379</v>
          </cell>
          <cell r="R524">
            <v>656072658</v>
          </cell>
          <cell r="S524" t="str">
            <v>Desire Moussinga</v>
          </cell>
          <cell r="T524" t="str">
            <v>Valeur HOUELL</v>
          </cell>
          <cell r="U524" t="str">
            <v>I H S</v>
          </cell>
        </row>
        <row r="525">
          <cell r="A525" t="str">
            <v>CTR_372</v>
          </cell>
          <cell r="B525" t="str">
            <v>IHS_YND_078</v>
          </cell>
          <cell r="C525" t="str">
            <v>CTR_372</v>
          </cell>
          <cell r="D525" t="str">
            <v>Center</v>
          </cell>
          <cell r="E525" t="str">
            <v>Center</v>
          </cell>
          <cell r="F525" t="str">
            <v>An-Marche-Melen</v>
          </cell>
          <cell r="G525" t="str">
            <v>P4</v>
          </cell>
          <cell r="H525" t="str">
            <v>Grid Only</v>
          </cell>
          <cell r="I525" t="str">
            <v>On Air</v>
          </cell>
          <cell r="J525" t="str">
            <v>Outdoor</v>
          </cell>
          <cell r="K525" t="str">
            <v>AC</v>
          </cell>
          <cell r="L525" t="str">
            <v>SAGEMCOM</v>
          </cell>
          <cell r="M525" t="str">
            <v>Mendong</v>
          </cell>
          <cell r="N525" t="str">
            <v>MFOUNDI</v>
          </cell>
          <cell r="O525" t="str">
            <v>YAOUNDE 3</v>
          </cell>
          <cell r="P525" t="str">
            <v>Bruno Ewane</v>
          </cell>
          <cell r="Q525">
            <v>670237379</v>
          </cell>
          <cell r="R525">
            <v>656072658</v>
          </cell>
          <cell r="S525" t="str">
            <v>Desire Moussinga</v>
          </cell>
          <cell r="T525" t="str">
            <v>Valeur HOUELL</v>
          </cell>
          <cell r="U525" t="str">
            <v>I H S</v>
          </cell>
        </row>
        <row r="526">
          <cell r="A526" t="str">
            <v>CTR_050</v>
          </cell>
          <cell r="B526" t="str">
            <v>IHS_YND_080</v>
          </cell>
          <cell r="C526" t="str">
            <v>CTR_050</v>
          </cell>
          <cell r="D526" t="str">
            <v>Center</v>
          </cell>
          <cell r="E526" t="str">
            <v>Center</v>
          </cell>
          <cell r="F526" t="str">
            <v>Mini-Ferme</v>
          </cell>
          <cell r="G526" t="str">
            <v>P4</v>
          </cell>
          <cell r="H526" t="str">
            <v>Grid Only</v>
          </cell>
          <cell r="I526" t="str">
            <v>On Air</v>
          </cell>
          <cell r="J526" t="str">
            <v>Indoor</v>
          </cell>
          <cell r="K526" t="str">
            <v>AC</v>
          </cell>
          <cell r="L526" t="str">
            <v>SAGEMCOM</v>
          </cell>
          <cell r="M526" t="str">
            <v>Mendong</v>
          </cell>
          <cell r="N526" t="str">
            <v>MFOUNDI</v>
          </cell>
          <cell r="O526" t="str">
            <v>YAOUNDE 3</v>
          </cell>
          <cell r="P526" t="str">
            <v>Bruno Ewane</v>
          </cell>
          <cell r="Q526">
            <v>670237379</v>
          </cell>
          <cell r="R526">
            <v>656072658</v>
          </cell>
          <cell r="S526" t="str">
            <v>Desire Moussinga</v>
          </cell>
          <cell r="T526" t="str">
            <v>Valeur HOUELL</v>
          </cell>
          <cell r="U526" t="str">
            <v>I H S</v>
          </cell>
        </row>
        <row r="527">
          <cell r="A527" t="str">
            <v>CTR_311</v>
          </cell>
          <cell r="B527" t="str">
            <v>IHS_YND_453</v>
          </cell>
          <cell r="C527" t="str">
            <v>CTR_311</v>
          </cell>
          <cell r="D527" t="str">
            <v>Center</v>
          </cell>
          <cell r="E527" t="str">
            <v>Center</v>
          </cell>
          <cell r="F527" t="str">
            <v>Song-bong</v>
          </cell>
          <cell r="G527" t="str">
            <v>P4</v>
          </cell>
          <cell r="H527" t="str">
            <v>Solar-Gen</v>
          </cell>
          <cell r="I527" t="str">
            <v>On Air</v>
          </cell>
          <cell r="J527" t="str">
            <v>Outdoor</v>
          </cell>
          <cell r="K527" t="str">
            <v>AC</v>
          </cell>
          <cell r="L527" t="str">
            <v>SAGEMCOM</v>
          </cell>
          <cell r="M527" t="str">
            <v>Barriere / Namayos</v>
          </cell>
          <cell r="N527" t="str">
            <v>NYONG-ET-KELLE</v>
          </cell>
          <cell r="O527" t="str">
            <v>ESEKA</v>
          </cell>
          <cell r="P527" t="str">
            <v>Bruno Ewane</v>
          </cell>
          <cell r="Q527">
            <v>670237379</v>
          </cell>
          <cell r="R527">
            <v>656072658</v>
          </cell>
          <cell r="S527" t="str">
            <v>Desire Moussinga</v>
          </cell>
          <cell r="T527" t="str">
            <v>Valeur HOUELL</v>
          </cell>
          <cell r="U527" t="str">
            <v>I H S</v>
          </cell>
        </row>
        <row r="528">
          <cell r="A528" t="str">
            <v>CTR_066</v>
          </cell>
          <cell r="B528" t="str">
            <v>IHS_YND_367</v>
          </cell>
          <cell r="C528" t="str">
            <v>CTR_066</v>
          </cell>
          <cell r="D528" t="str">
            <v>Center</v>
          </cell>
          <cell r="E528" t="str">
            <v>Center</v>
          </cell>
          <cell r="F528" t="str">
            <v>Mandoumba</v>
          </cell>
          <cell r="G528" t="str">
            <v>P4</v>
          </cell>
          <cell r="H528" t="str">
            <v>Solar-Grid-Gen</v>
          </cell>
          <cell r="I528" t="str">
            <v>On Air</v>
          </cell>
          <cell r="J528" t="str">
            <v>Indoor</v>
          </cell>
          <cell r="K528" t="str">
            <v>AC</v>
          </cell>
          <cell r="L528" t="str">
            <v>SAGEMCOM</v>
          </cell>
          <cell r="M528" t="str">
            <v>Barriere / Namayos</v>
          </cell>
          <cell r="N528" t="str">
            <v>NYONG-ET-KELLE</v>
          </cell>
          <cell r="O528" t="str">
            <v>MAKAK</v>
          </cell>
          <cell r="P528" t="str">
            <v>Bruno Ewane</v>
          </cell>
          <cell r="Q528">
            <v>670237379</v>
          </cell>
          <cell r="R528">
            <v>656072658</v>
          </cell>
          <cell r="S528" t="str">
            <v>Desire Moussinga</v>
          </cell>
          <cell r="T528" t="str">
            <v>Valeur HOUELL</v>
          </cell>
          <cell r="U528" t="str">
            <v>I H S</v>
          </cell>
        </row>
        <row r="529">
          <cell r="A529" t="str">
            <v>CTR_521</v>
          </cell>
          <cell r="B529" t="str">
            <v>IHS_YND_692</v>
          </cell>
          <cell r="C529" t="str">
            <v>CTR_521</v>
          </cell>
          <cell r="D529" t="str">
            <v>Center</v>
          </cell>
          <cell r="E529" t="str">
            <v>Center</v>
          </cell>
          <cell r="F529" t="str">
            <v>Mendong-Vallee 2 - MTN- IHS</v>
          </cell>
          <cell r="G529" t="str">
            <v>P4</v>
          </cell>
          <cell r="H529" t="str">
            <v>Grid-Gen</v>
          </cell>
          <cell r="I529" t="str">
            <v>On Air</v>
          </cell>
          <cell r="J529" t="str">
            <v>Outdoor</v>
          </cell>
          <cell r="K529" t="str">
            <v>AC</v>
          </cell>
          <cell r="L529" t="str">
            <v>SAGEMCOM</v>
          </cell>
          <cell r="M529" t="str">
            <v>Mendong</v>
          </cell>
          <cell r="N529" t="str">
            <v>MFOUNDI</v>
          </cell>
          <cell r="O529" t="str">
            <v>YAOUNDE 6</v>
          </cell>
          <cell r="P529" t="str">
            <v>Bruno Ewane</v>
          </cell>
          <cell r="Q529">
            <v>670237379</v>
          </cell>
          <cell r="R529">
            <v>656072658</v>
          </cell>
          <cell r="S529" t="str">
            <v>Desire Moussinga</v>
          </cell>
          <cell r="T529" t="str">
            <v>Valeur HOUELL</v>
          </cell>
          <cell r="U529" t="str">
            <v>I H S</v>
          </cell>
        </row>
        <row r="530">
          <cell r="A530" t="str">
            <v>CTR_185</v>
          </cell>
          <cell r="B530" t="str">
            <v>IHS_YND_378</v>
          </cell>
          <cell r="C530" t="str">
            <v>CTR_185</v>
          </cell>
          <cell r="D530" t="str">
            <v>Center</v>
          </cell>
          <cell r="E530" t="str">
            <v>Center</v>
          </cell>
          <cell r="F530" t="str">
            <v>Eseka town</v>
          </cell>
          <cell r="G530" t="str">
            <v>P4</v>
          </cell>
          <cell r="H530" t="str">
            <v>Grid-Gen</v>
          </cell>
          <cell r="I530" t="str">
            <v>On Air</v>
          </cell>
          <cell r="J530" t="str">
            <v>Outdoor</v>
          </cell>
          <cell r="K530" t="str">
            <v>AC</v>
          </cell>
          <cell r="L530" t="str">
            <v>SAGEMCOM</v>
          </cell>
          <cell r="M530" t="str">
            <v>Barriere / Namayos</v>
          </cell>
          <cell r="N530" t="str">
            <v>NYONG-ET-KELLE</v>
          </cell>
          <cell r="O530" t="str">
            <v>ESEKA</v>
          </cell>
          <cell r="P530" t="str">
            <v>Bruno Ewane</v>
          </cell>
          <cell r="Q530">
            <v>670237379</v>
          </cell>
          <cell r="R530">
            <v>656072658</v>
          </cell>
          <cell r="S530" t="str">
            <v>Desire Moussinga</v>
          </cell>
          <cell r="T530" t="str">
            <v>Valeur HOUELL</v>
          </cell>
          <cell r="U530" t="str">
            <v>I H S</v>
          </cell>
        </row>
        <row r="531">
          <cell r="A531" t="str">
            <v>LIT_499</v>
          </cell>
          <cell r="B531" t="str">
            <v>IHS_EDA_056</v>
          </cell>
          <cell r="C531" t="str">
            <v>LIT_499</v>
          </cell>
          <cell r="D531" t="str">
            <v>Center</v>
          </cell>
          <cell r="E531" t="str">
            <v>Center</v>
          </cell>
          <cell r="F531" t="str">
            <v>Ndogbessol</v>
          </cell>
          <cell r="G531" t="str">
            <v>P4</v>
          </cell>
          <cell r="H531" t="str">
            <v>Hybrid-Gen</v>
          </cell>
          <cell r="I531" t="str">
            <v>On Air</v>
          </cell>
          <cell r="J531" t="str">
            <v>Outdoor</v>
          </cell>
          <cell r="K531" t="str">
            <v>AC</v>
          </cell>
          <cell r="L531" t="str">
            <v>SAGEMCOM</v>
          </cell>
          <cell r="M531" t="str">
            <v>Barriere / Namayos</v>
          </cell>
          <cell r="N531" t="str">
            <v>NYONG-ET-KELLE</v>
          </cell>
          <cell r="O531" t="str">
            <v>EDEA</v>
          </cell>
          <cell r="P531" t="str">
            <v>Bruno Ewane</v>
          </cell>
          <cell r="Q531">
            <v>670237379</v>
          </cell>
          <cell r="R531">
            <v>656072658</v>
          </cell>
          <cell r="S531" t="str">
            <v>Desire Moussinga</v>
          </cell>
          <cell r="T531" t="str">
            <v>Valeur HOUELL</v>
          </cell>
          <cell r="U531" t="str">
            <v>I H S</v>
          </cell>
        </row>
        <row r="532">
          <cell r="A532" t="str">
            <v>CTR_401</v>
          </cell>
          <cell r="B532" t="str">
            <v>IHS_YND_041</v>
          </cell>
          <cell r="C532" t="str">
            <v>CTR_401</v>
          </cell>
          <cell r="D532" t="str">
            <v>Center</v>
          </cell>
          <cell r="E532" t="str">
            <v>Center</v>
          </cell>
          <cell r="F532" t="str">
            <v>Lycee-Leclerc-MTN</v>
          </cell>
          <cell r="G532" t="str">
            <v>P4</v>
          </cell>
          <cell r="H532" t="str">
            <v>Grid-Gen</v>
          </cell>
          <cell r="I532" t="str">
            <v>On Air</v>
          </cell>
          <cell r="J532" t="str">
            <v>Indoor</v>
          </cell>
          <cell r="K532" t="str">
            <v>AC</v>
          </cell>
          <cell r="L532" t="str">
            <v>SAGEMCOM</v>
          </cell>
          <cell r="M532" t="str">
            <v>Tsinga</v>
          </cell>
          <cell r="N532" t="str">
            <v>MFOUNDI</v>
          </cell>
          <cell r="O532" t="str">
            <v>YAOUNDE 3</v>
          </cell>
          <cell r="P532" t="str">
            <v>Bruno Ewane</v>
          </cell>
          <cell r="Q532">
            <v>670237379</v>
          </cell>
          <cell r="R532">
            <v>656072658</v>
          </cell>
          <cell r="S532" t="str">
            <v>Desire Moussinga</v>
          </cell>
          <cell r="T532" t="str">
            <v>Valeur HOUELL</v>
          </cell>
          <cell r="U532" t="str">
            <v>I H S</v>
          </cell>
        </row>
        <row r="533">
          <cell r="A533" t="str">
            <v>CTR_447</v>
          </cell>
          <cell r="B533" t="str">
            <v>IHS_YND_061</v>
          </cell>
          <cell r="C533" t="str">
            <v>CTR_447</v>
          </cell>
          <cell r="D533" t="str">
            <v>Center</v>
          </cell>
          <cell r="E533" t="str">
            <v>Center</v>
          </cell>
          <cell r="F533" t="str">
            <v>Yaounde University T0</v>
          </cell>
          <cell r="G533" t="str">
            <v>P4</v>
          </cell>
          <cell r="H533" t="str">
            <v>Grid-Gen</v>
          </cell>
          <cell r="I533" t="str">
            <v>On Air</v>
          </cell>
          <cell r="J533" t="str">
            <v>Outdoor</v>
          </cell>
          <cell r="K533" t="str">
            <v>AC</v>
          </cell>
          <cell r="L533" t="str">
            <v>SAGEMCOM</v>
          </cell>
          <cell r="M533" t="str">
            <v>Tsinga</v>
          </cell>
          <cell r="N533" t="str">
            <v>MFOUNDI</v>
          </cell>
          <cell r="O533" t="str">
            <v>YAOUNDE 3</v>
          </cell>
          <cell r="P533" t="str">
            <v>Bruno Ewane</v>
          </cell>
          <cell r="Q533">
            <v>670237379</v>
          </cell>
          <cell r="R533">
            <v>656072658</v>
          </cell>
          <cell r="S533" t="str">
            <v>Desire Moussinga</v>
          </cell>
          <cell r="T533" t="str">
            <v>Valeur HOUELL</v>
          </cell>
          <cell r="U533" t="str">
            <v>I H S</v>
          </cell>
        </row>
        <row r="534">
          <cell r="A534" t="str">
            <v>CTR_548</v>
          </cell>
          <cell r="B534" t="str">
            <v>IHS_YND_032</v>
          </cell>
          <cell r="C534" t="str">
            <v>CTR_548</v>
          </cell>
          <cell r="D534" t="str">
            <v>Center</v>
          </cell>
          <cell r="E534" t="str">
            <v>Center</v>
          </cell>
          <cell r="F534" t="str">
            <v>LAC-New</v>
          </cell>
          <cell r="G534" t="str">
            <v>P4</v>
          </cell>
          <cell r="H534" t="str">
            <v>Grid-Gen</v>
          </cell>
          <cell r="I534" t="str">
            <v>On Air</v>
          </cell>
          <cell r="J534" t="str">
            <v>Indoor</v>
          </cell>
          <cell r="K534" t="str">
            <v>AC</v>
          </cell>
          <cell r="L534" t="str">
            <v>SAGEMCOM</v>
          </cell>
          <cell r="M534" t="str">
            <v>Tsinga</v>
          </cell>
          <cell r="N534" t="str">
            <v>MFOUNDI</v>
          </cell>
          <cell r="O534" t="str">
            <v>YAOUNDE 3</v>
          </cell>
          <cell r="P534" t="str">
            <v>Bruno Ewane</v>
          </cell>
          <cell r="Q534">
            <v>670237379</v>
          </cell>
          <cell r="R534">
            <v>656072658</v>
          </cell>
          <cell r="S534" t="str">
            <v>Desire Moussinga</v>
          </cell>
          <cell r="T534" t="str">
            <v>Valeur HOUELL</v>
          </cell>
          <cell r="U534" t="str">
            <v>I H S</v>
          </cell>
        </row>
        <row r="535">
          <cell r="A535" t="str">
            <v>CTR_642</v>
          </cell>
          <cell r="B535" t="str">
            <v>IHS_YND_537</v>
          </cell>
          <cell r="C535" t="str">
            <v>CTR_642</v>
          </cell>
          <cell r="D535" t="str">
            <v>Center</v>
          </cell>
          <cell r="E535" t="str">
            <v>Center</v>
          </cell>
          <cell r="F535" t="str">
            <v>MEFOU ASSI IHS</v>
          </cell>
          <cell r="G535" t="str">
            <v>P4</v>
          </cell>
          <cell r="H535" t="str">
            <v>Grid-Gen</v>
          </cell>
          <cell r="I535" t="str">
            <v>On Air</v>
          </cell>
          <cell r="J535" t="str">
            <v>Outdoor</v>
          </cell>
          <cell r="K535" t="str">
            <v>AC</v>
          </cell>
          <cell r="L535" t="str">
            <v>SAGEMCOM</v>
          </cell>
          <cell r="M535" t="str">
            <v>Mendong</v>
          </cell>
          <cell r="N535" t="str">
            <v>MFOUNDI</v>
          </cell>
          <cell r="O535" t="str">
            <v>YAOUNDE 6</v>
          </cell>
          <cell r="P535" t="str">
            <v>Bruno Ewane</v>
          </cell>
          <cell r="Q535">
            <v>670237379</v>
          </cell>
          <cell r="R535">
            <v>656072658</v>
          </cell>
          <cell r="S535" t="str">
            <v>Desire Moussinga</v>
          </cell>
          <cell r="T535" t="str">
            <v>Valeur HOUELL</v>
          </cell>
          <cell r="U535" t="str">
            <v>I H S</v>
          </cell>
        </row>
        <row r="536">
          <cell r="A536" t="str">
            <v>CTR_476</v>
          </cell>
          <cell r="B536" t="str">
            <v>IHS_YND_520</v>
          </cell>
          <cell r="C536" t="str">
            <v>CTR_476</v>
          </cell>
          <cell r="D536" t="str">
            <v>Center</v>
          </cell>
          <cell r="E536" t="str">
            <v>Center</v>
          </cell>
          <cell r="F536" t="str">
            <v>Mendong 2</v>
          </cell>
          <cell r="G536" t="str">
            <v>P4</v>
          </cell>
          <cell r="H536" t="str">
            <v>Grid-Gen</v>
          </cell>
          <cell r="I536" t="str">
            <v>On Air</v>
          </cell>
          <cell r="J536" t="str">
            <v>Outdoor</v>
          </cell>
          <cell r="K536" t="str">
            <v>AC</v>
          </cell>
          <cell r="L536" t="str">
            <v>SAGEMCOM</v>
          </cell>
          <cell r="M536" t="str">
            <v>Mendong</v>
          </cell>
          <cell r="N536" t="str">
            <v>MFOUNDI</v>
          </cell>
          <cell r="O536" t="str">
            <v>YAOUNDE 6</v>
          </cell>
          <cell r="P536" t="str">
            <v>Bruno Ewane</v>
          </cell>
          <cell r="Q536">
            <v>670237379</v>
          </cell>
          <cell r="R536">
            <v>656072658</v>
          </cell>
          <cell r="S536" t="str">
            <v>Desire Moussinga</v>
          </cell>
          <cell r="T536" t="str">
            <v>Valeur HOUELL</v>
          </cell>
          <cell r="U536" t="str">
            <v>I H S</v>
          </cell>
        </row>
        <row r="537">
          <cell r="A537" t="str">
            <v>CTR_472</v>
          </cell>
          <cell r="B537" t="str">
            <v>IHS_YND_698</v>
          </cell>
          <cell r="C537" t="str">
            <v>CTR_472</v>
          </cell>
          <cell r="D537" t="str">
            <v>Center</v>
          </cell>
          <cell r="E537" t="str">
            <v>Center</v>
          </cell>
          <cell r="F537" t="str">
            <v>Damas II</v>
          </cell>
          <cell r="G537" t="str">
            <v>P4</v>
          </cell>
          <cell r="H537" t="str">
            <v>Grid-Gen</v>
          </cell>
          <cell r="I537" t="str">
            <v>On Air</v>
          </cell>
          <cell r="J537" t="str">
            <v>Outdoor</v>
          </cell>
          <cell r="K537" t="str">
            <v>AC</v>
          </cell>
          <cell r="L537" t="str">
            <v>SAGEMCOM</v>
          </cell>
          <cell r="M537" t="str">
            <v>Mendong</v>
          </cell>
          <cell r="N537" t="str">
            <v>MFOUNDI</v>
          </cell>
          <cell r="O537" t="str">
            <v>YAOUNDE 3</v>
          </cell>
          <cell r="P537" t="str">
            <v>Bruno Ewane</v>
          </cell>
          <cell r="Q537">
            <v>670237379</v>
          </cell>
          <cell r="R537">
            <v>656072658</v>
          </cell>
          <cell r="S537" t="str">
            <v>Desire Moussinga</v>
          </cell>
          <cell r="T537" t="str">
            <v>Valeur HOUELL</v>
          </cell>
          <cell r="U537" t="str">
            <v>I H S</v>
          </cell>
        </row>
        <row r="538">
          <cell r="A538" t="str">
            <v>CTR_524</v>
          </cell>
          <cell r="B538" t="str">
            <v>IHS_YND_683</v>
          </cell>
          <cell r="C538" t="str">
            <v>CTR_524</v>
          </cell>
          <cell r="D538" t="str">
            <v>Center</v>
          </cell>
          <cell r="E538" t="str">
            <v>Center</v>
          </cell>
          <cell r="F538" t="str">
            <v>Bonas Yde</v>
          </cell>
          <cell r="G538" t="str">
            <v>P4</v>
          </cell>
          <cell r="H538" t="str">
            <v>Grid-Gen</v>
          </cell>
          <cell r="I538" t="str">
            <v>On Air</v>
          </cell>
          <cell r="J538" t="str">
            <v>Outdoor</v>
          </cell>
          <cell r="K538" t="str">
            <v>AC</v>
          </cell>
          <cell r="L538" t="str">
            <v>SAGEMCOM</v>
          </cell>
          <cell r="M538" t="str">
            <v>Tsinga</v>
          </cell>
          <cell r="N538" t="str">
            <v>MFOUNDI</v>
          </cell>
          <cell r="O538" t="str">
            <v>YAOUNDE 3</v>
          </cell>
          <cell r="P538" t="str">
            <v>Bruno Ewane</v>
          </cell>
          <cell r="Q538">
            <v>670237379</v>
          </cell>
          <cell r="R538">
            <v>656072658</v>
          </cell>
          <cell r="S538" t="str">
            <v>Desire Moussinga</v>
          </cell>
          <cell r="T538" t="str">
            <v>Valeur HOUELL</v>
          </cell>
          <cell r="U538" t="str">
            <v>I H S</v>
          </cell>
        </row>
        <row r="539">
          <cell r="A539" t="str">
            <v>CTR_222</v>
          </cell>
          <cell r="B539" t="str">
            <v>IHS_YND_314</v>
          </cell>
          <cell r="C539" t="str">
            <v>CTR_222</v>
          </cell>
          <cell r="D539" t="str">
            <v>Center</v>
          </cell>
          <cell r="E539" t="str">
            <v>Center</v>
          </cell>
          <cell r="F539" t="str">
            <v>Mbankomo-MTN</v>
          </cell>
          <cell r="G539" t="str">
            <v>P4</v>
          </cell>
          <cell r="H539" t="str">
            <v>Grid-Gen</v>
          </cell>
          <cell r="I539" t="str">
            <v>On Air</v>
          </cell>
          <cell r="J539" t="str">
            <v>Indoor</v>
          </cell>
          <cell r="K539" t="str">
            <v>AC</v>
          </cell>
          <cell r="L539" t="str">
            <v>SAGEMCOM</v>
          </cell>
          <cell r="M539" t="str">
            <v>Barriere / Namayos</v>
          </cell>
          <cell r="N539" t="str">
            <v>MEFOU-ET-AKONO</v>
          </cell>
          <cell r="O539" t="str">
            <v>MBANKOMO</v>
          </cell>
          <cell r="P539" t="str">
            <v>Bruno Ewane</v>
          </cell>
          <cell r="Q539">
            <v>670237379</v>
          </cell>
          <cell r="R539">
            <v>656072658</v>
          </cell>
          <cell r="S539" t="str">
            <v>Desire Moussinga</v>
          </cell>
          <cell r="T539" t="str">
            <v>Valeur HOUELL</v>
          </cell>
          <cell r="U539" t="str">
            <v>I H S</v>
          </cell>
        </row>
        <row r="540">
          <cell r="A540" t="str">
            <v>CTR_463</v>
          </cell>
          <cell r="B540" t="str">
            <v>IHS_YND_313</v>
          </cell>
          <cell r="C540" t="str">
            <v>CTR_463</v>
          </cell>
          <cell r="D540" t="str">
            <v>Center</v>
          </cell>
          <cell r="E540" t="str">
            <v>Center</v>
          </cell>
          <cell r="F540" t="str">
            <v>Afanoyoa</v>
          </cell>
          <cell r="G540" t="str">
            <v>P4</v>
          </cell>
          <cell r="H540" t="str">
            <v>Grid-Gen</v>
          </cell>
          <cell r="I540" t="str">
            <v>On Air</v>
          </cell>
          <cell r="J540" t="str">
            <v>Outdoor</v>
          </cell>
          <cell r="K540" t="str">
            <v>AC</v>
          </cell>
          <cell r="L540" t="str">
            <v>SAGEMCOM</v>
          </cell>
          <cell r="M540" t="str">
            <v>Mendong</v>
          </cell>
          <cell r="N540" t="str">
            <v>MFOUNDI</v>
          </cell>
          <cell r="O540" t="str">
            <v>YAOUNDE 6</v>
          </cell>
          <cell r="P540" t="str">
            <v>Bruno Ewane</v>
          </cell>
          <cell r="Q540">
            <v>670237379</v>
          </cell>
          <cell r="R540">
            <v>656072658</v>
          </cell>
          <cell r="S540" t="str">
            <v>Desire Moussinga</v>
          </cell>
          <cell r="T540" t="str">
            <v>Valeur HOUELL</v>
          </cell>
          <cell r="U540" t="str">
            <v>I H S</v>
          </cell>
        </row>
        <row r="541">
          <cell r="A541" t="str">
            <v>CTR_157</v>
          </cell>
          <cell r="B541" t="str">
            <v>IHS_YND_140</v>
          </cell>
          <cell r="C541" t="str">
            <v>CTR_157</v>
          </cell>
          <cell r="D541" t="str">
            <v>Center</v>
          </cell>
          <cell r="E541" t="str">
            <v>Center</v>
          </cell>
          <cell r="F541" t="str">
            <v>Biscuiterie</v>
          </cell>
          <cell r="G541" t="str">
            <v>P4</v>
          </cell>
          <cell r="H541" t="str">
            <v>Grid-Gen</v>
          </cell>
          <cell r="I541" t="str">
            <v>On Air</v>
          </cell>
          <cell r="J541" t="str">
            <v>Outdoor</v>
          </cell>
          <cell r="K541" t="str">
            <v>AC</v>
          </cell>
          <cell r="L541" t="str">
            <v>SAGEMCOM</v>
          </cell>
          <cell r="M541" t="str">
            <v>Mendong</v>
          </cell>
          <cell r="N541" t="str">
            <v>MFOUNDI</v>
          </cell>
          <cell r="O541" t="str">
            <v>YAOUNDE 6</v>
          </cell>
          <cell r="P541" t="str">
            <v>Bruno Ewane</v>
          </cell>
          <cell r="Q541">
            <v>670237379</v>
          </cell>
          <cell r="R541">
            <v>656072658</v>
          </cell>
          <cell r="S541" t="str">
            <v>Desire Moussinga</v>
          </cell>
          <cell r="T541" t="str">
            <v>Valeur HOUELL</v>
          </cell>
          <cell r="U541" t="str">
            <v>I H S</v>
          </cell>
        </row>
        <row r="542">
          <cell r="A542" t="str">
            <v>CTR_538</v>
          </cell>
          <cell r="B542" t="str">
            <v>IHS_YND_143</v>
          </cell>
          <cell r="C542" t="str">
            <v>CTR_538</v>
          </cell>
          <cell r="D542" t="str">
            <v>Center</v>
          </cell>
          <cell r="E542" t="str">
            <v>Center</v>
          </cell>
          <cell r="F542" t="str">
            <v>Prestige New</v>
          </cell>
          <cell r="G542" t="str">
            <v>P4</v>
          </cell>
          <cell r="H542" t="str">
            <v>Grid-Gen</v>
          </cell>
          <cell r="I542" t="str">
            <v>On Air</v>
          </cell>
          <cell r="J542" t="str">
            <v>Outdoor</v>
          </cell>
          <cell r="K542" t="str">
            <v>AC</v>
          </cell>
          <cell r="L542" t="str">
            <v>SAGEMCOM</v>
          </cell>
          <cell r="M542" t="str">
            <v>Mendong</v>
          </cell>
          <cell r="N542" t="str">
            <v>MFOUNDI</v>
          </cell>
          <cell r="O542" t="str">
            <v>YAOUNDE 6</v>
          </cell>
          <cell r="P542" t="str">
            <v>Bruno Ewane</v>
          </cell>
          <cell r="Q542">
            <v>670237379</v>
          </cell>
          <cell r="R542">
            <v>656072658</v>
          </cell>
          <cell r="S542" t="str">
            <v>Desire Moussinga</v>
          </cell>
          <cell r="T542" t="str">
            <v>Valeur HOUELL</v>
          </cell>
          <cell r="U542" t="str">
            <v>I H S</v>
          </cell>
        </row>
        <row r="543">
          <cell r="A543" t="str">
            <v>CTR_121</v>
          </cell>
          <cell r="B543" t="str">
            <v>IHS_YND_151</v>
          </cell>
          <cell r="C543" t="str">
            <v>CTR_121</v>
          </cell>
          <cell r="D543" t="str">
            <v>Center</v>
          </cell>
          <cell r="E543" t="str">
            <v>Center</v>
          </cell>
          <cell r="F543" t="str">
            <v>Tamtam-Weekend-IHS</v>
          </cell>
          <cell r="G543" t="str">
            <v>P4</v>
          </cell>
          <cell r="H543" t="str">
            <v>Grid-Gen</v>
          </cell>
          <cell r="I543" t="str">
            <v>On Air</v>
          </cell>
          <cell r="J543" t="str">
            <v>Outdoor</v>
          </cell>
          <cell r="K543" t="str">
            <v>AC</v>
          </cell>
          <cell r="L543" t="str">
            <v>SAGEMCOM</v>
          </cell>
          <cell r="M543" t="str">
            <v>Mendong</v>
          </cell>
          <cell r="N543" t="str">
            <v>MFOUNDI</v>
          </cell>
          <cell r="O543" t="str">
            <v>YAOUNDE 6</v>
          </cell>
          <cell r="P543" t="str">
            <v>Bruno Ewane</v>
          </cell>
          <cell r="Q543">
            <v>670237379</v>
          </cell>
          <cell r="R543">
            <v>656072658</v>
          </cell>
          <cell r="S543" t="str">
            <v>Desire Moussinga</v>
          </cell>
          <cell r="T543" t="str">
            <v>Valeur HOUELL</v>
          </cell>
          <cell r="U543" t="str">
            <v>I H S</v>
          </cell>
        </row>
        <row r="544">
          <cell r="A544" t="str">
            <v>CTR_127</v>
          </cell>
          <cell r="B544" t="str">
            <v>IHS_YND_026</v>
          </cell>
          <cell r="C544" t="str">
            <v>CTR_127</v>
          </cell>
          <cell r="D544" t="str">
            <v>Center</v>
          </cell>
          <cell r="E544" t="str">
            <v>Center</v>
          </cell>
          <cell r="F544" t="str">
            <v>Enam-IHS</v>
          </cell>
          <cell r="G544" t="str">
            <v>P4</v>
          </cell>
          <cell r="H544" t="str">
            <v>Grid Only</v>
          </cell>
          <cell r="I544" t="str">
            <v>On Air</v>
          </cell>
          <cell r="J544" t="str">
            <v>Outdoor</v>
          </cell>
          <cell r="K544" t="str">
            <v>AC</v>
          </cell>
          <cell r="L544" t="str">
            <v>SAGEMCOM</v>
          </cell>
          <cell r="M544" t="str">
            <v>Tsinga</v>
          </cell>
          <cell r="N544" t="str">
            <v>MFOUNDI</v>
          </cell>
          <cell r="O544" t="str">
            <v>YAOUNDE 3</v>
          </cell>
          <cell r="P544" t="str">
            <v>Bruno Ewane</v>
          </cell>
          <cell r="Q544">
            <v>670237379</v>
          </cell>
          <cell r="R544">
            <v>656072658</v>
          </cell>
          <cell r="S544" t="str">
            <v>Desire Moussinga</v>
          </cell>
          <cell r="T544" t="str">
            <v>Valeur HOUELL</v>
          </cell>
          <cell r="U544" t="str">
            <v>I H S</v>
          </cell>
        </row>
        <row r="545">
          <cell r="A545" t="str">
            <v>CTR_489</v>
          </cell>
          <cell r="B545" t="str">
            <v>IHS_YND_546</v>
          </cell>
          <cell r="C545" t="str">
            <v>CTR_489</v>
          </cell>
          <cell r="D545" t="str">
            <v>Center</v>
          </cell>
          <cell r="E545" t="str">
            <v>Center</v>
          </cell>
          <cell r="F545" t="str">
            <v>Biyem Assi Stade</v>
          </cell>
          <cell r="G545" t="str">
            <v>P4</v>
          </cell>
          <cell r="H545" t="str">
            <v>Grid Only</v>
          </cell>
          <cell r="I545" t="str">
            <v>On Air</v>
          </cell>
          <cell r="J545" t="str">
            <v>Outdoor</v>
          </cell>
          <cell r="K545" t="str">
            <v>AC</v>
          </cell>
          <cell r="L545" t="str">
            <v>SAGEMCOM</v>
          </cell>
          <cell r="M545" t="str">
            <v>Mendong</v>
          </cell>
          <cell r="N545" t="str">
            <v>MFOUNDI</v>
          </cell>
          <cell r="O545" t="str">
            <v>YAOUNDE 6</v>
          </cell>
          <cell r="P545" t="str">
            <v>Bruno Ewane</v>
          </cell>
          <cell r="Q545">
            <v>670237379</v>
          </cell>
          <cell r="R545">
            <v>656072658</v>
          </cell>
          <cell r="S545" t="str">
            <v>Desire Moussinga</v>
          </cell>
          <cell r="T545" t="str">
            <v>Valeur HOUELL</v>
          </cell>
          <cell r="U545" t="str">
            <v>I H S</v>
          </cell>
        </row>
        <row r="546">
          <cell r="A546" t="str">
            <v>CTR_540</v>
          </cell>
          <cell r="B546" t="str">
            <v>IHS_YND_077</v>
          </cell>
          <cell r="C546" t="str">
            <v>CTR_540</v>
          </cell>
          <cell r="D546" t="str">
            <v>Center</v>
          </cell>
          <cell r="E546" t="str">
            <v>Center</v>
          </cell>
          <cell r="F546" t="str">
            <v>Obili New</v>
          </cell>
          <cell r="G546" t="str">
            <v>P4</v>
          </cell>
          <cell r="H546" t="str">
            <v>Grid-Gen</v>
          </cell>
          <cell r="I546" t="str">
            <v>On Air</v>
          </cell>
          <cell r="J546" t="str">
            <v>Outdoor</v>
          </cell>
          <cell r="K546" t="str">
            <v>AC</v>
          </cell>
          <cell r="L546" t="str">
            <v>SAGEMCOM</v>
          </cell>
          <cell r="M546" t="str">
            <v>Mendong</v>
          </cell>
          <cell r="N546" t="str">
            <v>MFOUNDI</v>
          </cell>
          <cell r="O546" t="str">
            <v>YAOUNDE 3</v>
          </cell>
          <cell r="P546" t="str">
            <v>Bruno Ewane</v>
          </cell>
          <cell r="Q546">
            <v>670237379</v>
          </cell>
          <cell r="R546">
            <v>656072658</v>
          </cell>
          <cell r="S546" t="str">
            <v>Desire Moussinga</v>
          </cell>
          <cell r="T546" t="str">
            <v>Valeur HOUELL</v>
          </cell>
          <cell r="U546" t="str">
            <v>I H S</v>
          </cell>
        </row>
        <row r="547">
          <cell r="A547" t="str">
            <v> CTR_148</v>
          </cell>
          <cell r="B547" t="str">
            <v>IHS_YND_724</v>
          </cell>
          <cell r="C547" t="str">
            <v> CTR_148</v>
          </cell>
          <cell r="D547" t="str">
            <v>Center</v>
          </cell>
          <cell r="E547" t="str">
            <v>Center</v>
          </cell>
          <cell r="F547" t="str">
            <v>BIYEMASSI NIKI</v>
          </cell>
          <cell r="G547" t="str">
            <v>P4</v>
          </cell>
          <cell r="H547" t="str">
            <v>Grid-Gen</v>
          </cell>
          <cell r="I547">
            <v>0</v>
          </cell>
          <cell r="J547" t="str">
            <v>Outdoor</v>
          </cell>
          <cell r="K547" t="str">
            <v>AC</v>
          </cell>
          <cell r="L547" t="str">
            <v>SAGEMCOM</v>
          </cell>
          <cell r="M547" t="str">
            <v>Mendong</v>
          </cell>
          <cell r="N547" t="str">
            <v>MFOUNDI</v>
          </cell>
          <cell r="O547" t="str">
            <v>YAOUNDE 6</v>
          </cell>
          <cell r="P547" t="str">
            <v>Bruno Ewane</v>
          </cell>
          <cell r="Q547">
            <v>670237379</v>
          </cell>
          <cell r="R547">
            <v>656072658</v>
          </cell>
          <cell r="S547" t="str">
            <v>Desire Moussinga</v>
          </cell>
          <cell r="T547" t="str">
            <v>Valeur HOUELL</v>
          </cell>
          <cell r="U547" t="str">
            <v>I H S</v>
          </cell>
        </row>
        <row r="548">
          <cell r="A548" t="str">
            <v>CTR_097</v>
          </cell>
          <cell r="B548" t="str">
            <v>IHS_YND_350</v>
          </cell>
          <cell r="C548" t="str">
            <v>CTR_097</v>
          </cell>
          <cell r="D548" t="str">
            <v>Center</v>
          </cell>
          <cell r="E548" t="str">
            <v>Center</v>
          </cell>
          <cell r="F548" t="str">
            <v>Mambine</v>
          </cell>
          <cell r="G548" t="str">
            <v>P5</v>
          </cell>
          <cell r="H548" t="str">
            <v>Grid-Gen</v>
          </cell>
          <cell r="I548" t="str">
            <v>On Air</v>
          </cell>
          <cell r="J548" t="str">
            <v>Outdoor</v>
          </cell>
          <cell r="K548" t="str">
            <v>AC</v>
          </cell>
          <cell r="L548" t="str">
            <v>SAGEMCOM</v>
          </cell>
          <cell r="M548" t="str">
            <v>Barriere / Namayos</v>
          </cell>
          <cell r="N548" t="str">
            <v>NYONG-ET-KELLE</v>
          </cell>
          <cell r="O548" t="str">
            <v>MAKAK</v>
          </cell>
          <cell r="P548" t="str">
            <v>Bruno Ewane</v>
          </cell>
          <cell r="Q548">
            <v>670237379</v>
          </cell>
          <cell r="R548">
            <v>656072658</v>
          </cell>
          <cell r="S548" t="str">
            <v>Desire Moussinga</v>
          </cell>
          <cell r="T548" t="str">
            <v>Valeur HOUELL</v>
          </cell>
          <cell r="U548" t="str">
            <v>I H S</v>
          </cell>
        </row>
        <row r="549">
          <cell r="A549" t="str">
            <v>CTR_356</v>
          </cell>
          <cell r="B549" t="str">
            <v>IHS_YND_376</v>
          </cell>
          <cell r="C549" t="str">
            <v>CTR_356</v>
          </cell>
          <cell r="D549" t="str">
            <v>Center</v>
          </cell>
          <cell r="E549" t="str">
            <v>Center</v>
          </cell>
          <cell r="F549" t="str">
            <v>Mamb</v>
          </cell>
          <cell r="G549" t="str">
            <v>P5</v>
          </cell>
          <cell r="H549" t="str">
            <v>Grid-Gen</v>
          </cell>
          <cell r="I549" t="str">
            <v>On Air</v>
          </cell>
          <cell r="J549" t="str">
            <v>Outdoor</v>
          </cell>
          <cell r="K549" t="str">
            <v>AC</v>
          </cell>
          <cell r="L549" t="str">
            <v>SAGEMCOM</v>
          </cell>
          <cell r="M549" t="str">
            <v>Barriere / Namayos</v>
          </cell>
          <cell r="N549" t="str">
            <v>NYONG-ET-KELLE</v>
          </cell>
          <cell r="O549" t="str">
            <v>MAKAK</v>
          </cell>
          <cell r="P549" t="str">
            <v>Bruno Ewane</v>
          </cell>
          <cell r="Q549">
            <v>670237379</v>
          </cell>
          <cell r="R549">
            <v>656072658</v>
          </cell>
          <cell r="S549" t="str">
            <v>Desire Moussinga</v>
          </cell>
          <cell r="T549" t="str">
            <v>Valeur HOUELL</v>
          </cell>
          <cell r="U549" t="str">
            <v>I H S</v>
          </cell>
        </row>
        <row r="550">
          <cell r="A550" t="str">
            <v>CTR_358</v>
          </cell>
          <cell r="B550" t="str">
            <v>IHS_YND_335</v>
          </cell>
          <cell r="C550" t="str">
            <v>CTR_358</v>
          </cell>
          <cell r="D550" t="str">
            <v>Center</v>
          </cell>
          <cell r="E550" t="str">
            <v>Center</v>
          </cell>
          <cell r="F550" t="str">
            <v>Angongo</v>
          </cell>
          <cell r="G550" t="str">
            <v>P5</v>
          </cell>
          <cell r="H550" t="str">
            <v>Grid-Gen</v>
          </cell>
          <cell r="I550" t="str">
            <v>On Air</v>
          </cell>
          <cell r="J550" t="str">
            <v>Outdoor</v>
          </cell>
          <cell r="K550" t="str">
            <v>AC</v>
          </cell>
          <cell r="L550" t="str">
            <v>SAGEMCOM</v>
          </cell>
          <cell r="M550" t="str">
            <v>Barriere / Namayos</v>
          </cell>
          <cell r="N550" t="str">
            <v>MEFOU-ET-AKONO</v>
          </cell>
          <cell r="O550" t="str">
            <v>MBANKOMO</v>
          </cell>
          <cell r="P550" t="str">
            <v>Bruno Ewane</v>
          </cell>
          <cell r="Q550">
            <v>670237379</v>
          </cell>
          <cell r="R550">
            <v>656072658</v>
          </cell>
          <cell r="S550" t="str">
            <v>Desire Moussinga</v>
          </cell>
          <cell r="T550" t="str">
            <v>Valeur HOUELL</v>
          </cell>
          <cell r="U550" t="str">
            <v>I H S</v>
          </cell>
        </row>
        <row r="551">
          <cell r="A551" t="str">
            <v>CTR_526</v>
          </cell>
          <cell r="B551" t="str">
            <v>IHS_YND_696</v>
          </cell>
          <cell r="C551" t="str">
            <v>CTR_526</v>
          </cell>
          <cell r="D551" t="str">
            <v>Center</v>
          </cell>
          <cell r="E551" t="str">
            <v>Center</v>
          </cell>
          <cell r="F551" t="str">
            <v>Barriere IHS</v>
          </cell>
          <cell r="G551" t="str">
            <v>P5</v>
          </cell>
          <cell r="H551" t="str">
            <v>Grid-Gen</v>
          </cell>
          <cell r="I551" t="str">
            <v>On Air</v>
          </cell>
          <cell r="J551" t="str">
            <v>Outdoor</v>
          </cell>
          <cell r="K551" t="str">
            <v>AC</v>
          </cell>
          <cell r="L551" t="str">
            <v>SAGEMCOM</v>
          </cell>
          <cell r="M551" t="str">
            <v>Barriere / Namayos</v>
          </cell>
          <cell r="N551" t="str">
            <v>MFOUNDI</v>
          </cell>
          <cell r="O551" t="str">
            <v>MBANKOMO</v>
          </cell>
          <cell r="P551" t="str">
            <v>Bruno Ewane</v>
          </cell>
          <cell r="Q551">
            <v>670237379</v>
          </cell>
          <cell r="R551">
            <v>656072658</v>
          </cell>
          <cell r="S551" t="str">
            <v>Desire Moussinga</v>
          </cell>
          <cell r="T551" t="str">
            <v>Valeur HOUELL</v>
          </cell>
          <cell r="U551" t="str">
            <v>I H S</v>
          </cell>
        </row>
        <row r="552">
          <cell r="A552" t="str">
            <v>CTR_234</v>
          </cell>
          <cell r="B552" t="str">
            <v>IHS_YND_415</v>
          </cell>
          <cell r="C552" t="str">
            <v>CTR_234</v>
          </cell>
          <cell r="D552" t="str">
            <v>Center</v>
          </cell>
          <cell r="E552" t="str">
            <v>Center</v>
          </cell>
          <cell r="F552" t="str">
            <v>Boga-Mahole</v>
          </cell>
          <cell r="G552" t="str">
            <v>P5</v>
          </cell>
          <cell r="H552" t="str">
            <v>Grid-Gen</v>
          </cell>
          <cell r="I552" t="str">
            <v>On Air</v>
          </cell>
          <cell r="J552" t="str">
            <v>Outdoor</v>
          </cell>
          <cell r="K552" t="str">
            <v>AC</v>
          </cell>
          <cell r="L552" t="str">
            <v>SAGEMCOM</v>
          </cell>
          <cell r="M552" t="str">
            <v>Barriere / Namayos</v>
          </cell>
          <cell r="N552" t="str">
            <v>NYONG-ET-KELLE</v>
          </cell>
          <cell r="O552" t="str">
            <v>ESEKA</v>
          </cell>
          <cell r="P552" t="str">
            <v>Bruno Ewane</v>
          </cell>
          <cell r="Q552">
            <v>670237379</v>
          </cell>
          <cell r="R552">
            <v>656072658</v>
          </cell>
          <cell r="S552" t="str">
            <v>Desire Moussinga</v>
          </cell>
          <cell r="T552" t="str">
            <v>Valeur HOUELL</v>
          </cell>
          <cell r="U552" t="str">
            <v>I H S</v>
          </cell>
        </row>
        <row r="553">
          <cell r="A553" t="str">
            <v>CTR_115</v>
          </cell>
          <cell r="B553" t="str">
            <v>IHS_YND_375</v>
          </cell>
          <cell r="C553" t="str">
            <v>CTR_115</v>
          </cell>
          <cell r="D553" t="str">
            <v>Center</v>
          </cell>
          <cell r="E553" t="str">
            <v>Center</v>
          </cell>
          <cell r="F553" t="str">
            <v>Ngoung</v>
          </cell>
          <cell r="G553" t="str">
            <v>P5</v>
          </cell>
          <cell r="H553" t="str">
            <v>Grid-Gen</v>
          </cell>
          <cell r="I553" t="str">
            <v>On Air</v>
          </cell>
          <cell r="J553" t="str">
            <v>Indoor</v>
          </cell>
          <cell r="K553" t="str">
            <v>AC</v>
          </cell>
          <cell r="L553" t="str">
            <v>SAGEMCOM</v>
          </cell>
          <cell r="M553" t="str">
            <v>Barriere / Namayos</v>
          </cell>
          <cell r="N553" t="str">
            <v>NYONG-ET-KELLE</v>
          </cell>
          <cell r="O553" t="str">
            <v>ESEKA</v>
          </cell>
          <cell r="P553" t="str">
            <v>Bruno Ewane</v>
          </cell>
          <cell r="Q553">
            <v>670237379</v>
          </cell>
          <cell r="R553">
            <v>656072658</v>
          </cell>
          <cell r="S553" t="str">
            <v>Desire Moussinga</v>
          </cell>
          <cell r="T553" t="str">
            <v>Valeur HOUELL</v>
          </cell>
          <cell r="U553" t="str">
            <v>I H S</v>
          </cell>
        </row>
        <row r="554">
          <cell r="A554" t="str">
            <v>CTR_123</v>
          </cell>
          <cell r="B554" t="str">
            <v>IHS_YND_513</v>
          </cell>
          <cell r="C554" t="str">
            <v>CTR_123</v>
          </cell>
          <cell r="D554" t="str">
            <v>Center</v>
          </cell>
          <cell r="E554" t="str">
            <v>Center</v>
          </cell>
          <cell r="F554" t="str">
            <v>Maison-Blanche-IHS</v>
          </cell>
          <cell r="G554" t="str">
            <v>P5</v>
          </cell>
          <cell r="H554" t="str">
            <v>Grid Only</v>
          </cell>
          <cell r="I554" t="str">
            <v>On Air</v>
          </cell>
          <cell r="J554" t="str">
            <v>Outdoor</v>
          </cell>
          <cell r="K554" t="str">
            <v>AC</v>
          </cell>
          <cell r="L554" t="str">
            <v>SAGEMCOM</v>
          </cell>
          <cell r="M554" t="str">
            <v>Mendong</v>
          </cell>
          <cell r="N554" t="str">
            <v>MFOUNDI</v>
          </cell>
          <cell r="O554" t="str">
            <v>YAOUNDE 6</v>
          </cell>
          <cell r="P554" t="str">
            <v>Bruno Ewane</v>
          </cell>
          <cell r="Q554">
            <v>670237379</v>
          </cell>
          <cell r="R554">
            <v>656072658</v>
          </cell>
          <cell r="S554" t="str">
            <v>Desire Moussinga</v>
          </cell>
          <cell r="T554" t="str">
            <v>Valeur HOUELL</v>
          </cell>
          <cell r="U554" t="str">
            <v>I H S</v>
          </cell>
        </row>
        <row r="555">
          <cell r="A555" t="str">
            <v>CTR_360</v>
          </cell>
          <cell r="B555" t="str">
            <v>IHS_YND_373</v>
          </cell>
          <cell r="C555" t="str">
            <v>CTR_360</v>
          </cell>
          <cell r="D555" t="str">
            <v>Center</v>
          </cell>
          <cell r="E555" t="str">
            <v>Center</v>
          </cell>
          <cell r="F555" t="str">
            <v>Makoda-MTN</v>
          </cell>
          <cell r="G555" t="str">
            <v>P5</v>
          </cell>
          <cell r="H555" t="str">
            <v>Hybrid-Gen</v>
          </cell>
          <cell r="I555" t="str">
            <v>On Air</v>
          </cell>
          <cell r="J555" t="str">
            <v>Indoor</v>
          </cell>
          <cell r="K555" t="str">
            <v>AC</v>
          </cell>
          <cell r="L555" t="str">
            <v>SAGEMCOM</v>
          </cell>
          <cell r="M555" t="str">
            <v>Barriere / Namayos</v>
          </cell>
          <cell r="N555" t="str">
            <v>NYONG-ET-KELLE</v>
          </cell>
          <cell r="O555" t="str">
            <v>MAKAK</v>
          </cell>
          <cell r="P555" t="str">
            <v>Bruno Ewane</v>
          </cell>
          <cell r="Q555">
            <v>670237379</v>
          </cell>
          <cell r="R555">
            <v>656072658</v>
          </cell>
          <cell r="S555" t="str">
            <v>Desire Moussinga</v>
          </cell>
          <cell r="T555" t="str">
            <v>Valeur HOUELL</v>
          </cell>
          <cell r="U555" t="str">
            <v>I H S</v>
          </cell>
        </row>
        <row r="556">
          <cell r="A556" t="str">
            <v>CTR_546</v>
          </cell>
          <cell r="B556" t="str">
            <v>IHS_YND_419</v>
          </cell>
          <cell r="C556" t="str">
            <v>CTR_546</v>
          </cell>
          <cell r="D556" t="str">
            <v>Center</v>
          </cell>
          <cell r="E556" t="str">
            <v>Center</v>
          </cell>
          <cell r="F556" t="str">
            <v>Ngog Mapubi</v>
          </cell>
          <cell r="G556" t="str">
            <v>P5</v>
          </cell>
          <cell r="H556" t="str">
            <v>Grid-Gen</v>
          </cell>
          <cell r="I556" t="str">
            <v>On Air</v>
          </cell>
          <cell r="J556" t="str">
            <v>Outdoor</v>
          </cell>
          <cell r="K556" t="str">
            <v>AC</v>
          </cell>
          <cell r="L556" t="str">
            <v>SAGEMCOM</v>
          </cell>
          <cell r="M556" t="str">
            <v>Barriere / Namayos</v>
          </cell>
          <cell r="N556" t="str">
            <v>NYONG-ET-KELLE</v>
          </cell>
          <cell r="O556" t="str">
            <v>BOT MAKAK</v>
          </cell>
          <cell r="P556" t="str">
            <v>Bruno Ewane</v>
          </cell>
          <cell r="Q556">
            <v>670237379</v>
          </cell>
          <cell r="R556">
            <v>656072658</v>
          </cell>
          <cell r="S556" t="str">
            <v>Desire Moussinga</v>
          </cell>
          <cell r="T556" t="str">
            <v>Valeur HOUELL</v>
          </cell>
          <cell r="U556" t="str">
            <v>I H S</v>
          </cell>
        </row>
        <row r="557">
          <cell r="A557" t="str">
            <v>CTR_733</v>
          </cell>
          <cell r="B557" t="str">
            <v>IHS_YND_349</v>
          </cell>
          <cell r="C557" t="str">
            <v>CTR_733</v>
          </cell>
          <cell r="D557" t="str">
            <v>Center</v>
          </cell>
          <cell r="E557" t="str">
            <v>Center</v>
          </cell>
          <cell r="F557" t="str">
            <v>Nkongtock</v>
          </cell>
          <cell r="G557" t="str">
            <v>P5</v>
          </cell>
          <cell r="H557" t="str">
            <v>Solar-Gen</v>
          </cell>
          <cell r="I557" t="str">
            <v>On Air</v>
          </cell>
          <cell r="J557" t="str">
            <v>Outdoor</v>
          </cell>
          <cell r="K557" t="str">
            <v>AC</v>
          </cell>
          <cell r="L557" t="str">
            <v>SAGEMCOM</v>
          </cell>
          <cell r="M557" t="str">
            <v>Barriere / Namayos</v>
          </cell>
          <cell r="N557" t="str">
            <v>NYONG-ET-KELLE</v>
          </cell>
          <cell r="O557" t="str">
            <v>MAKAK</v>
          </cell>
          <cell r="P557" t="str">
            <v>Bruno Ewane</v>
          </cell>
          <cell r="Q557">
            <v>670237379</v>
          </cell>
          <cell r="R557">
            <v>656072658</v>
          </cell>
          <cell r="S557" t="str">
            <v>Desire Moussinga</v>
          </cell>
          <cell r="T557" t="str">
            <v>Valeur HOUELL</v>
          </cell>
          <cell r="U557" t="str">
            <v>I H S</v>
          </cell>
        </row>
        <row r="558">
          <cell r="A558" t="str">
            <v>LIT_135</v>
          </cell>
          <cell r="B558" t="str">
            <v>IHS_EDA_040</v>
          </cell>
          <cell r="C558" t="str">
            <v>LIT_135</v>
          </cell>
          <cell r="D558" t="str">
            <v>Littoral</v>
          </cell>
          <cell r="E558" t="str">
            <v>Littoral</v>
          </cell>
          <cell r="F558" t="str">
            <v>Ngonga</v>
          </cell>
          <cell r="G558" t="str">
            <v>P2</v>
          </cell>
          <cell r="H558" t="str">
            <v>Grid-Gen</v>
          </cell>
          <cell r="I558" t="str">
            <v>On Air</v>
          </cell>
          <cell r="J558" t="str">
            <v>Indoor</v>
          </cell>
          <cell r="K558" t="str">
            <v>AC</v>
          </cell>
          <cell r="L558" t="str">
            <v>SAGEMCOM</v>
          </cell>
          <cell r="M558" t="str">
            <v>Edea 2</v>
          </cell>
          <cell r="N558" t="str">
            <v>SANAGA-MARITIME</v>
          </cell>
          <cell r="O558" t="str">
            <v>POUMA</v>
          </cell>
          <cell r="P558" t="str">
            <v>Cyrille Alain Ngoufo Fopa</v>
          </cell>
          <cell r="Q558">
            <v>655999816</v>
          </cell>
          <cell r="R558">
            <v>677549816</v>
          </cell>
          <cell r="S558" t="str">
            <v>Valery Doudou</v>
          </cell>
          <cell r="T558" t="str">
            <v>GEORGES NAKHOUL</v>
          </cell>
          <cell r="U558" t="str">
            <v>I H S</v>
          </cell>
        </row>
        <row r="559">
          <cell r="A559" t="str">
            <v>LIT_006</v>
          </cell>
          <cell r="B559" t="str">
            <v>IHS_EDA_031</v>
          </cell>
          <cell r="C559" t="str">
            <v>LIT_006</v>
          </cell>
          <cell r="D559" t="str">
            <v>Littoral</v>
          </cell>
          <cell r="E559" t="str">
            <v>Littoral</v>
          </cell>
          <cell r="F559" t="str">
            <v>Ferme-Suisse</v>
          </cell>
          <cell r="G559" t="str">
            <v>P2</v>
          </cell>
          <cell r="H559" t="str">
            <v>Grid-Gen</v>
          </cell>
          <cell r="I559" t="str">
            <v>On Air</v>
          </cell>
          <cell r="J559" t="str">
            <v>Indoor</v>
          </cell>
          <cell r="K559" t="str">
            <v>AC</v>
          </cell>
          <cell r="L559" t="str">
            <v>SAGEMCOM</v>
          </cell>
          <cell r="M559" t="str">
            <v>Kribi</v>
          </cell>
          <cell r="N559" t="str">
            <v>SANAGA-MARITIME</v>
          </cell>
          <cell r="O559" t="str">
            <v>Edea 1</v>
          </cell>
          <cell r="P559" t="str">
            <v>Cyrille Alain Ngoufo Fopa</v>
          </cell>
          <cell r="Q559">
            <v>655999816</v>
          </cell>
          <cell r="R559">
            <v>677549816</v>
          </cell>
          <cell r="S559" t="str">
            <v>Valery Doudou</v>
          </cell>
          <cell r="T559" t="str">
            <v>GEORGES NAKHOUL</v>
          </cell>
          <cell r="U559" t="str">
            <v>I H S</v>
          </cell>
        </row>
        <row r="560">
          <cell r="A560" t="str">
            <v>LIT_113</v>
          </cell>
          <cell r="B560" t="str">
            <v>IHS_EDA_022</v>
          </cell>
          <cell r="C560" t="str">
            <v>LIT_113</v>
          </cell>
          <cell r="D560" t="str">
            <v>Littoral</v>
          </cell>
          <cell r="E560" t="str">
            <v>Littoral</v>
          </cell>
          <cell r="F560" t="str">
            <v>Dizangue</v>
          </cell>
          <cell r="G560" t="str">
            <v>P2</v>
          </cell>
          <cell r="H560" t="str">
            <v>Grid-Gen</v>
          </cell>
          <cell r="I560" t="str">
            <v>On Air</v>
          </cell>
          <cell r="J560" t="str">
            <v>Indoor</v>
          </cell>
          <cell r="K560" t="str">
            <v>AC</v>
          </cell>
          <cell r="L560" t="str">
            <v>SAGEMCOM</v>
          </cell>
          <cell r="M560" t="str">
            <v>Edea 1</v>
          </cell>
          <cell r="N560" t="str">
            <v>SANAGA-MARITIME</v>
          </cell>
          <cell r="O560" t="str">
            <v>DIZANGUE</v>
          </cell>
          <cell r="P560" t="str">
            <v>Cyrille Alain Ngoufo Fopa</v>
          </cell>
          <cell r="Q560">
            <v>655999816</v>
          </cell>
          <cell r="R560">
            <v>677549816</v>
          </cell>
          <cell r="S560" t="str">
            <v>Valery Doudou</v>
          </cell>
          <cell r="T560" t="str">
            <v>GEORGES NAKHOUL</v>
          </cell>
          <cell r="U560" t="str">
            <v>I H S</v>
          </cell>
        </row>
        <row r="561">
          <cell r="A561" t="str">
            <v>LIT_069</v>
          </cell>
          <cell r="B561" t="str">
            <v>IHS_EDA_036</v>
          </cell>
          <cell r="C561" t="str">
            <v>LIT_069</v>
          </cell>
          <cell r="D561" t="str">
            <v>Littoral</v>
          </cell>
          <cell r="E561" t="str">
            <v>Littoral</v>
          </cell>
          <cell r="F561" t="str">
            <v>Pouma</v>
          </cell>
          <cell r="G561" t="str">
            <v>P2</v>
          </cell>
          <cell r="H561" t="str">
            <v>Grid-Gen</v>
          </cell>
          <cell r="I561" t="str">
            <v>On Air</v>
          </cell>
          <cell r="J561" t="str">
            <v>Indoor</v>
          </cell>
          <cell r="K561" t="str">
            <v>AC</v>
          </cell>
          <cell r="L561" t="str">
            <v>SAGEMCOM</v>
          </cell>
          <cell r="M561" t="str">
            <v>Pouma 1</v>
          </cell>
          <cell r="N561" t="str">
            <v>SANAGA-MARITIME</v>
          </cell>
          <cell r="O561" t="str">
            <v>POUMA</v>
          </cell>
          <cell r="P561" t="str">
            <v>Cyrille Alain Ngoufo Fopa</v>
          </cell>
          <cell r="Q561">
            <v>655999816</v>
          </cell>
          <cell r="R561">
            <v>677549816</v>
          </cell>
          <cell r="S561" t="str">
            <v>Valery Doudou</v>
          </cell>
          <cell r="T561" t="str">
            <v>GEORGES NAKHOUL</v>
          </cell>
          <cell r="U561" t="str">
            <v>I H S</v>
          </cell>
        </row>
        <row r="562">
          <cell r="A562" t="str">
            <v>CTR_013</v>
          </cell>
          <cell r="B562" t="str">
            <v>IHS_YND_418</v>
          </cell>
          <cell r="C562" t="str">
            <v>CTR_013</v>
          </cell>
          <cell r="D562" t="str">
            <v>Littoral</v>
          </cell>
          <cell r="E562" t="str">
            <v>Littoral</v>
          </cell>
          <cell r="F562" t="str">
            <v>Sombo</v>
          </cell>
          <cell r="G562" t="str">
            <v>P2</v>
          </cell>
          <cell r="H562" t="str">
            <v>Grid-Gen</v>
          </cell>
          <cell r="I562" t="str">
            <v>On Air</v>
          </cell>
          <cell r="J562" t="str">
            <v>Indoor</v>
          </cell>
          <cell r="K562" t="str">
            <v>AC</v>
          </cell>
          <cell r="L562" t="str">
            <v>SAGEMCOM</v>
          </cell>
          <cell r="M562" t="str">
            <v>Pouma 2</v>
          </cell>
          <cell r="N562" t="str">
            <v>NYONG-ET-KELLE</v>
          </cell>
          <cell r="O562" t="str">
            <v>Dibang</v>
          </cell>
          <cell r="P562" t="str">
            <v>Cyrille Alain Ngoufo Fopa</v>
          </cell>
          <cell r="Q562">
            <v>655999816</v>
          </cell>
          <cell r="R562">
            <v>677549816</v>
          </cell>
          <cell r="S562" t="str">
            <v>Valery Doudou</v>
          </cell>
          <cell r="T562" t="str">
            <v>GEORGES NAKHOUL</v>
          </cell>
          <cell r="U562" t="str">
            <v>I H S</v>
          </cell>
        </row>
        <row r="563">
          <cell r="A563" t="str">
            <v>LIT_012</v>
          </cell>
          <cell r="B563" t="str">
            <v>IHS_DLA_298</v>
          </cell>
          <cell r="C563" t="str">
            <v>LIT_012</v>
          </cell>
          <cell r="D563" t="str">
            <v>Littoral</v>
          </cell>
          <cell r="E563" t="str">
            <v>Littoral</v>
          </cell>
          <cell r="F563" t="str">
            <v>Sikoum</v>
          </cell>
          <cell r="G563" t="str">
            <v>P2</v>
          </cell>
          <cell r="H563" t="str">
            <v>Solar-Gen</v>
          </cell>
          <cell r="I563" t="str">
            <v>On Air</v>
          </cell>
          <cell r="J563" t="str">
            <v>Indoor</v>
          </cell>
          <cell r="K563" t="str">
            <v>AC</v>
          </cell>
          <cell r="L563" t="str">
            <v>SAGEMCOM</v>
          </cell>
          <cell r="M563" t="str">
            <v>Edea 2</v>
          </cell>
          <cell r="N563" t="str">
            <v>SANAGA-MARITIME</v>
          </cell>
          <cell r="O563" t="str">
            <v>Dibamba</v>
          </cell>
          <cell r="P563" t="str">
            <v>Cyrille Alain Ngoufo Fopa</v>
          </cell>
          <cell r="Q563">
            <v>655999816</v>
          </cell>
          <cell r="R563">
            <v>677549816</v>
          </cell>
          <cell r="S563" t="str">
            <v>Valery Doudou</v>
          </cell>
          <cell r="T563" t="str">
            <v>GEORGES NAKHOUL</v>
          </cell>
          <cell r="U563" t="str">
            <v>I H S</v>
          </cell>
        </row>
        <row r="564">
          <cell r="A564" t="str">
            <v>CTR_003</v>
          </cell>
          <cell r="B564" t="str">
            <v>IHS_EDA_029</v>
          </cell>
          <cell r="C564" t="str">
            <v>CTR_003</v>
          </cell>
          <cell r="D564" t="str">
            <v>Littoral</v>
          </cell>
          <cell r="E564" t="str">
            <v>Littoral</v>
          </cell>
          <cell r="F564" t="str">
            <v>Ebombe</v>
          </cell>
          <cell r="G564" t="str">
            <v>P2</v>
          </cell>
          <cell r="H564" t="str">
            <v>Solar-Gen</v>
          </cell>
          <cell r="I564" t="str">
            <v>On Air</v>
          </cell>
          <cell r="J564" t="str">
            <v>Indoor</v>
          </cell>
          <cell r="K564" t="str">
            <v>AC</v>
          </cell>
          <cell r="L564" t="str">
            <v>SAGEMCOM</v>
          </cell>
          <cell r="M564" t="str">
            <v>Pouma 1</v>
          </cell>
          <cell r="N564" t="str">
            <v>SANAGA-MARITIME</v>
          </cell>
          <cell r="O564" t="str">
            <v>POUMA</v>
          </cell>
          <cell r="P564" t="str">
            <v>Cyrille Alain Ngoufo Fopa</v>
          </cell>
          <cell r="Q564">
            <v>655999816</v>
          </cell>
          <cell r="R564">
            <v>677549816</v>
          </cell>
          <cell r="S564" t="str">
            <v>Valery Doudou</v>
          </cell>
          <cell r="T564" t="str">
            <v>GEORGES NAKHOUL</v>
          </cell>
          <cell r="U564" t="str">
            <v>I H S</v>
          </cell>
        </row>
        <row r="565">
          <cell r="A565" t="str">
            <v>SUD_001</v>
          </cell>
          <cell r="B565" t="str">
            <v>IHS_KRI_012</v>
          </cell>
          <cell r="C565" t="str">
            <v>SUD_001</v>
          </cell>
          <cell r="D565" t="str">
            <v>Littoral</v>
          </cell>
          <cell r="E565" t="str">
            <v>Littoral</v>
          </cell>
          <cell r="F565" t="str">
            <v>Bipaga</v>
          </cell>
          <cell r="G565" t="str">
            <v>P2</v>
          </cell>
          <cell r="H565" t="str">
            <v>Grid-Gen</v>
          </cell>
          <cell r="I565" t="str">
            <v>On Air</v>
          </cell>
          <cell r="J565" t="str">
            <v>Indoor</v>
          </cell>
          <cell r="K565" t="str">
            <v>AC</v>
          </cell>
          <cell r="L565" t="str">
            <v>SAGEMCOM</v>
          </cell>
          <cell r="M565" t="str">
            <v>Kribi</v>
          </cell>
          <cell r="N565" t="str">
            <v>OCEAN</v>
          </cell>
          <cell r="O565" t="str">
            <v>Kribi 1</v>
          </cell>
          <cell r="P565" t="str">
            <v>Cyrille Alain Ngoufo Fopa</v>
          </cell>
          <cell r="Q565">
            <v>655999816</v>
          </cell>
          <cell r="R565">
            <v>677549816</v>
          </cell>
          <cell r="S565" t="str">
            <v>Valery Doudou</v>
          </cell>
          <cell r="T565" t="str">
            <v>GEORGES NAKHOUL</v>
          </cell>
          <cell r="U565" t="str">
            <v>I H S</v>
          </cell>
        </row>
        <row r="566">
          <cell r="A566" t="str">
            <v>LIT_132</v>
          </cell>
          <cell r="B566" t="str">
            <v>IHS_KRI_024</v>
          </cell>
          <cell r="C566" t="str">
            <v>LIT_132</v>
          </cell>
          <cell r="D566" t="str">
            <v>Littoral</v>
          </cell>
          <cell r="E566" t="str">
            <v>Littoral</v>
          </cell>
          <cell r="F566" t="str">
            <v>Campo</v>
          </cell>
          <cell r="G566" t="str">
            <v>P2</v>
          </cell>
          <cell r="H566" t="str">
            <v>Grid-Gen</v>
          </cell>
          <cell r="I566" t="str">
            <v>On Air</v>
          </cell>
          <cell r="J566" t="str">
            <v>Indoor</v>
          </cell>
          <cell r="K566" t="str">
            <v>AC</v>
          </cell>
          <cell r="L566" t="str">
            <v>SAGEMCOM</v>
          </cell>
          <cell r="M566" t="str">
            <v>Kribi</v>
          </cell>
          <cell r="N566" t="str">
            <v>OCEAN</v>
          </cell>
          <cell r="O566" t="str">
            <v>Kribi 2</v>
          </cell>
          <cell r="P566" t="str">
            <v>Cyrille Alain Ngoufo Fopa</v>
          </cell>
          <cell r="Q566">
            <v>655999816</v>
          </cell>
          <cell r="R566">
            <v>677549816</v>
          </cell>
          <cell r="S566" t="str">
            <v>Valery Doudou</v>
          </cell>
          <cell r="T566" t="str">
            <v>GEORGES NAKHOUL</v>
          </cell>
          <cell r="U566" t="str">
            <v>I H S</v>
          </cell>
        </row>
        <row r="567">
          <cell r="A567" t="str">
            <v>SUD_004</v>
          </cell>
          <cell r="B567" t="str">
            <v>IHS_KRI_016</v>
          </cell>
          <cell r="C567" t="str">
            <v>SUD_004</v>
          </cell>
          <cell r="D567" t="str">
            <v>Littoral</v>
          </cell>
          <cell r="E567" t="str">
            <v>Littoral</v>
          </cell>
          <cell r="F567" t="str">
            <v>Pama</v>
          </cell>
          <cell r="G567" t="str">
            <v>P2</v>
          </cell>
          <cell r="H567" t="str">
            <v>Grid-Gen</v>
          </cell>
          <cell r="I567" t="str">
            <v>On Air</v>
          </cell>
          <cell r="J567" t="str">
            <v>Indoor</v>
          </cell>
          <cell r="K567" t="str">
            <v>AC</v>
          </cell>
          <cell r="L567" t="str">
            <v>SAGEMCOM</v>
          </cell>
          <cell r="M567" t="str">
            <v>Edea 2</v>
          </cell>
          <cell r="N567" t="str">
            <v>OCEAN</v>
          </cell>
          <cell r="O567" t="str">
            <v>Fifinda</v>
          </cell>
          <cell r="P567" t="str">
            <v>Cyrille Alain Ngoufo Fopa</v>
          </cell>
          <cell r="Q567">
            <v>655999816</v>
          </cell>
          <cell r="R567">
            <v>677549816</v>
          </cell>
          <cell r="S567" t="str">
            <v>Valery Doudou</v>
          </cell>
          <cell r="T567" t="str">
            <v>GEORGES NAKHOUL</v>
          </cell>
          <cell r="U567" t="str">
            <v>I H S</v>
          </cell>
        </row>
        <row r="568">
          <cell r="A568" t="str">
            <v>LIT_107</v>
          </cell>
          <cell r="B568" t="str">
            <v>IHS_KRI_010</v>
          </cell>
          <cell r="C568" t="str">
            <v>LIT_107</v>
          </cell>
          <cell r="D568" t="str">
            <v>Littoral</v>
          </cell>
          <cell r="E568" t="str">
            <v>Littoral</v>
          </cell>
          <cell r="F568" t="str">
            <v>Kribi-gd-batanga</v>
          </cell>
          <cell r="G568" t="str">
            <v>P2</v>
          </cell>
          <cell r="H568" t="str">
            <v>Grid-Gen</v>
          </cell>
          <cell r="I568" t="str">
            <v>On Air</v>
          </cell>
          <cell r="J568" t="str">
            <v>Indoor</v>
          </cell>
          <cell r="K568" t="str">
            <v>AC</v>
          </cell>
          <cell r="L568" t="str">
            <v>SAGEMCOM</v>
          </cell>
          <cell r="M568" t="str">
            <v>Kribi</v>
          </cell>
          <cell r="N568" t="str">
            <v>OCEAN</v>
          </cell>
          <cell r="O568" t="str">
            <v>Kribi 1</v>
          </cell>
          <cell r="P568" t="str">
            <v>Cyrille Alain Ngoufo Fopa</v>
          </cell>
          <cell r="Q568">
            <v>655999816</v>
          </cell>
          <cell r="R568">
            <v>677549816</v>
          </cell>
          <cell r="S568" t="str">
            <v>Valery Doudou</v>
          </cell>
          <cell r="T568" t="str">
            <v>GEORGES NAKHOUL</v>
          </cell>
          <cell r="U568" t="str">
            <v>I H S</v>
          </cell>
        </row>
        <row r="569">
          <cell r="A569" t="str">
            <v>LIT_133</v>
          </cell>
          <cell r="B569" t="str">
            <v>IHS_KRI_015</v>
          </cell>
          <cell r="C569" t="str">
            <v>LIT_133</v>
          </cell>
          <cell r="D569" t="str">
            <v>Littoral</v>
          </cell>
          <cell r="E569" t="str">
            <v>Littoral</v>
          </cell>
          <cell r="F569" t="str">
            <v>Colline-du-loup</v>
          </cell>
          <cell r="G569" t="str">
            <v>P2</v>
          </cell>
          <cell r="H569" t="str">
            <v>Solar-Gen</v>
          </cell>
          <cell r="I569" t="str">
            <v>On Air</v>
          </cell>
          <cell r="J569" t="str">
            <v>Indoor</v>
          </cell>
          <cell r="K569" t="str">
            <v>AC</v>
          </cell>
          <cell r="L569" t="str">
            <v>SAGEMCOM</v>
          </cell>
          <cell r="M569" t="str">
            <v>Kribi</v>
          </cell>
          <cell r="N569" t="str">
            <v>OCEAN</v>
          </cell>
          <cell r="O569" t="str">
            <v>Kribi 1</v>
          </cell>
          <cell r="P569" t="str">
            <v>Cyrille Alain Ngoufo Fopa</v>
          </cell>
          <cell r="Q569">
            <v>655999816</v>
          </cell>
          <cell r="R569">
            <v>677549816</v>
          </cell>
          <cell r="S569" t="str">
            <v>Valery Doudou</v>
          </cell>
          <cell r="T569" t="str">
            <v>GEORGES NAKHOUL</v>
          </cell>
          <cell r="U569" t="str">
            <v>I H S</v>
          </cell>
        </row>
        <row r="570">
          <cell r="A570" t="str">
            <v>SUD_005</v>
          </cell>
          <cell r="B570" t="str">
            <v>IHS_KRI_014</v>
          </cell>
          <cell r="C570" t="str">
            <v>SUD_005</v>
          </cell>
          <cell r="D570" t="str">
            <v>Littoral</v>
          </cell>
          <cell r="E570" t="str">
            <v>Littoral</v>
          </cell>
          <cell r="F570" t="str">
            <v>Niete-FH</v>
          </cell>
          <cell r="G570" t="str">
            <v>P2</v>
          </cell>
          <cell r="H570" t="str">
            <v>Grid-Hybrid-Gen</v>
          </cell>
          <cell r="I570" t="str">
            <v>On Air</v>
          </cell>
          <cell r="J570" t="str">
            <v>Outdoor</v>
          </cell>
          <cell r="K570" t="str">
            <v>AC</v>
          </cell>
          <cell r="L570" t="str">
            <v>SAGEMCOM</v>
          </cell>
          <cell r="M570" t="str">
            <v>Kribi</v>
          </cell>
          <cell r="N570" t="str">
            <v>OCEAN</v>
          </cell>
          <cell r="O570" t="str">
            <v>Kribi 1</v>
          </cell>
          <cell r="P570" t="str">
            <v>Cyrille Alain Ngoufo Fopa</v>
          </cell>
          <cell r="Q570">
            <v>655999816</v>
          </cell>
          <cell r="R570">
            <v>677549816</v>
          </cell>
          <cell r="S570" t="str">
            <v>Valery Doudou</v>
          </cell>
          <cell r="T570" t="str">
            <v>GEORGES NAKHOUL</v>
          </cell>
          <cell r="U570" t="str">
            <v>I H S</v>
          </cell>
        </row>
        <row r="571">
          <cell r="A571" t="str">
            <v>SUD_076</v>
          </cell>
          <cell r="B571" t="str">
            <v>IHS_KRI_028</v>
          </cell>
          <cell r="C571" t="str">
            <v>SUD_076</v>
          </cell>
          <cell r="D571" t="str">
            <v>Littoral</v>
          </cell>
          <cell r="E571" t="str">
            <v>Littoral</v>
          </cell>
          <cell r="F571" t="str">
            <v>Kribi-Port-Eau-Profonde-IHS</v>
          </cell>
          <cell r="G571" t="str">
            <v>P2</v>
          </cell>
          <cell r="H571" t="str">
            <v>Hybrid-Gen</v>
          </cell>
          <cell r="I571" t="str">
            <v>On Air</v>
          </cell>
          <cell r="J571" t="str">
            <v>Outdoor</v>
          </cell>
          <cell r="K571" t="str">
            <v>AC</v>
          </cell>
          <cell r="L571" t="str">
            <v>SAGEMCOM</v>
          </cell>
          <cell r="M571" t="str">
            <v>Kribi</v>
          </cell>
          <cell r="N571" t="str">
            <v>OCEAN</v>
          </cell>
          <cell r="O571" t="str">
            <v>Kribi 1</v>
          </cell>
          <cell r="P571" t="str">
            <v>Cyrille Alain Ngoufo Fopa</v>
          </cell>
          <cell r="Q571">
            <v>655999816</v>
          </cell>
          <cell r="R571">
            <v>677549816</v>
          </cell>
          <cell r="S571" t="str">
            <v>Valery Doudou</v>
          </cell>
          <cell r="T571" t="str">
            <v>GEORGES NAKHOUL</v>
          </cell>
          <cell r="U571" t="str">
            <v>I H S</v>
          </cell>
        </row>
        <row r="572">
          <cell r="A572" t="str">
            <v>LIT_138</v>
          </cell>
          <cell r="B572" t="str">
            <v>IHS_EDA_044</v>
          </cell>
          <cell r="C572" t="str">
            <v>LIT_138</v>
          </cell>
          <cell r="D572" t="str">
            <v>Littoral</v>
          </cell>
          <cell r="E572" t="str">
            <v>Littoral</v>
          </cell>
          <cell r="F572" t="str">
            <v>Sackbayeme</v>
          </cell>
          <cell r="G572" t="str">
            <v>P3</v>
          </cell>
          <cell r="H572" t="str">
            <v>Grid-Gen</v>
          </cell>
          <cell r="I572" t="str">
            <v>On Air</v>
          </cell>
          <cell r="J572" t="str">
            <v>Indoor</v>
          </cell>
          <cell r="K572" t="str">
            <v>AC</v>
          </cell>
          <cell r="L572" t="str">
            <v>SAGEMCOM</v>
          </cell>
          <cell r="M572" t="str">
            <v>Pouma 2</v>
          </cell>
          <cell r="N572" t="str">
            <v>SANAGA-MARITIME</v>
          </cell>
          <cell r="O572" t="str">
            <v>POUMA</v>
          </cell>
          <cell r="P572" t="str">
            <v>Cyrille Alain Ngoufo Fopa</v>
          </cell>
          <cell r="Q572">
            <v>655999816</v>
          </cell>
          <cell r="R572">
            <v>677549816</v>
          </cell>
          <cell r="S572" t="str">
            <v>Valery Doudou</v>
          </cell>
          <cell r="T572" t="str">
            <v>GEORGES NAKHOUL</v>
          </cell>
          <cell r="U572" t="str">
            <v>I H S</v>
          </cell>
        </row>
        <row r="573">
          <cell r="A573" t="str">
            <v>LIT_191</v>
          </cell>
          <cell r="B573" t="str">
            <v>IHS_EDA_039</v>
          </cell>
          <cell r="C573" t="str">
            <v>LIT_191</v>
          </cell>
          <cell r="D573" t="str">
            <v>Littoral</v>
          </cell>
          <cell r="E573" t="str">
            <v>Littoral</v>
          </cell>
          <cell r="F573" t="str">
            <v>Mouanko</v>
          </cell>
          <cell r="G573" t="str">
            <v>P3</v>
          </cell>
          <cell r="H573" t="str">
            <v>Grid-Gen</v>
          </cell>
          <cell r="I573" t="str">
            <v>On Air</v>
          </cell>
          <cell r="J573" t="str">
            <v>Indoor</v>
          </cell>
          <cell r="K573" t="str">
            <v>AC</v>
          </cell>
          <cell r="L573" t="str">
            <v>SAGEMCOM</v>
          </cell>
          <cell r="M573" t="str">
            <v>Edea 1</v>
          </cell>
          <cell r="N573" t="str">
            <v>SANAGA-MARITIME</v>
          </cell>
          <cell r="O573" t="str">
            <v>Mouanko</v>
          </cell>
          <cell r="P573" t="str">
            <v>Cyrille Alain Ngoufo Fopa</v>
          </cell>
          <cell r="Q573">
            <v>655999816</v>
          </cell>
          <cell r="R573">
            <v>677549816</v>
          </cell>
          <cell r="S573" t="str">
            <v>Valery Doudou</v>
          </cell>
          <cell r="T573" t="str">
            <v>GEORGES NAKHOUL</v>
          </cell>
          <cell r="U573" t="str">
            <v>I H S</v>
          </cell>
        </row>
        <row r="574">
          <cell r="A574" t="str">
            <v>LIT_108</v>
          </cell>
          <cell r="B574" t="str">
            <v>IHS_EDA_032</v>
          </cell>
          <cell r="C574" t="str">
            <v>LIT_108</v>
          </cell>
          <cell r="D574" t="str">
            <v>Littoral</v>
          </cell>
          <cell r="E574" t="str">
            <v>Littoral</v>
          </cell>
          <cell r="F574" t="str">
            <v>Ngwei</v>
          </cell>
          <cell r="G574" t="str">
            <v>P3</v>
          </cell>
          <cell r="H574" t="str">
            <v>Solar-Grid-Gen</v>
          </cell>
          <cell r="I574" t="str">
            <v>On Air</v>
          </cell>
          <cell r="J574" t="str">
            <v>Indoor</v>
          </cell>
          <cell r="K574" t="str">
            <v>AC</v>
          </cell>
          <cell r="L574" t="str">
            <v>SAGEMCOM</v>
          </cell>
          <cell r="M574" t="str">
            <v>Pouma 2</v>
          </cell>
          <cell r="N574" t="str">
            <v>SANAGA-MARITIME</v>
          </cell>
          <cell r="O574" t="str">
            <v>POUMA</v>
          </cell>
          <cell r="P574" t="str">
            <v>Cyrille Alain Ngoufo Fopa</v>
          </cell>
          <cell r="Q574">
            <v>655999816</v>
          </cell>
          <cell r="R574">
            <v>677549816</v>
          </cell>
          <cell r="S574" t="str">
            <v>Valery Doudou</v>
          </cell>
          <cell r="T574" t="str">
            <v>GEORGES NAKHOUL</v>
          </cell>
          <cell r="U574" t="str">
            <v>I H S</v>
          </cell>
        </row>
        <row r="575">
          <cell r="A575" t="str">
            <v>LIT_143</v>
          </cell>
          <cell r="B575" t="str">
            <v>IHS_EDA_034</v>
          </cell>
          <cell r="C575" t="str">
            <v>LIT_143</v>
          </cell>
          <cell r="D575" t="str">
            <v>Littoral</v>
          </cell>
          <cell r="E575" t="str">
            <v>Littoral</v>
          </cell>
          <cell r="F575" t="str">
            <v>Mbambou-IHS</v>
          </cell>
          <cell r="G575" t="str">
            <v>P3</v>
          </cell>
          <cell r="H575" t="str">
            <v>Hybrid-Gen</v>
          </cell>
          <cell r="I575" t="str">
            <v>On Air</v>
          </cell>
          <cell r="J575" t="str">
            <v>Outdoor</v>
          </cell>
          <cell r="K575" t="str">
            <v>AC</v>
          </cell>
          <cell r="L575" t="str">
            <v>SAGEMCOM</v>
          </cell>
          <cell r="M575" t="str">
            <v>Edea 1</v>
          </cell>
          <cell r="N575" t="str">
            <v>SANAGA-MARITIME</v>
          </cell>
          <cell r="O575" t="str">
            <v>Mouanko</v>
          </cell>
          <cell r="P575" t="str">
            <v>Cyrille Alain Ngoufo Fopa</v>
          </cell>
          <cell r="Q575">
            <v>655999816</v>
          </cell>
          <cell r="R575">
            <v>677549816</v>
          </cell>
          <cell r="S575" t="str">
            <v>Valery Doudou</v>
          </cell>
          <cell r="T575" t="str">
            <v>GEORGES NAKHOUL</v>
          </cell>
          <cell r="U575" t="str">
            <v>I H S</v>
          </cell>
        </row>
        <row r="576">
          <cell r="A576" t="str">
            <v>SUD_011</v>
          </cell>
          <cell r="B576" t="str">
            <v>IHS_KRI_018</v>
          </cell>
          <cell r="C576" t="str">
            <v>SUD_011</v>
          </cell>
          <cell r="D576" t="str">
            <v>Littoral</v>
          </cell>
          <cell r="E576" t="str">
            <v>Littoral</v>
          </cell>
          <cell r="F576" t="str">
            <v>Niete-DG</v>
          </cell>
          <cell r="G576" t="str">
            <v>P3</v>
          </cell>
          <cell r="H576" t="str">
            <v>Grid-Gen</v>
          </cell>
          <cell r="I576" t="str">
            <v>On Air</v>
          </cell>
          <cell r="J576" t="str">
            <v>Indoor</v>
          </cell>
          <cell r="K576" t="str">
            <v>AC</v>
          </cell>
          <cell r="L576" t="str">
            <v>SAGEMCOM</v>
          </cell>
          <cell r="M576" t="str">
            <v>Kribi</v>
          </cell>
          <cell r="N576" t="str">
            <v>OCEAN</v>
          </cell>
          <cell r="O576" t="str">
            <v>Kribi 1</v>
          </cell>
          <cell r="P576" t="str">
            <v>Cyrille Alain Ngoufo Fopa</v>
          </cell>
          <cell r="Q576">
            <v>655999816</v>
          </cell>
          <cell r="R576">
            <v>677549816</v>
          </cell>
          <cell r="S576" t="str">
            <v>Valery Doudou</v>
          </cell>
          <cell r="T576" t="str">
            <v>GEORGES NAKHOUL</v>
          </cell>
          <cell r="U576" t="str">
            <v>I H S</v>
          </cell>
        </row>
        <row r="577">
          <cell r="A577" t="str">
            <v>SUD_021</v>
          </cell>
          <cell r="B577" t="str">
            <v>IHS_KRI_009</v>
          </cell>
          <cell r="C577" t="str">
            <v>SUD_021</v>
          </cell>
          <cell r="D577" t="str">
            <v>Littoral</v>
          </cell>
          <cell r="E577" t="str">
            <v>Littoral</v>
          </cell>
          <cell r="F577" t="str">
            <v>Mpoloungoue</v>
          </cell>
          <cell r="G577" t="str">
            <v>P3</v>
          </cell>
          <cell r="H577" t="str">
            <v>Grid-Hybrid-Gen</v>
          </cell>
          <cell r="I577" t="str">
            <v>On Air</v>
          </cell>
          <cell r="J577" t="str">
            <v>Outdoor</v>
          </cell>
          <cell r="K577" t="str">
            <v>AC</v>
          </cell>
          <cell r="L577" t="str">
            <v>SAGEMCOM</v>
          </cell>
          <cell r="M577" t="str">
            <v>Kribi</v>
          </cell>
          <cell r="N577" t="str">
            <v>OCEAN</v>
          </cell>
          <cell r="O577" t="str">
            <v>Kribi 1</v>
          </cell>
          <cell r="P577" t="str">
            <v>Cyrille Alain Ngoufo Fopa</v>
          </cell>
          <cell r="Q577">
            <v>655999816</v>
          </cell>
          <cell r="R577">
            <v>677549816</v>
          </cell>
          <cell r="S577" t="str">
            <v>Valery Doudou</v>
          </cell>
          <cell r="T577" t="str">
            <v>GEORGES NAKHOUL</v>
          </cell>
          <cell r="U577" t="str">
            <v>I H S</v>
          </cell>
        </row>
        <row r="578">
          <cell r="A578" t="str">
            <v>SUD_240</v>
          </cell>
          <cell r="B578" t="str">
            <v>IHS_KRI_007</v>
          </cell>
          <cell r="C578" t="str">
            <v>SUD_240</v>
          </cell>
          <cell r="D578" t="str">
            <v>Littoral</v>
          </cell>
          <cell r="E578" t="str">
            <v>Littoral</v>
          </cell>
          <cell r="F578" t="str">
            <v>Kribi-Bwambe</v>
          </cell>
          <cell r="G578" t="str">
            <v>P3</v>
          </cell>
          <cell r="H578" t="str">
            <v>Grid-Gen</v>
          </cell>
          <cell r="I578" t="str">
            <v>On Air</v>
          </cell>
          <cell r="J578" t="str">
            <v>Outdoor</v>
          </cell>
          <cell r="K578" t="str">
            <v>AC</v>
          </cell>
          <cell r="L578" t="str">
            <v>SAGEMCOM</v>
          </cell>
          <cell r="M578" t="str">
            <v>Kribi</v>
          </cell>
          <cell r="N578" t="str">
            <v>OCEAN</v>
          </cell>
          <cell r="O578" t="str">
            <v>Kribi 1</v>
          </cell>
          <cell r="P578" t="str">
            <v>Cyrille Alain Ngoufo Fopa</v>
          </cell>
          <cell r="Q578">
            <v>655999816</v>
          </cell>
          <cell r="R578">
            <v>677549816</v>
          </cell>
          <cell r="S578" t="str">
            <v>Valery Doudou</v>
          </cell>
          <cell r="T578" t="str">
            <v>GEORGES NAKHOUL</v>
          </cell>
          <cell r="U578" t="str">
            <v>I H S</v>
          </cell>
        </row>
        <row r="579">
          <cell r="A579" t="str">
            <v>LIT_194</v>
          </cell>
          <cell r="B579" t="str">
            <v>IHS_KRI_020</v>
          </cell>
          <cell r="C579" t="str">
            <v>LIT_194</v>
          </cell>
          <cell r="D579" t="str">
            <v>Littoral</v>
          </cell>
          <cell r="E579" t="str">
            <v>Littoral</v>
          </cell>
          <cell r="F579" t="str">
            <v>Niete-V13</v>
          </cell>
          <cell r="G579" t="str">
            <v>P3</v>
          </cell>
          <cell r="H579" t="str">
            <v>Grid-Hybrid-Gen</v>
          </cell>
          <cell r="I579" t="str">
            <v>On Air</v>
          </cell>
          <cell r="J579" t="str">
            <v>Outdoor</v>
          </cell>
          <cell r="K579" t="str">
            <v>AC</v>
          </cell>
          <cell r="L579" t="str">
            <v>SAGEMCOM</v>
          </cell>
          <cell r="M579" t="str">
            <v>Kribi</v>
          </cell>
          <cell r="N579" t="str">
            <v>OCEAN</v>
          </cell>
          <cell r="O579" t="str">
            <v>Kribi 1</v>
          </cell>
          <cell r="P579" t="str">
            <v>Cyrille Alain Ngoufo Fopa</v>
          </cell>
          <cell r="Q579">
            <v>655999816</v>
          </cell>
          <cell r="R579">
            <v>677549816</v>
          </cell>
          <cell r="S579" t="str">
            <v>Valery Doudou</v>
          </cell>
          <cell r="T579" t="str">
            <v>GEORGES NAKHOUL</v>
          </cell>
          <cell r="U579" t="str">
            <v>I H S</v>
          </cell>
        </row>
        <row r="580">
          <cell r="A580" t="str">
            <v>LIT_506</v>
          </cell>
          <cell r="B580" t="str">
            <v>IHS_EDA_064</v>
          </cell>
          <cell r="C580" t="str">
            <v>LIT_506</v>
          </cell>
          <cell r="D580" t="str">
            <v>Littoral</v>
          </cell>
          <cell r="E580" t="str">
            <v>Littoral</v>
          </cell>
          <cell r="F580" t="str">
            <v>Sokelle</v>
          </cell>
          <cell r="G580" t="str">
            <v>P4</v>
          </cell>
          <cell r="H580" t="str">
            <v>Gen Only</v>
          </cell>
          <cell r="I580" t="str">
            <v>On Air</v>
          </cell>
          <cell r="J580" t="str">
            <v>Outdoor</v>
          </cell>
          <cell r="K580" t="str">
            <v>AC</v>
          </cell>
          <cell r="L580" t="str">
            <v>SAGEMCOM</v>
          </cell>
          <cell r="M580" t="str">
            <v>Pouma 1</v>
          </cell>
          <cell r="N580" t="str">
            <v>SANAGA-MARITIME</v>
          </cell>
          <cell r="O580" t="str">
            <v>POUMA</v>
          </cell>
          <cell r="P580" t="str">
            <v>Cyrille Alain Ngoufo Fopa</v>
          </cell>
          <cell r="Q580">
            <v>655999816</v>
          </cell>
          <cell r="R580">
            <v>677549816</v>
          </cell>
          <cell r="S580" t="str">
            <v>Valery Doudou</v>
          </cell>
          <cell r="T580" t="str">
            <v>GEORGES NAKHOUL</v>
          </cell>
          <cell r="U580" t="str">
            <v>I H S</v>
          </cell>
        </row>
        <row r="581">
          <cell r="A581" t="str">
            <v>LIT_515</v>
          </cell>
          <cell r="B581" t="str">
            <v>IHS_EDA_069</v>
          </cell>
          <cell r="C581" t="str">
            <v>LIT_515</v>
          </cell>
          <cell r="D581" t="str">
            <v>Littoral</v>
          </cell>
          <cell r="E581" t="str">
            <v>Littoral</v>
          </cell>
          <cell r="F581" t="str">
            <v>Sodibanga</v>
          </cell>
          <cell r="G581" t="str">
            <v>P4</v>
          </cell>
          <cell r="H581" t="str">
            <v>Hybrid-Gen</v>
          </cell>
          <cell r="I581" t="str">
            <v>On Air</v>
          </cell>
          <cell r="J581" t="str">
            <v>Outdoor</v>
          </cell>
          <cell r="K581" t="str">
            <v>AC</v>
          </cell>
          <cell r="L581" t="str">
            <v>SAGEMCOM</v>
          </cell>
          <cell r="M581" t="str">
            <v>Pouma 1</v>
          </cell>
          <cell r="N581" t="str">
            <v>SANAGA-MARITIME</v>
          </cell>
          <cell r="O581" t="str">
            <v>POUMA</v>
          </cell>
          <cell r="P581" t="str">
            <v>Cyrille Alain Ngoufo Fopa</v>
          </cell>
          <cell r="Q581">
            <v>655999816</v>
          </cell>
          <cell r="R581">
            <v>677549816</v>
          </cell>
          <cell r="S581" t="str">
            <v>Valery Doudou</v>
          </cell>
          <cell r="T581" t="str">
            <v>GEORGES NAKHOUL</v>
          </cell>
          <cell r="U581" t="str">
            <v>I H S</v>
          </cell>
        </row>
        <row r="582">
          <cell r="A582" t="str">
            <v>LIT_388</v>
          </cell>
          <cell r="B582" t="str">
            <v>IHS_EDA_024</v>
          </cell>
          <cell r="C582" t="str">
            <v>LIT_388</v>
          </cell>
          <cell r="D582" t="str">
            <v>Littoral</v>
          </cell>
          <cell r="E582" t="str">
            <v>Littoral</v>
          </cell>
          <cell r="F582" t="str">
            <v>Sikoum-II</v>
          </cell>
          <cell r="G582" t="str">
            <v>P4</v>
          </cell>
          <cell r="H582" t="str">
            <v>Hybrid-Gen</v>
          </cell>
          <cell r="I582" t="str">
            <v>On Air</v>
          </cell>
          <cell r="J582" t="str">
            <v>Outdoor</v>
          </cell>
          <cell r="K582" t="str">
            <v>AC</v>
          </cell>
          <cell r="L582" t="str">
            <v>SAGEMCOM</v>
          </cell>
          <cell r="M582" t="str">
            <v>Edea 2</v>
          </cell>
          <cell r="N582" t="str">
            <v>SANAGA-MARITIME</v>
          </cell>
          <cell r="O582" t="str">
            <v>Dibamba</v>
          </cell>
          <cell r="P582" t="str">
            <v>Cyrille Alain Ngoufo Fopa</v>
          </cell>
          <cell r="Q582">
            <v>655999816</v>
          </cell>
          <cell r="R582">
            <v>677549816</v>
          </cell>
          <cell r="S582" t="str">
            <v>Valery Doudou</v>
          </cell>
          <cell r="T582" t="str">
            <v>GEORGES NAKHOUL</v>
          </cell>
          <cell r="U582" t="str">
            <v>I H S</v>
          </cell>
        </row>
        <row r="583">
          <cell r="A583" t="str">
            <v>LIT_507</v>
          </cell>
          <cell r="B583" t="str">
            <v>IHS_YND_700</v>
          </cell>
          <cell r="C583" t="str">
            <v>LIT_507</v>
          </cell>
          <cell r="D583" t="str">
            <v>Littoral</v>
          </cell>
          <cell r="E583" t="str">
            <v>Littoral</v>
          </cell>
          <cell r="F583" t="str">
            <v>Sibongo</v>
          </cell>
          <cell r="G583" t="str">
            <v>P4</v>
          </cell>
          <cell r="H583" t="str">
            <v>Grid-Gen</v>
          </cell>
          <cell r="I583" t="str">
            <v>On Air</v>
          </cell>
          <cell r="J583" t="str">
            <v>Outdoor</v>
          </cell>
          <cell r="K583" t="str">
            <v>AC</v>
          </cell>
          <cell r="L583" t="str">
            <v>SAGEMCOM</v>
          </cell>
          <cell r="M583" t="str">
            <v>Pouma 2</v>
          </cell>
          <cell r="N583" t="str">
            <v>NYONG-ET-KELLE</v>
          </cell>
          <cell r="O583" t="str">
            <v>Dibang</v>
          </cell>
          <cell r="P583" t="str">
            <v>Cyrille Alain Ngoufo Fopa</v>
          </cell>
          <cell r="Q583">
            <v>655999816</v>
          </cell>
          <cell r="R583">
            <v>677549816</v>
          </cell>
          <cell r="S583" t="str">
            <v>Valery Doudou</v>
          </cell>
          <cell r="T583" t="str">
            <v>GEORGES NAKHOUL</v>
          </cell>
          <cell r="U583" t="str">
            <v>I H S</v>
          </cell>
        </row>
        <row r="584">
          <cell r="A584" t="str">
            <v>LIT_513</v>
          </cell>
          <cell r="B584" t="str">
            <v>IHS_EDA_068</v>
          </cell>
          <cell r="C584" t="str">
            <v>LIT_513</v>
          </cell>
          <cell r="D584" t="str">
            <v>Littoral</v>
          </cell>
          <cell r="E584" t="str">
            <v>Littoral</v>
          </cell>
          <cell r="F584" t="str">
            <v>Poutkak</v>
          </cell>
          <cell r="G584" t="str">
            <v>P4</v>
          </cell>
          <cell r="H584" t="str">
            <v>Hybrid-Gen</v>
          </cell>
          <cell r="I584" t="str">
            <v>On Air</v>
          </cell>
          <cell r="J584" t="str">
            <v>Outdoor</v>
          </cell>
          <cell r="K584" t="str">
            <v>AC</v>
          </cell>
          <cell r="L584" t="str">
            <v>SAGEMCOM</v>
          </cell>
          <cell r="M584" t="str">
            <v>Pouma 2</v>
          </cell>
          <cell r="N584" t="str">
            <v>SANAGA-MARITIME</v>
          </cell>
          <cell r="O584" t="str">
            <v>POUMA</v>
          </cell>
          <cell r="P584" t="str">
            <v>Cyrille Alain Ngoufo Fopa</v>
          </cell>
          <cell r="Q584">
            <v>655999816</v>
          </cell>
          <cell r="R584">
            <v>677549816</v>
          </cell>
          <cell r="S584" t="str">
            <v>Valery Doudou</v>
          </cell>
          <cell r="T584" t="str">
            <v>GEORGES NAKHOUL</v>
          </cell>
          <cell r="U584" t="str">
            <v>I H S</v>
          </cell>
        </row>
        <row r="585">
          <cell r="A585" t="str">
            <v>LIT_514</v>
          </cell>
          <cell r="B585" t="str">
            <v>IHS_YND_701</v>
          </cell>
          <cell r="C585" t="str">
            <v>LIT_514</v>
          </cell>
          <cell r="D585" t="str">
            <v>Littoral</v>
          </cell>
          <cell r="E585" t="str">
            <v>Littoral</v>
          </cell>
          <cell r="F585" t="str">
            <v>NKAN</v>
          </cell>
          <cell r="G585" t="str">
            <v>P4</v>
          </cell>
          <cell r="H585" t="str">
            <v>Hybrid-Gen</v>
          </cell>
          <cell r="I585" t="str">
            <v>On Air</v>
          </cell>
          <cell r="J585" t="str">
            <v>Outdoor</v>
          </cell>
          <cell r="K585" t="str">
            <v>AC</v>
          </cell>
          <cell r="L585" t="str">
            <v>SAGEMCOM</v>
          </cell>
          <cell r="M585" t="str">
            <v>Pouma 2</v>
          </cell>
          <cell r="N585" t="str">
            <v>SANAGA-MARITIME</v>
          </cell>
          <cell r="O585" t="str">
            <v>POUMA</v>
          </cell>
          <cell r="P585" t="str">
            <v>Cyrille Alain Ngoufo Fopa</v>
          </cell>
          <cell r="Q585">
            <v>655999816</v>
          </cell>
          <cell r="R585">
            <v>677549816</v>
          </cell>
          <cell r="S585" t="str">
            <v>Valery Doudou</v>
          </cell>
          <cell r="T585" t="str">
            <v>GEORGES NAKHOUL</v>
          </cell>
          <cell r="U585" t="str">
            <v>I H S</v>
          </cell>
        </row>
        <row r="586">
          <cell r="A586" t="str">
            <v>LIT_227</v>
          </cell>
          <cell r="B586" t="str">
            <v>IHS_DLA_296</v>
          </cell>
          <cell r="C586" t="str">
            <v>LIT_227</v>
          </cell>
          <cell r="D586" t="str">
            <v>Littoral</v>
          </cell>
          <cell r="E586" t="str">
            <v>Littoral</v>
          </cell>
          <cell r="F586" t="str">
            <v>Missole</v>
          </cell>
          <cell r="G586" t="str">
            <v>P4</v>
          </cell>
          <cell r="H586" t="str">
            <v>Gen Only</v>
          </cell>
          <cell r="I586" t="str">
            <v>On Air</v>
          </cell>
          <cell r="J586" t="str">
            <v>Outdoor</v>
          </cell>
          <cell r="K586" t="str">
            <v>AC</v>
          </cell>
          <cell r="L586" t="str">
            <v>SAGEMCOM</v>
          </cell>
          <cell r="M586" t="str">
            <v>Edea 1</v>
          </cell>
          <cell r="N586" t="str">
            <v>SANAGA-MARITIME</v>
          </cell>
          <cell r="O586" t="str">
            <v>Dibamba</v>
          </cell>
          <cell r="P586" t="str">
            <v>Cyrille Alain Ngoufo Fopa</v>
          </cell>
          <cell r="Q586">
            <v>655999816</v>
          </cell>
          <cell r="R586">
            <v>677549816</v>
          </cell>
          <cell r="S586" t="str">
            <v>Valery Doudou</v>
          </cell>
          <cell r="T586" t="str">
            <v>GEORGES NAKHOUL</v>
          </cell>
          <cell r="U586" t="str">
            <v>I H S</v>
          </cell>
        </row>
        <row r="587">
          <cell r="A587" t="str">
            <v>LIT_519</v>
          </cell>
          <cell r="B587" t="str">
            <v>IHS_EDA_070</v>
          </cell>
          <cell r="C587" t="str">
            <v>LIT_519</v>
          </cell>
          <cell r="D587" t="str">
            <v>Littoral</v>
          </cell>
          <cell r="E587" t="str">
            <v>Littoral</v>
          </cell>
          <cell r="F587" t="str">
            <v>Mandjap</v>
          </cell>
          <cell r="G587" t="str">
            <v>P4</v>
          </cell>
          <cell r="H587" t="str">
            <v>Hybrid-Gen</v>
          </cell>
          <cell r="I587" t="str">
            <v>On Air</v>
          </cell>
          <cell r="J587" t="str">
            <v>Outdoor</v>
          </cell>
          <cell r="K587" t="str">
            <v>AC</v>
          </cell>
          <cell r="L587" t="str">
            <v>SAGEMCOM</v>
          </cell>
          <cell r="M587" t="str">
            <v>Pouma 1</v>
          </cell>
          <cell r="N587" t="str">
            <v>SANAGA-MARITIME</v>
          </cell>
          <cell r="O587" t="str">
            <v>POUMA</v>
          </cell>
          <cell r="P587" t="str">
            <v>Cyrille Alain Ngoufo Fopa</v>
          </cell>
          <cell r="Q587">
            <v>655999816</v>
          </cell>
          <cell r="R587">
            <v>677549816</v>
          </cell>
          <cell r="S587" t="str">
            <v>Valery Doudou</v>
          </cell>
          <cell r="T587" t="str">
            <v>GEORGES NAKHOUL</v>
          </cell>
          <cell r="U587" t="str">
            <v>I H S</v>
          </cell>
        </row>
        <row r="588">
          <cell r="A588" t="str">
            <v>LIT_508</v>
          </cell>
          <cell r="B588" t="str">
            <v>IHS_EDA_060</v>
          </cell>
          <cell r="C588" t="str">
            <v>LIT_508</v>
          </cell>
          <cell r="D588" t="str">
            <v>Littoral</v>
          </cell>
          <cell r="E588" t="str">
            <v>Littoral</v>
          </cell>
          <cell r="F588" t="str">
            <v>Logbong</v>
          </cell>
          <cell r="G588" t="str">
            <v>P4</v>
          </cell>
          <cell r="H588" t="str">
            <v>Grid-Gen</v>
          </cell>
          <cell r="I588" t="str">
            <v>On Air</v>
          </cell>
          <cell r="J588" t="str">
            <v>Outdoor</v>
          </cell>
          <cell r="K588" t="str">
            <v>AC</v>
          </cell>
          <cell r="L588" t="str">
            <v>SAGEMCOM</v>
          </cell>
          <cell r="M588" t="str">
            <v>Pouma 2</v>
          </cell>
          <cell r="N588" t="str">
            <v>SANAGA-MARITIME</v>
          </cell>
          <cell r="O588" t="str">
            <v>POUMA</v>
          </cell>
          <cell r="P588" t="str">
            <v>Cyrille Alain Ngoufo Fopa</v>
          </cell>
          <cell r="Q588">
            <v>655999816</v>
          </cell>
          <cell r="R588">
            <v>677549816</v>
          </cell>
          <cell r="S588" t="str">
            <v>Valery Doudou</v>
          </cell>
          <cell r="T588" t="str">
            <v>GEORGES NAKHOUL</v>
          </cell>
          <cell r="U588" t="str">
            <v>I H S</v>
          </cell>
        </row>
        <row r="589">
          <cell r="A589" t="str">
            <v>LIT_456</v>
          </cell>
          <cell r="B589" t="str">
            <v>IHS_DLA_456</v>
          </cell>
          <cell r="C589" t="str">
            <v>LIT_456</v>
          </cell>
          <cell r="D589" t="str">
            <v>Littoral</v>
          </cell>
          <cell r="E589" t="str">
            <v>Littoral</v>
          </cell>
          <cell r="F589" t="str">
            <v>Edea Mbondanjick</v>
          </cell>
          <cell r="G589" t="str">
            <v>P4</v>
          </cell>
          <cell r="H589" t="str">
            <v>Hybrid-Gen</v>
          </cell>
          <cell r="I589" t="str">
            <v>On Air</v>
          </cell>
          <cell r="J589" t="str">
            <v>Outdoor</v>
          </cell>
          <cell r="K589" t="str">
            <v>AC</v>
          </cell>
          <cell r="L589" t="str">
            <v>SAGEMCOM</v>
          </cell>
          <cell r="M589" t="str">
            <v>Edea 2</v>
          </cell>
          <cell r="N589" t="str">
            <v>SANAGA-MARITIME</v>
          </cell>
          <cell r="O589" t="str">
            <v>Edea 1</v>
          </cell>
          <cell r="P589" t="str">
            <v>Cyrille Alain Ngoufo Fopa</v>
          </cell>
          <cell r="Q589">
            <v>655999816</v>
          </cell>
          <cell r="R589">
            <v>677549816</v>
          </cell>
          <cell r="S589" t="str">
            <v>Valery Doudou</v>
          </cell>
          <cell r="T589" t="str">
            <v>GEORGES NAKHOUL</v>
          </cell>
          <cell r="U589" t="str">
            <v>I H S</v>
          </cell>
        </row>
        <row r="590">
          <cell r="A590" t="str">
            <v>LIT_517</v>
          </cell>
          <cell r="B590" t="str">
            <v>IHS_EDA_063</v>
          </cell>
          <cell r="C590" t="str">
            <v>LIT_517</v>
          </cell>
          <cell r="D590" t="str">
            <v>Littoral</v>
          </cell>
          <cell r="E590" t="str">
            <v>Littoral</v>
          </cell>
          <cell r="F590" t="str">
            <v>Bihaing</v>
          </cell>
          <cell r="G590" t="str">
            <v>P4</v>
          </cell>
          <cell r="H590" t="str">
            <v>Grid-Gen</v>
          </cell>
          <cell r="I590" t="str">
            <v>On Air</v>
          </cell>
          <cell r="J590" t="str">
            <v>Outdoor</v>
          </cell>
          <cell r="K590" t="str">
            <v>AC</v>
          </cell>
          <cell r="L590" t="str">
            <v>SAGEMCOM</v>
          </cell>
          <cell r="M590" t="str">
            <v>Pouma 2</v>
          </cell>
          <cell r="N590" t="str">
            <v>SANAGA-MARITIME</v>
          </cell>
          <cell r="O590" t="str">
            <v>POUMA</v>
          </cell>
          <cell r="P590" t="str">
            <v>Cyrille Alain Ngoufo Fopa</v>
          </cell>
          <cell r="Q590">
            <v>655999816</v>
          </cell>
          <cell r="R590">
            <v>677549816</v>
          </cell>
          <cell r="S590" t="str">
            <v>Valery Doudou</v>
          </cell>
          <cell r="T590" t="str">
            <v>GEORGES NAKHOUL</v>
          </cell>
          <cell r="U590" t="str">
            <v>I H S</v>
          </cell>
        </row>
        <row r="591">
          <cell r="A591" t="str">
            <v>LIT_201</v>
          </cell>
          <cell r="B591" t="str">
            <v>IHS_EDA_114</v>
          </cell>
          <cell r="C591" t="str">
            <v>LIT_201</v>
          </cell>
          <cell r="D591" t="str">
            <v>Littoral</v>
          </cell>
          <cell r="E591" t="str">
            <v>Littoral</v>
          </cell>
          <cell r="F591" t="str">
            <v>Pouma Makop</v>
          </cell>
          <cell r="G591" t="str">
            <v>P4</v>
          </cell>
          <cell r="H591" t="str">
            <v>Grid-Gen</v>
          </cell>
          <cell r="I591" t="str">
            <v>On Air</v>
          </cell>
          <cell r="J591" t="str">
            <v>Outdoor</v>
          </cell>
          <cell r="K591" t="str">
            <v>AC</v>
          </cell>
          <cell r="L591" t="str">
            <v>SAGEMCOM</v>
          </cell>
          <cell r="M591" t="str">
            <v>Pouma 2</v>
          </cell>
          <cell r="N591" t="str">
            <v>SANAGA-MARITIME</v>
          </cell>
          <cell r="O591" t="str">
            <v>POUMA</v>
          </cell>
          <cell r="P591" t="str">
            <v>Cyrille Alain Ngoufo Fopa</v>
          </cell>
          <cell r="Q591">
            <v>655999816</v>
          </cell>
          <cell r="R591">
            <v>677549816</v>
          </cell>
          <cell r="S591" t="str">
            <v>Valery Doudou</v>
          </cell>
          <cell r="T591" t="str">
            <v>GEORGES NAKHOUL</v>
          </cell>
          <cell r="U591" t="str">
            <v>I H S</v>
          </cell>
        </row>
        <row r="592">
          <cell r="A592" t="str">
            <v>LIT_323</v>
          </cell>
          <cell r="B592" t="str">
            <v>IHS_EDA_016</v>
          </cell>
          <cell r="C592" t="str">
            <v>LIT_323</v>
          </cell>
          <cell r="D592" t="str">
            <v>Littoral</v>
          </cell>
          <cell r="E592" t="str">
            <v>Littoral</v>
          </cell>
          <cell r="F592" t="str">
            <v>Okoth</v>
          </cell>
          <cell r="G592" t="str">
            <v>P4</v>
          </cell>
          <cell r="H592" t="str">
            <v>Grid-Gen</v>
          </cell>
          <cell r="I592" t="str">
            <v>On Air</v>
          </cell>
          <cell r="J592" t="str">
            <v>Outdoor</v>
          </cell>
          <cell r="K592" t="str">
            <v>AC</v>
          </cell>
          <cell r="L592" t="str">
            <v>SAGEMCOM</v>
          </cell>
          <cell r="M592" t="str">
            <v>Edea 2</v>
          </cell>
          <cell r="N592" t="str">
            <v>SANAGA-MARITIME</v>
          </cell>
          <cell r="O592" t="str">
            <v>Edea 1</v>
          </cell>
          <cell r="P592" t="str">
            <v>Cyrille Alain Ngoufo Fopa</v>
          </cell>
          <cell r="Q592">
            <v>655999816</v>
          </cell>
          <cell r="R592">
            <v>677549816</v>
          </cell>
          <cell r="S592" t="str">
            <v>Valery Doudou</v>
          </cell>
          <cell r="T592" t="str">
            <v>GEORGES NAKHOUL</v>
          </cell>
          <cell r="U592" t="str">
            <v>I H S</v>
          </cell>
        </row>
        <row r="593">
          <cell r="A593" t="str">
            <v>LIT_000</v>
          </cell>
          <cell r="B593" t="str">
            <v>IHS_EDA_003</v>
          </cell>
          <cell r="C593" t="str">
            <v>LIT_000</v>
          </cell>
          <cell r="D593" t="str">
            <v>Littoral</v>
          </cell>
          <cell r="E593" t="str">
            <v>Littoral</v>
          </cell>
          <cell r="F593" t="str">
            <v>Edea-Q-Haoussa</v>
          </cell>
          <cell r="G593" t="str">
            <v>P4</v>
          </cell>
          <cell r="H593" t="str">
            <v>Grid-Gen</v>
          </cell>
          <cell r="I593" t="str">
            <v>On Air</v>
          </cell>
          <cell r="J593" t="str">
            <v>Outdoor</v>
          </cell>
          <cell r="K593" t="str">
            <v>AC</v>
          </cell>
          <cell r="L593" t="str">
            <v>SAGEMCOM</v>
          </cell>
          <cell r="M593" t="str">
            <v>Edea 1</v>
          </cell>
          <cell r="N593" t="str">
            <v>SANAGA-MARITIME</v>
          </cell>
          <cell r="O593" t="str">
            <v>Edea 1</v>
          </cell>
          <cell r="P593" t="str">
            <v>Cyrille Alain Ngoufo Fopa</v>
          </cell>
          <cell r="Q593">
            <v>655999816</v>
          </cell>
          <cell r="R593">
            <v>677549816</v>
          </cell>
          <cell r="S593" t="str">
            <v>Valery Doudou</v>
          </cell>
          <cell r="T593" t="str">
            <v>GEORGES NAKHOUL</v>
          </cell>
          <cell r="U593" t="str">
            <v>I H S</v>
          </cell>
        </row>
        <row r="594">
          <cell r="A594" t="str">
            <v>LIT_040</v>
          </cell>
          <cell r="B594" t="str">
            <v>IHS_EDA_023</v>
          </cell>
          <cell r="C594" t="str">
            <v>LIT_040</v>
          </cell>
          <cell r="D594" t="str">
            <v>Littoral</v>
          </cell>
          <cell r="E594" t="str">
            <v>Littoral</v>
          </cell>
          <cell r="F594" t="str">
            <v>Safacam</v>
          </cell>
          <cell r="G594" t="str">
            <v>P4</v>
          </cell>
          <cell r="H594" t="str">
            <v>Grid-Gen</v>
          </cell>
          <cell r="I594" t="str">
            <v>On Air</v>
          </cell>
          <cell r="J594" t="str">
            <v>Indoor</v>
          </cell>
          <cell r="K594" t="str">
            <v>AC</v>
          </cell>
          <cell r="L594" t="str">
            <v>SAGEMCOM</v>
          </cell>
          <cell r="M594" t="str">
            <v>Edea 1</v>
          </cell>
          <cell r="N594" t="str">
            <v>SANAGA-MARITIME</v>
          </cell>
          <cell r="O594" t="str">
            <v>Dizangue</v>
          </cell>
          <cell r="P594" t="str">
            <v>Cyrille Alain Ngoufo Fopa</v>
          </cell>
          <cell r="Q594">
            <v>655999816</v>
          </cell>
          <cell r="R594">
            <v>677549816</v>
          </cell>
          <cell r="S594" t="str">
            <v>Valery Doudou</v>
          </cell>
          <cell r="T594" t="str">
            <v>GEORGES NAKHOUL</v>
          </cell>
          <cell r="U594" t="str">
            <v>I H S</v>
          </cell>
        </row>
        <row r="595">
          <cell r="A595" t="str">
            <v>LIT_078</v>
          </cell>
          <cell r="B595" t="str">
            <v>IHS_EDA_005</v>
          </cell>
          <cell r="C595" t="str">
            <v>LIT_078</v>
          </cell>
          <cell r="D595" t="str">
            <v>Littoral</v>
          </cell>
          <cell r="E595" t="str">
            <v>Littoral</v>
          </cell>
          <cell r="F595" t="str">
            <v>Edea-Ville</v>
          </cell>
          <cell r="G595" t="str">
            <v>P4</v>
          </cell>
          <cell r="H595" t="str">
            <v>Grid-Gen</v>
          </cell>
          <cell r="I595" t="str">
            <v>On Air</v>
          </cell>
          <cell r="J595" t="str">
            <v>Indoor</v>
          </cell>
          <cell r="K595" t="str">
            <v>AC</v>
          </cell>
          <cell r="L595" t="str">
            <v>SAGEMCOM</v>
          </cell>
          <cell r="M595" t="str">
            <v>Edea 1</v>
          </cell>
          <cell r="N595" t="str">
            <v>SANAGA-MARITIME</v>
          </cell>
          <cell r="O595" t="str">
            <v>Edea 1</v>
          </cell>
          <cell r="P595" t="str">
            <v>Cyrille Alain Ngoufo Fopa</v>
          </cell>
          <cell r="Q595">
            <v>655999816</v>
          </cell>
          <cell r="R595">
            <v>677549816</v>
          </cell>
          <cell r="S595" t="str">
            <v>Valery Doudou</v>
          </cell>
          <cell r="T595" t="str">
            <v>GEORGES NAKHOUL</v>
          </cell>
          <cell r="U595" t="str">
            <v>I H S</v>
          </cell>
        </row>
        <row r="596">
          <cell r="A596" t="str">
            <v>LIT_209</v>
          </cell>
          <cell r="B596" t="str">
            <v>IHS_EDA_006</v>
          </cell>
          <cell r="C596" t="str">
            <v>LIT_209</v>
          </cell>
          <cell r="D596" t="str">
            <v>Littoral</v>
          </cell>
          <cell r="E596" t="str">
            <v>Littoral</v>
          </cell>
          <cell r="F596" t="str">
            <v>Cellucam-new</v>
          </cell>
          <cell r="G596" t="str">
            <v>P4</v>
          </cell>
          <cell r="H596" t="str">
            <v>Grid-Gen</v>
          </cell>
          <cell r="I596" t="str">
            <v>On Air</v>
          </cell>
          <cell r="J596" t="str">
            <v>Indoor</v>
          </cell>
          <cell r="K596" t="str">
            <v>AC</v>
          </cell>
          <cell r="L596" t="str">
            <v>SAGEMCOM</v>
          </cell>
          <cell r="M596" t="str">
            <v>Edea 2</v>
          </cell>
          <cell r="N596" t="str">
            <v>SANAGA-MARITIME</v>
          </cell>
          <cell r="O596" t="str">
            <v>Edea 2</v>
          </cell>
          <cell r="P596" t="str">
            <v>Cyrille Alain Ngoufo Fopa</v>
          </cell>
          <cell r="Q596">
            <v>655999816</v>
          </cell>
          <cell r="R596">
            <v>677549816</v>
          </cell>
          <cell r="S596" t="str">
            <v>Valery Doudou</v>
          </cell>
          <cell r="T596" t="str">
            <v>GEORGES NAKHOUL</v>
          </cell>
          <cell r="U596" t="str">
            <v>I H S</v>
          </cell>
        </row>
        <row r="597">
          <cell r="A597" t="str">
            <v>LIT_308</v>
          </cell>
          <cell r="B597" t="str">
            <v>IHS_EDA_037</v>
          </cell>
          <cell r="C597" t="str">
            <v>LIT_308</v>
          </cell>
          <cell r="D597" t="str">
            <v>Littoral</v>
          </cell>
          <cell r="E597" t="str">
            <v>Littoral</v>
          </cell>
          <cell r="F597" t="str">
            <v>Ndokoma</v>
          </cell>
          <cell r="G597" t="str">
            <v>P4</v>
          </cell>
          <cell r="H597" t="str">
            <v>Grid-Hybrid-Gen</v>
          </cell>
          <cell r="I597" t="str">
            <v>On Air</v>
          </cell>
          <cell r="J597" t="str">
            <v>Outdoor</v>
          </cell>
          <cell r="K597" t="str">
            <v>AC</v>
          </cell>
          <cell r="L597" t="str">
            <v>SAGEMCOM</v>
          </cell>
          <cell r="M597" t="str">
            <v>Pouma 2</v>
          </cell>
          <cell r="N597" t="str">
            <v>SANAGA-MARITIME</v>
          </cell>
          <cell r="O597" t="str">
            <v>POUMA</v>
          </cell>
          <cell r="P597" t="str">
            <v>Cyrille Alain Ngoufo Fopa</v>
          </cell>
          <cell r="Q597">
            <v>655999816</v>
          </cell>
          <cell r="R597">
            <v>677549816</v>
          </cell>
          <cell r="S597" t="str">
            <v>Valery Doudou</v>
          </cell>
          <cell r="T597" t="str">
            <v>GEORGES NAKHOUL</v>
          </cell>
          <cell r="U597" t="str">
            <v>I H S</v>
          </cell>
        </row>
        <row r="598">
          <cell r="A598" t="str">
            <v>SUO_037</v>
          </cell>
          <cell r="B598" t="str">
            <v>IHS_KRI_017</v>
          </cell>
          <cell r="C598" t="str">
            <v>SUO_037</v>
          </cell>
          <cell r="D598" t="str">
            <v>Littoral</v>
          </cell>
          <cell r="E598" t="str">
            <v>Littoral</v>
          </cell>
          <cell r="F598" t="str">
            <v>Elogbatindi</v>
          </cell>
          <cell r="G598" t="str">
            <v>P4</v>
          </cell>
          <cell r="H598" t="str">
            <v>Grid-Gen</v>
          </cell>
          <cell r="I598" t="str">
            <v>On Air</v>
          </cell>
          <cell r="J598" t="str">
            <v>Outdoor</v>
          </cell>
          <cell r="K598" t="str">
            <v>AC</v>
          </cell>
          <cell r="L598" t="str">
            <v>SAGEMCOM</v>
          </cell>
          <cell r="M598" t="str">
            <v>Kribi</v>
          </cell>
          <cell r="N598" t="str">
            <v>OCEAN</v>
          </cell>
          <cell r="O598" t="str">
            <v>Kribi 1</v>
          </cell>
          <cell r="P598" t="str">
            <v>Cyrille Alain Ngoufo Fopa</v>
          </cell>
          <cell r="Q598">
            <v>655999816</v>
          </cell>
          <cell r="R598">
            <v>677549816</v>
          </cell>
          <cell r="S598" t="str">
            <v>Valery Doudou</v>
          </cell>
          <cell r="T598" t="str">
            <v>GEORGES NAKHOUL</v>
          </cell>
          <cell r="U598" t="str">
            <v>I H S</v>
          </cell>
        </row>
        <row r="599">
          <cell r="A599" t="str">
            <v>CTR_204</v>
          </cell>
          <cell r="B599" t="str">
            <v>IHS_YND_450</v>
          </cell>
          <cell r="C599" t="str">
            <v>CTR_204</v>
          </cell>
          <cell r="D599" t="str">
            <v>Littoral</v>
          </cell>
          <cell r="E599" t="str">
            <v>Littoral</v>
          </cell>
          <cell r="F599" t="str">
            <v>Dibang</v>
          </cell>
          <cell r="G599" t="str">
            <v>P4</v>
          </cell>
          <cell r="H599" t="str">
            <v>Grid-Gen</v>
          </cell>
          <cell r="I599" t="str">
            <v>On Air</v>
          </cell>
          <cell r="J599" t="str">
            <v>Outdoor</v>
          </cell>
          <cell r="K599" t="str">
            <v>AC</v>
          </cell>
          <cell r="L599" t="str">
            <v>SAGEMCOM</v>
          </cell>
          <cell r="M599" t="str">
            <v>Pouma 2</v>
          </cell>
          <cell r="N599" t="str">
            <v>NYONG-ET-KELLE</v>
          </cell>
          <cell r="O599" t="str">
            <v>Dibang</v>
          </cell>
          <cell r="P599" t="str">
            <v>Cyrille Alain Ngoufo Fopa</v>
          </cell>
          <cell r="Q599">
            <v>655999816</v>
          </cell>
          <cell r="R599">
            <v>677549816</v>
          </cell>
          <cell r="S599" t="str">
            <v>Valery Doudou</v>
          </cell>
          <cell r="T599" t="str">
            <v>GEORGES NAKHOUL</v>
          </cell>
          <cell r="U599" t="str">
            <v>I H S</v>
          </cell>
        </row>
        <row r="600">
          <cell r="A600" t="str">
            <v>LIT_319</v>
          </cell>
          <cell r="B600" t="str">
            <v>IHS_EDA_043</v>
          </cell>
          <cell r="C600" t="str">
            <v>LIT_319</v>
          </cell>
          <cell r="D600" t="str">
            <v>Littoral</v>
          </cell>
          <cell r="E600" t="str">
            <v>Littoral</v>
          </cell>
          <cell r="F600" t="str">
            <v>Botko</v>
          </cell>
          <cell r="G600" t="str">
            <v>P4</v>
          </cell>
          <cell r="H600" t="str">
            <v>Grid-Gen</v>
          </cell>
          <cell r="I600" t="str">
            <v>On Air</v>
          </cell>
          <cell r="J600" t="str">
            <v>Outdoor</v>
          </cell>
          <cell r="K600" t="str">
            <v>AC</v>
          </cell>
          <cell r="L600" t="str">
            <v>SAGEMCOM</v>
          </cell>
          <cell r="M600" t="str">
            <v>Pouma 2</v>
          </cell>
          <cell r="N600" t="str">
            <v>SANAGA-MARITIME</v>
          </cell>
          <cell r="O600" t="str">
            <v>POUMA</v>
          </cell>
          <cell r="P600" t="str">
            <v>Cyrille Alain Ngoufo Fopa</v>
          </cell>
          <cell r="Q600">
            <v>655999816</v>
          </cell>
          <cell r="R600">
            <v>677549816</v>
          </cell>
          <cell r="S600" t="str">
            <v>Valery Doudou</v>
          </cell>
          <cell r="T600" t="str">
            <v>GEORGES NAKHOUL</v>
          </cell>
          <cell r="U600" t="str">
            <v>I H S</v>
          </cell>
        </row>
        <row r="601">
          <cell r="A601" t="str">
            <v>LIT_313</v>
          </cell>
          <cell r="B601" t="str">
            <v>IHS_EDA_004</v>
          </cell>
          <cell r="C601" t="str">
            <v>LIT_313</v>
          </cell>
          <cell r="D601" t="str">
            <v>Littoral</v>
          </cell>
          <cell r="E601" t="str">
            <v>Littoral</v>
          </cell>
          <cell r="F601" t="str">
            <v>Edea-Bisseke</v>
          </cell>
          <cell r="G601" t="str">
            <v>P4</v>
          </cell>
          <cell r="H601" t="str">
            <v>Grid-Gen</v>
          </cell>
          <cell r="I601" t="str">
            <v>On Air</v>
          </cell>
          <cell r="J601" t="str">
            <v>Outdoor</v>
          </cell>
          <cell r="K601" t="str">
            <v>AC</v>
          </cell>
          <cell r="L601" t="str">
            <v>SAGEMCOM</v>
          </cell>
          <cell r="M601" t="str">
            <v>Edea 1</v>
          </cell>
          <cell r="N601" t="str">
            <v>SANAGA-MARITIME</v>
          </cell>
          <cell r="O601" t="str">
            <v>Edea 1</v>
          </cell>
          <cell r="P601" t="str">
            <v>Cyrille Alain Ngoufo Fopa</v>
          </cell>
          <cell r="Q601">
            <v>655999816</v>
          </cell>
          <cell r="R601">
            <v>677549816</v>
          </cell>
          <cell r="S601" t="str">
            <v>Valery Doudou</v>
          </cell>
          <cell r="T601" t="str">
            <v>GEORGES NAKHOUL</v>
          </cell>
          <cell r="U601" t="str">
            <v>I H S</v>
          </cell>
        </row>
        <row r="602">
          <cell r="A602" t="str">
            <v>LIT_314</v>
          </cell>
          <cell r="B602" t="str">
            <v>IHS_EDA_015</v>
          </cell>
          <cell r="C602" t="str">
            <v>LIT_314</v>
          </cell>
          <cell r="D602" t="str">
            <v>Littoral</v>
          </cell>
          <cell r="E602" t="str">
            <v>Littoral</v>
          </cell>
          <cell r="F602" t="str">
            <v>Edea-Nkakanzock</v>
          </cell>
          <cell r="G602" t="str">
            <v>P4</v>
          </cell>
          <cell r="H602" t="str">
            <v>Grid-Gen</v>
          </cell>
          <cell r="I602" t="str">
            <v>On Air</v>
          </cell>
          <cell r="J602" t="str">
            <v>Outdoor</v>
          </cell>
          <cell r="K602" t="str">
            <v>AC</v>
          </cell>
          <cell r="L602" t="str">
            <v>SAGEMCOM</v>
          </cell>
          <cell r="M602" t="str">
            <v>Pouma 1</v>
          </cell>
          <cell r="N602" t="str">
            <v>SANAGA-MARITIME</v>
          </cell>
          <cell r="O602" t="str">
            <v>Edea 1</v>
          </cell>
          <cell r="P602" t="str">
            <v>Cyrille Alain Ngoufo Fopa</v>
          </cell>
          <cell r="Q602">
            <v>655999816</v>
          </cell>
          <cell r="R602">
            <v>677549816</v>
          </cell>
          <cell r="S602" t="str">
            <v>Valery Doudou</v>
          </cell>
          <cell r="T602" t="str">
            <v>GEORGES NAKHOUL</v>
          </cell>
          <cell r="U602" t="str">
            <v>I H S</v>
          </cell>
        </row>
        <row r="603">
          <cell r="A603" t="str">
            <v>LIT_306</v>
          </cell>
          <cell r="B603" t="str">
            <v>IHS_DLA_293</v>
          </cell>
          <cell r="C603" t="str">
            <v>LIT_306</v>
          </cell>
          <cell r="D603" t="str">
            <v>Littoral</v>
          </cell>
          <cell r="E603" t="str">
            <v>Littoral</v>
          </cell>
          <cell r="F603" t="str">
            <v>Missole-Entree</v>
          </cell>
          <cell r="G603" t="str">
            <v>P4</v>
          </cell>
          <cell r="H603" t="str">
            <v>Hybrid-Gen</v>
          </cell>
          <cell r="I603" t="str">
            <v>On Air</v>
          </cell>
          <cell r="J603" t="str">
            <v>Outdoor</v>
          </cell>
          <cell r="K603" t="str">
            <v>AC</v>
          </cell>
          <cell r="L603" t="str">
            <v>SAGEMCOM</v>
          </cell>
          <cell r="M603" t="str">
            <v>Edea 1</v>
          </cell>
          <cell r="N603" t="str">
            <v>SANAGA-MARITIME</v>
          </cell>
          <cell r="O603" t="str">
            <v>Dibamba</v>
          </cell>
          <cell r="P603" t="str">
            <v>Cyrille Alain Ngoufo Fopa</v>
          </cell>
          <cell r="Q603">
            <v>655999816</v>
          </cell>
          <cell r="R603">
            <v>677549816</v>
          </cell>
          <cell r="S603" t="str">
            <v>Valery Doudou</v>
          </cell>
          <cell r="T603" t="str">
            <v>GEORGES NAKHOUL</v>
          </cell>
          <cell r="U603" t="str">
            <v>I H S</v>
          </cell>
        </row>
        <row r="604">
          <cell r="A604" t="str">
            <v>LIT_229</v>
          </cell>
          <cell r="B604" t="str">
            <v>IHS_EDA_014</v>
          </cell>
          <cell r="C604" t="str">
            <v>LIT_229</v>
          </cell>
          <cell r="D604" t="str">
            <v>Littoral</v>
          </cell>
          <cell r="E604" t="str">
            <v>Littoral</v>
          </cell>
          <cell r="F604" t="str">
            <v>Edea-Entree</v>
          </cell>
          <cell r="G604" t="str">
            <v>P4</v>
          </cell>
          <cell r="H604" t="str">
            <v>Grid-Hybrid-Gen</v>
          </cell>
          <cell r="I604" t="str">
            <v>On Air</v>
          </cell>
          <cell r="J604" t="str">
            <v>Outdoor</v>
          </cell>
          <cell r="K604" t="str">
            <v>AC</v>
          </cell>
          <cell r="L604" t="str">
            <v>SAGEMCOM</v>
          </cell>
          <cell r="M604" t="str">
            <v>Edea 1</v>
          </cell>
          <cell r="N604" t="str">
            <v>SANAGA-MARITIME</v>
          </cell>
          <cell r="O604" t="str">
            <v>Edea 1</v>
          </cell>
          <cell r="P604" t="str">
            <v>Cyrille Alain Ngoufo Fopa</v>
          </cell>
          <cell r="Q604">
            <v>655999816</v>
          </cell>
          <cell r="R604">
            <v>677549816</v>
          </cell>
          <cell r="S604" t="str">
            <v>Valery Doudou</v>
          </cell>
          <cell r="T604" t="str">
            <v>GEORGES NAKHOUL</v>
          </cell>
          <cell r="U604" t="str">
            <v>I H S</v>
          </cell>
        </row>
        <row r="605">
          <cell r="A605" t="str">
            <v>LIT_749 </v>
          </cell>
          <cell r="B605" t="str">
            <v>IHS_EDA_011</v>
          </cell>
          <cell r="C605" t="str">
            <v>LIT_749 </v>
          </cell>
          <cell r="D605" t="str">
            <v>Littoral</v>
          </cell>
          <cell r="E605" t="str">
            <v>Littoral</v>
          </cell>
          <cell r="F605" t="str">
            <v>Edea peage</v>
          </cell>
          <cell r="G605" t="str">
            <v>P4</v>
          </cell>
          <cell r="H605" t="str">
            <v>Grid-Gen</v>
          </cell>
          <cell r="I605">
            <v>0</v>
          </cell>
          <cell r="J605" t="str">
            <v>Indoor</v>
          </cell>
          <cell r="K605" t="str">
            <v>AC</v>
          </cell>
          <cell r="L605" t="str">
            <v>SAGEMCOM</v>
          </cell>
          <cell r="M605" t="str">
            <v>Edea 1</v>
          </cell>
          <cell r="N605" t="str">
            <v>SANAGA-MARITIME</v>
          </cell>
          <cell r="O605" t="str">
            <v>Edea 2</v>
          </cell>
          <cell r="P605" t="str">
            <v>Cyrille Alain Ngoufo Fopa</v>
          </cell>
          <cell r="Q605">
            <v>655999816</v>
          </cell>
          <cell r="R605">
            <v>677549816</v>
          </cell>
          <cell r="S605" t="str">
            <v>Valery Doudou</v>
          </cell>
          <cell r="T605" t="str">
            <v>GEORGES NAKHOUL</v>
          </cell>
          <cell r="U605" t="str">
            <v>I H S</v>
          </cell>
        </row>
        <row r="606">
          <cell r="A606" t="str">
            <v>LIT_200</v>
          </cell>
          <cell r="B606" t="str">
            <v>IHS_EDA_041</v>
          </cell>
          <cell r="C606" t="str">
            <v>LIT_200</v>
          </cell>
          <cell r="D606" t="str">
            <v>Littoral</v>
          </cell>
          <cell r="E606" t="str">
            <v>Littoral</v>
          </cell>
          <cell r="F606" t="str">
            <v>SongLoulou</v>
          </cell>
          <cell r="G606" t="str">
            <v>P4</v>
          </cell>
          <cell r="H606" t="str">
            <v>Grid-Gen</v>
          </cell>
          <cell r="I606" t="str">
            <v>On Air</v>
          </cell>
          <cell r="J606" t="str">
            <v>Outdoor</v>
          </cell>
          <cell r="K606" t="str">
            <v>AC</v>
          </cell>
          <cell r="L606" t="str">
            <v>SAGEMCOM</v>
          </cell>
          <cell r="M606" t="str">
            <v>Pouma 2</v>
          </cell>
          <cell r="N606" t="str">
            <v>SANAGA-MARITIME</v>
          </cell>
          <cell r="O606" t="str">
            <v>POUMA</v>
          </cell>
          <cell r="P606" t="str">
            <v>Cyrille Alain Ngoufo Fopa</v>
          </cell>
          <cell r="Q606">
            <v>655999816</v>
          </cell>
          <cell r="R606">
            <v>677549816</v>
          </cell>
          <cell r="S606" t="str">
            <v>Valery Doudou</v>
          </cell>
          <cell r="T606" t="str">
            <v>GEORGES NAKHOUL</v>
          </cell>
          <cell r="U606" t="str">
            <v>I H S</v>
          </cell>
        </row>
        <row r="607">
          <cell r="A607" t="str">
            <v>LIT_480</v>
          </cell>
          <cell r="B607" t="str">
            <v>IHS_DLA_300</v>
          </cell>
          <cell r="C607" t="str">
            <v>LIT_480</v>
          </cell>
          <cell r="D607" t="str">
            <v>Littoral</v>
          </cell>
          <cell r="E607" t="str">
            <v>Littoral</v>
          </cell>
          <cell r="F607" t="str">
            <v>Mbongo</v>
          </cell>
          <cell r="G607" t="str">
            <v>P4</v>
          </cell>
          <cell r="H607" t="str">
            <v>Grid-Gen</v>
          </cell>
          <cell r="I607" t="str">
            <v>On Air</v>
          </cell>
          <cell r="J607" t="str">
            <v>Outdoor</v>
          </cell>
          <cell r="K607" t="str">
            <v>AC</v>
          </cell>
          <cell r="L607" t="str">
            <v>SAGEMCOM</v>
          </cell>
          <cell r="M607" t="str">
            <v>Edea 1</v>
          </cell>
          <cell r="N607" t="str">
            <v>SANAGA-MARITIME</v>
          </cell>
          <cell r="O607" t="str">
            <v>Mouanko</v>
          </cell>
          <cell r="P607" t="str">
            <v>Cyrille Alain Ngoufo Fopa</v>
          </cell>
          <cell r="Q607">
            <v>655999816</v>
          </cell>
          <cell r="R607">
            <v>677549816</v>
          </cell>
          <cell r="S607" t="str">
            <v>Valery Doudou</v>
          </cell>
          <cell r="T607" t="str">
            <v>GEORGES NAKHOUL</v>
          </cell>
          <cell r="U607" t="str">
            <v>I H S</v>
          </cell>
        </row>
        <row r="608">
          <cell r="A608" t="str">
            <v>LIT_750</v>
          </cell>
          <cell r="B608" t="str">
            <v>IHS_DLA_297</v>
          </cell>
          <cell r="C608" t="str">
            <v>LIT_750</v>
          </cell>
          <cell r="D608" t="str">
            <v>Littoral</v>
          </cell>
          <cell r="E608" t="str">
            <v>Littoral</v>
          </cell>
          <cell r="F608" t="str">
            <v>Missole II PK 35</v>
          </cell>
          <cell r="G608" t="str">
            <v>P4</v>
          </cell>
          <cell r="H608" t="str">
            <v>Solar-Gen</v>
          </cell>
          <cell r="I608">
            <v>0</v>
          </cell>
          <cell r="J608" t="str">
            <v>Outdoor</v>
          </cell>
          <cell r="K608" t="str">
            <v>AC</v>
          </cell>
          <cell r="L608" t="str">
            <v>SAGEMCOM</v>
          </cell>
          <cell r="M608" t="str">
            <v>Edea 2</v>
          </cell>
          <cell r="N608" t="str">
            <v>SANAGA-MARITIME</v>
          </cell>
          <cell r="O608" t="str">
            <v>Edea 1</v>
          </cell>
          <cell r="P608" t="str">
            <v>Cyrille Alain Ngoufo Fopa</v>
          </cell>
          <cell r="Q608">
            <v>655999816</v>
          </cell>
          <cell r="R608">
            <v>677549816</v>
          </cell>
          <cell r="S608" t="str">
            <v>Valery Doudou</v>
          </cell>
          <cell r="T608" t="str">
            <v>GEORGES NAKHOUL</v>
          </cell>
          <cell r="U608" t="str">
            <v>I H S</v>
          </cell>
        </row>
        <row r="609">
          <cell r="A609" t="str">
            <v>LIT_505</v>
          </cell>
          <cell r="B609" t="str">
            <v>IHS_KRI_119</v>
          </cell>
          <cell r="C609" t="str">
            <v>LIT_505</v>
          </cell>
          <cell r="D609" t="str">
            <v>Littoral</v>
          </cell>
          <cell r="E609" t="str">
            <v>Littoral</v>
          </cell>
          <cell r="F609" t="str">
            <v>Bissiang</v>
          </cell>
          <cell r="G609" t="str">
            <v>P4</v>
          </cell>
          <cell r="H609" t="str">
            <v>Hybrid-Gen</v>
          </cell>
          <cell r="I609" t="str">
            <v>On Air</v>
          </cell>
          <cell r="J609" t="str">
            <v>Outdoor</v>
          </cell>
          <cell r="K609" t="str">
            <v>AC</v>
          </cell>
          <cell r="L609" t="str">
            <v>SAGEMCOM</v>
          </cell>
          <cell r="M609" t="str">
            <v>Kribi</v>
          </cell>
          <cell r="N609" t="str">
            <v>OCEAN</v>
          </cell>
          <cell r="O609" t="str">
            <v>Kribi 2</v>
          </cell>
          <cell r="P609" t="str">
            <v>Cyrille Alain Ngoufo Fopa</v>
          </cell>
          <cell r="Q609">
            <v>655999816</v>
          </cell>
          <cell r="R609">
            <v>677549816</v>
          </cell>
          <cell r="S609" t="str">
            <v>Valery Doudou</v>
          </cell>
          <cell r="T609" t="str">
            <v>GEORGES NAKHOUL</v>
          </cell>
          <cell r="U609" t="str">
            <v>I H S</v>
          </cell>
        </row>
        <row r="610">
          <cell r="A610" t="str">
            <v>SUD_057</v>
          </cell>
          <cell r="B610" t="str">
            <v>IHS_KRI_112</v>
          </cell>
          <cell r="C610" t="str">
            <v>SUD_057</v>
          </cell>
          <cell r="D610" t="str">
            <v>Littoral</v>
          </cell>
          <cell r="E610" t="str">
            <v>Littoral</v>
          </cell>
          <cell r="F610" t="str">
            <v>Kribi lycée Technique (Tramonto)</v>
          </cell>
          <cell r="G610" t="str">
            <v>P4</v>
          </cell>
          <cell r="H610" t="str">
            <v>Grid-Gen</v>
          </cell>
          <cell r="I610" t="str">
            <v>On Air</v>
          </cell>
          <cell r="J610" t="str">
            <v>Outdoor</v>
          </cell>
          <cell r="K610" t="str">
            <v>AC</v>
          </cell>
          <cell r="L610" t="str">
            <v>SAGEMCOM</v>
          </cell>
          <cell r="M610" t="str">
            <v>Kribi</v>
          </cell>
          <cell r="N610" t="str">
            <v>OCEAN</v>
          </cell>
          <cell r="O610" t="str">
            <v>Kribi 1</v>
          </cell>
          <cell r="P610" t="str">
            <v>Cyrille Alain Ngoufo Fopa</v>
          </cell>
          <cell r="Q610">
            <v>655999816</v>
          </cell>
          <cell r="R610">
            <v>677549816</v>
          </cell>
          <cell r="S610" t="str">
            <v>Valery Doudou</v>
          </cell>
          <cell r="T610" t="str">
            <v>GEORGES NAKHOUL</v>
          </cell>
          <cell r="U610" t="str">
            <v>I H S</v>
          </cell>
        </row>
        <row r="611">
          <cell r="A611" t="str">
            <v>SUD_241</v>
          </cell>
          <cell r="B611" t="str">
            <v>IHS_KRI_005</v>
          </cell>
          <cell r="C611" t="str">
            <v>SUD_241</v>
          </cell>
          <cell r="D611" t="str">
            <v>Littoral</v>
          </cell>
          <cell r="E611" t="str">
            <v>Littoral</v>
          </cell>
          <cell r="F611" t="str">
            <v>Kribi-Afanmabe</v>
          </cell>
          <cell r="G611" t="str">
            <v>P4</v>
          </cell>
          <cell r="H611" t="str">
            <v>Grid-Gen</v>
          </cell>
          <cell r="I611" t="str">
            <v>On Air</v>
          </cell>
          <cell r="J611" t="str">
            <v>Outdoor</v>
          </cell>
          <cell r="K611" t="str">
            <v>AC</v>
          </cell>
          <cell r="L611" t="str">
            <v>SAGEMCOM</v>
          </cell>
          <cell r="M611" t="str">
            <v>Kribi</v>
          </cell>
          <cell r="N611" t="str">
            <v>OCEAN</v>
          </cell>
          <cell r="O611" t="str">
            <v>Kribi 1</v>
          </cell>
          <cell r="P611" t="str">
            <v>Cyrille Alain Ngoufo Fopa</v>
          </cell>
          <cell r="Q611">
            <v>655999816</v>
          </cell>
          <cell r="R611">
            <v>677549816</v>
          </cell>
          <cell r="S611" t="str">
            <v>Valery Doudou</v>
          </cell>
          <cell r="T611" t="str">
            <v>GEORGES NAKHOUL</v>
          </cell>
          <cell r="U611" t="str">
            <v>I H S</v>
          </cell>
        </row>
        <row r="612">
          <cell r="A612" t="str">
            <v>LIT_195</v>
          </cell>
          <cell r="B612" t="str">
            <v>IHS_KRI_011</v>
          </cell>
          <cell r="C612" t="str">
            <v>LIT_195</v>
          </cell>
          <cell r="D612" t="str">
            <v>Littoral</v>
          </cell>
          <cell r="E612" t="str">
            <v>Littoral</v>
          </cell>
          <cell r="F612" t="str">
            <v>Kienke</v>
          </cell>
          <cell r="G612" t="str">
            <v>P4</v>
          </cell>
          <cell r="H612" t="str">
            <v>Grid-Gen</v>
          </cell>
          <cell r="I612" t="str">
            <v>On Air</v>
          </cell>
          <cell r="J612" t="str">
            <v>Outdoor</v>
          </cell>
          <cell r="K612" t="str">
            <v>AC</v>
          </cell>
          <cell r="L612" t="str">
            <v>SAGEMCOM</v>
          </cell>
          <cell r="M612" t="str">
            <v>Kribi</v>
          </cell>
          <cell r="N612" t="str">
            <v>OCEAN</v>
          </cell>
          <cell r="O612" t="str">
            <v>Kribi 1</v>
          </cell>
          <cell r="P612" t="str">
            <v>Cyrille Alain Ngoufo Fopa</v>
          </cell>
          <cell r="Q612">
            <v>655999816</v>
          </cell>
          <cell r="R612">
            <v>677549816</v>
          </cell>
          <cell r="S612" t="str">
            <v>Valery Doudou</v>
          </cell>
          <cell r="T612" t="str">
            <v>GEORGES NAKHOUL</v>
          </cell>
          <cell r="U612" t="str">
            <v>I H S</v>
          </cell>
        </row>
        <row r="613">
          <cell r="A613" t="str">
            <v>LIT_193</v>
          </cell>
          <cell r="B613" t="str">
            <v>IHS_KRI_021</v>
          </cell>
          <cell r="C613" t="str">
            <v>LIT_193</v>
          </cell>
          <cell r="D613" t="str">
            <v>Littoral</v>
          </cell>
          <cell r="E613" t="str">
            <v>Littoral</v>
          </cell>
          <cell r="F613" t="str">
            <v>Niete-V14</v>
          </cell>
          <cell r="G613" t="str">
            <v>P4</v>
          </cell>
          <cell r="H613" t="str">
            <v>Grid-Gen</v>
          </cell>
          <cell r="I613" t="str">
            <v>On Air</v>
          </cell>
          <cell r="J613" t="str">
            <v>Outdoor</v>
          </cell>
          <cell r="K613" t="str">
            <v>AC</v>
          </cell>
          <cell r="L613" t="str">
            <v>SAGEMCOM</v>
          </cell>
          <cell r="M613" t="str">
            <v>Kribi</v>
          </cell>
          <cell r="N613" t="str">
            <v>OCEAN</v>
          </cell>
          <cell r="O613" t="str">
            <v>Kribi 1</v>
          </cell>
          <cell r="P613" t="str">
            <v>Cyrille Alain Ngoufo Fopa</v>
          </cell>
          <cell r="Q613">
            <v>655999816</v>
          </cell>
          <cell r="R613">
            <v>677549816</v>
          </cell>
          <cell r="S613" t="str">
            <v>Valery Doudou</v>
          </cell>
          <cell r="T613" t="str">
            <v>GEORGES NAKHOUL</v>
          </cell>
          <cell r="U613" t="str">
            <v>I H S</v>
          </cell>
        </row>
        <row r="614">
          <cell r="A614" t="str">
            <v>SUD_006</v>
          </cell>
          <cell r="B614" t="str">
            <v>IHS_KRI_002</v>
          </cell>
          <cell r="C614" t="str">
            <v>SUD_006</v>
          </cell>
          <cell r="D614" t="str">
            <v>Littoral</v>
          </cell>
          <cell r="E614" t="str">
            <v>Littoral</v>
          </cell>
          <cell r="F614" t="str">
            <v>Kribi-Ocean</v>
          </cell>
          <cell r="G614" t="str">
            <v>P4</v>
          </cell>
          <cell r="H614" t="str">
            <v>Grid-Gen</v>
          </cell>
          <cell r="I614" t="str">
            <v>On Air</v>
          </cell>
          <cell r="J614" t="str">
            <v>Indoor</v>
          </cell>
          <cell r="K614" t="str">
            <v>AC</v>
          </cell>
          <cell r="L614" t="str">
            <v>SAGEMCOM</v>
          </cell>
          <cell r="M614" t="str">
            <v>Kribi</v>
          </cell>
          <cell r="N614" t="str">
            <v>OCEAN</v>
          </cell>
          <cell r="O614" t="str">
            <v>Kribi 1</v>
          </cell>
          <cell r="P614" t="str">
            <v>Cyrille Alain Ngoufo Fopa</v>
          </cell>
          <cell r="Q614">
            <v>655999816</v>
          </cell>
          <cell r="R614">
            <v>677549816</v>
          </cell>
          <cell r="S614" t="str">
            <v>Valery Doudou</v>
          </cell>
          <cell r="T614" t="str">
            <v>GEORGES NAKHOUL</v>
          </cell>
          <cell r="U614" t="str">
            <v>I H S</v>
          </cell>
        </row>
        <row r="615">
          <cell r="A615" t="str">
            <v>SUD_077</v>
          </cell>
          <cell r="B615" t="str">
            <v>IHS_KRI_008</v>
          </cell>
          <cell r="C615" t="str">
            <v>SUD_077</v>
          </cell>
          <cell r="D615" t="str">
            <v>Littoral</v>
          </cell>
          <cell r="E615" t="str">
            <v>Littoral</v>
          </cell>
          <cell r="F615" t="str">
            <v>Ebouyie Kribi</v>
          </cell>
          <cell r="G615" t="str">
            <v>P4</v>
          </cell>
          <cell r="H615" t="str">
            <v>Grid-Gen</v>
          </cell>
          <cell r="I615" t="str">
            <v>On Air</v>
          </cell>
          <cell r="J615" t="str">
            <v>Indoor</v>
          </cell>
          <cell r="K615" t="str">
            <v>AC</v>
          </cell>
          <cell r="L615" t="str">
            <v>SAGEMCOM</v>
          </cell>
          <cell r="M615" t="str">
            <v>Kribi</v>
          </cell>
          <cell r="N615" t="str">
            <v>OCEAN</v>
          </cell>
          <cell r="O615" t="str">
            <v>Kribi 1</v>
          </cell>
          <cell r="P615" t="str">
            <v>Cyrille Alain Ngoufo Fopa</v>
          </cell>
          <cell r="Q615">
            <v>655999816</v>
          </cell>
          <cell r="R615">
            <v>677549816</v>
          </cell>
          <cell r="S615" t="str">
            <v>Valery Doudou</v>
          </cell>
          <cell r="T615" t="str">
            <v>GEORGES NAKHOUL</v>
          </cell>
          <cell r="U615" t="str">
            <v>I H S</v>
          </cell>
        </row>
        <row r="616">
          <cell r="A616" t="str">
            <v>SUD_042</v>
          </cell>
          <cell r="B616" t="str">
            <v>IHS_KRI_001</v>
          </cell>
          <cell r="C616" t="str">
            <v>SUD_042</v>
          </cell>
          <cell r="D616" t="str">
            <v>Littoral</v>
          </cell>
          <cell r="E616" t="str">
            <v>Littoral</v>
          </cell>
          <cell r="F616" t="str">
            <v>Kribi Kienke Bridge</v>
          </cell>
          <cell r="G616" t="str">
            <v>P4</v>
          </cell>
          <cell r="H616" t="str">
            <v>Grid-Gen</v>
          </cell>
          <cell r="I616" t="str">
            <v>On Air</v>
          </cell>
          <cell r="J616" t="str">
            <v>Outdoor</v>
          </cell>
          <cell r="K616" t="str">
            <v>AC</v>
          </cell>
          <cell r="L616" t="str">
            <v>SAGEMCOM</v>
          </cell>
          <cell r="M616" t="str">
            <v>Kribi</v>
          </cell>
          <cell r="N616" t="str">
            <v>OCEAN</v>
          </cell>
          <cell r="O616" t="str">
            <v>Kribi 1</v>
          </cell>
          <cell r="P616" t="str">
            <v>Cyrille Alain Ngoufo Fopa</v>
          </cell>
          <cell r="Q616">
            <v>655999816</v>
          </cell>
          <cell r="R616">
            <v>677549816</v>
          </cell>
          <cell r="S616" t="str">
            <v>Valery Doudou</v>
          </cell>
          <cell r="T616" t="str">
            <v>GEORGES NAKHOUL</v>
          </cell>
          <cell r="U616" t="str">
            <v>I H S</v>
          </cell>
        </row>
        <row r="617">
          <cell r="A617" t="str">
            <v>LIT_494</v>
          </cell>
          <cell r="B617" t="str">
            <v>IHS_KRI_023</v>
          </cell>
          <cell r="C617" t="str">
            <v>LIT_494</v>
          </cell>
          <cell r="D617" t="str">
            <v>Littoral</v>
          </cell>
          <cell r="E617" t="str">
            <v>Littoral</v>
          </cell>
          <cell r="F617" t="str">
            <v>Campo IHS</v>
          </cell>
          <cell r="G617" t="str">
            <v>P4</v>
          </cell>
          <cell r="H617" t="str">
            <v>Grid-Gen</v>
          </cell>
          <cell r="I617" t="str">
            <v>On Air</v>
          </cell>
          <cell r="J617" t="str">
            <v>Outdoor</v>
          </cell>
          <cell r="K617" t="str">
            <v>AC</v>
          </cell>
          <cell r="L617" t="str">
            <v>SAGEMCOM</v>
          </cell>
          <cell r="M617" t="str">
            <v>Kribi</v>
          </cell>
          <cell r="N617" t="str">
            <v>OCEAN</v>
          </cell>
          <cell r="O617" t="str">
            <v>Kribi 1</v>
          </cell>
          <cell r="P617" t="str">
            <v>Cyrille Alain Ngoufo Fopa</v>
          </cell>
          <cell r="Q617">
            <v>655999816</v>
          </cell>
          <cell r="R617">
            <v>677549816</v>
          </cell>
          <cell r="S617" t="str">
            <v>Valery Doudou</v>
          </cell>
          <cell r="T617" t="str">
            <v>GEORGES NAKHOUL</v>
          </cell>
          <cell r="U617" t="str">
            <v>I H S</v>
          </cell>
        </row>
        <row r="618">
          <cell r="A618" t="str">
            <v>LIT_121</v>
          </cell>
          <cell r="B618" t="str">
            <v>IHS_EDA_101</v>
          </cell>
          <cell r="C618" t="str">
            <v>LIT_121</v>
          </cell>
          <cell r="D618" t="str">
            <v>Littoral</v>
          </cell>
          <cell r="E618" t="str">
            <v>Littoral</v>
          </cell>
          <cell r="F618" t="str">
            <v>NGOG MBOG</v>
          </cell>
          <cell r="G618" t="str">
            <v>P5</v>
          </cell>
          <cell r="H618" t="str">
            <v>Hybrid-Gen</v>
          </cell>
          <cell r="I618" t="str">
            <v>On Air</v>
          </cell>
          <cell r="J618" t="str">
            <v>Outdoor</v>
          </cell>
          <cell r="K618" t="str">
            <v>AC</v>
          </cell>
          <cell r="L618" t="str">
            <v>SAGEMCOM</v>
          </cell>
          <cell r="M618" t="str">
            <v>Pouma 2</v>
          </cell>
          <cell r="N618" t="str">
            <v>SANAGA-MARITIME</v>
          </cell>
          <cell r="O618" t="str">
            <v>POUMA</v>
          </cell>
          <cell r="P618" t="str">
            <v>Cyrille Alain Ngoufo Fopa</v>
          </cell>
          <cell r="Q618">
            <v>655999816</v>
          </cell>
          <cell r="R618">
            <v>677549816</v>
          </cell>
          <cell r="S618" t="str">
            <v>Valery Doudou</v>
          </cell>
          <cell r="T618" t="str">
            <v>GEORGES NAKHOUL</v>
          </cell>
          <cell r="U618" t="str">
            <v>I H S</v>
          </cell>
        </row>
        <row r="619">
          <cell r="A619" t="str">
            <v>LIT_509</v>
          </cell>
          <cell r="B619" t="str">
            <v>IHS_EDA_065</v>
          </cell>
          <cell r="C619" t="str">
            <v>LIT_509</v>
          </cell>
          <cell r="D619" t="str">
            <v>Littoral</v>
          </cell>
          <cell r="E619" t="str">
            <v>Littoral</v>
          </cell>
          <cell r="F619" t="str">
            <v>Kopongo</v>
          </cell>
          <cell r="G619" t="str">
            <v>P5</v>
          </cell>
          <cell r="H619" t="str">
            <v>Grid-Hybrid-Gen</v>
          </cell>
          <cell r="I619" t="str">
            <v>On Air</v>
          </cell>
          <cell r="J619" t="str">
            <v>Outdoor</v>
          </cell>
          <cell r="K619" t="str">
            <v>AC</v>
          </cell>
          <cell r="L619" t="str">
            <v>SAGEMCOM</v>
          </cell>
          <cell r="M619" t="str">
            <v>Edea 2</v>
          </cell>
          <cell r="N619" t="str">
            <v>SANAGA-MARITIME</v>
          </cell>
          <cell r="O619" t="str">
            <v>Dibamba</v>
          </cell>
          <cell r="P619" t="str">
            <v>Cyrille Alain Ngoufo Fopa</v>
          </cell>
          <cell r="Q619">
            <v>655999816</v>
          </cell>
          <cell r="R619">
            <v>677549816</v>
          </cell>
          <cell r="S619" t="str">
            <v>Valery Doudou</v>
          </cell>
          <cell r="T619" t="str">
            <v>GEORGES NAKHOUL</v>
          </cell>
          <cell r="U619" t="str">
            <v>I H S</v>
          </cell>
        </row>
        <row r="620">
          <cell r="A620" t="str">
            <v>LIT_186</v>
          </cell>
          <cell r="B620" t="str">
            <v>IHS_EDA_008</v>
          </cell>
          <cell r="C620" t="str">
            <v>LIT_186</v>
          </cell>
          <cell r="D620" t="str">
            <v>Littoral</v>
          </cell>
          <cell r="E620" t="str">
            <v>Littoral</v>
          </cell>
          <cell r="F620" t="str">
            <v>Edea-Beon</v>
          </cell>
          <cell r="G620" t="str">
            <v>P5</v>
          </cell>
          <cell r="H620" t="str">
            <v>Grid-Gen</v>
          </cell>
          <cell r="I620" t="str">
            <v>On Air</v>
          </cell>
          <cell r="J620" t="str">
            <v>Outdoor</v>
          </cell>
          <cell r="K620" t="str">
            <v>AC</v>
          </cell>
          <cell r="L620" t="str">
            <v>SAGEMCOM</v>
          </cell>
          <cell r="M620" t="str">
            <v>Edea 2</v>
          </cell>
          <cell r="N620" t="str">
            <v>SANAGA-MARITIME</v>
          </cell>
          <cell r="O620" t="str">
            <v>Edea 1</v>
          </cell>
          <cell r="P620" t="str">
            <v>Cyrille Alain Ngoufo Fopa</v>
          </cell>
          <cell r="Q620">
            <v>655999816</v>
          </cell>
          <cell r="R620">
            <v>677549816</v>
          </cell>
          <cell r="S620" t="str">
            <v>Valery Doudou</v>
          </cell>
          <cell r="T620" t="str">
            <v>GEORGES NAKHOUL</v>
          </cell>
          <cell r="U620" t="str">
            <v>I H S</v>
          </cell>
        </row>
        <row r="621">
          <cell r="A621" t="str">
            <v>LIT_512</v>
          </cell>
          <cell r="B621" t="str">
            <v>IHS_EDA_067</v>
          </cell>
          <cell r="C621" t="str">
            <v>LIT_512</v>
          </cell>
          <cell r="D621" t="str">
            <v>Littoral</v>
          </cell>
          <cell r="E621" t="str">
            <v>Littoral</v>
          </cell>
          <cell r="F621" t="str">
            <v>Apouh</v>
          </cell>
          <cell r="G621" t="str">
            <v>P5</v>
          </cell>
          <cell r="H621" t="str">
            <v>Grid-Gen</v>
          </cell>
          <cell r="I621" t="str">
            <v>On Air</v>
          </cell>
          <cell r="J621" t="str">
            <v>Outdoor</v>
          </cell>
          <cell r="K621" t="str">
            <v>AC</v>
          </cell>
          <cell r="L621" t="str">
            <v>SAGEMCOM</v>
          </cell>
          <cell r="M621" t="str">
            <v>Edea 2</v>
          </cell>
          <cell r="N621" t="str">
            <v>SANAGA-MARITIME</v>
          </cell>
          <cell r="O621" t="str">
            <v>Edea 1</v>
          </cell>
          <cell r="P621" t="str">
            <v>Cyrille Alain Ngoufo Fopa</v>
          </cell>
          <cell r="Q621">
            <v>655999816</v>
          </cell>
          <cell r="R621">
            <v>677549816</v>
          </cell>
          <cell r="S621" t="str">
            <v>Valery Doudou</v>
          </cell>
          <cell r="T621" t="str">
            <v>GEORGES NAKHOUL</v>
          </cell>
          <cell r="U621" t="str">
            <v>I H S</v>
          </cell>
        </row>
        <row r="622">
          <cell r="A622" t="str">
            <v>LIT_321</v>
          </cell>
          <cell r="B622" t="str">
            <v>IHS_EDA_013</v>
          </cell>
          <cell r="C622" t="str">
            <v>LIT_321</v>
          </cell>
          <cell r="D622" t="str">
            <v>Littoral</v>
          </cell>
          <cell r="E622" t="str">
            <v>Littoral</v>
          </cell>
          <cell r="F622" t="str">
            <v>Edea-Lom</v>
          </cell>
          <cell r="G622" t="str">
            <v>P5</v>
          </cell>
          <cell r="H622" t="str">
            <v>Grid-Gen</v>
          </cell>
          <cell r="I622" t="str">
            <v>On Air</v>
          </cell>
          <cell r="J622" t="str">
            <v>Outdoor</v>
          </cell>
          <cell r="K622" t="str">
            <v>AC</v>
          </cell>
          <cell r="L622" t="str">
            <v>SAGEMCOM</v>
          </cell>
          <cell r="M622" t="str">
            <v>Edea 1</v>
          </cell>
          <cell r="N622" t="str">
            <v>SANAGA-MARITIME</v>
          </cell>
          <cell r="O622" t="str">
            <v>Edea 1</v>
          </cell>
          <cell r="P622" t="str">
            <v>Cyrille Alain Ngoufo Fopa</v>
          </cell>
          <cell r="Q622">
            <v>655999816</v>
          </cell>
          <cell r="R622">
            <v>677549816</v>
          </cell>
          <cell r="S622" t="str">
            <v>Valery Doudou</v>
          </cell>
          <cell r="T622" t="str">
            <v>GEORGES NAKHOUL</v>
          </cell>
          <cell r="U622" t="str">
            <v>I H S</v>
          </cell>
        </row>
        <row r="623">
          <cell r="A623" t="str">
            <v>CTR_059</v>
          </cell>
          <cell r="B623" t="str">
            <v>IHS_EDA_020</v>
          </cell>
          <cell r="C623" t="str">
            <v>CTR_059</v>
          </cell>
          <cell r="D623" t="str">
            <v>Littoral</v>
          </cell>
          <cell r="E623" t="str">
            <v>Littoral</v>
          </cell>
          <cell r="F623" t="str">
            <v>Ndokok</v>
          </cell>
          <cell r="G623" t="str">
            <v>P5</v>
          </cell>
          <cell r="H623" t="str">
            <v>Grid-Gen</v>
          </cell>
          <cell r="I623" t="str">
            <v>On Air</v>
          </cell>
          <cell r="J623" t="str">
            <v>Indoor</v>
          </cell>
          <cell r="K623" t="str">
            <v>AC</v>
          </cell>
          <cell r="L623" t="str">
            <v>SAGEMCOM</v>
          </cell>
          <cell r="M623" t="str">
            <v>Pouma 1</v>
          </cell>
          <cell r="N623" t="str">
            <v>SANAGA-MARITIME</v>
          </cell>
          <cell r="O623" t="str">
            <v>POUMA</v>
          </cell>
          <cell r="P623" t="str">
            <v>Cyrille Alain Ngoufo Fopa</v>
          </cell>
          <cell r="Q623">
            <v>655999816</v>
          </cell>
          <cell r="R623">
            <v>677549816</v>
          </cell>
          <cell r="S623" t="str">
            <v>Valery Doudou</v>
          </cell>
          <cell r="T623" t="str">
            <v>GEORGES NAKHOUL</v>
          </cell>
          <cell r="U623" t="str">
            <v>I H S</v>
          </cell>
        </row>
        <row r="624">
          <cell r="A624" t="str">
            <v>SUO_029</v>
          </cell>
          <cell r="B624" t="str">
            <v>IHS_EDA_042</v>
          </cell>
          <cell r="C624" t="str">
            <v>SUO_029</v>
          </cell>
          <cell r="D624" t="str">
            <v>Littoral</v>
          </cell>
          <cell r="E624" t="str">
            <v>Littoral</v>
          </cell>
          <cell r="F624" t="str">
            <v>Ngambe</v>
          </cell>
          <cell r="G624" t="str">
            <v>P5</v>
          </cell>
          <cell r="H624" t="str">
            <v>Grid-Hybrid-Gen</v>
          </cell>
          <cell r="I624" t="str">
            <v>On Air</v>
          </cell>
          <cell r="J624" t="str">
            <v>Indoor</v>
          </cell>
          <cell r="K624" t="str">
            <v>AC</v>
          </cell>
          <cell r="L624" t="str">
            <v>SAGEMCOM</v>
          </cell>
          <cell r="M624" t="str">
            <v>Pouma 2</v>
          </cell>
          <cell r="N624" t="str">
            <v>SANAGA-MARITIME</v>
          </cell>
          <cell r="O624" t="str">
            <v>POUMA</v>
          </cell>
          <cell r="P624" t="str">
            <v>Cyrille Alain Ngoufo Fopa</v>
          </cell>
          <cell r="Q624">
            <v>655999816</v>
          </cell>
          <cell r="R624">
            <v>677549816</v>
          </cell>
          <cell r="S624" t="str">
            <v>Valery Doudou</v>
          </cell>
          <cell r="T624" t="str">
            <v>GEORGES NAKHOUL</v>
          </cell>
          <cell r="U624" t="str">
            <v>I H S</v>
          </cell>
        </row>
        <row r="625">
          <cell r="A625" t="str">
            <v>LIT_230</v>
          </cell>
          <cell r="B625" t="str">
            <v>IHS_EDA_017</v>
          </cell>
          <cell r="C625" t="str">
            <v>LIT_230</v>
          </cell>
          <cell r="D625" t="str">
            <v>Littoral</v>
          </cell>
          <cell r="E625" t="str">
            <v>Littoral</v>
          </cell>
          <cell r="F625" t="str">
            <v>Edea-Ndokok</v>
          </cell>
          <cell r="G625" t="str">
            <v>P5</v>
          </cell>
          <cell r="H625" t="str">
            <v>Grid-Gen</v>
          </cell>
          <cell r="I625" t="str">
            <v>On Air</v>
          </cell>
          <cell r="J625" t="str">
            <v>Outdoor</v>
          </cell>
          <cell r="K625" t="str">
            <v>AC</v>
          </cell>
          <cell r="L625" t="str">
            <v>SAGEMCOM</v>
          </cell>
          <cell r="M625" t="str">
            <v>Pouma 1</v>
          </cell>
          <cell r="N625" t="str">
            <v>SANAGA-MARITIME</v>
          </cell>
          <cell r="O625" t="str">
            <v>Edea 1</v>
          </cell>
          <cell r="P625" t="str">
            <v>Cyrille Alain Ngoufo Fopa</v>
          </cell>
          <cell r="Q625">
            <v>655999816</v>
          </cell>
          <cell r="R625">
            <v>677549816</v>
          </cell>
          <cell r="S625" t="str">
            <v>Valery Doudou</v>
          </cell>
          <cell r="T625" t="str">
            <v>GEORGES NAKHOUL</v>
          </cell>
          <cell r="U625" t="str">
            <v>I H S</v>
          </cell>
        </row>
        <row r="626">
          <cell r="A626" t="str">
            <v>LIT_322</v>
          </cell>
          <cell r="B626" t="str">
            <v>IHS_EDA_012</v>
          </cell>
          <cell r="C626" t="str">
            <v>LIT_322</v>
          </cell>
          <cell r="D626" t="str">
            <v>Littoral</v>
          </cell>
          <cell r="E626" t="str">
            <v>Littoral</v>
          </cell>
          <cell r="F626" t="str">
            <v>Edea-Ekite</v>
          </cell>
          <cell r="G626" t="str">
            <v>P5</v>
          </cell>
          <cell r="H626" t="str">
            <v>Grid-Gen</v>
          </cell>
          <cell r="I626" t="str">
            <v>On Air</v>
          </cell>
          <cell r="J626" t="str">
            <v>Outdoor</v>
          </cell>
          <cell r="K626" t="str">
            <v>AC</v>
          </cell>
          <cell r="L626" t="str">
            <v>SAGEMCOM</v>
          </cell>
          <cell r="M626" t="str">
            <v>Edea 1</v>
          </cell>
          <cell r="N626" t="str">
            <v>SANAGA-MARITIME</v>
          </cell>
          <cell r="O626" t="str">
            <v>Edea 2</v>
          </cell>
          <cell r="P626" t="str">
            <v>Cyrille Alain Ngoufo Fopa</v>
          </cell>
          <cell r="Q626">
            <v>655999816</v>
          </cell>
          <cell r="R626">
            <v>677549816</v>
          </cell>
          <cell r="S626" t="str">
            <v>Valery Doudou</v>
          </cell>
          <cell r="T626" t="str">
            <v>GEORGES NAKHOUL</v>
          </cell>
          <cell r="U626" t="str">
            <v>I H S</v>
          </cell>
        </row>
        <row r="627">
          <cell r="A627" t="str">
            <v>LIT_231</v>
          </cell>
          <cell r="B627" t="str">
            <v>IHS_EDA_030</v>
          </cell>
          <cell r="C627" t="str">
            <v>LIT_231</v>
          </cell>
          <cell r="D627" t="str">
            <v>Littoral</v>
          </cell>
          <cell r="E627" t="str">
            <v>Littoral</v>
          </cell>
          <cell r="F627" t="str">
            <v>Nkak</v>
          </cell>
          <cell r="G627" t="str">
            <v>P5</v>
          </cell>
          <cell r="H627" t="str">
            <v>Solar-Gen</v>
          </cell>
          <cell r="I627" t="str">
            <v>On Air</v>
          </cell>
          <cell r="J627" t="str">
            <v>Outdoor</v>
          </cell>
          <cell r="K627" t="str">
            <v>AC</v>
          </cell>
          <cell r="L627" t="str">
            <v>SAGEMCOM</v>
          </cell>
          <cell r="M627" t="str">
            <v>Pouma 1</v>
          </cell>
          <cell r="N627" t="str">
            <v>SANAGA-MARITIME</v>
          </cell>
          <cell r="O627" t="str">
            <v>POUMA</v>
          </cell>
          <cell r="P627" t="str">
            <v>Cyrille Alain Ngoufo Fopa</v>
          </cell>
          <cell r="Q627">
            <v>655999816</v>
          </cell>
          <cell r="R627">
            <v>677549816</v>
          </cell>
          <cell r="S627" t="str">
            <v>Valery Doudou</v>
          </cell>
          <cell r="T627" t="str">
            <v>GEORGES NAKHOUL</v>
          </cell>
          <cell r="U627" t="str">
            <v>I H S</v>
          </cell>
        </row>
        <row r="628">
          <cell r="A628" t="str">
            <v>LIT_510</v>
          </cell>
          <cell r="B628" t="str">
            <v>IHS_EDA_066</v>
          </cell>
          <cell r="C628" t="str">
            <v>LIT_510</v>
          </cell>
          <cell r="D628" t="str">
            <v>Littoral</v>
          </cell>
          <cell r="E628" t="str">
            <v>Littoral</v>
          </cell>
          <cell r="F628" t="str">
            <v>Kanga</v>
          </cell>
          <cell r="G628" t="str">
            <v>P5</v>
          </cell>
          <cell r="H628" t="str">
            <v>Grid-Hybrid-Gen</v>
          </cell>
          <cell r="I628" t="str">
            <v>On Air</v>
          </cell>
          <cell r="J628" t="str">
            <v>Outdoor</v>
          </cell>
          <cell r="K628" t="str">
            <v>AC</v>
          </cell>
          <cell r="L628" t="str">
            <v>SAGEMCOM</v>
          </cell>
          <cell r="M628" t="str">
            <v>Pouma 2</v>
          </cell>
          <cell r="N628" t="str">
            <v>SANAGA-MARITIME</v>
          </cell>
          <cell r="O628" t="str">
            <v>POUMA</v>
          </cell>
          <cell r="P628" t="str">
            <v>Cyrille Alain Ngoufo Fopa</v>
          </cell>
          <cell r="Q628">
            <v>655999816</v>
          </cell>
          <cell r="R628">
            <v>677549816</v>
          </cell>
          <cell r="S628" t="str">
            <v>Valery Doudou</v>
          </cell>
          <cell r="T628" t="str">
            <v>GEORGES NAKHOUL</v>
          </cell>
          <cell r="U628" t="str">
            <v>I H S</v>
          </cell>
        </row>
        <row r="629">
          <cell r="A629" t="str">
            <v>LIT_067</v>
          </cell>
          <cell r="B629" t="str">
            <v>IHS_EDA_019</v>
          </cell>
          <cell r="C629" t="str">
            <v>LIT_067</v>
          </cell>
          <cell r="D629" t="str">
            <v>Littoral</v>
          </cell>
          <cell r="E629" t="str">
            <v>Littoral</v>
          </cell>
          <cell r="F629" t="str">
            <v>Ngoulmepa</v>
          </cell>
          <cell r="G629" t="str">
            <v>P5</v>
          </cell>
          <cell r="H629" t="str">
            <v>Gen Only</v>
          </cell>
          <cell r="I629" t="str">
            <v>On Air</v>
          </cell>
          <cell r="J629" t="str">
            <v>Outdoor</v>
          </cell>
          <cell r="K629" t="str">
            <v>AC</v>
          </cell>
          <cell r="L629" t="str">
            <v>SAGEMCOM</v>
          </cell>
          <cell r="M629" t="str">
            <v>Edea 1</v>
          </cell>
          <cell r="N629" t="str">
            <v>SANAGA-MARITIME</v>
          </cell>
          <cell r="O629" t="str">
            <v>Edea 2</v>
          </cell>
          <cell r="P629" t="str">
            <v>Cyrille Alain Ngoufo Fopa</v>
          </cell>
          <cell r="Q629">
            <v>655999816</v>
          </cell>
          <cell r="R629">
            <v>677549816</v>
          </cell>
          <cell r="S629" t="str">
            <v>Valery Doudou</v>
          </cell>
          <cell r="T629" t="str">
            <v>GEORGES NAKHOUL</v>
          </cell>
          <cell r="U629" t="str">
            <v>I H S</v>
          </cell>
        </row>
        <row r="630">
          <cell r="A630" t="str">
            <v>LIT_500</v>
          </cell>
          <cell r="B630" t="str">
            <v>IHS_EDA_055</v>
          </cell>
          <cell r="C630" t="str">
            <v>LIT_500</v>
          </cell>
          <cell r="D630" t="str">
            <v>Littoral</v>
          </cell>
          <cell r="E630" t="str">
            <v>Littoral</v>
          </cell>
          <cell r="F630" t="str">
            <v>Ndjokloumbe</v>
          </cell>
          <cell r="G630" t="str">
            <v>P5</v>
          </cell>
          <cell r="H630" t="str">
            <v>Hybrid-Gen</v>
          </cell>
          <cell r="I630" t="str">
            <v>On Air</v>
          </cell>
          <cell r="J630" t="str">
            <v>Outdoor</v>
          </cell>
          <cell r="K630" t="str">
            <v>AC</v>
          </cell>
          <cell r="L630" t="str">
            <v>SAGEMCOM</v>
          </cell>
          <cell r="M630" t="str">
            <v>Edea 2</v>
          </cell>
          <cell r="N630" t="str">
            <v>SANAGA-MARITIME</v>
          </cell>
          <cell r="O630" t="str">
            <v>POUMA</v>
          </cell>
          <cell r="P630" t="str">
            <v>Cyrille Alain Ngoufo Fopa</v>
          </cell>
          <cell r="Q630">
            <v>655999816</v>
          </cell>
          <cell r="R630">
            <v>677549816</v>
          </cell>
          <cell r="S630" t="str">
            <v>Valery Doudou</v>
          </cell>
          <cell r="T630" t="str">
            <v>GEORGES NAKHOUL</v>
          </cell>
          <cell r="U630" t="str">
            <v>I H S</v>
          </cell>
        </row>
        <row r="631">
          <cell r="A631" t="str">
            <v>LIT_496</v>
          </cell>
          <cell r="B631" t="str">
            <v>IHS_EDA_053</v>
          </cell>
          <cell r="C631" t="str">
            <v>LIT_496</v>
          </cell>
          <cell r="D631" t="str">
            <v>Littoral</v>
          </cell>
          <cell r="E631" t="str">
            <v>Littoral</v>
          </cell>
          <cell r="F631" t="str">
            <v>Dizangue KM14</v>
          </cell>
          <cell r="G631" t="str">
            <v>P5</v>
          </cell>
          <cell r="H631" t="str">
            <v>Grid-Gen</v>
          </cell>
          <cell r="I631" t="str">
            <v>On Air</v>
          </cell>
          <cell r="J631" t="str">
            <v>Outdoor</v>
          </cell>
          <cell r="K631" t="str">
            <v>AC</v>
          </cell>
          <cell r="L631" t="str">
            <v>SAGEMCOM</v>
          </cell>
          <cell r="M631" t="str">
            <v>Edea 1</v>
          </cell>
          <cell r="N631" t="str">
            <v>SANAGA-MARITIME</v>
          </cell>
          <cell r="O631" t="str">
            <v>Dizangue</v>
          </cell>
          <cell r="P631" t="str">
            <v>Cyrille Alain Ngoufo Fopa</v>
          </cell>
          <cell r="Q631">
            <v>655999816</v>
          </cell>
          <cell r="R631">
            <v>677549816</v>
          </cell>
          <cell r="S631" t="str">
            <v>Valery Doudou</v>
          </cell>
          <cell r="T631" t="str">
            <v>GEORGES NAKHOUL</v>
          </cell>
          <cell r="U631" t="str">
            <v>I H S</v>
          </cell>
        </row>
        <row r="632">
          <cell r="A632" t="str">
            <v>LIT_503</v>
          </cell>
          <cell r="B632" t="str">
            <v>IHS_EDA_026</v>
          </cell>
          <cell r="C632" t="str">
            <v>LIT_503</v>
          </cell>
          <cell r="D632" t="str">
            <v>Littoral</v>
          </cell>
          <cell r="E632" t="str">
            <v>Littoral</v>
          </cell>
          <cell r="F632" t="str">
            <v>logbadjeck</v>
          </cell>
          <cell r="G632" t="str">
            <v>P5</v>
          </cell>
          <cell r="H632" t="str">
            <v>Grid-Gen</v>
          </cell>
          <cell r="I632" t="str">
            <v>On Air</v>
          </cell>
          <cell r="J632" t="str">
            <v>Outdoor</v>
          </cell>
          <cell r="K632" t="str">
            <v>AC</v>
          </cell>
          <cell r="L632" t="str">
            <v>SAGEMCOM</v>
          </cell>
          <cell r="M632" t="str">
            <v>Edea 2</v>
          </cell>
          <cell r="N632" t="str">
            <v>SANAGA-MARITIME</v>
          </cell>
          <cell r="O632" t="str">
            <v>Edea 1</v>
          </cell>
          <cell r="P632" t="str">
            <v>Cyrille Alain Ngoufo Fopa</v>
          </cell>
          <cell r="Q632">
            <v>655999816</v>
          </cell>
          <cell r="R632">
            <v>677549816</v>
          </cell>
          <cell r="S632" t="str">
            <v>Valery Doudou</v>
          </cell>
          <cell r="T632" t="str">
            <v>GEORGES NAKHOUL</v>
          </cell>
          <cell r="U632" t="str">
            <v>I H S</v>
          </cell>
        </row>
        <row r="633">
          <cell r="A633" t="str">
            <v>SUD_214</v>
          </cell>
          <cell r="B633" t="str">
            <v>IHS_KRI_022</v>
          </cell>
          <cell r="C633" t="str">
            <v>SUD_214</v>
          </cell>
          <cell r="D633" t="str">
            <v>Littoral</v>
          </cell>
          <cell r="E633" t="str">
            <v>Littoral</v>
          </cell>
          <cell r="F633" t="str">
            <v>Mbongouen-MTN</v>
          </cell>
          <cell r="G633" t="str">
            <v>P5</v>
          </cell>
          <cell r="H633" t="str">
            <v>Grid-Gen</v>
          </cell>
          <cell r="I633" t="str">
            <v>On Air</v>
          </cell>
          <cell r="J633" t="str">
            <v>Indoor</v>
          </cell>
          <cell r="K633" t="str">
            <v>AC</v>
          </cell>
          <cell r="L633" t="str">
            <v>SAGEMCOM</v>
          </cell>
          <cell r="M633" t="str">
            <v>Edea 2</v>
          </cell>
          <cell r="N633" t="str">
            <v>OCEAN</v>
          </cell>
          <cell r="O633" t="str">
            <v>Fifinda</v>
          </cell>
          <cell r="P633" t="str">
            <v>Cyrille Alain Ngoufo Fopa</v>
          </cell>
          <cell r="Q633">
            <v>655999816</v>
          </cell>
          <cell r="R633">
            <v>677549816</v>
          </cell>
          <cell r="S633" t="str">
            <v>Valery Doudou</v>
          </cell>
          <cell r="T633" t="str">
            <v>GEORGES NAKHOUL</v>
          </cell>
          <cell r="U633" t="str">
            <v>I H S</v>
          </cell>
        </row>
        <row r="634">
          <cell r="A634" t="str">
            <v>LIT_536</v>
          </cell>
          <cell r="B634" t="str">
            <v>IHS_EDA_046</v>
          </cell>
          <cell r="C634" t="str">
            <v>LIT_536</v>
          </cell>
          <cell r="D634" t="str">
            <v>Littoral</v>
          </cell>
          <cell r="E634" t="str">
            <v>Littoral</v>
          </cell>
          <cell r="F634" t="str">
            <v>Yoyo New</v>
          </cell>
          <cell r="G634" t="str">
            <v>P5</v>
          </cell>
          <cell r="H634" t="str">
            <v>Hybrid-Gen</v>
          </cell>
          <cell r="I634" t="str">
            <v>On Air</v>
          </cell>
          <cell r="J634" t="str">
            <v>Outdoor</v>
          </cell>
          <cell r="K634" t="str">
            <v>AC</v>
          </cell>
          <cell r="L634" t="str">
            <v>SAGEMCOM</v>
          </cell>
          <cell r="M634" t="str">
            <v>Edea 1</v>
          </cell>
          <cell r="N634" t="str">
            <v>SANAGA-MARITIME</v>
          </cell>
          <cell r="O634" t="str">
            <v>Mouanko</v>
          </cell>
          <cell r="P634" t="str">
            <v>Cyrille Alain Ngoufo Fopa</v>
          </cell>
          <cell r="Q634">
            <v>655999816</v>
          </cell>
          <cell r="R634">
            <v>677549816</v>
          </cell>
          <cell r="S634" t="str">
            <v>Valery Doudou</v>
          </cell>
          <cell r="T634" t="str">
            <v>GEORGES NAKHOUL</v>
          </cell>
          <cell r="U634" t="str">
            <v>I H S</v>
          </cell>
        </row>
        <row r="635">
          <cell r="A635" t="str">
            <v>LIT_664</v>
          </cell>
          <cell r="B635" t="str">
            <v>IHS_EDA_033</v>
          </cell>
          <cell r="C635" t="str">
            <v>LIT_664</v>
          </cell>
          <cell r="D635" t="str">
            <v>Littoral</v>
          </cell>
          <cell r="E635" t="str">
            <v>Littoral</v>
          </cell>
          <cell r="F635" t="str">
            <v>Ngwei II</v>
          </cell>
          <cell r="G635" t="str">
            <v>P5</v>
          </cell>
          <cell r="H635" t="str">
            <v>Solar-Gen</v>
          </cell>
          <cell r="I635" t="str">
            <v>On Air</v>
          </cell>
          <cell r="J635" t="str">
            <v>Indoor</v>
          </cell>
          <cell r="K635" t="str">
            <v>AC</v>
          </cell>
          <cell r="L635" t="str">
            <v>SAGEMCOM</v>
          </cell>
          <cell r="M635" t="str">
            <v>Pouma 1</v>
          </cell>
          <cell r="N635" t="str">
            <v>SANAGA-MARITIME</v>
          </cell>
          <cell r="O635" t="str">
            <v>POUMA</v>
          </cell>
          <cell r="P635" t="str">
            <v>Cyrille Alain Ngoufo Fopa</v>
          </cell>
          <cell r="Q635">
            <v>655999816</v>
          </cell>
          <cell r="R635">
            <v>677549816</v>
          </cell>
          <cell r="S635" t="str">
            <v>Valery Doudou</v>
          </cell>
          <cell r="T635" t="str">
            <v>GEORGES NAKHOUL</v>
          </cell>
          <cell r="U635" t="str">
            <v>I H S</v>
          </cell>
        </row>
        <row r="636">
          <cell r="A636" t="str">
            <v>SUD_053</v>
          </cell>
          <cell r="B636" t="str">
            <v>IHS_KRI_102</v>
          </cell>
          <cell r="C636" t="str">
            <v>SUD_053</v>
          </cell>
          <cell r="D636" t="str">
            <v>Littoral</v>
          </cell>
          <cell r="E636" t="str">
            <v>Littoral</v>
          </cell>
          <cell r="F636" t="str">
            <v>Kribi Mpalla  (Bitolno)</v>
          </cell>
          <cell r="G636" t="str">
            <v>P5</v>
          </cell>
          <cell r="H636" t="str">
            <v>Grid-Gen</v>
          </cell>
          <cell r="I636" t="str">
            <v>On Air</v>
          </cell>
          <cell r="J636" t="str">
            <v>Outdoor</v>
          </cell>
          <cell r="K636" t="str">
            <v>AC</v>
          </cell>
          <cell r="L636" t="str">
            <v>SAGEMCOM</v>
          </cell>
          <cell r="M636" t="str">
            <v>Kribi</v>
          </cell>
          <cell r="N636" t="str">
            <v>OCEAN</v>
          </cell>
          <cell r="O636" t="str">
            <v>Kribi 1</v>
          </cell>
          <cell r="P636" t="str">
            <v>Cyrille Alain Ngoufo Fopa</v>
          </cell>
          <cell r="Q636">
            <v>655999816</v>
          </cell>
          <cell r="R636">
            <v>677549816</v>
          </cell>
          <cell r="S636" t="str">
            <v>Valery Doudou</v>
          </cell>
          <cell r="T636" t="str">
            <v>GEORGES NAKHOUL</v>
          </cell>
          <cell r="U636" t="str">
            <v>I H S</v>
          </cell>
        </row>
        <row r="637">
          <cell r="A637" t="str">
            <v>LIT_495</v>
          </cell>
          <cell r="B637" t="str">
            <v>IHS_EBO_1034</v>
          </cell>
          <cell r="C637" t="str">
            <v>LIT_495</v>
          </cell>
          <cell r="D637" t="str">
            <v>Littoral</v>
          </cell>
          <cell r="E637" t="str">
            <v>Littoral</v>
          </cell>
          <cell r="F637" t="str">
            <v>Nyete V 15</v>
          </cell>
          <cell r="G637" t="str">
            <v>P5</v>
          </cell>
          <cell r="H637" t="str">
            <v>Grid-Gen</v>
          </cell>
          <cell r="I637" t="str">
            <v>On Air</v>
          </cell>
          <cell r="J637" t="str">
            <v>Outdoor</v>
          </cell>
          <cell r="K637" t="str">
            <v>AC</v>
          </cell>
          <cell r="L637" t="str">
            <v>SAGEMCOM</v>
          </cell>
          <cell r="M637" t="str">
            <v>Kribi</v>
          </cell>
          <cell r="N637" t="str">
            <v>OCEAN</v>
          </cell>
          <cell r="O637" t="str">
            <v>Kribi 1</v>
          </cell>
          <cell r="P637" t="str">
            <v>Cyrille Alain Ngoufo Fopa</v>
          </cell>
          <cell r="Q637">
            <v>655999816</v>
          </cell>
          <cell r="R637">
            <v>677549816</v>
          </cell>
          <cell r="S637" t="str">
            <v>Valery Doudou</v>
          </cell>
          <cell r="T637" t="str">
            <v>GEORGES NAKHOUL</v>
          </cell>
          <cell r="U637" t="str">
            <v>I H S</v>
          </cell>
        </row>
        <row r="638">
          <cell r="A638" t="str">
            <v>SUD_215</v>
          </cell>
          <cell r="B638" t="str">
            <v>IHS_KRI_013</v>
          </cell>
          <cell r="C638" t="str">
            <v>SUD_215</v>
          </cell>
          <cell r="D638" t="str">
            <v>Littoral</v>
          </cell>
          <cell r="E638" t="str">
            <v>Littoral</v>
          </cell>
          <cell r="F638" t="str">
            <v>Fifinda-MTN</v>
          </cell>
          <cell r="G638" t="str">
            <v>P5</v>
          </cell>
          <cell r="H638" t="str">
            <v>Grid-Gen</v>
          </cell>
          <cell r="I638" t="str">
            <v>On Air</v>
          </cell>
          <cell r="J638" t="str">
            <v>Indoor</v>
          </cell>
          <cell r="K638" t="str">
            <v>AC</v>
          </cell>
          <cell r="L638" t="str">
            <v>SAGEMCOM</v>
          </cell>
          <cell r="M638" t="str">
            <v>Edea 2</v>
          </cell>
          <cell r="N638" t="str">
            <v>OCEAN</v>
          </cell>
          <cell r="O638" t="str">
            <v>Fifinda</v>
          </cell>
          <cell r="P638" t="str">
            <v>Cyrille Alain Ngoufo Fopa</v>
          </cell>
          <cell r="Q638">
            <v>655999816</v>
          </cell>
          <cell r="R638">
            <v>677549816</v>
          </cell>
          <cell r="S638" t="str">
            <v>Valery Doudou</v>
          </cell>
          <cell r="T638" t="str">
            <v>GEORGES NAKHOUL</v>
          </cell>
          <cell r="U638" t="str">
            <v>I H S</v>
          </cell>
        </row>
        <row r="639">
          <cell r="A639" t="str">
            <v>LIT_504</v>
          </cell>
          <cell r="B639" t="str">
            <v>IHS_KRI_003</v>
          </cell>
          <cell r="C639" t="str">
            <v>LIT_504</v>
          </cell>
          <cell r="D639" t="str">
            <v>Littoral</v>
          </cell>
          <cell r="E639" t="str">
            <v>Littoral</v>
          </cell>
          <cell r="F639" t="str">
            <v>Talla Kribi</v>
          </cell>
          <cell r="G639" t="str">
            <v>P5</v>
          </cell>
          <cell r="H639" t="str">
            <v>Grid-Gen</v>
          </cell>
          <cell r="I639" t="str">
            <v>On Air</v>
          </cell>
          <cell r="J639" t="str">
            <v>Indoor</v>
          </cell>
          <cell r="K639" t="str">
            <v>AC</v>
          </cell>
          <cell r="L639" t="str">
            <v>SAGEMCOM</v>
          </cell>
          <cell r="M639" t="str">
            <v>Kribi</v>
          </cell>
          <cell r="N639" t="str">
            <v>OCEAN</v>
          </cell>
          <cell r="O639" t="str">
            <v>Kribi 1</v>
          </cell>
          <cell r="P639" t="str">
            <v>Cyrille Alain Ngoufo Fopa</v>
          </cell>
          <cell r="Q639">
            <v>655999816</v>
          </cell>
          <cell r="R639">
            <v>677549816</v>
          </cell>
          <cell r="S639" t="str">
            <v>Valery Doudou</v>
          </cell>
          <cell r="T639" t="str">
            <v>GEORGES NAKHOUL</v>
          </cell>
          <cell r="U639" t="str">
            <v>I H S</v>
          </cell>
        </row>
        <row r="640">
          <cell r="A640" t="str">
            <v>SUD_043</v>
          </cell>
          <cell r="B640" t="str">
            <v>IHS_KRI_004</v>
          </cell>
          <cell r="C640" t="str">
            <v>SUD_043</v>
          </cell>
          <cell r="D640" t="str">
            <v>Littoral</v>
          </cell>
          <cell r="E640" t="str">
            <v>Littoral</v>
          </cell>
          <cell r="F640" t="str">
            <v>Ndombe Kribi</v>
          </cell>
          <cell r="G640" t="str">
            <v>P5</v>
          </cell>
          <cell r="H640" t="str">
            <v>Grid-Gen</v>
          </cell>
          <cell r="I640" t="str">
            <v>On Air</v>
          </cell>
          <cell r="J640" t="str">
            <v>Outdoor</v>
          </cell>
          <cell r="K640" t="str">
            <v>AC</v>
          </cell>
          <cell r="L640" t="str">
            <v>SAGEMCOM</v>
          </cell>
          <cell r="M640" t="str">
            <v>Kribi</v>
          </cell>
          <cell r="N640" t="str">
            <v>OCEAN</v>
          </cell>
          <cell r="O640" t="str">
            <v>Kribi 2</v>
          </cell>
          <cell r="P640" t="str">
            <v>Cyrille Alain Ngoufo Fopa</v>
          </cell>
          <cell r="Q640">
            <v>655999816</v>
          </cell>
          <cell r="R640">
            <v>677549816</v>
          </cell>
          <cell r="S640" t="str">
            <v>Valery Doudou</v>
          </cell>
          <cell r="T640" t="str">
            <v>GEORGES NAKHOUL</v>
          </cell>
          <cell r="U640" t="str">
            <v>I H S</v>
          </cell>
        </row>
        <row r="641">
          <cell r="A641" t="str">
            <v>SUD_080</v>
          </cell>
          <cell r="B641" t="str">
            <v>IHS_KRI_122</v>
          </cell>
          <cell r="C641" t="str">
            <v>SUD_080</v>
          </cell>
          <cell r="D641" t="str">
            <v>Littoral</v>
          </cell>
          <cell r="E641" t="str">
            <v>Littoral</v>
          </cell>
          <cell r="F641" t="str">
            <v>Kribi-Hotel-Paradis-IHS</v>
          </cell>
          <cell r="G641" t="str">
            <v>P5</v>
          </cell>
          <cell r="H641" t="str">
            <v>Grid-Gen</v>
          </cell>
          <cell r="I641" t="str">
            <v>On Air</v>
          </cell>
          <cell r="J641" t="str">
            <v>Outdoor</v>
          </cell>
          <cell r="K641" t="str">
            <v>AC</v>
          </cell>
          <cell r="L641" t="str">
            <v>SAGEMCOM</v>
          </cell>
          <cell r="M641" t="str">
            <v>Kribi</v>
          </cell>
          <cell r="N641" t="str">
            <v>OCEAN</v>
          </cell>
          <cell r="O641" t="str">
            <v>Kribi 1</v>
          </cell>
          <cell r="P641" t="str">
            <v>Cyrille Alain Ngoufo Fopa</v>
          </cell>
          <cell r="Q641">
            <v>655999816</v>
          </cell>
          <cell r="R641">
            <v>677549816</v>
          </cell>
          <cell r="S641" t="str">
            <v>Valery Doudou</v>
          </cell>
          <cell r="T641" t="str">
            <v>GEORGES NAKHOUL</v>
          </cell>
          <cell r="U641" t="str">
            <v>I H S</v>
          </cell>
        </row>
        <row r="642">
          <cell r="A642" t="str">
            <v>CTR_061</v>
          </cell>
          <cell r="B642" t="str">
            <v>IHS_YND_326</v>
          </cell>
          <cell r="C642" t="str">
            <v>CTR_061</v>
          </cell>
          <cell r="D642" t="str">
            <v>Center</v>
          </cell>
          <cell r="E642" t="str">
            <v>Center</v>
          </cell>
          <cell r="F642" t="str">
            <v>Nkometou</v>
          </cell>
          <cell r="G642" t="str">
            <v>P2</v>
          </cell>
          <cell r="H642" t="str">
            <v>Grid-Gen</v>
          </cell>
          <cell r="I642" t="str">
            <v>On Air</v>
          </cell>
          <cell r="J642" t="str">
            <v>Indoor</v>
          </cell>
          <cell r="K642" t="str">
            <v>AC</v>
          </cell>
          <cell r="L642" t="str">
            <v>Dowen</v>
          </cell>
          <cell r="M642" t="str">
            <v>Obala</v>
          </cell>
          <cell r="N642" t="str">
            <v>LEKIE</v>
          </cell>
          <cell r="O642" t="str">
            <v>OBALA</v>
          </cell>
          <cell r="P642" t="str">
            <v>Felix Bateu</v>
          </cell>
          <cell r="Q642">
            <v>677549887</v>
          </cell>
          <cell r="R642">
            <v>655999887</v>
          </cell>
          <cell r="S642" t="str">
            <v>Desire Moussinga</v>
          </cell>
          <cell r="T642" t="str">
            <v>Valeur HOUELL</v>
          </cell>
          <cell r="U642" t="str">
            <v>I H S</v>
          </cell>
        </row>
        <row r="643">
          <cell r="A643" t="str">
            <v>CTR_180</v>
          </cell>
          <cell r="B643" t="str">
            <v>IHS_YND_392</v>
          </cell>
          <cell r="C643" t="str">
            <v>CTR_180</v>
          </cell>
          <cell r="D643" t="str">
            <v>Center</v>
          </cell>
          <cell r="E643" t="str">
            <v>Center</v>
          </cell>
          <cell r="F643" t="str">
            <v>BATCHENGA</v>
          </cell>
          <cell r="G643" t="str">
            <v>P2</v>
          </cell>
          <cell r="H643" t="str">
            <v>Hybrid-Gen</v>
          </cell>
          <cell r="I643" t="str">
            <v>On Air</v>
          </cell>
          <cell r="J643" t="str">
            <v>Indoor</v>
          </cell>
          <cell r="K643" t="str">
            <v>AC</v>
          </cell>
          <cell r="L643" t="str">
            <v>Dowen</v>
          </cell>
          <cell r="M643" t="str">
            <v>Obala</v>
          </cell>
          <cell r="N643" t="str">
            <v>LEKIE</v>
          </cell>
          <cell r="O643" t="str">
            <v>BATCHENGA</v>
          </cell>
          <cell r="P643" t="str">
            <v>Felix Bateu</v>
          </cell>
          <cell r="Q643">
            <v>677549887</v>
          </cell>
          <cell r="R643">
            <v>655999887</v>
          </cell>
          <cell r="S643" t="str">
            <v>Desire Moussinga</v>
          </cell>
          <cell r="T643" t="str">
            <v>Valeur HOUELL</v>
          </cell>
          <cell r="U643" t="str">
            <v>I H S</v>
          </cell>
        </row>
        <row r="644">
          <cell r="A644" t="str">
            <v>CTR_083</v>
          </cell>
          <cell r="B644" t="str">
            <v>IHS_YND_389</v>
          </cell>
          <cell r="C644" t="str">
            <v>CTR_083</v>
          </cell>
          <cell r="D644" t="str">
            <v>Center</v>
          </cell>
          <cell r="E644" t="str">
            <v>Center</v>
          </cell>
          <cell r="F644" t="str">
            <v>Ngomo</v>
          </cell>
          <cell r="G644" t="str">
            <v>P3</v>
          </cell>
          <cell r="H644" t="str">
            <v>Grid-Gen</v>
          </cell>
          <cell r="I644" t="str">
            <v>On Air</v>
          </cell>
          <cell r="J644" t="str">
            <v>Indoor</v>
          </cell>
          <cell r="K644" t="str">
            <v>AC</v>
          </cell>
          <cell r="L644" t="str">
            <v>Dowen</v>
          </cell>
          <cell r="M644" t="str">
            <v>Obala</v>
          </cell>
          <cell r="N644" t="str">
            <v>LEKIE</v>
          </cell>
          <cell r="O644" t="str">
            <v>MONATELE</v>
          </cell>
          <cell r="P644" t="str">
            <v>Felix Bateu</v>
          </cell>
          <cell r="Q644">
            <v>677549887</v>
          </cell>
          <cell r="R644">
            <v>655999887</v>
          </cell>
          <cell r="S644" t="str">
            <v>Desire Moussinga</v>
          </cell>
          <cell r="T644" t="str">
            <v>Valeur HOUELL</v>
          </cell>
          <cell r="U644" t="str">
            <v>I H S</v>
          </cell>
        </row>
        <row r="645">
          <cell r="A645" t="str">
            <v>CTR_220</v>
          </cell>
          <cell r="B645" t="str">
            <v>IHS_YND_432</v>
          </cell>
          <cell r="C645" t="str">
            <v>CTR_220</v>
          </cell>
          <cell r="D645" t="str">
            <v>Center</v>
          </cell>
          <cell r="E645" t="str">
            <v>Center</v>
          </cell>
          <cell r="F645" t="str">
            <v>Nkoteng-II</v>
          </cell>
          <cell r="G645" t="str">
            <v>P3</v>
          </cell>
          <cell r="H645" t="str">
            <v>Grid-Gen</v>
          </cell>
          <cell r="I645" t="str">
            <v>On Air</v>
          </cell>
          <cell r="J645" t="str">
            <v>Outdoor</v>
          </cell>
          <cell r="K645" t="str">
            <v>AC</v>
          </cell>
          <cell r="L645" t="str">
            <v>Dowen</v>
          </cell>
          <cell r="M645" t="str">
            <v>Obala</v>
          </cell>
          <cell r="N645" t="str">
            <v>HAUTE-SANAGA</v>
          </cell>
          <cell r="O645" t="str">
            <v>NKOTENG</v>
          </cell>
          <cell r="P645" t="str">
            <v>Felix Bateu</v>
          </cell>
          <cell r="Q645">
            <v>677549887</v>
          </cell>
          <cell r="R645">
            <v>655999887</v>
          </cell>
          <cell r="S645" t="str">
            <v>Desire Moussinga</v>
          </cell>
          <cell r="T645" t="str">
            <v>Valeur HOUELL</v>
          </cell>
          <cell r="U645" t="str">
            <v>I H S</v>
          </cell>
        </row>
        <row r="646">
          <cell r="A646" t="str">
            <v>CTR_299</v>
          </cell>
          <cell r="B646" t="str">
            <v>IHS_YND_433</v>
          </cell>
          <cell r="C646" t="str">
            <v>CTR_299</v>
          </cell>
          <cell r="D646" t="str">
            <v>Center</v>
          </cell>
          <cell r="E646" t="str">
            <v>Center</v>
          </cell>
          <cell r="F646" t="str">
            <v>Nguila</v>
          </cell>
          <cell r="G646" t="str">
            <v>P3</v>
          </cell>
          <cell r="H646" t="str">
            <v>Gen Only</v>
          </cell>
          <cell r="I646" t="str">
            <v>On Air</v>
          </cell>
          <cell r="J646" t="str">
            <v>Outdoor</v>
          </cell>
          <cell r="K646" t="str">
            <v>AC</v>
          </cell>
          <cell r="L646" t="str">
            <v>SAGEMCOM</v>
          </cell>
          <cell r="M646" t="str">
            <v>Ntui</v>
          </cell>
          <cell r="N646" t="str">
            <v>MBAM ET KIM</v>
          </cell>
          <cell r="O646" t="str">
            <v>NTUI</v>
          </cell>
          <cell r="P646" t="str">
            <v>Felix Bateu</v>
          </cell>
          <cell r="Q646">
            <v>677549887</v>
          </cell>
          <cell r="R646">
            <v>655999887</v>
          </cell>
          <cell r="S646" t="str">
            <v>Desire Moussinga</v>
          </cell>
          <cell r="T646" t="str">
            <v>Valeur HOUELL</v>
          </cell>
          <cell r="U646" t="str">
            <v>I H S</v>
          </cell>
        </row>
        <row r="647">
          <cell r="A647" t="str">
            <v>CTR_335</v>
          </cell>
          <cell r="B647" t="str">
            <v>IHS_YND_474</v>
          </cell>
          <cell r="C647" t="str">
            <v>CTR_335</v>
          </cell>
          <cell r="D647" t="str">
            <v>Center</v>
          </cell>
          <cell r="E647" t="str">
            <v>Center</v>
          </cell>
          <cell r="F647" t="str">
            <v>Yoko</v>
          </cell>
          <cell r="G647" t="str">
            <v>P3</v>
          </cell>
          <cell r="H647" t="str">
            <v>Grid-Gen</v>
          </cell>
          <cell r="I647" t="str">
            <v>On Air</v>
          </cell>
          <cell r="J647" t="str">
            <v>Outdoor</v>
          </cell>
          <cell r="K647" t="str">
            <v>AC</v>
          </cell>
          <cell r="L647" t="str">
            <v>SAGEMCOM</v>
          </cell>
          <cell r="M647" t="str">
            <v>Ntui</v>
          </cell>
          <cell r="N647" t="str">
            <v>MBAM ET KIM</v>
          </cell>
          <cell r="O647" t="str">
            <v>YOKO</v>
          </cell>
          <cell r="P647" t="str">
            <v>Felix Bateu</v>
          </cell>
          <cell r="Q647">
            <v>677549887</v>
          </cell>
          <cell r="R647">
            <v>655999887</v>
          </cell>
          <cell r="S647" t="str">
            <v>Desire Moussinga</v>
          </cell>
          <cell r="T647" t="str">
            <v>Valeur HOUELL</v>
          </cell>
          <cell r="U647" t="str">
            <v>I H S</v>
          </cell>
        </row>
        <row r="648">
          <cell r="A648" t="str">
            <v>CTR_192</v>
          </cell>
          <cell r="B648" t="str">
            <v>IHS_YND_405</v>
          </cell>
          <cell r="C648" t="str">
            <v>CTR_192</v>
          </cell>
          <cell r="D648" t="str">
            <v>Center</v>
          </cell>
          <cell r="E648" t="str">
            <v>Center</v>
          </cell>
          <cell r="F648" t="str">
            <v>Saa</v>
          </cell>
          <cell r="G648" t="str">
            <v>P3</v>
          </cell>
          <cell r="H648" t="str">
            <v>Grid-Gen</v>
          </cell>
          <cell r="I648" t="str">
            <v>On Air</v>
          </cell>
          <cell r="J648" t="str">
            <v>Outdoor</v>
          </cell>
          <cell r="K648" t="str">
            <v>AC</v>
          </cell>
          <cell r="L648" t="str">
            <v>SAGEMCOM</v>
          </cell>
          <cell r="M648" t="str">
            <v>Ntui</v>
          </cell>
          <cell r="N648" t="str">
            <v>LEKIE</v>
          </cell>
          <cell r="O648" t="str">
            <v>SA'A</v>
          </cell>
          <cell r="P648" t="str">
            <v>Felix Bateu</v>
          </cell>
          <cell r="Q648">
            <v>677549887</v>
          </cell>
          <cell r="R648">
            <v>655999887</v>
          </cell>
          <cell r="S648" t="str">
            <v>Desire Moussinga</v>
          </cell>
          <cell r="T648" t="str">
            <v>Valeur HOUELL</v>
          </cell>
          <cell r="U648" t="str">
            <v>I H S</v>
          </cell>
        </row>
        <row r="649">
          <cell r="A649" t="str">
            <v>CTR_230</v>
          </cell>
          <cell r="B649" t="str">
            <v>IHS_YND_393</v>
          </cell>
          <cell r="C649" t="str">
            <v>CTR_230</v>
          </cell>
          <cell r="D649" t="str">
            <v>Center</v>
          </cell>
          <cell r="E649" t="str">
            <v>Center</v>
          </cell>
          <cell r="F649" t="str">
            <v>Ezezang-MTN</v>
          </cell>
          <cell r="G649" t="str">
            <v>P3</v>
          </cell>
          <cell r="H649" t="str">
            <v>Gen Only</v>
          </cell>
          <cell r="I649" t="str">
            <v>On Air</v>
          </cell>
          <cell r="J649" t="str">
            <v>Indoor</v>
          </cell>
          <cell r="K649" t="str">
            <v>AC</v>
          </cell>
          <cell r="L649" t="str">
            <v>SAGEMCOM</v>
          </cell>
          <cell r="M649" t="str">
            <v>Ntui</v>
          </cell>
          <cell r="N649" t="str">
            <v>LEKIE</v>
          </cell>
          <cell r="O649" t="str">
            <v>MONATELE</v>
          </cell>
          <cell r="P649" t="str">
            <v>Felix Bateu</v>
          </cell>
          <cell r="Q649">
            <v>677549887</v>
          </cell>
          <cell r="R649">
            <v>655999887</v>
          </cell>
          <cell r="S649" t="str">
            <v>Desire Moussinga</v>
          </cell>
          <cell r="T649" t="str">
            <v>Valeur HOUELL</v>
          </cell>
          <cell r="U649" t="str">
            <v>I H S</v>
          </cell>
        </row>
        <row r="650">
          <cell r="A650" t="str">
            <v>CTR_437</v>
          </cell>
          <cell r="B650" t="str">
            <v>IHS_YND_552</v>
          </cell>
          <cell r="C650" t="str">
            <v>CTR_437</v>
          </cell>
          <cell r="D650" t="str">
            <v>Center</v>
          </cell>
          <cell r="E650" t="str">
            <v>Center</v>
          </cell>
          <cell r="F650" t="str">
            <v>EKABITA ESSELE</v>
          </cell>
          <cell r="G650" t="str">
            <v>P4</v>
          </cell>
          <cell r="H650" t="str">
            <v>Grid-Gen</v>
          </cell>
          <cell r="I650" t="str">
            <v>On Air</v>
          </cell>
          <cell r="J650" t="str">
            <v>Outdoor</v>
          </cell>
          <cell r="K650" t="str">
            <v>AC</v>
          </cell>
          <cell r="L650" t="str">
            <v>Dowen</v>
          </cell>
          <cell r="M650" t="str">
            <v>Obala</v>
          </cell>
          <cell r="N650" t="str">
            <v>LEKIE</v>
          </cell>
          <cell r="O650" t="str">
            <v>OBALA</v>
          </cell>
          <cell r="P650" t="str">
            <v>Felix Bateu</v>
          </cell>
          <cell r="Q650">
            <v>677549887</v>
          </cell>
          <cell r="R650">
            <v>655999887</v>
          </cell>
          <cell r="S650" t="str">
            <v>Desire Moussinga</v>
          </cell>
          <cell r="T650" t="str">
            <v>Valeur HOUELL</v>
          </cell>
          <cell r="U650" t="str">
            <v>I H S</v>
          </cell>
        </row>
        <row r="651">
          <cell r="A651" t="str">
            <v>CTR_221</v>
          </cell>
          <cell r="B651" t="str">
            <v>IHS_YND_386</v>
          </cell>
          <cell r="C651" t="str">
            <v>CTR_221</v>
          </cell>
          <cell r="D651" t="str">
            <v>Center</v>
          </cell>
          <cell r="E651" t="str">
            <v>Center</v>
          </cell>
          <cell r="F651" t="str">
            <v>Efok</v>
          </cell>
          <cell r="G651" t="str">
            <v>P4</v>
          </cell>
          <cell r="H651" t="str">
            <v>Grid-Gen</v>
          </cell>
          <cell r="I651" t="str">
            <v>On Air</v>
          </cell>
          <cell r="J651" t="str">
            <v>Outdoor</v>
          </cell>
          <cell r="K651" t="str">
            <v>AC</v>
          </cell>
          <cell r="L651" t="str">
            <v>Dowen</v>
          </cell>
          <cell r="M651" t="str">
            <v>Obala</v>
          </cell>
          <cell r="N651" t="str">
            <v>LEKIE</v>
          </cell>
          <cell r="O651" t="str">
            <v>OBALA</v>
          </cell>
          <cell r="P651" t="str">
            <v>Felix Bateu</v>
          </cell>
          <cell r="Q651">
            <v>677549887</v>
          </cell>
          <cell r="R651">
            <v>655999887</v>
          </cell>
          <cell r="S651" t="str">
            <v>Desire Moussinga</v>
          </cell>
          <cell r="T651" t="str">
            <v>Valeur HOUELL</v>
          </cell>
          <cell r="U651" t="str">
            <v>I H S</v>
          </cell>
        </row>
        <row r="652">
          <cell r="A652" t="str">
            <v>CTR_506</v>
          </cell>
          <cell r="B652" t="str">
            <v>IHS_YND_592</v>
          </cell>
          <cell r="C652" t="str">
            <v>CTR_506</v>
          </cell>
          <cell r="D652" t="str">
            <v>Center</v>
          </cell>
          <cell r="E652" t="str">
            <v>Center</v>
          </cell>
          <cell r="F652" t="str">
            <v>Nkoteng Ville</v>
          </cell>
          <cell r="G652" t="str">
            <v>P4</v>
          </cell>
          <cell r="H652" t="str">
            <v>Grid-Gen</v>
          </cell>
          <cell r="I652" t="str">
            <v>On Air</v>
          </cell>
          <cell r="J652" t="str">
            <v>Outdoor</v>
          </cell>
          <cell r="K652" t="str">
            <v>AC</v>
          </cell>
          <cell r="L652" t="str">
            <v>Dowen</v>
          </cell>
          <cell r="M652" t="str">
            <v>Obala</v>
          </cell>
          <cell r="N652" t="str">
            <v>HAUTE-SANAGA</v>
          </cell>
          <cell r="O652" t="str">
            <v>NKOTENG</v>
          </cell>
          <cell r="P652" t="str">
            <v>Felix Bateu</v>
          </cell>
          <cell r="Q652">
            <v>677549887</v>
          </cell>
          <cell r="R652">
            <v>655999887</v>
          </cell>
          <cell r="S652" t="str">
            <v>Desire Moussinga</v>
          </cell>
          <cell r="T652" t="str">
            <v>Valeur HOUELL</v>
          </cell>
          <cell r="U652" t="str">
            <v>I H S</v>
          </cell>
        </row>
        <row r="653">
          <cell r="A653" t="str">
            <v>CTR_113</v>
          </cell>
          <cell r="B653" t="str">
            <v>IHS_YND_352</v>
          </cell>
          <cell r="C653" t="str">
            <v>CTR_113</v>
          </cell>
          <cell r="D653" t="str">
            <v>Center</v>
          </cell>
          <cell r="E653" t="str">
            <v>Center</v>
          </cell>
          <cell r="F653" t="str">
            <v>Obala-Mairie</v>
          </cell>
          <cell r="G653" t="str">
            <v>P4</v>
          </cell>
          <cell r="H653" t="str">
            <v>Grid-Gen</v>
          </cell>
          <cell r="I653" t="str">
            <v>On Air</v>
          </cell>
          <cell r="J653" t="str">
            <v>Indoor</v>
          </cell>
          <cell r="K653" t="str">
            <v>AC</v>
          </cell>
          <cell r="L653" t="str">
            <v>Dowen</v>
          </cell>
          <cell r="M653" t="str">
            <v>Obala</v>
          </cell>
          <cell r="N653" t="str">
            <v>LEKIE</v>
          </cell>
          <cell r="O653" t="str">
            <v>OBALA</v>
          </cell>
          <cell r="P653" t="str">
            <v>Felix Bateu</v>
          </cell>
          <cell r="Q653">
            <v>677549887</v>
          </cell>
          <cell r="R653">
            <v>655999887</v>
          </cell>
          <cell r="S653" t="str">
            <v>Desire Moussinga</v>
          </cell>
          <cell r="T653" t="str">
            <v>Valeur HOUELL</v>
          </cell>
          <cell r="U653" t="str">
            <v>I H S</v>
          </cell>
        </row>
        <row r="654">
          <cell r="A654" t="str">
            <v>CTR_152</v>
          </cell>
          <cell r="B654" t="str">
            <v>IHS_YND_431</v>
          </cell>
          <cell r="C654" t="str">
            <v>CTR_152</v>
          </cell>
          <cell r="D654" t="str">
            <v>Center</v>
          </cell>
          <cell r="E654" t="str">
            <v>Center</v>
          </cell>
          <cell r="F654" t="str">
            <v>Nkoteng-IHS</v>
          </cell>
          <cell r="G654" t="str">
            <v>P4</v>
          </cell>
          <cell r="H654" t="str">
            <v>Grid-Gen</v>
          </cell>
          <cell r="I654" t="str">
            <v>On Air</v>
          </cell>
          <cell r="J654" t="str">
            <v>Indoor</v>
          </cell>
          <cell r="K654" t="str">
            <v>AC</v>
          </cell>
          <cell r="L654" t="str">
            <v>Dowen</v>
          </cell>
          <cell r="M654" t="str">
            <v>Obala</v>
          </cell>
          <cell r="N654" t="str">
            <v>HAUTE-SANAGA</v>
          </cell>
          <cell r="O654" t="str">
            <v>NKOTENG</v>
          </cell>
          <cell r="P654" t="str">
            <v>Felix Bateu</v>
          </cell>
          <cell r="Q654">
            <v>677549887</v>
          </cell>
          <cell r="R654">
            <v>655999887</v>
          </cell>
          <cell r="S654" t="str">
            <v>Desire Moussinga</v>
          </cell>
          <cell r="T654" t="str">
            <v>Valeur HOUELL</v>
          </cell>
          <cell r="U654" t="str">
            <v>I H S</v>
          </cell>
        </row>
        <row r="655">
          <cell r="A655" t="str">
            <v>CTR_365</v>
          </cell>
          <cell r="B655" t="str">
            <v>IHS_YND_351</v>
          </cell>
          <cell r="C655" t="str">
            <v>CTR_365</v>
          </cell>
          <cell r="D655" t="str">
            <v>Center</v>
          </cell>
          <cell r="E655" t="str">
            <v>Center</v>
          </cell>
          <cell r="F655" t="str">
            <v>Afambassi-MTN</v>
          </cell>
          <cell r="G655" t="str">
            <v>P4</v>
          </cell>
          <cell r="H655" t="str">
            <v>Hybrid-Gen</v>
          </cell>
          <cell r="I655" t="str">
            <v>On Air</v>
          </cell>
          <cell r="J655" t="str">
            <v>Indoor</v>
          </cell>
          <cell r="K655" t="str">
            <v>AC</v>
          </cell>
          <cell r="L655" t="str">
            <v>Dowen</v>
          </cell>
          <cell r="M655" t="str">
            <v>Obala</v>
          </cell>
          <cell r="N655" t="str">
            <v>LEKIE</v>
          </cell>
          <cell r="O655" t="str">
            <v>OBALA</v>
          </cell>
          <cell r="P655" t="str">
            <v>Felix Bateu</v>
          </cell>
          <cell r="Q655">
            <v>677549887</v>
          </cell>
          <cell r="R655">
            <v>655999887</v>
          </cell>
          <cell r="S655" t="str">
            <v>Desire Moussinga</v>
          </cell>
          <cell r="T655" t="str">
            <v>Valeur HOUELL</v>
          </cell>
          <cell r="U655" t="str">
            <v>I H S</v>
          </cell>
        </row>
        <row r="656">
          <cell r="A656" t="str">
            <v>CTR_513</v>
          </cell>
          <cell r="B656" t="str">
            <v>IHS_YND_324</v>
          </cell>
          <cell r="C656" t="str">
            <v>CTR_513</v>
          </cell>
          <cell r="D656" t="str">
            <v>Center</v>
          </cell>
          <cell r="E656" t="str">
            <v>Center</v>
          </cell>
          <cell r="F656" t="str">
            <v>Akak-IHS</v>
          </cell>
          <cell r="G656" t="str">
            <v>P4</v>
          </cell>
          <cell r="H656" t="str">
            <v>Grid-Gen</v>
          </cell>
          <cell r="I656" t="str">
            <v>On Air</v>
          </cell>
          <cell r="J656" t="str">
            <v>Outdoor</v>
          </cell>
          <cell r="K656" t="str">
            <v>AC</v>
          </cell>
          <cell r="L656" t="str">
            <v>Dowen</v>
          </cell>
          <cell r="M656" t="str">
            <v>Obala</v>
          </cell>
          <cell r="N656" t="str">
            <v>MFOUNDI</v>
          </cell>
          <cell r="O656" t="str">
            <v>SOA</v>
          </cell>
          <cell r="P656" t="str">
            <v>Felix Bateu</v>
          </cell>
          <cell r="Q656">
            <v>677549887</v>
          </cell>
          <cell r="R656">
            <v>655999887</v>
          </cell>
          <cell r="S656" t="str">
            <v>Desire Moussinga</v>
          </cell>
          <cell r="T656" t="str">
            <v>Valeur HOUELL</v>
          </cell>
          <cell r="U656" t="str">
            <v>I H S</v>
          </cell>
        </row>
        <row r="657">
          <cell r="A657" t="str">
            <v>CTR_627</v>
          </cell>
          <cell r="B657" t="str">
            <v>IHS_YND_353</v>
          </cell>
          <cell r="C657" t="str">
            <v>CTR_627</v>
          </cell>
          <cell r="D657" t="str">
            <v>Center</v>
          </cell>
          <cell r="E657" t="str">
            <v>Center</v>
          </cell>
          <cell r="F657" t="str">
            <v>Obala-Ville</v>
          </cell>
          <cell r="G657" t="str">
            <v>P4</v>
          </cell>
          <cell r="H657" t="str">
            <v>Grid-Gen</v>
          </cell>
          <cell r="I657" t="str">
            <v>On Air</v>
          </cell>
          <cell r="J657" t="str">
            <v>Indoor</v>
          </cell>
          <cell r="K657" t="str">
            <v>AC</v>
          </cell>
          <cell r="L657" t="str">
            <v>Dowen</v>
          </cell>
          <cell r="M657" t="str">
            <v>Obala</v>
          </cell>
          <cell r="N657" t="str">
            <v>LEKIE</v>
          </cell>
          <cell r="O657" t="str">
            <v>OBALA</v>
          </cell>
          <cell r="P657" t="str">
            <v>Felix Bateu</v>
          </cell>
          <cell r="Q657">
            <v>677549887</v>
          </cell>
          <cell r="R657">
            <v>655999887</v>
          </cell>
          <cell r="S657" t="str">
            <v>Desire Moussinga</v>
          </cell>
          <cell r="T657" t="str">
            <v>Valeur HOUELL</v>
          </cell>
          <cell r="U657" t="str">
            <v>I H S</v>
          </cell>
        </row>
        <row r="658">
          <cell r="A658" t="str">
            <v>CTR_757</v>
          </cell>
          <cell r="B658" t="str">
            <v>IHS_YND_401</v>
          </cell>
          <cell r="C658" t="str">
            <v>CTR_757</v>
          </cell>
          <cell r="D658" t="str">
            <v>Center</v>
          </cell>
          <cell r="E658" t="str">
            <v>Center</v>
          </cell>
          <cell r="F658" t="str">
            <v>Ndokoa</v>
          </cell>
          <cell r="G658" t="str">
            <v>P4</v>
          </cell>
          <cell r="H658" t="str">
            <v>Solar-Gen</v>
          </cell>
          <cell r="I658" t="str">
            <v>On Air</v>
          </cell>
          <cell r="J658" t="str">
            <v>Outdoor</v>
          </cell>
          <cell r="K658" t="str">
            <v>AC</v>
          </cell>
          <cell r="L658" t="str">
            <v>Dowen</v>
          </cell>
          <cell r="M658" t="str">
            <v>Obala</v>
          </cell>
          <cell r="N658" t="str">
            <v>LEKIE</v>
          </cell>
          <cell r="O658" t="str">
            <v>MBANDJOCK</v>
          </cell>
          <cell r="P658" t="str">
            <v>Felix Bateu</v>
          </cell>
          <cell r="Q658">
            <v>677549887</v>
          </cell>
          <cell r="R658">
            <v>655999887</v>
          </cell>
          <cell r="S658" t="str">
            <v>Desire Moussinga</v>
          </cell>
          <cell r="T658" t="str">
            <v>Valeur HOUELL</v>
          </cell>
          <cell r="U658" t="str">
            <v>I H S</v>
          </cell>
        </row>
        <row r="659">
          <cell r="A659" t="str">
            <v>CTR_143</v>
          </cell>
          <cell r="B659" t="str">
            <v>IHS_YND_442</v>
          </cell>
          <cell r="C659" t="str">
            <v>CTR_143</v>
          </cell>
          <cell r="D659" t="str">
            <v>Center</v>
          </cell>
          <cell r="E659" t="str">
            <v>Center</v>
          </cell>
          <cell r="F659" t="str">
            <v>Enganme-IHS</v>
          </cell>
          <cell r="G659" t="str">
            <v>P4</v>
          </cell>
          <cell r="H659" t="str">
            <v>Solar-Gen</v>
          </cell>
          <cell r="I659" t="str">
            <v>On Air</v>
          </cell>
          <cell r="J659" t="str">
            <v>Outdoor</v>
          </cell>
          <cell r="K659" t="str">
            <v>AC</v>
          </cell>
          <cell r="L659" t="str">
            <v>Dowen</v>
          </cell>
          <cell r="M659" t="str">
            <v>Obala</v>
          </cell>
          <cell r="N659" t="str">
            <v>HAUTE-SANAGA</v>
          </cell>
          <cell r="O659" t="str">
            <v>NANGA EBOKO</v>
          </cell>
          <cell r="P659" t="str">
            <v>Felix Bateu</v>
          </cell>
          <cell r="Q659">
            <v>677549887</v>
          </cell>
          <cell r="R659">
            <v>655999887</v>
          </cell>
          <cell r="S659" t="str">
            <v>Desire Moussinga</v>
          </cell>
          <cell r="T659" t="str">
            <v>Valeur HOUELL</v>
          </cell>
          <cell r="U659" t="str">
            <v>I H S</v>
          </cell>
        </row>
        <row r="660">
          <cell r="A660" t="str">
            <v>CTR_699</v>
          </cell>
          <cell r="B660" t="str">
            <v>IHS_YND_726</v>
          </cell>
          <cell r="C660" t="str">
            <v>CTR_699</v>
          </cell>
          <cell r="D660" t="str">
            <v>Center</v>
          </cell>
          <cell r="E660" t="str">
            <v>Center</v>
          </cell>
          <cell r="F660" t="str">
            <v>Batchenga natchigal IHS</v>
          </cell>
          <cell r="G660" t="str">
            <v>P4</v>
          </cell>
          <cell r="H660" t="str">
            <v>Grid-Gen</v>
          </cell>
          <cell r="I660" t="str">
            <v>On Air</v>
          </cell>
          <cell r="J660" t="str">
            <v>Outdoor</v>
          </cell>
          <cell r="K660" t="str">
            <v>AC</v>
          </cell>
          <cell r="L660" t="str">
            <v>Dowen</v>
          </cell>
          <cell r="M660" t="str">
            <v>Obala</v>
          </cell>
          <cell r="N660" t="str">
            <v>LEKIE</v>
          </cell>
          <cell r="O660" t="str">
            <v>BATCHENGA</v>
          </cell>
          <cell r="P660" t="str">
            <v>Felix Bateu</v>
          </cell>
          <cell r="Q660">
            <v>677549887</v>
          </cell>
          <cell r="R660">
            <v>655999887</v>
          </cell>
          <cell r="S660" t="str">
            <v>Desire Moussinga</v>
          </cell>
          <cell r="T660" t="str">
            <v>Valeur HOUELL</v>
          </cell>
          <cell r="U660" t="str">
            <v>I H S</v>
          </cell>
        </row>
        <row r="661">
          <cell r="A661" t="str">
            <v>CTR_695</v>
          </cell>
          <cell r="B661" t="str">
            <v>IHS_YND_725</v>
          </cell>
          <cell r="C661" t="str">
            <v>CTR_695</v>
          </cell>
          <cell r="D661" t="str">
            <v>Center</v>
          </cell>
          <cell r="E661" t="str">
            <v>Center</v>
          </cell>
          <cell r="F661" t="str">
            <v>Nkometou-Edouma-IHS</v>
          </cell>
          <cell r="G661" t="str">
            <v>P4</v>
          </cell>
          <cell r="H661" t="str">
            <v>Grid-Gen</v>
          </cell>
          <cell r="I661" t="str">
            <v>On Air</v>
          </cell>
          <cell r="J661" t="str">
            <v>Outdoor</v>
          </cell>
          <cell r="K661" t="str">
            <v>AC</v>
          </cell>
          <cell r="L661" t="str">
            <v>Dowen</v>
          </cell>
          <cell r="M661" t="str">
            <v>Obala</v>
          </cell>
          <cell r="N661" t="str">
            <v>LEKIE</v>
          </cell>
          <cell r="O661" t="str">
            <v>OBALA</v>
          </cell>
          <cell r="P661" t="str">
            <v>Felix Bateu</v>
          </cell>
          <cell r="Q661">
            <v>677549887</v>
          </cell>
          <cell r="R661">
            <v>655999887</v>
          </cell>
          <cell r="S661" t="str">
            <v>Desire Moussinga</v>
          </cell>
          <cell r="T661" t="str">
            <v>Valeur HOUELL</v>
          </cell>
          <cell r="U661" t="str">
            <v>I H S</v>
          </cell>
        </row>
        <row r="662">
          <cell r="A662" t="str">
            <v>SUO_085</v>
          </cell>
          <cell r="B662" t="str">
            <v>IHS_KMB_027</v>
          </cell>
          <cell r="C662" t="str">
            <v>SUO_085</v>
          </cell>
          <cell r="D662" t="str">
            <v>South West</v>
          </cell>
          <cell r="E662" t="str">
            <v>South West</v>
          </cell>
          <cell r="F662" t="str">
            <v>Ngongo-MTN</v>
          </cell>
          <cell r="G662" t="str">
            <v>P4</v>
          </cell>
          <cell r="H662" t="str">
            <v>Vandalized</v>
          </cell>
          <cell r="I662" t="str">
            <v>On Air</v>
          </cell>
          <cell r="J662" t="str">
            <v>Outdoor</v>
          </cell>
          <cell r="K662" t="str">
            <v>AC</v>
          </cell>
          <cell r="L662" t="str">
            <v>I-Eng</v>
          </cell>
          <cell r="M662" t="str">
            <v>Ekondo Titi</v>
          </cell>
          <cell r="N662" t="str">
            <v>LEKIE</v>
          </cell>
          <cell r="O662" t="str">
            <v>Mbonge</v>
          </cell>
          <cell r="P662" t="str">
            <v>Felix Bateu</v>
          </cell>
          <cell r="Q662">
            <v>677549887</v>
          </cell>
          <cell r="R662">
            <v>655999887</v>
          </cell>
          <cell r="S662" t="str">
            <v>Stephane KETCHOUANG</v>
          </cell>
          <cell r="T662" t="str">
            <v>GEORGES NAKHOUL</v>
          </cell>
          <cell r="U662" t="str">
            <v>I H S</v>
          </cell>
        </row>
        <row r="663">
          <cell r="A663" t="str">
            <v>CTR_300</v>
          </cell>
          <cell r="B663" t="str">
            <v>IHS_YND_454</v>
          </cell>
          <cell r="C663" t="str">
            <v>CTR_300</v>
          </cell>
          <cell r="D663" t="str">
            <v>Center</v>
          </cell>
          <cell r="E663" t="str">
            <v>Center</v>
          </cell>
          <cell r="F663" t="str">
            <v>Ngouetou</v>
          </cell>
          <cell r="G663" t="str">
            <v>P4</v>
          </cell>
          <cell r="H663" t="str">
            <v>Hybrid-Gen</v>
          </cell>
          <cell r="I663" t="str">
            <v>On Air</v>
          </cell>
          <cell r="J663" t="str">
            <v>Outdoor</v>
          </cell>
          <cell r="K663" t="str">
            <v>AC</v>
          </cell>
          <cell r="L663" t="str">
            <v>SAGEMCOM</v>
          </cell>
          <cell r="M663" t="str">
            <v>Ntui</v>
          </cell>
          <cell r="N663" t="str">
            <v>MBAM ET KIM</v>
          </cell>
          <cell r="O663" t="str">
            <v>YOKO</v>
          </cell>
          <cell r="P663" t="str">
            <v>Felix Bateu</v>
          </cell>
          <cell r="Q663">
            <v>677549887</v>
          </cell>
          <cell r="R663">
            <v>655999887</v>
          </cell>
          <cell r="S663" t="str">
            <v>Desire Moussinga</v>
          </cell>
          <cell r="T663" t="str">
            <v>Valeur HOUELL</v>
          </cell>
          <cell r="U663" t="str">
            <v>I H S</v>
          </cell>
        </row>
        <row r="664">
          <cell r="A664" t="str">
            <v>CTR_301</v>
          </cell>
          <cell r="B664" t="str">
            <v>IHS_YND_460</v>
          </cell>
          <cell r="C664" t="str">
            <v>CTR_301</v>
          </cell>
          <cell r="D664" t="str">
            <v>Center</v>
          </cell>
          <cell r="E664" t="str">
            <v>Center</v>
          </cell>
          <cell r="F664" t="str">
            <v>Matsari</v>
          </cell>
          <cell r="G664" t="str">
            <v>P4</v>
          </cell>
          <cell r="H664" t="str">
            <v>Hybrid-Gen</v>
          </cell>
          <cell r="I664" t="str">
            <v>On Air</v>
          </cell>
          <cell r="J664" t="str">
            <v>Outdoor</v>
          </cell>
          <cell r="K664" t="str">
            <v>AC</v>
          </cell>
          <cell r="L664" t="str">
            <v>SAGEMCOM</v>
          </cell>
          <cell r="M664" t="str">
            <v>Ntui</v>
          </cell>
          <cell r="N664" t="str">
            <v>MBAM ET KIM</v>
          </cell>
          <cell r="O664" t="str">
            <v>YOKO</v>
          </cell>
          <cell r="P664" t="str">
            <v>Felix Bateu</v>
          </cell>
          <cell r="Q664">
            <v>677549887</v>
          </cell>
          <cell r="R664">
            <v>655999887</v>
          </cell>
          <cell r="S664" t="str">
            <v>Desire Moussinga</v>
          </cell>
          <cell r="T664" t="str">
            <v>Valeur HOUELL</v>
          </cell>
          <cell r="U664" t="str">
            <v>I H S</v>
          </cell>
        </row>
        <row r="665">
          <cell r="A665" t="str">
            <v>CTR_073</v>
          </cell>
          <cell r="B665" t="str">
            <v>IHS_YND_406</v>
          </cell>
          <cell r="C665" t="str">
            <v>CTR_073</v>
          </cell>
          <cell r="D665" t="str">
            <v>Center</v>
          </cell>
          <cell r="E665" t="str">
            <v>Center</v>
          </cell>
          <cell r="F665" t="str">
            <v>Monatele</v>
          </cell>
          <cell r="G665" t="str">
            <v>P4</v>
          </cell>
          <cell r="H665" t="str">
            <v>Grid-Gen</v>
          </cell>
          <cell r="I665" t="str">
            <v>On Air</v>
          </cell>
          <cell r="J665" t="str">
            <v>Indoor</v>
          </cell>
          <cell r="K665" t="str">
            <v>AC</v>
          </cell>
          <cell r="L665" t="str">
            <v>SAGEMCOM</v>
          </cell>
          <cell r="M665" t="str">
            <v>Ntui</v>
          </cell>
          <cell r="N665" t="str">
            <v>LEKIE</v>
          </cell>
          <cell r="O665" t="str">
            <v>MONATELE</v>
          </cell>
          <cell r="P665" t="str">
            <v>Felix Bateu</v>
          </cell>
          <cell r="Q665">
            <v>677549887</v>
          </cell>
          <cell r="R665">
            <v>655999887</v>
          </cell>
          <cell r="S665" t="str">
            <v>Desire Moussinga</v>
          </cell>
          <cell r="T665" t="str">
            <v>Valeur HOUELL</v>
          </cell>
          <cell r="U665" t="str">
            <v>I H S</v>
          </cell>
        </row>
        <row r="666">
          <cell r="A666" t="str">
            <v>CTR_405</v>
          </cell>
          <cell r="B666" t="str">
            <v>IHS_YND_424</v>
          </cell>
          <cell r="C666" t="str">
            <v>CTR_405</v>
          </cell>
          <cell r="D666" t="str">
            <v>Center</v>
          </cell>
          <cell r="E666" t="str">
            <v>Center</v>
          </cell>
          <cell r="F666" t="str">
            <v>Ossombe-MTN</v>
          </cell>
          <cell r="G666" t="str">
            <v>P4</v>
          </cell>
          <cell r="H666" t="str">
            <v>Hybrid-Gen</v>
          </cell>
          <cell r="I666" t="str">
            <v>On Air</v>
          </cell>
          <cell r="J666" t="str">
            <v>Outdoor</v>
          </cell>
          <cell r="K666" t="str">
            <v>AC</v>
          </cell>
          <cell r="L666" t="str">
            <v>SAGEMCOM</v>
          </cell>
          <cell r="M666" t="str">
            <v>Ntui</v>
          </cell>
          <cell r="N666" t="str">
            <v>MBAM ET KIM</v>
          </cell>
          <cell r="O666" t="str">
            <v>NTUI</v>
          </cell>
          <cell r="P666" t="str">
            <v>Felix Bateu</v>
          </cell>
          <cell r="Q666">
            <v>677549887</v>
          </cell>
          <cell r="R666">
            <v>655999887</v>
          </cell>
          <cell r="S666" t="str">
            <v>Desire Moussinga</v>
          </cell>
          <cell r="T666" t="str">
            <v>Valeur HOUELL</v>
          </cell>
          <cell r="U666" t="str">
            <v>I H S</v>
          </cell>
        </row>
        <row r="667">
          <cell r="A667" t="str">
            <v>CTR_829</v>
          </cell>
          <cell r="B667" t="str">
            <v>IHS_YND_404</v>
          </cell>
          <cell r="C667" t="str">
            <v>CTR_829</v>
          </cell>
          <cell r="D667" t="str">
            <v>Center</v>
          </cell>
          <cell r="E667" t="str">
            <v>Center</v>
          </cell>
          <cell r="F667" t="str">
            <v>SAA</v>
          </cell>
          <cell r="G667" t="str">
            <v>P4</v>
          </cell>
          <cell r="H667" t="str">
            <v>Grid-Gen</v>
          </cell>
          <cell r="I667">
            <v>0</v>
          </cell>
          <cell r="J667" t="str">
            <v>Indoor</v>
          </cell>
          <cell r="K667" t="str">
            <v>AC</v>
          </cell>
          <cell r="L667" t="str">
            <v>SAGEMCOM</v>
          </cell>
          <cell r="M667" t="str">
            <v>Ntui</v>
          </cell>
          <cell r="N667" t="str">
            <v>LEKIE</v>
          </cell>
          <cell r="O667" t="str">
            <v>SA'A</v>
          </cell>
          <cell r="P667" t="str">
            <v>Felix Bateu</v>
          </cell>
          <cell r="Q667">
            <v>677549887</v>
          </cell>
          <cell r="R667">
            <v>655999887</v>
          </cell>
          <cell r="S667" t="str">
            <v>Desire Moussinga</v>
          </cell>
          <cell r="T667" t="str">
            <v>Valeur HOUELL</v>
          </cell>
          <cell r="U667" t="str">
            <v>I H S</v>
          </cell>
        </row>
        <row r="668">
          <cell r="A668" t="str">
            <v>CTR_166</v>
          </cell>
          <cell r="B668" t="str">
            <v>IHS_YND_434</v>
          </cell>
          <cell r="C668" t="str">
            <v>CTR_166</v>
          </cell>
          <cell r="D668" t="str">
            <v>Center</v>
          </cell>
          <cell r="E668" t="str">
            <v>Center</v>
          </cell>
          <cell r="F668" t="str">
            <v>Donga</v>
          </cell>
          <cell r="G668" t="str">
            <v>P4</v>
          </cell>
          <cell r="H668" t="str">
            <v>Hybrid-Gen</v>
          </cell>
          <cell r="I668" t="str">
            <v>On Air</v>
          </cell>
          <cell r="J668" t="str">
            <v>Outdoor</v>
          </cell>
          <cell r="K668" t="str">
            <v>AC</v>
          </cell>
          <cell r="L668" t="str">
            <v>SAGEMCOM</v>
          </cell>
          <cell r="M668" t="str">
            <v>Ntui</v>
          </cell>
          <cell r="N668" t="str">
            <v>MBAM ET KIM</v>
          </cell>
          <cell r="O668" t="str">
            <v>YOKO</v>
          </cell>
          <cell r="P668" t="str">
            <v>Felix Bateu</v>
          </cell>
          <cell r="Q668">
            <v>677549887</v>
          </cell>
          <cell r="R668">
            <v>655999887</v>
          </cell>
          <cell r="S668" t="str">
            <v>Desire Moussinga</v>
          </cell>
          <cell r="T668" t="str">
            <v>Valeur HOUELL</v>
          </cell>
          <cell r="U668" t="str">
            <v>I H S</v>
          </cell>
        </row>
        <row r="669">
          <cell r="A669" t="str">
            <v>CTR_167</v>
          </cell>
          <cell r="B669" t="str">
            <v>IHS_YND_444</v>
          </cell>
          <cell r="C669" t="str">
            <v>CTR_167</v>
          </cell>
          <cell r="D669" t="str">
            <v>Center</v>
          </cell>
          <cell r="E669" t="str">
            <v>Center</v>
          </cell>
          <cell r="F669" t="str">
            <v>Dong</v>
          </cell>
          <cell r="G669" t="str">
            <v>P4</v>
          </cell>
          <cell r="H669" t="str">
            <v>Hybrid-Gen</v>
          </cell>
          <cell r="I669" t="str">
            <v>On Air</v>
          </cell>
          <cell r="J669" t="str">
            <v>Outdoor</v>
          </cell>
          <cell r="K669" t="str">
            <v>AC</v>
          </cell>
          <cell r="L669" t="str">
            <v>SAGEMCOM</v>
          </cell>
          <cell r="M669" t="str">
            <v>Ntui</v>
          </cell>
          <cell r="N669" t="str">
            <v>MBAM ET KIM</v>
          </cell>
          <cell r="O669" t="str">
            <v>YOKO</v>
          </cell>
          <cell r="P669" t="str">
            <v>Felix Bateu</v>
          </cell>
          <cell r="Q669">
            <v>677549887</v>
          </cell>
          <cell r="R669">
            <v>655999887</v>
          </cell>
          <cell r="S669" t="str">
            <v>Desire Moussinga</v>
          </cell>
          <cell r="T669" t="str">
            <v>Valeur HOUELL</v>
          </cell>
          <cell r="U669" t="str">
            <v>I H S</v>
          </cell>
        </row>
        <row r="670">
          <cell r="A670" t="str">
            <v>CTR_367</v>
          </cell>
          <cell r="B670" t="str">
            <v>IHS_YND_475</v>
          </cell>
          <cell r="C670" t="str">
            <v>CTR_367</v>
          </cell>
          <cell r="D670" t="str">
            <v>Center</v>
          </cell>
          <cell r="E670" t="str">
            <v>Center</v>
          </cell>
          <cell r="F670" t="str">
            <v>Ngoum-II-MTN</v>
          </cell>
          <cell r="G670" t="str">
            <v>P4</v>
          </cell>
          <cell r="H670" t="str">
            <v>Solar-Gen</v>
          </cell>
          <cell r="I670" t="str">
            <v>On Air</v>
          </cell>
          <cell r="J670" t="str">
            <v>Outdoor</v>
          </cell>
          <cell r="K670" t="str">
            <v>AC</v>
          </cell>
          <cell r="L670" t="str">
            <v>SAGEMCOM</v>
          </cell>
          <cell r="M670" t="str">
            <v>Ntui</v>
          </cell>
          <cell r="N670" t="str">
            <v>MBAM ET KIM</v>
          </cell>
          <cell r="O670" t="str">
            <v>YOKO</v>
          </cell>
          <cell r="P670" t="str">
            <v>Felix Bateu</v>
          </cell>
          <cell r="Q670">
            <v>677549887</v>
          </cell>
          <cell r="R670">
            <v>655999887</v>
          </cell>
          <cell r="S670" t="str">
            <v>Desire Moussinga</v>
          </cell>
          <cell r="T670" t="str">
            <v>Valeur HOUELL</v>
          </cell>
          <cell r="U670" t="str">
            <v>I H S</v>
          </cell>
        </row>
        <row r="671">
          <cell r="A671" t="str">
            <v>CTR_531</v>
          </cell>
          <cell r="B671" t="str">
            <v>IHS_YND_705</v>
          </cell>
          <cell r="C671" t="str">
            <v>CTR_531</v>
          </cell>
          <cell r="D671" t="str">
            <v>Center</v>
          </cell>
          <cell r="E671" t="str">
            <v>Center</v>
          </cell>
          <cell r="F671" t="str">
            <v>Nkolve</v>
          </cell>
          <cell r="G671" t="str">
            <v>P5</v>
          </cell>
          <cell r="H671" t="str">
            <v>Hybrid-Gen</v>
          </cell>
          <cell r="I671" t="str">
            <v>On Air</v>
          </cell>
          <cell r="J671" t="str">
            <v>Outdoor</v>
          </cell>
          <cell r="K671" t="str">
            <v>AC</v>
          </cell>
          <cell r="L671" t="str">
            <v>Dowen</v>
          </cell>
          <cell r="M671" t="str">
            <v>Obala</v>
          </cell>
          <cell r="N671" t="str">
            <v>LEKIE</v>
          </cell>
          <cell r="O671" t="str">
            <v>MONATELE</v>
          </cell>
          <cell r="P671" t="str">
            <v>Felix Bateu</v>
          </cell>
          <cell r="Q671">
            <v>677549887</v>
          </cell>
          <cell r="R671">
            <v>655999887</v>
          </cell>
          <cell r="S671" t="str">
            <v>Desire Moussinga</v>
          </cell>
          <cell r="T671" t="str">
            <v>Valeur HOUELL</v>
          </cell>
          <cell r="U671" t="str">
            <v>I H S</v>
          </cell>
        </row>
        <row r="672">
          <cell r="A672" t="str">
            <v>CTR_533</v>
          </cell>
          <cell r="B672" t="str">
            <v>IHS_YND_703</v>
          </cell>
          <cell r="C672" t="str">
            <v>CTR_533</v>
          </cell>
          <cell r="D672" t="str">
            <v>Center</v>
          </cell>
          <cell r="E672" t="str">
            <v>Center</v>
          </cell>
          <cell r="F672" t="str">
            <v>Lengom</v>
          </cell>
          <cell r="G672" t="str">
            <v>P5</v>
          </cell>
          <cell r="H672" t="str">
            <v>Grid-Gen</v>
          </cell>
          <cell r="I672" t="str">
            <v>On Air</v>
          </cell>
          <cell r="J672" t="str">
            <v>Outdoor</v>
          </cell>
          <cell r="K672" t="str">
            <v>AC</v>
          </cell>
          <cell r="L672" t="str">
            <v>Dowen</v>
          </cell>
          <cell r="M672" t="str">
            <v>Obala</v>
          </cell>
          <cell r="N672" t="str">
            <v>LEKIE</v>
          </cell>
          <cell r="O672" t="str">
            <v>OBALA</v>
          </cell>
          <cell r="P672" t="str">
            <v>Felix Bateu</v>
          </cell>
          <cell r="Q672">
            <v>677549887</v>
          </cell>
          <cell r="R672">
            <v>655999887</v>
          </cell>
          <cell r="S672" t="str">
            <v>Desire Moussinga</v>
          </cell>
          <cell r="T672" t="str">
            <v>Valeur HOUELL</v>
          </cell>
          <cell r="U672" t="str">
            <v>I H S</v>
          </cell>
        </row>
        <row r="673">
          <cell r="A673" t="str">
            <v>CTR_174</v>
          </cell>
          <cell r="B673" t="str">
            <v>IHS_YND_354</v>
          </cell>
          <cell r="C673" t="str">
            <v>CTR_174</v>
          </cell>
          <cell r="D673" t="str">
            <v>Center</v>
          </cell>
          <cell r="E673" t="str">
            <v>Center</v>
          </cell>
          <cell r="F673" t="str">
            <v>Obala-Carrefour-MTN-IHS</v>
          </cell>
          <cell r="G673" t="str">
            <v>P5</v>
          </cell>
          <cell r="H673" t="str">
            <v>Hybrid-Gen</v>
          </cell>
          <cell r="I673" t="str">
            <v>On Air</v>
          </cell>
          <cell r="J673" t="str">
            <v>Outdoor</v>
          </cell>
          <cell r="K673" t="str">
            <v>AC</v>
          </cell>
          <cell r="L673" t="str">
            <v>Dowen</v>
          </cell>
          <cell r="M673" t="str">
            <v>Obala</v>
          </cell>
          <cell r="N673" t="str">
            <v>LEKIE</v>
          </cell>
          <cell r="O673" t="str">
            <v>OBALA</v>
          </cell>
          <cell r="P673" t="str">
            <v>Felix Bateu</v>
          </cell>
          <cell r="Q673">
            <v>677549887</v>
          </cell>
          <cell r="R673">
            <v>655999887</v>
          </cell>
          <cell r="S673" t="str">
            <v>Desire Moussinga</v>
          </cell>
          <cell r="T673" t="str">
            <v>Valeur HOUELL</v>
          </cell>
          <cell r="U673" t="str">
            <v>I H S</v>
          </cell>
        </row>
        <row r="674">
          <cell r="A674" t="str">
            <v>CTR_363</v>
          </cell>
          <cell r="B674" t="str">
            <v>IHS_YND_402</v>
          </cell>
          <cell r="C674" t="str">
            <v>CTR_363</v>
          </cell>
          <cell r="D674" t="str">
            <v>Center</v>
          </cell>
          <cell r="E674" t="str">
            <v>Center</v>
          </cell>
          <cell r="F674" t="str">
            <v>Ndjore-Luxe-MTN</v>
          </cell>
          <cell r="G674" t="str">
            <v>P5</v>
          </cell>
          <cell r="H674" t="str">
            <v>Grid-Gen</v>
          </cell>
          <cell r="I674" t="str">
            <v>On Air</v>
          </cell>
          <cell r="J674" t="str">
            <v>Outdoor</v>
          </cell>
          <cell r="K674" t="str">
            <v>AC</v>
          </cell>
          <cell r="L674" t="str">
            <v>Dowen</v>
          </cell>
          <cell r="M674" t="str">
            <v>Obala</v>
          </cell>
          <cell r="N674" t="str">
            <v>HAUTE-SANAGA</v>
          </cell>
          <cell r="O674" t="str">
            <v>MBANBJOCK</v>
          </cell>
          <cell r="P674" t="str">
            <v>Felix Bateu</v>
          </cell>
          <cell r="Q674">
            <v>677549887</v>
          </cell>
          <cell r="R674">
            <v>655999887</v>
          </cell>
          <cell r="S674" t="str">
            <v>Desire Moussinga</v>
          </cell>
          <cell r="T674" t="str">
            <v>Valeur HOUELL</v>
          </cell>
          <cell r="U674" t="str">
            <v>I H S</v>
          </cell>
        </row>
        <row r="675">
          <cell r="A675" t="str">
            <v>CTR_547</v>
          </cell>
          <cell r="B675" t="str">
            <v>IHS_YND_390</v>
          </cell>
          <cell r="C675" t="str">
            <v>CTR_547</v>
          </cell>
          <cell r="D675" t="str">
            <v>Center</v>
          </cell>
          <cell r="E675" t="str">
            <v>Center</v>
          </cell>
          <cell r="F675" t="str">
            <v>Elig Mfomo</v>
          </cell>
          <cell r="G675" t="str">
            <v>P5</v>
          </cell>
          <cell r="H675" t="str">
            <v>Grid-Gen</v>
          </cell>
          <cell r="I675" t="str">
            <v>On Air</v>
          </cell>
          <cell r="J675" t="str">
            <v>Outdoor</v>
          </cell>
          <cell r="K675" t="str">
            <v>AC</v>
          </cell>
          <cell r="L675" t="str">
            <v>Dowen</v>
          </cell>
          <cell r="M675" t="str">
            <v>Obala</v>
          </cell>
          <cell r="N675" t="str">
            <v>LEKIE</v>
          </cell>
          <cell r="O675" t="str">
            <v>ELIG-MFOMO</v>
          </cell>
          <cell r="P675" t="str">
            <v>Felix Bateu</v>
          </cell>
          <cell r="Q675">
            <v>677549887</v>
          </cell>
          <cell r="R675">
            <v>655999887</v>
          </cell>
          <cell r="S675" t="str">
            <v>Desire Moussinga</v>
          </cell>
          <cell r="T675" t="str">
            <v>Valeur HOUELL</v>
          </cell>
          <cell r="U675" t="str">
            <v>I H S</v>
          </cell>
        </row>
        <row r="676">
          <cell r="A676" t="str">
            <v>CTR_135</v>
          </cell>
          <cell r="B676" t="str">
            <v>IHS_YND_387</v>
          </cell>
          <cell r="C676" t="str">
            <v>CTR_135</v>
          </cell>
          <cell r="D676" t="str">
            <v>Center</v>
          </cell>
          <cell r="E676" t="str">
            <v>Center</v>
          </cell>
          <cell r="F676" t="str">
            <v>Talla-Monatele-IHS</v>
          </cell>
          <cell r="G676" t="str">
            <v>P5</v>
          </cell>
          <cell r="H676" t="str">
            <v>Grid-Gen</v>
          </cell>
          <cell r="I676" t="str">
            <v>On Air</v>
          </cell>
          <cell r="J676" t="str">
            <v>Outdoor</v>
          </cell>
          <cell r="K676" t="str">
            <v>AC</v>
          </cell>
          <cell r="L676" t="str">
            <v>SAGEMCOM</v>
          </cell>
          <cell r="M676" t="str">
            <v>Ntui</v>
          </cell>
          <cell r="N676" t="str">
            <v>LEKIE</v>
          </cell>
          <cell r="O676" t="str">
            <v>MONATELE</v>
          </cell>
          <cell r="P676" t="str">
            <v>Felix Bateu</v>
          </cell>
          <cell r="Q676">
            <v>677549887</v>
          </cell>
          <cell r="R676">
            <v>655999887</v>
          </cell>
          <cell r="S676" t="str">
            <v>Desire Moussinga</v>
          </cell>
          <cell r="T676" t="str">
            <v>Valeur HOUELL</v>
          </cell>
          <cell r="U676" t="str">
            <v>I H S</v>
          </cell>
        </row>
        <row r="677">
          <cell r="A677" t="str">
            <v>CTR_406</v>
          </cell>
          <cell r="B677" t="str">
            <v>IHS_YND_456</v>
          </cell>
          <cell r="C677" t="str">
            <v>CTR_406</v>
          </cell>
          <cell r="D677" t="str">
            <v>Center</v>
          </cell>
          <cell r="E677" t="str">
            <v>Center</v>
          </cell>
          <cell r="F677" t="str">
            <v>Mbimbim-MTN</v>
          </cell>
          <cell r="G677" t="str">
            <v>P5</v>
          </cell>
          <cell r="H677" t="str">
            <v>Solar-Gen</v>
          </cell>
          <cell r="I677" t="str">
            <v>On Air</v>
          </cell>
          <cell r="J677" t="str">
            <v>Outdoor</v>
          </cell>
          <cell r="K677" t="str">
            <v>AC</v>
          </cell>
          <cell r="L677" t="str">
            <v>SAGEMCOM</v>
          </cell>
          <cell r="M677" t="str">
            <v>Ntui</v>
          </cell>
          <cell r="N677" t="str">
            <v>MBAM ET KIM</v>
          </cell>
          <cell r="O677" t="str">
            <v>YOKO</v>
          </cell>
          <cell r="P677" t="str">
            <v>Felix Bateu</v>
          </cell>
          <cell r="Q677">
            <v>677549887</v>
          </cell>
          <cell r="R677">
            <v>655999887</v>
          </cell>
          <cell r="S677" t="str">
            <v>Desire Moussinga</v>
          </cell>
          <cell r="T677" t="str">
            <v>Valeur HOUELL</v>
          </cell>
          <cell r="U677" t="str">
            <v>I H S</v>
          </cell>
        </row>
        <row r="678">
          <cell r="A678" t="str">
            <v>CTR_869</v>
          </cell>
          <cell r="B678" t="str">
            <v>IHS_YND_407</v>
          </cell>
          <cell r="C678" t="str">
            <v>CTR_869</v>
          </cell>
          <cell r="D678" t="str">
            <v>Center</v>
          </cell>
          <cell r="E678" t="str">
            <v>Center</v>
          </cell>
          <cell r="F678" t="str">
            <v>Monatele</v>
          </cell>
          <cell r="G678" t="str">
            <v>P2</v>
          </cell>
          <cell r="H678" t="str">
            <v>Grid-Gen</v>
          </cell>
          <cell r="I678">
            <v>0</v>
          </cell>
          <cell r="J678" t="str">
            <v>Indoor</v>
          </cell>
          <cell r="K678" t="str">
            <v>AC</v>
          </cell>
          <cell r="L678" t="str">
            <v>SAGEMCOM</v>
          </cell>
          <cell r="M678" t="str">
            <v>Ntui</v>
          </cell>
          <cell r="N678" t="str">
            <v>LEKIE</v>
          </cell>
          <cell r="O678" t="str">
            <v>MONATELE</v>
          </cell>
          <cell r="P678" t="str">
            <v>Felix Bateu</v>
          </cell>
          <cell r="Q678">
            <v>677549887</v>
          </cell>
          <cell r="R678">
            <v>655999887</v>
          </cell>
          <cell r="S678" t="str">
            <v>Desire Moussinga</v>
          </cell>
          <cell r="T678" t="str">
            <v>Valeur HOUELL</v>
          </cell>
          <cell r="U678" t="str">
            <v>I H S</v>
          </cell>
        </row>
        <row r="679">
          <cell r="A679" t="str">
            <v>OST_092</v>
          </cell>
          <cell r="B679" t="str">
            <v>IHS_NGD_096</v>
          </cell>
          <cell r="C679" t="str">
            <v>OST_092</v>
          </cell>
          <cell r="D679" t="str">
            <v>North</v>
          </cell>
          <cell r="E679" t="str">
            <v>Adamawa</v>
          </cell>
          <cell r="F679" t="str">
            <v>Taram-FH</v>
          </cell>
          <cell r="G679" t="str">
            <v>P2</v>
          </cell>
          <cell r="H679" t="str">
            <v>Grid-Hybrid-Gen</v>
          </cell>
          <cell r="I679" t="str">
            <v>On Air</v>
          </cell>
          <cell r="J679" t="str">
            <v>Indoor</v>
          </cell>
          <cell r="K679" t="str">
            <v>AC</v>
          </cell>
          <cell r="L679" t="str">
            <v>I-Eng</v>
          </cell>
          <cell r="M679" t="str">
            <v>Tibati</v>
          </cell>
          <cell r="N679" t="str">
            <v>TIBATI</v>
          </cell>
          <cell r="O679" t="str">
            <v>BANYO</v>
          </cell>
          <cell r="P679" t="str">
            <v>Franklin INACK</v>
          </cell>
          <cell r="Q679">
            <v>683715735</v>
          </cell>
          <cell r="R679">
            <v>656072579</v>
          </cell>
          <cell r="S679" t="str">
            <v>Alain Etoundi</v>
          </cell>
          <cell r="T679" t="str">
            <v>Valeur HOUELL</v>
          </cell>
          <cell r="U679" t="str">
            <v>I H S</v>
          </cell>
        </row>
        <row r="680">
          <cell r="A680" t="str">
            <v>CTR_303</v>
          </cell>
          <cell r="B680" t="str">
            <v>IHS_YND_477</v>
          </cell>
          <cell r="C680" t="str">
            <v>CTR_303</v>
          </cell>
          <cell r="D680" t="str">
            <v>North</v>
          </cell>
          <cell r="E680" t="str">
            <v>Adamawa</v>
          </cell>
          <cell r="F680" t="str">
            <v>Mbam</v>
          </cell>
          <cell r="G680" t="str">
            <v>P2</v>
          </cell>
          <cell r="H680" t="str">
            <v>Hybrid-Gen</v>
          </cell>
          <cell r="I680" t="str">
            <v>On Air</v>
          </cell>
          <cell r="J680" t="str">
            <v>Outdoor</v>
          </cell>
          <cell r="K680" t="str">
            <v>AC</v>
          </cell>
          <cell r="L680" t="str">
            <v>I-Eng</v>
          </cell>
          <cell r="M680" t="str">
            <v>Tibati</v>
          </cell>
          <cell r="N680" t="str">
            <v>TIBATI</v>
          </cell>
          <cell r="O680" t="str">
            <v>YOKO</v>
          </cell>
          <cell r="P680" t="str">
            <v>Franklin INACK</v>
          </cell>
          <cell r="Q680">
            <v>683715735</v>
          </cell>
          <cell r="R680">
            <v>656072579</v>
          </cell>
          <cell r="S680" t="str">
            <v>Alain Etoundi</v>
          </cell>
          <cell r="T680" t="str">
            <v>Valeur HOUELL</v>
          </cell>
          <cell r="U680" t="str">
            <v>I H S</v>
          </cell>
        </row>
        <row r="681">
          <cell r="A681" t="str">
            <v>CTR_302</v>
          </cell>
          <cell r="B681" t="str">
            <v>IHS_YND_476</v>
          </cell>
          <cell r="C681" t="str">
            <v>CTR_302</v>
          </cell>
          <cell r="D681" t="str">
            <v>North</v>
          </cell>
          <cell r="E681" t="str">
            <v>Adamawa</v>
          </cell>
          <cell r="F681" t="str">
            <v>Doume-Centre</v>
          </cell>
          <cell r="G681" t="str">
            <v>P2</v>
          </cell>
          <cell r="H681" t="str">
            <v>Hybrid-Gen</v>
          </cell>
          <cell r="I681" t="str">
            <v>On Air</v>
          </cell>
          <cell r="J681" t="str">
            <v>Outdoor</v>
          </cell>
          <cell r="K681" t="str">
            <v>AC</v>
          </cell>
          <cell r="L681" t="str">
            <v>I-Eng</v>
          </cell>
          <cell r="M681" t="str">
            <v>Tibati</v>
          </cell>
          <cell r="N681" t="str">
            <v>TIBATI</v>
          </cell>
          <cell r="O681" t="str">
            <v>YOKO</v>
          </cell>
          <cell r="P681" t="str">
            <v>Franklin INACK</v>
          </cell>
          <cell r="Q681">
            <v>683715735</v>
          </cell>
          <cell r="R681">
            <v>656072579</v>
          </cell>
          <cell r="S681" t="str">
            <v>Alain Etoundi</v>
          </cell>
          <cell r="T681" t="str">
            <v>Valeur HOUELL</v>
          </cell>
          <cell r="U681" t="str">
            <v>I H S</v>
          </cell>
        </row>
        <row r="682">
          <cell r="A682" t="str">
            <v>ADM_011</v>
          </cell>
          <cell r="B682" t="str">
            <v>IHS_NGD_062</v>
          </cell>
          <cell r="C682" t="str">
            <v>ADM_011</v>
          </cell>
          <cell r="D682" t="str">
            <v>North</v>
          </cell>
          <cell r="E682" t="str">
            <v>Adamawa</v>
          </cell>
          <cell r="F682" t="str">
            <v>Tignere</v>
          </cell>
          <cell r="G682" t="str">
            <v>P2</v>
          </cell>
          <cell r="H682" t="str">
            <v>Grid-Gen</v>
          </cell>
          <cell r="I682" t="str">
            <v>On Air</v>
          </cell>
          <cell r="J682" t="str">
            <v>Indoor</v>
          </cell>
          <cell r="K682" t="str">
            <v>AC</v>
          </cell>
          <cell r="L682" t="str">
            <v>I-Eng</v>
          </cell>
          <cell r="M682" t="str">
            <v>Tibati</v>
          </cell>
          <cell r="N682" t="str">
            <v>TIBATI</v>
          </cell>
          <cell r="O682" t="str">
            <v>TIGNERE</v>
          </cell>
          <cell r="P682" t="str">
            <v>Franklin INACK</v>
          </cell>
          <cell r="Q682">
            <v>683715735</v>
          </cell>
          <cell r="R682">
            <v>656072579</v>
          </cell>
          <cell r="S682" t="str">
            <v>Alain Etoundi</v>
          </cell>
          <cell r="T682" t="str">
            <v>Valeur HOUELL</v>
          </cell>
          <cell r="U682" t="str">
            <v>I H S</v>
          </cell>
        </row>
        <row r="683">
          <cell r="A683" t="str">
            <v>ADM_044</v>
          </cell>
          <cell r="B683" t="str">
            <v>IHS_NGD_083</v>
          </cell>
          <cell r="C683" t="str">
            <v>ADM_044</v>
          </cell>
          <cell r="D683" t="str">
            <v>North</v>
          </cell>
          <cell r="E683" t="str">
            <v>Adamawa</v>
          </cell>
          <cell r="F683" t="str">
            <v>Tibati-II</v>
          </cell>
          <cell r="G683" t="str">
            <v>P2</v>
          </cell>
          <cell r="H683" t="str">
            <v>Grid-Gen</v>
          </cell>
          <cell r="I683" t="str">
            <v>On Air</v>
          </cell>
          <cell r="J683" t="str">
            <v>Indoor</v>
          </cell>
          <cell r="K683" t="str">
            <v>AC</v>
          </cell>
          <cell r="L683" t="str">
            <v>I-Eng</v>
          </cell>
          <cell r="M683" t="str">
            <v>Tibati</v>
          </cell>
          <cell r="N683" t="str">
            <v>TIBATI</v>
          </cell>
          <cell r="O683" t="str">
            <v>TIBATI</v>
          </cell>
          <cell r="P683" t="str">
            <v>Franklin INACK</v>
          </cell>
          <cell r="Q683">
            <v>683715735</v>
          </cell>
          <cell r="R683">
            <v>656072579</v>
          </cell>
          <cell r="S683" t="str">
            <v>Alain Etoundi</v>
          </cell>
          <cell r="T683" t="str">
            <v>Valeur HOUELL</v>
          </cell>
          <cell r="U683" t="str">
            <v>I H S</v>
          </cell>
        </row>
        <row r="684">
          <cell r="A684" t="str">
            <v>ADM_042</v>
          </cell>
          <cell r="B684" t="str">
            <v>IHS_NGD_082</v>
          </cell>
          <cell r="C684" t="str">
            <v>ADM_042</v>
          </cell>
          <cell r="D684" t="str">
            <v>North</v>
          </cell>
          <cell r="E684" t="str">
            <v>Adamawa</v>
          </cell>
          <cell r="F684" t="str">
            <v>Mbong</v>
          </cell>
          <cell r="G684" t="str">
            <v>P2</v>
          </cell>
          <cell r="H684" t="str">
            <v>Hybrid-Gen</v>
          </cell>
          <cell r="I684" t="str">
            <v>On Air</v>
          </cell>
          <cell r="J684" t="str">
            <v>Indoor</v>
          </cell>
          <cell r="K684" t="str">
            <v>AC</v>
          </cell>
          <cell r="L684" t="str">
            <v>I-Eng</v>
          </cell>
          <cell r="M684" t="str">
            <v>Tibati</v>
          </cell>
          <cell r="N684" t="str">
            <v>TIBATI</v>
          </cell>
          <cell r="O684" t="str">
            <v>NGAOUNDAL</v>
          </cell>
          <cell r="P684" t="str">
            <v>Franklin INACK</v>
          </cell>
          <cell r="Q684">
            <v>683715735</v>
          </cell>
          <cell r="R684">
            <v>656072579</v>
          </cell>
          <cell r="S684" t="str">
            <v>Alain Etoundi</v>
          </cell>
          <cell r="T684" t="str">
            <v>Valeur HOUELL</v>
          </cell>
          <cell r="U684" t="str">
            <v>I H S</v>
          </cell>
        </row>
        <row r="685">
          <cell r="A685" t="str">
            <v>ADM_055</v>
          </cell>
          <cell r="B685" t="str">
            <v>IHS_NGD_090</v>
          </cell>
          <cell r="C685" t="str">
            <v>ADM_055</v>
          </cell>
          <cell r="D685" t="str">
            <v>North</v>
          </cell>
          <cell r="E685" t="str">
            <v>Adamawa</v>
          </cell>
          <cell r="F685" t="str">
            <v>Mbantinbang-FH</v>
          </cell>
          <cell r="G685" t="str">
            <v>P2</v>
          </cell>
          <cell r="H685" t="str">
            <v>Solar-Gen</v>
          </cell>
          <cell r="I685" t="str">
            <v>On Air</v>
          </cell>
          <cell r="J685" t="str">
            <v>Outdoor</v>
          </cell>
          <cell r="K685" t="str">
            <v>AC</v>
          </cell>
          <cell r="L685" t="str">
            <v>I-Eng</v>
          </cell>
          <cell r="M685" t="str">
            <v>Tibati</v>
          </cell>
          <cell r="N685" t="str">
            <v>TIBATI</v>
          </cell>
          <cell r="O685" t="str">
            <v>TIBATI</v>
          </cell>
          <cell r="P685" t="str">
            <v>Franklin INACK</v>
          </cell>
          <cell r="Q685">
            <v>683715735</v>
          </cell>
          <cell r="R685">
            <v>656072579</v>
          </cell>
          <cell r="S685" t="str">
            <v>Alain Etoundi</v>
          </cell>
          <cell r="T685" t="str">
            <v>Valeur HOUELL</v>
          </cell>
          <cell r="U685" t="str">
            <v>I H S</v>
          </cell>
        </row>
        <row r="686">
          <cell r="A686" t="str">
            <v>ADM_043</v>
          </cell>
          <cell r="B686" t="str">
            <v>IHS_NGD_088</v>
          </cell>
          <cell r="C686" t="str">
            <v>ADM_043</v>
          </cell>
          <cell r="D686" t="str">
            <v>North</v>
          </cell>
          <cell r="E686" t="str">
            <v>Adamawa</v>
          </cell>
          <cell r="F686" t="str">
            <v>Mayo-Tolere-I</v>
          </cell>
          <cell r="G686" t="str">
            <v>P2</v>
          </cell>
          <cell r="H686" t="str">
            <v>Solar-Gen</v>
          </cell>
          <cell r="I686" t="str">
            <v>On Air</v>
          </cell>
          <cell r="J686" t="str">
            <v>Indoor</v>
          </cell>
          <cell r="K686" t="str">
            <v>AC</v>
          </cell>
          <cell r="L686" t="str">
            <v>I-Eng</v>
          </cell>
          <cell r="M686" t="str">
            <v>Tibati</v>
          </cell>
          <cell r="N686" t="str">
            <v>TIBATI</v>
          </cell>
          <cell r="O686" t="str">
            <v>BANYO</v>
          </cell>
          <cell r="P686" t="str">
            <v>Franklin INACK</v>
          </cell>
          <cell r="Q686">
            <v>683715735</v>
          </cell>
          <cell r="R686">
            <v>656072579</v>
          </cell>
          <cell r="S686" t="str">
            <v>Alain Etoundi</v>
          </cell>
          <cell r="T686" t="str">
            <v>Valeur HOUELL</v>
          </cell>
          <cell r="U686" t="str">
            <v>I H S</v>
          </cell>
        </row>
        <row r="687">
          <cell r="A687" t="str">
            <v>ADM_041</v>
          </cell>
          <cell r="B687" t="str">
            <v>IHS_NGD_075</v>
          </cell>
          <cell r="C687" t="str">
            <v>ADM_041</v>
          </cell>
          <cell r="D687" t="str">
            <v>North</v>
          </cell>
          <cell r="E687" t="str">
            <v>Adamawa</v>
          </cell>
          <cell r="F687" t="str">
            <v>Kanje-I</v>
          </cell>
          <cell r="G687" t="str">
            <v>P2</v>
          </cell>
          <cell r="H687" t="str">
            <v>Hybrid-Gen</v>
          </cell>
          <cell r="I687" t="str">
            <v>On Air</v>
          </cell>
          <cell r="J687" t="str">
            <v>Indoor</v>
          </cell>
          <cell r="K687" t="str">
            <v>AC</v>
          </cell>
          <cell r="L687" t="str">
            <v>I-Eng</v>
          </cell>
          <cell r="M687" t="str">
            <v>Tibati</v>
          </cell>
          <cell r="N687" t="str">
            <v>TIBATI</v>
          </cell>
          <cell r="O687" t="str">
            <v>COMMUNE TIBATI</v>
          </cell>
          <cell r="P687" t="str">
            <v>Franklin INACK</v>
          </cell>
          <cell r="Q687">
            <v>683715735</v>
          </cell>
          <cell r="R687">
            <v>656072579</v>
          </cell>
          <cell r="S687" t="str">
            <v>Alain Etoundi</v>
          </cell>
          <cell r="T687" t="str">
            <v>Valeur HOUELL</v>
          </cell>
          <cell r="U687" t="str">
            <v>I H S</v>
          </cell>
        </row>
        <row r="688">
          <cell r="A688" t="str">
            <v>ADM_010</v>
          </cell>
          <cell r="B688" t="str">
            <v>IHS_NGD_235</v>
          </cell>
          <cell r="C688" t="str">
            <v>ADM_010</v>
          </cell>
          <cell r="D688" t="str">
            <v>North</v>
          </cell>
          <cell r="E688" t="str">
            <v>Adamawa</v>
          </cell>
          <cell r="F688" t="str">
            <v>Ngaoundal PDH</v>
          </cell>
          <cell r="G688" t="str">
            <v>P2</v>
          </cell>
          <cell r="H688" t="str">
            <v>Grid-Gen</v>
          </cell>
          <cell r="I688" t="str">
            <v>On Air</v>
          </cell>
          <cell r="J688" t="str">
            <v>Indoor</v>
          </cell>
          <cell r="K688" t="str">
            <v>AC</v>
          </cell>
          <cell r="L688" t="str">
            <v>I-Eng</v>
          </cell>
          <cell r="M688" t="str">
            <v>Meiganga</v>
          </cell>
          <cell r="N688" t="str">
            <v>Meiganga</v>
          </cell>
          <cell r="O688" t="str">
            <v>COMMUNE DE NGAOUNDAL</v>
          </cell>
          <cell r="P688" t="str">
            <v>Franklin INACK</v>
          </cell>
          <cell r="Q688">
            <v>683715735</v>
          </cell>
          <cell r="R688">
            <v>656072579</v>
          </cell>
          <cell r="S688" t="str">
            <v>Alain Etoundi</v>
          </cell>
          <cell r="T688" t="str">
            <v>Valeur HOUELL</v>
          </cell>
          <cell r="U688" t="str">
            <v>I H S</v>
          </cell>
        </row>
        <row r="689">
          <cell r="A689" t="str">
            <v>ADM_054</v>
          </cell>
          <cell r="B689" t="str">
            <v>IHS_NGD_085</v>
          </cell>
          <cell r="C689" t="str">
            <v>ADM_054</v>
          </cell>
          <cell r="D689" t="str">
            <v>North</v>
          </cell>
          <cell r="E689" t="str">
            <v>Adamawa</v>
          </cell>
          <cell r="F689" t="str">
            <v>Meidjamba-MTN</v>
          </cell>
          <cell r="G689" t="str">
            <v>P2</v>
          </cell>
          <cell r="H689" t="str">
            <v>Hybrid-Gen</v>
          </cell>
          <cell r="I689" t="str">
            <v>On Air</v>
          </cell>
          <cell r="J689" t="str">
            <v>Outdoor</v>
          </cell>
          <cell r="K689" t="str">
            <v>AC</v>
          </cell>
          <cell r="L689" t="str">
            <v>I-Eng</v>
          </cell>
          <cell r="M689" t="str">
            <v>Tibati</v>
          </cell>
          <cell r="N689" t="str">
            <v>TIBATI</v>
          </cell>
          <cell r="O689" t="str">
            <v>TIBATI</v>
          </cell>
          <cell r="P689" t="str">
            <v>Franklin INACK</v>
          </cell>
          <cell r="Q689">
            <v>683715735</v>
          </cell>
          <cell r="R689">
            <v>656072579</v>
          </cell>
          <cell r="S689" t="str">
            <v>Alain Etoundi</v>
          </cell>
          <cell r="T689" t="str">
            <v>Valeur HOUELL</v>
          </cell>
          <cell r="U689" t="str">
            <v>I H S</v>
          </cell>
        </row>
        <row r="690">
          <cell r="A690" t="str">
            <v>ADM_814</v>
          </cell>
          <cell r="B690" t="str">
            <v>IHS_NGD_061</v>
          </cell>
          <cell r="C690" t="str">
            <v>ADM_814</v>
          </cell>
          <cell r="D690" t="str">
            <v>North</v>
          </cell>
          <cell r="E690" t="str">
            <v>Adamawa</v>
          </cell>
          <cell r="F690" t="str">
            <v>Tignere-MTN</v>
          </cell>
          <cell r="G690" t="str">
            <v>P3</v>
          </cell>
          <cell r="H690" t="str">
            <v>Grid-Gen</v>
          </cell>
          <cell r="I690" t="str">
            <v>On Air</v>
          </cell>
          <cell r="J690" t="str">
            <v>Outdoor</v>
          </cell>
          <cell r="K690" t="str">
            <v>AC</v>
          </cell>
          <cell r="L690" t="str">
            <v>I-Eng</v>
          </cell>
          <cell r="M690" t="str">
            <v>Tibati</v>
          </cell>
          <cell r="N690" t="str">
            <v>TIBATI</v>
          </cell>
          <cell r="O690" t="str">
            <v>TIGNERE</v>
          </cell>
          <cell r="P690" t="str">
            <v>Franklin INACK</v>
          </cell>
          <cell r="Q690">
            <v>683715735</v>
          </cell>
          <cell r="R690">
            <v>656072579</v>
          </cell>
          <cell r="S690" t="str">
            <v>Alain Etoundi</v>
          </cell>
          <cell r="T690" t="str">
            <v>Valeur HOUELL</v>
          </cell>
          <cell r="U690" t="str">
            <v>I H S</v>
          </cell>
        </row>
        <row r="691">
          <cell r="A691" t="str">
            <v>ADM_066</v>
          </cell>
          <cell r="B691" t="str">
            <v>IHS_NGD_043</v>
          </cell>
          <cell r="C691" t="str">
            <v>ADM_066</v>
          </cell>
          <cell r="D691" t="str">
            <v>North</v>
          </cell>
          <cell r="E691" t="str">
            <v>Adamawa</v>
          </cell>
          <cell r="F691" t="str">
            <v>Lewa-MTN</v>
          </cell>
          <cell r="G691" t="str">
            <v>P3</v>
          </cell>
          <cell r="H691" t="str">
            <v>Hybrid-Gen</v>
          </cell>
          <cell r="I691" t="str">
            <v>On Air</v>
          </cell>
          <cell r="J691" t="str">
            <v>Outdoor</v>
          </cell>
          <cell r="K691" t="str">
            <v>AC</v>
          </cell>
          <cell r="L691" t="str">
            <v>I-Eng</v>
          </cell>
          <cell r="M691" t="str">
            <v>Tibati</v>
          </cell>
          <cell r="N691" t="str">
            <v>TIBATI</v>
          </cell>
          <cell r="O691" t="str">
            <v>MARTAP</v>
          </cell>
          <cell r="P691" t="str">
            <v>Franklin INACK</v>
          </cell>
          <cell r="Q691">
            <v>683715735</v>
          </cell>
          <cell r="R691">
            <v>656072579</v>
          </cell>
          <cell r="S691" t="str">
            <v>Alain Etoundi</v>
          </cell>
          <cell r="T691" t="str">
            <v>Valeur HOUELL</v>
          </cell>
          <cell r="U691" t="str">
            <v>I H S</v>
          </cell>
        </row>
        <row r="692">
          <cell r="A692" t="str">
            <v>ADM_128</v>
          </cell>
          <cell r="B692" t="str">
            <v>IHS_NGD_228</v>
          </cell>
          <cell r="C692" t="str">
            <v>ADM_128</v>
          </cell>
          <cell r="D692" t="str">
            <v>North</v>
          </cell>
          <cell r="E692" t="str">
            <v>Adamawa</v>
          </cell>
          <cell r="F692" t="str">
            <v>Dogba-Ngd</v>
          </cell>
          <cell r="G692" t="str">
            <v>P4</v>
          </cell>
          <cell r="H692" t="str">
            <v>Hybrid-Gen</v>
          </cell>
          <cell r="I692" t="str">
            <v>On Air</v>
          </cell>
          <cell r="J692" t="str">
            <v>Outdoor</v>
          </cell>
          <cell r="K692" t="str">
            <v>AC</v>
          </cell>
          <cell r="L692" t="str">
            <v>I-Eng</v>
          </cell>
          <cell r="M692" t="str">
            <v>Tibati</v>
          </cell>
          <cell r="N692" t="str">
            <v>TIBATI</v>
          </cell>
          <cell r="O692" t="str">
            <v>MAYO BALEO</v>
          </cell>
          <cell r="P692" t="str">
            <v>Franklin INACK</v>
          </cell>
          <cell r="Q692">
            <v>683715735</v>
          </cell>
          <cell r="R692">
            <v>656072579</v>
          </cell>
          <cell r="S692" t="str">
            <v>Alain Etoundi</v>
          </cell>
          <cell r="T692" t="str">
            <v>Valeur HOUELL</v>
          </cell>
          <cell r="U692" t="str">
            <v>I H S</v>
          </cell>
        </row>
        <row r="693">
          <cell r="A693" t="str">
            <v>ADM_105</v>
          </cell>
          <cell r="B693" t="str">
            <v>IHS_NGD_084</v>
          </cell>
          <cell r="C693" t="str">
            <v>ADM_105</v>
          </cell>
          <cell r="D693" t="str">
            <v>North</v>
          </cell>
          <cell r="E693" t="str">
            <v>Adamawa</v>
          </cell>
          <cell r="F693" t="str">
            <v>Tibati-Market-MTN-IHS</v>
          </cell>
          <cell r="G693" t="str">
            <v>P4</v>
          </cell>
          <cell r="H693" t="str">
            <v>Grid-Gen</v>
          </cell>
          <cell r="I693" t="str">
            <v>On Air</v>
          </cell>
          <cell r="J693" t="str">
            <v>Outdoor</v>
          </cell>
          <cell r="K693" t="str">
            <v>AC</v>
          </cell>
          <cell r="L693" t="str">
            <v>I-Eng</v>
          </cell>
          <cell r="M693" t="str">
            <v>Tibati</v>
          </cell>
          <cell r="N693" t="str">
            <v>TIBATI</v>
          </cell>
          <cell r="O693" t="str">
            <v>TIBATI</v>
          </cell>
          <cell r="P693" t="str">
            <v>Franklin INACK</v>
          </cell>
          <cell r="Q693">
            <v>683715735</v>
          </cell>
          <cell r="R693">
            <v>656072579</v>
          </cell>
          <cell r="S693" t="str">
            <v>Alain Etoundi</v>
          </cell>
          <cell r="T693" t="str">
            <v>Valeur HOUELL</v>
          </cell>
          <cell r="U693" t="str">
            <v>I H S</v>
          </cell>
        </row>
        <row r="694">
          <cell r="A694" t="str">
            <v>CTR_169</v>
          </cell>
          <cell r="B694" t="str">
            <v>IHS_NGD_051</v>
          </cell>
          <cell r="C694" t="str">
            <v>CTR_169</v>
          </cell>
          <cell r="D694" t="str">
            <v>North</v>
          </cell>
          <cell r="E694" t="str">
            <v>Adamawa</v>
          </cell>
          <cell r="F694" t="str">
            <v>Nyazoro-MTN-IHS</v>
          </cell>
          <cell r="G694" t="str">
            <v>P4</v>
          </cell>
          <cell r="H694" t="str">
            <v>Solar-Gen</v>
          </cell>
          <cell r="I694" t="str">
            <v>On Air</v>
          </cell>
          <cell r="J694" t="str">
            <v>Outdoor</v>
          </cell>
          <cell r="K694" t="str">
            <v>AC</v>
          </cell>
          <cell r="L694" t="str">
            <v>I-Eng</v>
          </cell>
          <cell r="M694" t="str">
            <v>Tibati</v>
          </cell>
          <cell r="N694" t="str">
            <v>TIBATI</v>
          </cell>
          <cell r="O694" t="str">
            <v>MARTAP</v>
          </cell>
          <cell r="P694" t="str">
            <v>Franklin INACK</v>
          </cell>
          <cell r="Q694">
            <v>683715735</v>
          </cell>
          <cell r="R694">
            <v>656072579</v>
          </cell>
          <cell r="S694" t="str">
            <v>Alain Etoundi</v>
          </cell>
          <cell r="T694" t="str">
            <v>Valeur HOUELL</v>
          </cell>
          <cell r="U694" t="str">
            <v>I H S</v>
          </cell>
        </row>
        <row r="695">
          <cell r="A695" t="str">
            <v>ADM_122</v>
          </cell>
          <cell r="B695" t="str">
            <v>IHS_NGD_076</v>
          </cell>
          <cell r="C695" t="str">
            <v>ADM_122</v>
          </cell>
          <cell r="D695" t="str">
            <v>North</v>
          </cell>
          <cell r="E695" t="str">
            <v>Adamawa</v>
          </cell>
          <cell r="F695" t="str">
            <v>Danfili-IHS</v>
          </cell>
          <cell r="G695" t="str">
            <v>P4</v>
          </cell>
          <cell r="H695" t="str">
            <v>Gen-Solar AER</v>
          </cell>
          <cell r="I695" t="str">
            <v>On Air</v>
          </cell>
          <cell r="J695" t="str">
            <v>Outdoor</v>
          </cell>
          <cell r="K695" t="str">
            <v>AC</v>
          </cell>
          <cell r="L695" t="str">
            <v>I-Eng</v>
          </cell>
          <cell r="M695" t="str">
            <v>Tibati</v>
          </cell>
          <cell r="N695" t="str">
            <v>TIBATI</v>
          </cell>
          <cell r="O695" t="str">
            <v>NGAOUNDAL</v>
          </cell>
          <cell r="P695" t="str">
            <v>Franklin INACK</v>
          </cell>
          <cell r="Q695">
            <v>683715735</v>
          </cell>
          <cell r="R695">
            <v>656072579</v>
          </cell>
          <cell r="S695" t="str">
            <v>Alain Etoundi</v>
          </cell>
          <cell r="T695" t="str">
            <v>Valeur HOUELL</v>
          </cell>
          <cell r="U695" t="str">
            <v>I H S</v>
          </cell>
        </row>
        <row r="696">
          <cell r="A696" t="str">
            <v>ADM_060</v>
          </cell>
          <cell r="B696" t="str">
            <v>IHS_NGD_046</v>
          </cell>
          <cell r="C696" t="str">
            <v>ADM_060</v>
          </cell>
          <cell r="D696" t="str">
            <v>North</v>
          </cell>
          <cell r="E696" t="str">
            <v>Adamawa</v>
          </cell>
          <cell r="F696" t="str">
            <v>Martap</v>
          </cell>
          <cell r="G696" t="str">
            <v>P5</v>
          </cell>
          <cell r="H696" t="str">
            <v>Solar-Gen</v>
          </cell>
          <cell r="I696" t="str">
            <v>On Air</v>
          </cell>
          <cell r="J696" t="str">
            <v>Outdoor</v>
          </cell>
          <cell r="K696" t="str">
            <v>AC</v>
          </cell>
          <cell r="L696" t="str">
            <v>I-Eng</v>
          </cell>
          <cell r="M696" t="str">
            <v>Tibati</v>
          </cell>
          <cell r="N696" t="str">
            <v>TIBATI</v>
          </cell>
          <cell r="O696" t="str">
            <v>MARTAP</v>
          </cell>
          <cell r="P696" t="str">
            <v>Franklin INACK</v>
          </cell>
          <cell r="Q696">
            <v>683715735</v>
          </cell>
          <cell r="R696">
            <v>656072579</v>
          </cell>
          <cell r="S696" t="str">
            <v>Alain Etoundi</v>
          </cell>
          <cell r="T696" t="str">
            <v>Valeur HOUELL</v>
          </cell>
          <cell r="U696" t="str">
            <v>I H S</v>
          </cell>
        </row>
        <row r="697">
          <cell r="A697" t="str">
            <v>ADM_024</v>
          </cell>
          <cell r="B697" t="str">
            <v>IHS_NGD_060</v>
          </cell>
          <cell r="C697" t="str">
            <v>ADM_024</v>
          </cell>
          <cell r="D697" t="str">
            <v>North</v>
          </cell>
          <cell r="E697" t="str">
            <v>Adamawa</v>
          </cell>
          <cell r="F697" t="str">
            <v>Galim-Tignere</v>
          </cell>
          <cell r="G697" t="str">
            <v>P5</v>
          </cell>
          <cell r="H697" t="str">
            <v>Hybrid-Gen</v>
          </cell>
          <cell r="I697" t="str">
            <v>On Air</v>
          </cell>
          <cell r="J697" t="str">
            <v>Outdoor</v>
          </cell>
          <cell r="K697" t="str">
            <v>AC</v>
          </cell>
          <cell r="L697" t="str">
            <v>I-Eng</v>
          </cell>
          <cell r="M697" t="str">
            <v>Tibati</v>
          </cell>
          <cell r="N697" t="str">
            <v>TIBATI</v>
          </cell>
          <cell r="O697" t="str">
            <v>GALIM TIGNERE</v>
          </cell>
          <cell r="P697" t="str">
            <v>Franklin INACK</v>
          </cell>
          <cell r="Q697">
            <v>683715735</v>
          </cell>
          <cell r="R697">
            <v>656072579</v>
          </cell>
          <cell r="S697" t="str">
            <v>Alain Etoundi</v>
          </cell>
          <cell r="T697" t="str">
            <v>Valeur HOUELL</v>
          </cell>
          <cell r="U697" t="str">
            <v>I H S</v>
          </cell>
        </row>
        <row r="698">
          <cell r="A698" t="str">
            <v>ADM_075</v>
          </cell>
          <cell r="B698" t="str">
            <v>IHS_NGD_102</v>
          </cell>
          <cell r="C698" t="str">
            <v>ADM_075</v>
          </cell>
          <cell r="D698" t="str">
            <v>North</v>
          </cell>
          <cell r="E698" t="str">
            <v>Adamawa</v>
          </cell>
          <cell r="F698" t="str">
            <v>Mayo Baleo-IHS</v>
          </cell>
          <cell r="G698" t="str">
            <v>P5</v>
          </cell>
          <cell r="H698" t="str">
            <v>Hybrid-Gen</v>
          </cell>
          <cell r="I698" t="str">
            <v>On Air</v>
          </cell>
          <cell r="J698" t="str">
            <v>Outdoor</v>
          </cell>
          <cell r="K698" t="str">
            <v>AC</v>
          </cell>
          <cell r="L698" t="str">
            <v>I-Eng</v>
          </cell>
          <cell r="M698" t="str">
            <v>Tibati</v>
          </cell>
          <cell r="N698" t="str">
            <v>TIBATI</v>
          </cell>
          <cell r="O698" t="str">
            <v>MAYO BALEO</v>
          </cell>
          <cell r="P698" t="str">
            <v>Franklin INACK</v>
          </cell>
          <cell r="Q698">
            <v>683715735</v>
          </cell>
          <cell r="R698">
            <v>656072579</v>
          </cell>
          <cell r="S698" t="str">
            <v>Alain Etoundi</v>
          </cell>
          <cell r="T698" t="str">
            <v>Valeur HOUELL</v>
          </cell>
          <cell r="U698" t="str">
            <v>I H S</v>
          </cell>
        </row>
        <row r="699">
          <cell r="A699" t="str">
            <v>ADM_153</v>
          </cell>
          <cell r="B699" t="str">
            <v>IHS_NGD_092</v>
          </cell>
          <cell r="C699" t="str">
            <v>ADM_153</v>
          </cell>
          <cell r="D699" t="str">
            <v>North</v>
          </cell>
          <cell r="E699" t="str">
            <v>Adamawa</v>
          </cell>
          <cell r="F699" t="str">
            <v>DARASALAM</v>
          </cell>
          <cell r="G699" t="str">
            <v>P5</v>
          </cell>
          <cell r="H699" t="str">
            <v>Hybrid-Gen</v>
          </cell>
          <cell r="I699" t="str">
            <v>On Air</v>
          </cell>
          <cell r="J699" t="str">
            <v>Outdoor</v>
          </cell>
          <cell r="K699" t="str">
            <v>AC</v>
          </cell>
          <cell r="L699" t="str">
            <v>I-Eng</v>
          </cell>
          <cell r="M699" t="str">
            <v>Tibati</v>
          </cell>
          <cell r="N699" t="str">
            <v>TIBATI</v>
          </cell>
          <cell r="O699" t="str">
            <v>BANYO</v>
          </cell>
          <cell r="P699" t="str">
            <v>Franklin INACK</v>
          </cell>
          <cell r="Q699">
            <v>683715735</v>
          </cell>
          <cell r="R699">
            <v>656072579</v>
          </cell>
          <cell r="S699" t="str">
            <v>Alain Etoundi</v>
          </cell>
          <cell r="T699" t="str">
            <v>Valeur HOUELL</v>
          </cell>
          <cell r="U699" t="str">
            <v>I H S</v>
          </cell>
        </row>
        <row r="700">
          <cell r="A700" t="str">
            <v>ADM_119</v>
          </cell>
          <cell r="B700" t="str">
            <v>IHS_NGD_213</v>
          </cell>
          <cell r="C700" t="str">
            <v>ADM_119</v>
          </cell>
          <cell r="D700" t="str">
            <v>North</v>
          </cell>
          <cell r="E700" t="str">
            <v>Adamawa</v>
          </cell>
          <cell r="F700" t="str">
            <v>Ngaoundal 3</v>
          </cell>
          <cell r="G700" t="str">
            <v>P5</v>
          </cell>
          <cell r="H700" t="str">
            <v>Grid-Gen</v>
          </cell>
          <cell r="I700" t="str">
            <v>On Air</v>
          </cell>
          <cell r="J700" t="str">
            <v>Outdoor</v>
          </cell>
          <cell r="K700" t="str">
            <v>AC</v>
          </cell>
          <cell r="L700" t="str">
            <v>I-Eng</v>
          </cell>
          <cell r="M700" t="str">
            <v>Meiganga</v>
          </cell>
          <cell r="N700" t="str">
            <v>Meiganga</v>
          </cell>
          <cell r="O700" t="str">
            <v>NGAOUNDAL</v>
          </cell>
          <cell r="P700" t="str">
            <v>Franklin INACK</v>
          </cell>
          <cell r="Q700">
            <v>683715735</v>
          </cell>
          <cell r="R700">
            <v>656072579</v>
          </cell>
          <cell r="S700" t="str">
            <v>Alain Etoundi</v>
          </cell>
          <cell r="T700" t="str">
            <v>Valeur HOUELL</v>
          </cell>
          <cell r="U700" t="str">
            <v>I H S</v>
          </cell>
        </row>
        <row r="701">
          <cell r="A701" t="str">
            <v>ADM_109</v>
          </cell>
          <cell r="B701" t="str">
            <v>IHS_NGD_091</v>
          </cell>
          <cell r="C701" t="str">
            <v>ADM_109</v>
          </cell>
          <cell r="D701" t="str">
            <v>North</v>
          </cell>
          <cell r="E701" t="str">
            <v>Adamawa</v>
          </cell>
          <cell r="F701" t="str">
            <v>MBAKAOU</v>
          </cell>
          <cell r="G701" t="str">
            <v>P5</v>
          </cell>
          <cell r="H701" t="str">
            <v>Grid-Gen</v>
          </cell>
          <cell r="I701" t="str">
            <v>On Air</v>
          </cell>
          <cell r="J701" t="str">
            <v>Outdoor</v>
          </cell>
          <cell r="K701" t="str">
            <v>AC</v>
          </cell>
          <cell r="L701" t="str">
            <v>I-Eng</v>
          </cell>
          <cell r="M701" t="str">
            <v>Tibati</v>
          </cell>
          <cell r="N701" t="str">
            <v>TIBATI</v>
          </cell>
          <cell r="O701" t="str">
            <v>TIBATI</v>
          </cell>
          <cell r="P701" t="str">
            <v>Franklin INACK</v>
          </cell>
          <cell r="Q701">
            <v>683715735</v>
          </cell>
          <cell r="R701">
            <v>656072579</v>
          </cell>
          <cell r="S701" t="str">
            <v>Alain Etoundi</v>
          </cell>
          <cell r="T701" t="str">
            <v>Valeur HOUELL</v>
          </cell>
          <cell r="U701" t="str">
            <v>I H S</v>
          </cell>
        </row>
        <row r="702">
          <cell r="A702" t="str">
            <v>ADM_103</v>
          </cell>
          <cell r="B702" t="str">
            <v>IHS_NGD_063</v>
          </cell>
          <cell r="C702" t="str">
            <v>ADM_103</v>
          </cell>
          <cell r="D702" t="str">
            <v>North</v>
          </cell>
          <cell r="E702" t="str">
            <v>Adamawa</v>
          </cell>
          <cell r="F702" t="str">
            <v>Wadjiri-IHS</v>
          </cell>
          <cell r="G702" t="str">
            <v>P5</v>
          </cell>
          <cell r="H702" t="str">
            <v>Hybrid-Gen</v>
          </cell>
          <cell r="I702" t="str">
            <v>On Air</v>
          </cell>
          <cell r="J702" t="str">
            <v>Outdoor</v>
          </cell>
          <cell r="K702" t="str">
            <v>AC</v>
          </cell>
          <cell r="L702" t="str">
            <v>I-Eng</v>
          </cell>
          <cell r="M702" t="str">
            <v>Tibati</v>
          </cell>
          <cell r="N702" t="str">
            <v>TIBATI</v>
          </cell>
          <cell r="O702" t="str">
            <v>TIBATI</v>
          </cell>
          <cell r="P702" t="str">
            <v>Franklin INACK</v>
          </cell>
          <cell r="Q702">
            <v>683715735</v>
          </cell>
          <cell r="R702">
            <v>656072579</v>
          </cell>
          <cell r="S702" t="str">
            <v>Alain Etoundi</v>
          </cell>
          <cell r="T702" t="str">
            <v>Valeur HOUELL</v>
          </cell>
          <cell r="U702" t="str">
            <v>I H S</v>
          </cell>
        </row>
        <row r="703">
          <cell r="A703" t="str">
            <v>ADM_064</v>
          </cell>
          <cell r="B703" t="str">
            <v>IHS_NGD_064</v>
          </cell>
          <cell r="C703" t="str">
            <v>ADM_064</v>
          </cell>
          <cell r="D703" t="str">
            <v>North</v>
          </cell>
          <cell r="E703" t="str">
            <v>Adamawa</v>
          </cell>
          <cell r="F703" t="str">
            <v>Koba-MTN</v>
          </cell>
          <cell r="G703" t="str">
            <v>P5</v>
          </cell>
          <cell r="H703" t="str">
            <v>Hybrid-Gen</v>
          </cell>
          <cell r="I703" t="str">
            <v>On Air</v>
          </cell>
          <cell r="J703" t="str">
            <v>Outdoor</v>
          </cell>
          <cell r="K703" t="str">
            <v>AC</v>
          </cell>
          <cell r="L703" t="str">
            <v>I-Eng</v>
          </cell>
          <cell r="M703" t="str">
            <v>Tibati</v>
          </cell>
          <cell r="N703" t="str">
            <v>TIBATI</v>
          </cell>
          <cell r="O703" t="str">
            <v>TIBATI</v>
          </cell>
          <cell r="P703" t="str">
            <v>Franklin INACK</v>
          </cell>
          <cell r="Q703">
            <v>683715735</v>
          </cell>
          <cell r="R703">
            <v>656072579</v>
          </cell>
          <cell r="S703" t="str">
            <v>Alain Etoundi</v>
          </cell>
          <cell r="T703" t="str">
            <v>Valeur HOUELL</v>
          </cell>
          <cell r="U703" t="str">
            <v>I H S</v>
          </cell>
        </row>
        <row r="704">
          <cell r="A704" t="str">
            <v>ADM_067</v>
          </cell>
          <cell r="B704" t="str">
            <v>IHS_NGD_059</v>
          </cell>
          <cell r="C704" t="str">
            <v>ADM_067</v>
          </cell>
          <cell r="D704" t="str">
            <v>North</v>
          </cell>
          <cell r="E704" t="str">
            <v>Adamawa</v>
          </cell>
          <cell r="F704" t="str">
            <v>Doualayel-MTN</v>
          </cell>
          <cell r="G704" t="str">
            <v>P5</v>
          </cell>
          <cell r="H704" t="str">
            <v>Hybrid-Gen</v>
          </cell>
          <cell r="I704" t="str">
            <v>On Air</v>
          </cell>
          <cell r="J704" t="str">
            <v>Outdoor</v>
          </cell>
          <cell r="K704" t="str">
            <v>AC</v>
          </cell>
          <cell r="L704" t="str">
            <v>I-Eng</v>
          </cell>
          <cell r="M704" t="str">
            <v>Tibati</v>
          </cell>
          <cell r="N704" t="str">
            <v>TIBATI</v>
          </cell>
          <cell r="O704" t="str">
            <v>MARTAP</v>
          </cell>
          <cell r="P704" t="str">
            <v>Franklin INACK</v>
          </cell>
          <cell r="Q704">
            <v>683715735</v>
          </cell>
          <cell r="R704">
            <v>656072579</v>
          </cell>
          <cell r="S704" t="str">
            <v>Alain Etoundi</v>
          </cell>
          <cell r="T704" t="str">
            <v>Valeur HOUELL</v>
          </cell>
          <cell r="U704" t="str">
            <v>I H S</v>
          </cell>
        </row>
        <row r="705">
          <cell r="A705" t="str">
            <v>CTR_170</v>
          </cell>
          <cell r="B705" t="str">
            <v>IHS_NGD_050</v>
          </cell>
          <cell r="C705" t="str">
            <v>CTR_170</v>
          </cell>
          <cell r="D705" t="str">
            <v>North</v>
          </cell>
          <cell r="E705" t="str">
            <v>Adamawa</v>
          </cell>
          <cell r="F705" t="str">
            <v>Balissa</v>
          </cell>
          <cell r="G705" t="str">
            <v>P5</v>
          </cell>
          <cell r="H705" t="str">
            <v>Solar-Gen</v>
          </cell>
          <cell r="I705" t="str">
            <v>On Air</v>
          </cell>
          <cell r="J705" t="str">
            <v>Outdoor</v>
          </cell>
          <cell r="K705" t="str">
            <v>AC</v>
          </cell>
          <cell r="L705" t="str">
            <v>I-Eng</v>
          </cell>
          <cell r="M705" t="str">
            <v>Tibati</v>
          </cell>
          <cell r="N705" t="str">
            <v>TIBATI</v>
          </cell>
          <cell r="O705" t="str">
            <v>MARTAP</v>
          </cell>
          <cell r="P705" t="str">
            <v>Franklin INACK</v>
          </cell>
          <cell r="Q705">
            <v>683715735</v>
          </cell>
          <cell r="R705">
            <v>656072579</v>
          </cell>
          <cell r="S705" t="str">
            <v>Alain Etoundi</v>
          </cell>
          <cell r="T705" t="str">
            <v>Valeur HOUELL</v>
          </cell>
          <cell r="U705" t="str">
            <v>I H S</v>
          </cell>
        </row>
        <row r="706">
          <cell r="A706" t="str">
            <v>ADM_154</v>
          </cell>
          <cell r="B706" t="str">
            <v>IHS_NGD_093</v>
          </cell>
          <cell r="C706" t="str">
            <v>ADM_154</v>
          </cell>
          <cell r="D706" t="str">
            <v>North</v>
          </cell>
          <cell r="E706" t="str">
            <v>Adamawa</v>
          </cell>
          <cell r="F706" t="str">
            <v>MBAMTI</v>
          </cell>
          <cell r="G706" t="str">
            <v>P5</v>
          </cell>
          <cell r="H706" t="str">
            <v>Solar-Gen</v>
          </cell>
          <cell r="I706" t="str">
            <v>On Air</v>
          </cell>
          <cell r="J706" t="str">
            <v>Outdoor</v>
          </cell>
          <cell r="K706" t="str">
            <v>AC</v>
          </cell>
          <cell r="L706" t="str">
            <v>I-Eng</v>
          </cell>
          <cell r="M706" t="str">
            <v>Tibati</v>
          </cell>
          <cell r="N706" t="str">
            <v>TIBATI</v>
          </cell>
          <cell r="O706" t="str">
            <v>BANYO</v>
          </cell>
          <cell r="P706" t="str">
            <v>Franklin INACK</v>
          </cell>
          <cell r="Q706">
            <v>683715735</v>
          </cell>
          <cell r="R706">
            <v>656072579</v>
          </cell>
          <cell r="S706" t="str">
            <v>Alain Etoundi</v>
          </cell>
          <cell r="T706" t="str">
            <v>Valeur HOUELL</v>
          </cell>
          <cell r="U706" t="str">
            <v>I H S</v>
          </cell>
        </row>
        <row r="707">
          <cell r="A707" t="str">
            <v>ADM_099</v>
          </cell>
          <cell r="B707" t="str">
            <v>IHS_NGD_086</v>
          </cell>
          <cell r="C707" t="str">
            <v>ADM_099</v>
          </cell>
          <cell r="D707" t="str">
            <v>North</v>
          </cell>
          <cell r="E707" t="str">
            <v>Adamawa</v>
          </cell>
          <cell r="F707" t="str">
            <v>Wada</v>
          </cell>
          <cell r="G707" t="str">
            <v>P5</v>
          </cell>
          <cell r="H707" t="str">
            <v>Solar-Gen</v>
          </cell>
          <cell r="I707" t="str">
            <v>On Air</v>
          </cell>
          <cell r="J707" t="str">
            <v>Outdoor</v>
          </cell>
          <cell r="K707" t="str">
            <v>AC</v>
          </cell>
          <cell r="L707" t="str">
            <v>I-Eng</v>
          </cell>
          <cell r="M707" t="str">
            <v>Tibati</v>
          </cell>
          <cell r="N707" t="str">
            <v>TIBATI</v>
          </cell>
          <cell r="O707" t="str">
            <v>TIBATI</v>
          </cell>
          <cell r="P707" t="str">
            <v>Franklin INACK</v>
          </cell>
          <cell r="Q707">
            <v>683715735</v>
          </cell>
          <cell r="R707">
            <v>656072579</v>
          </cell>
          <cell r="S707" t="str">
            <v>Alain Etoundi</v>
          </cell>
          <cell r="T707" t="str">
            <v>Valeur HOUELL</v>
          </cell>
          <cell r="U707" t="str">
            <v>I H S</v>
          </cell>
        </row>
        <row r="708">
          <cell r="A708" t="str">
            <v>ADM_098</v>
          </cell>
          <cell r="B708" t="str">
            <v>IHS_NGD_074</v>
          </cell>
          <cell r="C708" t="str">
            <v>ADM_098</v>
          </cell>
          <cell r="D708" t="str">
            <v>North</v>
          </cell>
          <cell r="E708" t="str">
            <v>Adamawa</v>
          </cell>
          <cell r="F708" t="str">
            <v>Maakola-MTN-IHS</v>
          </cell>
          <cell r="G708" t="str">
            <v>P5</v>
          </cell>
          <cell r="H708" t="str">
            <v>Solar-Gen</v>
          </cell>
          <cell r="I708" t="str">
            <v>On Air</v>
          </cell>
          <cell r="J708" t="str">
            <v>Outdoor</v>
          </cell>
          <cell r="K708" t="str">
            <v>AC</v>
          </cell>
          <cell r="L708" t="str">
            <v>I-Eng</v>
          </cell>
          <cell r="M708" t="str">
            <v>Tibati</v>
          </cell>
          <cell r="N708" t="str">
            <v>TIBATI</v>
          </cell>
          <cell r="O708" t="str">
            <v>NGAOUNDAL</v>
          </cell>
          <cell r="P708" t="str">
            <v>Franklin INACK</v>
          </cell>
          <cell r="Q708">
            <v>683715735</v>
          </cell>
          <cell r="R708">
            <v>656072579</v>
          </cell>
          <cell r="S708" t="str">
            <v>Alain Etoundi</v>
          </cell>
          <cell r="T708" t="str">
            <v>Valeur HOUELL</v>
          </cell>
          <cell r="U708" t="str">
            <v>I H S</v>
          </cell>
        </row>
        <row r="709">
          <cell r="A709" t="str">
            <v>ADM_063</v>
          </cell>
          <cell r="B709" t="str">
            <v>IHS_NGD_081</v>
          </cell>
          <cell r="C709" t="str">
            <v>ADM_063</v>
          </cell>
          <cell r="D709" t="str">
            <v>North</v>
          </cell>
          <cell r="E709" t="str">
            <v>Adamawa</v>
          </cell>
          <cell r="F709" t="str">
            <v>Febadi-MTN</v>
          </cell>
          <cell r="G709" t="str">
            <v>P5</v>
          </cell>
          <cell r="H709" t="str">
            <v>Solar-Gen</v>
          </cell>
          <cell r="I709" t="str">
            <v>On Air</v>
          </cell>
          <cell r="J709" t="str">
            <v>Indoor</v>
          </cell>
          <cell r="K709" t="str">
            <v>AC</v>
          </cell>
          <cell r="L709" t="str">
            <v>I-Eng</v>
          </cell>
          <cell r="M709" t="str">
            <v>Tibati</v>
          </cell>
          <cell r="N709" t="str">
            <v>TIBATI</v>
          </cell>
          <cell r="O709" t="str">
            <v>NGAOUNDAL</v>
          </cell>
          <cell r="P709" t="str">
            <v>Franklin INACK</v>
          </cell>
          <cell r="Q709">
            <v>683715735</v>
          </cell>
          <cell r="R709">
            <v>656072579</v>
          </cell>
          <cell r="S709" t="str">
            <v>Alain Etoundi</v>
          </cell>
          <cell r="T709" t="str">
            <v>Valeur HOUELL</v>
          </cell>
          <cell r="U709" t="str">
            <v>I H S</v>
          </cell>
        </row>
        <row r="710">
          <cell r="A710" t="str">
            <v>ADM_144</v>
          </cell>
          <cell r="B710" t="str">
            <v>IHS_NGD_231</v>
          </cell>
          <cell r="C710" t="str">
            <v>ADM_144</v>
          </cell>
          <cell r="D710" t="str">
            <v>North</v>
          </cell>
          <cell r="E710" t="str">
            <v>Adamawa</v>
          </cell>
          <cell r="F710" t="str">
            <v>SAMBO LAMBO-IHS</v>
          </cell>
          <cell r="G710" t="str">
            <v>P5</v>
          </cell>
          <cell r="H710" t="str">
            <v>Hybrid-Gen</v>
          </cell>
          <cell r="I710" t="str">
            <v>On Air</v>
          </cell>
          <cell r="J710" t="str">
            <v>Outdoor</v>
          </cell>
          <cell r="K710" t="str">
            <v>AC</v>
          </cell>
          <cell r="L710" t="str">
            <v>I-Eng</v>
          </cell>
          <cell r="M710" t="str">
            <v>Tibati</v>
          </cell>
          <cell r="N710" t="str">
            <v>TIBATI</v>
          </cell>
          <cell r="O710" t="str">
            <v>BANYO</v>
          </cell>
          <cell r="P710" t="str">
            <v>Franklin INACK</v>
          </cell>
          <cell r="Q710">
            <v>683715735</v>
          </cell>
          <cell r="R710">
            <v>656072579</v>
          </cell>
          <cell r="S710" t="str">
            <v>Alain Etoundi</v>
          </cell>
          <cell r="T710" t="str">
            <v>Valeur HOUELL</v>
          </cell>
          <cell r="U710" t="str">
            <v>I H S</v>
          </cell>
        </row>
        <row r="711">
          <cell r="A711" t="str">
            <v>EXN_032</v>
          </cell>
          <cell r="B711" t="str">
            <v>IHS_MAR_067</v>
          </cell>
          <cell r="C711" t="str">
            <v>EXN_032</v>
          </cell>
          <cell r="D711" t="str">
            <v>North</v>
          </cell>
          <cell r="E711" t="str">
            <v>Far North</v>
          </cell>
          <cell r="F711" t="str">
            <v>Mora-II</v>
          </cell>
          <cell r="G711" t="str">
            <v>P2</v>
          </cell>
          <cell r="H711" t="str">
            <v>Grid-Gen</v>
          </cell>
          <cell r="I711" t="str">
            <v>On Air</v>
          </cell>
          <cell r="J711" t="str">
            <v>Indoor</v>
          </cell>
          <cell r="K711" t="str">
            <v>AC</v>
          </cell>
          <cell r="L711" t="str">
            <v>I-Eng</v>
          </cell>
          <cell r="M711" t="str">
            <v>Maroua</v>
          </cell>
          <cell r="N711" t="str">
            <v>Mayo-Sava</v>
          </cell>
          <cell r="O711" t="str">
            <v>Mora</v>
          </cell>
          <cell r="P711" t="str">
            <v>Idrissou Yaouba</v>
          </cell>
          <cell r="Q711">
            <v>677549821</v>
          </cell>
          <cell r="R711">
            <v>655999821</v>
          </cell>
          <cell r="S711" t="str">
            <v>Alain Etoundi</v>
          </cell>
          <cell r="T711" t="str">
            <v>Valeur HOUELL</v>
          </cell>
          <cell r="U711" t="str">
            <v>I H S</v>
          </cell>
        </row>
        <row r="712">
          <cell r="A712" t="str">
            <v>EXN_006</v>
          </cell>
          <cell r="B712" t="str">
            <v>IHS_MAR_041</v>
          </cell>
          <cell r="C712" t="str">
            <v>EXN_006</v>
          </cell>
          <cell r="D712" t="str">
            <v>North</v>
          </cell>
          <cell r="E712" t="str">
            <v>Far North</v>
          </cell>
          <cell r="F712" t="str">
            <v>Bogo</v>
          </cell>
          <cell r="G712" t="str">
            <v>P2</v>
          </cell>
          <cell r="H712" t="str">
            <v>Grid-Hybrid-Gen</v>
          </cell>
          <cell r="I712" t="str">
            <v>On Air</v>
          </cell>
          <cell r="J712" t="str">
            <v>Indoor</v>
          </cell>
          <cell r="K712" t="str">
            <v>AC</v>
          </cell>
          <cell r="L712" t="str">
            <v>I-Eng</v>
          </cell>
          <cell r="M712" t="str">
            <v>Maroua</v>
          </cell>
          <cell r="N712" t="str">
            <v>Diamare</v>
          </cell>
          <cell r="O712" t="str">
            <v>Bogo</v>
          </cell>
          <cell r="P712" t="str">
            <v>Idrissou Yaouba</v>
          </cell>
          <cell r="Q712">
            <v>677549821</v>
          </cell>
          <cell r="R712">
            <v>655999821</v>
          </cell>
          <cell r="S712" t="str">
            <v>Alain Etoundi</v>
          </cell>
          <cell r="T712" t="str">
            <v>Valeur HOUELL</v>
          </cell>
          <cell r="U712" t="str">
            <v>I H S</v>
          </cell>
        </row>
        <row r="713">
          <cell r="A713" t="str">
            <v>EXN_016</v>
          </cell>
          <cell r="B713" t="str">
            <v>IHS_MAR_023</v>
          </cell>
          <cell r="C713" t="str">
            <v>EXN_016</v>
          </cell>
          <cell r="D713" t="str">
            <v>North</v>
          </cell>
          <cell r="E713" t="str">
            <v>Far North</v>
          </cell>
          <cell r="F713" t="str">
            <v>Maroua-Douggoy</v>
          </cell>
          <cell r="G713" t="str">
            <v>P2</v>
          </cell>
          <cell r="H713" t="str">
            <v>Grid-Gen</v>
          </cell>
          <cell r="I713" t="str">
            <v>On Air</v>
          </cell>
          <cell r="J713" t="str">
            <v>Indoor</v>
          </cell>
          <cell r="K713" t="str">
            <v>AC</v>
          </cell>
          <cell r="L713" t="str">
            <v>I-Eng</v>
          </cell>
          <cell r="M713" t="str">
            <v>Maroua</v>
          </cell>
          <cell r="N713" t="str">
            <v>Diamare</v>
          </cell>
          <cell r="O713" t="str">
            <v>Maroua3</v>
          </cell>
          <cell r="P713" t="str">
            <v>Idrissou Yaouba</v>
          </cell>
          <cell r="Q713">
            <v>677549821</v>
          </cell>
          <cell r="R713">
            <v>655999821</v>
          </cell>
          <cell r="S713" t="str">
            <v>Alain Etoundi</v>
          </cell>
          <cell r="T713" t="str">
            <v>Valeur HOUELL</v>
          </cell>
          <cell r="U713" t="str">
            <v>I H S</v>
          </cell>
        </row>
        <row r="714">
          <cell r="A714" t="str">
            <v>EXN_028</v>
          </cell>
          <cell r="B714" t="str">
            <v>IHS_MAR_035</v>
          </cell>
          <cell r="C714" t="str">
            <v>EXN_028</v>
          </cell>
          <cell r="D714" t="str">
            <v>North</v>
          </cell>
          <cell r="E714" t="str">
            <v>Far North</v>
          </cell>
          <cell r="F714" t="str">
            <v>Godola-MTN</v>
          </cell>
          <cell r="G714" t="str">
            <v>P2</v>
          </cell>
          <cell r="H714" t="str">
            <v>Grid-Gen</v>
          </cell>
          <cell r="I714" t="str">
            <v>On Air</v>
          </cell>
          <cell r="J714" t="str">
            <v>Indoor</v>
          </cell>
          <cell r="K714" t="str">
            <v>AC</v>
          </cell>
          <cell r="L714" t="str">
            <v>I-Eng</v>
          </cell>
          <cell r="M714" t="str">
            <v>Maroua</v>
          </cell>
          <cell r="N714" t="str">
            <v>Diamare</v>
          </cell>
          <cell r="O714" t="str">
            <v>Maroua2</v>
          </cell>
          <cell r="P714" t="str">
            <v>Idrissou Yaouba</v>
          </cell>
          <cell r="Q714">
            <v>677549821</v>
          </cell>
          <cell r="R714">
            <v>655999821</v>
          </cell>
          <cell r="S714" t="str">
            <v>Alain Etoundi</v>
          </cell>
          <cell r="T714" t="str">
            <v>Valeur HOUELL</v>
          </cell>
          <cell r="U714" t="str">
            <v>I H S</v>
          </cell>
        </row>
        <row r="715">
          <cell r="A715" t="str">
            <v>EXN_026</v>
          </cell>
          <cell r="B715" t="str">
            <v>IHS_MAR_034</v>
          </cell>
          <cell r="C715" t="str">
            <v>EXN_026</v>
          </cell>
          <cell r="D715" t="str">
            <v>North</v>
          </cell>
          <cell r="E715" t="str">
            <v>Far North</v>
          </cell>
          <cell r="F715" t="str">
            <v>Katoual-MTN</v>
          </cell>
          <cell r="G715" t="str">
            <v>P2</v>
          </cell>
          <cell r="H715" t="str">
            <v>Grid-Gen</v>
          </cell>
          <cell r="I715" t="str">
            <v>On Air</v>
          </cell>
          <cell r="J715" t="str">
            <v>Indoor</v>
          </cell>
          <cell r="K715" t="str">
            <v>AC</v>
          </cell>
          <cell r="L715" t="str">
            <v>I-Eng</v>
          </cell>
          <cell r="M715" t="str">
            <v>Maroua</v>
          </cell>
          <cell r="N715" t="str">
            <v>Diamare</v>
          </cell>
          <cell r="O715" t="str">
            <v>Maroua1</v>
          </cell>
          <cell r="P715" t="str">
            <v>Idrissou Yaouba</v>
          </cell>
          <cell r="Q715">
            <v>677549821</v>
          </cell>
          <cell r="R715">
            <v>655999821</v>
          </cell>
          <cell r="S715" t="str">
            <v>Alain Etoundi</v>
          </cell>
          <cell r="T715" t="str">
            <v>Valeur HOUELL</v>
          </cell>
          <cell r="U715" t="str">
            <v>I H S</v>
          </cell>
        </row>
        <row r="716">
          <cell r="A716" t="str">
            <v>EXN_029</v>
          </cell>
          <cell r="B716" t="str">
            <v>IHS_MAR_046</v>
          </cell>
          <cell r="C716" t="str">
            <v>EXN_029</v>
          </cell>
          <cell r="D716" t="str">
            <v>North</v>
          </cell>
          <cell r="E716" t="str">
            <v>Far North</v>
          </cell>
          <cell r="F716" t="str">
            <v>Makalingai-MTN</v>
          </cell>
          <cell r="G716" t="str">
            <v>P2</v>
          </cell>
          <cell r="H716" t="str">
            <v>Grid-Gen</v>
          </cell>
          <cell r="I716" t="str">
            <v>On Air</v>
          </cell>
          <cell r="J716" t="str">
            <v>Indoor</v>
          </cell>
          <cell r="K716" t="str">
            <v>AC</v>
          </cell>
          <cell r="L716" t="str">
            <v>I-Eng</v>
          </cell>
          <cell r="M716" t="str">
            <v>Maroua</v>
          </cell>
          <cell r="N716" t="str">
            <v>Mayo-Sava</v>
          </cell>
          <cell r="O716" t="str">
            <v>Tokombere</v>
          </cell>
          <cell r="P716" t="str">
            <v>Idrissou Yaouba</v>
          </cell>
          <cell r="Q716">
            <v>677549821</v>
          </cell>
          <cell r="R716">
            <v>655999821</v>
          </cell>
          <cell r="S716" t="str">
            <v>Alain Etoundi</v>
          </cell>
          <cell r="T716" t="str">
            <v>Valeur HOUELL</v>
          </cell>
          <cell r="U716" t="str">
            <v>I H S</v>
          </cell>
        </row>
        <row r="717">
          <cell r="A717" t="str">
            <v>EXN_113</v>
          </cell>
          <cell r="B717" t="str">
            <v>IHS_MAR_030</v>
          </cell>
          <cell r="C717" t="str">
            <v>EXN_113</v>
          </cell>
          <cell r="D717" t="str">
            <v>North</v>
          </cell>
          <cell r="E717" t="str">
            <v>Far North</v>
          </cell>
          <cell r="F717" t="str">
            <v>Kongola-IHS</v>
          </cell>
          <cell r="G717" t="str">
            <v>P2</v>
          </cell>
          <cell r="H717" t="str">
            <v>Grid-Gen</v>
          </cell>
          <cell r="I717" t="str">
            <v>On Air</v>
          </cell>
          <cell r="J717" t="str">
            <v>Outdoor</v>
          </cell>
          <cell r="K717" t="str">
            <v>AC</v>
          </cell>
          <cell r="L717" t="str">
            <v>I-Eng</v>
          </cell>
          <cell r="M717" t="str">
            <v>Maroua</v>
          </cell>
          <cell r="N717" t="str">
            <v>Diamare</v>
          </cell>
          <cell r="O717" t="str">
            <v>Maroua3</v>
          </cell>
          <cell r="P717" t="str">
            <v>Idrissou Yaouba</v>
          </cell>
          <cell r="Q717">
            <v>677549821</v>
          </cell>
          <cell r="R717">
            <v>655999821</v>
          </cell>
          <cell r="S717" t="str">
            <v>Alain Etoundi</v>
          </cell>
          <cell r="T717" t="str">
            <v>Valeur HOUELL</v>
          </cell>
          <cell r="U717" t="str">
            <v>I H S</v>
          </cell>
        </row>
        <row r="718">
          <cell r="A718" t="str">
            <v>EXN_066</v>
          </cell>
          <cell r="B718" t="str">
            <v>IHS_MAR_011</v>
          </cell>
          <cell r="C718" t="str">
            <v>EXN_066</v>
          </cell>
          <cell r="D718" t="str">
            <v>North</v>
          </cell>
          <cell r="E718" t="str">
            <v>Far North</v>
          </cell>
          <cell r="F718" t="str">
            <v>Maroua-Stade</v>
          </cell>
          <cell r="G718" t="str">
            <v>P3</v>
          </cell>
          <cell r="H718" t="str">
            <v>Grid-Gen</v>
          </cell>
          <cell r="I718" t="str">
            <v>On Air</v>
          </cell>
          <cell r="J718" t="str">
            <v>Outdoor</v>
          </cell>
          <cell r="K718" t="str">
            <v>AC</v>
          </cell>
          <cell r="L718" t="str">
            <v>I-Eng</v>
          </cell>
          <cell r="M718" t="str">
            <v>Maroua</v>
          </cell>
          <cell r="N718" t="str">
            <v>Diamare</v>
          </cell>
          <cell r="O718" t="str">
            <v>Maroua1</v>
          </cell>
          <cell r="P718" t="str">
            <v>Idrissou Yaouba</v>
          </cell>
          <cell r="Q718">
            <v>677549821</v>
          </cell>
          <cell r="R718">
            <v>655999821</v>
          </cell>
          <cell r="S718" t="str">
            <v>Alain Etoundi</v>
          </cell>
          <cell r="T718" t="str">
            <v>Valeur HOUELL</v>
          </cell>
          <cell r="U718" t="str">
            <v>I H S</v>
          </cell>
        </row>
        <row r="719">
          <cell r="A719" t="str">
            <v>EXN_001</v>
          </cell>
          <cell r="B719" t="str">
            <v>IHS_MAR_020</v>
          </cell>
          <cell r="C719" t="str">
            <v>EXN_001</v>
          </cell>
          <cell r="D719" t="str">
            <v>North</v>
          </cell>
          <cell r="E719" t="str">
            <v>Far North</v>
          </cell>
          <cell r="F719" t="str">
            <v>Sodecoton</v>
          </cell>
          <cell r="G719" t="str">
            <v>P3</v>
          </cell>
          <cell r="H719" t="str">
            <v>Grid-Gen</v>
          </cell>
          <cell r="I719" t="str">
            <v>On Air</v>
          </cell>
          <cell r="J719" t="str">
            <v>Indoor</v>
          </cell>
          <cell r="K719" t="str">
            <v>AC</v>
          </cell>
          <cell r="L719" t="str">
            <v>I-Eng</v>
          </cell>
          <cell r="M719" t="str">
            <v>Maroua</v>
          </cell>
          <cell r="N719" t="str">
            <v>Diamare</v>
          </cell>
          <cell r="O719" t="str">
            <v>Maroua1</v>
          </cell>
          <cell r="P719" t="str">
            <v>Idrissou Yaouba</v>
          </cell>
          <cell r="Q719">
            <v>677549821</v>
          </cell>
          <cell r="R719">
            <v>655999821</v>
          </cell>
          <cell r="S719" t="str">
            <v>Alain Etoundi</v>
          </cell>
          <cell r="T719" t="str">
            <v>Valeur HOUELL</v>
          </cell>
          <cell r="U719" t="str">
            <v>I H S</v>
          </cell>
        </row>
        <row r="720">
          <cell r="A720" t="str">
            <v>EXN_083</v>
          </cell>
          <cell r="B720" t="str">
            <v>IHS_MAR_019</v>
          </cell>
          <cell r="C720" t="str">
            <v>EXN_083</v>
          </cell>
          <cell r="D720" t="str">
            <v>North</v>
          </cell>
          <cell r="E720" t="str">
            <v>Far North</v>
          </cell>
          <cell r="F720" t="str">
            <v>Maroua-Ouro-Bah</v>
          </cell>
          <cell r="G720" t="str">
            <v>P3</v>
          </cell>
          <cell r="H720" t="str">
            <v>Grid-Gen</v>
          </cell>
          <cell r="I720" t="str">
            <v>On Air</v>
          </cell>
          <cell r="J720" t="str">
            <v>Outdoor</v>
          </cell>
          <cell r="K720" t="str">
            <v>AC</v>
          </cell>
          <cell r="L720" t="str">
            <v>I-Eng</v>
          </cell>
          <cell r="M720" t="str">
            <v>Maroua</v>
          </cell>
          <cell r="N720" t="str">
            <v>Diamare</v>
          </cell>
          <cell r="O720" t="str">
            <v>COMMUNE MAROUA 3</v>
          </cell>
          <cell r="P720" t="str">
            <v>Idrissou Yaouba</v>
          </cell>
          <cell r="Q720">
            <v>677549821</v>
          </cell>
          <cell r="R720">
            <v>655999821</v>
          </cell>
          <cell r="S720" t="str">
            <v>Alain Etoundi</v>
          </cell>
          <cell r="T720" t="str">
            <v>Valeur HOUELL</v>
          </cell>
          <cell r="U720" t="str">
            <v>I H S</v>
          </cell>
        </row>
        <row r="721">
          <cell r="A721" t="str">
            <v>EXN_030</v>
          </cell>
          <cell r="B721" t="str">
            <v>IHS_MAR_017</v>
          </cell>
          <cell r="C721" t="str">
            <v>EXN_030</v>
          </cell>
          <cell r="D721" t="str">
            <v>North</v>
          </cell>
          <cell r="E721" t="str">
            <v>Far North</v>
          </cell>
          <cell r="F721" t="str">
            <v>Doualare</v>
          </cell>
          <cell r="G721" t="str">
            <v>P3</v>
          </cell>
          <cell r="H721" t="str">
            <v>Solar-Grid-Gen</v>
          </cell>
          <cell r="I721" t="str">
            <v>On Air</v>
          </cell>
          <cell r="J721" t="str">
            <v>Indoor</v>
          </cell>
          <cell r="K721" t="str">
            <v>AC</v>
          </cell>
          <cell r="L721" t="str">
            <v>I-Eng</v>
          </cell>
          <cell r="M721" t="str">
            <v>Maroua</v>
          </cell>
          <cell r="N721" t="str">
            <v>Diamare</v>
          </cell>
          <cell r="O721" t="str">
            <v>COMMUNE MAROUA 2</v>
          </cell>
          <cell r="P721" t="str">
            <v>Idrissou Yaouba</v>
          </cell>
          <cell r="Q721">
            <v>677549821</v>
          </cell>
          <cell r="R721">
            <v>655999821</v>
          </cell>
          <cell r="S721" t="str">
            <v>Alain Etoundi</v>
          </cell>
          <cell r="T721" t="str">
            <v>Valeur HOUELL</v>
          </cell>
          <cell r="U721" t="str">
            <v>I H S</v>
          </cell>
        </row>
        <row r="722">
          <cell r="A722" t="str">
            <v>EXN_007</v>
          </cell>
          <cell r="B722" t="str">
            <v>IHS_MAR_088</v>
          </cell>
          <cell r="C722" t="str">
            <v>EXN_007</v>
          </cell>
          <cell r="D722" t="str">
            <v>North</v>
          </cell>
          <cell r="E722" t="str">
            <v>Far North</v>
          </cell>
          <cell r="F722" t="str">
            <v>Amchide</v>
          </cell>
          <cell r="G722" t="str">
            <v>P3</v>
          </cell>
          <cell r="H722" t="str">
            <v>Grid-Hybrid-Gen</v>
          </cell>
          <cell r="I722" t="str">
            <v>On Air</v>
          </cell>
          <cell r="J722" t="str">
            <v>Indoor</v>
          </cell>
          <cell r="K722" t="str">
            <v>AC</v>
          </cell>
          <cell r="L722" t="str">
            <v>I-Eng</v>
          </cell>
          <cell r="M722" t="str">
            <v>Maroua</v>
          </cell>
          <cell r="N722" t="str">
            <v>Mayo-Sava</v>
          </cell>
          <cell r="O722" t="str">
            <v>Mora</v>
          </cell>
          <cell r="P722" t="str">
            <v>Idrissou Yaouba</v>
          </cell>
          <cell r="Q722">
            <v>677549821</v>
          </cell>
          <cell r="R722">
            <v>655999821</v>
          </cell>
          <cell r="S722" t="str">
            <v>Alain Etoundi</v>
          </cell>
          <cell r="T722" t="str">
            <v>Valeur HOUELL</v>
          </cell>
          <cell r="U722" t="str">
            <v>I H S</v>
          </cell>
        </row>
        <row r="723">
          <cell r="A723" t="str">
            <v>EXN_053</v>
          </cell>
          <cell r="B723" t="str">
            <v>IHS_MAR_029</v>
          </cell>
          <cell r="C723" t="str">
            <v>EXN_053</v>
          </cell>
          <cell r="D723" t="str">
            <v>North</v>
          </cell>
          <cell r="E723" t="str">
            <v>Far North</v>
          </cell>
          <cell r="F723" t="str">
            <v>Kodek-Djarengol</v>
          </cell>
          <cell r="G723" t="str">
            <v>P3</v>
          </cell>
          <cell r="H723" t="str">
            <v>Grid-Gen</v>
          </cell>
          <cell r="I723" t="str">
            <v>On Air</v>
          </cell>
          <cell r="J723" t="str">
            <v>Outdoor</v>
          </cell>
          <cell r="K723" t="str">
            <v>AC</v>
          </cell>
          <cell r="L723" t="str">
            <v>I-Eng</v>
          </cell>
          <cell r="M723" t="str">
            <v>Maroua</v>
          </cell>
          <cell r="N723" t="str">
            <v>Diamare</v>
          </cell>
          <cell r="O723" t="str">
            <v>Maroua3</v>
          </cell>
          <cell r="P723" t="str">
            <v>Idrissou Yaouba</v>
          </cell>
          <cell r="Q723">
            <v>677549821</v>
          </cell>
          <cell r="R723">
            <v>655999821</v>
          </cell>
          <cell r="S723" t="str">
            <v>Alain Etoundi</v>
          </cell>
          <cell r="T723" t="str">
            <v>Valeur HOUELL</v>
          </cell>
          <cell r="U723" t="str">
            <v>I H S</v>
          </cell>
        </row>
        <row r="724">
          <cell r="A724" t="str">
            <v>EXN_092</v>
          </cell>
          <cell r="B724" t="str">
            <v>IHS_MAR_028</v>
          </cell>
          <cell r="C724" t="str">
            <v>EXN_092</v>
          </cell>
          <cell r="D724" t="str">
            <v>North</v>
          </cell>
          <cell r="E724" t="str">
            <v>Far North</v>
          </cell>
          <cell r="F724" t="str">
            <v>Maroua-Titouare(Ouro Tchédé)</v>
          </cell>
          <cell r="G724" t="str">
            <v>P3</v>
          </cell>
          <cell r="H724" t="str">
            <v>Grid-Gen</v>
          </cell>
          <cell r="I724" t="str">
            <v>On Air</v>
          </cell>
          <cell r="J724" t="str">
            <v>Outdoor</v>
          </cell>
          <cell r="K724" t="str">
            <v>AC</v>
          </cell>
          <cell r="L724" t="str">
            <v>I-Eng</v>
          </cell>
          <cell r="M724" t="str">
            <v>Maroua</v>
          </cell>
          <cell r="N724" t="str">
            <v>Diamare</v>
          </cell>
          <cell r="O724" t="str">
            <v>Maroua1</v>
          </cell>
          <cell r="P724" t="str">
            <v>Idrissou Yaouba</v>
          </cell>
          <cell r="Q724">
            <v>677549821</v>
          </cell>
          <cell r="R724">
            <v>655999821</v>
          </cell>
          <cell r="S724" t="str">
            <v>Alain Etoundi</v>
          </cell>
          <cell r="T724" t="str">
            <v>Valeur HOUELL</v>
          </cell>
          <cell r="U724" t="str">
            <v>I H S</v>
          </cell>
        </row>
        <row r="725">
          <cell r="A725" t="str">
            <v>EXN_086</v>
          </cell>
          <cell r="B725" t="str">
            <v>IHS_MAR_024</v>
          </cell>
          <cell r="C725" t="str">
            <v>EXN_086</v>
          </cell>
          <cell r="D725" t="str">
            <v>North</v>
          </cell>
          <cell r="E725" t="str">
            <v>Far North</v>
          </cell>
          <cell r="F725" t="str">
            <v>Maroua-Titouare-II</v>
          </cell>
          <cell r="G725" t="str">
            <v>P3</v>
          </cell>
          <cell r="H725" t="str">
            <v>Grid-Gen</v>
          </cell>
          <cell r="I725" t="str">
            <v>On Air</v>
          </cell>
          <cell r="J725" t="str">
            <v>Outdoor</v>
          </cell>
          <cell r="K725" t="str">
            <v>AC</v>
          </cell>
          <cell r="L725" t="str">
            <v>I-Eng</v>
          </cell>
          <cell r="M725" t="str">
            <v>Maroua</v>
          </cell>
          <cell r="N725" t="str">
            <v>Diamare</v>
          </cell>
          <cell r="O725" t="str">
            <v>COMMUNE MAROUA 1</v>
          </cell>
          <cell r="P725" t="str">
            <v>Idrissou Yaouba</v>
          </cell>
          <cell r="Q725">
            <v>677549821</v>
          </cell>
          <cell r="R725">
            <v>655999821</v>
          </cell>
          <cell r="S725" t="str">
            <v>Alain Etoundi</v>
          </cell>
          <cell r="T725" t="str">
            <v>Valeur HOUELL</v>
          </cell>
          <cell r="U725" t="str">
            <v>I H S</v>
          </cell>
        </row>
        <row r="726">
          <cell r="A726" t="str">
            <v>EXN_002</v>
          </cell>
          <cell r="B726" t="str">
            <v>IHS_MAR_007</v>
          </cell>
          <cell r="C726" t="str">
            <v>EXN_002</v>
          </cell>
          <cell r="D726" t="str">
            <v>North</v>
          </cell>
          <cell r="E726" t="str">
            <v>Far North</v>
          </cell>
          <cell r="F726" t="str">
            <v>Douggoy</v>
          </cell>
          <cell r="G726" t="str">
            <v>P3</v>
          </cell>
          <cell r="H726" t="str">
            <v>Grid-Gen</v>
          </cell>
          <cell r="I726" t="str">
            <v>On Air</v>
          </cell>
          <cell r="J726" t="str">
            <v>Indoor</v>
          </cell>
          <cell r="K726" t="str">
            <v>AC</v>
          </cell>
          <cell r="L726" t="str">
            <v>I-Eng</v>
          </cell>
          <cell r="M726" t="str">
            <v>Maroua</v>
          </cell>
          <cell r="N726" t="str">
            <v>Diamare</v>
          </cell>
          <cell r="O726" t="str">
            <v>Maroua3</v>
          </cell>
          <cell r="P726" t="str">
            <v>Idrissou Yaouba</v>
          </cell>
          <cell r="Q726">
            <v>677549821</v>
          </cell>
          <cell r="R726">
            <v>655999821</v>
          </cell>
          <cell r="S726" t="str">
            <v>Alain Etoundi</v>
          </cell>
          <cell r="T726" t="str">
            <v>Valeur HOUELL</v>
          </cell>
          <cell r="U726" t="str">
            <v>I H S</v>
          </cell>
        </row>
        <row r="727">
          <cell r="A727" t="str">
            <v>EXN_014</v>
          </cell>
          <cell r="B727" t="str">
            <v>IHS_MAR_052</v>
          </cell>
          <cell r="C727" t="str">
            <v>EXN_014</v>
          </cell>
          <cell r="D727" t="str">
            <v>North</v>
          </cell>
          <cell r="E727" t="str">
            <v>Far North</v>
          </cell>
          <cell r="F727" t="str">
            <v>Maga</v>
          </cell>
          <cell r="G727" t="str">
            <v>P3</v>
          </cell>
          <cell r="H727" t="str">
            <v>Grid-Gen</v>
          </cell>
          <cell r="I727" t="str">
            <v>On Air</v>
          </cell>
          <cell r="J727" t="str">
            <v>Indoor</v>
          </cell>
          <cell r="K727" t="str">
            <v>AC</v>
          </cell>
          <cell r="L727" t="str">
            <v>I-Eng</v>
          </cell>
          <cell r="M727" t="str">
            <v>Maroua</v>
          </cell>
          <cell r="N727" t="str">
            <v>Mayo-Danay</v>
          </cell>
          <cell r="O727" t="str">
            <v>Maga</v>
          </cell>
          <cell r="P727" t="str">
            <v>Idrissou Yaouba</v>
          </cell>
          <cell r="Q727">
            <v>677549821</v>
          </cell>
          <cell r="R727">
            <v>655999821</v>
          </cell>
          <cell r="S727" t="str">
            <v>Alain Etoundi</v>
          </cell>
          <cell r="T727" t="str">
            <v>Valeur HOUELL</v>
          </cell>
          <cell r="U727" t="str">
            <v>I H S</v>
          </cell>
        </row>
        <row r="728">
          <cell r="A728" t="str">
            <v>EXN_055</v>
          </cell>
          <cell r="B728" t="str">
            <v>IHS_MAR_027</v>
          </cell>
          <cell r="C728" t="str">
            <v>EXN_055</v>
          </cell>
          <cell r="D728" t="str">
            <v>North</v>
          </cell>
          <cell r="E728" t="str">
            <v>Far North</v>
          </cell>
          <cell r="F728" t="str">
            <v>Palar</v>
          </cell>
          <cell r="G728" t="str">
            <v>P3</v>
          </cell>
          <cell r="H728" t="str">
            <v>Grid-Gen</v>
          </cell>
          <cell r="I728" t="str">
            <v>On Air</v>
          </cell>
          <cell r="J728" t="str">
            <v>Outdoor</v>
          </cell>
          <cell r="K728" t="str">
            <v>AC</v>
          </cell>
          <cell r="L728" t="str">
            <v>I-Eng</v>
          </cell>
          <cell r="M728" t="str">
            <v>Maroua</v>
          </cell>
          <cell r="N728" t="str">
            <v>Diamare</v>
          </cell>
          <cell r="O728" t="str">
            <v>Maroua1</v>
          </cell>
          <cell r="P728" t="str">
            <v>Idrissou Yaouba</v>
          </cell>
          <cell r="Q728">
            <v>677549821</v>
          </cell>
          <cell r="R728">
            <v>655999821</v>
          </cell>
          <cell r="S728" t="str">
            <v>Alain Etoundi</v>
          </cell>
          <cell r="T728" t="str">
            <v>Valeur HOUELL</v>
          </cell>
          <cell r="U728" t="str">
            <v>I H S</v>
          </cell>
        </row>
        <row r="729">
          <cell r="A729" t="str">
            <v>EXN_067</v>
          </cell>
          <cell r="B729" t="str">
            <v>IHS_MAR_018</v>
          </cell>
          <cell r="C729" t="str">
            <v>EXN_067</v>
          </cell>
          <cell r="D729" t="str">
            <v>North</v>
          </cell>
          <cell r="E729" t="str">
            <v>Far North</v>
          </cell>
          <cell r="F729" t="str">
            <v>Maroua-Doursogo</v>
          </cell>
          <cell r="G729" t="str">
            <v>P3</v>
          </cell>
          <cell r="H729" t="str">
            <v>Grid-Gen</v>
          </cell>
          <cell r="I729" t="str">
            <v>On Air</v>
          </cell>
          <cell r="J729" t="str">
            <v>Outdoor</v>
          </cell>
          <cell r="K729" t="str">
            <v>AC</v>
          </cell>
          <cell r="L729" t="str">
            <v>I-Eng</v>
          </cell>
          <cell r="M729" t="str">
            <v>Maroua</v>
          </cell>
          <cell r="N729" t="str">
            <v>Diamare</v>
          </cell>
          <cell r="O729" t="str">
            <v>Maroua3</v>
          </cell>
          <cell r="P729" t="str">
            <v>Idrissou Yaouba</v>
          </cell>
          <cell r="Q729">
            <v>677549821</v>
          </cell>
          <cell r="R729">
            <v>655999821</v>
          </cell>
          <cell r="S729" t="str">
            <v>Alain Etoundi</v>
          </cell>
          <cell r="T729" t="str">
            <v>Valeur HOUELL</v>
          </cell>
          <cell r="U729" t="str">
            <v>I H S</v>
          </cell>
        </row>
        <row r="730">
          <cell r="A730" t="str">
            <v>EXN_046</v>
          </cell>
          <cell r="B730" t="str">
            <v>IHS_MAR_033</v>
          </cell>
          <cell r="C730" t="str">
            <v>EXN_046</v>
          </cell>
          <cell r="D730" t="str">
            <v>North</v>
          </cell>
          <cell r="E730" t="str">
            <v>Far North</v>
          </cell>
          <cell r="F730" t="str">
            <v>Bellare</v>
          </cell>
          <cell r="G730" t="str">
            <v>P3</v>
          </cell>
          <cell r="H730" t="str">
            <v>Solar-Grid-Gen</v>
          </cell>
          <cell r="I730" t="str">
            <v>On Air</v>
          </cell>
          <cell r="J730" t="str">
            <v>Outdoor</v>
          </cell>
          <cell r="K730" t="str">
            <v>AC</v>
          </cell>
          <cell r="L730" t="str">
            <v>I-Eng</v>
          </cell>
          <cell r="M730" t="str">
            <v>Maroua</v>
          </cell>
          <cell r="N730" t="str">
            <v>Diamare</v>
          </cell>
          <cell r="O730" t="str">
            <v>Maroua1</v>
          </cell>
          <cell r="P730" t="str">
            <v>Idrissou Yaouba</v>
          </cell>
          <cell r="Q730">
            <v>677549821</v>
          </cell>
          <cell r="R730">
            <v>655999821</v>
          </cell>
          <cell r="S730" t="str">
            <v>Alain Etoundi</v>
          </cell>
          <cell r="T730" t="str">
            <v>Valeur HOUELL</v>
          </cell>
          <cell r="U730" t="str">
            <v>I H S</v>
          </cell>
        </row>
        <row r="731">
          <cell r="A731" t="str">
            <v>EXN_036</v>
          </cell>
          <cell r="B731" t="str">
            <v>IHS_MAR_036</v>
          </cell>
          <cell r="C731" t="str">
            <v>EXN_036</v>
          </cell>
          <cell r="D731" t="str">
            <v>North</v>
          </cell>
          <cell r="E731" t="str">
            <v>Far North</v>
          </cell>
          <cell r="F731" t="str">
            <v>Balaza</v>
          </cell>
          <cell r="G731" t="str">
            <v>P3</v>
          </cell>
          <cell r="H731" t="str">
            <v>Solar-Grid-Gen</v>
          </cell>
          <cell r="I731" t="str">
            <v>On Air</v>
          </cell>
          <cell r="J731" t="str">
            <v>Outdoor</v>
          </cell>
          <cell r="K731" t="str">
            <v>AC</v>
          </cell>
          <cell r="L731" t="str">
            <v>I-Eng</v>
          </cell>
          <cell r="M731" t="str">
            <v>Maroua</v>
          </cell>
          <cell r="N731" t="str">
            <v>Diamare</v>
          </cell>
          <cell r="O731" t="str">
            <v>Maroua3</v>
          </cell>
          <cell r="P731" t="str">
            <v>Idrissou Yaouba</v>
          </cell>
          <cell r="Q731">
            <v>677549821</v>
          </cell>
          <cell r="R731">
            <v>655999821</v>
          </cell>
          <cell r="S731" t="str">
            <v>Alain Etoundi</v>
          </cell>
          <cell r="T731" t="str">
            <v>Valeur HOUELL</v>
          </cell>
          <cell r="U731" t="str">
            <v>I H S</v>
          </cell>
        </row>
        <row r="732">
          <cell r="A732" t="str">
            <v>EXN_101</v>
          </cell>
          <cell r="B732" t="str">
            <v>IHS_MAR_026</v>
          </cell>
          <cell r="C732" t="str">
            <v>EXN_101</v>
          </cell>
          <cell r="D732" t="str">
            <v>North</v>
          </cell>
          <cell r="E732" t="str">
            <v>Far North</v>
          </cell>
          <cell r="F732" t="str">
            <v>Djarengol-Delegue-IHS</v>
          </cell>
          <cell r="G732" t="str">
            <v>P3</v>
          </cell>
          <cell r="H732" t="str">
            <v>Grid-Gen</v>
          </cell>
          <cell r="I732" t="str">
            <v>On Air</v>
          </cell>
          <cell r="J732" t="str">
            <v>Outdoor</v>
          </cell>
          <cell r="K732" t="str">
            <v>AC</v>
          </cell>
          <cell r="L732" t="str">
            <v>I-Eng</v>
          </cell>
          <cell r="M732" t="str">
            <v>Maroua</v>
          </cell>
          <cell r="N732" t="str">
            <v>Diamare</v>
          </cell>
          <cell r="O732" t="str">
            <v>Maroua1</v>
          </cell>
          <cell r="P732" t="str">
            <v>Idrissou Yaouba</v>
          </cell>
          <cell r="Q732">
            <v>677549821</v>
          </cell>
          <cell r="R732">
            <v>655999821</v>
          </cell>
          <cell r="S732" t="str">
            <v>Alain Etoundi</v>
          </cell>
          <cell r="T732" t="str">
            <v>Valeur HOUELL</v>
          </cell>
          <cell r="U732" t="str">
            <v>I H S</v>
          </cell>
        </row>
        <row r="733">
          <cell r="A733" t="str">
            <v>EXN_190</v>
          </cell>
          <cell r="B733" t="str">
            <v>IHS_MAR_207</v>
          </cell>
          <cell r="C733" t="str">
            <v>EXN_190</v>
          </cell>
          <cell r="D733" t="str">
            <v>North</v>
          </cell>
          <cell r="E733" t="str">
            <v>Far North</v>
          </cell>
          <cell r="F733" t="str">
            <v>Dargala-new</v>
          </cell>
          <cell r="G733" t="str">
            <v>P3</v>
          </cell>
          <cell r="H733" t="str">
            <v>Grid-Gen</v>
          </cell>
          <cell r="I733" t="str">
            <v>On Air</v>
          </cell>
          <cell r="J733" t="str">
            <v>Outdoor</v>
          </cell>
          <cell r="K733" t="str">
            <v>AC</v>
          </cell>
          <cell r="L733" t="str">
            <v>I-Eng</v>
          </cell>
          <cell r="M733" t="str">
            <v>Maroua</v>
          </cell>
          <cell r="N733" t="str">
            <v>Diamare</v>
          </cell>
          <cell r="O733" t="str">
            <v>Dargala</v>
          </cell>
          <cell r="P733" t="str">
            <v>Idrissou Yaouba</v>
          </cell>
          <cell r="Q733">
            <v>677549821</v>
          </cell>
          <cell r="R733">
            <v>655999821</v>
          </cell>
          <cell r="S733" t="str">
            <v>Alain Etoundi</v>
          </cell>
          <cell r="T733" t="str">
            <v>Valeur HOUELL</v>
          </cell>
          <cell r="U733" t="str">
            <v>I H S</v>
          </cell>
        </row>
        <row r="734">
          <cell r="A734" t="str">
            <v>EXN_106</v>
          </cell>
          <cell r="B734" t="str">
            <v>IHS_MAR_069</v>
          </cell>
          <cell r="C734" t="str">
            <v>EXN_106</v>
          </cell>
          <cell r="D734" t="str">
            <v>North</v>
          </cell>
          <cell r="E734" t="str">
            <v>Far North</v>
          </cell>
          <cell r="F734" t="str">
            <v>Mora-IHS</v>
          </cell>
          <cell r="G734" t="str">
            <v>P3</v>
          </cell>
          <cell r="H734" t="str">
            <v>Grid-Gen</v>
          </cell>
          <cell r="I734" t="str">
            <v>On Air</v>
          </cell>
          <cell r="J734" t="str">
            <v>Indoor</v>
          </cell>
          <cell r="K734" t="str">
            <v>AC</v>
          </cell>
          <cell r="L734" t="str">
            <v>I-Eng</v>
          </cell>
          <cell r="M734" t="str">
            <v>Maroua</v>
          </cell>
          <cell r="N734" t="str">
            <v>Mayo-Sava</v>
          </cell>
          <cell r="O734" t="str">
            <v>Mora</v>
          </cell>
          <cell r="P734" t="str">
            <v>Idrissou Yaouba</v>
          </cell>
          <cell r="Q734">
            <v>677549821</v>
          </cell>
          <cell r="R734">
            <v>655999821</v>
          </cell>
          <cell r="S734" t="str">
            <v>Alain Etoundi</v>
          </cell>
          <cell r="T734" t="str">
            <v>Valeur HOUELL</v>
          </cell>
          <cell r="U734" t="str">
            <v>I H S</v>
          </cell>
        </row>
        <row r="735">
          <cell r="A735" t="str">
            <v>EXN_098</v>
          </cell>
          <cell r="B735" t="str">
            <v>IHS_MAR_051</v>
          </cell>
          <cell r="C735" t="str">
            <v>EXN_098</v>
          </cell>
          <cell r="D735" t="str">
            <v>North</v>
          </cell>
          <cell r="E735" t="str">
            <v>Far North</v>
          </cell>
          <cell r="F735" t="str">
            <v>Guirvidig</v>
          </cell>
          <cell r="G735" t="str">
            <v>P3</v>
          </cell>
          <cell r="H735" t="str">
            <v>Grid-Gen</v>
          </cell>
          <cell r="I735" t="str">
            <v>On Air</v>
          </cell>
          <cell r="J735" t="str">
            <v>Outdoor</v>
          </cell>
          <cell r="K735" t="str">
            <v>AC</v>
          </cell>
          <cell r="L735" t="str">
            <v>I-Eng</v>
          </cell>
          <cell r="M735" t="str">
            <v>Maroua</v>
          </cell>
          <cell r="N735" t="str">
            <v>Mayo-Danay</v>
          </cell>
          <cell r="O735" t="str">
            <v>Maga</v>
          </cell>
          <cell r="P735" t="str">
            <v>Idrissou Yaouba</v>
          </cell>
          <cell r="Q735">
            <v>677549821</v>
          </cell>
          <cell r="R735">
            <v>655999821</v>
          </cell>
          <cell r="S735" t="str">
            <v>Alain Etoundi</v>
          </cell>
          <cell r="T735" t="str">
            <v>Valeur HOUELL</v>
          </cell>
          <cell r="U735" t="str">
            <v>I H S</v>
          </cell>
        </row>
        <row r="736">
          <cell r="A736" t="str">
            <v>NRD_070</v>
          </cell>
          <cell r="B736" t="str">
            <v>IHS_GAR_060</v>
          </cell>
          <cell r="C736" t="str">
            <v>NRD_070</v>
          </cell>
          <cell r="D736" t="str">
            <v>North</v>
          </cell>
          <cell r="E736" t="str">
            <v>North</v>
          </cell>
          <cell r="F736" t="str">
            <v>Kong-kong-IHS</v>
          </cell>
          <cell r="G736" t="str">
            <v>P3</v>
          </cell>
          <cell r="H736" t="str">
            <v>Solar-Gen</v>
          </cell>
          <cell r="I736" t="str">
            <v>On Air</v>
          </cell>
          <cell r="J736" t="str">
            <v>Outdoor</v>
          </cell>
          <cell r="K736" t="str">
            <v>AC</v>
          </cell>
          <cell r="L736" t="str">
            <v>I-Eng</v>
          </cell>
          <cell r="M736" t="str">
            <v>Maroua 1</v>
          </cell>
          <cell r="N736" t="str">
            <v>MAYO- LOUTI</v>
          </cell>
          <cell r="O736" t="str">
            <v>Guider</v>
          </cell>
          <cell r="P736" t="str">
            <v>Idrissou Yaouba</v>
          </cell>
          <cell r="Q736">
            <v>677549821</v>
          </cell>
          <cell r="R736">
            <v>655999821</v>
          </cell>
          <cell r="S736" t="str">
            <v>Alain Etoundi</v>
          </cell>
          <cell r="T736" t="str">
            <v>Valeur HOUELL</v>
          </cell>
          <cell r="U736" t="str">
            <v>I H S</v>
          </cell>
        </row>
        <row r="737">
          <cell r="A737" t="str">
            <v>EXN_169</v>
          </cell>
          <cell r="B737" t="str">
            <v>IHS_MAR_341</v>
          </cell>
          <cell r="C737" t="str">
            <v>EXN_169</v>
          </cell>
          <cell r="D737" t="str">
            <v>North</v>
          </cell>
          <cell r="E737" t="str">
            <v>Far North</v>
          </cell>
          <cell r="F737" t="str">
            <v>MEME II</v>
          </cell>
          <cell r="G737" t="str">
            <v>P4</v>
          </cell>
          <cell r="H737" t="str">
            <v>Grid-Gen</v>
          </cell>
          <cell r="I737" t="str">
            <v>On Air</v>
          </cell>
          <cell r="J737" t="str">
            <v>Outdoor</v>
          </cell>
          <cell r="K737" t="str">
            <v>AC</v>
          </cell>
          <cell r="L737" t="str">
            <v>I-Eng</v>
          </cell>
          <cell r="M737" t="str">
            <v>Maroua</v>
          </cell>
          <cell r="N737" t="str">
            <v>Mayo-Sava</v>
          </cell>
          <cell r="O737" t="str">
            <v>Mora</v>
          </cell>
          <cell r="P737" t="str">
            <v>Idrissou Yaouba</v>
          </cell>
          <cell r="Q737">
            <v>677549821</v>
          </cell>
          <cell r="R737">
            <v>655999821</v>
          </cell>
          <cell r="S737" t="str">
            <v>Alain Etoundi</v>
          </cell>
          <cell r="T737" t="str">
            <v>Valeur HOUELL</v>
          </cell>
          <cell r="U737" t="str">
            <v>I H S</v>
          </cell>
        </row>
        <row r="738">
          <cell r="A738" t="str">
            <v>EXN_171</v>
          </cell>
          <cell r="B738" t="str">
            <v>IHS_MAR_365</v>
          </cell>
          <cell r="C738" t="str">
            <v>EXN_171</v>
          </cell>
          <cell r="D738" t="str">
            <v>North</v>
          </cell>
          <cell r="E738" t="str">
            <v>Far North</v>
          </cell>
          <cell r="F738" t="str">
            <v>Dogba</v>
          </cell>
          <cell r="G738" t="str">
            <v>P4</v>
          </cell>
          <cell r="H738" t="str">
            <v>Gen Only</v>
          </cell>
          <cell r="I738" t="str">
            <v>On Air</v>
          </cell>
          <cell r="J738" t="str">
            <v>Outdoor</v>
          </cell>
          <cell r="K738" t="str">
            <v>AC</v>
          </cell>
          <cell r="L738" t="str">
            <v>I-Eng</v>
          </cell>
          <cell r="M738" t="str">
            <v>Maroua</v>
          </cell>
          <cell r="N738" t="str">
            <v>Diamare</v>
          </cell>
          <cell r="O738" t="str">
            <v>Maroua2</v>
          </cell>
          <cell r="P738" t="str">
            <v>Idrissou Yaouba</v>
          </cell>
          <cell r="Q738">
            <v>677549821</v>
          </cell>
          <cell r="R738">
            <v>655999821</v>
          </cell>
          <cell r="S738" t="str">
            <v>Alain Etoundi</v>
          </cell>
          <cell r="T738" t="str">
            <v>Valeur HOUELL</v>
          </cell>
          <cell r="U738" t="str">
            <v>I H S</v>
          </cell>
        </row>
        <row r="739">
          <cell r="A739" t="str">
            <v>NRD_092</v>
          </cell>
          <cell r="B739" t="str">
            <v>IHS_GAR_89</v>
          </cell>
          <cell r="C739" t="str">
            <v>NRD_092</v>
          </cell>
          <cell r="D739" t="str">
            <v>North</v>
          </cell>
          <cell r="E739" t="str">
            <v>North</v>
          </cell>
          <cell r="F739" t="str">
            <v>BOUDVA</v>
          </cell>
          <cell r="G739" t="str">
            <v>P4</v>
          </cell>
          <cell r="H739" t="str">
            <v>Gen Only</v>
          </cell>
          <cell r="I739" t="str">
            <v>On Air</v>
          </cell>
          <cell r="J739" t="str">
            <v>Outdoor</v>
          </cell>
          <cell r="K739" t="str">
            <v>AC</v>
          </cell>
          <cell r="L739" t="str">
            <v>I-Eng</v>
          </cell>
          <cell r="M739" t="str">
            <v>Maroua 1</v>
          </cell>
          <cell r="N739" t="str">
            <v>MAYO- LOUTI</v>
          </cell>
          <cell r="O739" t="str">
            <v>Guider</v>
          </cell>
          <cell r="P739" t="str">
            <v>Idrissou Yaouba</v>
          </cell>
          <cell r="Q739">
            <v>677549821</v>
          </cell>
          <cell r="R739">
            <v>655999821</v>
          </cell>
          <cell r="S739" t="str">
            <v>Alain Etoundi</v>
          </cell>
          <cell r="T739" t="str">
            <v>Valeur HOUELL</v>
          </cell>
          <cell r="U739" t="str">
            <v>I H S</v>
          </cell>
        </row>
        <row r="740">
          <cell r="A740" t="str">
            <v>EXN_145</v>
          </cell>
          <cell r="B740" t="str">
            <v>IHS_MAR_336</v>
          </cell>
          <cell r="C740" t="str">
            <v>EXN_145</v>
          </cell>
          <cell r="D740" t="str">
            <v>North</v>
          </cell>
          <cell r="E740" t="str">
            <v>Far North</v>
          </cell>
          <cell r="F740" t="str">
            <v>maroua Pitouare</v>
          </cell>
          <cell r="G740" t="str">
            <v>P4</v>
          </cell>
          <cell r="H740" t="str">
            <v>Grid-Gen</v>
          </cell>
          <cell r="I740" t="str">
            <v>On Air</v>
          </cell>
          <cell r="J740" t="str">
            <v>Outdoor</v>
          </cell>
          <cell r="K740" t="str">
            <v>AC</v>
          </cell>
          <cell r="L740" t="str">
            <v>I-Eng</v>
          </cell>
          <cell r="M740" t="str">
            <v>Maroua</v>
          </cell>
          <cell r="N740" t="str">
            <v>Diamare</v>
          </cell>
          <cell r="O740" t="str">
            <v>Maroua1</v>
          </cell>
          <cell r="P740" t="str">
            <v>Idrissou Yaouba</v>
          </cell>
          <cell r="Q740">
            <v>677549821</v>
          </cell>
          <cell r="R740">
            <v>655999821</v>
          </cell>
          <cell r="S740" t="str">
            <v>Alain Etoundi</v>
          </cell>
          <cell r="T740" t="str">
            <v>Valeur HOUELL</v>
          </cell>
          <cell r="U740" t="str">
            <v>I H S</v>
          </cell>
        </row>
        <row r="741">
          <cell r="A741" t="str">
            <v>EXN_184</v>
          </cell>
          <cell r="B741" t="str">
            <v>IHS_MAR_366</v>
          </cell>
          <cell r="C741" t="str">
            <v>EXN_184</v>
          </cell>
          <cell r="D741" t="str">
            <v>North</v>
          </cell>
          <cell r="E741" t="str">
            <v>Far North</v>
          </cell>
          <cell r="F741" t="str">
            <v>Maroua ouro Bah II</v>
          </cell>
          <cell r="G741" t="str">
            <v>P4</v>
          </cell>
          <cell r="H741" t="str">
            <v>Grid-Gen</v>
          </cell>
          <cell r="I741" t="str">
            <v>On Air</v>
          </cell>
          <cell r="J741" t="str">
            <v>Outdoor</v>
          </cell>
          <cell r="K741" t="str">
            <v>AC</v>
          </cell>
          <cell r="L741" t="str">
            <v>I-Eng</v>
          </cell>
          <cell r="M741" t="str">
            <v>Maroua</v>
          </cell>
          <cell r="N741" t="str">
            <v>Diamare</v>
          </cell>
          <cell r="O741" t="str">
            <v>Maroua3</v>
          </cell>
          <cell r="P741" t="str">
            <v>Idrissou Yaouba</v>
          </cell>
          <cell r="Q741">
            <v>677549821</v>
          </cell>
          <cell r="R741">
            <v>655999821</v>
          </cell>
          <cell r="S741" t="str">
            <v>Alain Etoundi</v>
          </cell>
          <cell r="T741" t="str">
            <v>Valeur HOUELL</v>
          </cell>
          <cell r="U741" t="str">
            <v>I H S</v>
          </cell>
        </row>
        <row r="742">
          <cell r="A742" t="str">
            <v>EXN_143</v>
          </cell>
          <cell r="B742" t="str">
            <v>IHS_MAR_334</v>
          </cell>
          <cell r="C742" t="str">
            <v>EXN_143</v>
          </cell>
          <cell r="D742" t="str">
            <v>North</v>
          </cell>
          <cell r="E742" t="str">
            <v>Far North</v>
          </cell>
          <cell r="F742" t="str">
            <v>Maroua Djarengol</v>
          </cell>
          <cell r="G742" t="str">
            <v>P4</v>
          </cell>
          <cell r="H742" t="str">
            <v>Solar-Grid-Gen</v>
          </cell>
          <cell r="I742" t="str">
            <v>On Air</v>
          </cell>
          <cell r="J742" t="str">
            <v>Outdoor</v>
          </cell>
          <cell r="K742" t="str">
            <v>AC</v>
          </cell>
          <cell r="L742" t="str">
            <v>I-Eng</v>
          </cell>
          <cell r="M742" t="str">
            <v>Maroua</v>
          </cell>
          <cell r="N742" t="str">
            <v>Diamare</v>
          </cell>
          <cell r="O742" t="str">
            <v>Maroua3</v>
          </cell>
          <cell r="P742" t="str">
            <v>Idrissou Yaouba</v>
          </cell>
          <cell r="Q742">
            <v>677549821</v>
          </cell>
          <cell r="R742">
            <v>655999821</v>
          </cell>
          <cell r="S742" t="str">
            <v>Alain Etoundi</v>
          </cell>
          <cell r="T742" t="str">
            <v>Valeur HOUELL</v>
          </cell>
          <cell r="U742" t="str">
            <v>I H S</v>
          </cell>
        </row>
        <row r="743">
          <cell r="A743" t="str">
            <v>EXN_147</v>
          </cell>
          <cell r="B743" t="str">
            <v>IHS_MAR_337</v>
          </cell>
          <cell r="C743" t="str">
            <v>EXN_147</v>
          </cell>
          <cell r="D743" t="str">
            <v>North</v>
          </cell>
          <cell r="E743" t="str">
            <v>Far North</v>
          </cell>
          <cell r="F743" t="str">
            <v>Maroua Zikirou</v>
          </cell>
          <cell r="G743" t="str">
            <v>P4</v>
          </cell>
          <cell r="H743" t="str">
            <v>Grid-Gen</v>
          </cell>
          <cell r="I743" t="str">
            <v>On Air</v>
          </cell>
          <cell r="J743" t="str">
            <v>Outdoor</v>
          </cell>
          <cell r="K743" t="str">
            <v>AC</v>
          </cell>
          <cell r="L743" t="str">
            <v>I-Eng</v>
          </cell>
          <cell r="M743" t="str">
            <v>Maroua</v>
          </cell>
          <cell r="N743" t="str">
            <v>Diamare</v>
          </cell>
          <cell r="O743" t="str">
            <v>Maroua1</v>
          </cell>
          <cell r="P743" t="str">
            <v>Idrissou Yaouba</v>
          </cell>
          <cell r="Q743">
            <v>677549821</v>
          </cell>
          <cell r="R743">
            <v>655999821</v>
          </cell>
          <cell r="S743" t="str">
            <v>Alain Etoundi</v>
          </cell>
          <cell r="T743" t="str">
            <v>Valeur HOUELL</v>
          </cell>
          <cell r="U743" t="str">
            <v>I H S</v>
          </cell>
        </row>
        <row r="744">
          <cell r="A744" t="str">
            <v>EXN_117</v>
          </cell>
          <cell r="B744" t="str">
            <v>IHS_MAR_206</v>
          </cell>
          <cell r="C744" t="str">
            <v>EXN_117</v>
          </cell>
          <cell r="D744" t="str">
            <v>North</v>
          </cell>
          <cell r="E744" t="str">
            <v>Far North</v>
          </cell>
          <cell r="F744" t="str">
            <v>Maroua-University</v>
          </cell>
          <cell r="G744" t="str">
            <v>P4</v>
          </cell>
          <cell r="H744" t="str">
            <v>Grid-Gen</v>
          </cell>
          <cell r="I744" t="str">
            <v>On Air</v>
          </cell>
          <cell r="J744" t="str">
            <v>Outdoor</v>
          </cell>
          <cell r="K744" t="str">
            <v>AC</v>
          </cell>
          <cell r="L744" t="str">
            <v>I-Eng</v>
          </cell>
          <cell r="M744" t="str">
            <v>Maroua</v>
          </cell>
          <cell r="N744" t="str">
            <v>Diamare</v>
          </cell>
          <cell r="O744" t="str">
            <v>Maroua3</v>
          </cell>
          <cell r="P744" t="str">
            <v>Idrissou Yaouba</v>
          </cell>
          <cell r="Q744">
            <v>677549821</v>
          </cell>
          <cell r="R744">
            <v>655999821</v>
          </cell>
          <cell r="S744" t="str">
            <v>Alain Etoundi</v>
          </cell>
          <cell r="T744" t="str">
            <v>Valeur HOUELL</v>
          </cell>
          <cell r="U744" t="str">
            <v>I H S</v>
          </cell>
        </row>
        <row r="745">
          <cell r="A745" t="str">
            <v>EXN_091</v>
          </cell>
          <cell r="B745" t="str">
            <v>IHS_MAR_009</v>
          </cell>
          <cell r="C745" t="str">
            <v>EXN_091</v>
          </cell>
          <cell r="D745" t="str">
            <v>North</v>
          </cell>
          <cell r="E745" t="str">
            <v>Far North</v>
          </cell>
          <cell r="F745" t="str">
            <v>Maroua-Stade-Domayo(Hardé)</v>
          </cell>
          <cell r="G745" t="str">
            <v>P4</v>
          </cell>
          <cell r="H745" t="str">
            <v>Solar-Grid-Gen</v>
          </cell>
          <cell r="I745" t="str">
            <v>On Air</v>
          </cell>
          <cell r="J745" t="str">
            <v>Outdoor</v>
          </cell>
          <cell r="K745" t="str">
            <v>AC</v>
          </cell>
          <cell r="L745" t="str">
            <v>I-Eng</v>
          </cell>
          <cell r="M745" t="str">
            <v>Maroua</v>
          </cell>
          <cell r="N745" t="str">
            <v>Diamare</v>
          </cell>
          <cell r="O745" t="str">
            <v>Maroua1</v>
          </cell>
          <cell r="P745" t="str">
            <v>Idrissou Yaouba</v>
          </cell>
          <cell r="Q745">
            <v>677549821</v>
          </cell>
          <cell r="R745">
            <v>655999821</v>
          </cell>
          <cell r="S745" t="str">
            <v>Alain Etoundi</v>
          </cell>
          <cell r="T745" t="str">
            <v>Valeur HOUELL</v>
          </cell>
          <cell r="U745" t="str">
            <v>I H S</v>
          </cell>
        </row>
        <row r="746">
          <cell r="A746" t="str">
            <v>EXN_111</v>
          </cell>
          <cell r="B746" t="str">
            <v>IHS_MAR_205</v>
          </cell>
          <cell r="C746" t="str">
            <v>EXN_111</v>
          </cell>
          <cell r="D746" t="str">
            <v>North</v>
          </cell>
          <cell r="E746" t="str">
            <v>Far North</v>
          </cell>
          <cell r="F746" t="str">
            <v>Maroua-Doualare-II</v>
          </cell>
          <cell r="G746" t="str">
            <v>P4</v>
          </cell>
          <cell r="H746" t="str">
            <v>Grid-Gen</v>
          </cell>
          <cell r="I746" t="str">
            <v>On Air</v>
          </cell>
          <cell r="J746" t="str">
            <v>Outdoor</v>
          </cell>
          <cell r="K746" t="str">
            <v>AC</v>
          </cell>
          <cell r="L746" t="str">
            <v>I-Eng</v>
          </cell>
          <cell r="M746" t="str">
            <v>Maroua</v>
          </cell>
          <cell r="N746" t="str">
            <v>Diamare</v>
          </cell>
          <cell r="O746" t="str">
            <v>COMMUNE MAROUA 2</v>
          </cell>
          <cell r="P746" t="str">
            <v>Idrissou Yaouba</v>
          </cell>
          <cell r="Q746">
            <v>677549821</v>
          </cell>
          <cell r="R746">
            <v>655999821</v>
          </cell>
          <cell r="S746" t="str">
            <v>Alain Etoundi</v>
          </cell>
          <cell r="T746" t="str">
            <v>Valeur HOUELL</v>
          </cell>
          <cell r="U746" t="str">
            <v>I H S</v>
          </cell>
        </row>
        <row r="747">
          <cell r="A747" t="str">
            <v>EXN_114</v>
          </cell>
          <cell r="B747" t="str">
            <v>IHS_MAR_201</v>
          </cell>
          <cell r="C747" t="str">
            <v>EXN_114</v>
          </cell>
          <cell r="D747" t="str">
            <v>North</v>
          </cell>
          <cell r="E747" t="str">
            <v>Far North</v>
          </cell>
          <cell r="F747" t="str">
            <v>Maroua-Diguirwo-IHS</v>
          </cell>
          <cell r="G747" t="str">
            <v>P4</v>
          </cell>
          <cell r="H747" t="str">
            <v>Grid-Gen</v>
          </cell>
          <cell r="I747" t="str">
            <v>On Air</v>
          </cell>
          <cell r="J747" t="str">
            <v>Outdoor</v>
          </cell>
          <cell r="K747" t="str">
            <v>AC</v>
          </cell>
          <cell r="L747" t="str">
            <v>I-Eng</v>
          </cell>
          <cell r="M747" t="str">
            <v>Maroua</v>
          </cell>
          <cell r="N747" t="str">
            <v>Diamare</v>
          </cell>
          <cell r="O747" t="str">
            <v>Maroua2</v>
          </cell>
          <cell r="P747" t="str">
            <v>Idrissou Yaouba</v>
          </cell>
          <cell r="Q747">
            <v>677549821</v>
          </cell>
          <cell r="R747">
            <v>655999821</v>
          </cell>
          <cell r="S747" t="str">
            <v>Alain Etoundi</v>
          </cell>
          <cell r="T747" t="str">
            <v>Valeur HOUELL</v>
          </cell>
          <cell r="U747" t="str">
            <v>I H S</v>
          </cell>
        </row>
        <row r="748">
          <cell r="A748" t="str">
            <v>EXN_110</v>
          </cell>
          <cell r="B748" t="str">
            <v>IHS_MAR_218</v>
          </cell>
          <cell r="C748" t="str">
            <v>EXN_110</v>
          </cell>
          <cell r="D748" t="str">
            <v>North</v>
          </cell>
          <cell r="E748" t="str">
            <v>Far North</v>
          </cell>
          <cell r="F748" t="str">
            <v>Maga-Ville</v>
          </cell>
          <cell r="G748" t="str">
            <v>P4</v>
          </cell>
          <cell r="H748" t="str">
            <v>Hybrid-Gen</v>
          </cell>
          <cell r="I748" t="str">
            <v>On Air</v>
          </cell>
          <cell r="J748" t="str">
            <v>Outdoor</v>
          </cell>
          <cell r="K748" t="str">
            <v>AC</v>
          </cell>
          <cell r="L748" t="str">
            <v>I-Eng</v>
          </cell>
          <cell r="M748" t="str">
            <v>Maroua</v>
          </cell>
          <cell r="N748" t="str">
            <v>Mayo-Danay</v>
          </cell>
          <cell r="O748" t="str">
            <v>Maga</v>
          </cell>
          <cell r="P748" t="str">
            <v>Idrissou Yaouba</v>
          </cell>
          <cell r="Q748">
            <v>677549821</v>
          </cell>
          <cell r="R748">
            <v>655999821</v>
          </cell>
          <cell r="S748" t="str">
            <v>Alain Etoundi</v>
          </cell>
          <cell r="T748" t="str">
            <v>Valeur HOUELL</v>
          </cell>
          <cell r="U748" t="str">
            <v>I H S</v>
          </cell>
        </row>
        <row r="749">
          <cell r="A749" t="str">
            <v>EXN_015</v>
          </cell>
          <cell r="B749" t="str">
            <v>IHS_MAR_047</v>
          </cell>
          <cell r="C749" t="str">
            <v>EXN_015</v>
          </cell>
          <cell r="D749" t="str">
            <v>North</v>
          </cell>
          <cell r="E749" t="str">
            <v>Far North</v>
          </cell>
          <cell r="F749" t="str">
            <v>Tokombere</v>
          </cell>
          <cell r="G749" t="str">
            <v>P4</v>
          </cell>
          <cell r="H749" t="str">
            <v>Grid-Gen</v>
          </cell>
          <cell r="I749" t="str">
            <v>On Air</v>
          </cell>
          <cell r="J749" t="str">
            <v>Indoor</v>
          </cell>
          <cell r="K749" t="str">
            <v>AC</v>
          </cell>
          <cell r="L749" t="str">
            <v>I-Eng</v>
          </cell>
          <cell r="M749" t="str">
            <v>Maroua</v>
          </cell>
          <cell r="N749" t="str">
            <v>Mayo-Sava</v>
          </cell>
          <cell r="O749" t="str">
            <v>Tokombere</v>
          </cell>
          <cell r="P749" t="str">
            <v>Idrissou Yaouba</v>
          </cell>
          <cell r="Q749">
            <v>677549821</v>
          </cell>
          <cell r="R749">
            <v>655999821</v>
          </cell>
          <cell r="S749" t="str">
            <v>Alain Etoundi</v>
          </cell>
          <cell r="T749" t="str">
            <v>Valeur HOUELL</v>
          </cell>
          <cell r="U749" t="str">
            <v>I H S</v>
          </cell>
        </row>
        <row r="750">
          <cell r="A750" t="str">
            <v>EXN_071</v>
          </cell>
          <cell r="B750" t="str">
            <v>IHS_MAR_014</v>
          </cell>
          <cell r="C750" t="str">
            <v>EXN_071</v>
          </cell>
          <cell r="D750" t="str">
            <v>North</v>
          </cell>
          <cell r="E750" t="str">
            <v>Far North</v>
          </cell>
          <cell r="F750" t="str">
            <v>Maroua-Camp-SIC</v>
          </cell>
          <cell r="G750" t="str">
            <v>P4</v>
          </cell>
          <cell r="H750" t="str">
            <v>Grid-Gen</v>
          </cell>
          <cell r="I750" t="str">
            <v>On Air</v>
          </cell>
          <cell r="J750" t="str">
            <v>Outdoor</v>
          </cell>
          <cell r="K750" t="str">
            <v>AC</v>
          </cell>
          <cell r="L750" t="str">
            <v>I-Eng</v>
          </cell>
          <cell r="M750" t="str">
            <v>Maroua</v>
          </cell>
          <cell r="N750" t="str">
            <v>Diamare</v>
          </cell>
          <cell r="O750" t="str">
            <v>COMMUNE MAROUA1</v>
          </cell>
          <cell r="P750" t="str">
            <v>Idrissou Yaouba</v>
          </cell>
          <cell r="Q750">
            <v>677549821</v>
          </cell>
          <cell r="R750">
            <v>655999821</v>
          </cell>
          <cell r="S750" t="str">
            <v>Alain Etoundi</v>
          </cell>
          <cell r="T750" t="str">
            <v>Valeur HOUELL</v>
          </cell>
          <cell r="U750" t="str">
            <v>I H S</v>
          </cell>
        </row>
        <row r="751">
          <cell r="A751" t="str">
            <v>EXN_008</v>
          </cell>
          <cell r="B751" t="str">
            <v>IHS_MAR_037</v>
          </cell>
          <cell r="C751" t="str">
            <v>EXN_008</v>
          </cell>
          <cell r="D751" t="str">
            <v>North</v>
          </cell>
          <cell r="E751" t="str">
            <v>Far North</v>
          </cell>
          <cell r="F751" t="str">
            <v>Salack</v>
          </cell>
          <cell r="G751" t="str">
            <v>P4</v>
          </cell>
          <cell r="H751" t="str">
            <v>Grid-Gen</v>
          </cell>
          <cell r="I751" t="str">
            <v>On Air</v>
          </cell>
          <cell r="J751" t="str">
            <v>Indoor</v>
          </cell>
          <cell r="K751" t="str">
            <v>AC</v>
          </cell>
          <cell r="L751" t="str">
            <v>I-Eng</v>
          </cell>
          <cell r="M751" t="str">
            <v>Maroua</v>
          </cell>
          <cell r="N751" t="str">
            <v>Diamare</v>
          </cell>
          <cell r="O751" t="str">
            <v>Maroua1</v>
          </cell>
          <cell r="P751" t="str">
            <v>Idrissou Yaouba</v>
          </cell>
          <cell r="Q751">
            <v>677549821</v>
          </cell>
          <cell r="R751">
            <v>655999821</v>
          </cell>
          <cell r="S751" t="str">
            <v>Alain Etoundi</v>
          </cell>
          <cell r="T751" t="str">
            <v>Valeur HOUELL</v>
          </cell>
          <cell r="U751" t="str">
            <v>I H S</v>
          </cell>
        </row>
        <row r="752">
          <cell r="A752" t="str">
            <v>EXN_087</v>
          </cell>
          <cell r="B752" t="str">
            <v>IHS_MAR_008</v>
          </cell>
          <cell r="C752" t="str">
            <v>EXN_087</v>
          </cell>
          <cell r="D752" t="str">
            <v>North</v>
          </cell>
          <cell r="E752" t="str">
            <v>Far North</v>
          </cell>
          <cell r="F752" t="str">
            <v>Maroua-Douggoy-Masalare</v>
          </cell>
          <cell r="G752" t="str">
            <v>P4</v>
          </cell>
          <cell r="H752" t="str">
            <v>Grid-Gen</v>
          </cell>
          <cell r="I752" t="str">
            <v>On Air</v>
          </cell>
          <cell r="J752" t="str">
            <v>Outdoor</v>
          </cell>
          <cell r="K752" t="str">
            <v>AC</v>
          </cell>
          <cell r="L752" t="str">
            <v>I-Eng</v>
          </cell>
          <cell r="M752" t="str">
            <v>Maroua</v>
          </cell>
          <cell r="N752" t="str">
            <v>Diamare</v>
          </cell>
          <cell r="O752" t="str">
            <v>Maroua3</v>
          </cell>
          <cell r="P752" t="str">
            <v>Idrissou Yaouba</v>
          </cell>
          <cell r="Q752">
            <v>677549821</v>
          </cell>
          <cell r="R752">
            <v>655999821</v>
          </cell>
          <cell r="S752" t="str">
            <v>Alain Etoundi</v>
          </cell>
          <cell r="T752" t="str">
            <v>Valeur HOUELL</v>
          </cell>
          <cell r="U752" t="str">
            <v>I H S</v>
          </cell>
        </row>
        <row r="753">
          <cell r="A753" t="str">
            <v>EXN_089</v>
          </cell>
          <cell r="B753" t="str">
            <v>IHS_MAR_004</v>
          </cell>
          <cell r="C753" t="str">
            <v>EXN_089</v>
          </cell>
          <cell r="D753" t="str">
            <v>North</v>
          </cell>
          <cell r="E753" t="str">
            <v>Far North</v>
          </cell>
          <cell r="F753" t="str">
            <v>Maroua-Boussaore(barmare)</v>
          </cell>
          <cell r="G753" t="str">
            <v>P4</v>
          </cell>
          <cell r="H753" t="str">
            <v>Grid-Gen</v>
          </cell>
          <cell r="I753" t="str">
            <v>On Air</v>
          </cell>
          <cell r="J753" t="str">
            <v>Outdoor</v>
          </cell>
          <cell r="K753" t="str">
            <v>AC</v>
          </cell>
          <cell r="L753" t="str">
            <v>I-Eng</v>
          </cell>
          <cell r="M753" t="str">
            <v>Maroua</v>
          </cell>
          <cell r="N753" t="str">
            <v>Diamare</v>
          </cell>
          <cell r="O753" t="str">
            <v>COMMUNE MAROUA 3</v>
          </cell>
          <cell r="P753" t="str">
            <v>Idrissou Yaouba</v>
          </cell>
          <cell r="Q753">
            <v>677549821</v>
          </cell>
          <cell r="R753">
            <v>655999821</v>
          </cell>
          <cell r="S753" t="str">
            <v>Alain Etoundi</v>
          </cell>
          <cell r="T753" t="str">
            <v>Valeur HOUELL</v>
          </cell>
          <cell r="U753" t="str">
            <v>I H S</v>
          </cell>
        </row>
        <row r="754">
          <cell r="A754" t="str">
            <v>EXN_116</v>
          </cell>
          <cell r="B754" t="str">
            <v>IHS_MAR_204</v>
          </cell>
          <cell r="C754" t="str">
            <v>EXN_116</v>
          </cell>
          <cell r="D754" t="str">
            <v>North</v>
          </cell>
          <cell r="E754" t="str">
            <v>Far North</v>
          </cell>
          <cell r="F754" t="str">
            <v>Maroua-Zokok-Palar-IHS</v>
          </cell>
          <cell r="G754" t="str">
            <v>P4</v>
          </cell>
          <cell r="H754" t="str">
            <v>Grid-Gen</v>
          </cell>
          <cell r="I754" t="str">
            <v>On Air</v>
          </cell>
          <cell r="J754" t="str">
            <v>Outdoor</v>
          </cell>
          <cell r="K754" t="str">
            <v>AC</v>
          </cell>
          <cell r="L754" t="str">
            <v>I-Eng</v>
          </cell>
          <cell r="M754" t="str">
            <v>Maroua</v>
          </cell>
          <cell r="N754" t="str">
            <v>Diamare</v>
          </cell>
          <cell r="O754" t="str">
            <v>Maroua1</v>
          </cell>
          <cell r="P754" t="str">
            <v>Idrissou Yaouba</v>
          </cell>
          <cell r="Q754">
            <v>677549821</v>
          </cell>
          <cell r="R754">
            <v>655999821</v>
          </cell>
          <cell r="S754" t="str">
            <v>Alain Etoundi</v>
          </cell>
          <cell r="T754" t="str">
            <v>Valeur HOUELL</v>
          </cell>
          <cell r="U754" t="str">
            <v>I H S</v>
          </cell>
        </row>
        <row r="755">
          <cell r="A755" t="str">
            <v>EXN_023</v>
          </cell>
          <cell r="B755" t="str">
            <v>IHS_MAR_045</v>
          </cell>
          <cell r="C755" t="str">
            <v>EXN_023</v>
          </cell>
          <cell r="D755" t="str">
            <v>North</v>
          </cell>
          <cell r="E755" t="str">
            <v>Far North</v>
          </cell>
          <cell r="F755" t="str">
            <v>Meri</v>
          </cell>
          <cell r="G755" t="str">
            <v>P4</v>
          </cell>
          <cell r="H755" t="str">
            <v>Grid-Gen</v>
          </cell>
          <cell r="I755" t="str">
            <v>On Air</v>
          </cell>
          <cell r="J755" t="str">
            <v>Outdoor</v>
          </cell>
          <cell r="K755" t="str">
            <v>AC</v>
          </cell>
          <cell r="L755" t="str">
            <v>I-Eng</v>
          </cell>
          <cell r="M755" t="str">
            <v>Maroua</v>
          </cell>
          <cell r="N755" t="str">
            <v>Diamare</v>
          </cell>
          <cell r="O755" t="str">
            <v>Meri</v>
          </cell>
          <cell r="P755" t="str">
            <v>Idrissou Yaouba</v>
          </cell>
          <cell r="Q755">
            <v>677549821</v>
          </cell>
          <cell r="R755">
            <v>655999821</v>
          </cell>
          <cell r="S755" t="str">
            <v>Alain Etoundi</v>
          </cell>
          <cell r="T755" t="str">
            <v>Valeur HOUELL</v>
          </cell>
          <cell r="U755" t="str">
            <v>I H S</v>
          </cell>
        </row>
        <row r="756">
          <cell r="A756" t="str">
            <v>EXN_054</v>
          </cell>
          <cell r="B756" t="str">
            <v>IHS_MAR_003</v>
          </cell>
          <cell r="C756" t="str">
            <v>EXN_054</v>
          </cell>
          <cell r="D756" t="str">
            <v>North</v>
          </cell>
          <cell r="E756" t="str">
            <v>Far North</v>
          </cell>
          <cell r="F756" t="str">
            <v>Domayo</v>
          </cell>
          <cell r="G756" t="str">
            <v>P4</v>
          </cell>
          <cell r="H756" t="str">
            <v>Grid-Gen</v>
          </cell>
          <cell r="I756" t="str">
            <v>On Air</v>
          </cell>
          <cell r="J756" t="str">
            <v>Outdoor</v>
          </cell>
          <cell r="K756" t="str">
            <v>AC</v>
          </cell>
          <cell r="L756" t="str">
            <v>I-Eng</v>
          </cell>
          <cell r="M756" t="str">
            <v>Maroua</v>
          </cell>
          <cell r="N756" t="str">
            <v>Diamare</v>
          </cell>
          <cell r="O756" t="str">
            <v>Maroua1</v>
          </cell>
          <cell r="P756" t="str">
            <v>Idrissou Yaouba</v>
          </cell>
          <cell r="Q756">
            <v>677549821</v>
          </cell>
          <cell r="R756">
            <v>655999821</v>
          </cell>
          <cell r="S756" t="str">
            <v>Alain Etoundi</v>
          </cell>
          <cell r="T756" t="str">
            <v>Valeur HOUELL</v>
          </cell>
          <cell r="U756" t="str">
            <v>I H S</v>
          </cell>
        </row>
        <row r="757">
          <cell r="A757" t="str">
            <v>EXN_090</v>
          </cell>
          <cell r="B757" t="str">
            <v>IHS_MAR_016</v>
          </cell>
          <cell r="C757" t="str">
            <v>EXN_090</v>
          </cell>
          <cell r="D757" t="str">
            <v>North</v>
          </cell>
          <cell r="E757" t="str">
            <v>Far North</v>
          </cell>
          <cell r="F757" t="str">
            <v>Maroua-Lopere-II(Djoudandé)</v>
          </cell>
          <cell r="G757" t="str">
            <v>P4</v>
          </cell>
          <cell r="H757" t="str">
            <v>Grid-Gen</v>
          </cell>
          <cell r="I757" t="str">
            <v>On Air</v>
          </cell>
          <cell r="J757" t="str">
            <v>Outdoor</v>
          </cell>
          <cell r="K757" t="str">
            <v>AC</v>
          </cell>
          <cell r="L757" t="str">
            <v>I-Eng</v>
          </cell>
          <cell r="M757" t="str">
            <v>Maroua</v>
          </cell>
          <cell r="N757" t="str">
            <v>Diamare</v>
          </cell>
          <cell r="O757" t="str">
            <v>Maroua2</v>
          </cell>
          <cell r="P757" t="str">
            <v>Idrissou Yaouba</v>
          </cell>
          <cell r="Q757">
            <v>677549821</v>
          </cell>
          <cell r="R757">
            <v>655999821</v>
          </cell>
          <cell r="S757" t="str">
            <v>Alain Etoundi</v>
          </cell>
          <cell r="T757" t="str">
            <v>Valeur HOUELL</v>
          </cell>
          <cell r="U757" t="str">
            <v>I H S</v>
          </cell>
        </row>
        <row r="758">
          <cell r="A758" t="str">
            <v>EXN_082</v>
          </cell>
          <cell r="B758" t="str">
            <v>IHS_MAR_015</v>
          </cell>
          <cell r="C758" t="str">
            <v>EXN_082</v>
          </cell>
          <cell r="D758" t="str">
            <v>North</v>
          </cell>
          <cell r="E758" t="str">
            <v>Far North</v>
          </cell>
          <cell r="F758" t="str">
            <v>Maroua-Loperey</v>
          </cell>
          <cell r="G758" t="str">
            <v>P4</v>
          </cell>
          <cell r="H758" t="str">
            <v>Grid Only</v>
          </cell>
          <cell r="I758" t="str">
            <v>On Air</v>
          </cell>
          <cell r="J758" t="str">
            <v>Outdoor</v>
          </cell>
          <cell r="K758" t="str">
            <v>AC</v>
          </cell>
          <cell r="L758" t="str">
            <v>I-Eng</v>
          </cell>
          <cell r="M758" t="str">
            <v>Maroua</v>
          </cell>
          <cell r="N758" t="str">
            <v>Diamare</v>
          </cell>
          <cell r="O758" t="str">
            <v>COMMUNE MAROUA 2</v>
          </cell>
          <cell r="P758" t="str">
            <v>Idrissou Yaouba</v>
          </cell>
          <cell r="Q758">
            <v>677549821</v>
          </cell>
          <cell r="R758">
            <v>655999821</v>
          </cell>
          <cell r="S758" t="str">
            <v>Alain Etoundi</v>
          </cell>
          <cell r="T758" t="str">
            <v>Valeur HOUELL</v>
          </cell>
          <cell r="U758" t="str">
            <v>I H S</v>
          </cell>
        </row>
        <row r="759">
          <cell r="A759" t="str">
            <v>EXN_084</v>
          </cell>
          <cell r="B759" t="str">
            <v>IHS_MAR_001</v>
          </cell>
          <cell r="C759" t="str">
            <v>EXN_084</v>
          </cell>
          <cell r="D759" t="str">
            <v>North</v>
          </cell>
          <cell r="E759" t="str">
            <v>Far North</v>
          </cell>
          <cell r="F759" t="str">
            <v>Maroua-Lougol</v>
          </cell>
          <cell r="G759" t="str">
            <v>P4</v>
          </cell>
          <cell r="H759" t="str">
            <v>Grid-Gen</v>
          </cell>
          <cell r="I759" t="str">
            <v>On Air</v>
          </cell>
          <cell r="J759" t="str">
            <v>Outdoor</v>
          </cell>
          <cell r="K759" t="str">
            <v>AC</v>
          </cell>
          <cell r="L759" t="str">
            <v>I-Eng</v>
          </cell>
          <cell r="M759" t="str">
            <v>Maroua</v>
          </cell>
          <cell r="N759" t="str">
            <v>Diamare</v>
          </cell>
          <cell r="O759" t="str">
            <v>COMMUNE MAROUA 1</v>
          </cell>
          <cell r="P759" t="str">
            <v>Idrissou Yaouba</v>
          </cell>
          <cell r="Q759">
            <v>677549821</v>
          </cell>
          <cell r="R759">
            <v>655999821</v>
          </cell>
          <cell r="S759" t="str">
            <v>Alain Etoundi</v>
          </cell>
          <cell r="T759" t="str">
            <v>Valeur HOUELL</v>
          </cell>
          <cell r="U759" t="str">
            <v>I H S</v>
          </cell>
        </row>
        <row r="760">
          <cell r="A760" t="str">
            <v>EXN_085</v>
          </cell>
          <cell r="B760" t="str">
            <v>IHS_MAR_006</v>
          </cell>
          <cell r="C760" t="str">
            <v>EXN_085</v>
          </cell>
          <cell r="D760" t="str">
            <v>North</v>
          </cell>
          <cell r="E760" t="str">
            <v>Far North</v>
          </cell>
          <cell r="F760" t="str">
            <v>Maroua-Marche-Abattoir</v>
          </cell>
          <cell r="G760" t="str">
            <v>P4</v>
          </cell>
          <cell r="H760" t="str">
            <v>Grid-Gen</v>
          </cell>
          <cell r="I760" t="str">
            <v>On Air</v>
          </cell>
          <cell r="J760" t="str">
            <v>Outdoor</v>
          </cell>
          <cell r="K760" t="str">
            <v>AC</v>
          </cell>
          <cell r="L760" t="str">
            <v>I-Eng</v>
          </cell>
          <cell r="M760" t="str">
            <v>Maroua</v>
          </cell>
          <cell r="N760" t="str">
            <v>Diamare</v>
          </cell>
          <cell r="O760" t="str">
            <v>Maroua2</v>
          </cell>
          <cell r="P760" t="str">
            <v>Idrissou Yaouba</v>
          </cell>
          <cell r="Q760">
            <v>677549821</v>
          </cell>
          <cell r="R760">
            <v>655999821</v>
          </cell>
          <cell r="S760" t="str">
            <v>Alain Etoundi</v>
          </cell>
          <cell r="T760" t="str">
            <v>Valeur HOUELL</v>
          </cell>
          <cell r="U760" t="str">
            <v>I H S</v>
          </cell>
        </row>
        <row r="761">
          <cell r="A761" t="str">
            <v>EXN_088</v>
          </cell>
          <cell r="B761" t="str">
            <v>IHS_MAR_012</v>
          </cell>
          <cell r="C761" t="str">
            <v>EXN_088</v>
          </cell>
          <cell r="D761" t="str">
            <v>North</v>
          </cell>
          <cell r="E761" t="str">
            <v>Far North</v>
          </cell>
          <cell r="F761" t="str">
            <v>Maroua-Diarenga</v>
          </cell>
          <cell r="G761" t="str">
            <v>P4</v>
          </cell>
          <cell r="H761" t="str">
            <v>Grid-Gen</v>
          </cell>
          <cell r="I761" t="str">
            <v>On Air</v>
          </cell>
          <cell r="J761" t="str">
            <v>Outdoor</v>
          </cell>
          <cell r="K761" t="str">
            <v>AC</v>
          </cell>
          <cell r="L761" t="str">
            <v>I-Eng</v>
          </cell>
          <cell r="M761" t="str">
            <v>Maroua</v>
          </cell>
          <cell r="N761" t="str">
            <v>Diamare</v>
          </cell>
          <cell r="O761" t="str">
            <v>Maroua1</v>
          </cell>
          <cell r="P761" t="str">
            <v>Idrissou Yaouba</v>
          </cell>
          <cell r="Q761">
            <v>677549821</v>
          </cell>
          <cell r="R761">
            <v>655999821</v>
          </cell>
          <cell r="S761" t="str">
            <v>Alain Etoundi</v>
          </cell>
          <cell r="T761" t="str">
            <v>Valeur HOUELL</v>
          </cell>
          <cell r="U761" t="str">
            <v>I H S</v>
          </cell>
        </row>
        <row r="762">
          <cell r="A762" t="str">
            <v>EXN_157</v>
          </cell>
          <cell r="B762" t="str">
            <v>IHS_MAR_032</v>
          </cell>
          <cell r="C762" t="str">
            <v>EXN_157</v>
          </cell>
          <cell r="D762" t="str">
            <v>North</v>
          </cell>
          <cell r="E762" t="str">
            <v>Far North</v>
          </cell>
          <cell r="F762" t="str">
            <v>Meskin</v>
          </cell>
          <cell r="G762" t="str">
            <v>P4</v>
          </cell>
          <cell r="H762" t="str">
            <v>Grid-Gen</v>
          </cell>
          <cell r="I762" t="str">
            <v>On Air</v>
          </cell>
          <cell r="J762" t="str">
            <v>Outdoor</v>
          </cell>
          <cell r="K762" t="str">
            <v>AC</v>
          </cell>
          <cell r="L762" t="str">
            <v>I-Eng</v>
          </cell>
          <cell r="M762" t="str">
            <v>Maroua</v>
          </cell>
          <cell r="N762" t="str">
            <v>Diamare</v>
          </cell>
          <cell r="O762" t="str">
            <v>Maroua1</v>
          </cell>
          <cell r="P762" t="str">
            <v>Idrissou Yaouba</v>
          </cell>
          <cell r="Q762">
            <v>677549821</v>
          </cell>
          <cell r="R762">
            <v>655999821</v>
          </cell>
          <cell r="S762" t="str">
            <v>Alain Etoundi</v>
          </cell>
          <cell r="T762" t="str">
            <v>Valeur HOUELL</v>
          </cell>
          <cell r="U762" t="str">
            <v>I H S</v>
          </cell>
        </row>
        <row r="763">
          <cell r="A763" t="str">
            <v>EXN_170</v>
          </cell>
          <cell r="B763" t="str">
            <v>IHS_MAR_031</v>
          </cell>
          <cell r="C763" t="str">
            <v>EXN_170</v>
          </cell>
          <cell r="D763" t="str">
            <v>North</v>
          </cell>
          <cell r="E763" t="str">
            <v>Far North</v>
          </cell>
          <cell r="F763" t="str">
            <v>Maroua Zokkok Laddeo</v>
          </cell>
          <cell r="G763" t="str">
            <v>P4</v>
          </cell>
          <cell r="H763" t="str">
            <v>Grid-Gen</v>
          </cell>
          <cell r="I763" t="str">
            <v>On Air</v>
          </cell>
          <cell r="J763" t="str">
            <v>Outdoor</v>
          </cell>
          <cell r="K763" t="str">
            <v>AC</v>
          </cell>
          <cell r="L763" t="str">
            <v>I-Eng</v>
          </cell>
          <cell r="M763" t="str">
            <v>Maroua</v>
          </cell>
          <cell r="N763" t="str">
            <v>Diamare</v>
          </cell>
          <cell r="O763" t="str">
            <v>Maroua1</v>
          </cell>
          <cell r="P763" t="str">
            <v>Idrissou Yaouba</v>
          </cell>
          <cell r="Q763">
            <v>677549821</v>
          </cell>
          <cell r="R763">
            <v>655999821</v>
          </cell>
          <cell r="S763" t="str">
            <v>Alain Etoundi</v>
          </cell>
          <cell r="T763" t="str">
            <v>Valeur HOUELL</v>
          </cell>
          <cell r="U763" t="str">
            <v>I H S</v>
          </cell>
        </row>
        <row r="764">
          <cell r="A764" t="str">
            <v>EXN_189</v>
          </cell>
          <cell r="B764" t="str">
            <v>IHS_MAR_220</v>
          </cell>
          <cell r="C764" t="str">
            <v>EXN_189</v>
          </cell>
          <cell r="D764" t="str">
            <v>North</v>
          </cell>
          <cell r="E764" t="str">
            <v>Far North</v>
          </cell>
          <cell r="F764" t="str">
            <v>Pouss-New</v>
          </cell>
          <cell r="G764" t="str">
            <v>P4</v>
          </cell>
          <cell r="H764" t="str">
            <v>Grid-Hybrid-Gen</v>
          </cell>
          <cell r="I764" t="str">
            <v>On Air</v>
          </cell>
          <cell r="J764" t="str">
            <v>Outdoor</v>
          </cell>
          <cell r="K764" t="str">
            <v>AC</v>
          </cell>
          <cell r="L764" t="str">
            <v>I-Eng</v>
          </cell>
          <cell r="M764" t="str">
            <v>Maroua</v>
          </cell>
          <cell r="N764" t="str">
            <v>Mayo-Danay</v>
          </cell>
          <cell r="O764" t="str">
            <v>Maga</v>
          </cell>
          <cell r="P764" t="str">
            <v>Idrissou Yaouba</v>
          </cell>
          <cell r="Q764">
            <v>677549821</v>
          </cell>
          <cell r="R764">
            <v>655999821</v>
          </cell>
          <cell r="S764" t="str">
            <v>Alain Etoundi</v>
          </cell>
          <cell r="T764" t="str">
            <v>Valeur HOUELL</v>
          </cell>
          <cell r="U764" t="str">
            <v>I H S</v>
          </cell>
        </row>
        <row r="765">
          <cell r="A765" t="str">
            <v>EXN_104</v>
          </cell>
          <cell r="B765" t="str">
            <v>IHS_MAR_080</v>
          </cell>
          <cell r="C765" t="str">
            <v>EXN_104</v>
          </cell>
          <cell r="D765" t="str">
            <v>North</v>
          </cell>
          <cell r="E765" t="str">
            <v>Far North</v>
          </cell>
          <cell r="F765" t="str">
            <v>Kolofata</v>
          </cell>
          <cell r="G765" t="str">
            <v>P4</v>
          </cell>
          <cell r="H765" t="str">
            <v>Grid-Hybrid-Gen</v>
          </cell>
          <cell r="I765" t="str">
            <v>On Air</v>
          </cell>
          <cell r="J765" t="str">
            <v>Indoor</v>
          </cell>
          <cell r="K765" t="str">
            <v>AC</v>
          </cell>
          <cell r="L765" t="str">
            <v>I-Eng</v>
          </cell>
          <cell r="M765" t="str">
            <v>Maroua</v>
          </cell>
          <cell r="N765" t="str">
            <v>Mayo-Sava</v>
          </cell>
          <cell r="O765" t="str">
            <v>Mora</v>
          </cell>
          <cell r="P765" t="str">
            <v>Idrissou Yaouba</v>
          </cell>
          <cell r="Q765">
            <v>677549821</v>
          </cell>
          <cell r="R765">
            <v>655999821</v>
          </cell>
          <cell r="S765" t="str">
            <v>Alain Etoundi</v>
          </cell>
          <cell r="T765" t="str">
            <v>Valeur HOUELL</v>
          </cell>
          <cell r="U765" t="str">
            <v>I H S</v>
          </cell>
        </row>
        <row r="766">
          <cell r="A766" t="str">
            <v>EXN_241</v>
          </cell>
          <cell r="B766" t="str">
            <v>IHS_MAR_010</v>
          </cell>
          <cell r="C766" t="str">
            <v>EXN_241</v>
          </cell>
          <cell r="D766" t="str">
            <v>North</v>
          </cell>
          <cell r="E766" t="str">
            <v>Far North</v>
          </cell>
          <cell r="F766" t="str">
            <v>Maroua-Domayo-IHS</v>
          </cell>
          <cell r="G766" t="str">
            <v>P4</v>
          </cell>
          <cell r="H766" t="str">
            <v>Grid-Gen</v>
          </cell>
          <cell r="I766" t="str">
            <v>On Air</v>
          </cell>
          <cell r="J766" t="str">
            <v>Outdoor</v>
          </cell>
          <cell r="K766" t="str">
            <v>AC</v>
          </cell>
          <cell r="L766" t="str">
            <v>I-Eng</v>
          </cell>
          <cell r="M766" t="str">
            <v>Maroua</v>
          </cell>
          <cell r="N766" t="str">
            <v>Diamare</v>
          </cell>
          <cell r="O766" t="str">
            <v>Maroua1</v>
          </cell>
          <cell r="P766" t="str">
            <v>Idrissou Yaouba</v>
          </cell>
          <cell r="Q766">
            <v>677549821</v>
          </cell>
          <cell r="R766">
            <v>655999821</v>
          </cell>
          <cell r="S766" t="str">
            <v>Alain Etoundi</v>
          </cell>
          <cell r="T766" t="str">
            <v>Valeur HOUELL</v>
          </cell>
          <cell r="U766" t="str">
            <v>I H S</v>
          </cell>
        </row>
        <row r="767">
          <cell r="A767" t="str">
            <v>EXN_134</v>
          </cell>
          <cell r="B767" t="str">
            <v>IHS_MAR_059</v>
          </cell>
          <cell r="C767" t="str">
            <v>EXN_134</v>
          </cell>
          <cell r="D767" t="str">
            <v>North</v>
          </cell>
          <cell r="E767" t="str">
            <v>Far North</v>
          </cell>
          <cell r="F767" t="str">
            <v>Mora Technical School</v>
          </cell>
          <cell r="G767" t="str">
            <v>P4</v>
          </cell>
          <cell r="H767" t="str">
            <v>Grid-Gen</v>
          </cell>
          <cell r="I767" t="str">
            <v>On Air</v>
          </cell>
          <cell r="J767" t="str">
            <v>Outdoor</v>
          </cell>
          <cell r="K767" t="str">
            <v>AC</v>
          </cell>
          <cell r="L767" t="str">
            <v>I-Eng</v>
          </cell>
          <cell r="M767" t="str">
            <v>Maroua</v>
          </cell>
          <cell r="N767" t="str">
            <v>Mayo-Sava</v>
          </cell>
          <cell r="O767" t="str">
            <v>Mora</v>
          </cell>
          <cell r="P767" t="str">
            <v>Idrissou Yaouba</v>
          </cell>
          <cell r="Q767">
            <v>677549821</v>
          </cell>
          <cell r="R767">
            <v>655999821</v>
          </cell>
          <cell r="S767" t="str">
            <v>Alain Etoundi</v>
          </cell>
          <cell r="T767" t="str">
            <v>Valeur HOUELL</v>
          </cell>
          <cell r="U767" t="str">
            <v>I H S</v>
          </cell>
        </row>
        <row r="768">
          <cell r="A768" t="str">
            <v>EXN_146</v>
          </cell>
          <cell r="B768" t="str">
            <v>IHS_MAR_200</v>
          </cell>
          <cell r="C768" t="str">
            <v>EXN_146</v>
          </cell>
          <cell r="D768" t="str">
            <v>North</v>
          </cell>
          <cell r="E768" t="str">
            <v>Far North</v>
          </cell>
          <cell r="F768" t="str">
            <v>Maroua Loperey II</v>
          </cell>
          <cell r="G768" t="str">
            <v>P4</v>
          </cell>
          <cell r="H768" t="str">
            <v>Grid-Gen</v>
          </cell>
          <cell r="I768" t="str">
            <v>On Air</v>
          </cell>
          <cell r="J768" t="str">
            <v>Outdoor</v>
          </cell>
          <cell r="K768" t="str">
            <v>AC</v>
          </cell>
          <cell r="L768" t="str">
            <v>I-Eng</v>
          </cell>
          <cell r="M768" t="str">
            <v>Maroua</v>
          </cell>
          <cell r="N768" t="str">
            <v>Diamare</v>
          </cell>
          <cell r="O768" t="str">
            <v>Maroua2</v>
          </cell>
          <cell r="P768" t="str">
            <v>Idrissou Yaouba</v>
          </cell>
          <cell r="Q768">
            <v>677549821</v>
          </cell>
          <cell r="R768">
            <v>655999821</v>
          </cell>
          <cell r="S768" t="str">
            <v>Alain Etoundi</v>
          </cell>
          <cell r="T768" t="str">
            <v>Valeur HOUELL</v>
          </cell>
          <cell r="U768" t="str">
            <v>I H S</v>
          </cell>
        </row>
        <row r="769">
          <cell r="A769" t="str">
            <v>EXN_158</v>
          </cell>
          <cell r="B769" t="str">
            <v>IHS_BMD_200</v>
          </cell>
          <cell r="C769" t="str">
            <v>EXN_158</v>
          </cell>
          <cell r="D769" t="str">
            <v>North</v>
          </cell>
          <cell r="E769" t="str">
            <v>Far North</v>
          </cell>
          <cell r="F769" t="str">
            <v>MAROUA TOTAL DOMAYO</v>
          </cell>
          <cell r="G769" t="str">
            <v>P4</v>
          </cell>
          <cell r="H769" t="str">
            <v>Grid-Gen</v>
          </cell>
          <cell r="I769" t="str">
            <v>On Air</v>
          </cell>
          <cell r="J769" t="str">
            <v>Outdoor</v>
          </cell>
          <cell r="K769" t="str">
            <v>AC</v>
          </cell>
          <cell r="L769" t="str">
            <v>I-Eng</v>
          </cell>
          <cell r="M769" t="str">
            <v>Maroua</v>
          </cell>
          <cell r="N769" t="str">
            <v>Diamare</v>
          </cell>
          <cell r="O769" t="str">
            <v>Maroua1</v>
          </cell>
          <cell r="P769" t="str">
            <v>Idrissou Yaouba</v>
          </cell>
          <cell r="Q769">
            <v>677549821</v>
          </cell>
          <cell r="R769">
            <v>655999821</v>
          </cell>
          <cell r="S769" t="str">
            <v>Alain Etoundi</v>
          </cell>
          <cell r="T769" t="str">
            <v>Valeur HOUELL</v>
          </cell>
          <cell r="U769" t="str">
            <v>I H S</v>
          </cell>
        </row>
        <row r="770">
          <cell r="A770" t="str">
            <v>EXN_097</v>
          </cell>
          <cell r="B770" t="str">
            <v>IHS_MAR_040</v>
          </cell>
          <cell r="C770" t="str">
            <v>EXN_097</v>
          </cell>
          <cell r="D770" t="str">
            <v>North</v>
          </cell>
          <cell r="E770" t="str">
            <v>Far North</v>
          </cell>
          <cell r="F770" t="str">
            <v>Bogo-MTN</v>
          </cell>
          <cell r="G770" t="str">
            <v>P4</v>
          </cell>
          <cell r="H770" t="str">
            <v>Grid-Gen</v>
          </cell>
          <cell r="I770" t="str">
            <v>On Air</v>
          </cell>
          <cell r="J770" t="str">
            <v>Outdoor</v>
          </cell>
          <cell r="K770" t="str">
            <v>AC</v>
          </cell>
          <cell r="L770" t="str">
            <v>I-Eng</v>
          </cell>
          <cell r="M770" t="str">
            <v>Maroua</v>
          </cell>
          <cell r="N770" t="str">
            <v>Diamare</v>
          </cell>
          <cell r="O770" t="str">
            <v>Bogo</v>
          </cell>
          <cell r="P770" t="str">
            <v>Idrissou Yaouba</v>
          </cell>
          <cell r="Q770">
            <v>677549821</v>
          </cell>
          <cell r="R770">
            <v>655999821</v>
          </cell>
          <cell r="S770" t="str">
            <v>Alain Etoundi</v>
          </cell>
          <cell r="T770" t="str">
            <v>Valeur HOUELL</v>
          </cell>
          <cell r="U770" t="str">
            <v>I H S</v>
          </cell>
        </row>
        <row r="771">
          <cell r="A771" t="str">
            <v>EXN_115</v>
          </cell>
          <cell r="B771" t="str">
            <v>IHS_MAR_202</v>
          </cell>
          <cell r="C771" t="str">
            <v>EXN_115</v>
          </cell>
          <cell r="D771" t="str">
            <v>North</v>
          </cell>
          <cell r="E771" t="str">
            <v>Far North</v>
          </cell>
          <cell r="F771" t="str">
            <v>Maroua-Douggoy-Lopere-IHS</v>
          </cell>
          <cell r="G771" t="str">
            <v>P5</v>
          </cell>
          <cell r="H771" t="str">
            <v>Grid-Gen</v>
          </cell>
          <cell r="I771" t="str">
            <v>On Air</v>
          </cell>
          <cell r="J771" t="str">
            <v>Outdoor</v>
          </cell>
          <cell r="K771" t="str">
            <v>AC</v>
          </cell>
          <cell r="L771" t="str">
            <v>I-Eng</v>
          </cell>
          <cell r="M771" t="str">
            <v>Maroua</v>
          </cell>
          <cell r="N771" t="str">
            <v>Diamare</v>
          </cell>
          <cell r="O771" t="str">
            <v>Maroua2</v>
          </cell>
          <cell r="P771" t="str">
            <v>Idrissou Yaouba</v>
          </cell>
          <cell r="Q771">
            <v>677549821</v>
          </cell>
          <cell r="R771">
            <v>655999821</v>
          </cell>
          <cell r="S771" t="str">
            <v>Alain Etoundi</v>
          </cell>
          <cell r="T771" t="str">
            <v>Valeur HOUELL</v>
          </cell>
          <cell r="U771" t="str">
            <v>I H S</v>
          </cell>
        </row>
        <row r="772">
          <cell r="A772" t="str">
            <v>EXN_211</v>
          </cell>
          <cell r="B772" t="str">
            <v>IHS_MAR_378</v>
          </cell>
          <cell r="C772" t="str">
            <v>EXN_211</v>
          </cell>
          <cell r="D772" t="str">
            <v>North</v>
          </cell>
          <cell r="E772" t="str">
            <v>Far North</v>
          </cell>
          <cell r="F772" t="str">
            <v>Dakana </v>
          </cell>
          <cell r="G772" t="str">
            <v>P5</v>
          </cell>
          <cell r="H772" t="str">
            <v>Hybrid-Gen</v>
          </cell>
          <cell r="I772" t="str">
            <v>On Air</v>
          </cell>
          <cell r="J772" t="str">
            <v>Outdoor</v>
          </cell>
          <cell r="K772" t="str">
            <v>AC</v>
          </cell>
          <cell r="L772" t="str">
            <v>I-Eng</v>
          </cell>
          <cell r="M772" t="str">
            <v>Maroua</v>
          </cell>
          <cell r="N772" t="str">
            <v>Diamare</v>
          </cell>
          <cell r="O772" t="str">
            <v>Maroua2</v>
          </cell>
          <cell r="P772" t="str">
            <v>Idrissou Yaouba</v>
          </cell>
          <cell r="Q772">
            <v>677549821</v>
          </cell>
          <cell r="R772">
            <v>655999821</v>
          </cell>
          <cell r="S772" t="str">
            <v>Alain Etoundi</v>
          </cell>
          <cell r="T772" t="str">
            <v>Valeur HOUELL</v>
          </cell>
          <cell r="U772" t="str">
            <v>I H S</v>
          </cell>
        </row>
        <row r="773">
          <cell r="A773" t="str">
            <v>EXN_199</v>
          </cell>
          <cell r="B773" t="str">
            <v>IHS_MAR_379</v>
          </cell>
          <cell r="C773" t="str">
            <v>EXN_199</v>
          </cell>
          <cell r="D773" t="str">
            <v>North</v>
          </cell>
          <cell r="E773" t="str">
            <v>Far North</v>
          </cell>
          <cell r="F773" t="str">
            <v>Ouro Zangui</v>
          </cell>
          <cell r="G773" t="str">
            <v>P5</v>
          </cell>
          <cell r="H773" t="str">
            <v>Hybrid-Gen</v>
          </cell>
          <cell r="I773" t="str">
            <v>On Air</v>
          </cell>
          <cell r="J773" t="str">
            <v>Outdoor</v>
          </cell>
          <cell r="K773" t="str">
            <v>AC</v>
          </cell>
          <cell r="L773" t="str">
            <v>I-Eng</v>
          </cell>
          <cell r="M773" t="str">
            <v>Maroua</v>
          </cell>
          <cell r="N773" t="str">
            <v>Diamare</v>
          </cell>
          <cell r="O773" t="str">
            <v>Dargala</v>
          </cell>
          <cell r="P773" t="str">
            <v>Idrissou Yaouba</v>
          </cell>
          <cell r="Q773">
            <v>677549821</v>
          </cell>
          <cell r="R773">
            <v>655999821</v>
          </cell>
          <cell r="S773" t="str">
            <v>Alain Etoundi</v>
          </cell>
          <cell r="T773" t="str">
            <v>Valeur HOUELL</v>
          </cell>
          <cell r="U773" t="str">
            <v>I H S</v>
          </cell>
        </row>
        <row r="774">
          <cell r="A774" t="str">
            <v>EXN_218</v>
          </cell>
          <cell r="B774" t="str">
            <v>IHS_MAR_386</v>
          </cell>
          <cell r="C774" t="str">
            <v>EXN_218</v>
          </cell>
          <cell r="D774" t="str">
            <v>North</v>
          </cell>
          <cell r="E774" t="str">
            <v>Far North</v>
          </cell>
          <cell r="F774" t="str">
            <v>SEDEK</v>
          </cell>
          <cell r="G774" t="str">
            <v>P5</v>
          </cell>
          <cell r="H774" t="str">
            <v>Hybrid-Gen</v>
          </cell>
          <cell r="I774" t="str">
            <v>On Air</v>
          </cell>
          <cell r="J774" t="str">
            <v>Outdoor</v>
          </cell>
          <cell r="K774" t="str">
            <v>AC</v>
          </cell>
          <cell r="L774" t="str">
            <v>I-Eng</v>
          </cell>
          <cell r="M774" t="str">
            <v>Maroua</v>
          </cell>
          <cell r="N774" t="str">
            <v>Diamare</v>
          </cell>
          <cell r="O774" t="str">
            <v>Dargala</v>
          </cell>
          <cell r="P774" t="str">
            <v>Idrissou Yaouba</v>
          </cell>
          <cell r="Q774">
            <v>677549821</v>
          </cell>
          <cell r="R774">
            <v>655999821</v>
          </cell>
          <cell r="S774" t="str">
            <v>Alain Etoundi</v>
          </cell>
          <cell r="T774" t="str">
            <v>Valeur HOUELL</v>
          </cell>
          <cell r="U774" t="str">
            <v>I H S</v>
          </cell>
        </row>
        <row r="775">
          <cell r="A775" t="str">
            <v>EXN_153</v>
          </cell>
          <cell r="B775" t="str">
            <v>IHS_MAR_038</v>
          </cell>
          <cell r="C775" t="str">
            <v>EXN_153</v>
          </cell>
          <cell r="D775" t="str">
            <v>North</v>
          </cell>
          <cell r="E775" t="str">
            <v>Far North</v>
          </cell>
          <cell r="F775" t="str">
            <v>Salack IHS</v>
          </cell>
          <cell r="G775" t="str">
            <v>P5</v>
          </cell>
          <cell r="H775" t="str">
            <v>Solar-Gen</v>
          </cell>
          <cell r="I775" t="str">
            <v>On Air</v>
          </cell>
          <cell r="J775" t="str">
            <v>Outdoor</v>
          </cell>
          <cell r="K775" t="str">
            <v>AC</v>
          </cell>
          <cell r="L775" t="str">
            <v>I-Eng</v>
          </cell>
          <cell r="M775" t="str">
            <v>Maroua</v>
          </cell>
          <cell r="N775" t="str">
            <v>Diamare</v>
          </cell>
          <cell r="O775" t="str">
            <v>Maroua1</v>
          </cell>
          <cell r="P775" t="str">
            <v>Idrissou Yaouba</v>
          </cell>
          <cell r="Q775">
            <v>677549821</v>
          </cell>
          <cell r="R775">
            <v>655999821</v>
          </cell>
          <cell r="S775" t="str">
            <v>Alain Etoundi</v>
          </cell>
          <cell r="T775" t="str">
            <v>Valeur HOUELL</v>
          </cell>
          <cell r="U775" t="str">
            <v>I H S</v>
          </cell>
        </row>
        <row r="776">
          <cell r="A776" t="str">
            <v>EXN_226</v>
          </cell>
          <cell r="B776" t="str">
            <v>IHS_MAR_377</v>
          </cell>
          <cell r="C776" t="str">
            <v>EXN_226</v>
          </cell>
          <cell r="D776" t="str">
            <v>North</v>
          </cell>
          <cell r="E776" t="str">
            <v>Far North</v>
          </cell>
          <cell r="F776" t="str">
            <v>Mazera</v>
          </cell>
          <cell r="G776" t="str">
            <v>P5</v>
          </cell>
          <cell r="H776" t="str">
            <v>Hybrid-Gen</v>
          </cell>
          <cell r="I776" t="str">
            <v>On Air</v>
          </cell>
          <cell r="J776" t="str">
            <v>Outdoor</v>
          </cell>
          <cell r="K776" t="str">
            <v>AC</v>
          </cell>
          <cell r="L776" t="str">
            <v>I-Eng</v>
          </cell>
          <cell r="M776" t="str">
            <v>Maroua</v>
          </cell>
          <cell r="N776" t="str">
            <v>LOGONE ET CHARI</v>
          </cell>
          <cell r="O776" t="str">
            <v>Zina</v>
          </cell>
          <cell r="P776" t="str">
            <v>Idrissou Yaouba</v>
          </cell>
          <cell r="Q776">
            <v>677549821</v>
          </cell>
          <cell r="R776">
            <v>655999821</v>
          </cell>
          <cell r="S776" t="str">
            <v>Alain Etoundi</v>
          </cell>
          <cell r="T776" t="str">
            <v>Valeur HOUELL</v>
          </cell>
          <cell r="U776" t="str">
            <v>I H S</v>
          </cell>
        </row>
        <row r="777">
          <cell r="A777" t="str">
            <v>EXN_258</v>
          </cell>
          <cell r="B777" t="str">
            <v>IHS_MAR_310</v>
          </cell>
          <cell r="C777" t="str">
            <v>EXN_258</v>
          </cell>
          <cell r="D777" t="str">
            <v>North</v>
          </cell>
          <cell r="E777" t="str">
            <v>Far North</v>
          </cell>
          <cell r="F777" t="str">
            <v>Mora 4</v>
          </cell>
          <cell r="G777" t="str">
            <v>P4</v>
          </cell>
          <cell r="H777" t="str">
            <v>Grid-Gen</v>
          </cell>
          <cell r="I777">
            <v>0</v>
          </cell>
          <cell r="J777" t="str">
            <v>Outdoor</v>
          </cell>
          <cell r="K777" t="str">
            <v>AC</v>
          </cell>
          <cell r="L777" t="str">
            <v>I-Eng</v>
          </cell>
          <cell r="M777" t="str">
            <v>Maroua</v>
          </cell>
          <cell r="N777" t="str">
            <v>Mayo-Sava</v>
          </cell>
          <cell r="O777" t="str">
            <v>Mora</v>
          </cell>
          <cell r="P777" t="str">
            <v>Idrissou Yaouba</v>
          </cell>
          <cell r="Q777">
            <v>677549821</v>
          </cell>
          <cell r="R777">
            <v>655999821</v>
          </cell>
          <cell r="S777" t="str">
            <v>Alain Etoundi</v>
          </cell>
          <cell r="T777" t="str">
            <v>Valeur HOUELL</v>
          </cell>
          <cell r="U777" t="str">
            <v>I H S</v>
          </cell>
        </row>
        <row r="778">
          <cell r="A778" t="str">
            <v>NRD_009</v>
          </cell>
          <cell r="B778" t="str">
            <v>IHS_GAR_023</v>
          </cell>
          <cell r="C778" t="str">
            <v>NRD_009</v>
          </cell>
          <cell r="D778" t="str">
            <v>North</v>
          </cell>
          <cell r="E778" t="str">
            <v>North</v>
          </cell>
          <cell r="F778" t="str">
            <v>Garoua-Lainde</v>
          </cell>
          <cell r="G778" t="str">
            <v>P2</v>
          </cell>
          <cell r="H778" t="str">
            <v>Grid-Gen</v>
          </cell>
          <cell r="I778" t="str">
            <v>On Air</v>
          </cell>
          <cell r="J778" t="str">
            <v>Indoor</v>
          </cell>
          <cell r="K778" t="str">
            <v>AC</v>
          </cell>
          <cell r="L778" t="str">
            <v>I-Eng</v>
          </cell>
          <cell r="M778" t="str">
            <v>Garoua 2</v>
          </cell>
          <cell r="N778" t="str">
            <v>BENOUE</v>
          </cell>
          <cell r="O778" t="str">
            <v>Garoua II</v>
          </cell>
          <cell r="P778" t="str">
            <v>Jacques NGNIYANBE</v>
          </cell>
          <cell r="Q778">
            <v>677549822</v>
          </cell>
          <cell r="R778">
            <v>655999822</v>
          </cell>
          <cell r="S778" t="str">
            <v>Alain Etoundi</v>
          </cell>
          <cell r="T778" t="str">
            <v>Valeur HOUELL</v>
          </cell>
          <cell r="U778" t="str">
            <v>I H S</v>
          </cell>
        </row>
        <row r="779">
          <cell r="A779" t="str">
            <v>NRD_028</v>
          </cell>
          <cell r="B779" t="str">
            <v>IHS_GAR_049</v>
          </cell>
          <cell r="C779" t="str">
            <v>NRD_028</v>
          </cell>
          <cell r="D779" t="str">
            <v>North</v>
          </cell>
          <cell r="E779" t="str">
            <v>North</v>
          </cell>
          <cell r="F779" t="str">
            <v>Ribao</v>
          </cell>
          <cell r="G779" t="str">
            <v>P2</v>
          </cell>
          <cell r="H779" t="str">
            <v>Solar-Gen</v>
          </cell>
          <cell r="I779" t="str">
            <v>On Air</v>
          </cell>
          <cell r="J779" t="str">
            <v>Indoor</v>
          </cell>
          <cell r="K779" t="str">
            <v>AC</v>
          </cell>
          <cell r="L779" t="str">
            <v>I-Eng</v>
          </cell>
          <cell r="M779" t="str">
            <v>Garoua 2</v>
          </cell>
          <cell r="N779" t="str">
            <v>MAYO- LOUTI</v>
          </cell>
          <cell r="O779" t="str">
            <v>Guider</v>
          </cell>
          <cell r="P779" t="str">
            <v>Jacques NGNIYANBE</v>
          </cell>
          <cell r="Q779">
            <v>677549822</v>
          </cell>
          <cell r="R779">
            <v>655999822</v>
          </cell>
          <cell r="S779" t="str">
            <v>Alain Etoundi</v>
          </cell>
          <cell r="T779" t="str">
            <v>Valeur HOUELL</v>
          </cell>
          <cell r="U779" t="str">
            <v>I H S</v>
          </cell>
        </row>
        <row r="780">
          <cell r="A780" t="str">
            <v>NRD_026</v>
          </cell>
          <cell r="B780" t="str">
            <v>IHS_GAR_035</v>
          </cell>
          <cell r="C780" t="str">
            <v>NRD_026</v>
          </cell>
          <cell r="D780" t="str">
            <v>North</v>
          </cell>
          <cell r="E780" t="str">
            <v>North</v>
          </cell>
          <cell r="F780" t="str">
            <v>Badjouma</v>
          </cell>
          <cell r="G780" t="str">
            <v>P2</v>
          </cell>
          <cell r="H780" t="str">
            <v>Solar-Gen</v>
          </cell>
          <cell r="I780" t="str">
            <v>On Air</v>
          </cell>
          <cell r="J780" t="str">
            <v>Indoor</v>
          </cell>
          <cell r="K780" t="str">
            <v>AC</v>
          </cell>
          <cell r="L780" t="str">
            <v>I-Eng</v>
          </cell>
          <cell r="M780" t="str">
            <v>Garoua 2</v>
          </cell>
          <cell r="N780" t="str">
            <v>BENOUE</v>
          </cell>
          <cell r="O780" t="str">
            <v>Pitoa</v>
          </cell>
          <cell r="P780" t="str">
            <v>Jacques NGNIYANBE</v>
          </cell>
          <cell r="Q780">
            <v>677549822</v>
          </cell>
          <cell r="R780">
            <v>655999822</v>
          </cell>
          <cell r="S780" t="str">
            <v>Alain Etoundi</v>
          </cell>
          <cell r="T780" t="str">
            <v>Valeur HOUELL</v>
          </cell>
          <cell r="U780" t="str">
            <v>I H S</v>
          </cell>
        </row>
        <row r="781">
          <cell r="A781" t="str">
            <v>NRD_027</v>
          </cell>
          <cell r="B781" t="str">
            <v>IHS_GAR_057</v>
          </cell>
          <cell r="C781" t="str">
            <v>NRD_027</v>
          </cell>
          <cell r="D781" t="str">
            <v>North</v>
          </cell>
          <cell r="E781" t="str">
            <v>North</v>
          </cell>
          <cell r="F781" t="str">
            <v>Bidzar-MTN</v>
          </cell>
          <cell r="G781" t="str">
            <v>P2</v>
          </cell>
          <cell r="H781" t="str">
            <v>Gen Only</v>
          </cell>
          <cell r="I781" t="str">
            <v>On Air</v>
          </cell>
          <cell r="J781" t="str">
            <v>Indoor</v>
          </cell>
          <cell r="K781" t="str">
            <v>AC</v>
          </cell>
          <cell r="L781" t="str">
            <v>I-Eng</v>
          </cell>
          <cell r="M781" t="str">
            <v>Garoua 2</v>
          </cell>
          <cell r="N781" t="str">
            <v>MAYO- LOUTI</v>
          </cell>
          <cell r="O781" t="str">
            <v>Figuil</v>
          </cell>
          <cell r="P781" t="str">
            <v>Jacques NGNIYANBE</v>
          </cell>
          <cell r="Q781">
            <v>677549822</v>
          </cell>
          <cell r="R781">
            <v>655999822</v>
          </cell>
          <cell r="S781" t="str">
            <v>Alain Etoundi</v>
          </cell>
          <cell r="T781" t="str">
            <v>Valeur HOUELL</v>
          </cell>
          <cell r="U781" t="str">
            <v>I H S</v>
          </cell>
        </row>
        <row r="782">
          <cell r="A782" t="str">
            <v>NRD_035</v>
          </cell>
          <cell r="B782" t="str">
            <v>IHS_GAR_015</v>
          </cell>
          <cell r="C782" t="str">
            <v>NRD_035</v>
          </cell>
          <cell r="D782" t="str">
            <v>North</v>
          </cell>
          <cell r="E782" t="str">
            <v>North</v>
          </cell>
          <cell r="F782" t="str">
            <v>Gra-Plateau-MTN</v>
          </cell>
          <cell r="G782" t="str">
            <v>P2</v>
          </cell>
          <cell r="H782" t="str">
            <v>Grid-Gen</v>
          </cell>
          <cell r="I782" t="str">
            <v>On Air</v>
          </cell>
          <cell r="J782" t="str">
            <v>Indoor</v>
          </cell>
          <cell r="K782" t="str">
            <v>AC</v>
          </cell>
          <cell r="L782" t="str">
            <v>I-Eng</v>
          </cell>
          <cell r="M782" t="str">
            <v>Garoua 2</v>
          </cell>
          <cell r="N782" t="str">
            <v>BENOUE</v>
          </cell>
          <cell r="O782" t="str">
            <v>Garoua I</v>
          </cell>
          <cell r="P782" t="str">
            <v>Jacques NGNIYANBE</v>
          </cell>
          <cell r="Q782">
            <v>677549822</v>
          </cell>
          <cell r="R782">
            <v>655999822</v>
          </cell>
          <cell r="S782" t="str">
            <v>Alain Etoundi</v>
          </cell>
          <cell r="T782" t="str">
            <v>Valeur HOUELL</v>
          </cell>
          <cell r="U782" t="str">
            <v>I H S</v>
          </cell>
        </row>
        <row r="783">
          <cell r="A783" t="str">
            <v>EXN_136</v>
          </cell>
          <cell r="B783" t="str">
            <v>IHS_MAR_351</v>
          </cell>
          <cell r="C783" t="str">
            <v>EXN_136</v>
          </cell>
          <cell r="D783" t="str">
            <v>North</v>
          </cell>
          <cell r="E783" t="str">
            <v>North</v>
          </cell>
          <cell r="F783" t="str">
            <v>Mousgoy</v>
          </cell>
          <cell r="G783" t="str">
            <v>P3</v>
          </cell>
          <cell r="H783" t="str">
            <v>Hybrid-Gen</v>
          </cell>
          <cell r="I783" t="str">
            <v>On Air</v>
          </cell>
          <cell r="J783" t="str">
            <v>Outdoor</v>
          </cell>
          <cell r="K783" t="str">
            <v>AC</v>
          </cell>
          <cell r="L783" t="str">
            <v>I-Eng</v>
          </cell>
          <cell r="M783" t="str">
            <v>Garoua 2</v>
          </cell>
          <cell r="N783" t="str">
            <v>MAYO- LOUTI</v>
          </cell>
          <cell r="O783" t="str">
            <v>Guider</v>
          </cell>
          <cell r="P783" t="str">
            <v>Jacques NGNIYANBE</v>
          </cell>
          <cell r="Q783">
            <v>677549822</v>
          </cell>
          <cell r="R783">
            <v>655999822</v>
          </cell>
          <cell r="S783" t="str">
            <v>Alain Etoundi</v>
          </cell>
          <cell r="T783" t="str">
            <v>Valeur HOUELL</v>
          </cell>
          <cell r="U783" t="str">
            <v>I H S</v>
          </cell>
        </row>
        <row r="784">
          <cell r="A784" t="str">
            <v>NRD_105</v>
          </cell>
          <cell r="B784" t="str">
            <v>IHS_GAR_313</v>
          </cell>
          <cell r="C784" t="str">
            <v>NRD_105</v>
          </cell>
          <cell r="D784" t="str">
            <v>North</v>
          </cell>
          <cell r="E784" t="str">
            <v>North</v>
          </cell>
          <cell r="F784" t="str">
            <v>Boula Ibi</v>
          </cell>
          <cell r="G784" t="str">
            <v>P3</v>
          </cell>
          <cell r="H784" t="str">
            <v>Hybrid-Gen</v>
          </cell>
          <cell r="I784" t="str">
            <v>On Air</v>
          </cell>
          <cell r="J784" t="str">
            <v>Outdoor</v>
          </cell>
          <cell r="K784" t="str">
            <v>AC</v>
          </cell>
          <cell r="L784" t="str">
            <v>I-Eng</v>
          </cell>
          <cell r="M784" t="str">
            <v>Garoua 2</v>
          </cell>
          <cell r="N784" t="str">
            <v>MAYO- LOUTI</v>
          </cell>
          <cell r="O784" t="str">
            <v>Guider</v>
          </cell>
          <cell r="P784" t="str">
            <v>Jacques NGNIYANBE</v>
          </cell>
          <cell r="Q784">
            <v>677549822</v>
          </cell>
          <cell r="R784">
            <v>655999822</v>
          </cell>
          <cell r="S784" t="str">
            <v>Alain Etoundi</v>
          </cell>
          <cell r="T784" t="str">
            <v>Valeur HOUELL</v>
          </cell>
          <cell r="U784" t="str">
            <v>I H S</v>
          </cell>
        </row>
        <row r="785">
          <cell r="A785" t="str">
            <v>NRD_054</v>
          </cell>
          <cell r="B785" t="str">
            <v>IHS_GAR_029</v>
          </cell>
          <cell r="C785" t="str">
            <v>NRD_054</v>
          </cell>
          <cell r="D785" t="str">
            <v>North</v>
          </cell>
          <cell r="E785" t="str">
            <v>North</v>
          </cell>
          <cell r="F785" t="str">
            <v>Garoua-Ouro-Lawan</v>
          </cell>
          <cell r="G785" t="str">
            <v>P3</v>
          </cell>
          <cell r="H785" t="str">
            <v>Grid-Gen</v>
          </cell>
          <cell r="I785" t="str">
            <v>On Air</v>
          </cell>
          <cell r="J785" t="str">
            <v>Outdoor</v>
          </cell>
          <cell r="K785" t="str">
            <v>AC</v>
          </cell>
          <cell r="L785" t="str">
            <v>I-Eng</v>
          </cell>
          <cell r="M785" t="str">
            <v>Garoua 2</v>
          </cell>
          <cell r="N785" t="str">
            <v>BENOUE</v>
          </cell>
          <cell r="O785" t="str">
            <v>COMMUNE Garoua 2</v>
          </cell>
          <cell r="P785" t="str">
            <v>Jacques NGNIYANBE</v>
          </cell>
          <cell r="Q785">
            <v>677549822</v>
          </cell>
          <cell r="R785">
            <v>655999822</v>
          </cell>
          <cell r="S785" t="str">
            <v>Alain Etoundi</v>
          </cell>
          <cell r="T785" t="str">
            <v>Valeur HOUELL</v>
          </cell>
          <cell r="U785" t="str">
            <v>I H S</v>
          </cell>
        </row>
        <row r="786">
          <cell r="A786" t="str">
            <v>NRD_037</v>
          </cell>
          <cell r="B786" t="str">
            <v>IHS_GAR_030</v>
          </cell>
          <cell r="C786" t="str">
            <v>NRD_037</v>
          </cell>
          <cell r="D786" t="str">
            <v>North</v>
          </cell>
          <cell r="E786" t="str">
            <v>North</v>
          </cell>
          <cell r="F786" t="str">
            <v>Nassarao</v>
          </cell>
          <cell r="G786" t="str">
            <v>P3</v>
          </cell>
          <cell r="H786" t="str">
            <v>Grid-Gen</v>
          </cell>
          <cell r="I786" t="str">
            <v>On Air</v>
          </cell>
          <cell r="J786" t="str">
            <v>Outdoor</v>
          </cell>
          <cell r="K786" t="str">
            <v>AC</v>
          </cell>
          <cell r="L786" t="str">
            <v>I-Eng</v>
          </cell>
          <cell r="M786" t="str">
            <v>Garoua 2</v>
          </cell>
          <cell r="N786" t="str">
            <v>BENOUE</v>
          </cell>
          <cell r="O786" t="str">
            <v>COMMUNE Garoua 2</v>
          </cell>
          <cell r="P786" t="str">
            <v>Jacques NGNIYANBE</v>
          </cell>
          <cell r="Q786">
            <v>677549822</v>
          </cell>
          <cell r="R786">
            <v>655999822</v>
          </cell>
          <cell r="S786" t="str">
            <v>Alain Etoundi</v>
          </cell>
          <cell r="T786" t="str">
            <v>Valeur HOUELL</v>
          </cell>
          <cell r="U786" t="str">
            <v>I H S</v>
          </cell>
        </row>
        <row r="787">
          <cell r="A787" t="str">
            <v>NRD_022</v>
          </cell>
          <cell r="B787" t="str">
            <v>IHS_GAR_033</v>
          </cell>
          <cell r="C787" t="str">
            <v>NRD_022</v>
          </cell>
          <cell r="D787" t="str">
            <v>North</v>
          </cell>
          <cell r="E787" t="str">
            <v>North</v>
          </cell>
          <cell r="F787" t="str">
            <v>Gashiga</v>
          </cell>
          <cell r="G787" t="str">
            <v>P3</v>
          </cell>
          <cell r="H787" t="str">
            <v>Grid-Gen</v>
          </cell>
          <cell r="I787" t="str">
            <v>On Air</v>
          </cell>
          <cell r="J787" t="str">
            <v>Outdoor</v>
          </cell>
          <cell r="K787" t="str">
            <v>AC</v>
          </cell>
          <cell r="L787" t="str">
            <v>I-Eng</v>
          </cell>
          <cell r="M787" t="str">
            <v>Garoua 2</v>
          </cell>
          <cell r="N787" t="str">
            <v>BENOUE</v>
          </cell>
          <cell r="O787" t="str">
            <v>Gashiga</v>
          </cell>
          <cell r="P787" t="str">
            <v>Jacques NGNIYANBE</v>
          </cell>
          <cell r="Q787">
            <v>677549822</v>
          </cell>
          <cell r="R787">
            <v>655999822</v>
          </cell>
          <cell r="S787" t="str">
            <v>Alain Etoundi</v>
          </cell>
          <cell r="T787" t="str">
            <v>Valeur HOUELL</v>
          </cell>
          <cell r="U787" t="str">
            <v>I H S</v>
          </cell>
        </row>
        <row r="788">
          <cell r="A788" t="str">
            <v>NRD_013</v>
          </cell>
          <cell r="B788" t="str">
            <v>IHS_GAR_031</v>
          </cell>
          <cell r="C788" t="str">
            <v>NRD_013</v>
          </cell>
          <cell r="D788" t="str">
            <v>North</v>
          </cell>
          <cell r="E788" t="str">
            <v>North</v>
          </cell>
          <cell r="F788" t="str">
            <v>Pitoa</v>
          </cell>
          <cell r="G788" t="str">
            <v>P3</v>
          </cell>
          <cell r="H788" t="str">
            <v>Grid-Gen</v>
          </cell>
          <cell r="I788" t="str">
            <v>On Air</v>
          </cell>
          <cell r="J788" t="str">
            <v>Indoor</v>
          </cell>
          <cell r="K788" t="str">
            <v>AC</v>
          </cell>
          <cell r="L788" t="str">
            <v>I-Eng</v>
          </cell>
          <cell r="M788" t="str">
            <v>Garoua 1</v>
          </cell>
          <cell r="N788" t="str">
            <v>BENOUE</v>
          </cell>
          <cell r="O788" t="str">
            <v>Pitoa</v>
          </cell>
          <cell r="P788" t="str">
            <v>Jacques NGNIYANBE</v>
          </cell>
          <cell r="Q788">
            <v>677549822</v>
          </cell>
          <cell r="R788">
            <v>655999822</v>
          </cell>
          <cell r="S788" t="str">
            <v>Alain Etoundi</v>
          </cell>
          <cell r="T788" t="str">
            <v>Valeur HOUELL</v>
          </cell>
          <cell r="U788" t="str">
            <v>I H S</v>
          </cell>
        </row>
        <row r="789">
          <cell r="A789" t="str">
            <v>NRD_075</v>
          </cell>
          <cell r="B789" t="str">
            <v>IHS_GAR_100</v>
          </cell>
          <cell r="C789" t="str">
            <v>NRD_075</v>
          </cell>
          <cell r="D789" t="str">
            <v>North</v>
          </cell>
          <cell r="E789" t="str">
            <v>North</v>
          </cell>
          <cell r="F789" t="str">
            <v>Garoua-Lidire</v>
          </cell>
          <cell r="G789" t="str">
            <v>P3</v>
          </cell>
          <cell r="H789" t="str">
            <v>Grid-Gen</v>
          </cell>
          <cell r="I789" t="str">
            <v>On Air</v>
          </cell>
          <cell r="J789" t="str">
            <v>Outdoor</v>
          </cell>
          <cell r="K789" t="str">
            <v>AC</v>
          </cell>
          <cell r="L789" t="str">
            <v>I-Eng</v>
          </cell>
          <cell r="M789" t="str">
            <v>Garoua 2</v>
          </cell>
          <cell r="N789" t="str">
            <v>BENOUE</v>
          </cell>
          <cell r="O789" t="str">
            <v>Garoua I</v>
          </cell>
          <cell r="P789" t="str">
            <v>Jacques NGNIYANBE</v>
          </cell>
          <cell r="Q789">
            <v>677549822</v>
          </cell>
          <cell r="R789">
            <v>655999822</v>
          </cell>
          <cell r="S789" t="str">
            <v>Alain Etoundi</v>
          </cell>
          <cell r="T789" t="str">
            <v>Valeur HOUELL</v>
          </cell>
          <cell r="U789" t="str">
            <v>I H S</v>
          </cell>
        </row>
        <row r="790">
          <cell r="A790" t="str">
            <v>NRD_074</v>
          </cell>
          <cell r="B790" t="str">
            <v>IHS_GAR_118</v>
          </cell>
          <cell r="C790" t="str">
            <v>NRD_074</v>
          </cell>
          <cell r="D790" t="str">
            <v>North</v>
          </cell>
          <cell r="E790" t="str">
            <v>North</v>
          </cell>
          <cell r="F790" t="str">
            <v>Crf-Figuil</v>
          </cell>
          <cell r="G790" t="str">
            <v>P3</v>
          </cell>
          <cell r="H790" t="str">
            <v>Grid-Gen</v>
          </cell>
          <cell r="I790" t="str">
            <v>On Air</v>
          </cell>
          <cell r="J790" t="str">
            <v>Outdoor</v>
          </cell>
          <cell r="K790" t="str">
            <v>AC</v>
          </cell>
          <cell r="L790" t="str">
            <v>I-Eng</v>
          </cell>
          <cell r="M790" t="str">
            <v>Garoua 2</v>
          </cell>
          <cell r="N790" t="str">
            <v>MAYO- LOUTI</v>
          </cell>
          <cell r="O790" t="str">
            <v>Figuil</v>
          </cell>
          <cell r="P790" t="str">
            <v>Jacques NGNIYANBE</v>
          </cell>
          <cell r="Q790">
            <v>677549822</v>
          </cell>
          <cell r="R790">
            <v>655999822</v>
          </cell>
          <cell r="S790" t="str">
            <v>Alain Etoundi</v>
          </cell>
          <cell r="T790" t="str">
            <v>Valeur HOUELL</v>
          </cell>
          <cell r="U790" t="str">
            <v>I H S</v>
          </cell>
        </row>
        <row r="791">
          <cell r="A791" t="str">
            <v>NRD_082</v>
          </cell>
          <cell r="B791" t="str">
            <v>IHS_GAR_101</v>
          </cell>
          <cell r="C791" t="str">
            <v>NRD_082</v>
          </cell>
          <cell r="D791" t="str">
            <v>North</v>
          </cell>
          <cell r="E791" t="str">
            <v>North</v>
          </cell>
          <cell r="F791" t="str">
            <v>Garoua-Yelwa-Orange</v>
          </cell>
          <cell r="G791" t="str">
            <v>P3</v>
          </cell>
          <cell r="H791" t="str">
            <v>Grid-Gen</v>
          </cell>
          <cell r="I791" t="str">
            <v>On Air</v>
          </cell>
          <cell r="J791" t="str">
            <v>Outdoor</v>
          </cell>
          <cell r="K791" t="str">
            <v>AC</v>
          </cell>
          <cell r="L791" t="str">
            <v>I-Eng</v>
          </cell>
          <cell r="M791" t="str">
            <v>Garoua 2</v>
          </cell>
          <cell r="N791" t="str">
            <v>BENOUE</v>
          </cell>
          <cell r="O791" t="str">
            <v>Garoua I</v>
          </cell>
          <cell r="P791" t="str">
            <v>Jacques NGNIYANBE</v>
          </cell>
          <cell r="Q791">
            <v>677549822</v>
          </cell>
          <cell r="R791">
            <v>655999822</v>
          </cell>
          <cell r="S791" t="str">
            <v>Alain Etoundi</v>
          </cell>
          <cell r="T791" t="str">
            <v>Valeur HOUELL</v>
          </cell>
          <cell r="U791" t="str">
            <v>I H S</v>
          </cell>
        </row>
        <row r="792">
          <cell r="A792" t="str">
            <v>NRD_072</v>
          </cell>
          <cell r="B792" t="str">
            <v>IHS_GAR_104</v>
          </cell>
          <cell r="C792" t="str">
            <v>NRD_072</v>
          </cell>
          <cell r="D792" t="str">
            <v>North</v>
          </cell>
          <cell r="E792" t="str">
            <v>North</v>
          </cell>
          <cell r="F792" t="str">
            <v>Gra-Yelwa-II</v>
          </cell>
          <cell r="G792" t="str">
            <v>P3</v>
          </cell>
          <cell r="H792" t="str">
            <v>Grid-Gen</v>
          </cell>
          <cell r="I792" t="str">
            <v>On Air</v>
          </cell>
          <cell r="J792" t="str">
            <v>Outdoor</v>
          </cell>
          <cell r="K792" t="str">
            <v>AC</v>
          </cell>
          <cell r="L792" t="str">
            <v>I-Eng</v>
          </cell>
          <cell r="M792" t="str">
            <v>Garoua 2</v>
          </cell>
          <cell r="N792" t="str">
            <v>BENOUE</v>
          </cell>
          <cell r="O792" t="str">
            <v>Garoua I</v>
          </cell>
          <cell r="P792" t="str">
            <v>Jacques NGNIYANBE</v>
          </cell>
          <cell r="Q792">
            <v>677549822</v>
          </cell>
          <cell r="R792">
            <v>655999822</v>
          </cell>
          <cell r="S792" t="str">
            <v>Alain Etoundi</v>
          </cell>
          <cell r="T792" t="str">
            <v>Valeur HOUELL</v>
          </cell>
          <cell r="U792" t="str">
            <v>I H S</v>
          </cell>
        </row>
        <row r="793">
          <cell r="A793" t="str">
            <v>NRD_062</v>
          </cell>
          <cell r="B793" t="str">
            <v>IHS_GAR_005</v>
          </cell>
          <cell r="C793" t="str">
            <v>NRD_062</v>
          </cell>
          <cell r="D793" t="str">
            <v>North</v>
          </cell>
          <cell r="E793" t="str">
            <v>North</v>
          </cell>
          <cell r="F793" t="str">
            <v>Garoua-Ray-Re</v>
          </cell>
          <cell r="G793" t="str">
            <v>P3</v>
          </cell>
          <cell r="H793" t="str">
            <v>Grid-Gen</v>
          </cell>
          <cell r="I793" t="str">
            <v>On Air</v>
          </cell>
          <cell r="J793" t="str">
            <v>Outdoor</v>
          </cell>
          <cell r="K793" t="str">
            <v>AC</v>
          </cell>
          <cell r="L793" t="str">
            <v>I-Eng</v>
          </cell>
          <cell r="M793" t="str">
            <v>Garoua 2</v>
          </cell>
          <cell r="N793" t="str">
            <v>BENOUE</v>
          </cell>
          <cell r="O793" t="str">
            <v>Garoua II</v>
          </cell>
          <cell r="P793" t="str">
            <v>Jacques NGNIYANBE</v>
          </cell>
          <cell r="Q793">
            <v>677549822</v>
          </cell>
          <cell r="R793">
            <v>655999822</v>
          </cell>
          <cell r="S793" t="str">
            <v>Alain Etoundi</v>
          </cell>
          <cell r="T793" t="str">
            <v>Valeur HOUELL</v>
          </cell>
          <cell r="U793" t="str">
            <v>I H S</v>
          </cell>
        </row>
        <row r="794">
          <cell r="A794" t="str">
            <v>NRD_053</v>
          </cell>
          <cell r="B794" t="str">
            <v>IHS_GAR_004</v>
          </cell>
          <cell r="C794" t="str">
            <v>NRD_053</v>
          </cell>
          <cell r="D794" t="str">
            <v>North</v>
          </cell>
          <cell r="E794" t="str">
            <v>North</v>
          </cell>
          <cell r="F794" t="str">
            <v>Garoua-Plage</v>
          </cell>
          <cell r="G794" t="str">
            <v>P3</v>
          </cell>
          <cell r="H794" t="str">
            <v>Grid-Gen</v>
          </cell>
          <cell r="I794" t="str">
            <v>On Air</v>
          </cell>
          <cell r="J794" t="str">
            <v>Outdoor</v>
          </cell>
          <cell r="K794" t="str">
            <v>AC</v>
          </cell>
          <cell r="L794" t="str">
            <v>I-Eng</v>
          </cell>
          <cell r="M794" t="str">
            <v>Garoua 2</v>
          </cell>
          <cell r="N794" t="str">
            <v>BENOUE</v>
          </cell>
          <cell r="O794" t="str">
            <v>COMMUNE Garoua 1</v>
          </cell>
          <cell r="P794" t="str">
            <v>Jacques NGNIYANBE</v>
          </cell>
          <cell r="Q794">
            <v>677549822</v>
          </cell>
          <cell r="R794">
            <v>655999822</v>
          </cell>
          <cell r="S794" t="str">
            <v>Alain Etoundi</v>
          </cell>
          <cell r="T794" t="str">
            <v>Valeur HOUELL</v>
          </cell>
          <cell r="U794" t="str">
            <v>I H S</v>
          </cell>
        </row>
        <row r="795">
          <cell r="A795" t="str">
            <v>NRD_065</v>
          </cell>
          <cell r="B795" t="str">
            <v>IHS_GAR_012</v>
          </cell>
          <cell r="C795" t="str">
            <v>NRD_065</v>
          </cell>
          <cell r="D795" t="str">
            <v>North</v>
          </cell>
          <cell r="E795" t="str">
            <v>North</v>
          </cell>
          <cell r="F795" t="str">
            <v>Garoua-Roumde-Adja</v>
          </cell>
          <cell r="G795" t="str">
            <v>P3</v>
          </cell>
          <cell r="H795" t="str">
            <v>Grid-Gen</v>
          </cell>
          <cell r="I795" t="str">
            <v>On Air</v>
          </cell>
          <cell r="J795" t="str">
            <v>Outdoor</v>
          </cell>
          <cell r="K795" t="str">
            <v>AC</v>
          </cell>
          <cell r="L795" t="str">
            <v>I-Eng</v>
          </cell>
          <cell r="M795" t="str">
            <v>Garoua 2</v>
          </cell>
          <cell r="N795" t="str">
            <v>BENOUE</v>
          </cell>
          <cell r="O795" t="str">
            <v>Garoua II</v>
          </cell>
          <cell r="P795" t="str">
            <v>Jacques NGNIYANBE</v>
          </cell>
          <cell r="Q795">
            <v>677549822</v>
          </cell>
          <cell r="R795">
            <v>655999822</v>
          </cell>
          <cell r="S795" t="str">
            <v>Alain Etoundi</v>
          </cell>
          <cell r="T795" t="str">
            <v>Valeur HOUELL</v>
          </cell>
          <cell r="U795" t="str">
            <v>I H S</v>
          </cell>
        </row>
        <row r="796">
          <cell r="A796" t="str">
            <v>NRD_005</v>
          </cell>
          <cell r="B796" t="str">
            <v>IHS_GAR_050</v>
          </cell>
          <cell r="C796" t="str">
            <v>NRD_005</v>
          </cell>
          <cell r="D796" t="str">
            <v>North</v>
          </cell>
          <cell r="E796" t="str">
            <v>North</v>
          </cell>
          <cell r="F796" t="str">
            <v>Figuil</v>
          </cell>
          <cell r="G796" t="str">
            <v>P3</v>
          </cell>
          <cell r="H796" t="str">
            <v>Grid Only</v>
          </cell>
          <cell r="I796" t="str">
            <v>On Air</v>
          </cell>
          <cell r="J796" t="str">
            <v>Indoor</v>
          </cell>
          <cell r="K796" t="str">
            <v>AC</v>
          </cell>
          <cell r="L796" t="str">
            <v>I-Eng</v>
          </cell>
          <cell r="M796" t="str">
            <v>Garoua 2</v>
          </cell>
          <cell r="N796" t="str">
            <v>MAYO- LOUTI</v>
          </cell>
          <cell r="O796" t="str">
            <v>Guider</v>
          </cell>
          <cell r="P796" t="str">
            <v>Jacques NGNIYANBE</v>
          </cell>
          <cell r="Q796">
            <v>677549822</v>
          </cell>
          <cell r="R796">
            <v>655999822</v>
          </cell>
          <cell r="S796" t="str">
            <v>Alain Etoundi</v>
          </cell>
          <cell r="T796" t="str">
            <v>Valeur HOUELL</v>
          </cell>
          <cell r="U796" t="str">
            <v>I H S</v>
          </cell>
        </row>
        <row r="797">
          <cell r="A797" t="str">
            <v>NRD_004</v>
          </cell>
          <cell r="B797" t="str">
            <v>IHS_GAR_016</v>
          </cell>
          <cell r="C797" t="str">
            <v>NRD_004</v>
          </cell>
          <cell r="D797" t="str">
            <v>North</v>
          </cell>
          <cell r="E797" t="str">
            <v>North</v>
          </cell>
          <cell r="F797" t="str">
            <v>Marouare-new</v>
          </cell>
          <cell r="G797" t="str">
            <v>P3</v>
          </cell>
          <cell r="H797" t="str">
            <v>Grid-Gen</v>
          </cell>
          <cell r="I797" t="str">
            <v>On Air</v>
          </cell>
          <cell r="J797" t="str">
            <v>Outdoor</v>
          </cell>
          <cell r="K797" t="str">
            <v>AC</v>
          </cell>
          <cell r="L797" t="str">
            <v>I-Eng</v>
          </cell>
          <cell r="M797" t="str">
            <v>Garoua 2</v>
          </cell>
          <cell r="N797" t="str">
            <v>BENOUE</v>
          </cell>
          <cell r="O797" t="str">
            <v>Garoua II</v>
          </cell>
          <cell r="P797" t="str">
            <v>Jacques NGNIYANBE</v>
          </cell>
          <cell r="Q797">
            <v>677549822</v>
          </cell>
          <cell r="R797">
            <v>655999822</v>
          </cell>
          <cell r="S797" t="str">
            <v>Alain Etoundi</v>
          </cell>
          <cell r="T797" t="str">
            <v>Valeur HOUELL</v>
          </cell>
          <cell r="U797" t="str">
            <v>I H S</v>
          </cell>
        </row>
        <row r="798">
          <cell r="A798" t="str">
            <v>NRD_124</v>
          </cell>
          <cell r="B798" t="str">
            <v>IHS_GAR_333</v>
          </cell>
          <cell r="C798" t="str">
            <v>NRD_124</v>
          </cell>
          <cell r="D798" t="str">
            <v>North</v>
          </cell>
          <cell r="E798" t="str">
            <v>North</v>
          </cell>
          <cell r="F798" t="str">
            <v>Ouro Be</v>
          </cell>
          <cell r="G798" t="str">
            <v>P4</v>
          </cell>
          <cell r="H798" t="str">
            <v>Grid-Hybrid-Gen</v>
          </cell>
          <cell r="I798" t="str">
            <v>On Air</v>
          </cell>
          <cell r="J798" t="str">
            <v>Outdoor</v>
          </cell>
          <cell r="K798" t="str">
            <v>AC</v>
          </cell>
          <cell r="L798" t="str">
            <v>I-Eng</v>
          </cell>
          <cell r="M798" t="str">
            <v>Garoua 1</v>
          </cell>
          <cell r="N798" t="str">
            <v>BENOUE</v>
          </cell>
          <cell r="O798" t="str">
            <v>Pitoa</v>
          </cell>
          <cell r="P798" t="str">
            <v>Jacques NGNIYANBE</v>
          </cell>
          <cell r="Q798">
            <v>677549822</v>
          </cell>
          <cell r="R798">
            <v>655999822</v>
          </cell>
          <cell r="S798" t="str">
            <v>Alain Etoundi</v>
          </cell>
          <cell r="T798" t="str">
            <v>Valeur HOUELL</v>
          </cell>
          <cell r="U798" t="str">
            <v>I H S</v>
          </cell>
        </row>
        <row r="799">
          <cell r="A799" t="str">
            <v>NRD_122</v>
          </cell>
          <cell r="B799" t="str">
            <v>IHS_GAR_332</v>
          </cell>
          <cell r="C799" t="str">
            <v>NRD_122</v>
          </cell>
          <cell r="D799" t="str">
            <v>North</v>
          </cell>
          <cell r="E799" t="str">
            <v>North</v>
          </cell>
          <cell r="F799" t="str">
            <v>Douroum</v>
          </cell>
          <cell r="G799" t="str">
            <v>P4</v>
          </cell>
          <cell r="H799" t="str">
            <v>Grid-Gen</v>
          </cell>
          <cell r="I799" t="str">
            <v>On Air</v>
          </cell>
          <cell r="J799" t="str">
            <v>Outdoor</v>
          </cell>
          <cell r="K799" t="str">
            <v>AC</v>
          </cell>
          <cell r="L799" t="str">
            <v>I-Eng</v>
          </cell>
          <cell r="M799" t="str">
            <v>Garoua 2</v>
          </cell>
          <cell r="N799" t="str">
            <v>MAYO- LOUTI</v>
          </cell>
          <cell r="O799" t="str">
            <v>Guider</v>
          </cell>
          <cell r="P799" t="str">
            <v>Jacques NGNIYANBE</v>
          </cell>
          <cell r="Q799">
            <v>677549822</v>
          </cell>
          <cell r="R799">
            <v>655999822</v>
          </cell>
          <cell r="S799" t="str">
            <v>Alain Etoundi</v>
          </cell>
          <cell r="T799" t="str">
            <v>Valeur HOUELL</v>
          </cell>
          <cell r="U799" t="str">
            <v>I H S</v>
          </cell>
        </row>
        <row r="800">
          <cell r="A800" t="str">
            <v>NRD_057</v>
          </cell>
          <cell r="B800" t="str">
            <v>IHS_GAR_068</v>
          </cell>
          <cell r="C800" t="str">
            <v>NRD_057</v>
          </cell>
          <cell r="D800" t="str">
            <v>North</v>
          </cell>
          <cell r="E800" t="str">
            <v>North</v>
          </cell>
          <cell r="F800" t="str">
            <v>Dourbeye</v>
          </cell>
          <cell r="G800" t="str">
            <v>P4</v>
          </cell>
          <cell r="H800" t="str">
            <v>Grid-Gen</v>
          </cell>
          <cell r="I800" t="str">
            <v>On Air</v>
          </cell>
          <cell r="J800" t="str">
            <v>Outdoor</v>
          </cell>
          <cell r="K800" t="str">
            <v>AC</v>
          </cell>
          <cell r="L800" t="str">
            <v>I-Eng</v>
          </cell>
          <cell r="M800" t="str">
            <v>Garoua 2</v>
          </cell>
          <cell r="N800" t="str">
            <v>MAYO- LOUTI</v>
          </cell>
          <cell r="O800" t="str">
            <v>Guider</v>
          </cell>
          <cell r="P800" t="str">
            <v>Jacques NGNIYANBE</v>
          </cell>
          <cell r="Q800">
            <v>677549822</v>
          </cell>
          <cell r="R800">
            <v>655999822</v>
          </cell>
          <cell r="S800" t="str">
            <v>Alain Etoundi</v>
          </cell>
          <cell r="T800" t="str">
            <v>Valeur HOUELL</v>
          </cell>
          <cell r="U800" t="str">
            <v>I H S</v>
          </cell>
        </row>
        <row r="801">
          <cell r="A801" t="str">
            <v>NRD_115</v>
          </cell>
          <cell r="B801" t="str">
            <v>IHS_GAR_338</v>
          </cell>
          <cell r="C801" t="str">
            <v>NRD_115</v>
          </cell>
          <cell r="D801" t="str">
            <v>North</v>
          </cell>
          <cell r="E801" t="str">
            <v>North</v>
          </cell>
          <cell r="F801" t="str">
            <v>Gara Guider</v>
          </cell>
          <cell r="G801" t="str">
            <v>P4</v>
          </cell>
          <cell r="H801" t="str">
            <v>Hybrid-Gen</v>
          </cell>
          <cell r="I801" t="str">
            <v>On Air</v>
          </cell>
          <cell r="J801" t="str">
            <v>Outdoor</v>
          </cell>
          <cell r="K801" t="str">
            <v>AC</v>
          </cell>
          <cell r="L801" t="str">
            <v>I-Eng</v>
          </cell>
          <cell r="M801" t="str">
            <v>Garoua 2</v>
          </cell>
          <cell r="N801" t="str">
            <v>MAYO- LOUTI</v>
          </cell>
          <cell r="O801" t="str">
            <v>Guider</v>
          </cell>
          <cell r="P801" t="str">
            <v>Jacques NGNIYANBE</v>
          </cell>
          <cell r="Q801">
            <v>677549822</v>
          </cell>
          <cell r="R801">
            <v>655999822</v>
          </cell>
          <cell r="S801" t="str">
            <v>Alain Etoundi</v>
          </cell>
          <cell r="T801" t="str">
            <v>Valeur HOUELL</v>
          </cell>
          <cell r="U801" t="str">
            <v>I H S</v>
          </cell>
        </row>
        <row r="802">
          <cell r="A802" t="str">
            <v>NRD_086</v>
          </cell>
          <cell r="B802" t="str">
            <v>IHS_GAR_107</v>
          </cell>
          <cell r="C802" t="str">
            <v>NRD_086</v>
          </cell>
          <cell r="D802" t="str">
            <v>North</v>
          </cell>
          <cell r="E802" t="str">
            <v>North</v>
          </cell>
          <cell r="F802" t="str">
            <v>Garoua-Djamboutou-Village-II</v>
          </cell>
          <cell r="G802" t="str">
            <v>P4</v>
          </cell>
          <cell r="H802" t="str">
            <v>Grid-Gen</v>
          </cell>
          <cell r="I802" t="str">
            <v>On Air</v>
          </cell>
          <cell r="J802" t="str">
            <v>Outdoor</v>
          </cell>
          <cell r="K802" t="str">
            <v>AC</v>
          </cell>
          <cell r="L802" t="str">
            <v>I-Eng</v>
          </cell>
          <cell r="M802" t="str">
            <v>Garoua 2</v>
          </cell>
          <cell r="N802" t="str">
            <v>BENOUE</v>
          </cell>
          <cell r="O802" t="str">
            <v>Garoua I</v>
          </cell>
          <cell r="P802" t="str">
            <v>Jacques NGNIYANBE</v>
          </cell>
          <cell r="Q802">
            <v>677549822</v>
          </cell>
          <cell r="R802">
            <v>655999822</v>
          </cell>
          <cell r="S802" t="str">
            <v>Alain Etoundi</v>
          </cell>
          <cell r="T802" t="str">
            <v>Valeur HOUELL</v>
          </cell>
          <cell r="U802" t="str">
            <v>I H S</v>
          </cell>
        </row>
        <row r="803">
          <cell r="A803" t="str">
            <v>NRD_101</v>
          </cell>
          <cell r="B803" t="str">
            <v>IHS_GAR_317</v>
          </cell>
          <cell r="C803" t="str">
            <v>NRD_101</v>
          </cell>
          <cell r="D803" t="str">
            <v>North</v>
          </cell>
          <cell r="E803" t="str">
            <v>North</v>
          </cell>
          <cell r="F803" t="str">
            <v>Gra Foulbere Moussa Yaya</v>
          </cell>
          <cell r="G803" t="str">
            <v>P4</v>
          </cell>
          <cell r="H803" t="str">
            <v>Grid-Gen</v>
          </cell>
          <cell r="I803" t="str">
            <v>On Air</v>
          </cell>
          <cell r="J803" t="str">
            <v>Outdoor</v>
          </cell>
          <cell r="K803" t="str">
            <v>AC</v>
          </cell>
          <cell r="L803" t="str">
            <v>I-Eng</v>
          </cell>
          <cell r="M803" t="str">
            <v>Garoua 2</v>
          </cell>
          <cell r="N803" t="str">
            <v>BENOUE</v>
          </cell>
          <cell r="O803" t="str">
            <v>Garoua I</v>
          </cell>
          <cell r="P803" t="str">
            <v>Jacques NGNIYANBE</v>
          </cell>
          <cell r="Q803">
            <v>677549822</v>
          </cell>
          <cell r="R803">
            <v>655999822</v>
          </cell>
          <cell r="S803" t="str">
            <v>Alain Etoundi</v>
          </cell>
          <cell r="T803" t="str">
            <v>Valeur HOUELL</v>
          </cell>
          <cell r="U803" t="str">
            <v>I H S</v>
          </cell>
        </row>
        <row r="804">
          <cell r="A804" t="str">
            <v>NRD_067</v>
          </cell>
          <cell r="B804" t="str">
            <v>IHS_GAR_007</v>
          </cell>
          <cell r="C804" t="str">
            <v>NRD_067</v>
          </cell>
          <cell r="D804" t="str">
            <v>North</v>
          </cell>
          <cell r="E804" t="str">
            <v>North</v>
          </cell>
          <cell r="F804" t="str">
            <v>Garoua-Foulbere-IV</v>
          </cell>
          <cell r="G804" t="str">
            <v>P4</v>
          </cell>
          <cell r="H804" t="str">
            <v>Grid-Gen</v>
          </cell>
          <cell r="I804" t="str">
            <v>On Air</v>
          </cell>
          <cell r="J804" t="str">
            <v>Outdoor</v>
          </cell>
          <cell r="K804" t="str">
            <v>AC</v>
          </cell>
          <cell r="L804" t="str">
            <v>I-Eng</v>
          </cell>
          <cell r="M804" t="str">
            <v>Garoua 2</v>
          </cell>
          <cell r="N804" t="str">
            <v>BENOUE</v>
          </cell>
          <cell r="O804" t="str">
            <v>Garoua I</v>
          </cell>
          <cell r="P804" t="str">
            <v>Jacques NGNIYANBE</v>
          </cell>
          <cell r="Q804">
            <v>677549822</v>
          </cell>
          <cell r="R804">
            <v>655999822</v>
          </cell>
          <cell r="S804" t="str">
            <v>Alain Etoundi</v>
          </cell>
          <cell r="T804" t="str">
            <v>Valeur HOUELL</v>
          </cell>
          <cell r="U804" t="str">
            <v>I H S</v>
          </cell>
        </row>
        <row r="805">
          <cell r="A805" t="str">
            <v>NRD_007</v>
          </cell>
          <cell r="B805" t="str">
            <v>IHS_GAR_003</v>
          </cell>
          <cell r="C805" t="str">
            <v>NRD_007</v>
          </cell>
          <cell r="D805" t="str">
            <v>North</v>
          </cell>
          <cell r="E805" t="str">
            <v>North</v>
          </cell>
          <cell r="F805" t="str">
            <v>Yelwa</v>
          </cell>
          <cell r="G805" t="str">
            <v>P4</v>
          </cell>
          <cell r="H805" t="str">
            <v>Grid-Gen</v>
          </cell>
          <cell r="I805" t="str">
            <v>On Air</v>
          </cell>
          <cell r="J805" t="str">
            <v>Indoor</v>
          </cell>
          <cell r="K805" t="str">
            <v>AC</v>
          </cell>
          <cell r="L805" t="str">
            <v>I-Eng</v>
          </cell>
          <cell r="M805" t="str">
            <v>Garoua 2</v>
          </cell>
          <cell r="N805" t="str">
            <v>BENOUE</v>
          </cell>
          <cell r="O805" t="str">
            <v>Garoua I</v>
          </cell>
          <cell r="P805" t="str">
            <v>Jacques NGNIYANBE</v>
          </cell>
          <cell r="Q805">
            <v>677549822</v>
          </cell>
          <cell r="R805">
            <v>655999822</v>
          </cell>
          <cell r="S805" t="str">
            <v>Alain Etoundi</v>
          </cell>
          <cell r="T805" t="str">
            <v>Valeur HOUELL</v>
          </cell>
          <cell r="U805" t="str">
            <v>I H S</v>
          </cell>
        </row>
        <row r="806">
          <cell r="A806" t="str">
            <v>NRD_083</v>
          </cell>
          <cell r="B806" t="str">
            <v>IHS_GAR_108</v>
          </cell>
          <cell r="C806" t="str">
            <v>NRD_083</v>
          </cell>
          <cell r="D806" t="str">
            <v>North</v>
          </cell>
          <cell r="E806" t="str">
            <v>North</v>
          </cell>
          <cell r="F806" t="str">
            <v>Garoua-Sabongari-Lainde-IHS</v>
          </cell>
          <cell r="G806" t="str">
            <v>P4</v>
          </cell>
          <cell r="H806" t="str">
            <v>Grid-Gen</v>
          </cell>
          <cell r="I806" t="str">
            <v>On Air</v>
          </cell>
          <cell r="J806" t="str">
            <v>Outdoor</v>
          </cell>
          <cell r="K806" t="str">
            <v>AC</v>
          </cell>
          <cell r="L806" t="str">
            <v>I-Eng</v>
          </cell>
          <cell r="M806" t="str">
            <v>Garoua 2</v>
          </cell>
          <cell r="N806" t="str">
            <v>BENOUE</v>
          </cell>
          <cell r="O806" t="str">
            <v>Garoua II</v>
          </cell>
          <cell r="P806" t="str">
            <v>Jacques NGNIYANBE</v>
          </cell>
          <cell r="Q806">
            <v>677549822</v>
          </cell>
          <cell r="R806">
            <v>655999822</v>
          </cell>
          <cell r="S806" t="str">
            <v>Alain Etoundi</v>
          </cell>
          <cell r="T806" t="str">
            <v>Valeur HOUELL</v>
          </cell>
          <cell r="U806" t="str">
            <v>I H S</v>
          </cell>
        </row>
        <row r="807">
          <cell r="A807" t="str">
            <v>NRD_096</v>
          </cell>
          <cell r="B807" t="str">
            <v>IHS_GAR_110</v>
          </cell>
          <cell r="C807" t="str">
            <v>NRD_096</v>
          </cell>
          <cell r="D807" t="str">
            <v>North</v>
          </cell>
          <cell r="E807" t="str">
            <v>North</v>
          </cell>
          <cell r="F807" t="str">
            <v>Pitoa-Ville</v>
          </cell>
          <cell r="G807" t="str">
            <v>P4</v>
          </cell>
          <cell r="H807" t="str">
            <v>Grid-Gen</v>
          </cell>
          <cell r="I807" t="str">
            <v>On Air</v>
          </cell>
          <cell r="J807" t="str">
            <v>Outdoor</v>
          </cell>
          <cell r="K807" t="str">
            <v>AC</v>
          </cell>
          <cell r="L807" t="str">
            <v>I-Eng</v>
          </cell>
          <cell r="M807" t="str">
            <v>Garoua 1</v>
          </cell>
          <cell r="N807" t="str">
            <v>BENOUE</v>
          </cell>
          <cell r="O807" t="str">
            <v>Pitoa</v>
          </cell>
          <cell r="P807" t="str">
            <v>Jacques NGNIYANBE</v>
          </cell>
          <cell r="Q807">
            <v>677549822</v>
          </cell>
          <cell r="R807">
            <v>655999822</v>
          </cell>
          <cell r="S807" t="str">
            <v>Alain Etoundi</v>
          </cell>
          <cell r="T807" t="str">
            <v>Valeur HOUELL</v>
          </cell>
          <cell r="U807" t="str">
            <v>I H S</v>
          </cell>
        </row>
        <row r="808">
          <cell r="A808" t="str">
            <v>NRD_085</v>
          </cell>
          <cell r="B808" t="str">
            <v>IHS_GAR_106</v>
          </cell>
          <cell r="C808" t="str">
            <v>NRD_085</v>
          </cell>
          <cell r="D808" t="str">
            <v>North</v>
          </cell>
          <cell r="E808" t="str">
            <v>North</v>
          </cell>
          <cell r="F808" t="str">
            <v>Garoua-Galbidje</v>
          </cell>
          <cell r="G808" t="str">
            <v>P4</v>
          </cell>
          <cell r="H808" t="str">
            <v>Grid-Gen</v>
          </cell>
          <cell r="I808" t="str">
            <v>On Air</v>
          </cell>
          <cell r="J808" t="str">
            <v>Outdoor</v>
          </cell>
          <cell r="K808" t="str">
            <v>AC</v>
          </cell>
          <cell r="L808" t="str">
            <v>I-Eng</v>
          </cell>
          <cell r="M808" t="str">
            <v>Garoua 2</v>
          </cell>
          <cell r="N808" t="str">
            <v>BENOUE</v>
          </cell>
          <cell r="O808" t="str">
            <v>Garoua II</v>
          </cell>
          <cell r="P808" t="str">
            <v>Jacques NGNIYANBE</v>
          </cell>
          <cell r="Q808">
            <v>677549822</v>
          </cell>
          <cell r="R808">
            <v>655999822</v>
          </cell>
          <cell r="S808" t="str">
            <v>Alain Etoundi</v>
          </cell>
          <cell r="T808" t="str">
            <v>Valeur HOUELL</v>
          </cell>
          <cell r="U808" t="str">
            <v>I H S</v>
          </cell>
        </row>
        <row r="809">
          <cell r="A809" t="str">
            <v>EXN_019</v>
          </cell>
          <cell r="B809" t="str">
            <v>IHS_MAR_085</v>
          </cell>
          <cell r="C809" t="str">
            <v>EXN_019</v>
          </cell>
          <cell r="D809" t="str">
            <v>North</v>
          </cell>
          <cell r="E809" t="str">
            <v>North</v>
          </cell>
          <cell r="F809" t="str">
            <v>Bourha</v>
          </cell>
          <cell r="G809" t="str">
            <v>P4</v>
          </cell>
          <cell r="H809" t="str">
            <v>Grid-Gen</v>
          </cell>
          <cell r="I809" t="str">
            <v>On Air</v>
          </cell>
          <cell r="J809" t="str">
            <v>Indoor</v>
          </cell>
          <cell r="K809" t="str">
            <v>AC</v>
          </cell>
          <cell r="L809" t="str">
            <v>I-Eng</v>
          </cell>
          <cell r="M809" t="str">
            <v>Garoua 2</v>
          </cell>
          <cell r="N809" t="str">
            <v>MAYO- LOUTI</v>
          </cell>
          <cell r="O809" t="str">
            <v>Bourha</v>
          </cell>
          <cell r="P809" t="str">
            <v>Jacques NGNIYANBE</v>
          </cell>
          <cell r="Q809">
            <v>677549822</v>
          </cell>
          <cell r="R809">
            <v>655999822</v>
          </cell>
          <cell r="S809" t="str">
            <v>Alain Etoundi</v>
          </cell>
          <cell r="T809" t="str">
            <v>Valeur HOUELL</v>
          </cell>
          <cell r="U809" t="str">
            <v>I H S</v>
          </cell>
        </row>
        <row r="810">
          <cell r="A810" t="str">
            <v>NRD_045</v>
          </cell>
          <cell r="B810" t="str">
            <v>IHS_GAR_002</v>
          </cell>
          <cell r="C810" t="str">
            <v>NRD_045</v>
          </cell>
          <cell r="D810" t="str">
            <v>North</v>
          </cell>
          <cell r="E810" t="str">
            <v>North</v>
          </cell>
          <cell r="F810" t="str">
            <v>Garoua-Foulbere</v>
          </cell>
          <cell r="G810" t="str">
            <v>P4</v>
          </cell>
          <cell r="H810" t="str">
            <v>Grid-Gen</v>
          </cell>
          <cell r="I810" t="str">
            <v>On Air</v>
          </cell>
          <cell r="J810" t="str">
            <v>Outdoor</v>
          </cell>
          <cell r="K810" t="str">
            <v>AC</v>
          </cell>
          <cell r="L810" t="str">
            <v>I-Eng</v>
          </cell>
          <cell r="M810" t="str">
            <v>Garoua 2</v>
          </cell>
          <cell r="N810" t="str">
            <v>BENOUE</v>
          </cell>
          <cell r="O810" t="str">
            <v>Garoua I</v>
          </cell>
          <cell r="P810" t="str">
            <v>Jacques NGNIYANBE</v>
          </cell>
          <cell r="Q810">
            <v>677549822</v>
          </cell>
          <cell r="R810">
            <v>655999822</v>
          </cell>
          <cell r="S810" t="str">
            <v>Alain Etoundi</v>
          </cell>
          <cell r="T810" t="str">
            <v>Valeur HOUELL</v>
          </cell>
          <cell r="U810" t="str">
            <v>I H S</v>
          </cell>
        </row>
        <row r="811">
          <cell r="A811" t="str">
            <v>NRD_049</v>
          </cell>
          <cell r="B811" t="str">
            <v>IHS_GAR_009</v>
          </cell>
          <cell r="C811" t="str">
            <v>NRD_049</v>
          </cell>
          <cell r="D811" t="str">
            <v>North</v>
          </cell>
          <cell r="E811" t="str">
            <v>North</v>
          </cell>
          <cell r="F811" t="str">
            <v>Garoua-Kolbives</v>
          </cell>
          <cell r="G811" t="str">
            <v>P4</v>
          </cell>
          <cell r="H811" t="str">
            <v>Grid-Gen</v>
          </cell>
          <cell r="I811" t="str">
            <v>On Air</v>
          </cell>
          <cell r="J811" t="str">
            <v>Outdoor</v>
          </cell>
          <cell r="K811" t="str">
            <v>AC</v>
          </cell>
          <cell r="L811" t="str">
            <v>I-Eng</v>
          </cell>
          <cell r="M811" t="str">
            <v>Garoua 2</v>
          </cell>
          <cell r="N811" t="str">
            <v>BENOUE</v>
          </cell>
          <cell r="O811" t="str">
            <v>Garoua I</v>
          </cell>
          <cell r="P811" t="str">
            <v>Jacques NGNIYANBE</v>
          </cell>
          <cell r="Q811">
            <v>677549822</v>
          </cell>
          <cell r="R811">
            <v>655999822</v>
          </cell>
          <cell r="S811" t="str">
            <v>Alain Etoundi</v>
          </cell>
          <cell r="T811" t="str">
            <v>Valeur HOUELL</v>
          </cell>
          <cell r="U811" t="str">
            <v>I H S</v>
          </cell>
        </row>
        <row r="812">
          <cell r="A812" t="str">
            <v>NRD_040</v>
          </cell>
          <cell r="B812" t="str">
            <v>IHS_GAR_024</v>
          </cell>
          <cell r="C812" t="str">
            <v>NRD_040</v>
          </cell>
          <cell r="D812" t="str">
            <v>North</v>
          </cell>
          <cell r="E812" t="str">
            <v>North</v>
          </cell>
          <cell r="F812" t="str">
            <v>Ouro-Kessoun</v>
          </cell>
          <cell r="G812" t="str">
            <v>P4</v>
          </cell>
          <cell r="H812" t="str">
            <v>Grid-Gen</v>
          </cell>
          <cell r="I812" t="str">
            <v>On Air</v>
          </cell>
          <cell r="J812" t="str">
            <v>Outdoor</v>
          </cell>
          <cell r="K812" t="str">
            <v>AC</v>
          </cell>
          <cell r="L812" t="str">
            <v>I-Eng</v>
          </cell>
          <cell r="M812" t="str">
            <v>Garoua 2</v>
          </cell>
          <cell r="N812" t="str">
            <v>BENOUE</v>
          </cell>
          <cell r="O812" t="str">
            <v>Garoua II</v>
          </cell>
          <cell r="P812" t="str">
            <v>Jacques NGNIYANBE</v>
          </cell>
          <cell r="Q812">
            <v>677549822</v>
          </cell>
          <cell r="R812">
            <v>655999822</v>
          </cell>
          <cell r="S812" t="str">
            <v>Alain Etoundi</v>
          </cell>
          <cell r="T812" t="str">
            <v>Valeur HOUELL</v>
          </cell>
          <cell r="U812" t="str">
            <v>I H S</v>
          </cell>
        </row>
        <row r="813">
          <cell r="A813" t="str">
            <v>NRD_024</v>
          </cell>
          <cell r="B813" t="str">
            <v>IHS_GAR_044</v>
          </cell>
          <cell r="C813" t="str">
            <v>NRD_024</v>
          </cell>
          <cell r="D813" t="str">
            <v>North</v>
          </cell>
          <cell r="E813" t="str">
            <v>North</v>
          </cell>
          <cell r="F813" t="str">
            <v>Dembo</v>
          </cell>
          <cell r="G813" t="str">
            <v>P4</v>
          </cell>
          <cell r="H813" t="str">
            <v>Solar-Gen</v>
          </cell>
          <cell r="I813" t="str">
            <v>On Air</v>
          </cell>
          <cell r="J813" t="str">
            <v>Outdoor</v>
          </cell>
          <cell r="K813" t="str">
            <v>AC</v>
          </cell>
          <cell r="L813" t="str">
            <v>I-Eng</v>
          </cell>
          <cell r="M813" t="str">
            <v>Garoua 2</v>
          </cell>
          <cell r="N813" t="str">
            <v>BENOUE</v>
          </cell>
          <cell r="O813" t="str">
            <v>Dembo</v>
          </cell>
          <cell r="P813" t="str">
            <v>Jacques NGNIYANBE</v>
          </cell>
          <cell r="Q813">
            <v>677549822</v>
          </cell>
          <cell r="R813">
            <v>655999822</v>
          </cell>
          <cell r="S813" t="str">
            <v>Alain Etoundi</v>
          </cell>
          <cell r="T813" t="str">
            <v>Valeur HOUELL</v>
          </cell>
          <cell r="U813" t="str">
            <v>I H S</v>
          </cell>
        </row>
        <row r="814">
          <cell r="A814" t="str">
            <v>NRD_152</v>
          </cell>
          <cell r="B814" t="str">
            <v>IHS_GAR_069</v>
          </cell>
          <cell r="C814" t="str">
            <v>NRD_152</v>
          </cell>
          <cell r="D814" t="str">
            <v>North</v>
          </cell>
          <cell r="E814" t="str">
            <v>North</v>
          </cell>
          <cell r="F814" t="str">
            <v>Doumo</v>
          </cell>
          <cell r="G814" t="str">
            <v>P4</v>
          </cell>
          <cell r="H814" t="str">
            <v>Gen Only</v>
          </cell>
          <cell r="I814" t="str">
            <v>On Air</v>
          </cell>
          <cell r="J814" t="str">
            <v>Outdoor</v>
          </cell>
          <cell r="K814" t="str">
            <v>AC</v>
          </cell>
          <cell r="L814" t="str">
            <v>I-Eng</v>
          </cell>
          <cell r="M814" t="str">
            <v>Garoua 2</v>
          </cell>
          <cell r="N814" t="str">
            <v>MAYO- LOUTI</v>
          </cell>
          <cell r="O814" t="str">
            <v>Guider</v>
          </cell>
          <cell r="P814" t="str">
            <v>Jacques NGNIYANBE</v>
          </cell>
          <cell r="Q814">
            <v>677549822</v>
          </cell>
          <cell r="R814">
            <v>655999822</v>
          </cell>
          <cell r="S814" t="str">
            <v>Alain Etoundi</v>
          </cell>
          <cell r="T814" t="str">
            <v>Valeur HOUELL</v>
          </cell>
          <cell r="U814" t="str">
            <v>I H S</v>
          </cell>
        </row>
        <row r="815">
          <cell r="A815" t="str">
            <v>NRD_015</v>
          </cell>
          <cell r="B815" t="str">
            <v>IHS_GAR_047</v>
          </cell>
          <cell r="C815" t="str">
            <v>NRD_015</v>
          </cell>
          <cell r="D815" t="str">
            <v>North</v>
          </cell>
          <cell r="E815" t="str">
            <v>North</v>
          </cell>
          <cell r="F815" t="str">
            <v>BASCHEO-IHS</v>
          </cell>
          <cell r="G815" t="str">
            <v>P4</v>
          </cell>
          <cell r="H815" t="str">
            <v>Hybrid-Gen</v>
          </cell>
          <cell r="I815" t="str">
            <v>On Air</v>
          </cell>
          <cell r="J815" t="str">
            <v>Indoor</v>
          </cell>
          <cell r="K815" t="str">
            <v>AC</v>
          </cell>
          <cell r="L815" t="str">
            <v>I-Eng</v>
          </cell>
          <cell r="M815" t="str">
            <v>Garoua 2</v>
          </cell>
          <cell r="N815" t="str">
            <v>BENOUE</v>
          </cell>
          <cell r="O815" t="str">
            <v>Bascheo</v>
          </cell>
          <cell r="P815" t="str">
            <v>Jacques NGNIYANBE</v>
          </cell>
          <cell r="Q815">
            <v>677549822</v>
          </cell>
          <cell r="R815">
            <v>655999822</v>
          </cell>
          <cell r="S815" t="str">
            <v>Alain Etoundi</v>
          </cell>
          <cell r="T815" t="str">
            <v>Valeur HOUELL</v>
          </cell>
          <cell r="U815" t="str">
            <v>I H S</v>
          </cell>
        </row>
        <row r="816">
          <cell r="A816" t="str">
            <v>NRD_099</v>
          </cell>
          <cell r="B816" t="str">
            <v>IHS_GAR_116</v>
          </cell>
          <cell r="C816" t="str">
            <v>NRD_099</v>
          </cell>
          <cell r="D816" t="str">
            <v>North</v>
          </cell>
          <cell r="E816" t="str">
            <v>North</v>
          </cell>
          <cell r="F816" t="str">
            <v>Sorawel IHS</v>
          </cell>
          <cell r="G816" t="str">
            <v>P4</v>
          </cell>
          <cell r="H816" t="str">
            <v>Grid-Gen</v>
          </cell>
          <cell r="I816" t="str">
            <v>On Air</v>
          </cell>
          <cell r="J816" t="str">
            <v>Outdoor</v>
          </cell>
          <cell r="K816" t="str">
            <v>AC</v>
          </cell>
          <cell r="L816" t="str">
            <v>I-Eng</v>
          </cell>
          <cell r="M816" t="str">
            <v>Garoua 2</v>
          </cell>
          <cell r="N816" t="str">
            <v>MAYO- LOUTI</v>
          </cell>
          <cell r="O816" t="str">
            <v>Guider</v>
          </cell>
          <cell r="P816" t="str">
            <v>Jacques NGNIYANBE</v>
          </cell>
          <cell r="Q816">
            <v>677549822</v>
          </cell>
          <cell r="R816">
            <v>655999822</v>
          </cell>
          <cell r="S816" t="str">
            <v>Alain Etoundi</v>
          </cell>
          <cell r="T816" t="str">
            <v>Valeur HOUELL</v>
          </cell>
          <cell r="U816" t="str">
            <v>I H S</v>
          </cell>
        </row>
        <row r="817">
          <cell r="A817" t="str">
            <v>NRD_014</v>
          </cell>
          <cell r="B817" t="str">
            <v>IHS_MAR_086</v>
          </cell>
          <cell r="C817" t="str">
            <v>NRD_014</v>
          </cell>
          <cell r="D817" t="str">
            <v>North</v>
          </cell>
          <cell r="E817" t="str">
            <v>North</v>
          </cell>
          <cell r="F817" t="str">
            <v>BOUKOULA-IHS</v>
          </cell>
          <cell r="G817" t="str">
            <v>P4</v>
          </cell>
          <cell r="H817" t="str">
            <v>Grid-Gen</v>
          </cell>
          <cell r="I817" t="str">
            <v>On Air</v>
          </cell>
          <cell r="J817" t="str">
            <v>Outdoor</v>
          </cell>
          <cell r="K817" t="str">
            <v>AC</v>
          </cell>
          <cell r="L817" t="str">
            <v>I-Eng</v>
          </cell>
          <cell r="M817" t="str">
            <v>Garoua 2</v>
          </cell>
          <cell r="N817" t="str">
            <v>MAYO- LOUTI</v>
          </cell>
          <cell r="O817" t="str">
            <v>Bourha</v>
          </cell>
          <cell r="P817" t="str">
            <v>Jacques NGNIYANBE</v>
          </cell>
          <cell r="Q817">
            <v>677549822</v>
          </cell>
          <cell r="R817">
            <v>655999822</v>
          </cell>
          <cell r="S817" t="str">
            <v>Alain Etoundi</v>
          </cell>
          <cell r="T817" t="str">
            <v>Valeur HOUELL</v>
          </cell>
          <cell r="U817" t="str">
            <v>I H S</v>
          </cell>
        </row>
        <row r="818">
          <cell r="A818" t="str">
            <v>NRD_084</v>
          </cell>
          <cell r="B818" t="str">
            <v>IHS_GAR_328</v>
          </cell>
          <cell r="C818" t="str">
            <v>NRD_084</v>
          </cell>
          <cell r="D818" t="str">
            <v>North</v>
          </cell>
          <cell r="E818" t="str">
            <v>North</v>
          </cell>
          <cell r="F818" t="str">
            <v>Garoua-Roum-Adja-Camp-SIC</v>
          </cell>
          <cell r="G818" t="str">
            <v>P4</v>
          </cell>
          <cell r="H818" t="str">
            <v>Grid-Gen</v>
          </cell>
          <cell r="I818" t="str">
            <v>On Air</v>
          </cell>
          <cell r="J818" t="str">
            <v>Outdoor</v>
          </cell>
          <cell r="K818" t="str">
            <v>AC</v>
          </cell>
          <cell r="L818" t="str">
            <v>I-Eng</v>
          </cell>
          <cell r="M818" t="str">
            <v>Garoua 2</v>
          </cell>
          <cell r="N818" t="str">
            <v>BENOUE</v>
          </cell>
          <cell r="O818" t="str">
            <v>Garoua II</v>
          </cell>
          <cell r="P818" t="str">
            <v>Jacques NGNIYANBE</v>
          </cell>
          <cell r="Q818">
            <v>677549822</v>
          </cell>
          <cell r="R818">
            <v>655999822</v>
          </cell>
          <cell r="S818" t="str">
            <v>Alain Etoundi</v>
          </cell>
          <cell r="T818" t="str">
            <v>Valeur HOUELL</v>
          </cell>
          <cell r="U818" t="str">
            <v>I H S</v>
          </cell>
        </row>
        <row r="819">
          <cell r="A819" t="str">
            <v>NRD_097</v>
          </cell>
          <cell r="B819" t="str">
            <v>IHS_GAR_006</v>
          </cell>
          <cell r="C819" t="str">
            <v>NRD_097</v>
          </cell>
          <cell r="D819" t="str">
            <v>North</v>
          </cell>
          <cell r="E819" t="str">
            <v>North</v>
          </cell>
          <cell r="F819" t="str">
            <v>Yelwa</v>
          </cell>
          <cell r="G819" t="str">
            <v>P4</v>
          </cell>
          <cell r="H819" t="str">
            <v>Grid-Gen</v>
          </cell>
          <cell r="I819" t="str">
            <v>On Air</v>
          </cell>
          <cell r="J819" t="str">
            <v>Outdoor</v>
          </cell>
          <cell r="K819" t="str">
            <v>AC</v>
          </cell>
          <cell r="L819" t="str">
            <v>I-Eng</v>
          </cell>
          <cell r="M819" t="str">
            <v>Garoua 2</v>
          </cell>
          <cell r="N819" t="str">
            <v>BENOUE</v>
          </cell>
          <cell r="O819" t="str">
            <v>Garoua I</v>
          </cell>
          <cell r="P819" t="str">
            <v>Jacques NGNIYANBE</v>
          </cell>
          <cell r="Q819">
            <v>677549822</v>
          </cell>
          <cell r="R819">
            <v>655999822</v>
          </cell>
          <cell r="S819" t="str">
            <v>Alain Etoundi</v>
          </cell>
          <cell r="T819" t="str">
            <v>Valeur HOUELL</v>
          </cell>
          <cell r="U819" t="str">
            <v>I H S</v>
          </cell>
        </row>
        <row r="820">
          <cell r="A820" t="str">
            <v>NRD_117</v>
          </cell>
          <cell r="B820" t="str">
            <v>IHS_GAR_025</v>
          </cell>
          <cell r="C820" t="str">
            <v>NRD_117</v>
          </cell>
          <cell r="D820" t="str">
            <v>North</v>
          </cell>
          <cell r="E820" t="str">
            <v>North</v>
          </cell>
          <cell r="F820" t="str">
            <v>NGALBIDJE</v>
          </cell>
          <cell r="G820" t="str">
            <v>P4</v>
          </cell>
          <cell r="H820" t="str">
            <v>Grid-Gen</v>
          </cell>
          <cell r="I820" t="str">
            <v>On Air</v>
          </cell>
          <cell r="J820" t="str">
            <v>Outdoor</v>
          </cell>
          <cell r="K820" t="str">
            <v>AC</v>
          </cell>
          <cell r="L820" t="str">
            <v>I-Eng</v>
          </cell>
          <cell r="M820" t="str">
            <v>Garoua 2</v>
          </cell>
          <cell r="N820" t="str">
            <v>BENOUE</v>
          </cell>
          <cell r="O820" t="str">
            <v>Garoua II</v>
          </cell>
          <cell r="P820" t="str">
            <v>Jacques NGNIYANBE</v>
          </cell>
          <cell r="Q820">
            <v>677549822</v>
          </cell>
          <cell r="R820">
            <v>655999822</v>
          </cell>
          <cell r="S820" t="str">
            <v>Alain Etoundi</v>
          </cell>
          <cell r="T820" t="str">
            <v>Valeur HOUELL</v>
          </cell>
          <cell r="U820" t="str">
            <v>I H S</v>
          </cell>
        </row>
        <row r="821">
          <cell r="A821" t="str">
            <v>NRD_089</v>
          </cell>
          <cell r="B821" t="str">
            <v>IHS_GAR_059</v>
          </cell>
          <cell r="C821" t="str">
            <v>NRD_089</v>
          </cell>
          <cell r="D821" t="str">
            <v>North</v>
          </cell>
          <cell r="E821" t="str">
            <v>North</v>
          </cell>
          <cell r="F821" t="str">
            <v>Sagamla</v>
          </cell>
          <cell r="G821" t="str">
            <v>P4</v>
          </cell>
          <cell r="H821" t="str">
            <v>Grid-Gen</v>
          </cell>
          <cell r="I821" t="str">
            <v>On Air</v>
          </cell>
          <cell r="J821" t="str">
            <v>Outdoor</v>
          </cell>
          <cell r="K821" t="str">
            <v>AC</v>
          </cell>
          <cell r="L821" t="str">
            <v>I-Eng</v>
          </cell>
          <cell r="M821" t="str">
            <v>Garoua 2</v>
          </cell>
          <cell r="N821" t="str">
            <v>MAYO- LOUTI</v>
          </cell>
          <cell r="O821" t="str">
            <v>Guider</v>
          </cell>
          <cell r="P821" t="str">
            <v>Jacques NGNIYANBE</v>
          </cell>
          <cell r="Q821">
            <v>677549822</v>
          </cell>
          <cell r="R821">
            <v>655999822</v>
          </cell>
          <cell r="S821" t="str">
            <v>Alain Etoundi</v>
          </cell>
          <cell r="T821" t="str">
            <v>Valeur HOUELL</v>
          </cell>
          <cell r="U821" t="str">
            <v>I H S</v>
          </cell>
        </row>
        <row r="822">
          <cell r="A822" t="str">
            <v>NRD_116</v>
          </cell>
          <cell r="B822" t="str">
            <v>IHS_GAR_327</v>
          </cell>
          <cell r="C822" t="str">
            <v>NRD_116</v>
          </cell>
          <cell r="D822" t="str">
            <v>North</v>
          </cell>
          <cell r="E822" t="str">
            <v>North</v>
          </cell>
          <cell r="F822" t="str">
            <v>Garoua Katasko</v>
          </cell>
          <cell r="G822" t="str">
            <v>P4</v>
          </cell>
          <cell r="H822" t="str">
            <v>Grid-Gen</v>
          </cell>
          <cell r="I822" t="str">
            <v>On Air</v>
          </cell>
          <cell r="J822" t="str">
            <v>Outdoor</v>
          </cell>
          <cell r="K822" t="str">
            <v>AC</v>
          </cell>
          <cell r="L822" t="str">
            <v>I-Eng</v>
          </cell>
          <cell r="M822" t="str">
            <v>Garoua 2</v>
          </cell>
          <cell r="N822" t="str">
            <v>BENOUE</v>
          </cell>
          <cell r="O822" t="str">
            <v>Garoua II</v>
          </cell>
          <cell r="P822" t="str">
            <v>Jacques NGNIYANBE</v>
          </cell>
          <cell r="Q822">
            <v>677549822</v>
          </cell>
          <cell r="R822">
            <v>655999822</v>
          </cell>
          <cell r="S822" t="str">
            <v>Alain Etoundi</v>
          </cell>
          <cell r="T822" t="str">
            <v>Valeur HOUELL</v>
          </cell>
          <cell r="U822" t="str">
            <v>I H S</v>
          </cell>
        </row>
        <row r="823">
          <cell r="A823" t="str">
            <v>NRD_063</v>
          </cell>
          <cell r="B823" t="str">
            <v>IHS_GAR_011</v>
          </cell>
          <cell r="C823" t="str">
            <v>NRD_063</v>
          </cell>
          <cell r="D823" t="str">
            <v>North</v>
          </cell>
          <cell r="E823" t="str">
            <v>North</v>
          </cell>
          <cell r="F823" t="str">
            <v>Garoua-Lycee-Technique</v>
          </cell>
          <cell r="G823" t="str">
            <v>P4</v>
          </cell>
          <cell r="H823" t="str">
            <v>Grid-Gen</v>
          </cell>
          <cell r="I823" t="str">
            <v>On Air</v>
          </cell>
          <cell r="J823" t="str">
            <v>Indoor</v>
          </cell>
          <cell r="K823" t="str">
            <v>AC</v>
          </cell>
          <cell r="L823" t="str">
            <v>I-Eng</v>
          </cell>
          <cell r="M823" t="str">
            <v>Garoua 2</v>
          </cell>
          <cell r="N823" t="str">
            <v>BENOUE</v>
          </cell>
          <cell r="O823" t="str">
            <v>Garoua II</v>
          </cell>
          <cell r="P823" t="str">
            <v>Jacques NGNIYANBE</v>
          </cell>
          <cell r="Q823">
            <v>677549822</v>
          </cell>
          <cell r="R823">
            <v>655999822</v>
          </cell>
          <cell r="S823" t="str">
            <v>Alain Etoundi</v>
          </cell>
          <cell r="T823" t="str">
            <v>Valeur HOUELL</v>
          </cell>
          <cell r="U823" t="str">
            <v>I H S</v>
          </cell>
        </row>
        <row r="824">
          <cell r="A824" t="str">
            <v>EXN_227</v>
          </cell>
          <cell r="B824" t="str">
            <v>IHS_MAR_222</v>
          </cell>
          <cell r="C824" t="str">
            <v>EXN_227</v>
          </cell>
          <cell r="D824" t="str">
            <v>North</v>
          </cell>
          <cell r="E824" t="str">
            <v>North</v>
          </cell>
          <cell r="F824" t="str">
            <v>TCHEVI</v>
          </cell>
          <cell r="G824" t="str">
            <v>P4</v>
          </cell>
          <cell r="H824" t="str">
            <v>Grid-Gen</v>
          </cell>
          <cell r="I824" t="str">
            <v>On Air</v>
          </cell>
          <cell r="J824" t="str">
            <v>Outdoor</v>
          </cell>
          <cell r="K824" t="str">
            <v>AC</v>
          </cell>
          <cell r="L824" t="str">
            <v>I-Eng</v>
          </cell>
          <cell r="M824" t="str">
            <v>Garoua 2</v>
          </cell>
          <cell r="N824" t="str">
            <v>MAYO- LOUTI</v>
          </cell>
          <cell r="O824" t="str">
            <v>Bourha</v>
          </cell>
          <cell r="P824" t="str">
            <v>Jacques NGNIYANBE</v>
          </cell>
          <cell r="Q824">
            <v>677549822</v>
          </cell>
          <cell r="R824">
            <v>655999822</v>
          </cell>
          <cell r="S824" t="str">
            <v>Alain Etoundi</v>
          </cell>
          <cell r="T824" t="str">
            <v>Valeur HOUELL</v>
          </cell>
          <cell r="U824" t="str">
            <v>I H S</v>
          </cell>
        </row>
        <row r="825">
          <cell r="A825" t="str">
            <v>NRD_069</v>
          </cell>
          <cell r="B825" t="str">
            <v>IHS_GAR_040</v>
          </cell>
          <cell r="C825" t="str">
            <v>NRD_069</v>
          </cell>
          <cell r="D825" t="str">
            <v>North</v>
          </cell>
          <cell r="E825" t="str">
            <v>North</v>
          </cell>
          <cell r="F825" t="str">
            <v>DJABI-IHS</v>
          </cell>
          <cell r="G825" t="str">
            <v>P4</v>
          </cell>
          <cell r="H825" t="str">
            <v>Solar-Gen</v>
          </cell>
          <cell r="I825" t="str">
            <v>On Air</v>
          </cell>
          <cell r="J825" t="str">
            <v>Outdoor</v>
          </cell>
          <cell r="K825" t="str">
            <v>AC</v>
          </cell>
          <cell r="L825" t="str">
            <v>I-Eng</v>
          </cell>
          <cell r="M825" t="str">
            <v>Garoua 2</v>
          </cell>
          <cell r="N825" t="str">
            <v>MAYO- LOUTI</v>
          </cell>
          <cell r="O825" t="str">
            <v>Guider</v>
          </cell>
          <cell r="P825" t="str">
            <v>Jacques NGNIYANBE</v>
          </cell>
          <cell r="Q825">
            <v>677549822</v>
          </cell>
          <cell r="R825">
            <v>655999822</v>
          </cell>
          <cell r="S825" t="str">
            <v>Alain Etoundi</v>
          </cell>
          <cell r="T825" t="str">
            <v>Valeur HOUELL</v>
          </cell>
          <cell r="U825" t="str">
            <v>I H S</v>
          </cell>
        </row>
        <row r="826">
          <cell r="A826" t="str">
            <v>NRD_125</v>
          </cell>
          <cell r="B826" t="str">
            <v>IHS_GAR_325</v>
          </cell>
          <cell r="C826" t="str">
            <v>NRD_125</v>
          </cell>
          <cell r="D826" t="str">
            <v>North</v>
          </cell>
          <cell r="E826" t="str">
            <v>North</v>
          </cell>
          <cell r="F826" t="str">
            <v>So-Djay</v>
          </cell>
          <cell r="G826" t="str">
            <v>P5</v>
          </cell>
          <cell r="H826" t="str">
            <v>Solar-Gen</v>
          </cell>
          <cell r="I826" t="str">
            <v>On Air</v>
          </cell>
          <cell r="J826" t="str">
            <v>Outdoor</v>
          </cell>
          <cell r="K826" t="str">
            <v>AC</v>
          </cell>
          <cell r="L826" t="str">
            <v>I-Eng</v>
          </cell>
          <cell r="M826" t="str">
            <v>Garoua 2</v>
          </cell>
          <cell r="N826" t="str">
            <v>MAYO- LOUTI</v>
          </cell>
          <cell r="O826" t="str">
            <v>Guider</v>
          </cell>
          <cell r="P826" t="str">
            <v>Jacques NGNIYANBE</v>
          </cell>
          <cell r="Q826">
            <v>677549822</v>
          </cell>
          <cell r="R826">
            <v>655999822</v>
          </cell>
          <cell r="S826" t="str">
            <v>Alain Etoundi</v>
          </cell>
          <cell r="T826" t="str">
            <v>Valeur HOUELL</v>
          </cell>
          <cell r="U826" t="str">
            <v>I H S</v>
          </cell>
        </row>
        <row r="827">
          <cell r="A827" t="str">
            <v>NRD_010</v>
          </cell>
          <cell r="B827" t="str">
            <v>IHS_GAR_067</v>
          </cell>
          <cell r="C827" t="str">
            <v>NRD_010</v>
          </cell>
          <cell r="D827" t="str">
            <v>North</v>
          </cell>
          <cell r="E827" t="str">
            <v>North</v>
          </cell>
          <cell r="F827" t="str">
            <v>Mayo-Oulo</v>
          </cell>
          <cell r="G827" t="str">
            <v>P5</v>
          </cell>
          <cell r="H827" t="str">
            <v>Grid-Gen</v>
          </cell>
          <cell r="I827" t="str">
            <v>On Air</v>
          </cell>
          <cell r="J827" t="str">
            <v>Indoor</v>
          </cell>
          <cell r="K827" t="str">
            <v>AC</v>
          </cell>
          <cell r="L827" t="str">
            <v>I-Eng</v>
          </cell>
          <cell r="M827" t="str">
            <v>Garoua 2</v>
          </cell>
          <cell r="N827" t="str">
            <v>MAYO- LOUTI</v>
          </cell>
          <cell r="O827" t="str">
            <v>Guider</v>
          </cell>
          <cell r="P827" t="str">
            <v>Jacques NGNIYANBE</v>
          </cell>
          <cell r="Q827">
            <v>677549822</v>
          </cell>
          <cell r="R827">
            <v>655999822</v>
          </cell>
          <cell r="S827" t="str">
            <v>Alain Etoundi</v>
          </cell>
          <cell r="T827" t="str">
            <v>Valeur HOUELL</v>
          </cell>
          <cell r="U827" t="str">
            <v>I H S</v>
          </cell>
        </row>
        <row r="828">
          <cell r="A828" t="str">
            <v>NRD_076</v>
          </cell>
          <cell r="B828" t="str">
            <v>IHS_GAR_119</v>
          </cell>
          <cell r="C828" t="str">
            <v>NRD_076</v>
          </cell>
          <cell r="D828" t="str">
            <v>North</v>
          </cell>
          <cell r="E828" t="str">
            <v>North</v>
          </cell>
          <cell r="F828" t="str">
            <v>Guider-Ville</v>
          </cell>
          <cell r="G828" t="str">
            <v>P5</v>
          </cell>
          <cell r="H828" t="str">
            <v>Grid-Gen</v>
          </cell>
          <cell r="I828" t="str">
            <v>On Air</v>
          </cell>
          <cell r="J828" t="str">
            <v>Outdoor</v>
          </cell>
          <cell r="K828" t="str">
            <v>AC</v>
          </cell>
          <cell r="L828" t="str">
            <v>I-Eng</v>
          </cell>
          <cell r="M828" t="str">
            <v>Garoua 2</v>
          </cell>
          <cell r="N828" t="str">
            <v>MAYO- LOUTI</v>
          </cell>
          <cell r="O828" t="str">
            <v>Guider</v>
          </cell>
          <cell r="P828" t="str">
            <v>Jacques NGNIYANBE</v>
          </cell>
          <cell r="Q828">
            <v>677549822</v>
          </cell>
          <cell r="R828">
            <v>655999822</v>
          </cell>
          <cell r="S828" t="str">
            <v>Alain Etoundi</v>
          </cell>
          <cell r="T828" t="str">
            <v>Valeur HOUELL</v>
          </cell>
          <cell r="U828" t="str">
            <v>I H S</v>
          </cell>
        </row>
        <row r="829">
          <cell r="A829" t="str">
            <v>NRD_123</v>
          </cell>
          <cell r="B829" t="str">
            <v>IHS_MAR_312</v>
          </cell>
          <cell r="C829" t="str">
            <v>NRD_123</v>
          </cell>
          <cell r="D829" t="str">
            <v>North</v>
          </cell>
          <cell r="E829" t="str">
            <v>North</v>
          </cell>
          <cell r="F829" t="str">
            <v>Mandama</v>
          </cell>
          <cell r="G829" t="str">
            <v>P5</v>
          </cell>
          <cell r="H829" t="str">
            <v>Grid-Hybrid-Gen</v>
          </cell>
          <cell r="I829" t="str">
            <v>On Air</v>
          </cell>
          <cell r="J829" t="str">
            <v>Outdoor</v>
          </cell>
          <cell r="K829" t="str">
            <v>AC</v>
          </cell>
          <cell r="L829" t="str">
            <v>I-Eng</v>
          </cell>
          <cell r="M829" t="str">
            <v>Garoua 2</v>
          </cell>
          <cell r="N829" t="str">
            <v>MAYO- LOUTI</v>
          </cell>
          <cell r="O829" t="str">
            <v>Mokolo</v>
          </cell>
          <cell r="P829" t="str">
            <v>Jacques NGNIYANBE</v>
          </cell>
          <cell r="Q829">
            <v>677549822</v>
          </cell>
          <cell r="R829">
            <v>655999822</v>
          </cell>
          <cell r="S829" t="str">
            <v>Alain Etoundi</v>
          </cell>
          <cell r="T829" t="str">
            <v>Valeur HOUELL</v>
          </cell>
          <cell r="U829" t="str">
            <v>I H S</v>
          </cell>
        </row>
        <row r="830">
          <cell r="A830" t="str">
            <v>SUO_004</v>
          </cell>
          <cell r="B830" t="str">
            <v>IHS_BUA_037</v>
          </cell>
          <cell r="C830" t="str">
            <v>SUO_004</v>
          </cell>
          <cell r="D830" t="str">
            <v>South West</v>
          </cell>
          <cell r="E830" t="str">
            <v>South West</v>
          </cell>
          <cell r="F830" t="str">
            <v>Tiko</v>
          </cell>
          <cell r="G830" t="str">
            <v>P2</v>
          </cell>
          <cell r="H830" t="str">
            <v>Grid-Gen</v>
          </cell>
          <cell r="I830" t="str">
            <v>On Air</v>
          </cell>
          <cell r="J830" t="str">
            <v>Indoor</v>
          </cell>
          <cell r="K830" t="str">
            <v>AC</v>
          </cell>
          <cell r="L830" t="str">
            <v>I-Eng</v>
          </cell>
          <cell r="M830" t="str">
            <v>Mutenguene</v>
          </cell>
          <cell r="N830" t="str">
            <v>FAKO</v>
          </cell>
          <cell r="O830" t="str">
            <v>TIKO</v>
          </cell>
          <cell r="P830" t="str">
            <v>Jean Francois NSEGBE</v>
          </cell>
          <cell r="Q830">
            <v>656072685</v>
          </cell>
          <cell r="R830">
            <v>683859238</v>
          </cell>
          <cell r="S830" t="str">
            <v>Stephane KETCHOUANG</v>
          </cell>
          <cell r="T830" t="str">
            <v>GEORGES NAKHOUL</v>
          </cell>
          <cell r="U830" t="str">
            <v>I H S</v>
          </cell>
        </row>
        <row r="831">
          <cell r="A831" t="str">
            <v>SUO_003</v>
          </cell>
          <cell r="B831" t="str">
            <v>IHS_LMB_004</v>
          </cell>
          <cell r="C831" t="str">
            <v>SUO_003</v>
          </cell>
          <cell r="D831" t="str">
            <v>South West</v>
          </cell>
          <cell r="E831" t="str">
            <v>South West</v>
          </cell>
          <cell r="F831" t="str">
            <v>Limbe-UQ</v>
          </cell>
          <cell r="G831" t="str">
            <v>P2</v>
          </cell>
          <cell r="H831" t="str">
            <v>Grid-Gen</v>
          </cell>
          <cell r="I831" t="str">
            <v>On Air</v>
          </cell>
          <cell r="J831" t="str">
            <v>Indoor</v>
          </cell>
          <cell r="K831" t="str">
            <v>AC</v>
          </cell>
          <cell r="L831" t="str">
            <v>I-Eng</v>
          </cell>
          <cell r="M831" t="str">
            <v>Limbe</v>
          </cell>
          <cell r="N831" t="str">
            <v>FAKO</v>
          </cell>
          <cell r="O831" t="str">
            <v>LIMBE I</v>
          </cell>
          <cell r="P831" t="str">
            <v>Jean Francois NSEGBE</v>
          </cell>
          <cell r="Q831">
            <v>656072685</v>
          </cell>
          <cell r="R831">
            <v>683859238</v>
          </cell>
          <cell r="S831" t="str">
            <v>Stephane KETCHOUANG</v>
          </cell>
          <cell r="T831" t="str">
            <v>GEORGES NAKHOUL</v>
          </cell>
          <cell r="U831" t="str">
            <v>I H S</v>
          </cell>
        </row>
        <row r="832">
          <cell r="A832" t="str">
            <v>SUO_021</v>
          </cell>
          <cell r="B832" t="str">
            <v>IHS_LMB_021</v>
          </cell>
          <cell r="C832" t="str">
            <v>SUO_021</v>
          </cell>
          <cell r="D832" t="str">
            <v>South West</v>
          </cell>
          <cell r="E832" t="str">
            <v>South West</v>
          </cell>
          <cell r="F832" t="str">
            <v>Mile4</v>
          </cell>
          <cell r="G832" t="str">
            <v>P2</v>
          </cell>
          <cell r="H832" t="str">
            <v>Grid-Gen</v>
          </cell>
          <cell r="I832" t="str">
            <v>On Air</v>
          </cell>
          <cell r="J832" t="str">
            <v>Indoor</v>
          </cell>
          <cell r="K832" t="str">
            <v>AC</v>
          </cell>
          <cell r="L832" t="str">
            <v>I-Eng</v>
          </cell>
          <cell r="M832" t="str">
            <v>Mutenguene</v>
          </cell>
          <cell r="N832" t="str">
            <v>FAKO</v>
          </cell>
          <cell r="O832" t="str">
            <v>LIMBE I</v>
          </cell>
          <cell r="P832" t="str">
            <v>Jean Francois NSEGBE</v>
          </cell>
          <cell r="Q832">
            <v>656072685</v>
          </cell>
          <cell r="R832">
            <v>683859238</v>
          </cell>
          <cell r="S832" t="str">
            <v>Stephane KETCHOUANG</v>
          </cell>
          <cell r="T832" t="str">
            <v>GEORGES NAKHOUL</v>
          </cell>
          <cell r="U832" t="str">
            <v>I H S</v>
          </cell>
        </row>
        <row r="833">
          <cell r="A833" t="str">
            <v>SUO_005</v>
          </cell>
          <cell r="B833" t="str">
            <v>IHS_BUA_030</v>
          </cell>
          <cell r="C833" t="str">
            <v>SUO_005</v>
          </cell>
          <cell r="D833" t="str">
            <v>South West</v>
          </cell>
          <cell r="E833" t="str">
            <v>South West</v>
          </cell>
          <cell r="F833" t="str">
            <v>Mutengene</v>
          </cell>
          <cell r="G833" t="str">
            <v>P2</v>
          </cell>
          <cell r="H833" t="str">
            <v>Grid-Gen</v>
          </cell>
          <cell r="I833" t="str">
            <v>On Air</v>
          </cell>
          <cell r="J833" t="str">
            <v>Indoor</v>
          </cell>
          <cell r="K833" t="str">
            <v>AC</v>
          </cell>
          <cell r="L833" t="str">
            <v>I-Eng</v>
          </cell>
          <cell r="M833" t="str">
            <v>Mutenguene</v>
          </cell>
          <cell r="N833" t="str">
            <v>FAKO</v>
          </cell>
          <cell r="O833" t="str">
            <v>TIKO</v>
          </cell>
          <cell r="P833" t="str">
            <v>Jean Francois NSEGBE</v>
          </cell>
          <cell r="Q833">
            <v>656072685</v>
          </cell>
          <cell r="R833">
            <v>683859238</v>
          </cell>
          <cell r="S833" t="str">
            <v>Stephane KETCHOUANG</v>
          </cell>
          <cell r="T833" t="str">
            <v>GEORGES NAKHOUL</v>
          </cell>
          <cell r="U833" t="str">
            <v>I H S</v>
          </cell>
        </row>
        <row r="834">
          <cell r="A834" t="str">
            <v>SUO_011</v>
          </cell>
          <cell r="B834" t="str">
            <v>IHS_LMB_018</v>
          </cell>
          <cell r="C834" t="str">
            <v>SUO_011</v>
          </cell>
          <cell r="D834" t="str">
            <v>South West</v>
          </cell>
          <cell r="E834" t="str">
            <v>South West</v>
          </cell>
          <cell r="F834" t="str">
            <v>Monkey-Hill</v>
          </cell>
          <cell r="G834" t="str">
            <v>P3</v>
          </cell>
          <cell r="H834" t="str">
            <v>Grid-Gen</v>
          </cell>
          <cell r="I834" t="str">
            <v>On Air</v>
          </cell>
          <cell r="J834" t="str">
            <v>Indoor</v>
          </cell>
          <cell r="K834" t="str">
            <v>AC</v>
          </cell>
          <cell r="L834" t="str">
            <v>I-Eng</v>
          </cell>
          <cell r="M834" t="str">
            <v>Limbe</v>
          </cell>
          <cell r="N834" t="str">
            <v>FAKO</v>
          </cell>
          <cell r="O834" t="str">
            <v>LIMBE 2</v>
          </cell>
          <cell r="P834" t="str">
            <v>Jean Francois NSEGBE</v>
          </cell>
          <cell r="Q834">
            <v>656072685</v>
          </cell>
          <cell r="R834">
            <v>683859238</v>
          </cell>
          <cell r="S834" t="str">
            <v>Stephane KETCHOUANG</v>
          </cell>
          <cell r="T834" t="str">
            <v>GEORGES NAKHOUL</v>
          </cell>
          <cell r="U834" t="str">
            <v>I H S</v>
          </cell>
        </row>
        <row r="835">
          <cell r="A835" t="str">
            <v>SUO_050</v>
          </cell>
          <cell r="B835" t="str">
            <v>IHS_LMB_005</v>
          </cell>
          <cell r="C835" t="str">
            <v>SUO_050</v>
          </cell>
          <cell r="D835" t="str">
            <v>South West</v>
          </cell>
          <cell r="E835" t="str">
            <v>South West</v>
          </cell>
          <cell r="F835" t="str">
            <v>Limbe-Down-Beach-II</v>
          </cell>
          <cell r="G835" t="str">
            <v>P3</v>
          </cell>
          <cell r="H835" t="str">
            <v>Grid Only</v>
          </cell>
          <cell r="I835" t="str">
            <v>On Air</v>
          </cell>
          <cell r="J835" t="str">
            <v>Outdoor</v>
          </cell>
          <cell r="K835" t="str">
            <v>AC</v>
          </cell>
          <cell r="L835" t="str">
            <v>I-Eng</v>
          </cell>
          <cell r="M835" t="str">
            <v>Limbe</v>
          </cell>
          <cell r="N835" t="str">
            <v>FAKO</v>
          </cell>
          <cell r="O835" t="str">
            <v>LIMBE I</v>
          </cell>
          <cell r="P835" t="str">
            <v>Jean Francois NSEGBE</v>
          </cell>
          <cell r="Q835">
            <v>656072685</v>
          </cell>
          <cell r="R835">
            <v>683859238</v>
          </cell>
          <cell r="S835" t="str">
            <v>Stephane KETCHOUANG</v>
          </cell>
          <cell r="T835" t="str">
            <v>GEORGES NAKHOUL</v>
          </cell>
          <cell r="U835" t="str">
            <v>I H S</v>
          </cell>
        </row>
        <row r="836">
          <cell r="A836" t="str">
            <v>LIT_174</v>
          </cell>
          <cell r="B836" t="str">
            <v>IHS_BUA_036</v>
          </cell>
          <cell r="C836" t="str">
            <v>LIT_174</v>
          </cell>
          <cell r="D836" t="str">
            <v>South West</v>
          </cell>
          <cell r="E836" t="str">
            <v>South West</v>
          </cell>
          <cell r="F836" t="str">
            <v>Tiko-Long-Street-IHS</v>
          </cell>
          <cell r="G836" t="str">
            <v>P3</v>
          </cell>
          <cell r="H836" t="str">
            <v>Grid-Gen</v>
          </cell>
          <cell r="I836" t="str">
            <v>On Air</v>
          </cell>
          <cell r="J836" t="str">
            <v>Outdoor</v>
          </cell>
          <cell r="K836" t="str">
            <v>AC</v>
          </cell>
          <cell r="L836" t="str">
            <v>I-Eng</v>
          </cell>
          <cell r="M836" t="str">
            <v>Mutenguene</v>
          </cell>
          <cell r="N836" t="str">
            <v>FAKO</v>
          </cell>
          <cell r="O836" t="str">
            <v>TIKO</v>
          </cell>
          <cell r="P836" t="str">
            <v>Jean Francois NSEGBE</v>
          </cell>
          <cell r="Q836">
            <v>656072685</v>
          </cell>
          <cell r="R836">
            <v>683859238</v>
          </cell>
          <cell r="S836" t="str">
            <v>Stephane KETCHOUANG</v>
          </cell>
          <cell r="T836" t="str">
            <v>GEORGES NAKHOUL</v>
          </cell>
          <cell r="U836" t="str">
            <v>I H S</v>
          </cell>
        </row>
        <row r="837">
          <cell r="A837" t="str">
            <v>SUO_080</v>
          </cell>
          <cell r="B837" t="str">
            <v>IHS_LMB_017</v>
          </cell>
          <cell r="C837" t="str">
            <v>SUO_080</v>
          </cell>
          <cell r="D837" t="str">
            <v>South West</v>
          </cell>
          <cell r="E837" t="str">
            <v>South West</v>
          </cell>
          <cell r="F837" t="str">
            <v>Limbe-Sonara-MTN</v>
          </cell>
          <cell r="G837" t="str">
            <v>P3</v>
          </cell>
          <cell r="H837" t="str">
            <v>Grid-Gen</v>
          </cell>
          <cell r="I837" t="str">
            <v>On Air</v>
          </cell>
          <cell r="J837" t="str">
            <v>Outdoor</v>
          </cell>
          <cell r="K837" t="str">
            <v>AC</v>
          </cell>
          <cell r="L837" t="str">
            <v>I-Eng</v>
          </cell>
          <cell r="M837" t="str">
            <v>Limbe</v>
          </cell>
          <cell r="N837" t="str">
            <v>FAKO</v>
          </cell>
          <cell r="O837" t="str">
            <v>LIMBE 2</v>
          </cell>
          <cell r="P837" t="str">
            <v>Jean Francois NSEGBE</v>
          </cell>
          <cell r="Q837">
            <v>656072685</v>
          </cell>
          <cell r="R837">
            <v>683859238</v>
          </cell>
          <cell r="S837" t="str">
            <v>Stephane KETCHOUANG</v>
          </cell>
          <cell r="T837" t="str">
            <v>GEORGES NAKHOUL</v>
          </cell>
          <cell r="U837" t="str">
            <v>I H S</v>
          </cell>
        </row>
        <row r="838">
          <cell r="A838" t="str">
            <v>SUO_082</v>
          </cell>
          <cell r="B838" t="str">
            <v>IHS_LMB_024</v>
          </cell>
          <cell r="C838" t="str">
            <v>SUO_082</v>
          </cell>
          <cell r="D838" t="str">
            <v>South West</v>
          </cell>
          <cell r="E838" t="str">
            <v>South West</v>
          </cell>
          <cell r="F838" t="str">
            <v>Limbe-Semme-Beach-MTN</v>
          </cell>
          <cell r="G838" t="str">
            <v>P3</v>
          </cell>
          <cell r="H838" t="str">
            <v>Grid-Gen</v>
          </cell>
          <cell r="I838" t="str">
            <v>On Air</v>
          </cell>
          <cell r="J838" t="str">
            <v>Outdoor</v>
          </cell>
          <cell r="K838" t="str">
            <v>AC</v>
          </cell>
          <cell r="L838" t="str">
            <v>I-Eng</v>
          </cell>
          <cell r="M838" t="str">
            <v>Limbe</v>
          </cell>
          <cell r="N838" t="str">
            <v>FAKO</v>
          </cell>
          <cell r="O838" t="str">
            <v>LIMBE 2</v>
          </cell>
          <cell r="P838" t="str">
            <v>Jean Francois NSEGBE</v>
          </cell>
          <cell r="Q838">
            <v>656072685</v>
          </cell>
          <cell r="R838">
            <v>683859238</v>
          </cell>
          <cell r="S838" t="str">
            <v>Stephane KETCHOUANG</v>
          </cell>
          <cell r="T838" t="str">
            <v>GEORGES NAKHOUL</v>
          </cell>
          <cell r="U838" t="str">
            <v>I H S</v>
          </cell>
        </row>
        <row r="839">
          <cell r="A839" t="str">
            <v>SUO_064</v>
          </cell>
          <cell r="B839" t="str">
            <v>IHS_BUA_032</v>
          </cell>
          <cell r="C839" t="str">
            <v>SUO_064</v>
          </cell>
          <cell r="D839" t="str">
            <v>South West</v>
          </cell>
          <cell r="E839" t="str">
            <v>South West</v>
          </cell>
          <cell r="F839" t="str">
            <v>Mutengene-Qter8</v>
          </cell>
          <cell r="G839" t="str">
            <v>P4</v>
          </cell>
          <cell r="H839" t="str">
            <v>Grid-Gen</v>
          </cell>
          <cell r="I839" t="str">
            <v>On Air</v>
          </cell>
          <cell r="J839" t="str">
            <v>Outdoor</v>
          </cell>
          <cell r="K839" t="str">
            <v>AC</v>
          </cell>
          <cell r="L839" t="str">
            <v>I-Eng</v>
          </cell>
          <cell r="M839" t="str">
            <v>Mutenguene</v>
          </cell>
          <cell r="N839" t="str">
            <v>FAKO</v>
          </cell>
          <cell r="O839" t="str">
            <v>TIKO</v>
          </cell>
          <cell r="P839" t="str">
            <v>Jean Francois NSEGBE</v>
          </cell>
          <cell r="Q839">
            <v>656072685</v>
          </cell>
          <cell r="R839">
            <v>683859238</v>
          </cell>
          <cell r="S839" t="str">
            <v>Stephane KETCHOUANG</v>
          </cell>
          <cell r="T839" t="str">
            <v>GEORGES NAKHOUL</v>
          </cell>
          <cell r="U839" t="str">
            <v>I H S</v>
          </cell>
        </row>
        <row r="840">
          <cell r="A840" t="str">
            <v>SUO_078</v>
          </cell>
          <cell r="B840" t="str">
            <v>IHS_LMB_016</v>
          </cell>
          <cell r="C840" t="str">
            <v>SUO_078</v>
          </cell>
          <cell r="D840" t="str">
            <v>South West</v>
          </cell>
          <cell r="E840" t="str">
            <v>South West</v>
          </cell>
          <cell r="F840" t="str">
            <v>Limbe-Fini-Hotel</v>
          </cell>
          <cell r="G840" t="str">
            <v>P4</v>
          </cell>
          <cell r="H840" t="str">
            <v>Grid-Gen</v>
          </cell>
          <cell r="I840" t="str">
            <v>On Air</v>
          </cell>
          <cell r="J840" t="str">
            <v>Outdoor</v>
          </cell>
          <cell r="K840" t="str">
            <v>AC</v>
          </cell>
          <cell r="L840" t="str">
            <v>I-Eng</v>
          </cell>
          <cell r="M840" t="str">
            <v>Limbe</v>
          </cell>
          <cell r="N840" t="str">
            <v>FAKO</v>
          </cell>
          <cell r="O840" t="str">
            <v>LIMBE 1</v>
          </cell>
          <cell r="P840" t="str">
            <v>Jean Francois NSEGBE</v>
          </cell>
          <cell r="Q840">
            <v>656072685</v>
          </cell>
          <cell r="R840">
            <v>683859238</v>
          </cell>
          <cell r="S840" t="str">
            <v>Stephane KETCHOUANG</v>
          </cell>
          <cell r="T840" t="str">
            <v>GEORGES NAKHOUL</v>
          </cell>
          <cell r="U840" t="str">
            <v>I H S</v>
          </cell>
        </row>
        <row r="841">
          <cell r="A841" t="str">
            <v>SUO_065</v>
          </cell>
          <cell r="B841" t="str">
            <v>IHS_LMB_001</v>
          </cell>
          <cell r="C841" t="str">
            <v>SUO_065</v>
          </cell>
          <cell r="D841" t="str">
            <v>South West</v>
          </cell>
          <cell r="E841" t="str">
            <v>South West</v>
          </cell>
          <cell r="F841" t="str">
            <v>Limbe-Federal-Qter</v>
          </cell>
          <cell r="G841" t="str">
            <v>P4</v>
          </cell>
          <cell r="H841" t="str">
            <v>Grid-Gen</v>
          </cell>
          <cell r="I841" t="str">
            <v>On Air</v>
          </cell>
          <cell r="J841" t="str">
            <v>Outdoor</v>
          </cell>
          <cell r="K841" t="str">
            <v>AC</v>
          </cell>
          <cell r="L841" t="str">
            <v>I-Eng</v>
          </cell>
          <cell r="M841" t="str">
            <v>Limbe</v>
          </cell>
          <cell r="N841" t="str">
            <v>FAKO</v>
          </cell>
          <cell r="O841" t="str">
            <v>LIMBE I</v>
          </cell>
          <cell r="P841" t="str">
            <v>Jean Francois NSEGBE</v>
          </cell>
          <cell r="Q841">
            <v>656072685</v>
          </cell>
          <cell r="R841">
            <v>683859238</v>
          </cell>
          <cell r="S841" t="str">
            <v>Stephane KETCHOUANG</v>
          </cell>
          <cell r="T841" t="str">
            <v>GEORGES NAKHOUL</v>
          </cell>
          <cell r="U841" t="str">
            <v>I H S</v>
          </cell>
        </row>
        <row r="842">
          <cell r="A842" t="str">
            <v>SUO_014</v>
          </cell>
          <cell r="B842" t="str">
            <v>IHS_LMB_007</v>
          </cell>
          <cell r="C842" t="str">
            <v>SUO_014</v>
          </cell>
          <cell r="D842" t="str">
            <v>South West</v>
          </cell>
          <cell r="E842" t="str">
            <v>South West</v>
          </cell>
          <cell r="F842" t="str">
            <v>Down-Beach</v>
          </cell>
          <cell r="G842" t="str">
            <v>P4</v>
          </cell>
          <cell r="H842" t="str">
            <v>Grid-Gen</v>
          </cell>
          <cell r="I842" t="str">
            <v>On Air</v>
          </cell>
          <cell r="J842" t="str">
            <v>Indoor</v>
          </cell>
          <cell r="K842" t="str">
            <v>AC</v>
          </cell>
          <cell r="L842" t="str">
            <v>I-Eng</v>
          </cell>
          <cell r="M842" t="str">
            <v>Limbe</v>
          </cell>
          <cell r="N842" t="str">
            <v>FAKO</v>
          </cell>
          <cell r="O842" t="str">
            <v>LIMBE 1</v>
          </cell>
          <cell r="P842" t="str">
            <v>Jean Francois NSEGBE</v>
          </cell>
          <cell r="Q842">
            <v>656072685</v>
          </cell>
          <cell r="R842">
            <v>683859238</v>
          </cell>
          <cell r="S842" t="str">
            <v>Stephane KETCHOUANG</v>
          </cell>
          <cell r="T842" t="str">
            <v>GEORGES NAKHOUL</v>
          </cell>
          <cell r="U842" t="str">
            <v>I H S</v>
          </cell>
        </row>
        <row r="843">
          <cell r="A843" t="str">
            <v>SUO_002</v>
          </cell>
          <cell r="B843" t="str">
            <v>IHS_LMB_011</v>
          </cell>
          <cell r="C843" t="str">
            <v>SUO_002</v>
          </cell>
          <cell r="D843" t="str">
            <v>South West</v>
          </cell>
          <cell r="E843" t="str">
            <v>South West</v>
          </cell>
          <cell r="F843" t="str">
            <v>Limbe-Kie</v>
          </cell>
          <cell r="G843" t="str">
            <v>P4</v>
          </cell>
          <cell r="H843" t="str">
            <v>Grid-Gen</v>
          </cell>
          <cell r="I843" t="str">
            <v>On Air</v>
          </cell>
          <cell r="J843" t="str">
            <v>Indoor</v>
          </cell>
          <cell r="K843" t="str">
            <v>AC</v>
          </cell>
          <cell r="L843" t="str">
            <v>I-Eng</v>
          </cell>
          <cell r="M843" t="str">
            <v>Limbe</v>
          </cell>
          <cell r="N843" t="str">
            <v>FAKO</v>
          </cell>
          <cell r="O843" t="str">
            <v>LIMBE 1</v>
          </cell>
          <cell r="P843" t="str">
            <v>Jean Francois NSEGBE</v>
          </cell>
          <cell r="Q843">
            <v>656072685</v>
          </cell>
          <cell r="R843">
            <v>683859238</v>
          </cell>
          <cell r="S843" t="str">
            <v>Stephane KETCHOUANG</v>
          </cell>
          <cell r="T843" t="str">
            <v>GEORGES NAKHOUL</v>
          </cell>
          <cell r="U843" t="str">
            <v>I H S</v>
          </cell>
        </row>
        <row r="844">
          <cell r="A844" t="str">
            <v>LIT_178</v>
          </cell>
          <cell r="B844" t="str">
            <v>IHS_BUA_041</v>
          </cell>
          <cell r="C844" t="str">
            <v>LIT_178</v>
          </cell>
          <cell r="D844" t="str">
            <v>South West</v>
          </cell>
          <cell r="E844" t="str">
            <v>South West</v>
          </cell>
          <cell r="F844" t="str">
            <v>Missellele</v>
          </cell>
          <cell r="G844" t="str">
            <v>P4</v>
          </cell>
          <cell r="H844" t="str">
            <v>Grid-Gen</v>
          </cell>
          <cell r="I844" t="str">
            <v>On Air</v>
          </cell>
          <cell r="J844" t="str">
            <v>Outdoor</v>
          </cell>
          <cell r="K844" t="str">
            <v>AC</v>
          </cell>
          <cell r="L844" t="str">
            <v>I-Eng</v>
          </cell>
          <cell r="M844" t="str">
            <v>Mutenguene</v>
          </cell>
          <cell r="N844" t="str">
            <v>FAKO</v>
          </cell>
          <cell r="O844" t="str">
            <v>TIKO</v>
          </cell>
          <cell r="P844" t="str">
            <v>Jean Francois NSEGBE</v>
          </cell>
          <cell r="Q844">
            <v>656072685</v>
          </cell>
          <cell r="R844">
            <v>683859238</v>
          </cell>
          <cell r="S844" t="str">
            <v>Stephane KETCHOUANG</v>
          </cell>
          <cell r="T844" t="str">
            <v>GEORGES NAKHOUL</v>
          </cell>
          <cell r="U844" t="str">
            <v>I H S</v>
          </cell>
        </row>
        <row r="845">
          <cell r="A845" t="str">
            <v>SUO_166</v>
          </cell>
          <cell r="B845" t="str">
            <v>IHS_LMB_010</v>
          </cell>
          <cell r="C845" t="str">
            <v>SUO_166</v>
          </cell>
          <cell r="D845" t="str">
            <v>South West</v>
          </cell>
          <cell r="E845" t="str">
            <v>South West</v>
          </cell>
          <cell r="F845" t="str">
            <v>Upper Mawo</v>
          </cell>
          <cell r="G845" t="str">
            <v>P4</v>
          </cell>
          <cell r="H845" t="str">
            <v>Grid-Gen</v>
          </cell>
          <cell r="I845" t="str">
            <v>On Air</v>
          </cell>
          <cell r="J845" t="str">
            <v>Outdoor</v>
          </cell>
          <cell r="K845" t="str">
            <v>AC</v>
          </cell>
          <cell r="L845" t="str">
            <v>I-Eng</v>
          </cell>
          <cell r="M845" t="str">
            <v>Limbe</v>
          </cell>
          <cell r="N845" t="str">
            <v>FAKO</v>
          </cell>
          <cell r="O845" t="str">
            <v>LIMBE I</v>
          </cell>
          <cell r="P845" t="str">
            <v>Jean Francois NSEGBE</v>
          </cell>
          <cell r="Q845">
            <v>656072685</v>
          </cell>
          <cell r="R845">
            <v>683859238</v>
          </cell>
          <cell r="S845" t="str">
            <v>Stephane KETCHOUANG</v>
          </cell>
          <cell r="T845" t="str">
            <v>GEORGES NAKHOUL</v>
          </cell>
          <cell r="U845" t="str">
            <v>I H S</v>
          </cell>
        </row>
        <row r="846">
          <cell r="A846" t="str">
            <v>SUO_211</v>
          </cell>
          <cell r="B846" t="str">
            <v>IHS_BUA_126</v>
          </cell>
          <cell r="C846" t="str">
            <v>SUO_211</v>
          </cell>
          <cell r="D846" t="str">
            <v>South West</v>
          </cell>
          <cell r="E846" t="str">
            <v>South West</v>
          </cell>
          <cell r="F846" t="str">
            <v>MUTENGUENE Q12</v>
          </cell>
          <cell r="G846" t="str">
            <v>P4</v>
          </cell>
          <cell r="H846" t="str">
            <v>Grid-Gen</v>
          </cell>
          <cell r="I846">
            <v>0</v>
          </cell>
          <cell r="J846" t="str">
            <v>Outdoor</v>
          </cell>
          <cell r="K846" t="str">
            <v>AC</v>
          </cell>
          <cell r="L846" t="str">
            <v>I-Eng</v>
          </cell>
          <cell r="M846" t="str">
            <v>Mutenguene</v>
          </cell>
          <cell r="N846" t="str">
            <v>FAKO</v>
          </cell>
          <cell r="O846" t="str">
            <v>TIKO</v>
          </cell>
          <cell r="P846" t="str">
            <v>Jean Francois NSEGBE</v>
          </cell>
          <cell r="Q846">
            <v>656072685</v>
          </cell>
          <cell r="R846">
            <v>683859238</v>
          </cell>
          <cell r="S846" t="str">
            <v>Stephane KETCHOUANG</v>
          </cell>
          <cell r="T846" t="str">
            <v>GEORGES NAKHOUL</v>
          </cell>
          <cell r="U846" t="str">
            <v>I H S</v>
          </cell>
        </row>
        <row r="847">
          <cell r="A847" t="str">
            <v>SUO_214</v>
          </cell>
          <cell r="B847" t="str">
            <v>IHS_BUA_168</v>
          </cell>
          <cell r="C847" t="str">
            <v>SUO_214</v>
          </cell>
          <cell r="D847" t="str">
            <v>South West</v>
          </cell>
          <cell r="E847" t="str">
            <v>South West</v>
          </cell>
          <cell r="F847" t="str">
            <v>MILE 4 Q10</v>
          </cell>
          <cell r="G847" t="str">
            <v>P4</v>
          </cell>
          <cell r="H847" t="str">
            <v>Grid-Gen</v>
          </cell>
          <cell r="I847">
            <v>0</v>
          </cell>
          <cell r="J847" t="str">
            <v>Outdoor</v>
          </cell>
          <cell r="K847" t="str">
            <v>AC</v>
          </cell>
          <cell r="L847" t="str">
            <v>I-Eng</v>
          </cell>
          <cell r="M847" t="str">
            <v>Mutenguene</v>
          </cell>
          <cell r="N847" t="str">
            <v>FAKO</v>
          </cell>
          <cell r="O847" t="str">
            <v>LIMBE 1</v>
          </cell>
          <cell r="P847" t="str">
            <v>Jean Francois NSEGBE</v>
          </cell>
          <cell r="Q847">
            <v>656072685</v>
          </cell>
          <cell r="R847">
            <v>683859238</v>
          </cell>
          <cell r="S847" t="str">
            <v>Stephane KETCHOUANG</v>
          </cell>
          <cell r="T847" t="str">
            <v>GEORGES NAKHOUL</v>
          </cell>
          <cell r="U847" t="str">
            <v>I H S</v>
          </cell>
        </row>
        <row r="848">
          <cell r="A848" t="str">
            <v>SUO_151</v>
          </cell>
          <cell r="B848" t="str">
            <v>IHS_LMB_114</v>
          </cell>
          <cell r="C848" t="str">
            <v>SUO_151</v>
          </cell>
          <cell r="D848" t="str">
            <v>South West</v>
          </cell>
          <cell r="E848" t="str">
            <v>South West</v>
          </cell>
          <cell r="F848" t="str">
            <v>Limbe College Excellence</v>
          </cell>
          <cell r="G848" t="str">
            <v>P4</v>
          </cell>
          <cell r="H848" t="str">
            <v>Grid-Gen</v>
          </cell>
          <cell r="I848" t="str">
            <v>On Air</v>
          </cell>
          <cell r="J848" t="str">
            <v>Outdoor</v>
          </cell>
          <cell r="K848" t="str">
            <v>AC</v>
          </cell>
          <cell r="L848" t="str">
            <v>I-Eng</v>
          </cell>
          <cell r="M848" t="str">
            <v>Limbe</v>
          </cell>
          <cell r="N848" t="str">
            <v>FAKO</v>
          </cell>
          <cell r="O848" t="str">
            <v>LIMBE 2</v>
          </cell>
          <cell r="P848" t="str">
            <v>Jean Francois NSEGBE</v>
          </cell>
          <cell r="Q848">
            <v>656072685</v>
          </cell>
          <cell r="R848">
            <v>683859238</v>
          </cell>
          <cell r="S848" t="str">
            <v>Stephane KETCHOUANG</v>
          </cell>
          <cell r="T848" t="str">
            <v>GEORGES NAKHOUL</v>
          </cell>
          <cell r="U848" t="str">
            <v>I H S</v>
          </cell>
        </row>
        <row r="849">
          <cell r="A849" t="str">
            <v>SUO_220 </v>
          </cell>
          <cell r="B849" t="str">
            <v>IHS_BUA_131</v>
          </cell>
          <cell r="C849" t="str">
            <v>SUO_220 </v>
          </cell>
          <cell r="D849" t="str">
            <v>South West</v>
          </cell>
          <cell r="E849" t="str">
            <v>South West</v>
          </cell>
          <cell r="F849" t="str">
            <v>MILE16 BOLIFAMBA</v>
          </cell>
          <cell r="G849" t="str">
            <v>P4</v>
          </cell>
          <cell r="H849" t="str">
            <v>Grid-Gen</v>
          </cell>
          <cell r="I849">
            <v>0</v>
          </cell>
          <cell r="J849" t="str">
            <v>Outdoor</v>
          </cell>
          <cell r="K849" t="str">
            <v>AC</v>
          </cell>
          <cell r="L849" t="str">
            <v>I-Eng</v>
          </cell>
          <cell r="M849" t="str">
            <v>Mutenguene</v>
          </cell>
          <cell r="N849" t="str">
            <v>FAKO</v>
          </cell>
          <cell r="O849" t="str">
            <v>BUEA</v>
          </cell>
          <cell r="P849" t="str">
            <v>Jean Francois NSEGBE</v>
          </cell>
          <cell r="Q849">
            <v>656072685</v>
          </cell>
          <cell r="R849">
            <v>683859238</v>
          </cell>
          <cell r="S849" t="str">
            <v>Stephane KETCHOUANG</v>
          </cell>
          <cell r="T849" t="str">
            <v>GEORGES NAKHOUL</v>
          </cell>
          <cell r="U849" t="str">
            <v>I H S</v>
          </cell>
        </row>
        <row r="850">
          <cell r="A850" t="str">
            <v>SUO_167</v>
          </cell>
          <cell r="B850" t="str">
            <v>IHS_LMB_014</v>
          </cell>
          <cell r="C850" t="str">
            <v>SUO_167</v>
          </cell>
          <cell r="D850" t="str">
            <v>South West</v>
          </cell>
          <cell r="E850" t="str">
            <v>South West</v>
          </cell>
          <cell r="F850" t="str">
            <v>Bondjo Hill</v>
          </cell>
          <cell r="G850" t="str">
            <v>P4</v>
          </cell>
          <cell r="H850" t="str">
            <v>Grid-Gen</v>
          </cell>
          <cell r="I850" t="str">
            <v>On Air</v>
          </cell>
          <cell r="J850" t="str">
            <v>Outdoor</v>
          </cell>
          <cell r="K850" t="str">
            <v>AC</v>
          </cell>
          <cell r="L850" t="str">
            <v>I-Eng</v>
          </cell>
          <cell r="M850" t="str">
            <v>Limbe</v>
          </cell>
          <cell r="N850" t="str">
            <v>FAKO</v>
          </cell>
          <cell r="O850" t="str">
            <v>LIMBE 1</v>
          </cell>
          <cell r="P850" t="str">
            <v>Jean Francois NSEGBE</v>
          </cell>
          <cell r="Q850">
            <v>656072685</v>
          </cell>
          <cell r="R850">
            <v>683859238</v>
          </cell>
          <cell r="S850" t="str">
            <v>Stephane KETCHOUANG</v>
          </cell>
          <cell r="T850" t="str">
            <v>GEORGES NAKHOUL</v>
          </cell>
          <cell r="U850" t="str">
            <v>I H S</v>
          </cell>
        </row>
        <row r="851">
          <cell r="A851" t="str">
            <v>SUO_035</v>
          </cell>
          <cell r="B851" t="str">
            <v>IHS_LMB_025</v>
          </cell>
          <cell r="C851" t="str">
            <v>SUO_035</v>
          </cell>
          <cell r="D851" t="str">
            <v>South West</v>
          </cell>
          <cell r="E851" t="str">
            <v>South West</v>
          </cell>
          <cell r="F851" t="str">
            <v>Debunsha-MTN</v>
          </cell>
          <cell r="G851" t="str">
            <v>P4</v>
          </cell>
          <cell r="H851" t="str">
            <v>Grid-Gen</v>
          </cell>
          <cell r="I851" t="str">
            <v>On Air</v>
          </cell>
          <cell r="J851" t="str">
            <v>Indoor</v>
          </cell>
          <cell r="K851" t="str">
            <v>AC</v>
          </cell>
          <cell r="L851" t="str">
            <v>I-Eng</v>
          </cell>
          <cell r="M851" t="str">
            <v>Limbe</v>
          </cell>
          <cell r="N851" t="str">
            <v>FAKO</v>
          </cell>
          <cell r="O851" t="str">
            <v>LIMBE 2</v>
          </cell>
          <cell r="P851" t="str">
            <v>Jean Francois NSEGBE</v>
          </cell>
          <cell r="Q851">
            <v>656072685</v>
          </cell>
          <cell r="R851">
            <v>683859238</v>
          </cell>
          <cell r="S851" t="str">
            <v>Stephane KETCHOUANG</v>
          </cell>
          <cell r="T851" t="str">
            <v>GEORGES NAKHOUL</v>
          </cell>
          <cell r="U851" t="str">
            <v>I H S</v>
          </cell>
        </row>
        <row r="852">
          <cell r="A852" t="str">
            <v>SUO_207</v>
          </cell>
          <cell r="B852" t="str">
            <v>IHS_LMB_006</v>
          </cell>
          <cell r="C852" t="str">
            <v>SUO_207</v>
          </cell>
          <cell r="D852" t="str">
            <v>South West</v>
          </cell>
          <cell r="E852" t="str">
            <v>South West</v>
          </cell>
          <cell r="F852" t="str">
            <v>Limbe Bota</v>
          </cell>
          <cell r="G852" t="str">
            <v>P4</v>
          </cell>
          <cell r="H852" t="str">
            <v>Grid-Gen</v>
          </cell>
          <cell r="I852">
            <v>0</v>
          </cell>
          <cell r="J852" t="str">
            <v>Outdoor</v>
          </cell>
          <cell r="K852" t="str">
            <v>AC</v>
          </cell>
          <cell r="L852" t="str">
            <v>I-Eng</v>
          </cell>
          <cell r="M852" t="str">
            <v>Limbe</v>
          </cell>
          <cell r="N852" t="str">
            <v>FAKO</v>
          </cell>
          <cell r="O852" t="str">
            <v>LIMBE 1</v>
          </cell>
          <cell r="P852" t="str">
            <v>Jean Francois NSEGBE</v>
          </cell>
          <cell r="Q852">
            <v>656072685</v>
          </cell>
          <cell r="R852">
            <v>683859238</v>
          </cell>
          <cell r="S852" t="str">
            <v>Stephane KETCHOUANG</v>
          </cell>
          <cell r="T852" t="str">
            <v>GEORGES NAKHOUL</v>
          </cell>
          <cell r="U852" t="str">
            <v>I H S</v>
          </cell>
        </row>
        <row r="853">
          <cell r="A853" t="str">
            <v>SUO_206</v>
          </cell>
          <cell r="B853" t="str">
            <v>IHS_LMB_002</v>
          </cell>
          <cell r="C853" t="str">
            <v>SUO_206</v>
          </cell>
          <cell r="D853" t="str">
            <v>South West</v>
          </cell>
          <cell r="E853" t="str">
            <v>South West</v>
          </cell>
          <cell r="F853" t="str">
            <v>GRA LIMBE</v>
          </cell>
          <cell r="G853" t="str">
            <v>P4</v>
          </cell>
          <cell r="H853" t="str">
            <v>Grid-Gen</v>
          </cell>
          <cell r="I853">
            <v>0</v>
          </cell>
          <cell r="J853" t="str">
            <v>Outdoor</v>
          </cell>
          <cell r="K853" t="str">
            <v>AC</v>
          </cell>
          <cell r="L853" t="str">
            <v>I-Eng</v>
          </cell>
          <cell r="M853" t="str">
            <v>Limbe</v>
          </cell>
          <cell r="N853" t="str">
            <v>FAKO</v>
          </cell>
          <cell r="O853" t="str">
            <v>LIMBE 1</v>
          </cell>
          <cell r="P853" t="str">
            <v>Jean Francois NSEGBE</v>
          </cell>
          <cell r="Q853">
            <v>656072685</v>
          </cell>
          <cell r="R853">
            <v>683859238</v>
          </cell>
          <cell r="S853" t="str">
            <v>Stephane KETCHOUANG</v>
          </cell>
          <cell r="T853" t="str">
            <v>GEORGES NAKHOUL</v>
          </cell>
          <cell r="U853" t="str">
            <v>I H S</v>
          </cell>
        </row>
        <row r="854">
          <cell r="A854" t="str">
            <v>SUO_209</v>
          </cell>
          <cell r="B854" t="str">
            <v>IHS_BUA_155</v>
          </cell>
          <cell r="C854" t="str">
            <v>SUO_209</v>
          </cell>
          <cell r="D854" t="str">
            <v>South West</v>
          </cell>
          <cell r="E854" t="str">
            <v>South West</v>
          </cell>
          <cell r="F854" t="str">
            <v>Tiko LIKOMBA Q6</v>
          </cell>
          <cell r="G854" t="str">
            <v>P4</v>
          </cell>
          <cell r="H854" t="str">
            <v>Grid-Gen</v>
          </cell>
          <cell r="I854">
            <v>0</v>
          </cell>
          <cell r="J854" t="str">
            <v>Outdoor</v>
          </cell>
          <cell r="K854" t="str">
            <v>AC</v>
          </cell>
          <cell r="L854" t="str">
            <v>I-Eng</v>
          </cell>
          <cell r="M854" t="str">
            <v>Mutenguene</v>
          </cell>
          <cell r="N854" t="str">
            <v>FAKO</v>
          </cell>
          <cell r="O854" t="str">
            <v>TIKO</v>
          </cell>
          <cell r="P854" t="str">
            <v>Jean Francois NSEGBE</v>
          </cell>
          <cell r="Q854">
            <v>656072685</v>
          </cell>
          <cell r="R854">
            <v>683859238</v>
          </cell>
          <cell r="S854" t="str">
            <v>Stephane KETCHOUANG</v>
          </cell>
          <cell r="T854" t="str">
            <v>GEORGES NAKHOUL</v>
          </cell>
          <cell r="U854" t="str">
            <v>I H S</v>
          </cell>
        </row>
        <row r="855">
          <cell r="A855" t="str">
            <v>SUO_210</v>
          </cell>
          <cell r="B855" t="str">
            <v>IHS_BUA_029</v>
          </cell>
          <cell r="C855" t="str">
            <v>SUO_210</v>
          </cell>
          <cell r="D855" t="str">
            <v>South West</v>
          </cell>
          <cell r="E855" t="str">
            <v>South West</v>
          </cell>
          <cell r="F855" t="str">
            <v>Mutengene Maternity</v>
          </cell>
          <cell r="G855" t="str">
            <v>P4</v>
          </cell>
          <cell r="H855" t="str">
            <v>Grid-Gen</v>
          </cell>
          <cell r="I855">
            <v>0</v>
          </cell>
          <cell r="J855" t="str">
            <v>Outdoor</v>
          </cell>
          <cell r="K855" t="str">
            <v>AC</v>
          </cell>
          <cell r="L855" t="str">
            <v>I-Eng</v>
          </cell>
          <cell r="M855" t="str">
            <v>Mutenguene</v>
          </cell>
          <cell r="N855" t="str">
            <v>FAKO</v>
          </cell>
          <cell r="O855" t="str">
            <v>TIKO</v>
          </cell>
          <cell r="P855" t="str">
            <v>Jean Francois NSEGBE</v>
          </cell>
          <cell r="Q855">
            <v>656072685</v>
          </cell>
          <cell r="R855">
            <v>683859238</v>
          </cell>
          <cell r="S855" t="str">
            <v>Stephane KETCHOUANG</v>
          </cell>
          <cell r="T855" t="str">
            <v>GEORGES NAKHOUL</v>
          </cell>
          <cell r="U855" t="str">
            <v>I H S</v>
          </cell>
        </row>
        <row r="856">
          <cell r="A856" t="str">
            <v>SUO_208</v>
          </cell>
          <cell r="B856" t="str">
            <v>IHS_LMB_115</v>
          </cell>
          <cell r="C856" t="str">
            <v>SUO_208</v>
          </cell>
          <cell r="D856" t="str">
            <v>South West</v>
          </cell>
          <cell r="E856" t="str">
            <v>South West</v>
          </cell>
          <cell r="F856" t="str">
            <v>Limbe Alpha Club Towe</v>
          </cell>
          <cell r="G856" t="str">
            <v>P4</v>
          </cell>
          <cell r="H856" t="str">
            <v>Grid-Gen</v>
          </cell>
          <cell r="I856">
            <v>0</v>
          </cell>
          <cell r="J856" t="str">
            <v>Outdoor</v>
          </cell>
          <cell r="K856" t="str">
            <v>AC</v>
          </cell>
          <cell r="L856" t="str">
            <v>I-Eng</v>
          </cell>
          <cell r="M856" t="str">
            <v>Limbe</v>
          </cell>
          <cell r="N856" t="str">
            <v>FAKO</v>
          </cell>
          <cell r="O856" t="str">
            <v>LIMBE 1</v>
          </cell>
          <cell r="P856" t="str">
            <v>Jean Francois NSEGBE</v>
          </cell>
          <cell r="Q856">
            <v>656072685</v>
          </cell>
          <cell r="R856">
            <v>683859238</v>
          </cell>
          <cell r="S856" t="str">
            <v>Stephane KETCHOUANG</v>
          </cell>
          <cell r="T856" t="str">
            <v>GEORGES NAKHOUL</v>
          </cell>
          <cell r="U856" t="str">
            <v>I H S</v>
          </cell>
        </row>
        <row r="857">
          <cell r="A857" t="str">
            <v>SUO_204</v>
          </cell>
          <cell r="B857" t="str">
            <v>IHS_LMB_133</v>
          </cell>
          <cell r="C857" t="str">
            <v>SUO_204</v>
          </cell>
          <cell r="D857" t="str">
            <v>South West</v>
          </cell>
          <cell r="E857" t="str">
            <v>South West</v>
          </cell>
          <cell r="F857" t="str">
            <v>LIMBE ISSOKOLO</v>
          </cell>
          <cell r="G857" t="str">
            <v>P4</v>
          </cell>
          <cell r="H857" t="str">
            <v>Grid-Gen</v>
          </cell>
          <cell r="I857">
            <v>0</v>
          </cell>
          <cell r="J857" t="str">
            <v>Outdoor</v>
          </cell>
          <cell r="K857" t="str">
            <v>AC</v>
          </cell>
          <cell r="L857" t="str">
            <v>I-Eng</v>
          </cell>
          <cell r="M857" t="str">
            <v>Limbe</v>
          </cell>
          <cell r="N857" t="str">
            <v>FAKO</v>
          </cell>
          <cell r="O857" t="str">
            <v>LIMBE 2</v>
          </cell>
          <cell r="P857" t="str">
            <v>Jean Francois NSEGBE</v>
          </cell>
          <cell r="Q857">
            <v>656072685</v>
          </cell>
          <cell r="R857">
            <v>683859238</v>
          </cell>
          <cell r="S857" t="str">
            <v>Stephane KETCHOUANG</v>
          </cell>
          <cell r="T857" t="str">
            <v>GEORGES NAKHOUL</v>
          </cell>
          <cell r="U857" t="str">
            <v>I H S</v>
          </cell>
        </row>
        <row r="858">
          <cell r="A858" t="str">
            <v>SUO_203</v>
          </cell>
          <cell r="B858" t="str">
            <v>IHS_LMB_009</v>
          </cell>
          <cell r="C858" t="str">
            <v>SUO_203</v>
          </cell>
          <cell r="D858" t="str">
            <v>South West</v>
          </cell>
          <cell r="E858" t="str">
            <v>South West</v>
          </cell>
          <cell r="F858" t="str">
            <v>Towe South</v>
          </cell>
          <cell r="G858" t="str">
            <v>P4</v>
          </cell>
          <cell r="H858" t="str">
            <v>Grid-Gen</v>
          </cell>
          <cell r="I858">
            <v>0</v>
          </cell>
          <cell r="J858" t="str">
            <v>Outdoor</v>
          </cell>
          <cell r="K858" t="str">
            <v>AC</v>
          </cell>
          <cell r="L858" t="str">
            <v>I-Eng</v>
          </cell>
          <cell r="M858" t="str">
            <v>Limbe</v>
          </cell>
          <cell r="N858" t="str">
            <v>FAKO</v>
          </cell>
          <cell r="O858" t="str">
            <v>LIMBE 1</v>
          </cell>
          <cell r="P858" t="str">
            <v>Jean Francois NSEGBE</v>
          </cell>
          <cell r="Q858">
            <v>656072685</v>
          </cell>
          <cell r="R858">
            <v>683859238</v>
          </cell>
          <cell r="S858" t="str">
            <v>Stephane KETCHOUANG</v>
          </cell>
          <cell r="T858" t="str">
            <v>GEORGES NAKHOUL</v>
          </cell>
          <cell r="U858" t="str">
            <v>I H S</v>
          </cell>
        </row>
        <row r="859">
          <cell r="A859" t="str">
            <v>SUO_205</v>
          </cell>
          <cell r="B859" t="str">
            <v>IHS_LMB_109</v>
          </cell>
          <cell r="C859" t="str">
            <v>SUO_205</v>
          </cell>
          <cell r="D859" t="str">
            <v>South West</v>
          </cell>
          <cell r="E859" t="str">
            <v>South West</v>
          </cell>
          <cell r="F859" t="str">
            <v>Tiko Junction</v>
          </cell>
          <cell r="G859" t="str">
            <v>P4</v>
          </cell>
          <cell r="H859" t="str">
            <v>Grid-Gen</v>
          </cell>
          <cell r="I859">
            <v>0</v>
          </cell>
          <cell r="J859" t="str">
            <v>Outdoor</v>
          </cell>
          <cell r="K859" t="str">
            <v>AC</v>
          </cell>
          <cell r="L859" t="str">
            <v>I-Eng</v>
          </cell>
          <cell r="M859" t="str">
            <v>Mutenguene</v>
          </cell>
          <cell r="N859" t="str">
            <v>FAKO</v>
          </cell>
          <cell r="O859" t="str">
            <v>TIKO</v>
          </cell>
          <cell r="P859" t="str">
            <v>Jean Francois NSEGBE</v>
          </cell>
          <cell r="Q859">
            <v>656072685</v>
          </cell>
          <cell r="R859">
            <v>683859238</v>
          </cell>
          <cell r="S859" t="str">
            <v>Stephane KETCHOUANG</v>
          </cell>
          <cell r="T859" t="str">
            <v>GEORGES NAKHOUL</v>
          </cell>
          <cell r="U859" t="str">
            <v>I H S</v>
          </cell>
        </row>
        <row r="860">
          <cell r="A860" t="str">
            <v>SUO_154</v>
          </cell>
          <cell r="B860" t="str">
            <v>IHS_LMB_013</v>
          </cell>
          <cell r="C860" t="str">
            <v>SUO_154</v>
          </cell>
          <cell r="D860" t="str">
            <v>South West</v>
          </cell>
          <cell r="E860" t="str">
            <v>South West</v>
          </cell>
          <cell r="F860" t="str">
            <v>Mokindi</v>
          </cell>
          <cell r="G860" t="str">
            <v>P4</v>
          </cell>
          <cell r="H860" t="str">
            <v>Grid-Gen</v>
          </cell>
          <cell r="I860" t="str">
            <v>On Air</v>
          </cell>
          <cell r="J860" t="str">
            <v>Outdoor</v>
          </cell>
          <cell r="K860" t="str">
            <v>AC</v>
          </cell>
          <cell r="L860" t="str">
            <v>I-Eng</v>
          </cell>
          <cell r="M860" t="str">
            <v>Limbe</v>
          </cell>
          <cell r="N860" t="str">
            <v>FAKO</v>
          </cell>
          <cell r="O860" t="str">
            <v>LIMBE II</v>
          </cell>
          <cell r="P860" t="str">
            <v>Jean Francois NSEGBE</v>
          </cell>
          <cell r="Q860">
            <v>656072685</v>
          </cell>
          <cell r="R860">
            <v>683859238</v>
          </cell>
          <cell r="S860" t="str">
            <v>Stephane KETCHOUANG</v>
          </cell>
          <cell r="T860" t="str">
            <v>GEORGES NAKHOUL</v>
          </cell>
          <cell r="U860" t="str">
            <v>I H S</v>
          </cell>
        </row>
        <row r="861">
          <cell r="A861" t="str">
            <v>SUO_212</v>
          </cell>
          <cell r="B861" t="str">
            <v>IHS_LMB_020</v>
          </cell>
          <cell r="C861" t="str">
            <v>SUO_212</v>
          </cell>
          <cell r="D861" t="str">
            <v>South West</v>
          </cell>
          <cell r="E861" t="str">
            <v>South West</v>
          </cell>
          <cell r="F861" t="str">
            <v>Limbe Mile IV</v>
          </cell>
          <cell r="G861" t="str">
            <v>P4</v>
          </cell>
          <cell r="H861" t="str">
            <v>Grid-Gen</v>
          </cell>
          <cell r="I861">
            <v>0</v>
          </cell>
          <cell r="J861" t="str">
            <v>Outdoor</v>
          </cell>
          <cell r="K861" t="str">
            <v>AC</v>
          </cell>
          <cell r="L861" t="str">
            <v>I-Eng</v>
          </cell>
          <cell r="M861" t="str">
            <v>Mutenguene</v>
          </cell>
          <cell r="N861" t="str">
            <v>FAKO</v>
          </cell>
          <cell r="O861" t="str">
            <v>LIMBE 1</v>
          </cell>
          <cell r="P861" t="str">
            <v>Jean Francois NSEGBE</v>
          </cell>
          <cell r="Q861">
            <v>656072685</v>
          </cell>
          <cell r="R861">
            <v>683859238</v>
          </cell>
          <cell r="S861" t="str">
            <v>Stephane KETCHOUANG</v>
          </cell>
          <cell r="T861" t="str">
            <v>GEORGES NAKHOUL</v>
          </cell>
          <cell r="U861" t="str">
            <v>I H S</v>
          </cell>
        </row>
        <row r="862">
          <cell r="A862" t="str">
            <v>SUO_187</v>
          </cell>
          <cell r="B862" t="str">
            <v>IHS_LMB_008</v>
          </cell>
          <cell r="C862" t="str">
            <v>SUO_187</v>
          </cell>
          <cell r="D862" t="str">
            <v>South West</v>
          </cell>
          <cell r="E862" t="str">
            <v>South West</v>
          </cell>
          <cell r="F862" t="str">
            <v>Limbe New Town</v>
          </cell>
          <cell r="G862" t="str">
            <v>P4</v>
          </cell>
          <cell r="H862" t="str">
            <v>Grid-Gen</v>
          </cell>
          <cell r="I862">
            <v>0</v>
          </cell>
          <cell r="J862" t="str">
            <v>Indoor</v>
          </cell>
          <cell r="K862" t="str">
            <v>AC</v>
          </cell>
          <cell r="L862" t="str">
            <v>I-Eng</v>
          </cell>
          <cell r="M862" t="str">
            <v>Limbe</v>
          </cell>
          <cell r="N862" t="str">
            <v>FAKO</v>
          </cell>
          <cell r="O862" t="str">
            <v>LIMBE 1</v>
          </cell>
          <cell r="P862" t="str">
            <v>Jean Francois NSEGBE</v>
          </cell>
          <cell r="Q862">
            <v>656072685</v>
          </cell>
          <cell r="R862">
            <v>683859238</v>
          </cell>
          <cell r="S862" t="str">
            <v>Stephane KETCHOUANG</v>
          </cell>
          <cell r="T862" t="str">
            <v>GEORGES NAKHOUL</v>
          </cell>
          <cell r="U862" t="str">
            <v>I H S</v>
          </cell>
        </row>
        <row r="863">
          <cell r="A863" t="str">
            <v>SUO_036</v>
          </cell>
          <cell r="B863" t="str">
            <v>IHS_LMB_026</v>
          </cell>
          <cell r="C863" t="str">
            <v>SUO_036</v>
          </cell>
          <cell r="D863" t="str">
            <v>South West</v>
          </cell>
          <cell r="E863" t="str">
            <v>South West</v>
          </cell>
          <cell r="F863" t="str">
            <v>Idenau-MTN</v>
          </cell>
          <cell r="G863" t="str">
            <v>P4</v>
          </cell>
          <cell r="H863" t="str">
            <v>Grid-Gen</v>
          </cell>
          <cell r="I863" t="str">
            <v>On Air</v>
          </cell>
          <cell r="J863" t="str">
            <v>Indoor</v>
          </cell>
          <cell r="K863" t="str">
            <v>AC</v>
          </cell>
          <cell r="L863" t="str">
            <v>I-Eng</v>
          </cell>
          <cell r="M863" t="str">
            <v>Limbe</v>
          </cell>
          <cell r="N863" t="str">
            <v>FAKO</v>
          </cell>
          <cell r="O863" t="str">
            <v>LIMBE 2</v>
          </cell>
          <cell r="P863" t="str">
            <v>Jean Francois NSEGBE</v>
          </cell>
          <cell r="Q863">
            <v>656072685</v>
          </cell>
          <cell r="R863">
            <v>683859238</v>
          </cell>
          <cell r="S863" t="str">
            <v>Stephane KETCHOUANG</v>
          </cell>
          <cell r="T863" t="str">
            <v>GEORGES NAKHOUL</v>
          </cell>
          <cell r="U863" t="str">
            <v>I H S</v>
          </cell>
        </row>
        <row r="864">
          <cell r="A864" t="str">
            <v>SUO_188</v>
          </cell>
          <cell r="B864" t="str">
            <v>IHS_LMB_105</v>
          </cell>
          <cell r="C864" t="str">
            <v>SUO_188</v>
          </cell>
          <cell r="D864" t="str">
            <v>South West</v>
          </cell>
          <cell r="E864" t="str">
            <v>South West</v>
          </cell>
          <cell r="F864" t="str">
            <v>Limbe Church Street</v>
          </cell>
          <cell r="G864" t="str">
            <v>P4</v>
          </cell>
          <cell r="H864" t="str">
            <v>Grid Only</v>
          </cell>
          <cell r="I864">
            <v>0</v>
          </cell>
          <cell r="J864" t="str">
            <v>Outdoor</v>
          </cell>
          <cell r="K864" t="str">
            <v>AC</v>
          </cell>
          <cell r="L864" t="str">
            <v>I-Eng</v>
          </cell>
          <cell r="M864" t="str">
            <v>Limbe</v>
          </cell>
          <cell r="N864" t="str">
            <v>FAKO</v>
          </cell>
          <cell r="O864" t="str">
            <v>LIMBE 1</v>
          </cell>
          <cell r="P864" t="str">
            <v>Jean Francois NSEGBE</v>
          </cell>
          <cell r="Q864">
            <v>656072685</v>
          </cell>
          <cell r="R864">
            <v>683859238</v>
          </cell>
          <cell r="S864" t="str">
            <v>Stephane KETCHOUANG</v>
          </cell>
          <cell r="T864" t="str">
            <v>GEORGES NAKHOUL</v>
          </cell>
          <cell r="U864" t="str">
            <v>I H S</v>
          </cell>
        </row>
        <row r="865">
          <cell r="A865" t="str">
            <v>SUO_131</v>
          </cell>
          <cell r="B865" t="str">
            <v>IHS_BUA_158</v>
          </cell>
          <cell r="C865" t="str">
            <v>SUO_131</v>
          </cell>
          <cell r="D865" t="str">
            <v>South West</v>
          </cell>
          <cell r="E865" t="str">
            <v>South West</v>
          </cell>
          <cell r="F865" t="str">
            <v>Bondjongo</v>
          </cell>
          <cell r="G865" t="str">
            <v>P5</v>
          </cell>
          <cell r="H865" t="str">
            <v>Grid-Gen</v>
          </cell>
          <cell r="I865" t="str">
            <v>On Air</v>
          </cell>
          <cell r="J865" t="str">
            <v>Outdoor</v>
          </cell>
          <cell r="K865" t="str">
            <v>AC</v>
          </cell>
          <cell r="L865" t="str">
            <v>I-Eng</v>
          </cell>
          <cell r="M865" t="str">
            <v>Limbe</v>
          </cell>
          <cell r="N865" t="str">
            <v>FAKO</v>
          </cell>
          <cell r="O865" t="str">
            <v>LIMBE 2</v>
          </cell>
          <cell r="P865" t="str">
            <v>Jean Francois NSEGBE</v>
          </cell>
          <cell r="Q865">
            <v>656072685</v>
          </cell>
          <cell r="R865">
            <v>683859238</v>
          </cell>
          <cell r="S865" t="str">
            <v>Stephane KETCHOUANG</v>
          </cell>
          <cell r="T865" t="str">
            <v>GEORGES NAKHOUL</v>
          </cell>
          <cell r="U865" t="str">
            <v>I H S</v>
          </cell>
        </row>
        <row r="866">
          <cell r="A866" t="str">
            <v>SUO_157</v>
          </cell>
          <cell r="B866" t="str">
            <v>IHS_BUA_175</v>
          </cell>
          <cell r="C866" t="str">
            <v>SUO_157</v>
          </cell>
          <cell r="D866" t="str">
            <v>South West</v>
          </cell>
          <cell r="E866" t="str">
            <v>South West</v>
          </cell>
          <cell r="F866" t="str">
            <v>New BONAKO </v>
          </cell>
          <cell r="G866" t="str">
            <v>P5</v>
          </cell>
          <cell r="H866" t="str">
            <v>Grid-Gen</v>
          </cell>
          <cell r="I866" t="str">
            <v>On Air</v>
          </cell>
          <cell r="J866" t="str">
            <v>Outdoor</v>
          </cell>
          <cell r="K866" t="str">
            <v>AC</v>
          </cell>
          <cell r="L866" t="str">
            <v>I-Eng</v>
          </cell>
          <cell r="M866" t="str">
            <v>Mutenguene</v>
          </cell>
          <cell r="N866" t="str">
            <v>FAKO</v>
          </cell>
          <cell r="O866" t="str">
            <v>TIKO</v>
          </cell>
          <cell r="P866" t="str">
            <v>Jean Francois NSEGBE</v>
          </cell>
          <cell r="Q866">
            <v>656072685</v>
          </cell>
          <cell r="R866">
            <v>683859238</v>
          </cell>
          <cell r="S866" t="str">
            <v>Stephane KETCHOUANG</v>
          </cell>
          <cell r="T866" t="str">
            <v>GEORGES NAKHOUL</v>
          </cell>
          <cell r="U866" t="str">
            <v>I H S</v>
          </cell>
        </row>
        <row r="867">
          <cell r="A867" t="str">
            <v>SUO_149</v>
          </cell>
          <cell r="B867" t="str">
            <v>IHS_LMB_028</v>
          </cell>
          <cell r="C867" t="str">
            <v>SUO_149</v>
          </cell>
          <cell r="D867" t="str">
            <v>South West</v>
          </cell>
          <cell r="E867" t="str">
            <v>South West</v>
          </cell>
          <cell r="F867" t="str">
            <v>Mutengene Ombe</v>
          </cell>
          <cell r="G867" t="str">
            <v>P5</v>
          </cell>
          <cell r="H867" t="str">
            <v>Gen Only</v>
          </cell>
          <cell r="I867" t="str">
            <v>On Air</v>
          </cell>
          <cell r="J867" t="str">
            <v>Outdoor</v>
          </cell>
          <cell r="K867" t="str">
            <v>AC</v>
          </cell>
          <cell r="L867" t="str">
            <v>I-Eng</v>
          </cell>
          <cell r="M867" t="str">
            <v>Mutenguene</v>
          </cell>
          <cell r="N867" t="str">
            <v>FAKO</v>
          </cell>
          <cell r="O867" t="str">
            <v>TIKO</v>
          </cell>
          <cell r="P867" t="str">
            <v>Jean Francois NSEGBE</v>
          </cell>
          <cell r="Q867">
            <v>656072685</v>
          </cell>
          <cell r="R867">
            <v>683859238</v>
          </cell>
          <cell r="S867" t="str">
            <v>Stephane KETCHOUANG</v>
          </cell>
          <cell r="T867" t="str">
            <v>GEORGES NAKHOUL</v>
          </cell>
          <cell r="U867" t="str">
            <v>I H S</v>
          </cell>
        </row>
        <row r="868">
          <cell r="A868" t="str">
            <v>SUO_105</v>
          </cell>
          <cell r="B868" t="str">
            <v>IHS_BUA_038</v>
          </cell>
          <cell r="C868" t="str">
            <v>SUO_105</v>
          </cell>
          <cell r="D868" t="str">
            <v>South West</v>
          </cell>
          <cell r="E868" t="str">
            <v>South West</v>
          </cell>
          <cell r="F868" t="str">
            <v>TIKO STADIUM IHS</v>
          </cell>
          <cell r="G868" t="str">
            <v>P5</v>
          </cell>
          <cell r="H868" t="str">
            <v>Grid-Gen</v>
          </cell>
          <cell r="I868" t="str">
            <v>On Air</v>
          </cell>
          <cell r="J868" t="str">
            <v>Indoor</v>
          </cell>
          <cell r="K868" t="str">
            <v>AC</v>
          </cell>
          <cell r="L868" t="str">
            <v>I-Eng</v>
          </cell>
          <cell r="M868" t="str">
            <v>Mutenguene</v>
          </cell>
          <cell r="N868" t="str">
            <v>FAKO</v>
          </cell>
          <cell r="O868" t="str">
            <v>TIKO</v>
          </cell>
          <cell r="P868" t="str">
            <v>Jean Francois NSEGBE</v>
          </cell>
          <cell r="Q868">
            <v>656072685</v>
          </cell>
          <cell r="R868">
            <v>683859238</v>
          </cell>
          <cell r="S868" t="str">
            <v>Stephane KETCHOUANG</v>
          </cell>
          <cell r="T868" t="str">
            <v>GEORGES NAKHOUL</v>
          </cell>
          <cell r="U868" t="str">
            <v>I H S</v>
          </cell>
        </row>
        <row r="869">
          <cell r="A869" t="str">
            <v>SUO_104</v>
          </cell>
          <cell r="B869" t="str">
            <v>IHS_BUA_039</v>
          </cell>
          <cell r="C869" t="str">
            <v>SUO_104</v>
          </cell>
          <cell r="D869" t="str">
            <v>South West</v>
          </cell>
          <cell r="E869" t="str">
            <v>South West</v>
          </cell>
          <cell r="F869" t="str">
            <v>Tiko-Market-IHS</v>
          </cell>
          <cell r="G869" t="str">
            <v>P5</v>
          </cell>
          <cell r="H869" t="str">
            <v>Grid-Gen</v>
          </cell>
          <cell r="I869" t="str">
            <v>On Air</v>
          </cell>
          <cell r="J869" t="str">
            <v>Outdoor</v>
          </cell>
          <cell r="K869" t="str">
            <v>AC</v>
          </cell>
          <cell r="L869" t="str">
            <v>I-Eng</v>
          </cell>
          <cell r="M869" t="str">
            <v>Mutenguene</v>
          </cell>
          <cell r="N869" t="str">
            <v>FAKO</v>
          </cell>
          <cell r="O869" t="str">
            <v>TIKO</v>
          </cell>
          <cell r="P869" t="str">
            <v>Jean Francois NSEGBE</v>
          </cell>
          <cell r="Q869">
            <v>656072685</v>
          </cell>
          <cell r="R869">
            <v>683859238</v>
          </cell>
          <cell r="S869" t="str">
            <v>Stephane KETCHOUANG</v>
          </cell>
          <cell r="T869" t="str">
            <v>GEORGES NAKHOUL</v>
          </cell>
          <cell r="U869" t="str">
            <v>I H S</v>
          </cell>
        </row>
        <row r="870">
          <cell r="A870" t="str">
            <v>SUO_127</v>
          </cell>
          <cell r="B870" t="str">
            <v>IHS_LMB_023</v>
          </cell>
          <cell r="C870" t="str">
            <v>SUO_127</v>
          </cell>
          <cell r="D870" t="str">
            <v>South West</v>
          </cell>
          <cell r="E870" t="str">
            <v>South West</v>
          </cell>
          <cell r="F870" t="str">
            <v>Wotutu-IHS</v>
          </cell>
          <cell r="G870" t="str">
            <v>P5</v>
          </cell>
          <cell r="H870" t="str">
            <v>Grid-Gen</v>
          </cell>
          <cell r="I870" t="str">
            <v>On Air</v>
          </cell>
          <cell r="J870" t="str">
            <v>Outdoor</v>
          </cell>
          <cell r="K870" t="str">
            <v>AC</v>
          </cell>
          <cell r="L870" t="str">
            <v>I-Eng</v>
          </cell>
          <cell r="M870" t="str">
            <v>Mutenguene</v>
          </cell>
          <cell r="N870" t="str">
            <v>FAKO</v>
          </cell>
          <cell r="O870" t="str">
            <v>TIKO</v>
          </cell>
          <cell r="P870" t="str">
            <v>Jean Francois NSEGBE</v>
          </cell>
          <cell r="Q870">
            <v>656072685</v>
          </cell>
          <cell r="R870">
            <v>683859238</v>
          </cell>
          <cell r="S870" t="str">
            <v>Stephane KETCHOUANG</v>
          </cell>
          <cell r="T870" t="str">
            <v>GEORGES NAKHOUL</v>
          </cell>
          <cell r="U870" t="str">
            <v>I H S</v>
          </cell>
        </row>
        <row r="871">
          <cell r="A871" t="str">
            <v>SUO_165</v>
          </cell>
          <cell r="B871" t="str">
            <v>IHS_LMB_019</v>
          </cell>
          <cell r="C871" t="str">
            <v>SUO_165</v>
          </cell>
          <cell r="D871" t="str">
            <v>South West</v>
          </cell>
          <cell r="E871" t="str">
            <v>South West</v>
          </cell>
          <cell r="F871" t="str">
            <v>Mabeta</v>
          </cell>
          <cell r="G871" t="str">
            <v>P5</v>
          </cell>
          <cell r="H871" t="str">
            <v>Hybrid-Gen</v>
          </cell>
          <cell r="I871" t="str">
            <v>On Air</v>
          </cell>
          <cell r="J871" t="str">
            <v>Outdoor</v>
          </cell>
          <cell r="K871" t="str">
            <v>AC</v>
          </cell>
          <cell r="L871" t="str">
            <v>I-Eng</v>
          </cell>
          <cell r="M871" t="str">
            <v>Limbe</v>
          </cell>
          <cell r="N871" t="str">
            <v>FAKO</v>
          </cell>
          <cell r="O871" t="str">
            <v>LIMBE 3</v>
          </cell>
          <cell r="P871" t="str">
            <v>Jean Francois NSEGBE</v>
          </cell>
          <cell r="Q871">
            <v>656072685</v>
          </cell>
          <cell r="R871">
            <v>683859238</v>
          </cell>
          <cell r="S871" t="str">
            <v>Stephane KETCHOUANG</v>
          </cell>
          <cell r="T871" t="str">
            <v>GEORGES NAKHOUL</v>
          </cell>
          <cell r="U871" t="str">
            <v>I H S</v>
          </cell>
        </row>
        <row r="872">
          <cell r="A872" t="str">
            <v>LIT_173</v>
          </cell>
          <cell r="B872" t="str">
            <v>IHS_BUA_040</v>
          </cell>
          <cell r="C872" t="str">
            <v>LIT_173</v>
          </cell>
          <cell r="D872" t="str">
            <v>South West</v>
          </cell>
          <cell r="E872" t="str">
            <v>South West</v>
          </cell>
          <cell r="F872" t="str">
            <v>CDC DELMONTE Junction</v>
          </cell>
          <cell r="G872" t="str">
            <v>P5</v>
          </cell>
          <cell r="H872" t="str">
            <v>Grid-Gen</v>
          </cell>
          <cell r="I872" t="str">
            <v>On Air</v>
          </cell>
          <cell r="J872" t="str">
            <v>Outdoor</v>
          </cell>
          <cell r="K872" t="str">
            <v>AC</v>
          </cell>
          <cell r="L872" t="str">
            <v>I-Eng</v>
          </cell>
          <cell r="M872" t="str">
            <v>Mutenguene</v>
          </cell>
          <cell r="N872" t="str">
            <v>FAKO</v>
          </cell>
          <cell r="O872" t="str">
            <v>TIKO</v>
          </cell>
          <cell r="P872" t="str">
            <v>Jean Francois NSEGBE</v>
          </cell>
          <cell r="Q872">
            <v>656072685</v>
          </cell>
          <cell r="R872">
            <v>683859238</v>
          </cell>
          <cell r="S872" t="str">
            <v>Stephane KETCHOUANG</v>
          </cell>
          <cell r="T872" t="str">
            <v>GEORGES NAKHOUL</v>
          </cell>
          <cell r="U872" t="str">
            <v>I H S</v>
          </cell>
        </row>
        <row r="873">
          <cell r="A873" t="str">
            <v>   SUO_243</v>
          </cell>
          <cell r="B873" t="str">
            <v>IHS_BUA_020</v>
          </cell>
          <cell r="C873" t="str">
            <v>   SUO_243</v>
          </cell>
          <cell r="D873" t="str">
            <v>South West</v>
          </cell>
          <cell r="E873" t="str">
            <v>South West</v>
          </cell>
          <cell r="F873" t="str">
            <v>MILE 16 BUEA</v>
          </cell>
          <cell r="G873" t="str">
            <v>P4</v>
          </cell>
          <cell r="H873" t="str">
            <v>Grid-Gen</v>
          </cell>
          <cell r="I873">
            <v>0</v>
          </cell>
          <cell r="J873" t="str">
            <v>Outdoor</v>
          </cell>
          <cell r="K873" t="str">
            <v>AC</v>
          </cell>
          <cell r="L873" t="str">
            <v>I-Eng</v>
          </cell>
          <cell r="M873" t="str">
            <v>Mutenguene</v>
          </cell>
          <cell r="N873" t="str">
            <v>FAKO</v>
          </cell>
          <cell r="O873" t="str">
            <v>BUEA</v>
          </cell>
          <cell r="P873" t="str">
            <v>Jean Francois NSEGBE</v>
          </cell>
          <cell r="Q873">
            <v>656072685</v>
          </cell>
          <cell r="R873">
            <v>683859238</v>
          </cell>
          <cell r="S873" t="str">
            <v>Stephane KETCHOUANG</v>
          </cell>
          <cell r="T873" t="str">
            <v>GEORGES NAKHOUL</v>
          </cell>
          <cell r="U873" t="str">
            <v>I H S</v>
          </cell>
        </row>
        <row r="874">
          <cell r="A874" t="str">
            <v>LIT_222</v>
          </cell>
          <cell r="B874" t="str">
            <v>IHS_DLA_175</v>
          </cell>
          <cell r="C874" t="str">
            <v>LIT_222</v>
          </cell>
          <cell r="D874" t="str">
            <v>Littoral</v>
          </cell>
          <cell r="E874" t="str">
            <v>Littoral</v>
          </cell>
          <cell r="F874" t="str">
            <v>Oyak</v>
          </cell>
          <cell r="G874" t="str">
            <v>P3</v>
          </cell>
          <cell r="H874" t="str">
            <v>Grid-Gen</v>
          </cell>
          <cell r="I874" t="str">
            <v>On Air</v>
          </cell>
          <cell r="J874" t="str">
            <v>Indoor</v>
          </cell>
          <cell r="K874" t="str">
            <v>AC</v>
          </cell>
          <cell r="L874" t="str">
            <v>Dowen</v>
          </cell>
          <cell r="M874" t="str">
            <v>Bilongue</v>
          </cell>
          <cell r="N874" t="str">
            <v>Wouri</v>
          </cell>
          <cell r="O874" t="str">
            <v>Douala 3</v>
          </cell>
          <cell r="P874" t="str">
            <v>Jean Marie Wafo Metinou</v>
          </cell>
          <cell r="Q874">
            <v>677549197</v>
          </cell>
          <cell r="R874">
            <v>656993754</v>
          </cell>
          <cell r="S874" t="str">
            <v>Valery Doudou</v>
          </cell>
          <cell r="T874" t="str">
            <v>GEORGES NAKHOUL</v>
          </cell>
          <cell r="U874" t="str">
            <v>I H S</v>
          </cell>
        </row>
        <row r="875">
          <cell r="A875" t="str">
            <v>LIT_340</v>
          </cell>
          <cell r="B875" t="str">
            <v>IHS_DLA_110</v>
          </cell>
          <cell r="C875" t="str">
            <v>LIT_340</v>
          </cell>
          <cell r="D875" t="str">
            <v>Littoral</v>
          </cell>
          <cell r="E875" t="str">
            <v>Littoral</v>
          </cell>
          <cell r="F875" t="str">
            <v>Brazz-Tergal</v>
          </cell>
          <cell r="G875" t="str">
            <v>P3</v>
          </cell>
          <cell r="H875" t="str">
            <v>Grid-Gen</v>
          </cell>
          <cell r="I875" t="str">
            <v>On Air</v>
          </cell>
          <cell r="J875" t="str">
            <v>Outdoor</v>
          </cell>
          <cell r="K875" t="str">
            <v>AC</v>
          </cell>
          <cell r="L875" t="str">
            <v>Dowen</v>
          </cell>
          <cell r="M875" t="str">
            <v>Bilongue</v>
          </cell>
          <cell r="N875" t="str">
            <v>Wouri</v>
          </cell>
          <cell r="O875" t="str">
            <v>Douala 3</v>
          </cell>
          <cell r="P875" t="str">
            <v>Jean Marie Wafo Metinou</v>
          </cell>
          <cell r="Q875">
            <v>677549197</v>
          </cell>
          <cell r="R875">
            <v>656993754</v>
          </cell>
          <cell r="S875" t="str">
            <v>Valery Doudou</v>
          </cell>
          <cell r="T875" t="str">
            <v>GEORGES NAKHOUL</v>
          </cell>
          <cell r="U875" t="str">
            <v>I H S</v>
          </cell>
        </row>
        <row r="876">
          <cell r="A876" t="str">
            <v>LIT_299</v>
          </cell>
          <cell r="B876" t="str">
            <v>IHS_DLA_165</v>
          </cell>
          <cell r="C876" t="str">
            <v>LIT_299</v>
          </cell>
          <cell r="D876" t="str">
            <v>Littoral</v>
          </cell>
          <cell r="E876" t="str">
            <v>Littoral</v>
          </cell>
          <cell r="F876" t="str">
            <v>Oyack-Lycee</v>
          </cell>
          <cell r="G876" t="str">
            <v>P3</v>
          </cell>
          <cell r="H876" t="str">
            <v>Grid-Gen</v>
          </cell>
          <cell r="I876" t="str">
            <v>On Air</v>
          </cell>
          <cell r="J876" t="str">
            <v>Outdoor</v>
          </cell>
          <cell r="K876" t="str">
            <v>AC</v>
          </cell>
          <cell r="L876" t="str">
            <v>Dowen</v>
          </cell>
          <cell r="M876" t="str">
            <v>Bilongue</v>
          </cell>
          <cell r="N876" t="str">
            <v>Wouri</v>
          </cell>
          <cell r="O876" t="str">
            <v>Douala 3</v>
          </cell>
          <cell r="P876" t="str">
            <v>Jean Marie Wafo Metinou</v>
          </cell>
          <cell r="Q876">
            <v>677549197</v>
          </cell>
          <cell r="R876">
            <v>656993754</v>
          </cell>
          <cell r="S876" t="str">
            <v>Valery Doudou</v>
          </cell>
          <cell r="T876" t="str">
            <v>GEORGES NAKHOUL</v>
          </cell>
          <cell r="U876" t="str">
            <v>I H S</v>
          </cell>
        </row>
        <row r="877">
          <cell r="A877" t="str">
            <v>LIT_384</v>
          </cell>
          <cell r="B877" t="str">
            <v>IHS_DLA_261</v>
          </cell>
          <cell r="C877" t="str">
            <v>LIT_384</v>
          </cell>
          <cell r="D877" t="str">
            <v>Littoral</v>
          </cell>
          <cell r="E877" t="str">
            <v>Littoral</v>
          </cell>
          <cell r="F877" t="str">
            <v>Emene-City</v>
          </cell>
          <cell r="G877" t="str">
            <v>P3</v>
          </cell>
          <cell r="H877" t="str">
            <v>Grid-Gen</v>
          </cell>
          <cell r="I877" t="str">
            <v>On Air</v>
          </cell>
          <cell r="J877" t="str">
            <v>Outdoor</v>
          </cell>
          <cell r="K877" t="str">
            <v>AC</v>
          </cell>
          <cell r="L877" t="str">
            <v>Dowen</v>
          </cell>
          <cell r="M877" t="str">
            <v>PK12</v>
          </cell>
          <cell r="N877" t="str">
            <v>Wouri</v>
          </cell>
          <cell r="O877" t="str">
            <v>Douala 5</v>
          </cell>
          <cell r="P877" t="str">
            <v>Jean Marie Wafo Metinou</v>
          </cell>
          <cell r="Q877">
            <v>677549197</v>
          </cell>
          <cell r="R877">
            <v>656993754</v>
          </cell>
          <cell r="S877" t="str">
            <v>Valery Doudou</v>
          </cell>
          <cell r="T877" t="str">
            <v>GEORGES NAKHOUL</v>
          </cell>
          <cell r="U877" t="str">
            <v>I H S</v>
          </cell>
        </row>
        <row r="878">
          <cell r="A878" t="str">
            <v>LIT_020</v>
          </cell>
          <cell r="B878" t="str">
            <v>IHS_DLA_278</v>
          </cell>
          <cell r="C878" t="str">
            <v>LIT_020</v>
          </cell>
          <cell r="D878" t="str">
            <v>Littoral</v>
          </cell>
          <cell r="E878" t="str">
            <v>Littoral</v>
          </cell>
          <cell r="F878" t="str">
            <v>Bonamoutongo</v>
          </cell>
          <cell r="G878" t="str">
            <v>P3</v>
          </cell>
          <cell r="H878" t="str">
            <v>Grid-Gen</v>
          </cell>
          <cell r="I878" t="str">
            <v>On Air</v>
          </cell>
          <cell r="J878" t="str">
            <v>Outdoor</v>
          </cell>
          <cell r="K878" t="str">
            <v>AC</v>
          </cell>
          <cell r="L878" t="str">
            <v>Dowen</v>
          </cell>
          <cell r="M878" t="str">
            <v>PK12</v>
          </cell>
          <cell r="N878" t="str">
            <v>Wouri</v>
          </cell>
          <cell r="O878" t="str">
            <v>Douala 3</v>
          </cell>
          <cell r="P878" t="str">
            <v>Jean Marie Wafo Metinou</v>
          </cell>
          <cell r="Q878">
            <v>677549197</v>
          </cell>
          <cell r="R878">
            <v>656993754</v>
          </cell>
          <cell r="S878" t="str">
            <v>Valery Doudou</v>
          </cell>
          <cell r="T878" t="str">
            <v>GEORGES NAKHOUL</v>
          </cell>
          <cell r="U878" t="str">
            <v>I H S</v>
          </cell>
        </row>
        <row r="879">
          <cell r="A879" t="str">
            <v>LIT_055</v>
          </cell>
          <cell r="B879" t="str">
            <v>IHS_DLA_092</v>
          </cell>
          <cell r="C879" t="str">
            <v>LIT_055</v>
          </cell>
          <cell r="D879" t="str">
            <v>Littoral</v>
          </cell>
          <cell r="E879" t="str">
            <v>Littoral</v>
          </cell>
          <cell r="F879" t="str">
            <v>Ancien-Aeroport</v>
          </cell>
          <cell r="G879" t="str">
            <v>P3</v>
          </cell>
          <cell r="H879" t="str">
            <v>Grid-Gen</v>
          </cell>
          <cell r="I879" t="str">
            <v>On Air</v>
          </cell>
          <cell r="J879" t="str">
            <v>Indoor</v>
          </cell>
          <cell r="K879" t="str">
            <v>AC</v>
          </cell>
          <cell r="L879" t="str">
            <v>Dowen</v>
          </cell>
          <cell r="M879" t="str">
            <v>St Michel</v>
          </cell>
          <cell r="N879" t="str">
            <v>Wouri</v>
          </cell>
          <cell r="O879" t="str">
            <v>Douala 1</v>
          </cell>
          <cell r="P879" t="str">
            <v>Jean Marie Wafo Metinou</v>
          </cell>
          <cell r="Q879">
            <v>677549197</v>
          </cell>
          <cell r="R879">
            <v>656993754</v>
          </cell>
          <cell r="S879" t="str">
            <v>Valery Doudou</v>
          </cell>
          <cell r="T879" t="str">
            <v>GEORGES NAKHOUL</v>
          </cell>
          <cell r="U879" t="str">
            <v>I H S</v>
          </cell>
        </row>
        <row r="880">
          <cell r="A880" t="str">
            <v>LIT_256</v>
          </cell>
          <cell r="B880" t="str">
            <v>IHS_DLA_219</v>
          </cell>
          <cell r="C880" t="str">
            <v>LIT_256</v>
          </cell>
          <cell r="D880" t="str">
            <v>Littoral</v>
          </cell>
          <cell r="E880" t="str">
            <v>Littoral</v>
          </cell>
          <cell r="F880" t="str">
            <v>Beedi-Hte-Tension</v>
          </cell>
          <cell r="G880" t="str">
            <v>P3</v>
          </cell>
          <cell r="H880" t="str">
            <v>Grid-Gen</v>
          </cell>
          <cell r="I880" t="str">
            <v>On Air</v>
          </cell>
          <cell r="J880" t="str">
            <v>Outdoor</v>
          </cell>
          <cell r="K880" t="str">
            <v>AC</v>
          </cell>
          <cell r="L880" t="str">
            <v>Dowen</v>
          </cell>
          <cell r="M880" t="str">
            <v>Beedi</v>
          </cell>
          <cell r="N880" t="str">
            <v>Wouri</v>
          </cell>
          <cell r="O880" t="str">
            <v>Douala 5</v>
          </cell>
          <cell r="P880" t="str">
            <v>Jean Marie Wafo Metinou</v>
          </cell>
          <cell r="Q880">
            <v>677549197</v>
          </cell>
          <cell r="R880">
            <v>656993754</v>
          </cell>
          <cell r="S880" t="str">
            <v>Valery Doudou</v>
          </cell>
          <cell r="T880" t="str">
            <v>GEORGES NAKHOUL</v>
          </cell>
          <cell r="U880" t="str">
            <v>I H S</v>
          </cell>
        </row>
        <row r="881">
          <cell r="A881" t="str">
            <v>LIT_425</v>
          </cell>
          <cell r="B881" t="str">
            <v>IHS_DLA_173</v>
          </cell>
          <cell r="C881" t="str">
            <v>LIT_425</v>
          </cell>
          <cell r="D881" t="str">
            <v>Littoral</v>
          </cell>
          <cell r="E881" t="str">
            <v>Littoral</v>
          </cell>
          <cell r="F881" t="str">
            <v>Bilongue</v>
          </cell>
          <cell r="G881" t="str">
            <v>P3</v>
          </cell>
          <cell r="H881" t="str">
            <v>Grid-Gen</v>
          </cell>
          <cell r="I881" t="str">
            <v>On Air</v>
          </cell>
          <cell r="J881" t="str">
            <v>Outdoor</v>
          </cell>
          <cell r="K881" t="str">
            <v>AC</v>
          </cell>
          <cell r="L881" t="str">
            <v>Dowen</v>
          </cell>
          <cell r="M881" t="str">
            <v>Bilongue</v>
          </cell>
          <cell r="N881" t="str">
            <v>Wouri</v>
          </cell>
          <cell r="O881" t="str">
            <v>Douala 3</v>
          </cell>
          <cell r="P881" t="str">
            <v>Jean Marie Wafo Metinou</v>
          </cell>
          <cell r="Q881">
            <v>677549197</v>
          </cell>
          <cell r="R881">
            <v>656993754</v>
          </cell>
          <cell r="S881" t="str">
            <v>Valery Doudou</v>
          </cell>
          <cell r="T881" t="str">
            <v>GEORGES NAKHOUL</v>
          </cell>
          <cell r="U881" t="str">
            <v>I H S</v>
          </cell>
        </row>
        <row r="882">
          <cell r="A882" t="str">
            <v>LIT_096</v>
          </cell>
          <cell r="B882" t="str">
            <v>IHS_DLA_015</v>
          </cell>
          <cell r="C882" t="str">
            <v>LIT_096</v>
          </cell>
          <cell r="D882" t="str">
            <v>Littoral</v>
          </cell>
          <cell r="E882" t="str">
            <v>Littoral</v>
          </cell>
          <cell r="F882" t="str">
            <v>NR-PK5</v>
          </cell>
          <cell r="G882" t="str">
            <v>P3</v>
          </cell>
          <cell r="H882" t="str">
            <v>Grid-Gen</v>
          </cell>
          <cell r="I882" t="str">
            <v>On Air</v>
          </cell>
          <cell r="J882" t="str">
            <v>Indoor</v>
          </cell>
          <cell r="K882" t="str">
            <v>AC</v>
          </cell>
          <cell r="L882" t="str">
            <v>Dowen</v>
          </cell>
          <cell r="M882" t="str">
            <v>St Michel</v>
          </cell>
          <cell r="N882" t="str">
            <v>Wouri</v>
          </cell>
          <cell r="O882" t="str">
            <v>Douala 2</v>
          </cell>
          <cell r="P882" t="str">
            <v>Jean Marie Wafo Metinou</v>
          </cell>
          <cell r="Q882">
            <v>677549197</v>
          </cell>
          <cell r="R882">
            <v>656993754</v>
          </cell>
          <cell r="S882" t="str">
            <v>Valery Doudou</v>
          </cell>
          <cell r="T882" t="str">
            <v>GEORGES NAKHOUL</v>
          </cell>
          <cell r="U882" t="str">
            <v>I H S</v>
          </cell>
        </row>
        <row r="883">
          <cell r="A883" t="str">
            <v>LIT_058</v>
          </cell>
          <cell r="B883" t="str">
            <v>IHS_DLA_203</v>
          </cell>
          <cell r="C883" t="str">
            <v>LIT_058</v>
          </cell>
          <cell r="D883" t="str">
            <v>Littoral</v>
          </cell>
          <cell r="E883" t="str">
            <v>Littoral</v>
          </cell>
          <cell r="F883" t="str">
            <v>Logbaba</v>
          </cell>
          <cell r="G883" t="str">
            <v>P3</v>
          </cell>
          <cell r="H883" t="str">
            <v>Grid-Gen</v>
          </cell>
          <cell r="I883" t="str">
            <v>On Air</v>
          </cell>
          <cell r="J883" t="str">
            <v>Indoor</v>
          </cell>
          <cell r="K883" t="str">
            <v>AC</v>
          </cell>
          <cell r="L883" t="str">
            <v>Dowen</v>
          </cell>
          <cell r="M883" t="str">
            <v>Beedi</v>
          </cell>
          <cell r="N883" t="str">
            <v>Wouri</v>
          </cell>
          <cell r="O883" t="str">
            <v>Douala 3</v>
          </cell>
          <cell r="P883" t="str">
            <v>Jean Marie Wafo Metinou</v>
          </cell>
          <cell r="Q883">
            <v>677549197</v>
          </cell>
          <cell r="R883">
            <v>656993754</v>
          </cell>
          <cell r="S883" t="str">
            <v>Valery Doudou</v>
          </cell>
          <cell r="T883" t="str">
            <v>GEORGES NAKHOUL</v>
          </cell>
          <cell r="U883" t="str">
            <v>I H S</v>
          </cell>
        </row>
        <row r="884">
          <cell r="A884" t="str">
            <v>LIT_117</v>
          </cell>
          <cell r="B884" t="str">
            <v>IHS_DLA_295</v>
          </cell>
          <cell r="C884" t="str">
            <v>LIT_117</v>
          </cell>
          <cell r="D884" t="str">
            <v>Littoral</v>
          </cell>
          <cell r="E884" t="str">
            <v>Littoral</v>
          </cell>
          <cell r="F884" t="str">
            <v>Ndogkeng</v>
          </cell>
          <cell r="G884" t="str">
            <v>P3</v>
          </cell>
          <cell r="H884" t="str">
            <v>Grid-Gen</v>
          </cell>
          <cell r="I884" t="str">
            <v>On Air</v>
          </cell>
          <cell r="J884" t="str">
            <v>Indoor</v>
          </cell>
          <cell r="K884" t="str">
            <v>AC</v>
          </cell>
          <cell r="L884" t="str">
            <v>Dowen</v>
          </cell>
          <cell r="M884" t="str">
            <v>PK12</v>
          </cell>
          <cell r="N884" t="str">
            <v>Wouri</v>
          </cell>
          <cell r="O884" t="str">
            <v>Douala 5</v>
          </cell>
          <cell r="P884" t="str">
            <v>Jean Marie Wafo Metinou</v>
          </cell>
          <cell r="Q884">
            <v>677549197</v>
          </cell>
          <cell r="R884">
            <v>656993754</v>
          </cell>
          <cell r="S884" t="str">
            <v>Valery Doudou</v>
          </cell>
          <cell r="T884" t="str">
            <v>GEORGES NAKHOUL</v>
          </cell>
          <cell r="U884" t="str">
            <v>I H S</v>
          </cell>
        </row>
        <row r="885">
          <cell r="A885" t="str">
            <v>LIT_250</v>
          </cell>
          <cell r="B885" t="str">
            <v>IHS_DLA_212</v>
          </cell>
          <cell r="C885" t="str">
            <v>LIT_250</v>
          </cell>
          <cell r="D885" t="str">
            <v>Littoral</v>
          </cell>
          <cell r="E885" t="str">
            <v>Littoral</v>
          </cell>
          <cell r="F885" t="str">
            <v>Bobongo</v>
          </cell>
          <cell r="G885" t="str">
            <v>P3</v>
          </cell>
          <cell r="H885" t="str">
            <v>Grid-Gen</v>
          </cell>
          <cell r="I885" t="str">
            <v>On Air</v>
          </cell>
          <cell r="J885" t="str">
            <v>Outdoor</v>
          </cell>
          <cell r="K885" t="str">
            <v>AC</v>
          </cell>
          <cell r="L885" t="str">
            <v>Dowen</v>
          </cell>
          <cell r="M885" t="str">
            <v>Bilongue</v>
          </cell>
          <cell r="N885" t="str">
            <v>Wouri</v>
          </cell>
          <cell r="O885" t="str">
            <v>Douala 3</v>
          </cell>
          <cell r="P885" t="str">
            <v>Jean Marie Wafo Metinou</v>
          </cell>
          <cell r="Q885">
            <v>677549197</v>
          </cell>
          <cell r="R885">
            <v>656993754</v>
          </cell>
          <cell r="S885" t="str">
            <v>Valery Doudou</v>
          </cell>
          <cell r="T885" t="str">
            <v>GEORGES NAKHOUL</v>
          </cell>
          <cell r="U885" t="str">
            <v>I H S</v>
          </cell>
        </row>
        <row r="886">
          <cell r="A886" t="str">
            <v>LIT_223</v>
          </cell>
          <cell r="B886" t="str">
            <v>IHS_DLA_236</v>
          </cell>
          <cell r="C886" t="str">
            <v>LIT_223</v>
          </cell>
          <cell r="D886" t="str">
            <v>Littoral</v>
          </cell>
          <cell r="E886" t="str">
            <v>Littoral</v>
          </cell>
          <cell r="F886" t="str">
            <v>PK10-Plateau</v>
          </cell>
          <cell r="G886" t="str">
            <v>P3</v>
          </cell>
          <cell r="H886" t="str">
            <v>Grid-Gen</v>
          </cell>
          <cell r="I886" t="str">
            <v>On Air</v>
          </cell>
          <cell r="J886" t="str">
            <v>Outdoor</v>
          </cell>
          <cell r="K886" t="str">
            <v>AC</v>
          </cell>
          <cell r="L886" t="str">
            <v>Dowen</v>
          </cell>
          <cell r="M886" t="str">
            <v>PK12</v>
          </cell>
          <cell r="N886" t="str">
            <v>Wouri</v>
          </cell>
          <cell r="O886" t="str">
            <v>Douala 3</v>
          </cell>
          <cell r="P886" t="str">
            <v>Jean Marie Wafo Metinou</v>
          </cell>
          <cell r="Q886">
            <v>677549197</v>
          </cell>
          <cell r="R886">
            <v>656993754</v>
          </cell>
          <cell r="S886" t="str">
            <v>Valery Doudou</v>
          </cell>
          <cell r="T886" t="str">
            <v>GEORGES NAKHOUL</v>
          </cell>
          <cell r="U886" t="str">
            <v>I H S</v>
          </cell>
        </row>
        <row r="887">
          <cell r="A887" t="str">
            <v>LIT_183</v>
          </cell>
          <cell r="B887" t="str">
            <v>IHS_DLA_031</v>
          </cell>
          <cell r="C887" t="str">
            <v>LIT_183</v>
          </cell>
          <cell r="D887" t="str">
            <v>Littoral</v>
          </cell>
          <cell r="E887" t="str">
            <v>Littoral</v>
          </cell>
          <cell r="F887" t="str">
            <v>Nkololoun</v>
          </cell>
          <cell r="G887" t="str">
            <v>P3</v>
          </cell>
          <cell r="H887" t="str">
            <v>Grid Only</v>
          </cell>
          <cell r="I887" t="str">
            <v>On Air</v>
          </cell>
          <cell r="J887" t="str">
            <v>Outdoor</v>
          </cell>
          <cell r="K887" t="str">
            <v>AC</v>
          </cell>
          <cell r="L887" t="str">
            <v>Dowen</v>
          </cell>
          <cell r="M887" t="str">
            <v>St Michel</v>
          </cell>
          <cell r="N887" t="str">
            <v>Wouri</v>
          </cell>
          <cell r="O887" t="str">
            <v>Douala 2</v>
          </cell>
          <cell r="P887" t="str">
            <v>Jean Marie Wafo Metinou</v>
          </cell>
          <cell r="Q887">
            <v>677549197</v>
          </cell>
          <cell r="R887">
            <v>656993754</v>
          </cell>
          <cell r="S887" t="str">
            <v>Valery Doudou</v>
          </cell>
          <cell r="T887" t="str">
            <v>GEORGES NAKHOUL</v>
          </cell>
          <cell r="U887" t="str">
            <v>I H S</v>
          </cell>
        </row>
        <row r="888">
          <cell r="A888" t="str">
            <v>LIT_281</v>
          </cell>
          <cell r="B888" t="str">
            <v>IHS_DLA_012</v>
          </cell>
          <cell r="C888" t="str">
            <v>LIT_281</v>
          </cell>
          <cell r="D888" t="str">
            <v>Littoral</v>
          </cell>
          <cell r="E888" t="str">
            <v>Littoral</v>
          </cell>
          <cell r="F888" t="str">
            <v>Camp-Bertaud</v>
          </cell>
          <cell r="G888" t="str">
            <v>P3</v>
          </cell>
          <cell r="H888" t="str">
            <v>Grid Only</v>
          </cell>
          <cell r="I888" t="str">
            <v>On Air</v>
          </cell>
          <cell r="J888" t="str">
            <v>Outdoor</v>
          </cell>
          <cell r="K888" t="str">
            <v>AC</v>
          </cell>
          <cell r="L888" t="str">
            <v>Dowen</v>
          </cell>
          <cell r="M888" t="str">
            <v>St Michel</v>
          </cell>
          <cell r="N888" t="str">
            <v>Wouri</v>
          </cell>
          <cell r="O888" t="str">
            <v>Douala 2</v>
          </cell>
          <cell r="P888" t="str">
            <v>Jean Marie Wafo Metinou</v>
          </cell>
          <cell r="Q888">
            <v>677549197</v>
          </cell>
          <cell r="R888">
            <v>656993754</v>
          </cell>
          <cell r="S888" t="str">
            <v>Valery Doudou</v>
          </cell>
          <cell r="T888" t="str">
            <v>GEORGES NAKHOUL</v>
          </cell>
          <cell r="U888" t="str">
            <v>I H S</v>
          </cell>
        </row>
        <row r="889">
          <cell r="A889" t="str">
            <v>LIT_368</v>
          </cell>
          <cell r="B889" t="str">
            <v>IHS_DLA_166</v>
          </cell>
          <cell r="C889" t="str">
            <v>LIT_368</v>
          </cell>
          <cell r="D889" t="str">
            <v>Littoral</v>
          </cell>
          <cell r="E889" t="str">
            <v>Littoral</v>
          </cell>
          <cell r="F889" t="str">
            <v>Oyack IHS</v>
          </cell>
          <cell r="G889" t="str">
            <v>P3</v>
          </cell>
          <cell r="H889" t="str">
            <v>Grid-Gen</v>
          </cell>
          <cell r="I889" t="str">
            <v>On Air</v>
          </cell>
          <cell r="J889" t="str">
            <v>Outdoor</v>
          </cell>
          <cell r="K889" t="str">
            <v>AC</v>
          </cell>
          <cell r="L889" t="str">
            <v>Dowen</v>
          </cell>
          <cell r="M889" t="str">
            <v>Bilongue</v>
          </cell>
          <cell r="N889" t="str">
            <v>Wouri</v>
          </cell>
          <cell r="O889" t="str">
            <v>Douala 3</v>
          </cell>
          <cell r="P889" t="str">
            <v>Jean Marie Wafo Metinou</v>
          </cell>
          <cell r="Q889">
            <v>677549197</v>
          </cell>
          <cell r="R889">
            <v>656993754</v>
          </cell>
          <cell r="S889" t="str">
            <v>Valery Doudou</v>
          </cell>
          <cell r="T889" t="str">
            <v>GEORGES NAKHOUL</v>
          </cell>
          <cell r="U889" t="str">
            <v>I H S</v>
          </cell>
        </row>
        <row r="890">
          <cell r="A890" t="str">
            <v>LIT_140</v>
          </cell>
          <cell r="B890" t="str">
            <v>IHS_DLA_258</v>
          </cell>
          <cell r="C890" t="str">
            <v>LIT_140</v>
          </cell>
          <cell r="D890" t="str">
            <v>Littoral</v>
          </cell>
          <cell r="E890" t="str">
            <v>Littoral</v>
          </cell>
          <cell r="F890" t="str">
            <v>Logpom-Andem_IHS</v>
          </cell>
          <cell r="G890" t="str">
            <v>P3</v>
          </cell>
          <cell r="H890" t="str">
            <v>Grid-Gen</v>
          </cell>
          <cell r="I890" t="str">
            <v>On Air</v>
          </cell>
          <cell r="J890" t="str">
            <v>Outdoor</v>
          </cell>
          <cell r="K890" t="str">
            <v>AC</v>
          </cell>
          <cell r="L890" t="str">
            <v>Dowen</v>
          </cell>
          <cell r="M890" t="str">
            <v>Beedi</v>
          </cell>
          <cell r="N890" t="str">
            <v>Wouri</v>
          </cell>
          <cell r="O890" t="str">
            <v>Douala 5</v>
          </cell>
          <cell r="P890" t="str">
            <v>Jean Marie Wafo Metinou</v>
          </cell>
          <cell r="Q890">
            <v>677549197</v>
          </cell>
          <cell r="R890">
            <v>656993754</v>
          </cell>
          <cell r="S890" t="str">
            <v>Valery Doudou</v>
          </cell>
          <cell r="T890" t="str">
            <v>GEORGES NAKHOUL</v>
          </cell>
          <cell r="U890" t="str">
            <v>I H S</v>
          </cell>
        </row>
        <row r="891">
          <cell r="A891" t="str">
            <v>LIT_587</v>
          </cell>
          <cell r="B891" t="str">
            <v>IHS_DLA_014</v>
          </cell>
          <cell r="C891" t="str">
            <v>LIT_587</v>
          </cell>
          <cell r="D891" t="str">
            <v>Littoral</v>
          </cell>
          <cell r="E891" t="str">
            <v>Littoral</v>
          </cell>
          <cell r="F891" t="str">
            <v>Camp-Yabassi-IHS</v>
          </cell>
          <cell r="G891" t="str">
            <v>P3</v>
          </cell>
          <cell r="H891" t="str">
            <v>Grid-Gen</v>
          </cell>
          <cell r="I891" t="str">
            <v>On Air</v>
          </cell>
          <cell r="J891" t="str">
            <v>Outdoor</v>
          </cell>
          <cell r="K891" t="str">
            <v>AC</v>
          </cell>
          <cell r="L891" t="str">
            <v>Dowen</v>
          </cell>
          <cell r="M891" t="str">
            <v>St Michel</v>
          </cell>
          <cell r="N891" t="str">
            <v>Wouri</v>
          </cell>
          <cell r="O891" t="str">
            <v>Douala 2</v>
          </cell>
          <cell r="P891" t="str">
            <v>Jean Marie Wafo Metinou</v>
          </cell>
          <cell r="Q891">
            <v>677549197</v>
          </cell>
          <cell r="R891">
            <v>656993754</v>
          </cell>
          <cell r="S891" t="str">
            <v>Valery Doudou</v>
          </cell>
          <cell r="T891" t="str">
            <v>GEORGES NAKHOUL</v>
          </cell>
          <cell r="U891" t="str">
            <v>I H S</v>
          </cell>
        </row>
        <row r="892">
          <cell r="A892" t="str">
            <v>LIT_397</v>
          </cell>
          <cell r="B892" t="str">
            <v>IHS_DLA_222</v>
          </cell>
          <cell r="C892" t="str">
            <v>LIT_397</v>
          </cell>
          <cell r="D892" t="str">
            <v>Littoral</v>
          </cell>
          <cell r="E892" t="str">
            <v>Littoral</v>
          </cell>
          <cell r="F892" t="str">
            <v>Makepe-Chefferie</v>
          </cell>
          <cell r="G892" t="str">
            <v>P4</v>
          </cell>
          <cell r="H892" t="str">
            <v>Grid-Gen</v>
          </cell>
          <cell r="I892" t="str">
            <v>On Air</v>
          </cell>
          <cell r="J892" t="str">
            <v>Outdoor</v>
          </cell>
          <cell r="K892" t="str">
            <v>AC</v>
          </cell>
          <cell r="L892" t="str">
            <v>Dowen</v>
          </cell>
          <cell r="M892" t="str">
            <v>Beedi</v>
          </cell>
          <cell r="N892" t="str">
            <v>Wouri</v>
          </cell>
          <cell r="O892" t="str">
            <v>Douala 5</v>
          </cell>
          <cell r="P892" t="str">
            <v>Jean Marie Wafo Metinou</v>
          </cell>
          <cell r="Q892">
            <v>677549197</v>
          </cell>
          <cell r="R892">
            <v>656993754</v>
          </cell>
          <cell r="S892" t="str">
            <v>Valery Doudou</v>
          </cell>
          <cell r="T892" t="str">
            <v>GEORGES NAKHOUL</v>
          </cell>
          <cell r="U892" t="str">
            <v>I H S</v>
          </cell>
        </row>
        <row r="893">
          <cell r="A893" t="str">
            <v>LIT_447</v>
          </cell>
          <cell r="B893" t="str">
            <v>IHS_DLA_440</v>
          </cell>
          <cell r="C893" t="str">
            <v>LIT_447</v>
          </cell>
          <cell r="D893" t="str">
            <v>Littoral</v>
          </cell>
          <cell r="E893" t="str">
            <v>Littoral</v>
          </cell>
          <cell r="F893" t="str">
            <v>PK10 II Genie Militare</v>
          </cell>
          <cell r="G893" t="str">
            <v>P4</v>
          </cell>
          <cell r="H893" t="str">
            <v>Grid-Gen</v>
          </cell>
          <cell r="I893" t="str">
            <v>On Air</v>
          </cell>
          <cell r="J893" t="str">
            <v>Outdoor</v>
          </cell>
          <cell r="K893" t="str">
            <v>AC</v>
          </cell>
          <cell r="L893" t="str">
            <v>Dowen</v>
          </cell>
          <cell r="M893" t="str">
            <v>PK12</v>
          </cell>
          <cell r="N893" t="str">
            <v>Wouri</v>
          </cell>
          <cell r="O893" t="str">
            <v>Douala 3</v>
          </cell>
          <cell r="P893" t="str">
            <v>Jean Marie Wafo Metinou</v>
          </cell>
          <cell r="Q893">
            <v>677549197</v>
          </cell>
          <cell r="R893">
            <v>656993754</v>
          </cell>
          <cell r="S893" t="str">
            <v>Valery Doudou</v>
          </cell>
          <cell r="T893" t="str">
            <v>GEORGES NAKHOUL</v>
          </cell>
          <cell r="U893" t="str">
            <v>I H S</v>
          </cell>
        </row>
        <row r="894">
          <cell r="A894" t="str">
            <v>LIT_128</v>
          </cell>
          <cell r="B894" t="str">
            <v>IHS_DLA_246</v>
          </cell>
          <cell r="C894" t="str">
            <v>LIT_128</v>
          </cell>
          <cell r="D894" t="str">
            <v>Littoral</v>
          </cell>
          <cell r="E894" t="str">
            <v>Littoral</v>
          </cell>
          <cell r="F894" t="str">
            <v>G-Militaire</v>
          </cell>
          <cell r="G894" t="str">
            <v>P4</v>
          </cell>
          <cell r="H894" t="str">
            <v>Grid-Gen</v>
          </cell>
          <cell r="I894" t="str">
            <v>On Air</v>
          </cell>
          <cell r="J894" t="str">
            <v>Indoor</v>
          </cell>
          <cell r="K894" t="str">
            <v>AC</v>
          </cell>
          <cell r="L894" t="str">
            <v>Dowen</v>
          </cell>
          <cell r="M894" t="str">
            <v>PK12</v>
          </cell>
          <cell r="N894" t="str">
            <v>Wouri</v>
          </cell>
          <cell r="O894" t="str">
            <v>Douala 3</v>
          </cell>
          <cell r="P894" t="str">
            <v>Jean Marie Wafo Metinou</v>
          </cell>
          <cell r="Q894">
            <v>677549197</v>
          </cell>
          <cell r="R894">
            <v>656993754</v>
          </cell>
          <cell r="S894" t="str">
            <v>Valery Doudou</v>
          </cell>
          <cell r="T894" t="str">
            <v>GEORGES NAKHOUL</v>
          </cell>
          <cell r="U894" t="str">
            <v>I H S</v>
          </cell>
        </row>
        <row r="895">
          <cell r="A895" t="str">
            <v>LIT_076</v>
          </cell>
          <cell r="B895" t="str">
            <v>IHS_DLA_128</v>
          </cell>
          <cell r="C895" t="str">
            <v>LIT_076</v>
          </cell>
          <cell r="D895" t="str">
            <v>Littoral</v>
          </cell>
          <cell r="E895" t="str">
            <v>Littoral</v>
          </cell>
          <cell r="F895" t="str">
            <v>Nylon</v>
          </cell>
          <cell r="G895" t="str">
            <v>P4</v>
          </cell>
          <cell r="H895" t="str">
            <v>Grid-Gen</v>
          </cell>
          <cell r="I895" t="str">
            <v>On Air</v>
          </cell>
          <cell r="J895" t="str">
            <v>Indoor</v>
          </cell>
          <cell r="K895" t="str">
            <v>AC</v>
          </cell>
          <cell r="L895" t="str">
            <v>Dowen</v>
          </cell>
          <cell r="M895" t="str">
            <v>St Michel</v>
          </cell>
          <cell r="N895" t="str">
            <v>Wouri</v>
          </cell>
          <cell r="O895" t="str">
            <v>Douala 3</v>
          </cell>
          <cell r="P895" t="str">
            <v>Jean Marie Wafo Metinou</v>
          </cell>
          <cell r="Q895">
            <v>677549197</v>
          </cell>
          <cell r="R895">
            <v>656993754</v>
          </cell>
          <cell r="S895" t="str">
            <v>Valery Doudou</v>
          </cell>
          <cell r="T895" t="str">
            <v>GEORGES NAKHOUL</v>
          </cell>
          <cell r="U895" t="str">
            <v>I H S</v>
          </cell>
        </row>
        <row r="896">
          <cell r="A896" t="str">
            <v>LIT_371</v>
          </cell>
          <cell r="B896" t="str">
            <v>IHS_DLA_218</v>
          </cell>
          <cell r="C896" t="str">
            <v>LIT_371</v>
          </cell>
          <cell r="D896" t="str">
            <v>Littoral</v>
          </cell>
          <cell r="E896" t="str">
            <v>Littoral</v>
          </cell>
          <cell r="F896" t="str">
            <v>CD-Palmiers-II</v>
          </cell>
          <cell r="G896" t="str">
            <v>P4</v>
          </cell>
          <cell r="H896" t="str">
            <v>Grid-Gen</v>
          </cell>
          <cell r="I896" t="str">
            <v>On Air</v>
          </cell>
          <cell r="J896" t="str">
            <v>Outdoor</v>
          </cell>
          <cell r="K896" t="str">
            <v>AC</v>
          </cell>
          <cell r="L896" t="str">
            <v>Dowen</v>
          </cell>
          <cell r="M896" t="str">
            <v>Beedi</v>
          </cell>
          <cell r="N896" t="str">
            <v>Wouri</v>
          </cell>
          <cell r="O896" t="str">
            <v>Douala 5</v>
          </cell>
          <cell r="P896" t="str">
            <v>Jean Marie Wafo Metinou</v>
          </cell>
          <cell r="Q896">
            <v>677549197</v>
          </cell>
          <cell r="R896">
            <v>656993754</v>
          </cell>
          <cell r="S896" t="str">
            <v>Valery Doudou</v>
          </cell>
          <cell r="T896" t="str">
            <v>GEORGES NAKHOUL</v>
          </cell>
          <cell r="U896" t="str">
            <v>I H S</v>
          </cell>
        </row>
        <row r="897">
          <cell r="A897" t="str">
            <v>LIT_403</v>
          </cell>
          <cell r="B897" t="str">
            <v>IHS_DLA_247</v>
          </cell>
          <cell r="C897" t="str">
            <v>LIT_403</v>
          </cell>
          <cell r="D897" t="str">
            <v>Littoral</v>
          </cell>
          <cell r="E897" t="str">
            <v>Littoral</v>
          </cell>
          <cell r="F897" t="str">
            <v>PK10-Soeurs-Dominicaines</v>
          </cell>
          <cell r="G897" t="str">
            <v>P4</v>
          </cell>
          <cell r="H897" t="str">
            <v>Grid-Gen</v>
          </cell>
          <cell r="I897" t="str">
            <v>On Air</v>
          </cell>
          <cell r="J897" t="str">
            <v>Outdoor</v>
          </cell>
          <cell r="K897" t="str">
            <v>AC</v>
          </cell>
          <cell r="L897" t="str">
            <v>Dowen</v>
          </cell>
          <cell r="M897" t="str">
            <v>PK12</v>
          </cell>
          <cell r="N897" t="str">
            <v>Wouri</v>
          </cell>
          <cell r="O897" t="str">
            <v>Douala 3</v>
          </cell>
          <cell r="P897" t="str">
            <v>Jean Marie Wafo Metinou</v>
          </cell>
          <cell r="Q897">
            <v>677549197</v>
          </cell>
          <cell r="R897">
            <v>656993754</v>
          </cell>
          <cell r="S897" t="str">
            <v>Valery Doudou</v>
          </cell>
          <cell r="T897" t="str">
            <v>GEORGES NAKHOUL</v>
          </cell>
          <cell r="U897" t="str">
            <v>I H S</v>
          </cell>
        </row>
        <row r="898">
          <cell r="A898" t="str">
            <v>LIT_271</v>
          </cell>
          <cell r="B898" t="str">
            <v>IHS_DLA_288</v>
          </cell>
          <cell r="C898" t="str">
            <v>LIT_271</v>
          </cell>
          <cell r="D898" t="str">
            <v>Littoral</v>
          </cell>
          <cell r="E898" t="str">
            <v>Littoral</v>
          </cell>
          <cell r="F898" t="str">
            <v>PK15</v>
          </cell>
          <cell r="G898" t="str">
            <v>P4</v>
          </cell>
          <cell r="H898" t="str">
            <v>Grid-Gen</v>
          </cell>
          <cell r="I898" t="str">
            <v>On Air</v>
          </cell>
          <cell r="J898" t="str">
            <v>Outdoor</v>
          </cell>
          <cell r="K898" t="str">
            <v>AC</v>
          </cell>
          <cell r="L898" t="str">
            <v>Dowen</v>
          </cell>
          <cell r="M898" t="str">
            <v>PK12</v>
          </cell>
          <cell r="N898" t="str">
            <v>Wouri</v>
          </cell>
          <cell r="O898" t="str">
            <v>Douala 3</v>
          </cell>
          <cell r="P898" t="str">
            <v>Jean Marie Wafo Metinou</v>
          </cell>
          <cell r="Q898">
            <v>677549197</v>
          </cell>
          <cell r="R898">
            <v>656993754</v>
          </cell>
          <cell r="S898" t="str">
            <v>Valery Doudou</v>
          </cell>
          <cell r="T898" t="str">
            <v>GEORGES NAKHOUL</v>
          </cell>
          <cell r="U898" t="str">
            <v>I H S</v>
          </cell>
        </row>
        <row r="899">
          <cell r="A899" t="str">
            <v>LIT_270</v>
          </cell>
          <cell r="B899" t="str">
            <v>IHS_DLA_286</v>
          </cell>
          <cell r="C899" t="str">
            <v>LIT_270</v>
          </cell>
          <cell r="D899" t="str">
            <v>Littoral</v>
          </cell>
          <cell r="E899" t="str">
            <v>Littoral</v>
          </cell>
          <cell r="F899" t="str">
            <v>Zone-Papass</v>
          </cell>
          <cell r="G899" t="str">
            <v>P4</v>
          </cell>
          <cell r="H899" t="str">
            <v>Grid-Gen</v>
          </cell>
          <cell r="I899" t="str">
            <v>On Air</v>
          </cell>
          <cell r="J899" t="str">
            <v>Outdoor</v>
          </cell>
          <cell r="K899" t="str">
            <v>AC</v>
          </cell>
          <cell r="L899" t="str">
            <v>Dowen</v>
          </cell>
          <cell r="M899" t="str">
            <v>PK12</v>
          </cell>
          <cell r="N899" t="str">
            <v>Wouri</v>
          </cell>
          <cell r="O899" t="str">
            <v>Douala 3</v>
          </cell>
          <cell r="P899" t="str">
            <v>Jean Marie Wafo Metinou</v>
          </cell>
          <cell r="Q899">
            <v>677549197</v>
          </cell>
          <cell r="R899">
            <v>656993754</v>
          </cell>
          <cell r="S899" t="str">
            <v>Valery Doudou</v>
          </cell>
          <cell r="T899" t="str">
            <v>GEORGES NAKHOUL</v>
          </cell>
          <cell r="U899" t="str">
            <v>I H S</v>
          </cell>
        </row>
        <row r="900">
          <cell r="A900" t="str">
            <v>LIT_276</v>
          </cell>
          <cell r="B900" t="str">
            <v>IHS_DLA_260</v>
          </cell>
          <cell r="C900" t="str">
            <v>LIT_276</v>
          </cell>
          <cell r="D900" t="str">
            <v>Littoral</v>
          </cell>
          <cell r="E900" t="str">
            <v>Littoral</v>
          </cell>
          <cell r="F900" t="str">
            <v>Logpom-Kosovo</v>
          </cell>
          <cell r="G900" t="str">
            <v>P4</v>
          </cell>
          <cell r="H900" t="str">
            <v>Grid-Gen</v>
          </cell>
          <cell r="I900" t="str">
            <v>On Air</v>
          </cell>
          <cell r="J900" t="str">
            <v>Outdoor</v>
          </cell>
          <cell r="K900" t="str">
            <v>AC</v>
          </cell>
          <cell r="L900" t="str">
            <v>Dowen</v>
          </cell>
          <cell r="M900" t="str">
            <v>Beedi</v>
          </cell>
          <cell r="N900" t="str">
            <v>Wouri</v>
          </cell>
          <cell r="O900" t="str">
            <v>Douala 5</v>
          </cell>
          <cell r="P900" t="str">
            <v>Jean Marie Wafo Metinou</v>
          </cell>
          <cell r="Q900">
            <v>677549197</v>
          </cell>
          <cell r="R900">
            <v>656993754</v>
          </cell>
          <cell r="S900" t="str">
            <v>Valery Doudou</v>
          </cell>
          <cell r="T900" t="str">
            <v>GEORGES NAKHOUL</v>
          </cell>
          <cell r="U900" t="str">
            <v>I H S</v>
          </cell>
        </row>
        <row r="901">
          <cell r="A901" t="str">
            <v>LIT_292</v>
          </cell>
          <cell r="B901" t="str">
            <v>IHS_DLA_237</v>
          </cell>
          <cell r="C901" t="str">
            <v>LIT_292</v>
          </cell>
          <cell r="D901" t="str">
            <v>Littoral</v>
          </cell>
          <cell r="E901" t="str">
            <v>Littoral</v>
          </cell>
          <cell r="F901" t="str">
            <v>Ndogp-Bloc-13</v>
          </cell>
          <cell r="G901" t="str">
            <v>P4</v>
          </cell>
          <cell r="H901" t="str">
            <v>Grid-Gen</v>
          </cell>
          <cell r="I901" t="str">
            <v>On Air</v>
          </cell>
          <cell r="J901" t="str">
            <v>Outdoor</v>
          </cell>
          <cell r="K901" t="str">
            <v>AC</v>
          </cell>
          <cell r="L901" t="str">
            <v>Dowen</v>
          </cell>
          <cell r="M901" t="str">
            <v>Bilongue</v>
          </cell>
          <cell r="N901" t="str">
            <v>Wouri</v>
          </cell>
          <cell r="O901" t="str">
            <v>Douala 3</v>
          </cell>
          <cell r="P901" t="str">
            <v>Jean Marie Wafo Metinou</v>
          </cell>
          <cell r="Q901">
            <v>677549197</v>
          </cell>
          <cell r="R901">
            <v>656993754</v>
          </cell>
          <cell r="S901" t="str">
            <v>Valery Doudou</v>
          </cell>
          <cell r="T901" t="str">
            <v>GEORGES NAKHOUL</v>
          </cell>
          <cell r="U901" t="str">
            <v>I H S</v>
          </cell>
        </row>
        <row r="902">
          <cell r="A902" t="str">
            <v>LIT_370</v>
          </cell>
          <cell r="B902" t="str">
            <v>IHS_DLA_204</v>
          </cell>
          <cell r="C902" t="str">
            <v>LIT_370</v>
          </cell>
          <cell r="D902" t="str">
            <v>Littoral</v>
          </cell>
          <cell r="E902" t="str">
            <v>Littoral</v>
          </cell>
          <cell r="F902" t="str">
            <v>PK9</v>
          </cell>
          <cell r="G902" t="str">
            <v>P4</v>
          </cell>
          <cell r="H902" t="str">
            <v>Grid-Gen</v>
          </cell>
          <cell r="I902" t="str">
            <v>On Air</v>
          </cell>
          <cell r="J902" t="str">
            <v>Outdoor</v>
          </cell>
          <cell r="K902" t="str">
            <v>AC</v>
          </cell>
          <cell r="L902" t="str">
            <v>Dowen</v>
          </cell>
          <cell r="M902" t="str">
            <v>PK12</v>
          </cell>
          <cell r="N902" t="str">
            <v>Wouri</v>
          </cell>
          <cell r="O902" t="str">
            <v>Douala 3</v>
          </cell>
          <cell r="P902" t="str">
            <v>Jean Marie Wafo Metinou</v>
          </cell>
          <cell r="Q902">
            <v>677549197</v>
          </cell>
          <cell r="R902">
            <v>656993754</v>
          </cell>
          <cell r="S902" t="str">
            <v>Valery Doudou</v>
          </cell>
          <cell r="T902" t="str">
            <v>GEORGES NAKHOUL</v>
          </cell>
          <cell r="U902" t="str">
            <v>I H S</v>
          </cell>
        </row>
        <row r="903">
          <cell r="A903" t="str">
            <v>LIT_249</v>
          </cell>
          <cell r="B903" t="str">
            <v>IHS_DLA_250</v>
          </cell>
          <cell r="C903" t="str">
            <v>LIT_249</v>
          </cell>
          <cell r="D903" t="str">
            <v>Littoral</v>
          </cell>
          <cell r="E903" t="str">
            <v>Littoral</v>
          </cell>
          <cell r="F903" t="str">
            <v>PK12-Marche</v>
          </cell>
          <cell r="G903" t="str">
            <v>P4</v>
          </cell>
          <cell r="H903" t="str">
            <v>Grid-Gen</v>
          </cell>
          <cell r="I903" t="str">
            <v>On Air</v>
          </cell>
          <cell r="J903" t="str">
            <v>Outdoor</v>
          </cell>
          <cell r="K903" t="str">
            <v>AC</v>
          </cell>
          <cell r="L903" t="str">
            <v>Dowen</v>
          </cell>
          <cell r="M903" t="str">
            <v>PK12</v>
          </cell>
          <cell r="N903" t="str">
            <v>Wouri</v>
          </cell>
          <cell r="O903" t="str">
            <v>Douala 3</v>
          </cell>
          <cell r="P903" t="str">
            <v>Jean Marie Wafo Metinou</v>
          </cell>
          <cell r="Q903">
            <v>677549197</v>
          </cell>
          <cell r="R903">
            <v>656993754</v>
          </cell>
          <cell r="S903" t="str">
            <v>Valery Doudou</v>
          </cell>
          <cell r="T903" t="str">
            <v>GEORGES NAKHOUL</v>
          </cell>
          <cell r="U903" t="str">
            <v>I H S</v>
          </cell>
        </row>
        <row r="904">
          <cell r="A904" t="str">
            <v>LIT_441</v>
          </cell>
          <cell r="B904" t="str">
            <v>IHS_DLA_436</v>
          </cell>
          <cell r="C904" t="str">
            <v>LIT_441</v>
          </cell>
          <cell r="D904" t="str">
            <v>Littoral</v>
          </cell>
          <cell r="E904" t="str">
            <v>Littoral</v>
          </cell>
          <cell r="F904" t="str">
            <v>Ngo njo (PK11-II)</v>
          </cell>
          <cell r="G904" t="str">
            <v>P4</v>
          </cell>
          <cell r="H904" t="str">
            <v>Grid-Gen</v>
          </cell>
          <cell r="I904" t="str">
            <v>On Air</v>
          </cell>
          <cell r="J904" t="str">
            <v>Outdoor</v>
          </cell>
          <cell r="K904" t="str">
            <v>AC</v>
          </cell>
          <cell r="L904" t="str">
            <v>Dowen</v>
          </cell>
          <cell r="M904" t="str">
            <v>PK12</v>
          </cell>
          <cell r="N904" t="str">
            <v>Wouri</v>
          </cell>
          <cell r="O904" t="str">
            <v>Douala 3</v>
          </cell>
          <cell r="P904" t="str">
            <v>Jean Marie Wafo Metinou</v>
          </cell>
          <cell r="Q904">
            <v>677549197</v>
          </cell>
          <cell r="R904">
            <v>656993754</v>
          </cell>
          <cell r="S904" t="str">
            <v>Valery Doudou</v>
          </cell>
          <cell r="T904" t="str">
            <v>GEORGES NAKHOUL</v>
          </cell>
          <cell r="U904" t="str">
            <v>I H S</v>
          </cell>
        </row>
        <row r="905">
          <cell r="A905" t="str">
            <v>LIT_433</v>
          </cell>
          <cell r="B905" t="str">
            <v>IHS_DLA_441</v>
          </cell>
          <cell r="C905" t="str">
            <v>LIT_433</v>
          </cell>
          <cell r="D905" t="str">
            <v>Littoral</v>
          </cell>
          <cell r="E905" t="str">
            <v>Littoral</v>
          </cell>
          <cell r="F905" t="str">
            <v>Bonaloka Entrée</v>
          </cell>
          <cell r="G905" t="str">
            <v>P4</v>
          </cell>
          <cell r="H905" t="str">
            <v>Grid-Gen</v>
          </cell>
          <cell r="I905" t="str">
            <v>On Air</v>
          </cell>
          <cell r="J905" t="str">
            <v>Outdoor</v>
          </cell>
          <cell r="K905" t="str">
            <v>AC</v>
          </cell>
          <cell r="L905" t="str">
            <v>Dowen</v>
          </cell>
          <cell r="M905" t="str">
            <v>Bilongue</v>
          </cell>
          <cell r="N905" t="str">
            <v>Wouri</v>
          </cell>
          <cell r="O905" t="str">
            <v>Douala 3</v>
          </cell>
          <cell r="P905" t="str">
            <v>Jean Marie Wafo Metinou</v>
          </cell>
          <cell r="Q905">
            <v>677549197</v>
          </cell>
          <cell r="R905">
            <v>656993754</v>
          </cell>
          <cell r="S905" t="str">
            <v>Valery Doudou</v>
          </cell>
          <cell r="T905" t="str">
            <v>GEORGES NAKHOUL</v>
          </cell>
          <cell r="U905" t="str">
            <v>I H S</v>
          </cell>
        </row>
        <row r="906">
          <cell r="A906" t="str">
            <v>LIT_261</v>
          </cell>
          <cell r="B906" t="str">
            <v>IHS_DLA_249</v>
          </cell>
          <cell r="C906" t="str">
            <v>LIT_261</v>
          </cell>
          <cell r="D906" t="str">
            <v>Littoral</v>
          </cell>
          <cell r="E906" t="str">
            <v>Littoral</v>
          </cell>
          <cell r="F906" t="str">
            <v>PK11-Mbengue-City</v>
          </cell>
          <cell r="G906" t="str">
            <v>P4</v>
          </cell>
          <cell r="H906" t="str">
            <v>Grid-Gen</v>
          </cell>
          <cell r="I906" t="str">
            <v>On Air</v>
          </cell>
          <cell r="J906" t="str">
            <v>Outdoor</v>
          </cell>
          <cell r="K906" t="str">
            <v>AC</v>
          </cell>
          <cell r="L906" t="str">
            <v>Dowen</v>
          </cell>
          <cell r="M906" t="str">
            <v>PK12</v>
          </cell>
          <cell r="N906" t="str">
            <v>Wouri</v>
          </cell>
          <cell r="O906" t="str">
            <v>Douala 5</v>
          </cell>
          <cell r="P906" t="str">
            <v>Jean Marie Wafo Metinou</v>
          </cell>
          <cell r="Q906">
            <v>677549197</v>
          </cell>
          <cell r="R906">
            <v>656993754</v>
          </cell>
          <cell r="S906" t="str">
            <v>Valery Doudou</v>
          </cell>
          <cell r="T906" t="str">
            <v>GEORGES NAKHOUL</v>
          </cell>
          <cell r="U906" t="str">
            <v>I H S</v>
          </cell>
        </row>
        <row r="907">
          <cell r="A907" t="str">
            <v>LIT_439</v>
          </cell>
          <cell r="B907" t="str">
            <v>IHS_DLA_437</v>
          </cell>
          <cell r="C907" t="str">
            <v>LIT_439</v>
          </cell>
          <cell r="D907" t="str">
            <v>Littoral</v>
          </cell>
          <cell r="E907" t="str">
            <v>Littoral</v>
          </cell>
          <cell r="F907" t="str">
            <v>Nkololoun II</v>
          </cell>
          <cell r="G907" t="str">
            <v>P4</v>
          </cell>
          <cell r="H907" t="str">
            <v>Grid-Gen</v>
          </cell>
          <cell r="I907" t="str">
            <v>On Air</v>
          </cell>
          <cell r="J907" t="str">
            <v>Outdoor</v>
          </cell>
          <cell r="K907" t="str">
            <v>AC</v>
          </cell>
          <cell r="L907" t="str">
            <v>Dowen</v>
          </cell>
          <cell r="M907" t="str">
            <v>St Michel</v>
          </cell>
          <cell r="N907" t="str">
            <v>Wouri</v>
          </cell>
          <cell r="O907" t="str">
            <v>Douala 2</v>
          </cell>
          <cell r="P907" t="str">
            <v>Jean Marie Wafo Metinou</v>
          </cell>
          <cell r="Q907">
            <v>677549197</v>
          </cell>
          <cell r="R907">
            <v>656993754</v>
          </cell>
          <cell r="S907" t="str">
            <v>Valery Doudou</v>
          </cell>
          <cell r="T907" t="str">
            <v>GEORGES NAKHOUL</v>
          </cell>
          <cell r="U907" t="str">
            <v>I H S</v>
          </cell>
        </row>
        <row r="908">
          <cell r="A908" t="str">
            <v>LIT_451</v>
          </cell>
          <cell r="B908" t="str">
            <v>IHS_DLA_439</v>
          </cell>
          <cell r="C908" t="str">
            <v>LIT_451</v>
          </cell>
          <cell r="D908" t="str">
            <v>Littoral</v>
          </cell>
          <cell r="E908" t="str">
            <v>Littoral</v>
          </cell>
          <cell r="F908" t="str">
            <v>Bilongue II</v>
          </cell>
          <cell r="G908" t="str">
            <v>P4</v>
          </cell>
          <cell r="H908" t="str">
            <v>Grid-Gen</v>
          </cell>
          <cell r="I908" t="str">
            <v>On Air</v>
          </cell>
          <cell r="J908" t="str">
            <v>Outdoor</v>
          </cell>
          <cell r="K908" t="str">
            <v>AC</v>
          </cell>
          <cell r="L908" t="str">
            <v>Dowen</v>
          </cell>
          <cell r="M908" t="str">
            <v>Bilongue</v>
          </cell>
          <cell r="N908" t="str">
            <v>Wouri</v>
          </cell>
          <cell r="O908" t="str">
            <v>Douala 3</v>
          </cell>
          <cell r="P908" t="str">
            <v>Jean Marie Wafo Metinou</v>
          </cell>
          <cell r="Q908">
            <v>677549197</v>
          </cell>
          <cell r="R908">
            <v>656993754</v>
          </cell>
          <cell r="S908" t="str">
            <v>Valery Doudou</v>
          </cell>
          <cell r="T908" t="str">
            <v>GEORGES NAKHOUL</v>
          </cell>
          <cell r="U908" t="str">
            <v>I H S</v>
          </cell>
        </row>
        <row r="909">
          <cell r="A909" t="str">
            <v>LIT_205</v>
          </cell>
          <cell r="B909" t="str">
            <v>IHS_DLA_208</v>
          </cell>
          <cell r="C909" t="str">
            <v>LIT_205</v>
          </cell>
          <cell r="D909" t="str">
            <v>Littoral</v>
          </cell>
          <cell r="E909" t="str">
            <v>Littoral</v>
          </cell>
          <cell r="F909" t="str">
            <v>Ndogp-St-Nicolas</v>
          </cell>
          <cell r="G909" t="str">
            <v>P4</v>
          </cell>
          <cell r="H909" t="str">
            <v>Grid-Gen</v>
          </cell>
          <cell r="I909" t="str">
            <v>On Air</v>
          </cell>
          <cell r="J909" t="str">
            <v>Indoor</v>
          </cell>
          <cell r="K909" t="str">
            <v>AC</v>
          </cell>
          <cell r="L909" t="str">
            <v>Dowen</v>
          </cell>
          <cell r="M909" t="str">
            <v>Bilongue</v>
          </cell>
          <cell r="N909" t="str">
            <v>Wouri</v>
          </cell>
          <cell r="O909" t="str">
            <v>Douala 3</v>
          </cell>
          <cell r="P909" t="str">
            <v>Jean Marie Wafo Metinou</v>
          </cell>
          <cell r="Q909">
            <v>677549197</v>
          </cell>
          <cell r="R909">
            <v>656993754</v>
          </cell>
          <cell r="S909" t="str">
            <v>Valery Doudou</v>
          </cell>
          <cell r="T909" t="str">
            <v>GEORGES NAKHOUL</v>
          </cell>
          <cell r="U909" t="str">
            <v>I H S</v>
          </cell>
        </row>
        <row r="910">
          <cell r="A910" t="str">
            <v>LIT_392</v>
          </cell>
          <cell r="B910" t="str">
            <v>IHS_DLA_287</v>
          </cell>
          <cell r="C910" t="str">
            <v>LIT_392</v>
          </cell>
          <cell r="D910" t="str">
            <v>Littoral</v>
          </cell>
          <cell r="E910" t="str">
            <v>Littoral</v>
          </cell>
          <cell r="F910" t="str">
            <v>Bomkoul</v>
          </cell>
          <cell r="G910" t="str">
            <v>P4</v>
          </cell>
          <cell r="H910" t="str">
            <v>Grid-Gen</v>
          </cell>
          <cell r="I910" t="str">
            <v>On Air</v>
          </cell>
          <cell r="J910" t="str">
            <v>Outdoor</v>
          </cell>
          <cell r="K910" t="str">
            <v>AC</v>
          </cell>
          <cell r="L910" t="str">
            <v>Dowen</v>
          </cell>
          <cell r="M910" t="str">
            <v>PK12</v>
          </cell>
          <cell r="N910" t="str">
            <v>Wouri</v>
          </cell>
          <cell r="O910" t="str">
            <v>Douala 5</v>
          </cell>
          <cell r="P910" t="str">
            <v>Jean Marie Wafo Metinou</v>
          </cell>
          <cell r="Q910">
            <v>677549197</v>
          </cell>
          <cell r="R910">
            <v>656993754</v>
          </cell>
          <cell r="S910" t="str">
            <v>Valery Doudou</v>
          </cell>
          <cell r="T910" t="str">
            <v>GEORGES NAKHOUL</v>
          </cell>
          <cell r="U910" t="str">
            <v>I H S</v>
          </cell>
        </row>
        <row r="911">
          <cell r="A911" t="str">
            <v>LIT_127</v>
          </cell>
          <cell r="B911" t="str">
            <v>IHS_DLA_234</v>
          </cell>
          <cell r="C911" t="str">
            <v>LIT_127</v>
          </cell>
          <cell r="D911" t="str">
            <v>Littoral</v>
          </cell>
          <cell r="E911" t="str">
            <v>Littoral</v>
          </cell>
          <cell r="F911" t="str">
            <v>Beedi</v>
          </cell>
          <cell r="G911" t="str">
            <v>P4</v>
          </cell>
          <cell r="H911" t="str">
            <v>Grid-Gen</v>
          </cell>
          <cell r="I911" t="str">
            <v>On Air</v>
          </cell>
          <cell r="J911" t="str">
            <v>Indoor</v>
          </cell>
          <cell r="K911" t="str">
            <v>AC</v>
          </cell>
          <cell r="L911" t="str">
            <v>Dowen</v>
          </cell>
          <cell r="M911" t="str">
            <v>Beedi</v>
          </cell>
          <cell r="N911" t="str">
            <v>Wouri</v>
          </cell>
          <cell r="O911" t="str">
            <v>Douala 5</v>
          </cell>
          <cell r="P911" t="str">
            <v>Jean Marie Wafo Metinou</v>
          </cell>
          <cell r="Q911">
            <v>677549197</v>
          </cell>
          <cell r="R911">
            <v>656993754</v>
          </cell>
          <cell r="S911" t="str">
            <v>Valery Doudou</v>
          </cell>
          <cell r="T911" t="str">
            <v>GEORGES NAKHOUL</v>
          </cell>
          <cell r="U911" t="str">
            <v>I H S</v>
          </cell>
        </row>
        <row r="912">
          <cell r="A912" t="str">
            <v>LIT_283</v>
          </cell>
          <cell r="B912" t="str">
            <v>IHS_DLA_210</v>
          </cell>
          <cell r="C912" t="str">
            <v>LIT_283</v>
          </cell>
          <cell r="D912" t="str">
            <v>Littoral</v>
          </cell>
          <cell r="E912" t="str">
            <v>Littoral</v>
          </cell>
          <cell r="F912" t="str">
            <v>Ndogpassi-III</v>
          </cell>
          <cell r="G912" t="str">
            <v>P4</v>
          </cell>
          <cell r="H912" t="str">
            <v>Grid-Gen</v>
          </cell>
          <cell r="I912" t="str">
            <v>On Air</v>
          </cell>
          <cell r="J912" t="str">
            <v>Outdoor</v>
          </cell>
          <cell r="K912" t="str">
            <v>AC</v>
          </cell>
          <cell r="L912" t="str">
            <v>Dowen</v>
          </cell>
          <cell r="M912" t="str">
            <v>Bilongue</v>
          </cell>
          <cell r="N912" t="str">
            <v>Wouri</v>
          </cell>
          <cell r="O912" t="str">
            <v>Douala 3</v>
          </cell>
          <cell r="P912" t="str">
            <v>Jean Marie Wafo Metinou</v>
          </cell>
          <cell r="Q912">
            <v>677549197</v>
          </cell>
          <cell r="R912">
            <v>656993754</v>
          </cell>
          <cell r="S912" t="str">
            <v>Valery Doudou</v>
          </cell>
          <cell r="T912" t="str">
            <v>GEORGES NAKHOUL</v>
          </cell>
          <cell r="U912" t="str">
            <v>I H S</v>
          </cell>
        </row>
        <row r="913">
          <cell r="A913" t="str">
            <v>LIT_080</v>
          </cell>
          <cell r="B913" t="str">
            <v>IHS_DLA_188</v>
          </cell>
          <cell r="C913" t="str">
            <v>LIT_080</v>
          </cell>
          <cell r="D913" t="str">
            <v>Littoral</v>
          </cell>
          <cell r="E913" t="str">
            <v>Littoral</v>
          </cell>
          <cell r="F913" t="str">
            <v>Mak-Missoke</v>
          </cell>
          <cell r="G913" t="str">
            <v>P4</v>
          </cell>
          <cell r="H913" t="str">
            <v>Grid-Gen</v>
          </cell>
          <cell r="I913" t="str">
            <v>On Air</v>
          </cell>
          <cell r="J913" t="str">
            <v>Indoor</v>
          </cell>
          <cell r="K913" t="str">
            <v>AC</v>
          </cell>
          <cell r="L913" t="str">
            <v>Dowen</v>
          </cell>
          <cell r="M913" t="str">
            <v>Beedi</v>
          </cell>
          <cell r="N913" t="str">
            <v>Wouri</v>
          </cell>
          <cell r="O913" t="str">
            <v>Douala 5</v>
          </cell>
          <cell r="P913" t="str">
            <v>Jean Marie Wafo Metinou</v>
          </cell>
          <cell r="Q913">
            <v>677549197</v>
          </cell>
          <cell r="R913">
            <v>656993754</v>
          </cell>
          <cell r="S913" t="str">
            <v>Valery Doudou</v>
          </cell>
          <cell r="T913" t="str">
            <v>GEORGES NAKHOUL</v>
          </cell>
          <cell r="U913" t="str">
            <v>I H S</v>
          </cell>
        </row>
        <row r="914">
          <cell r="A914" t="str">
            <v>LIT_210</v>
          </cell>
          <cell r="B914" t="str">
            <v>IHS_DLA_415</v>
          </cell>
          <cell r="C914" t="str">
            <v>LIT_210</v>
          </cell>
          <cell r="D914" t="str">
            <v>Littoral</v>
          </cell>
          <cell r="E914" t="str">
            <v>Littoral</v>
          </cell>
          <cell r="F914" t="str">
            <v>Logpom-H-Soeurs</v>
          </cell>
          <cell r="G914" t="str">
            <v>P4</v>
          </cell>
          <cell r="H914" t="str">
            <v>Grid-Gen</v>
          </cell>
          <cell r="I914" t="str">
            <v>On Air</v>
          </cell>
          <cell r="J914" t="str">
            <v>Outdoor</v>
          </cell>
          <cell r="K914" t="str">
            <v>AC</v>
          </cell>
          <cell r="L914" t="str">
            <v>Dowen</v>
          </cell>
          <cell r="M914" t="str">
            <v>Beedi</v>
          </cell>
          <cell r="N914" t="str">
            <v>Wouri</v>
          </cell>
          <cell r="O914" t="str">
            <v>Douala 5</v>
          </cell>
          <cell r="P914" t="str">
            <v>Jean Marie Wafo Metinou</v>
          </cell>
          <cell r="Q914">
            <v>677549197</v>
          </cell>
          <cell r="R914">
            <v>656993754</v>
          </cell>
          <cell r="S914" t="str">
            <v>Valery Doudou</v>
          </cell>
          <cell r="T914" t="str">
            <v>GEORGES NAKHOUL</v>
          </cell>
          <cell r="U914" t="str">
            <v>I H S</v>
          </cell>
        </row>
        <row r="915">
          <cell r="A915" t="str">
            <v>LIT_255</v>
          </cell>
          <cell r="B915" t="str">
            <v>IHS_DLA_195</v>
          </cell>
          <cell r="C915" t="str">
            <v>LIT_255</v>
          </cell>
          <cell r="D915" t="str">
            <v>Littoral</v>
          </cell>
          <cell r="E915" t="str">
            <v>Littoral</v>
          </cell>
          <cell r="F915" t="str">
            <v>PK8</v>
          </cell>
          <cell r="G915" t="str">
            <v>P4</v>
          </cell>
          <cell r="H915" t="str">
            <v>Grid-Gen</v>
          </cell>
          <cell r="I915" t="str">
            <v>On Air</v>
          </cell>
          <cell r="J915" t="str">
            <v>Outdoor</v>
          </cell>
          <cell r="K915" t="str">
            <v>AC</v>
          </cell>
          <cell r="L915" t="str">
            <v>Dowen</v>
          </cell>
          <cell r="M915" t="str">
            <v>PK12</v>
          </cell>
          <cell r="N915" t="str">
            <v>Wouri</v>
          </cell>
          <cell r="O915" t="str">
            <v>Douala 5</v>
          </cell>
          <cell r="P915" t="str">
            <v>Jean Marie Wafo Metinou</v>
          </cell>
          <cell r="Q915">
            <v>677549197</v>
          </cell>
          <cell r="R915">
            <v>656993754</v>
          </cell>
          <cell r="S915" t="str">
            <v>Valery Doudou</v>
          </cell>
          <cell r="T915" t="str">
            <v>GEORGES NAKHOUL</v>
          </cell>
          <cell r="U915" t="str">
            <v>I H S</v>
          </cell>
        </row>
        <row r="916">
          <cell r="A916" t="str">
            <v>LIT_248</v>
          </cell>
          <cell r="B916" t="str">
            <v>IHS_DLA_221</v>
          </cell>
          <cell r="C916" t="str">
            <v>LIT_248</v>
          </cell>
          <cell r="D916" t="str">
            <v>Littoral</v>
          </cell>
          <cell r="E916" t="str">
            <v>Littoral</v>
          </cell>
          <cell r="F916" t="str">
            <v>Hopital-General</v>
          </cell>
          <cell r="G916" t="str">
            <v>P4</v>
          </cell>
          <cell r="H916" t="str">
            <v>Grid-Gen</v>
          </cell>
          <cell r="I916" t="str">
            <v>On Air</v>
          </cell>
          <cell r="J916" t="str">
            <v>Outdoor</v>
          </cell>
          <cell r="K916" t="str">
            <v>AC</v>
          </cell>
          <cell r="L916" t="str">
            <v>Dowen</v>
          </cell>
          <cell r="M916" t="str">
            <v>Beedi</v>
          </cell>
          <cell r="N916" t="str">
            <v>Wouri</v>
          </cell>
          <cell r="O916" t="str">
            <v>Douala 5</v>
          </cell>
          <cell r="P916" t="str">
            <v>Jean Marie Wafo Metinou</v>
          </cell>
          <cell r="Q916">
            <v>677549197</v>
          </cell>
          <cell r="R916">
            <v>656993754</v>
          </cell>
          <cell r="S916" t="str">
            <v>Valery Doudou</v>
          </cell>
          <cell r="T916" t="str">
            <v>GEORGES NAKHOUL</v>
          </cell>
          <cell r="U916" t="str">
            <v>I H S</v>
          </cell>
        </row>
        <row r="917">
          <cell r="A917" t="str">
            <v>LIT_300</v>
          </cell>
          <cell r="B917" t="str">
            <v>IHS_DLA_130</v>
          </cell>
          <cell r="C917" t="str">
            <v>LIT_300</v>
          </cell>
          <cell r="D917" t="str">
            <v>Littoral</v>
          </cell>
          <cell r="E917" t="str">
            <v>Littoral</v>
          </cell>
          <cell r="F917" t="str">
            <v>Song-Mahop</v>
          </cell>
          <cell r="G917" t="str">
            <v>P4</v>
          </cell>
          <cell r="H917" t="str">
            <v>Grid-Gen</v>
          </cell>
          <cell r="I917" t="str">
            <v>On Air</v>
          </cell>
          <cell r="J917" t="str">
            <v>Outdoor</v>
          </cell>
          <cell r="K917" t="str">
            <v>AC</v>
          </cell>
          <cell r="L917" t="str">
            <v>Dowen</v>
          </cell>
          <cell r="M917" t="str">
            <v>Bilongue</v>
          </cell>
          <cell r="N917" t="str">
            <v>Wouri</v>
          </cell>
          <cell r="O917" t="str">
            <v>Douala 3</v>
          </cell>
          <cell r="P917" t="str">
            <v>Jean Marie Wafo Metinou</v>
          </cell>
          <cell r="Q917">
            <v>677549197</v>
          </cell>
          <cell r="R917">
            <v>656993754</v>
          </cell>
          <cell r="S917" t="str">
            <v>Valery Doudou</v>
          </cell>
          <cell r="T917" t="str">
            <v>GEORGES NAKHOUL</v>
          </cell>
          <cell r="U917" t="str">
            <v>I H S</v>
          </cell>
        </row>
        <row r="918">
          <cell r="A918" t="str">
            <v>LIT_018</v>
          </cell>
          <cell r="B918" t="str">
            <v>IHS_DLA_108</v>
          </cell>
          <cell r="C918" t="str">
            <v>LIT_018</v>
          </cell>
          <cell r="D918" t="str">
            <v>Littoral</v>
          </cell>
          <cell r="E918" t="str">
            <v>Littoral</v>
          </cell>
          <cell r="F918" t="str">
            <v>Chevreuil</v>
          </cell>
          <cell r="G918" t="str">
            <v>P4</v>
          </cell>
          <cell r="H918" t="str">
            <v>Grid-Gen</v>
          </cell>
          <cell r="I918" t="str">
            <v>On Air</v>
          </cell>
          <cell r="J918" t="str">
            <v>Indoor</v>
          </cell>
          <cell r="K918" t="str">
            <v>AC</v>
          </cell>
          <cell r="L918" t="str">
            <v>Dowen</v>
          </cell>
          <cell r="M918" t="str">
            <v>St Michel</v>
          </cell>
          <cell r="N918" t="str">
            <v>Wouri</v>
          </cell>
          <cell r="O918" t="str">
            <v>Douala 3</v>
          </cell>
          <cell r="P918" t="str">
            <v>Jean Marie Wafo Metinou</v>
          </cell>
          <cell r="Q918">
            <v>677549197</v>
          </cell>
          <cell r="R918">
            <v>656993754</v>
          </cell>
          <cell r="S918" t="str">
            <v>Valery Doudou</v>
          </cell>
          <cell r="T918" t="str">
            <v>GEORGES NAKHOUL</v>
          </cell>
          <cell r="U918" t="str">
            <v>I H S</v>
          </cell>
        </row>
        <row r="919">
          <cell r="A919" t="str">
            <v>LIT_452</v>
          </cell>
          <cell r="B919" t="str">
            <v>IHS_DLA_453</v>
          </cell>
          <cell r="C919" t="str">
            <v>LIT_452</v>
          </cell>
          <cell r="D919" t="str">
            <v>Littoral</v>
          </cell>
          <cell r="E919" t="str">
            <v>Littoral</v>
          </cell>
          <cell r="F919" t="str">
            <v>PK10 Bassang</v>
          </cell>
          <cell r="G919" t="str">
            <v>P4</v>
          </cell>
          <cell r="H919" t="str">
            <v>Grid-Gen</v>
          </cell>
          <cell r="I919" t="str">
            <v>On Air</v>
          </cell>
          <cell r="J919" t="str">
            <v>Outdoor</v>
          </cell>
          <cell r="K919" t="str">
            <v>AC</v>
          </cell>
          <cell r="L919" t="str">
            <v>Dowen</v>
          </cell>
          <cell r="M919" t="str">
            <v>PK12</v>
          </cell>
          <cell r="N919" t="str">
            <v>Wouri</v>
          </cell>
          <cell r="O919" t="str">
            <v>Douala 3</v>
          </cell>
          <cell r="P919" t="str">
            <v>Jean Marie Wafo Metinou</v>
          </cell>
          <cell r="Q919">
            <v>677549197</v>
          </cell>
          <cell r="R919">
            <v>656993754</v>
          </cell>
          <cell r="S919" t="str">
            <v>Valery Doudou</v>
          </cell>
          <cell r="T919" t="str">
            <v>GEORGES NAKHOUL</v>
          </cell>
          <cell r="U919" t="str">
            <v>I H S</v>
          </cell>
        </row>
        <row r="920">
          <cell r="A920" t="str">
            <v>LIT_033</v>
          </cell>
          <cell r="B920" t="str">
            <v>IHS_DLA_094</v>
          </cell>
          <cell r="C920" t="str">
            <v>LIT_033</v>
          </cell>
          <cell r="D920" t="str">
            <v>Littoral</v>
          </cell>
          <cell r="E920" t="str">
            <v>Littoral</v>
          </cell>
          <cell r="F920" t="str">
            <v>Aeroport</v>
          </cell>
          <cell r="G920" t="str">
            <v>P4</v>
          </cell>
          <cell r="H920" t="str">
            <v>Grid Only</v>
          </cell>
          <cell r="I920" t="str">
            <v>On Air</v>
          </cell>
          <cell r="J920" t="str">
            <v>Indoor</v>
          </cell>
          <cell r="K920" t="str">
            <v>AC</v>
          </cell>
          <cell r="L920" t="str">
            <v>Dowen</v>
          </cell>
          <cell r="M920" t="str">
            <v>Bilongue</v>
          </cell>
          <cell r="N920" t="str">
            <v>Wouri</v>
          </cell>
          <cell r="O920" t="str">
            <v>Douala 3</v>
          </cell>
          <cell r="P920" t="str">
            <v>Jean Marie Wafo Metinou</v>
          </cell>
          <cell r="Q920">
            <v>677549197</v>
          </cell>
          <cell r="R920">
            <v>656993754</v>
          </cell>
          <cell r="S920" t="str">
            <v>Valery Doudou</v>
          </cell>
          <cell r="T920" t="str">
            <v>GEORGES NAKHOUL</v>
          </cell>
          <cell r="U920" t="str">
            <v>I H S</v>
          </cell>
        </row>
        <row r="921">
          <cell r="A921" t="str">
            <v>LIT_037</v>
          </cell>
          <cell r="B921" t="str">
            <v>IHS_DLA_477</v>
          </cell>
          <cell r="C921" t="str">
            <v>LIT_037</v>
          </cell>
          <cell r="D921" t="str">
            <v>Littoral</v>
          </cell>
          <cell r="E921" t="str">
            <v>Littoral</v>
          </cell>
          <cell r="F921" t="str">
            <v>Makepe</v>
          </cell>
          <cell r="G921" t="str">
            <v>P4</v>
          </cell>
          <cell r="H921" t="str">
            <v>Grid-Gen</v>
          </cell>
          <cell r="I921" t="str">
            <v>On Air</v>
          </cell>
          <cell r="J921" t="str">
            <v>Indoor</v>
          </cell>
          <cell r="K921" t="str">
            <v>AC</v>
          </cell>
          <cell r="L921" t="str">
            <v>Dowen</v>
          </cell>
          <cell r="M921" t="str">
            <v>Beedi</v>
          </cell>
          <cell r="N921" t="str">
            <v>Wouri</v>
          </cell>
          <cell r="O921" t="str">
            <v>Douala 5</v>
          </cell>
          <cell r="P921" t="str">
            <v>Jean Marie Wafo Metinou</v>
          </cell>
          <cell r="Q921">
            <v>677549197</v>
          </cell>
          <cell r="R921">
            <v>656993754</v>
          </cell>
          <cell r="S921" t="str">
            <v>Valery Doudou</v>
          </cell>
          <cell r="T921" t="str">
            <v>GEORGES NAKHOUL</v>
          </cell>
          <cell r="U921" t="str">
            <v>I H S</v>
          </cell>
        </row>
        <row r="922">
          <cell r="A922" t="str">
            <v>LIT_089</v>
          </cell>
          <cell r="B922" t="str">
            <v>IHS_DLA_069</v>
          </cell>
          <cell r="C922" t="str">
            <v>LIT_089</v>
          </cell>
          <cell r="D922" t="str">
            <v>Littoral</v>
          </cell>
          <cell r="E922" t="str">
            <v>Littoral</v>
          </cell>
          <cell r="F922" t="str">
            <v>Brazz-St-Bruno</v>
          </cell>
          <cell r="G922" t="str">
            <v>P4</v>
          </cell>
          <cell r="H922" t="str">
            <v>Grid Only</v>
          </cell>
          <cell r="I922" t="str">
            <v>On Air</v>
          </cell>
          <cell r="J922" t="str">
            <v>Indoor</v>
          </cell>
          <cell r="K922" t="str">
            <v>AC</v>
          </cell>
          <cell r="L922" t="str">
            <v>Dowen</v>
          </cell>
          <cell r="M922" t="str">
            <v>Bilongue</v>
          </cell>
          <cell r="N922" t="str">
            <v>Wouri</v>
          </cell>
          <cell r="O922" t="str">
            <v>Douala 3</v>
          </cell>
          <cell r="P922" t="str">
            <v>Jean Marie Wafo Metinou</v>
          </cell>
          <cell r="Q922">
            <v>677549197</v>
          </cell>
          <cell r="R922">
            <v>656993754</v>
          </cell>
          <cell r="S922" t="str">
            <v>Valery Doudou</v>
          </cell>
          <cell r="T922" t="str">
            <v>GEORGES NAKHOUL</v>
          </cell>
          <cell r="U922" t="str">
            <v>I H S</v>
          </cell>
        </row>
        <row r="923">
          <cell r="A923" t="str">
            <v>LIT_395</v>
          </cell>
          <cell r="B923" t="str">
            <v>IHS_DLA_028</v>
          </cell>
          <cell r="C923" t="str">
            <v>LIT_395</v>
          </cell>
          <cell r="D923" t="str">
            <v>Littoral</v>
          </cell>
          <cell r="E923" t="str">
            <v>Littoral</v>
          </cell>
          <cell r="F923" t="str">
            <v>Newb-Q-Haoussa</v>
          </cell>
          <cell r="G923" t="str">
            <v>P4</v>
          </cell>
          <cell r="H923" t="str">
            <v>Grid Only</v>
          </cell>
          <cell r="I923" t="str">
            <v>On Air</v>
          </cell>
          <cell r="J923" t="str">
            <v>Outdoor</v>
          </cell>
          <cell r="K923" t="str">
            <v>AC</v>
          </cell>
          <cell r="L923" t="str">
            <v>Dowen</v>
          </cell>
          <cell r="M923" t="str">
            <v>St Michel</v>
          </cell>
          <cell r="N923" t="str">
            <v>Wouri</v>
          </cell>
          <cell r="O923" t="str">
            <v>Douala 2</v>
          </cell>
          <cell r="P923" t="str">
            <v>Jean Marie Wafo Metinou</v>
          </cell>
          <cell r="Q923">
            <v>677549197</v>
          </cell>
          <cell r="R923">
            <v>656993754</v>
          </cell>
          <cell r="S923" t="str">
            <v>Valery Doudou</v>
          </cell>
          <cell r="T923" t="str">
            <v>GEORGES NAKHOUL</v>
          </cell>
          <cell r="U923" t="str">
            <v>I H S</v>
          </cell>
        </row>
        <row r="924">
          <cell r="A924" t="str">
            <v>LIT_419</v>
          </cell>
          <cell r="B924" t="str">
            <v>IHS_DLA_172</v>
          </cell>
          <cell r="C924" t="str">
            <v>LIT_419</v>
          </cell>
          <cell r="D924" t="str">
            <v>Littoral</v>
          </cell>
          <cell r="E924" t="str">
            <v>Littoral</v>
          </cell>
          <cell r="F924" t="str">
            <v>Makombe</v>
          </cell>
          <cell r="G924" t="str">
            <v>P4</v>
          </cell>
          <cell r="H924" t="str">
            <v>Grid-Gen</v>
          </cell>
          <cell r="I924" t="str">
            <v>On Air</v>
          </cell>
          <cell r="J924" t="str">
            <v>Outdoor</v>
          </cell>
          <cell r="K924" t="str">
            <v>AC</v>
          </cell>
          <cell r="L924" t="str">
            <v>Dowen</v>
          </cell>
          <cell r="M924" t="str">
            <v>Bilongue</v>
          </cell>
          <cell r="N924" t="str">
            <v>Wouri</v>
          </cell>
          <cell r="O924" t="str">
            <v>Douala 3</v>
          </cell>
          <cell r="P924" t="str">
            <v>Jean Marie Wafo Metinou</v>
          </cell>
          <cell r="Q924">
            <v>677549197</v>
          </cell>
          <cell r="R924">
            <v>656993754</v>
          </cell>
          <cell r="S924" t="str">
            <v>Valery Doudou</v>
          </cell>
          <cell r="T924" t="str">
            <v>GEORGES NAKHOUL</v>
          </cell>
          <cell r="U924" t="str">
            <v>I H S</v>
          </cell>
        </row>
        <row r="925">
          <cell r="A925" t="str">
            <v>LIT_162</v>
          </cell>
          <cell r="B925" t="str">
            <v>IHS_DLA_401</v>
          </cell>
          <cell r="C925" t="str">
            <v>LIT_162</v>
          </cell>
          <cell r="D925" t="str">
            <v>Littoral</v>
          </cell>
          <cell r="E925" t="str">
            <v>Littoral</v>
          </cell>
          <cell r="F925" t="str">
            <v>Camp-Yabassi-T0</v>
          </cell>
          <cell r="G925" t="str">
            <v>P4</v>
          </cell>
          <cell r="H925" t="str">
            <v>Grid Only</v>
          </cell>
          <cell r="I925" t="str">
            <v>On Air</v>
          </cell>
          <cell r="J925" t="str">
            <v>Outdoor</v>
          </cell>
          <cell r="K925" t="str">
            <v>AC</v>
          </cell>
          <cell r="L925" t="str">
            <v>Dowen</v>
          </cell>
          <cell r="M925" t="str">
            <v>St Michel</v>
          </cell>
          <cell r="N925" t="str">
            <v>Wouri</v>
          </cell>
          <cell r="O925" t="str">
            <v>Douala 2</v>
          </cell>
          <cell r="P925" t="str">
            <v>Jean Marie Wafo Metinou</v>
          </cell>
          <cell r="Q925">
            <v>677549197</v>
          </cell>
          <cell r="R925">
            <v>656993754</v>
          </cell>
          <cell r="S925" t="str">
            <v>Valery Doudou</v>
          </cell>
          <cell r="T925" t="str">
            <v>GEORGES NAKHOUL</v>
          </cell>
          <cell r="U925" t="str">
            <v>I H S</v>
          </cell>
        </row>
        <row r="926">
          <cell r="A926" t="str">
            <v>LIT_372</v>
          </cell>
          <cell r="B926" t="str">
            <v>IHS_DLA_105</v>
          </cell>
          <cell r="C926" t="str">
            <v>LIT_372</v>
          </cell>
          <cell r="D926" t="str">
            <v>Littoral</v>
          </cell>
          <cell r="E926" t="str">
            <v>Littoral</v>
          </cell>
          <cell r="F926" t="str">
            <v>Ndogbat</v>
          </cell>
          <cell r="G926" t="str">
            <v>P4</v>
          </cell>
          <cell r="H926" t="str">
            <v>Grid Only</v>
          </cell>
          <cell r="I926" t="str">
            <v>On Air</v>
          </cell>
          <cell r="J926" t="str">
            <v>Outdoor</v>
          </cell>
          <cell r="K926" t="str">
            <v>AC</v>
          </cell>
          <cell r="L926" t="str">
            <v>Dowen</v>
          </cell>
          <cell r="M926" t="str">
            <v>St Michel</v>
          </cell>
          <cell r="N926" t="str">
            <v>Wouri</v>
          </cell>
          <cell r="O926" t="str">
            <v>Douala 2</v>
          </cell>
          <cell r="P926" t="str">
            <v>Jean Marie Wafo Metinou</v>
          </cell>
          <cell r="Q926">
            <v>677549197</v>
          </cell>
          <cell r="R926">
            <v>656993754</v>
          </cell>
          <cell r="S926" t="str">
            <v>Valery Doudou</v>
          </cell>
          <cell r="T926" t="str">
            <v>GEORGES NAKHOUL</v>
          </cell>
          <cell r="U926" t="str">
            <v>I H S</v>
          </cell>
        </row>
        <row r="927">
          <cell r="A927" t="str">
            <v>LIT_420</v>
          </cell>
          <cell r="B927" t="str">
            <v>IHS_DLA_070</v>
          </cell>
          <cell r="C927" t="str">
            <v>LIT_420</v>
          </cell>
          <cell r="D927" t="str">
            <v>Littoral</v>
          </cell>
          <cell r="E927" t="str">
            <v>Littoral</v>
          </cell>
          <cell r="F927" t="str">
            <v>Brazz-Aviation(Qtier Tergal)</v>
          </cell>
          <cell r="G927" t="str">
            <v>P4</v>
          </cell>
          <cell r="H927" t="str">
            <v>Grid-Gen</v>
          </cell>
          <cell r="I927" t="str">
            <v>On Air</v>
          </cell>
          <cell r="J927" t="str">
            <v>Outdoor</v>
          </cell>
          <cell r="K927" t="str">
            <v>AC</v>
          </cell>
          <cell r="L927" t="str">
            <v>Dowen</v>
          </cell>
          <cell r="M927" t="str">
            <v>Bilongue</v>
          </cell>
          <cell r="N927" t="str">
            <v>Wouri</v>
          </cell>
          <cell r="O927" t="str">
            <v>Douala 3</v>
          </cell>
          <cell r="P927" t="str">
            <v>Jean Marie Wafo Metinou</v>
          </cell>
          <cell r="Q927">
            <v>677549197</v>
          </cell>
          <cell r="R927">
            <v>656993754</v>
          </cell>
          <cell r="S927" t="str">
            <v>Valery Doudou</v>
          </cell>
          <cell r="T927" t="str">
            <v>GEORGES NAKHOUL</v>
          </cell>
          <cell r="U927" t="str">
            <v>I H S</v>
          </cell>
        </row>
        <row r="928">
          <cell r="A928" t="str">
            <v>LIT_061</v>
          </cell>
          <cell r="B928" t="str">
            <v>IHS_DLA_019</v>
          </cell>
          <cell r="C928" t="str">
            <v>LIT_061</v>
          </cell>
          <cell r="D928" t="str">
            <v>Littoral</v>
          </cell>
          <cell r="E928" t="str">
            <v>Littoral</v>
          </cell>
          <cell r="F928" t="str">
            <v>Cinema-ABC</v>
          </cell>
          <cell r="G928" t="str">
            <v>P4</v>
          </cell>
          <cell r="H928" t="str">
            <v>Grid Only</v>
          </cell>
          <cell r="I928" t="str">
            <v>On Air</v>
          </cell>
          <cell r="J928" t="str">
            <v>Indoor</v>
          </cell>
          <cell r="K928" t="str">
            <v>AC</v>
          </cell>
          <cell r="L928" t="str">
            <v>Dowen</v>
          </cell>
          <cell r="M928" t="str">
            <v>St Michel</v>
          </cell>
          <cell r="N928" t="str">
            <v>Wouri</v>
          </cell>
          <cell r="O928" t="str">
            <v>Douala 2</v>
          </cell>
          <cell r="P928" t="str">
            <v>Jean Marie Wafo Metinou</v>
          </cell>
          <cell r="Q928">
            <v>677549197</v>
          </cell>
          <cell r="R928">
            <v>656993754</v>
          </cell>
          <cell r="S928" t="str">
            <v>Valery Doudou</v>
          </cell>
          <cell r="T928" t="str">
            <v>GEORGES NAKHOUL</v>
          </cell>
          <cell r="U928" t="str">
            <v>I H S</v>
          </cell>
        </row>
        <row r="929">
          <cell r="A929" t="str">
            <v>LIT_095</v>
          </cell>
          <cell r="B929" t="str">
            <v>IHS_DLA_053</v>
          </cell>
          <cell r="C929" t="str">
            <v>LIT_095</v>
          </cell>
          <cell r="D929" t="str">
            <v>Littoral</v>
          </cell>
          <cell r="E929" t="str">
            <v>Littoral</v>
          </cell>
          <cell r="F929" t="str">
            <v>Newb-Srce-Quartier</v>
          </cell>
          <cell r="G929" t="str">
            <v>P4</v>
          </cell>
          <cell r="H929" t="str">
            <v>Grid Only</v>
          </cell>
          <cell r="I929" t="str">
            <v>On Air</v>
          </cell>
          <cell r="J929" t="str">
            <v>Indoor</v>
          </cell>
          <cell r="K929" t="str">
            <v>AC</v>
          </cell>
          <cell r="L929" t="str">
            <v>Dowen</v>
          </cell>
          <cell r="M929" t="str">
            <v>St Michel</v>
          </cell>
          <cell r="N929" t="str">
            <v>Wouri</v>
          </cell>
          <cell r="O929" t="str">
            <v>Douala 2</v>
          </cell>
          <cell r="P929" t="str">
            <v>Jean Marie Wafo Metinou</v>
          </cell>
          <cell r="Q929">
            <v>677549197</v>
          </cell>
          <cell r="R929">
            <v>656993754</v>
          </cell>
          <cell r="S929" t="str">
            <v>Valery Doudou</v>
          </cell>
          <cell r="T929" t="str">
            <v>GEORGES NAKHOUL</v>
          </cell>
          <cell r="U929" t="str">
            <v>I H S</v>
          </cell>
        </row>
        <row r="930">
          <cell r="A930" t="str">
            <v>LIT_084</v>
          </cell>
          <cell r="B930" t="str">
            <v>IHS_DLA_209</v>
          </cell>
          <cell r="C930" t="str">
            <v>LIT_084</v>
          </cell>
          <cell r="D930" t="str">
            <v>Littoral</v>
          </cell>
          <cell r="E930" t="str">
            <v>Littoral</v>
          </cell>
          <cell r="F930" t="str">
            <v>C-D-Billes</v>
          </cell>
          <cell r="G930" t="str">
            <v>P4</v>
          </cell>
          <cell r="H930" t="str">
            <v>Grid-Gen</v>
          </cell>
          <cell r="I930" t="str">
            <v>On Air</v>
          </cell>
          <cell r="J930" t="str">
            <v>Outdoor</v>
          </cell>
          <cell r="K930" t="str">
            <v>AC</v>
          </cell>
          <cell r="L930" t="str">
            <v>Dowen</v>
          </cell>
          <cell r="M930" t="str">
            <v>Bilongue</v>
          </cell>
          <cell r="N930" t="str">
            <v>Wouri</v>
          </cell>
          <cell r="O930" t="str">
            <v>Douala 3</v>
          </cell>
          <cell r="P930" t="str">
            <v>Jean Marie Wafo Metinou</v>
          </cell>
          <cell r="Q930">
            <v>677549197</v>
          </cell>
          <cell r="R930">
            <v>656993754</v>
          </cell>
          <cell r="S930" t="str">
            <v>Valery Doudou</v>
          </cell>
          <cell r="T930" t="str">
            <v>GEORGES NAKHOUL</v>
          </cell>
          <cell r="U930" t="str">
            <v>I H S</v>
          </cell>
        </row>
        <row r="931">
          <cell r="A931" t="str">
            <v>LIT_168</v>
          </cell>
          <cell r="B931" t="str">
            <v>IHS_DLA_413</v>
          </cell>
          <cell r="C931" t="str">
            <v>LIT_168</v>
          </cell>
          <cell r="D931" t="str">
            <v>Littoral</v>
          </cell>
          <cell r="E931" t="str">
            <v>Littoral</v>
          </cell>
          <cell r="F931" t="str">
            <v>C-D-Palmiers-III-T0</v>
          </cell>
          <cell r="G931" t="str">
            <v>P4</v>
          </cell>
          <cell r="H931" t="str">
            <v>Grid Only</v>
          </cell>
          <cell r="I931" t="str">
            <v>On Air</v>
          </cell>
          <cell r="J931" t="str">
            <v>Outdoor</v>
          </cell>
          <cell r="K931" t="str">
            <v>AC</v>
          </cell>
          <cell r="L931" t="str">
            <v>Dowen</v>
          </cell>
          <cell r="M931" t="str">
            <v>Beedi</v>
          </cell>
          <cell r="N931" t="str">
            <v>Wouri</v>
          </cell>
          <cell r="O931" t="str">
            <v>Douala 3</v>
          </cell>
          <cell r="P931" t="str">
            <v>Jean Marie Wafo Metinou</v>
          </cell>
          <cell r="Q931">
            <v>677549197</v>
          </cell>
          <cell r="R931">
            <v>656993754</v>
          </cell>
          <cell r="S931" t="str">
            <v>Valery Doudou</v>
          </cell>
          <cell r="T931" t="str">
            <v>GEORGES NAKHOUL</v>
          </cell>
          <cell r="U931" t="str">
            <v>I H S</v>
          </cell>
        </row>
        <row r="932">
          <cell r="A932" t="str">
            <v>LIT_278</v>
          </cell>
          <cell r="B932" t="str">
            <v>IHS_DLA_235</v>
          </cell>
          <cell r="C932" t="str">
            <v>LIT_278</v>
          </cell>
          <cell r="D932" t="str">
            <v>Littoral</v>
          </cell>
          <cell r="E932" t="str">
            <v>Littoral</v>
          </cell>
          <cell r="F932" t="str">
            <v>PK10-Marche</v>
          </cell>
          <cell r="G932" t="str">
            <v>P4</v>
          </cell>
          <cell r="H932" t="str">
            <v>Grid Only</v>
          </cell>
          <cell r="I932" t="str">
            <v>On Air</v>
          </cell>
          <cell r="J932" t="str">
            <v>Outdoor</v>
          </cell>
          <cell r="K932" t="str">
            <v>AC</v>
          </cell>
          <cell r="L932" t="str">
            <v>Dowen</v>
          </cell>
          <cell r="M932" t="str">
            <v>PK12</v>
          </cell>
          <cell r="N932" t="str">
            <v>Wouri</v>
          </cell>
          <cell r="O932" t="str">
            <v>Douala 5</v>
          </cell>
          <cell r="P932" t="str">
            <v>Jean Marie Wafo Metinou</v>
          </cell>
          <cell r="Q932">
            <v>677549197</v>
          </cell>
          <cell r="R932">
            <v>656993754</v>
          </cell>
          <cell r="S932" t="str">
            <v>Valery Doudou</v>
          </cell>
          <cell r="T932" t="str">
            <v>GEORGES NAKHOUL</v>
          </cell>
          <cell r="U932" t="str">
            <v>I H S</v>
          </cell>
        </row>
        <row r="933">
          <cell r="A933" t="str">
            <v>LIT_049</v>
          </cell>
          <cell r="B933" t="str">
            <v>IHS_DLA_170</v>
          </cell>
          <cell r="C933" t="str">
            <v>LIT_049</v>
          </cell>
          <cell r="D933" t="str">
            <v>Littoral</v>
          </cell>
          <cell r="E933" t="str">
            <v>Littoral</v>
          </cell>
          <cell r="F933" t="str">
            <v>Madagascar</v>
          </cell>
          <cell r="G933" t="str">
            <v>P4</v>
          </cell>
          <cell r="H933" t="str">
            <v>Grid-Gen</v>
          </cell>
          <cell r="I933" t="str">
            <v>On Air</v>
          </cell>
          <cell r="J933" t="str">
            <v>Indoor</v>
          </cell>
          <cell r="K933" t="str">
            <v>AC</v>
          </cell>
          <cell r="L933" t="str">
            <v>Dowen</v>
          </cell>
          <cell r="M933" t="str">
            <v>Bilongue</v>
          </cell>
          <cell r="N933" t="str">
            <v>Wouri</v>
          </cell>
          <cell r="O933" t="str">
            <v>Douala 3</v>
          </cell>
          <cell r="P933" t="str">
            <v>Jean Marie Wafo Metinou</v>
          </cell>
          <cell r="Q933">
            <v>677549197</v>
          </cell>
          <cell r="R933">
            <v>656993754</v>
          </cell>
          <cell r="S933" t="str">
            <v>Valery Doudou</v>
          </cell>
          <cell r="T933" t="str">
            <v>GEORGES NAKHOUL</v>
          </cell>
          <cell r="U933" t="str">
            <v>I H S</v>
          </cell>
        </row>
        <row r="934">
          <cell r="A934" t="str">
            <v>LIT_081</v>
          </cell>
          <cell r="B934" t="str">
            <v>IHS_DLA_111</v>
          </cell>
          <cell r="C934" t="str">
            <v>LIT_081</v>
          </cell>
          <cell r="D934" t="str">
            <v>Littoral</v>
          </cell>
          <cell r="E934" t="str">
            <v>Littoral</v>
          </cell>
          <cell r="F934" t="str">
            <v>Brazzaville</v>
          </cell>
          <cell r="G934" t="str">
            <v>P4</v>
          </cell>
          <cell r="H934" t="str">
            <v>Grid-Gen</v>
          </cell>
          <cell r="I934" t="str">
            <v>On Air</v>
          </cell>
          <cell r="J934" t="str">
            <v>Indoor</v>
          </cell>
          <cell r="K934" t="str">
            <v>AC</v>
          </cell>
          <cell r="L934" t="str">
            <v>Dowen</v>
          </cell>
          <cell r="M934" t="str">
            <v>Bilongue</v>
          </cell>
          <cell r="N934" t="str">
            <v>Wouri</v>
          </cell>
          <cell r="O934" t="str">
            <v>Douala 3</v>
          </cell>
          <cell r="P934" t="str">
            <v>Jean Marie Wafo Metinou</v>
          </cell>
          <cell r="Q934">
            <v>677549197</v>
          </cell>
          <cell r="R934">
            <v>656993754</v>
          </cell>
          <cell r="S934" t="str">
            <v>Valery Doudou</v>
          </cell>
          <cell r="T934" t="str">
            <v>GEORGES NAKHOUL</v>
          </cell>
          <cell r="U934" t="str">
            <v>I H S</v>
          </cell>
        </row>
        <row r="935">
          <cell r="A935" t="str">
            <v>LIT_073</v>
          </cell>
          <cell r="B935" t="str">
            <v>IHS_DLA_032</v>
          </cell>
          <cell r="C935" t="str">
            <v>LIT_073</v>
          </cell>
          <cell r="D935" t="str">
            <v>Littoral</v>
          </cell>
          <cell r="E935" t="str">
            <v>Littoral</v>
          </cell>
          <cell r="F935" t="str">
            <v>PK-5</v>
          </cell>
          <cell r="G935" t="str">
            <v>P4</v>
          </cell>
          <cell r="H935" t="str">
            <v>Grid-Gen</v>
          </cell>
          <cell r="I935" t="str">
            <v>On Air</v>
          </cell>
          <cell r="J935" t="str">
            <v>Indoor</v>
          </cell>
          <cell r="K935" t="str">
            <v>AC</v>
          </cell>
          <cell r="L935" t="str">
            <v>Dowen</v>
          </cell>
          <cell r="M935" t="str">
            <v>St Michel</v>
          </cell>
          <cell r="N935" t="str">
            <v>Wouri</v>
          </cell>
          <cell r="O935" t="str">
            <v>Douala 2</v>
          </cell>
          <cell r="P935" t="str">
            <v>Jean Marie Wafo Metinou</v>
          </cell>
          <cell r="Q935">
            <v>677549197</v>
          </cell>
          <cell r="R935">
            <v>656993754</v>
          </cell>
          <cell r="S935" t="str">
            <v>Valery Doudou</v>
          </cell>
          <cell r="T935" t="str">
            <v>GEORGES NAKHOUL</v>
          </cell>
          <cell r="U935" t="str">
            <v>I H S</v>
          </cell>
        </row>
        <row r="936">
          <cell r="A936" t="str">
            <v>LIT_443</v>
          </cell>
          <cell r="B936" t="str">
            <v>IHS_DLA_438</v>
          </cell>
          <cell r="C936" t="str">
            <v>LIT_443</v>
          </cell>
          <cell r="D936" t="str">
            <v>Littoral</v>
          </cell>
          <cell r="E936" t="str">
            <v>Littoral</v>
          </cell>
          <cell r="F936" t="str">
            <v>PK8 Essiac</v>
          </cell>
          <cell r="G936" t="str">
            <v>P4</v>
          </cell>
          <cell r="H936" t="str">
            <v>Grid-Gen</v>
          </cell>
          <cell r="I936" t="str">
            <v>On Air</v>
          </cell>
          <cell r="J936" t="str">
            <v>Outdoor</v>
          </cell>
          <cell r="K936" t="str">
            <v>AC</v>
          </cell>
          <cell r="L936" t="str">
            <v>Dowen</v>
          </cell>
          <cell r="M936" t="str">
            <v>PK12</v>
          </cell>
          <cell r="N936" t="str">
            <v>Wouri</v>
          </cell>
          <cell r="O936" t="str">
            <v>Douala 3</v>
          </cell>
          <cell r="P936" t="str">
            <v>Jean Marie Wafo Metinou</v>
          </cell>
          <cell r="Q936">
            <v>677549197</v>
          </cell>
          <cell r="R936">
            <v>656993754</v>
          </cell>
          <cell r="S936" t="str">
            <v>Valery Doudou</v>
          </cell>
          <cell r="T936" t="str">
            <v>GEORGES NAKHOUL</v>
          </cell>
          <cell r="U936" t="str">
            <v>I H S</v>
          </cell>
        </row>
        <row r="937">
          <cell r="A937" t="str">
            <v>LIT_398</v>
          </cell>
          <cell r="B937" t="str">
            <v>IHS_DLA_215</v>
          </cell>
          <cell r="C937" t="str">
            <v>LIT_398</v>
          </cell>
          <cell r="D937" t="str">
            <v>Littoral</v>
          </cell>
          <cell r="E937" t="str">
            <v>Littoral</v>
          </cell>
          <cell r="F937" t="str">
            <v>Makepe-Missoke-Clinique</v>
          </cell>
          <cell r="G937" t="str">
            <v>P4</v>
          </cell>
          <cell r="H937" t="str">
            <v>Grid Only</v>
          </cell>
          <cell r="I937" t="str">
            <v>On Air</v>
          </cell>
          <cell r="J937" t="str">
            <v>Outdoor</v>
          </cell>
          <cell r="K937" t="str">
            <v>AC</v>
          </cell>
          <cell r="L937" t="str">
            <v>Dowen</v>
          </cell>
          <cell r="M937" t="str">
            <v>Beedi</v>
          </cell>
          <cell r="N937" t="str">
            <v>Wouri</v>
          </cell>
          <cell r="O937" t="str">
            <v>Douala 5</v>
          </cell>
          <cell r="P937" t="str">
            <v>Jean Marie Wafo Metinou</v>
          </cell>
          <cell r="Q937">
            <v>677549197</v>
          </cell>
          <cell r="R937">
            <v>656993754</v>
          </cell>
          <cell r="S937" t="str">
            <v>Valery Doudou</v>
          </cell>
          <cell r="T937" t="str">
            <v>GEORGES NAKHOUL</v>
          </cell>
          <cell r="U937" t="str">
            <v>I H S</v>
          </cell>
        </row>
        <row r="938">
          <cell r="A938" t="str">
            <v>LIT_285</v>
          </cell>
          <cell r="B938" t="str">
            <v>IHS_DLA_233</v>
          </cell>
          <cell r="C938" t="str">
            <v>LIT_285</v>
          </cell>
          <cell r="D938" t="str">
            <v>Littoral</v>
          </cell>
          <cell r="E938" t="str">
            <v>Littoral</v>
          </cell>
          <cell r="F938" t="str">
            <v>Makepe-Lycee</v>
          </cell>
          <cell r="G938" t="str">
            <v>P4</v>
          </cell>
          <cell r="H938" t="str">
            <v>Grid Only</v>
          </cell>
          <cell r="I938" t="str">
            <v>On Air</v>
          </cell>
          <cell r="J938" t="str">
            <v>Outdoor</v>
          </cell>
          <cell r="K938" t="str">
            <v>AC</v>
          </cell>
          <cell r="L938" t="str">
            <v>Dowen</v>
          </cell>
          <cell r="M938" t="str">
            <v>Beedi</v>
          </cell>
          <cell r="N938" t="str">
            <v>Wouri</v>
          </cell>
          <cell r="O938" t="str">
            <v>Douala 5</v>
          </cell>
          <cell r="P938" t="str">
            <v>Jean Marie Wafo Metinou</v>
          </cell>
          <cell r="Q938">
            <v>677549197</v>
          </cell>
          <cell r="R938">
            <v>656993754</v>
          </cell>
          <cell r="S938" t="str">
            <v>Valery Doudou</v>
          </cell>
          <cell r="T938" t="str">
            <v>GEORGES NAKHOUL</v>
          </cell>
          <cell r="U938" t="str">
            <v>I H S</v>
          </cell>
        </row>
        <row r="939">
          <cell r="A939" t="str">
            <v>LIT_234</v>
          </cell>
          <cell r="B939" t="str">
            <v>IHS_DLA_289</v>
          </cell>
          <cell r="C939" t="str">
            <v>LIT_234</v>
          </cell>
          <cell r="D939" t="str">
            <v>Littoral</v>
          </cell>
          <cell r="E939" t="str">
            <v>Littoral</v>
          </cell>
          <cell r="F939" t="str">
            <v>PK 17 University IHS</v>
          </cell>
          <cell r="G939" t="str">
            <v>P4</v>
          </cell>
          <cell r="H939" t="str">
            <v>Grid-Gen</v>
          </cell>
          <cell r="I939" t="str">
            <v>On Air</v>
          </cell>
          <cell r="J939" t="str">
            <v>Outdoor</v>
          </cell>
          <cell r="K939" t="str">
            <v>AC</v>
          </cell>
          <cell r="L939" t="str">
            <v>Dowen</v>
          </cell>
          <cell r="M939" t="str">
            <v>PK12</v>
          </cell>
          <cell r="N939" t="str">
            <v>Wouri</v>
          </cell>
          <cell r="O939" t="str">
            <v>Douala 3</v>
          </cell>
          <cell r="P939" t="str">
            <v>Jean Marie Wafo Metinou</v>
          </cell>
          <cell r="Q939">
            <v>677549197</v>
          </cell>
          <cell r="R939">
            <v>656993754</v>
          </cell>
          <cell r="S939" t="str">
            <v>Valery Doudou</v>
          </cell>
          <cell r="T939" t="str">
            <v>GEORGES NAKHOUL</v>
          </cell>
          <cell r="U939" t="str">
            <v>I H S</v>
          </cell>
        </row>
        <row r="940">
          <cell r="A940" t="str">
            <v>LIT_159</v>
          </cell>
          <cell r="B940" t="str">
            <v>IHS_DLA_279</v>
          </cell>
          <cell r="C940" t="str">
            <v>LIT_159</v>
          </cell>
          <cell r="D940" t="str">
            <v>Littoral</v>
          </cell>
          <cell r="E940" t="str">
            <v>Littoral</v>
          </cell>
          <cell r="F940" t="str">
            <v>Ndoghem-PK12-IHS</v>
          </cell>
          <cell r="G940" t="str">
            <v>P4</v>
          </cell>
          <cell r="H940" t="str">
            <v>Grid-Gen</v>
          </cell>
          <cell r="I940" t="str">
            <v>On Air</v>
          </cell>
          <cell r="J940" t="str">
            <v>Indoor</v>
          </cell>
          <cell r="K940" t="str">
            <v>AC</v>
          </cell>
          <cell r="L940" t="str">
            <v>Dowen</v>
          </cell>
          <cell r="M940" t="str">
            <v>PK12</v>
          </cell>
          <cell r="N940" t="str">
            <v>Wouri</v>
          </cell>
          <cell r="O940" t="str">
            <v>Douala 3</v>
          </cell>
          <cell r="P940" t="str">
            <v>Jean Marie Wafo Metinou</v>
          </cell>
          <cell r="Q940">
            <v>677549197</v>
          </cell>
          <cell r="R940">
            <v>656993754</v>
          </cell>
          <cell r="S940" t="str">
            <v>Valery Doudou</v>
          </cell>
          <cell r="T940" t="str">
            <v>GEORGES NAKHOUL</v>
          </cell>
          <cell r="U940" t="str">
            <v>I H S</v>
          </cell>
        </row>
        <row r="941">
          <cell r="A941" t="str">
            <v>LIT_153</v>
          </cell>
          <cell r="B941" t="str">
            <v>IHS_DLA_093</v>
          </cell>
          <cell r="C941" t="str">
            <v>LIT_153</v>
          </cell>
          <cell r="D941" t="str">
            <v>Littoral</v>
          </cell>
          <cell r="E941" t="str">
            <v>Littoral</v>
          </cell>
          <cell r="F941" t="str">
            <v>Babylone</v>
          </cell>
          <cell r="G941" t="str">
            <v>P4</v>
          </cell>
          <cell r="H941" t="str">
            <v>Grid-Gen</v>
          </cell>
          <cell r="I941" t="str">
            <v>On Air</v>
          </cell>
          <cell r="J941" t="str">
            <v>Outdoor</v>
          </cell>
          <cell r="K941" t="str">
            <v>AC</v>
          </cell>
          <cell r="L941" t="str">
            <v>Dowen</v>
          </cell>
          <cell r="M941" t="str">
            <v>St Michel</v>
          </cell>
          <cell r="N941" t="str">
            <v>Wouri</v>
          </cell>
          <cell r="O941" t="str">
            <v>Douala 2</v>
          </cell>
          <cell r="P941" t="str">
            <v>Jean Marie Wafo Metinou</v>
          </cell>
          <cell r="Q941">
            <v>677549197</v>
          </cell>
          <cell r="R941">
            <v>656993754</v>
          </cell>
          <cell r="S941" t="str">
            <v>Valery Doudou</v>
          </cell>
          <cell r="T941" t="str">
            <v>GEORGES NAKHOUL</v>
          </cell>
          <cell r="U941" t="str">
            <v>I H S</v>
          </cell>
        </row>
        <row r="942">
          <cell r="A942" t="str">
            <v>LIT_748 </v>
          </cell>
          <cell r="B942" t="str">
            <v>IHS_DLA_079</v>
          </cell>
          <cell r="C942" t="str">
            <v>LIT_748 </v>
          </cell>
          <cell r="D942" t="str">
            <v>Littoral</v>
          </cell>
          <cell r="E942" t="str">
            <v>Littoral</v>
          </cell>
          <cell r="F942" t="str">
            <v>ARMEE DE L'AIR</v>
          </cell>
          <cell r="G942" t="str">
            <v>P4</v>
          </cell>
          <cell r="H942" t="str">
            <v>Grid-Gen</v>
          </cell>
          <cell r="I942">
            <v>0</v>
          </cell>
          <cell r="J942" t="str">
            <v>Outdoor</v>
          </cell>
          <cell r="K942" t="str">
            <v>AC</v>
          </cell>
          <cell r="L942" t="str">
            <v>Dowen</v>
          </cell>
          <cell r="M942" t="str">
            <v>St Michel</v>
          </cell>
          <cell r="N942" t="str">
            <v>Wouri</v>
          </cell>
          <cell r="O942" t="str">
            <v>Douala 1</v>
          </cell>
          <cell r="P942" t="str">
            <v>Jean Marie Wafo Metinou</v>
          </cell>
          <cell r="Q942">
            <v>677549197</v>
          </cell>
          <cell r="R942">
            <v>656993754</v>
          </cell>
          <cell r="S942" t="str">
            <v>Valery Doudou</v>
          </cell>
          <cell r="T942" t="str">
            <v>GEORGES NAKHOUL</v>
          </cell>
          <cell r="U942" t="str">
            <v>I H S</v>
          </cell>
        </row>
        <row r="943">
          <cell r="A943" t="str">
            <v>LIT_428</v>
          </cell>
          <cell r="B943" t="str">
            <v>IHS_DLA_168</v>
          </cell>
          <cell r="C943" t="str">
            <v>LIT_428</v>
          </cell>
          <cell r="D943" t="str">
            <v>Littoral</v>
          </cell>
          <cell r="E943" t="str">
            <v>Littoral</v>
          </cell>
          <cell r="F943" t="str">
            <v>New Town Ancien Aeroport</v>
          </cell>
          <cell r="G943" t="str">
            <v>P4</v>
          </cell>
          <cell r="H943" t="str">
            <v>Grid-Gen</v>
          </cell>
          <cell r="I943" t="str">
            <v>On Air</v>
          </cell>
          <cell r="J943" t="str">
            <v>Outdoor</v>
          </cell>
          <cell r="K943" t="str">
            <v>AC</v>
          </cell>
          <cell r="L943" t="str">
            <v>Dowen</v>
          </cell>
          <cell r="M943" t="str">
            <v>Bilongue</v>
          </cell>
          <cell r="N943" t="str">
            <v>Wouri</v>
          </cell>
          <cell r="O943" t="str">
            <v>Douala 3</v>
          </cell>
          <cell r="P943" t="str">
            <v>Jean Marie Wafo Metinou</v>
          </cell>
          <cell r="Q943">
            <v>677549197</v>
          </cell>
          <cell r="R943">
            <v>656993754</v>
          </cell>
          <cell r="S943" t="str">
            <v>Valery Doudou</v>
          </cell>
          <cell r="T943" t="str">
            <v>GEORGES NAKHOUL</v>
          </cell>
          <cell r="U943" t="str">
            <v>I H S</v>
          </cell>
        </row>
        <row r="944">
          <cell r="A944" t="str">
            <v>LIT_426</v>
          </cell>
          <cell r="B944" t="str">
            <v>IHS_DLA_410</v>
          </cell>
          <cell r="C944" t="str">
            <v>LIT_426</v>
          </cell>
          <cell r="D944" t="str">
            <v>Littoral</v>
          </cell>
          <cell r="E944" t="str">
            <v>Littoral</v>
          </cell>
          <cell r="F944" t="str">
            <v>Bonbongo ITBA</v>
          </cell>
          <cell r="G944" t="str">
            <v>P4</v>
          </cell>
          <cell r="H944" t="str">
            <v>Grid-Gen</v>
          </cell>
          <cell r="I944" t="str">
            <v>On Air</v>
          </cell>
          <cell r="J944" t="str">
            <v>Outdoor</v>
          </cell>
          <cell r="K944" t="str">
            <v>AC</v>
          </cell>
          <cell r="L944" t="str">
            <v>Dowen</v>
          </cell>
          <cell r="M944" t="str">
            <v>Bilongue</v>
          </cell>
          <cell r="N944" t="str">
            <v>Wouri</v>
          </cell>
          <cell r="O944" t="str">
            <v>Douala 3</v>
          </cell>
          <cell r="P944" t="str">
            <v>Jean Marie Wafo Metinou</v>
          </cell>
          <cell r="Q944">
            <v>677549197</v>
          </cell>
          <cell r="R944">
            <v>656993754</v>
          </cell>
          <cell r="S944" t="str">
            <v>Valery Doudou</v>
          </cell>
          <cell r="T944" t="str">
            <v>GEORGES NAKHOUL</v>
          </cell>
          <cell r="U944" t="str">
            <v>I H S</v>
          </cell>
        </row>
        <row r="945">
          <cell r="A945" t="str">
            <v>LIT_376</v>
          </cell>
          <cell r="B945" t="str">
            <v>IHS_DLA_251</v>
          </cell>
          <cell r="C945" t="str">
            <v>LIT_376</v>
          </cell>
          <cell r="D945" t="str">
            <v>Littoral</v>
          </cell>
          <cell r="E945" t="str">
            <v>Littoral</v>
          </cell>
          <cell r="F945" t="str">
            <v>Logpom IHS</v>
          </cell>
          <cell r="G945" t="str">
            <v>P4</v>
          </cell>
          <cell r="H945" t="str">
            <v>Grid-Gen</v>
          </cell>
          <cell r="I945" t="str">
            <v>On Air</v>
          </cell>
          <cell r="J945" t="str">
            <v>Indoor</v>
          </cell>
          <cell r="K945" t="str">
            <v>AC</v>
          </cell>
          <cell r="L945" t="str">
            <v>Dowen</v>
          </cell>
          <cell r="M945" t="str">
            <v>Beedi</v>
          </cell>
          <cell r="N945" t="str">
            <v>Wouri</v>
          </cell>
          <cell r="O945" t="str">
            <v>Douala 5</v>
          </cell>
          <cell r="P945" t="str">
            <v>Jean Marie Wafo Metinou</v>
          </cell>
          <cell r="Q945">
            <v>677549197</v>
          </cell>
          <cell r="R945">
            <v>656993754</v>
          </cell>
          <cell r="S945" t="str">
            <v>Valery Doudou</v>
          </cell>
          <cell r="T945" t="str">
            <v>GEORGES NAKHOUL</v>
          </cell>
          <cell r="U945" t="str">
            <v>I H S</v>
          </cell>
        </row>
        <row r="946">
          <cell r="A946" t="str">
            <v>LIT_157</v>
          </cell>
          <cell r="B946" t="str">
            <v>IHS_DLA_211</v>
          </cell>
          <cell r="C946" t="str">
            <v>LIT_157</v>
          </cell>
          <cell r="D946" t="str">
            <v>Littoral</v>
          </cell>
          <cell r="E946" t="str">
            <v>Littoral</v>
          </cell>
          <cell r="F946" t="str">
            <v>Cite Berge</v>
          </cell>
          <cell r="G946" t="str">
            <v>P4</v>
          </cell>
          <cell r="H946" t="str">
            <v>Grid-Gen</v>
          </cell>
          <cell r="I946" t="str">
            <v>On Air</v>
          </cell>
          <cell r="J946" t="str">
            <v>Indoor</v>
          </cell>
          <cell r="K946" t="str">
            <v>AC</v>
          </cell>
          <cell r="L946" t="str">
            <v>Dowen</v>
          </cell>
          <cell r="M946" t="str">
            <v>Bilongue</v>
          </cell>
          <cell r="N946" t="str">
            <v>Wouri</v>
          </cell>
          <cell r="O946" t="str">
            <v>Douala 3</v>
          </cell>
          <cell r="P946" t="str">
            <v>Jean Marie Wafo Metinou</v>
          </cell>
          <cell r="Q946">
            <v>677549197</v>
          </cell>
          <cell r="R946">
            <v>656993754</v>
          </cell>
          <cell r="S946" t="str">
            <v>Valery Doudou</v>
          </cell>
          <cell r="T946" t="str">
            <v>GEORGES NAKHOUL</v>
          </cell>
          <cell r="U946" t="str">
            <v>I H S</v>
          </cell>
        </row>
        <row r="947">
          <cell r="A947" t="str">
            <v>LIT_578</v>
          </cell>
          <cell r="B947" t="str">
            <v>IHS_DLA_285</v>
          </cell>
          <cell r="C947" t="str">
            <v>LIT_578</v>
          </cell>
          <cell r="D947" t="str">
            <v>Littoral</v>
          </cell>
          <cell r="E947" t="str">
            <v>Littoral</v>
          </cell>
          <cell r="F947" t="str">
            <v>PK14-Market-IHS</v>
          </cell>
          <cell r="G947" t="str">
            <v>P4</v>
          </cell>
          <cell r="H947" t="str">
            <v>Grid-Gen</v>
          </cell>
          <cell r="I947" t="str">
            <v>On Air</v>
          </cell>
          <cell r="J947" t="str">
            <v>Outdoor</v>
          </cell>
          <cell r="K947" t="str">
            <v>AC</v>
          </cell>
          <cell r="L947" t="str">
            <v>Dowen</v>
          </cell>
          <cell r="M947" t="str">
            <v>PK12</v>
          </cell>
          <cell r="N947" t="str">
            <v>Wouri</v>
          </cell>
          <cell r="O947" t="str">
            <v>Douala 3</v>
          </cell>
          <cell r="P947" t="str">
            <v>Jean Marie Wafo Metinou</v>
          </cell>
          <cell r="Q947">
            <v>677549197</v>
          </cell>
          <cell r="R947">
            <v>656993754</v>
          </cell>
          <cell r="S947" t="str">
            <v>Valery Doudou</v>
          </cell>
          <cell r="T947" t="str">
            <v>GEORGES NAKHOUL</v>
          </cell>
          <cell r="U947" t="str">
            <v>I H S</v>
          </cell>
        </row>
        <row r="948">
          <cell r="A948" t="str">
            <v>LIT_156</v>
          </cell>
          <cell r="B948" t="str">
            <v>IHS_DLA_169</v>
          </cell>
          <cell r="C948" t="str">
            <v>LIT_156</v>
          </cell>
          <cell r="D948" t="str">
            <v>Littoral</v>
          </cell>
          <cell r="E948" t="str">
            <v>Littoral</v>
          </cell>
          <cell r="F948" t="str">
            <v>Bonaloka-IHS</v>
          </cell>
          <cell r="G948" t="str">
            <v>P4</v>
          </cell>
          <cell r="H948" t="str">
            <v>Grid-Gen</v>
          </cell>
          <cell r="I948" t="str">
            <v>On Air</v>
          </cell>
          <cell r="J948" t="str">
            <v>Outdoor</v>
          </cell>
          <cell r="K948" t="str">
            <v>AC</v>
          </cell>
          <cell r="L948" t="str">
            <v>Dowen</v>
          </cell>
          <cell r="M948" t="str">
            <v>Bilongue</v>
          </cell>
          <cell r="N948" t="str">
            <v>Wouri</v>
          </cell>
          <cell r="O948" t="str">
            <v>Douala 3</v>
          </cell>
          <cell r="P948" t="str">
            <v>Jean Marie Wafo Metinou</v>
          </cell>
          <cell r="Q948">
            <v>677549197</v>
          </cell>
          <cell r="R948">
            <v>656993754</v>
          </cell>
          <cell r="S948" t="str">
            <v>Valery Doudou</v>
          </cell>
          <cell r="T948" t="str">
            <v>GEORGES NAKHOUL</v>
          </cell>
          <cell r="U948" t="str">
            <v>I H S</v>
          </cell>
        </row>
        <row r="949">
          <cell r="A949" t="str">
            <v>LIT_129</v>
          </cell>
          <cell r="B949" t="str">
            <v>IHS_DLA_112</v>
          </cell>
          <cell r="C949" t="str">
            <v>LIT_129</v>
          </cell>
          <cell r="D949" t="str">
            <v>Littoral</v>
          </cell>
          <cell r="E949" t="str">
            <v>Littoral</v>
          </cell>
          <cell r="F949" t="str">
            <v>Bonadiwoto-IHS</v>
          </cell>
          <cell r="G949" t="str">
            <v>P4</v>
          </cell>
          <cell r="H949" t="str">
            <v>Grid-Gen</v>
          </cell>
          <cell r="I949" t="str">
            <v>On Air</v>
          </cell>
          <cell r="J949" t="str">
            <v>Outdoor</v>
          </cell>
          <cell r="K949" t="str">
            <v>AC</v>
          </cell>
          <cell r="L949" t="str">
            <v>Dowen</v>
          </cell>
          <cell r="M949" t="str">
            <v>Bilongue</v>
          </cell>
          <cell r="N949" t="str">
            <v>Wouri</v>
          </cell>
          <cell r="O949" t="str">
            <v>Douala 3</v>
          </cell>
          <cell r="P949" t="str">
            <v>Jean Marie Wafo Metinou</v>
          </cell>
          <cell r="Q949">
            <v>677549197</v>
          </cell>
          <cell r="R949">
            <v>656993754</v>
          </cell>
          <cell r="S949" t="str">
            <v>Valery Doudou</v>
          </cell>
          <cell r="T949" t="str">
            <v>GEORGES NAKHOUL</v>
          </cell>
          <cell r="U949" t="str">
            <v>I H S</v>
          </cell>
        </row>
        <row r="950">
          <cell r="A950" t="str">
            <v>LIT_235</v>
          </cell>
          <cell r="B950" t="str">
            <v>IHS_DLA_294</v>
          </cell>
          <cell r="C950" t="str">
            <v>LIT_235</v>
          </cell>
          <cell r="D950" t="str">
            <v>Littoral</v>
          </cell>
          <cell r="E950" t="str">
            <v>Littoral</v>
          </cell>
          <cell r="F950" t="str">
            <v>Logbessou PK21 IHS</v>
          </cell>
          <cell r="G950" t="str">
            <v>P4</v>
          </cell>
          <cell r="H950" t="str">
            <v>Grid-Gen</v>
          </cell>
          <cell r="I950" t="str">
            <v>On Air</v>
          </cell>
          <cell r="J950" t="str">
            <v>Outdoor</v>
          </cell>
          <cell r="K950" t="str">
            <v>AC</v>
          </cell>
          <cell r="L950" t="str">
            <v>Dowen</v>
          </cell>
          <cell r="M950" t="str">
            <v>PK12</v>
          </cell>
          <cell r="N950" t="str">
            <v>Wouri</v>
          </cell>
          <cell r="O950" t="str">
            <v>Douala 3</v>
          </cell>
          <cell r="P950" t="str">
            <v>Jean Marie Wafo Metinou</v>
          </cell>
          <cell r="Q950">
            <v>677549197</v>
          </cell>
          <cell r="R950">
            <v>656993754</v>
          </cell>
          <cell r="S950" t="str">
            <v>Valery Doudou</v>
          </cell>
          <cell r="T950" t="str">
            <v>GEORGES NAKHOUL</v>
          </cell>
          <cell r="U950" t="str">
            <v>I H S</v>
          </cell>
        </row>
        <row r="951">
          <cell r="A951" t="str">
            <v>LIT_528</v>
          </cell>
          <cell r="B951" t="str">
            <v>IHS_DLA_027</v>
          </cell>
          <cell r="C951" t="str">
            <v>LIT_528</v>
          </cell>
          <cell r="D951" t="str">
            <v>Littoral</v>
          </cell>
          <cell r="E951" t="str">
            <v>Littoral</v>
          </cell>
          <cell r="F951" t="str">
            <v>Newb-Ancien-Etage-new</v>
          </cell>
          <cell r="G951" t="str">
            <v>P4</v>
          </cell>
          <cell r="H951" t="str">
            <v>Grid Only</v>
          </cell>
          <cell r="I951" t="str">
            <v>On Air</v>
          </cell>
          <cell r="J951" t="str">
            <v>Outdoor</v>
          </cell>
          <cell r="K951" t="str">
            <v>AC</v>
          </cell>
          <cell r="L951" t="str">
            <v>Dowen</v>
          </cell>
          <cell r="M951" t="str">
            <v>St Michel</v>
          </cell>
          <cell r="N951" t="str">
            <v>Wouri</v>
          </cell>
          <cell r="O951" t="str">
            <v>Douala 2</v>
          </cell>
          <cell r="P951" t="str">
            <v>Jean Marie Wafo Metinou</v>
          </cell>
          <cell r="Q951">
            <v>677549197</v>
          </cell>
          <cell r="R951">
            <v>656993754</v>
          </cell>
          <cell r="S951" t="str">
            <v>Valery Doudou</v>
          </cell>
          <cell r="T951" t="str">
            <v>GEORGES NAKHOUL</v>
          </cell>
          <cell r="U951" t="str">
            <v>I H S</v>
          </cell>
        </row>
        <row r="952">
          <cell r="A952" t="str">
            <v>LIT_125</v>
          </cell>
          <cell r="B952" t="str">
            <v>IHS_BNB_043</v>
          </cell>
          <cell r="C952" t="str">
            <v>LIT_125</v>
          </cell>
          <cell r="D952" t="str">
            <v>Littoral</v>
          </cell>
          <cell r="E952" t="str">
            <v>Littoral</v>
          </cell>
          <cell r="F952" t="str">
            <v>Inernational Airport</v>
          </cell>
          <cell r="G952" t="str">
            <v>P4</v>
          </cell>
          <cell r="H952" t="str">
            <v>Grid Only</v>
          </cell>
          <cell r="I952" t="str">
            <v>On Air</v>
          </cell>
          <cell r="J952" t="str">
            <v>Indoor</v>
          </cell>
          <cell r="K952" t="str">
            <v>AC</v>
          </cell>
          <cell r="L952" t="str">
            <v>Dowen</v>
          </cell>
          <cell r="M952" t="str">
            <v>Bilongue</v>
          </cell>
          <cell r="N952" t="str">
            <v>Wouri</v>
          </cell>
          <cell r="O952" t="str">
            <v>Douala 3</v>
          </cell>
          <cell r="P952" t="str">
            <v>Jean Marie Wafo Metinou</v>
          </cell>
          <cell r="Q952">
            <v>677549197</v>
          </cell>
          <cell r="R952">
            <v>656993754</v>
          </cell>
          <cell r="S952" t="str">
            <v>Valery Doudou</v>
          </cell>
          <cell r="T952" t="str">
            <v>GEORGES NAKHOUL</v>
          </cell>
          <cell r="U952" t="str">
            <v>I H S</v>
          </cell>
        </row>
        <row r="953">
          <cell r="A953" t="str">
            <v>LIT_180</v>
          </cell>
          <cell r="B953" t="str">
            <v>IHS_DLA_306</v>
          </cell>
          <cell r="C953" t="str">
            <v>LIT_180</v>
          </cell>
          <cell r="D953" t="str">
            <v>Littoral</v>
          </cell>
          <cell r="E953" t="str">
            <v>Littoral</v>
          </cell>
          <cell r="F953" t="str">
            <v>Yingui</v>
          </cell>
          <cell r="G953" t="str">
            <v>P4</v>
          </cell>
          <cell r="H953" t="str">
            <v>Solar-Gen</v>
          </cell>
          <cell r="I953" t="str">
            <v>On Air</v>
          </cell>
          <cell r="J953" t="str">
            <v>Outdoor</v>
          </cell>
          <cell r="K953" t="str">
            <v>AC</v>
          </cell>
          <cell r="L953" t="str">
            <v>Dowen</v>
          </cell>
          <cell r="M953" t="str">
            <v>PK12</v>
          </cell>
          <cell r="N953" t="str">
            <v>NKAM</v>
          </cell>
          <cell r="O953" t="str">
            <v>yabassi</v>
          </cell>
          <cell r="P953" t="str">
            <v>Jean Marie Wafo Metinou</v>
          </cell>
          <cell r="Q953">
            <v>677549197</v>
          </cell>
          <cell r="R953">
            <v>656993754</v>
          </cell>
          <cell r="S953" t="str">
            <v>Valery Doudou</v>
          </cell>
          <cell r="T953" t="str">
            <v>GEORGES NAKHOUL</v>
          </cell>
          <cell r="U953" t="str">
            <v>I H S</v>
          </cell>
        </row>
        <row r="954">
          <cell r="A954" t="str">
            <v>LIT_145</v>
          </cell>
          <cell r="B954" t="str">
            <v>IHS_DLA_299</v>
          </cell>
          <cell r="C954" t="str">
            <v>LIT_145</v>
          </cell>
          <cell r="D954" t="str">
            <v>Littoral</v>
          </cell>
          <cell r="E954" t="str">
            <v>Littoral</v>
          </cell>
          <cell r="F954" t="str">
            <v>Bonepoupa-IHS</v>
          </cell>
          <cell r="G954" t="str">
            <v>P4</v>
          </cell>
          <cell r="H954" t="str">
            <v>Solar-Grid-Gen</v>
          </cell>
          <cell r="I954" t="str">
            <v>On Air</v>
          </cell>
          <cell r="J954" t="str">
            <v>Outdoor</v>
          </cell>
          <cell r="K954" t="str">
            <v>AC</v>
          </cell>
          <cell r="L954" t="str">
            <v>Dowen</v>
          </cell>
          <cell r="M954" t="str">
            <v>PK12</v>
          </cell>
          <cell r="N954" t="str">
            <v>Wouri</v>
          </cell>
          <cell r="O954" t="str">
            <v>yabassi</v>
          </cell>
          <cell r="P954" t="str">
            <v>Jean Marie Wafo Metinou</v>
          </cell>
          <cell r="Q954">
            <v>677549197</v>
          </cell>
          <cell r="R954">
            <v>656993754</v>
          </cell>
          <cell r="S954" t="str">
            <v>Valery Doudou</v>
          </cell>
          <cell r="T954" t="str">
            <v>GEORGES NAKHOUL</v>
          </cell>
          <cell r="U954" t="str">
            <v>I H S</v>
          </cell>
        </row>
        <row r="955">
          <cell r="A955" t="str">
            <v>LIT_562</v>
          </cell>
          <cell r="B955" t="str">
            <v>IHS_DLA_479</v>
          </cell>
          <cell r="C955" t="str">
            <v>LIT_562</v>
          </cell>
          <cell r="D955" t="str">
            <v>Littoral</v>
          </cell>
          <cell r="E955" t="str">
            <v>Littoral</v>
          </cell>
          <cell r="F955" t="str">
            <v>Pingo-PK10-IHS</v>
          </cell>
          <cell r="G955" t="str">
            <v>P4</v>
          </cell>
          <cell r="H955" t="str">
            <v>Grid-Gen</v>
          </cell>
          <cell r="I955" t="str">
            <v>On Air</v>
          </cell>
          <cell r="J955" t="str">
            <v>Outdoor</v>
          </cell>
          <cell r="K955" t="str">
            <v>AC</v>
          </cell>
          <cell r="L955" t="str">
            <v>Dowen</v>
          </cell>
          <cell r="M955" t="str">
            <v>PK12</v>
          </cell>
          <cell r="N955" t="str">
            <v>Wouri</v>
          </cell>
          <cell r="O955" t="str">
            <v>Douala 3</v>
          </cell>
          <cell r="P955" t="str">
            <v>Jean Marie Wafo Metinou</v>
          </cell>
          <cell r="Q955">
            <v>677549197</v>
          </cell>
          <cell r="R955">
            <v>656993754</v>
          </cell>
          <cell r="S955" t="str">
            <v>Valery Doudou</v>
          </cell>
          <cell r="T955" t="str">
            <v>GEORGES NAKHOUL</v>
          </cell>
          <cell r="U955" t="str">
            <v>I H S</v>
          </cell>
        </row>
        <row r="956">
          <cell r="A956" t="str">
            <v>LIT_167</v>
          </cell>
          <cell r="B956" t="str">
            <v>IHS_DLA_411</v>
          </cell>
          <cell r="C956" t="str">
            <v>LIT_167</v>
          </cell>
          <cell r="D956" t="str">
            <v>Littoral</v>
          </cell>
          <cell r="E956" t="str">
            <v>Littoral</v>
          </cell>
          <cell r="F956" t="str">
            <v>Makepe-Ecole-Sira</v>
          </cell>
          <cell r="G956" t="str">
            <v>P5</v>
          </cell>
          <cell r="H956" t="str">
            <v>Grid-Gen</v>
          </cell>
          <cell r="I956" t="str">
            <v>On Air</v>
          </cell>
          <cell r="J956" t="str">
            <v>Outdoor</v>
          </cell>
          <cell r="K956" t="str">
            <v>AC</v>
          </cell>
          <cell r="L956" t="str">
            <v>Dowen</v>
          </cell>
          <cell r="M956" t="str">
            <v>Beedi</v>
          </cell>
          <cell r="N956" t="str">
            <v>Wouri</v>
          </cell>
          <cell r="O956" t="str">
            <v>Douala 5</v>
          </cell>
          <cell r="P956" t="str">
            <v>Jean Marie Wafo Metinou</v>
          </cell>
          <cell r="Q956">
            <v>677549197</v>
          </cell>
          <cell r="R956">
            <v>656993754</v>
          </cell>
          <cell r="S956" t="str">
            <v>Valery Doudou</v>
          </cell>
          <cell r="T956" t="str">
            <v>GEORGES NAKHOUL</v>
          </cell>
          <cell r="U956" t="str">
            <v>I H S</v>
          </cell>
        </row>
        <row r="957">
          <cell r="A957" t="str">
            <v>LIT_448</v>
          </cell>
          <cell r="B957" t="str">
            <v>IHS_DLA_451</v>
          </cell>
          <cell r="C957" t="str">
            <v>LIT_448</v>
          </cell>
          <cell r="D957" t="str">
            <v>Littoral</v>
          </cell>
          <cell r="E957" t="str">
            <v>Littoral</v>
          </cell>
          <cell r="F957" t="str">
            <v>PK13-II-TO</v>
          </cell>
          <cell r="G957" t="str">
            <v>P5</v>
          </cell>
          <cell r="H957" t="str">
            <v>Grid-Gen</v>
          </cell>
          <cell r="I957" t="str">
            <v>On Air</v>
          </cell>
          <cell r="J957" t="str">
            <v>Outdoor</v>
          </cell>
          <cell r="K957" t="str">
            <v>AC</v>
          </cell>
          <cell r="L957" t="str">
            <v>Dowen</v>
          </cell>
          <cell r="M957" t="str">
            <v>PK12</v>
          </cell>
          <cell r="N957" t="str">
            <v>Wouri</v>
          </cell>
          <cell r="O957" t="str">
            <v>Douala 5</v>
          </cell>
          <cell r="P957" t="str">
            <v>Jean Marie Wafo Metinou</v>
          </cell>
          <cell r="Q957">
            <v>677549197</v>
          </cell>
          <cell r="R957">
            <v>656993754</v>
          </cell>
          <cell r="S957" t="str">
            <v>Valery Doudou</v>
          </cell>
          <cell r="T957" t="str">
            <v>GEORGES NAKHOUL</v>
          </cell>
          <cell r="U957" t="str">
            <v>I H S</v>
          </cell>
        </row>
        <row r="958">
          <cell r="A958" t="str">
            <v>LIT_449</v>
          </cell>
          <cell r="B958" t="str">
            <v>IHS_DLA_431</v>
          </cell>
          <cell r="C958" t="str">
            <v>LIT_449</v>
          </cell>
          <cell r="D958" t="str">
            <v>Littoral</v>
          </cell>
          <cell r="E958" t="str">
            <v>Littoral</v>
          </cell>
          <cell r="F958" t="str">
            <v>Malangue IHS</v>
          </cell>
          <cell r="G958" t="str">
            <v>P5</v>
          </cell>
          <cell r="H958" t="str">
            <v>Grid-Gen</v>
          </cell>
          <cell r="I958" t="str">
            <v>On Air</v>
          </cell>
          <cell r="J958" t="str">
            <v>Outdoor</v>
          </cell>
          <cell r="K958" t="str">
            <v>AC</v>
          </cell>
          <cell r="L958" t="str">
            <v>Dowen</v>
          </cell>
          <cell r="M958" t="str">
            <v>Beedi</v>
          </cell>
          <cell r="N958" t="str">
            <v>Wouri</v>
          </cell>
          <cell r="O958" t="str">
            <v>Douala 5</v>
          </cell>
          <cell r="P958" t="str">
            <v>Jean Marie Wafo Metinou</v>
          </cell>
          <cell r="Q958">
            <v>677549197</v>
          </cell>
          <cell r="R958">
            <v>656993754</v>
          </cell>
          <cell r="S958" t="str">
            <v>Valery Doudou</v>
          </cell>
          <cell r="T958" t="str">
            <v>GEORGES NAKHOUL</v>
          </cell>
          <cell r="U958" t="str">
            <v>I H S</v>
          </cell>
        </row>
        <row r="959">
          <cell r="A959" t="str">
            <v>LIT_440</v>
          </cell>
          <cell r="B959" t="str">
            <v>IHS_DLA_430</v>
          </cell>
          <cell r="C959" t="str">
            <v>LIT_440</v>
          </cell>
          <cell r="D959" t="str">
            <v>Littoral</v>
          </cell>
          <cell r="E959" t="str">
            <v>Littoral</v>
          </cell>
          <cell r="F959" t="str">
            <v>Logpom Denver City</v>
          </cell>
          <cell r="G959" t="str">
            <v>P5</v>
          </cell>
          <cell r="H959" t="str">
            <v>Grid-Gen</v>
          </cell>
          <cell r="I959" t="str">
            <v>On Air</v>
          </cell>
          <cell r="J959" t="str">
            <v>Outdoor</v>
          </cell>
          <cell r="K959" t="str">
            <v>AC</v>
          </cell>
          <cell r="L959" t="str">
            <v>Dowen</v>
          </cell>
          <cell r="M959" t="str">
            <v>Beedi</v>
          </cell>
          <cell r="N959" t="str">
            <v>Wouri</v>
          </cell>
          <cell r="O959" t="str">
            <v>Douala 5</v>
          </cell>
          <cell r="P959" t="str">
            <v>Jean Marie Wafo Metinou</v>
          </cell>
          <cell r="Q959">
            <v>677549197</v>
          </cell>
          <cell r="R959">
            <v>656993754</v>
          </cell>
          <cell r="S959" t="str">
            <v>Valery Doudou</v>
          </cell>
          <cell r="T959" t="str">
            <v>GEORGES NAKHOUL</v>
          </cell>
          <cell r="U959" t="str">
            <v>I H S</v>
          </cell>
        </row>
        <row r="960">
          <cell r="A960" t="str">
            <v>LIT_110</v>
          </cell>
          <cell r="B960" t="str">
            <v>IHS_DLA_302</v>
          </cell>
          <cell r="C960" t="str">
            <v>LIT_110</v>
          </cell>
          <cell r="D960" t="str">
            <v>Littoral</v>
          </cell>
          <cell r="E960" t="str">
            <v>Littoral</v>
          </cell>
          <cell r="F960" t="str">
            <v>Yabassi</v>
          </cell>
          <cell r="G960" t="str">
            <v>P5</v>
          </cell>
          <cell r="H960" t="str">
            <v>Grid Only</v>
          </cell>
          <cell r="I960" t="str">
            <v>On Air</v>
          </cell>
          <cell r="J960" t="str">
            <v>Indoor</v>
          </cell>
          <cell r="K960" t="str">
            <v>AC</v>
          </cell>
          <cell r="L960" t="str">
            <v>Dowen</v>
          </cell>
          <cell r="M960" t="str">
            <v>PK12</v>
          </cell>
          <cell r="N960" t="str">
            <v>NKAM</v>
          </cell>
          <cell r="O960" t="str">
            <v>yabassi</v>
          </cell>
          <cell r="P960" t="str">
            <v>Jean Marie Wafo Metinou</v>
          </cell>
          <cell r="Q960">
            <v>677549197</v>
          </cell>
          <cell r="R960">
            <v>656993754</v>
          </cell>
          <cell r="S960" t="str">
            <v>Valery Doudou</v>
          </cell>
          <cell r="T960" t="str">
            <v>GEORGES NAKHOUL</v>
          </cell>
          <cell r="U960" t="str">
            <v>I H S</v>
          </cell>
        </row>
        <row r="961">
          <cell r="A961" t="str">
            <v>LIT_369</v>
          </cell>
          <cell r="B961" t="str">
            <v>IHS_DLA_202</v>
          </cell>
          <cell r="C961" t="str">
            <v>LIT_369</v>
          </cell>
          <cell r="D961" t="str">
            <v>Littoral</v>
          </cell>
          <cell r="E961" t="str">
            <v>Littoral</v>
          </cell>
          <cell r="F961" t="str">
            <v>St-Thomas</v>
          </cell>
          <cell r="G961" t="str">
            <v>P5</v>
          </cell>
          <cell r="H961" t="str">
            <v>Grid-Gen</v>
          </cell>
          <cell r="I961" t="str">
            <v>On Air</v>
          </cell>
          <cell r="J961" t="str">
            <v>Outdoor</v>
          </cell>
          <cell r="K961" t="str">
            <v>AC</v>
          </cell>
          <cell r="L961" t="str">
            <v>Dowen</v>
          </cell>
          <cell r="M961" t="str">
            <v>Beedi</v>
          </cell>
          <cell r="N961" t="str">
            <v>Wouri</v>
          </cell>
          <cell r="O961" t="str">
            <v>Douala 3</v>
          </cell>
          <cell r="P961" t="str">
            <v>Jean Marie Wafo Metinou</v>
          </cell>
          <cell r="Q961">
            <v>677549197</v>
          </cell>
          <cell r="R961">
            <v>656993754</v>
          </cell>
          <cell r="S961" t="str">
            <v>Valery Doudou</v>
          </cell>
          <cell r="T961" t="str">
            <v>GEORGES NAKHOUL</v>
          </cell>
          <cell r="U961" t="str">
            <v>I H S</v>
          </cell>
        </row>
        <row r="962">
          <cell r="A962" t="str">
            <v>LIT_579</v>
          </cell>
          <cell r="B962" t="str">
            <v>IHS_DLA_167</v>
          </cell>
          <cell r="C962" t="str">
            <v>LIT_579</v>
          </cell>
          <cell r="D962" t="str">
            <v>Littoral</v>
          </cell>
          <cell r="E962" t="str">
            <v>Littoral</v>
          </cell>
          <cell r="F962" t="str">
            <v>Soboum-IHS</v>
          </cell>
          <cell r="G962" t="str">
            <v>P5</v>
          </cell>
          <cell r="H962" t="str">
            <v>Grid-Gen</v>
          </cell>
          <cell r="I962" t="str">
            <v>On Air</v>
          </cell>
          <cell r="J962" t="str">
            <v>Indoor</v>
          </cell>
          <cell r="K962" t="str">
            <v>AC</v>
          </cell>
          <cell r="L962" t="str">
            <v>Dowen</v>
          </cell>
          <cell r="M962" t="str">
            <v>Bilongue</v>
          </cell>
          <cell r="N962" t="str">
            <v>Wouri</v>
          </cell>
          <cell r="O962" t="str">
            <v>Douala 3</v>
          </cell>
          <cell r="P962" t="str">
            <v>Jean Marie Wafo Metinou</v>
          </cell>
          <cell r="Q962">
            <v>677549197</v>
          </cell>
          <cell r="R962">
            <v>656993754</v>
          </cell>
          <cell r="S962" t="str">
            <v>Valery Doudou</v>
          </cell>
          <cell r="T962" t="str">
            <v>GEORGES NAKHOUL</v>
          </cell>
          <cell r="U962" t="str">
            <v>I H S</v>
          </cell>
        </row>
        <row r="963">
          <cell r="A963" t="str">
            <v>LIT_275</v>
          </cell>
          <cell r="B963" t="str">
            <v>IHS_DLA_276</v>
          </cell>
          <cell r="C963" t="str">
            <v>LIT_275</v>
          </cell>
          <cell r="D963" t="str">
            <v>Littoral</v>
          </cell>
          <cell r="E963" t="str">
            <v>Littoral</v>
          </cell>
          <cell r="F963" t="str">
            <v>Logpom-Sodikombo</v>
          </cell>
          <cell r="G963" t="str">
            <v>P2</v>
          </cell>
          <cell r="H963" t="str">
            <v>Grid-Gen</v>
          </cell>
          <cell r="I963" t="str">
            <v>On Air</v>
          </cell>
          <cell r="J963" t="str">
            <v>Outdoor</v>
          </cell>
          <cell r="K963" t="str">
            <v>AC</v>
          </cell>
          <cell r="L963" t="str">
            <v>Dowen</v>
          </cell>
          <cell r="M963" t="str">
            <v>PK12</v>
          </cell>
          <cell r="N963" t="str">
            <v>Wouri</v>
          </cell>
          <cell r="O963" t="str">
            <v>Douala 5</v>
          </cell>
          <cell r="P963" t="str">
            <v>Jean Marie Wafo Metinou</v>
          </cell>
          <cell r="Q963">
            <v>677549197</v>
          </cell>
          <cell r="R963">
            <v>656993754</v>
          </cell>
          <cell r="S963" t="str">
            <v>Valery Doudou</v>
          </cell>
          <cell r="T963" t="str">
            <v>GEORGES NAKHOUL</v>
          </cell>
          <cell r="U963" t="str">
            <v>I H S</v>
          </cell>
        </row>
        <row r="964">
          <cell r="A964" t="str">
            <v>EXN_033</v>
          </cell>
          <cell r="B964" t="str">
            <v>IHS_MAR_090</v>
          </cell>
          <cell r="C964" t="str">
            <v>EXN_033</v>
          </cell>
          <cell r="D964" t="str">
            <v>North</v>
          </cell>
          <cell r="E964" t="str">
            <v>Far North</v>
          </cell>
          <cell r="F964" t="str">
            <v>Waza</v>
          </cell>
          <cell r="G964" t="str">
            <v>P2</v>
          </cell>
          <cell r="H964" t="str">
            <v>Grid-Hybrid-Gen</v>
          </cell>
          <cell r="I964" t="str">
            <v>On Air</v>
          </cell>
          <cell r="J964" t="str">
            <v>Indoor</v>
          </cell>
          <cell r="K964" t="str">
            <v>AC</v>
          </cell>
          <cell r="L964" t="str">
            <v>I-Eng</v>
          </cell>
          <cell r="M964" t="str">
            <v>Kousseri</v>
          </cell>
          <cell r="N964" t="str">
            <v>LOGONE ET CHARI</v>
          </cell>
          <cell r="O964" t="str">
            <v>WAZA</v>
          </cell>
          <cell r="P964" t="str">
            <v>Renaud Omog</v>
          </cell>
          <cell r="Q964">
            <v>677549882</v>
          </cell>
          <cell r="R964">
            <v>655999882</v>
          </cell>
          <cell r="S964" t="str">
            <v>Alain Etoundi</v>
          </cell>
          <cell r="T964" t="str">
            <v>Valeur HOUELL</v>
          </cell>
          <cell r="U964" t="str">
            <v>I H S</v>
          </cell>
        </row>
        <row r="965">
          <cell r="A965" t="str">
            <v>EXN_003</v>
          </cell>
          <cell r="B965" t="str">
            <v>IHS_KSR_001</v>
          </cell>
          <cell r="C965" t="str">
            <v>EXN_003</v>
          </cell>
          <cell r="D965" t="str">
            <v>North</v>
          </cell>
          <cell r="E965" t="str">
            <v>Far North</v>
          </cell>
          <cell r="F965" t="str">
            <v>Kousseri</v>
          </cell>
          <cell r="G965" t="str">
            <v>P2</v>
          </cell>
          <cell r="H965" t="str">
            <v>Grid-Gen</v>
          </cell>
          <cell r="I965" t="str">
            <v>On Air</v>
          </cell>
          <cell r="J965" t="str">
            <v>Indoor</v>
          </cell>
          <cell r="K965" t="str">
            <v>AC</v>
          </cell>
          <cell r="L965" t="str">
            <v>I-Eng</v>
          </cell>
          <cell r="M965" t="str">
            <v>Kousseri</v>
          </cell>
          <cell r="N965" t="str">
            <v>LOGONE ET CHARI</v>
          </cell>
          <cell r="O965" t="str">
            <v>KOUSSERI</v>
          </cell>
          <cell r="P965" t="str">
            <v>Renaud Omog</v>
          </cell>
          <cell r="Q965">
            <v>677549882</v>
          </cell>
          <cell r="R965">
            <v>655999882</v>
          </cell>
          <cell r="S965" t="str">
            <v>Alain Etoundi</v>
          </cell>
          <cell r="T965" t="str">
            <v>Valeur HOUELL</v>
          </cell>
          <cell r="U965" t="str">
            <v>I H S</v>
          </cell>
        </row>
        <row r="966">
          <cell r="A966" t="str">
            <v>EXN_034</v>
          </cell>
          <cell r="B966" t="str">
            <v>IHS_KSR_015</v>
          </cell>
          <cell r="C966" t="str">
            <v>EXN_034</v>
          </cell>
          <cell r="D966" t="str">
            <v>North</v>
          </cell>
          <cell r="E966" t="str">
            <v>Far North</v>
          </cell>
          <cell r="F966" t="str">
            <v>Zigague</v>
          </cell>
          <cell r="G966" t="str">
            <v>P2</v>
          </cell>
          <cell r="H966" t="str">
            <v>Solar-Grid-Gen</v>
          </cell>
          <cell r="I966" t="str">
            <v>On Air</v>
          </cell>
          <cell r="J966" t="str">
            <v>Indoor</v>
          </cell>
          <cell r="K966" t="str">
            <v>AC</v>
          </cell>
          <cell r="L966" t="str">
            <v>I-Eng</v>
          </cell>
          <cell r="M966" t="str">
            <v>Kousseri</v>
          </cell>
          <cell r="N966" t="str">
            <v>LOGONE ET CHARI</v>
          </cell>
          <cell r="O966" t="str">
            <v>WAZA</v>
          </cell>
          <cell r="P966" t="str">
            <v>Renaud Omog</v>
          </cell>
          <cell r="Q966">
            <v>677549882</v>
          </cell>
          <cell r="R966">
            <v>655999882</v>
          </cell>
          <cell r="S966" t="str">
            <v>Alain Etoundi</v>
          </cell>
          <cell r="T966" t="str">
            <v>Valeur HOUELL</v>
          </cell>
          <cell r="U966" t="str">
            <v>I H S</v>
          </cell>
        </row>
        <row r="967">
          <cell r="A967" t="str">
            <v>EXN_035</v>
          </cell>
          <cell r="B967" t="str">
            <v>IHS_KSR_008</v>
          </cell>
          <cell r="C967" t="str">
            <v>EXN_035</v>
          </cell>
          <cell r="D967" t="str">
            <v>North</v>
          </cell>
          <cell r="E967" t="str">
            <v>Far North</v>
          </cell>
          <cell r="F967" t="str">
            <v>Maltam</v>
          </cell>
          <cell r="G967" t="str">
            <v>P2</v>
          </cell>
          <cell r="H967" t="str">
            <v>Solar-Gen</v>
          </cell>
          <cell r="I967" t="str">
            <v>On Air</v>
          </cell>
          <cell r="J967" t="str">
            <v>Indoor</v>
          </cell>
          <cell r="K967" t="str">
            <v>AC</v>
          </cell>
          <cell r="L967" t="str">
            <v>I-Eng</v>
          </cell>
          <cell r="M967" t="str">
            <v>Kousseri</v>
          </cell>
          <cell r="N967" t="str">
            <v>LOGONE ET CHARI</v>
          </cell>
          <cell r="O967" t="str">
            <v>MAKARY</v>
          </cell>
          <cell r="P967" t="str">
            <v>Renaud Omog</v>
          </cell>
          <cell r="Q967">
            <v>677549882</v>
          </cell>
          <cell r="R967">
            <v>655999882</v>
          </cell>
          <cell r="S967" t="str">
            <v>Alain Etoundi</v>
          </cell>
          <cell r="T967" t="str">
            <v>Valeur HOUELL</v>
          </cell>
          <cell r="U967" t="str">
            <v>I H S</v>
          </cell>
        </row>
        <row r="968">
          <cell r="A968" t="str">
            <v>EXN_807</v>
          </cell>
          <cell r="B968" t="str">
            <v>IHS_KSR_013</v>
          </cell>
          <cell r="C968" t="str">
            <v>EXN_807</v>
          </cell>
          <cell r="D968" t="str">
            <v>North</v>
          </cell>
          <cell r="E968" t="str">
            <v>Far North</v>
          </cell>
          <cell r="F968" t="str">
            <v>Dabanga</v>
          </cell>
          <cell r="G968" t="str">
            <v>P2</v>
          </cell>
          <cell r="H968" t="str">
            <v>Solar-Grid-Gen</v>
          </cell>
          <cell r="I968" t="str">
            <v>On Air</v>
          </cell>
          <cell r="J968" t="str">
            <v>Indoor</v>
          </cell>
          <cell r="K968" t="str">
            <v>AC</v>
          </cell>
          <cell r="L968" t="str">
            <v>I-Eng</v>
          </cell>
          <cell r="M968" t="str">
            <v>Kousseri</v>
          </cell>
          <cell r="N968" t="str">
            <v>LOGONE ET CHARI</v>
          </cell>
          <cell r="O968" t="str">
            <v>COMMUNE DE LOGONE BIRNI</v>
          </cell>
          <cell r="P968" t="str">
            <v>Renaud Omog</v>
          </cell>
          <cell r="Q968">
            <v>677549882</v>
          </cell>
          <cell r="R968">
            <v>655999882</v>
          </cell>
          <cell r="S968" t="str">
            <v>Alain Etoundi</v>
          </cell>
          <cell r="T968" t="str">
            <v>Valeur HOUELL</v>
          </cell>
          <cell r="U968" t="str">
            <v>I H S</v>
          </cell>
        </row>
        <row r="969">
          <cell r="A969" t="str">
            <v>EXN_064</v>
          </cell>
          <cell r="B969" t="str">
            <v>IHS_KSR_002</v>
          </cell>
          <cell r="C969" t="str">
            <v>EXN_064</v>
          </cell>
          <cell r="D969" t="str">
            <v>North</v>
          </cell>
          <cell r="E969" t="str">
            <v>Far North</v>
          </cell>
          <cell r="F969" t="str">
            <v>Kousseri-Ville</v>
          </cell>
          <cell r="G969" t="str">
            <v>P4</v>
          </cell>
          <cell r="H969" t="str">
            <v>Grid-Gen</v>
          </cell>
          <cell r="I969" t="str">
            <v>On Air</v>
          </cell>
          <cell r="J969" t="str">
            <v>Outdoor</v>
          </cell>
          <cell r="K969" t="str">
            <v>AC</v>
          </cell>
          <cell r="L969" t="str">
            <v>I-Eng</v>
          </cell>
          <cell r="M969" t="str">
            <v>Kousseri</v>
          </cell>
          <cell r="N969" t="str">
            <v>LOGONE ET CHARI</v>
          </cell>
          <cell r="O969" t="str">
            <v>KOUSSERI</v>
          </cell>
          <cell r="P969" t="str">
            <v>Renaud Omog</v>
          </cell>
          <cell r="Q969">
            <v>677549882</v>
          </cell>
          <cell r="R969">
            <v>655999882</v>
          </cell>
          <cell r="S969" t="str">
            <v>Alain Etoundi</v>
          </cell>
          <cell r="T969" t="str">
            <v>Valeur HOUELL</v>
          </cell>
          <cell r="U969" t="str">
            <v>I H S</v>
          </cell>
        </row>
        <row r="970">
          <cell r="A970" t="str">
            <v>EXN_094</v>
          </cell>
          <cell r="B970" t="str">
            <v>IHS_KSR_004</v>
          </cell>
          <cell r="C970" t="str">
            <v>EXN_094</v>
          </cell>
          <cell r="D970" t="str">
            <v>North</v>
          </cell>
          <cell r="E970" t="str">
            <v>Far North</v>
          </cell>
          <cell r="F970" t="str">
            <v>Kousseri-Lacka</v>
          </cell>
          <cell r="G970" t="str">
            <v>P4</v>
          </cell>
          <cell r="H970" t="str">
            <v>Grid-Gen</v>
          </cell>
          <cell r="I970" t="str">
            <v>On Air</v>
          </cell>
          <cell r="J970" t="str">
            <v>Outdoor</v>
          </cell>
          <cell r="K970" t="str">
            <v>AC</v>
          </cell>
          <cell r="L970" t="str">
            <v>I-Eng</v>
          </cell>
          <cell r="M970" t="str">
            <v>Kousseri</v>
          </cell>
          <cell r="N970" t="str">
            <v>LOGONE ET CHARI</v>
          </cell>
          <cell r="O970" t="str">
            <v>KOUSSERI</v>
          </cell>
          <cell r="P970" t="str">
            <v>Renaud Omog</v>
          </cell>
          <cell r="Q970">
            <v>677549882</v>
          </cell>
          <cell r="R970">
            <v>655999882</v>
          </cell>
          <cell r="S970" t="str">
            <v>Alain Etoundi</v>
          </cell>
          <cell r="T970" t="str">
            <v>Valeur HOUELL</v>
          </cell>
          <cell r="U970" t="str">
            <v>I H S</v>
          </cell>
        </row>
        <row r="971">
          <cell r="A971" t="str">
            <v>EXN_010</v>
          </cell>
          <cell r="B971" t="str">
            <v>IHS_KSR_007</v>
          </cell>
          <cell r="C971" t="str">
            <v>EXN_010</v>
          </cell>
          <cell r="D971" t="str">
            <v>North</v>
          </cell>
          <cell r="E971" t="str">
            <v>Far North</v>
          </cell>
          <cell r="F971" t="str">
            <v>Kousseri-Sarra</v>
          </cell>
          <cell r="G971" t="str">
            <v>P4</v>
          </cell>
          <cell r="H971" t="str">
            <v>Grid-Gen</v>
          </cell>
          <cell r="I971" t="str">
            <v>On Air</v>
          </cell>
          <cell r="J971" t="str">
            <v>Indoor</v>
          </cell>
          <cell r="K971" t="str">
            <v>AC</v>
          </cell>
          <cell r="L971" t="str">
            <v>I-Eng</v>
          </cell>
          <cell r="M971" t="str">
            <v>Kousseri</v>
          </cell>
          <cell r="N971" t="str">
            <v>LOGONE ET CHARI</v>
          </cell>
          <cell r="O971" t="str">
            <v>KOUSSERI</v>
          </cell>
          <cell r="P971" t="str">
            <v>Renaud Omog</v>
          </cell>
          <cell r="Q971">
            <v>677549882</v>
          </cell>
          <cell r="R971">
            <v>655999882</v>
          </cell>
          <cell r="S971" t="str">
            <v>Alain Etoundi</v>
          </cell>
          <cell r="T971" t="str">
            <v>Valeur HOUELL</v>
          </cell>
          <cell r="U971" t="str">
            <v>I H S</v>
          </cell>
        </row>
        <row r="972">
          <cell r="A972" t="str">
            <v>EXN_051</v>
          </cell>
          <cell r="B972" t="str">
            <v>IHS_KSR_011</v>
          </cell>
          <cell r="C972" t="str">
            <v>EXN_051</v>
          </cell>
          <cell r="D972" t="str">
            <v>North</v>
          </cell>
          <cell r="E972" t="str">
            <v>Far North</v>
          </cell>
          <cell r="F972" t="str">
            <v>Logone-Birni</v>
          </cell>
          <cell r="G972" t="str">
            <v>P4</v>
          </cell>
          <cell r="H972" t="str">
            <v>Solar-Gen</v>
          </cell>
          <cell r="I972" t="str">
            <v>On Air</v>
          </cell>
          <cell r="J972" t="str">
            <v>Outdoor</v>
          </cell>
          <cell r="K972" t="str">
            <v>AC</v>
          </cell>
          <cell r="L972" t="str">
            <v>I-Eng</v>
          </cell>
          <cell r="M972" t="str">
            <v>Kousseri</v>
          </cell>
          <cell r="N972" t="str">
            <v>LOGONE ET CHARI</v>
          </cell>
          <cell r="O972" t="str">
            <v>LOGONE BIRNI</v>
          </cell>
          <cell r="P972" t="str">
            <v>Renaud Omog</v>
          </cell>
          <cell r="Q972">
            <v>677549882</v>
          </cell>
          <cell r="R972">
            <v>655999882</v>
          </cell>
          <cell r="S972" t="str">
            <v>Alain Etoundi</v>
          </cell>
          <cell r="T972" t="str">
            <v>Valeur HOUELL</v>
          </cell>
          <cell r="U972" t="str">
            <v>I H S</v>
          </cell>
        </row>
        <row r="973">
          <cell r="A973" t="str">
            <v>EXN_188</v>
          </cell>
          <cell r="B973" t="str">
            <v>IHS_KSR_118</v>
          </cell>
          <cell r="C973" t="str">
            <v>EXN_188</v>
          </cell>
          <cell r="D973" t="str">
            <v>North</v>
          </cell>
          <cell r="E973" t="str">
            <v>Far North</v>
          </cell>
          <cell r="F973" t="str">
            <v>Kousseri Parpar IHS</v>
          </cell>
          <cell r="G973" t="str">
            <v>P4</v>
          </cell>
          <cell r="H973" t="str">
            <v>Grid-Gen</v>
          </cell>
          <cell r="I973" t="str">
            <v>On Air</v>
          </cell>
          <cell r="J973" t="str">
            <v>Outdoor</v>
          </cell>
          <cell r="K973" t="str">
            <v>AC</v>
          </cell>
          <cell r="L973" t="str">
            <v>I-Eng</v>
          </cell>
          <cell r="M973" t="str">
            <v>Kousseri</v>
          </cell>
          <cell r="N973" t="str">
            <v>LOGONE ET CHARI</v>
          </cell>
          <cell r="O973" t="str">
            <v>KOUSSERI</v>
          </cell>
          <cell r="P973" t="str">
            <v>Renaud Omog</v>
          </cell>
          <cell r="Q973">
            <v>677549882</v>
          </cell>
          <cell r="R973">
            <v>655999882</v>
          </cell>
          <cell r="S973" t="str">
            <v>Alain Etoundi</v>
          </cell>
          <cell r="T973" t="str">
            <v>Valeur HOUELL</v>
          </cell>
          <cell r="U973" t="str">
            <v>I H S</v>
          </cell>
        </row>
        <row r="974">
          <cell r="A974" t="str">
            <v>EXN_138</v>
          </cell>
          <cell r="B974" t="str">
            <v>IHS_KSR_005</v>
          </cell>
          <cell r="C974" t="str">
            <v>EXN_138</v>
          </cell>
          <cell r="D974" t="str">
            <v>North</v>
          </cell>
          <cell r="E974" t="str">
            <v>Far North</v>
          </cell>
          <cell r="F974" t="str">
            <v>Kousseri MTN</v>
          </cell>
          <cell r="G974" t="str">
            <v>P4</v>
          </cell>
          <cell r="H974" t="str">
            <v>Grid-Gen</v>
          </cell>
          <cell r="I974" t="str">
            <v>On Air</v>
          </cell>
          <cell r="J974" t="str">
            <v>Outdoor</v>
          </cell>
          <cell r="K974" t="str">
            <v>AC</v>
          </cell>
          <cell r="L974" t="str">
            <v>I-Eng</v>
          </cell>
          <cell r="M974" t="str">
            <v>Kousseri</v>
          </cell>
          <cell r="N974" t="str">
            <v>LOGONE ET CHARI</v>
          </cell>
          <cell r="O974" t="str">
            <v>KOUSSERI</v>
          </cell>
          <cell r="P974" t="str">
            <v>Renaud Omog</v>
          </cell>
          <cell r="Q974">
            <v>677549882</v>
          </cell>
          <cell r="R974">
            <v>655999882</v>
          </cell>
          <cell r="S974" t="str">
            <v>Alain Etoundi</v>
          </cell>
          <cell r="T974" t="str">
            <v>Valeur HOUELL</v>
          </cell>
          <cell r="U974" t="str">
            <v>I H S</v>
          </cell>
        </row>
        <row r="975">
          <cell r="A975" t="str">
            <v>EXN_181</v>
          </cell>
          <cell r="B975" t="str">
            <v>IHS_BMD_201</v>
          </cell>
          <cell r="C975" t="str">
            <v>EXN_181</v>
          </cell>
          <cell r="D975" t="str">
            <v>North</v>
          </cell>
          <cell r="E975" t="str">
            <v>Far North</v>
          </cell>
          <cell r="F975" t="str">
            <v>Kousseri Arazai</v>
          </cell>
          <cell r="G975" t="str">
            <v>P4</v>
          </cell>
          <cell r="H975" t="str">
            <v>Grid-Gen</v>
          </cell>
          <cell r="I975" t="str">
            <v>On Air</v>
          </cell>
          <cell r="J975" t="str">
            <v>Outdoor</v>
          </cell>
          <cell r="K975" t="str">
            <v>AC</v>
          </cell>
          <cell r="L975" t="str">
            <v>I-Eng</v>
          </cell>
          <cell r="M975" t="str">
            <v>Kousseri</v>
          </cell>
          <cell r="N975" t="str">
            <v>LOGONE ET CHARI</v>
          </cell>
          <cell r="O975" t="str">
            <v>KOUSSERI</v>
          </cell>
          <cell r="P975" t="str">
            <v>Renaud Omog</v>
          </cell>
          <cell r="Q975">
            <v>677549882</v>
          </cell>
          <cell r="R975">
            <v>655999882</v>
          </cell>
          <cell r="S975" t="str">
            <v>Alain Etoundi</v>
          </cell>
          <cell r="T975" t="str">
            <v>Valeur HOUELL</v>
          </cell>
          <cell r="U975" t="str">
            <v>I H S</v>
          </cell>
        </row>
        <row r="976">
          <cell r="A976" t="str">
            <v>EXN_141</v>
          </cell>
          <cell r="B976" t="str">
            <v>IHS_KSR_006</v>
          </cell>
          <cell r="C976" t="str">
            <v>EXN_141</v>
          </cell>
          <cell r="D976" t="str">
            <v>North</v>
          </cell>
          <cell r="E976" t="str">
            <v>Far North</v>
          </cell>
          <cell r="F976" t="str">
            <v>Kousserie Nguelie</v>
          </cell>
          <cell r="G976" t="str">
            <v>P4</v>
          </cell>
          <cell r="H976" t="str">
            <v>Grid-Gen</v>
          </cell>
          <cell r="I976" t="str">
            <v>On Air</v>
          </cell>
          <cell r="J976" t="str">
            <v>Outdoor</v>
          </cell>
          <cell r="K976" t="str">
            <v>AC</v>
          </cell>
          <cell r="L976" t="str">
            <v>I-Eng</v>
          </cell>
          <cell r="M976" t="str">
            <v>Kousseri</v>
          </cell>
          <cell r="N976" t="str">
            <v>LOGONE ET CHARI</v>
          </cell>
          <cell r="O976" t="str">
            <v>KOUSSERI</v>
          </cell>
          <cell r="P976" t="str">
            <v>Renaud Omog</v>
          </cell>
          <cell r="Q976">
            <v>677549882</v>
          </cell>
          <cell r="R976">
            <v>655999882</v>
          </cell>
          <cell r="S976" t="str">
            <v>Alain Etoundi</v>
          </cell>
          <cell r="T976" t="str">
            <v>Valeur HOUELL</v>
          </cell>
          <cell r="U976" t="str">
            <v>I H S</v>
          </cell>
        </row>
        <row r="977">
          <cell r="A977" t="str">
            <v>EXN_180</v>
          </cell>
          <cell r="B977" t="str">
            <v>IHS_KSR_109</v>
          </cell>
          <cell r="C977" t="str">
            <v>EXN_180</v>
          </cell>
          <cell r="D977" t="str">
            <v>North</v>
          </cell>
          <cell r="E977" t="str">
            <v>Far North</v>
          </cell>
          <cell r="F977" t="str">
            <v>Kousseri Market</v>
          </cell>
          <cell r="G977" t="str">
            <v>P4</v>
          </cell>
          <cell r="H977" t="str">
            <v>Grid-Gen</v>
          </cell>
          <cell r="I977" t="str">
            <v>On Air</v>
          </cell>
          <cell r="J977" t="str">
            <v>Outdoor</v>
          </cell>
          <cell r="K977" t="str">
            <v>AC</v>
          </cell>
          <cell r="L977" t="str">
            <v>I-Eng</v>
          </cell>
          <cell r="M977" t="str">
            <v>Kousseri</v>
          </cell>
          <cell r="N977" t="str">
            <v>LOGONE ET CHARI</v>
          </cell>
          <cell r="O977" t="str">
            <v>KOUSSERI</v>
          </cell>
          <cell r="P977" t="str">
            <v>Renaud Omog</v>
          </cell>
          <cell r="Q977">
            <v>677549882</v>
          </cell>
          <cell r="R977">
            <v>655999882</v>
          </cell>
          <cell r="S977" t="str">
            <v>Alain Etoundi</v>
          </cell>
          <cell r="T977" t="str">
            <v>Valeur HOUELL</v>
          </cell>
          <cell r="U977" t="str">
            <v>I H S</v>
          </cell>
        </row>
        <row r="978">
          <cell r="A978" t="str">
            <v>EXN_182</v>
          </cell>
          <cell r="B978" t="str">
            <v>IHS_KSR_003</v>
          </cell>
          <cell r="C978" t="str">
            <v>EXN_182</v>
          </cell>
          <cell r="D978" t="str">
            <v>North</v>
          </cell>
          <cell r="E978" t="str">
            <v>Far North</v>
          </cell>
          <cell r="F978" t="str">
            <v>Kousseri Michedire</v>
          </cell>
          <cell r="G978" t="str">
            <v>P4</v>
          </cell>
          <cell r="H978" t="str">
            <v>Grid-Gen</v>
          </cell>
          <cell r="I978" t="str">
            <v>On Air</v>
          </cell>
          <cell r="J978" t="str">
            <v>Outdoor</v>
          </cell>
          <cell r="K978" t="str">
            <v>AC</v>
          </cell>
          <cell r="L978" t="str">
            <v>I-Eng</v>
          </cell>
          <cell r="M978" t="str">
            <v>Kousseri</v>
          </cell>
          <cell r="N978" t="str">
            <v>LOGONE ET CHARI</v>
          </cell>
          <cell r="O978" t="str">
            <v>KOUSSERI</v>
          </cell>
          <cell r="P978" t="str">
            <v>Renaud Omog</v>
          </cell>
          <cell r="Q978">
            <v>677549882</v>
          </cell>
          <cell r="R978">
            <v>655999882</v>
          </cell>
          <cell r="S978" t="str">
            <v>Alain Etoundi</v>
          </cell>
          <cell r="T978" t="str">
            <v>Valeur HOUELL</v>
          </cell>
          <cell r="U978" t="str">
            <v>I H S</v>
          </cell>
        </row>
        <row r="979">
          <cell r="A979" t="str">
            <v>EXN_109</v>
          </cell>
          <cell r="B979" t="str">
            <v>IHS_MAR_089</v>
          </cell>
          <cell r="C979" t="str">
            <v>EXN_109</v>
          </cell>
          <cell r="D979" t="str">
            <v>North</v>
          </cell>
          <cell r="E979" t="str">
            <v>Far North</v>
          </cell>
          <cell r="F979" t="str">
            <v>DOUBLE-IHS</v>
          </cell>
          <cell r="G979" t="str">
            <v>P4</v>
          </cell>
          <cell r="H979" t="str">
            <v>Grid-Gen</v>
          </cell>
          <cell r="I979" t="str">
            <v>On Air</v>
          </cell>
          <cell r="J979" t="str">
            <v>Outdoor</v>
          </cell>
          <cell r="K979" t="str">
            <v>AC</v>
          </cell>
          <cell r="L979" t="str">
            <v>I-Eng</v>
          </cell>
          <cell r="M979" t="str">
            <v>Kousseri</v>
          </cell>
          <cell r="N979" t="str">
            <v>LOGONE ET CHARI</v>
          </cell>
          <cell r="O979" t="str">
            <v>MORA</v>
          </cell>
          <cell r="P979" t="str">
            <v>Renaud Omog</v>
          </cell>
          <cell r="Q979">
            <v>677549882</v>
          </cell>
          <cell r="R979">
            <v>655999882</v>
          </cell>
          <cell r="S979" t="str">
            <v>Alain Etoundi</v>
          </cell>
          <cell r="T979" t="str">
            <v>Valeur HOUELL</v>
          </cell>
          <cell r="U979" t="str">
            <v>I H S</v>
          </cell>
        </row>
        <row r="980">
          <cell r="A980" t="str">
            <v>LIT_009</v>
          </cell>
          <cell r="B980" t="str">
            <v>IHS_DLA_076</v>
          </cell>
          <cell r="C980" t="str">
            <v>LIT_009</v>
          </cell>
          <cell r="D980" t="str">
            <v>Littoral</v>
          </cell>
          <cell r="E980" t="str">
            <v>Littoral</v>
          </cell>
          <cell r="F980" t="str">
            <v>La-Rose</v>
          </cell>
          <cell r="G980" t="str">
            <v>P2</v>
          </cell>
          <cell r="H980" t="str">
            <v>Grid-Gen</v>
          </cell>
          <cell r="I980" t="str">
            <v>On Air</v>
          </cell>
          <cell r="J980" t="str">
            <v>Indoor</v>
          </cell>
          <cell r="K980" t="str">
            <v>AC</v>
          </cell>
          <cell r="L980" t="str">
            <v>SAGEMCOM</v>
          </cell>
          <cell r="M980" t="str">
            <v>Kayo Elie</v>
          </cell>
          <cell r="N980" t="str">
            <v>WOURI</v>
          </cell>
          <cell r="O980" t="str">
            <v>Douala 1</v>
          </cell>
          <cell r="P980" t="str">
            <v>Johan Tonye</v>
          </cell>
          <cell r="Q980">
            <v>655022001</v>
          </cell>
          <cell r="R980">
            <v>652269685</v>
          </cell>
          <cell r="S980" t="str">
            <v>Valery Doudou</v>
          </cell>
          <cell r="T980" t="str">
            <v>GEORGES NAKHOUL</v>
          </cell>
          <cell r="U980" t="str">
            <v>I H S</v>
          </cell>
        </row>
        <row r="981">
          <cell r="A981" t="str">
            <v>LIT_297</v>
          </cell>
          <cell r="B981" t="str">
            <v>IHS_DLA_290</v>
          </cell>
          <cell r="C981" t="str">
            <v>LIT_297</v>
          </cell>
          <cell r="D981" t="str">
            <v>Littoral</v>
          </cell>
          <cell r="E981" t="str">
            <v>Littoral</v>
          </cell>
          <cell r="F981" t="str">
            <v>Lendi-Entree</v>
          </cell>
          <cell r="G981" t="str">
            <v>P2</v>
          </cell>
          <cell r="H981" t="str">
            <v>Grid-Gen</v>
          </cell>
          <cell r="I981" t="str">
            <v>On Air</v>
          </cell>
          <cell r="J981" t="str">
            <v>Outdoor</v>
          </cell>
          <cell r="K981" t="str">
            <v>AC</v>
          </cell>
          <cell r="L981" t="str">
            <v>SAGEMCOM</v>
          </cell>
          <cell r="M981" t="str">
            <v>Kotto</v>
          </cell>
          <cell r="N981" t="str">
            <v>WOURI</v>
          </cell>
          <cell r="O981" t="str">
            <v>Douala 5</v>
          </cell>
          <cell r="P981" t="str">
            <v>Johan Tonye</v>
          </cell>
          <cell r="Q981">
            <v>655022001</v>
          </cell>
          <cell r="R981">
            <v>652269685</v>
          </cell>
          <cell r="S981" t="str">
            <v>Valery Doudou</v>
          </cell>
          <cell r="T981" t="str">
            <v>GEORGES NAKHOUL</v>
          </cell>
          <cell r="U981" t="str">
            <v>I H S</v>
          </cell>
        </row>
        <row r="982">
          <cell r="A982" t="str">
            <v>LIT_043</v>
          </cell>
          <cell r="B982" t="str">
            <v>IHS_DLA_060</v>
          </cell>
          <cell r="C982" t="str">
            <v>LIT_043</v>
          </cell>
          <cell r="D982" t="str">
            <v>Littoral</v>
          </cell>
          <cell r="E982" t="str">
            <v>Littoral</v>
          </cell>
          <cell r="F982" t="str">
            <v>SNAC</v>
          </cell>
          <cell r="G982" t="str">
            <v>P2</v>
          </cell>
          <cell r="H982" t="str">
            <v>Grid Only</v>
          </cell>
          <cell r="I982" t="str">
            <v>On Air</v>
          </cell>
          <cell r="J982" t="str">
            <v>Indoor</v>
          </cell>
          <cell r="K982" t="str">
            <v>AC</v>
          </cell>
          <cell r="L982" t="str">
            <v>SAGEMCOM</v>
          </cell>
          <cell r="M982" t="str">
            <v>Kayo Elie</v>
          </cell>
          <cell r="N982" t="str">
            <v>WOURI</v>
          </cell>
          <cell r="O982" t="str">
            <v>Douala 1</v>
          </cell>
          <cell r="P982" t="str">
            <v>Johan Tonye</v>
          </cell>
          <cell r="Q982">
            <v>655022001</v>
          </cell>
          <cell r="R982">
            <v>652269685</v>
          </cell>
          <cell r="S982" t="str">
            <v>Valery Doudou</v>
          </cell>
          <cell r="T982" t="str">
            <v>GEORGES NAKHOUL</v>
          </cell>
          <cell r="U982" t="str">
            <v>I H S</v>
          </cell>
        </row>
        <row r="983">
          <cell r="A983" t="str">
            <v>LIT_023</v>
          </cell>
          <cell r="B983" t="str">
            <v>IHS_DLA_088</v>
          </cell>
          <cell r="C983" t="str">
            <v>LIT_023</v>
          </cell>
          <cell r="D983" t="str">
            <v>Littoral</v>
          </cell>
          <cell r="E983" t="str">
            <v>Littoral</v>
          </cell>
          <cell r="F983" t="str">
            <v>Minoterie</v>
          </cell>
          <cell r="G983" t="str">
            <v>P3</v>
          </cell>
          <cell r="H983" t="str">
            <v>Grid-Gen</v>
          </cell>
          <cell r="I983" t="str">
            <v>On Air</v>
          </cell>
          <cell r="J983" t="str">
            <v>Indoor</v>
          </cell>
          <cell r="K983" t="str">
            <v>AC</v>
          </cell>
          <cell r="L983" t="str">
            <v>SAGEMCOM</v>
          </cell>
          <cell r="M983" t="str">
            <v>Kayo Elie</v>
          </cell>
          <cell r="N983" t="str">
            <v>WOURI</v>
          </cell>
          <cell r="O983" t="str">
            <v>Douala 1</v>
          </cell>
          <cell r="P983" t="str">
            <v>Johan Tonye</v>
          </cell>
          <cell r="Q983">
            <v>655022001</v>
          </cell>
          <cell r="R983">
            <v>652269685</v>
          </cell>
          <cell r="S983" t="str">
            <v>Valery Doudou</v>
          </cell>
          <cell r="T983" t="str">
            <v>GEORGES NAKHOUL</v>
          </cell>
          <cell r="U983" t="str">
            <v>I H S</v>
          </cell>
        </row>
        <row r="984">
          <cell r="A984" t="str">
            <v>LIT_079</v>
          </cell>
          <cell r="B984" t="str">
            <v>IHS_DLA_054</v>
          </cell>
          <cell r="C984" t="str">
            <v>LIT_079</v>
          </cell>
          <cell r="D984" t="str">
            <v>Littoral</v>
          </cell>
          <cell r="E984" t="str">
            <v>Littoral</v>
          </cell>
          <cell r="F984" t="str">
            <v>Koloko</v>
          </cell>
          <cell r="G984" t="str">
            <v>P3</v>
          </cell>
          <cell r="H984" t="str">
            <v>Grid-Gen</v>
          </cell>
          <cell r="I984" t="str">
            <v>On Air</v>
          </cell>
          <cell r="J984" t="str">
            <v>Indoor</v>
          </cell>
          <cell r="K984" t="str">
            <v>AC</v>
          </cell>
          <cell r="L984" t="str">
            <v>SAGEMCOM</v>
          </cell>
          <cell r="M984" t="str">
            <v>Bonapriso</v>
          </cell>
          <cell r="N984" t="str">
            <v>WOURI</v>
          </cell>
          <cell r="O984" t="str">
            <v>Douala 2</v>
          </cell>
          <cell r="P984" t="str">
            <v>Johan Tonye</v>
          </cell>
          <cell r="Q984">
            <v>655022001</v>
          </cell>
          <cell r="R984">
            <v>652269685</v>
          </cell>
          <cell r="S984" t="str">
            <v>Valery Doudou</v>
          </cell>
          <cell r="T984" t="str">
            <v>GEORGES NAKHOUL</v>
          </cell>
          <cell r="U984" t="str">
            <v>I H S</v>
          </cell>
        </row>
        <row r="985">
          <cell r="A985" t="str">
            <v>LIT_294</v>
          </cell>
          <cell r="B985" t="str">
            <v>IHS_DLA_033</v>
          </cell>
          <cell r="C985" t="str">
            <v>LIT_294</v>
          </cell>
          <cell r="D985" t="str">
            <v>Littoral</v>
          </cell>
          <cell r="E985" t="str">
            <v>Littoral</v>
          </cell>
          <cell r="F985" t="str">
            <v>Ngodi</v>
          </cell>
          <cell r="G985" t="str">
            <v>P3</v>
          </cell>
          <cell r="H985" t="str">
            <v>Grid-Gen</v>
          </cell>
          <cell r="I985" t="str">
            <v>On Air</v>
          </cell>
          <cell r="J985" t="str">
            <v>Outdoor</v>
          </cell>
          <cell r="K985" t="str">
            <v>AC</v>
          </cell>
          <cell r="L985" t="str">
            <v>SAGEMCOM</v>
          </cell>
          <cell r="M985" t="str">
            <v>Agip</v>
          </cell>
          <cell r="N985" t="str">
            <v>WOURI</v>
          </cell>
          <cell r="O985" t="str">
            <v>Douala 2</v>
          </cell>
          <cell r="P985" t="str">
            <v>Johan Tonye</v>
          </cell>
          <cell r="Q985">
            <v>655022001</v>
          </cell>
          <cell r="R985">
            <v>652269685</v>
          </cell>
          <cell r="S985" t="str">
            <v>Valery Doudou</v>
          </cell>
          <cell r="T985" t="str">
            <v>GEORGES NAKHOUL</v>
          </cell>
          <cell r="U985" t="str">
            <v>I H S</v>
          </cell>
        </row>
        <row r="986">
          <cell r="A986" t="str">
            <v>LIT_060</v>
          </cell>
          <cell r="B986" t="str">
            <v>IHS_DLA_090</v>
          </cell>
          <cell r="C986" t="str">
            <v>LIT_060</v>
          </cell>
          <cell r="D986" t="str">
            <v>Littoral</v>
          </cell>
          <cell r="E986" t="str">
            <v>Littoral</v>
          </cell>
          <cell r="F986" t="str">
            <v>Bpriso-ASECNA</v>
          </cell>
          <cell r="G986" t="str">
            <v>P3</v>
          </cell>
          <cell r="H986" t="str">
            <v>Grid-Gen</v>
          </cell>
          <cell r="I986" t="str">
            <v>On Air</v>
          </cell>
          <cell r="J986" t="str">
            <v>Indoor</v>
          </cell>
          <cell r="K986" t="str">
            <v>AC</v>
          </cell>
          <cell r="L986" t="str">
            <v>SAGEMCOM</v>
          </cell>
          <cell r="M986" t="str">
            <v>Bonapriso</v>
          </cell>
          <cell r="N986" t="str">
            <v>WOURI</v>
          </cell>
          <cell r="O986" t="str">
            <v>Douala 2</v>
          </cell>
          <cell r="P986" t="str">
            <v>Johan Tonye</v>
          </cell>
          <cell r="Q986">
            <v>655022001</v>
          </cell>
          <cell r="R986">
            <v>652269685</v>
          </cell>
          <cell r="S986" t="str">
            <v>Valery Doudou</v>
          </cell>
          <cell r="T986" t="str">
            <v>GEORGES NAKHOUL</v>
          </cell>
          <cell r="U986" t="str">
            <v>I H S</v>
          </cell>
        </row>
        <row r="987">
          <cell r="A987" t="str">
            <v>LIT_025</v>
          </cell>
          <cell r="B987" t="str">
            <v>IHS_DLA_058</v>
          </cell>
          <cell r="C987" t="str">
            <v>LIT_025</v>
          </cell>
          <cell r="D987" t="str">
            <v>Littoral</v>
          </cell>
          <cell r="E987" t="str">
            <v>Littoral</v>
          </cell>
          <cell r="F987" t="str">
            <v>Tsekenis</v>
          </cell>
          <cell r="G987" t="str">
            <v>P3</v>
          </cell>
          <cell r="H987" t="str">
            <v>Grid-Gen</v>
          </cell>
          <cell r="I987" t="str">
            <v>On Air</v>
          </cell>
          <cell r="J987" t="str">
            <v>Indoor</v>
          </cell>
          <cell r="K987" t="str">
            <v>AC</v>
          </cell>
          <cell r="L987" t="str">
            <v>SAGEMCOM</v>
          </cell>
          <cell r="M987" t="str">
            <v>Agip</v>
          </cell>
          <cell r="N987" t="str">
            <v>WOURI</v>
          </cell>
          <cell r="O987" t="str">
            <v>Douala 1</v>
          </cell>
          <cell r="P987" t="str">
            <v>Johan Tonye</v>
          </cell>
          <cell r="Q987">
            <v>655022001</v>
          </cell>
          <cell r="R987">
            <v>652269685</v>
          </cell>
          <cell r="S987" t="str">
            <v>Valery Doudou</v>
          </cell>
          <cell r="T987" t="str">
            <v>GEORGES NAKHOUL</v>
          </cell>
          <cell r="U987" t="str">
            <v>I H S</v>
          </cell>
        </row>
        <row r="988">
          <cell r="A988" t="str">
            <v>LIT_311</v>
          </cell>
          <cell r="B988" t="str">
            <v>IHS_DLA_116</v>
          </cell>
          <cell r="C988" t="str">
            <v>LIT_311</v>
          </cell>
          <cell r="D988" t="str">
            <v>Littoral</v>
          </cell>
          <cell r="E988" t="str">
            <v>Littoral</v>
          </cell>
          <cell r="F988" t="str">
            <v>Camatrans-New</v>
          </cell>
          <cell r="G988" t="str">
            <v>P3</v>
          </cell>
          <cell r="H988" t="str">
            <v>Grid-Gen</v>
          </cell>
          <cell r="I988" t="str">
            <v>On Air</v>
          </cell>
          <cell r="J988" t="str">
            <v>Outdoor</v>
          </cell>
          <cell r="K988" t="str">
            <v>AC</v>
          </cell>
          <cell r="L988" t="str">
            <v>SAGEMCOM</v>
          </cell>
          <cell r="M988" t="str">
            <v>Kayo Elie</v>
          </cell>
          <cell r="N988" t="str">
            <v>WOURI</v>
          </cell>
          <cell r="O988" t="str">
            <v>Douala 2</v>
          </cell>
          <cell r="P988" t="str">
            <v>Johan Tonye</v>
          </cell>
          <cell r="Q988">
            <v>655022001</v>
          </cell>
          <cell r="R988">
            <v>652269685</v>
          </cell>
          <cell r="S988" t="str">
            <v>Valery Doudou</v>
          </cell>
          <cell r="T988" t="str">
            <v>GEORGES NAKHOUL</v>
          </cell>
          <cell r="U988" t="str">
            <v>I H S</v>
          </cell>
        </row>
        <row r="989">
          <cell r="A989" t="str">
            <v>LIT_106</v>
          </cell>
          <cell r="B989" t="str">
            <v>IHS_DLA_223</v>
          </cell>
          <cell r="C989" t="str">
            <v>LIT_106</v>
          </cell>
          <cell r="D989" t="str">
            <v>Littoral</v>
          </cell>
          <cell r="E989" t="str">
            <v>Littoral</v>
          </cell>
          <cell r="F989" t="str">
            <v>Denver</v>
          </cell>
          <cell r="G989" t="str">
            <v>P3</v>
          </cell>
          <cell r="H989" t="str">
            <v>Grid-Gen</v>
          </cell>
          <cell r="I989" t="str">
            <v>On Air</v>
          </cell>
          <cell r="J989" t="str">
            <v>Indoor</v>
          </cell>
          <cell r="K989" t="str">
            <v>AC</v>
          </cell>
          <cell r="L989" t="str">
            <v>SAGEMCOM</v>
          </cell>
          <cell r="M989" t="str">
            <v>Kotto</v>
          </cell>
          <cell r="N989" t="str">
            <v>WOURI</v>
          </cell>
          <cell r="O989" t="str">
            <v>Douala 5</v>
          </cell>
          <cell r="P989" t="str">
            <v>Johan Tonye</v>
          </cell>
          <cell r="Q989">
            <v>655022001</v>
          </cell>
          <cell r="R989">
            <v>652269685</v>
          </cell>
          <cell r="S989" t="str">
            <v>Valery Doudou</v>
          </cell>
          <cell r="T989" t="str">
            <v>GEORGES NAKHOUL</v>
          </cell>
          <cell r="U989" t="str">
            <v>I H S</v>
          </cell>
        </row>
        <row r="990">
          <cell r="A990" t="str">
            <v>LIT_224</v>
          </cell>
          <cell r="B990" t="str">
            <v>IHS_DLA_216</v>
          </cell>
          <cell r="C990" t="str">
            <v>LIT_224</v>
          </cell>
          <cell r="D990" t="str">
            <v>Littoral</v>
          </cell>
          <cell r="E990" t="str">
            <v>Littoral</v>
          </cell>
          <cell r="F990" t="str">
            <v>Makepe-St-Tropez</v>
          </cell>
          <cell r="G990" t="str">
            <v>P3</v>
          </cell>
          <cell r="H990" t="str">
            <v>Grid-Gen</v>
          </cell>
          <cell r="I990" t="str">
            <v>On Air</v>
          </cell>
          <cell r="J990" t="str">
            <v>Outdoor</v>
          </cell>
          <cell r="K990" t="str">
            <v>AC</v>
          </cell>
          <cell r="L990" t="str">
            <v>SAGEMCOM</v>
          </cell>
          <cell r="M990" t="str">
            <v>Kotto</v>
          </cell>
          <cell r="N990" t="str">
            <v>WOURI</v>
          </cell>
          <cell r="O990" t="str">
            <v>Douala 5</v>
          </cell>
          <cell r="P990" t="str">
            <v>Johan Tonye</v>
          </cell>
          <cell r="Q990">
            <v>655022001</v>
          </cell>
          <cell r="R990">
            <v>652269685</v>
          </cell>
          <cell r="S990" t="str">
            <v>Valery Doudou</v>
          </cell>
          <cell r="T990" t="str">
            <v>GEORGES NAKHOUL</v>
          </cell>
          <cell r="U990" t="str">
            <v>I H S</v>
          </cell>
        </row>
        <row r="991">
          <cell r="A991" t="str">
            <v>LIT_303</v>
          </cell>
          <cell r="B991" t="str">
            <v>IHS_DLA_257</v>
          </cell>
          <cell r="C991" t="str">
            <v>LIT_303</v>
          </cell>
          <cell r="D991" t="str">
            <v>Littoral</v>
          </cell>
          <cell r="E991" t="str">
            <v>Littoral</v>
          </cell>
          <cell r="F991" t="str">
            <v>Kotto-Antenne</v>
          </cell>
          <cell r="G991" t="str">
            <v>P3</v>
          </cell>
          <cell r="H991" t="str">
            <v>Grid-Gen</v>
          </cell>
          <cell r="I991" t="str">
            <v>On Air</v>
          </cell>
          <cell r="J991" t="str">
            <v>Outdoor</v>
          </cell>
          <cell r="K991" t="str">
            <v>AC</v>
          </cell>
          <cell r="L991" t="str">
            <v>SAGEMCOM</v>
          </cell>
          <cell r="M991" t="str">
            <v>Kotto</v>
          </cell>
          <cell r="N991" t="str">
            <v>WOURI</v>
          </cell>
          <cell r="O991" t="str">
            <v>Douala 5</v>
          </cell>
          <cell r="P991" t="str">
            <v>Johan Tonye</v>
          </cell>
          <cell r="Q991">
            <v>655022001</v>
          </cell>
          <cell r="R991">
            <v>652269685</v>
          </cell>
          <cell r="S991" t="str">
            <v>Valery Doudou</v>
          </cell>
          <cell r="T991" t="str">
            <v>GEORGES NAKHOUL</v>
          </cell>
          <cell r="U991" t="str">
            <v>I H S</v>
          </cell>
        </row>
        <row r="992">
          <cell r="A992" t="str">
            <v>LIT_045</v>
          </cell>
          <cell r="B992" t="str">
            <v>IHS_DLA_073</v>
          </cell>
          <cell r="C992" t="str">
            <v>LIT_045</v>
          </cell>
          <cell r="D992" t="str">
            <v>Littoral</v>
          </cell>
          <cell r="E992" t="str">
            <v>Littoral</v>
          </cell>
          <cell r="F992" t="str">
            <v>Centenaire</v>
          </cell>
          <cell r="G992" t="str">
            <v>P3</v>
          </cell>
          <cell r="H992" t="str">
            <v>Grid Only</v>
          </cell>
          <cell r="I992" t="str">
            <v>On Air</v>
          </cell>
          <cell r="J992" t="str">
            <v>Indoor</v>
          </cell>
          <cell r="K992" t="str">
            <v>AC</v>
          </cell>
          <cell r="L992" t="str">
            <v>SAGEMCOM</v>
          </cell>
          <cell r="M992" t="str">
            <v>Agip</v>
          </cell>
          <cell r="N992" t="str">
            <v>WOURI</v>
          </cell>
          <cell r="O992" t="str">
            <v>Douala 1</v>
          </cell>
          <cell r="P992" t="str">
            <v>Johan Tonye</v>
          </cell>
          <cell r="Q992">
            <v>655022001</v>
          </cell>
          <cell r="R992">
            <v>652269685</v>
          </cell>
          <cell r="S992" t="str">
            <v>Valery Doudou</v>
          </cell>
          <cell r="T992" t="str">
            <v>GEORGES NAKHOUL</v>
          </cell>
          <cell r="U992" t="str">
            <v>I H S</v>
          </cell>
        </row>
        <row r="993">
          <cell r="A993" t="str">
            <v>LIT_047</v>
          </cell>
          <cell r="B993" t="str">
            <v>IHS_DLA_043</v>
          </cell>
          <cell r="C993" t="str">
            <v>LIT_047</v>
          </cell>
          <cell r="D993" t="str">
            <v>Littoral</v>
          </cell>
          <cell r="E993" t="str">
            <v>Littoral</v>
          </cell>
          <cell r="F993" t="str">
            <v>Kayo-Elie</v>
          </cell>
          <cell r="G993" t="str">
            <v>P3</v>
          </cell>
          <cell r="H993" t="str">
            <v>Grid-Gen</v>
          </cell>
          <cell r="I993" t="str">
            <v>On Air</v>
          </cell>
          <cell r="J993" t="str">
            <v>Indoor</v>
          </cell>
          <cell r="K993" t="str">
            <v>AC</v>
          </cell>
          <cell r="L993" t="str">
            <v>SAGEMCOM</v>
          </cell>
          <cell r="M993" t="str">
            <v>Bonapriso</v>
          </cell>
          <cell r="N993" t="str">
            <v>WOURI</v>
          </cell>
          <cell r="O993" t="str">
            <v>Douala 1</v>
          </cell>
          <cell r="P993" t="str">
            <v>Johan Tonye</v>
          </cell>
          <cell r="Q993">
            <v>655022001</v>
          </cell>
          <cell r="R993">
            <v>652269685</v>
          </cell>
          <cell r="S993" t="str">
            <v>Valery Doudou</v>
          </cell>
          <cell r="T993" t="str">
            <v>GEORGES NAKHOUL</v>
          </cell>
          <cell r="U993" t="str">
            <v>I H S</v>
          </cell>
        </row>
        <row r="994">
          <cell r="A994" t="str">
            <v>LIT_126</v>
          </cell>
          <cell r="B994" t="str">
            <v>IHS_DLA_020</v>
          </cell>
          <cell r="C994" t="str">
            <v>LIT_126</v>
          </cell>
          <cell r="D994" t="str">
            <v>Littoral</v>
          </cell>
          <cell r="E994" t="str">
            <v>Littoral</v>
          </cell>
          <cell r="F994" t="str">
            <v>Bonadibong</v>
          </cell>
          <cell r="G994" t="str">
            <v>P3</v>
          </cell>
          <cell r="H994" t="str">
            <v>Grid-Gen</v>
          </cell>
          <cell r="I994" t="str">
            <v>On Air</v>
          </cell>
          <cell r="J994" t="str">
            <v>Indoor</v>
          </cell>
          <cell r="K994" t="str">
            <v>AC</v>
          </cell>
          <cell r="L994" t="str">
            <v>SAGEMCOM</v>
          </cell>
          <cell r="M994" t="str">
            <v>Bonapriso</v>
          </cell>
          <cell r="N994" t="str">
            <v>WOURI</v>
          </cell>
          <cell r="O994" t="str">
            <v>Douala 1</v>
          </cell>
          <cell r="P994" t="str">
            <v>Johan Tonye</v>
          </cell>
          <cell r="Q994">
            <v>655022001</v>
          </cell>
          <cell r="R994">
            <v>652269685</v>
          </cell>
          <cell r="S994" t="str">
            <v>Valery Doudou</v>
          </cell>
          <cell r="T994" t="str">
            <v>GEORGES NAKHOUL</v>
          </cell>
          <cell r="U994" t="str">
            <v>I H S</v>
          </cell>
        </row>
        <row r="995">
          <cell r="A995" t="str">
            <v>LIT_090</v>
          </cell>
          <cell r="B995" t="str">
            <v>IHS_DLA_024</v>
          </cell>
          <cell r="C995" t="str">
            <v>LIT_090</v>
          </cell>
          <cell r="D995" t="str">
            <v>Littoral</v>
          </cell>
          <cell r="E995" t="str">
            <v>Littoral</v>
          </cell>
          <cell r="F995" t="str">
            <v>Newb-Mairie</v>
          </cell>
          <cell r="G995" t="str">
            <v>P3</v>
          </cell>
          <cell r="H995" t="str">
            <v>Grid-Gen</v>
          </cell>
          <cell r="I995" t="str">
            <v>On Air</v>
          </cell>
          <cell r="J995" t="str">
            <v>Indoor</v>
          </cell>
          <cell r="K995" t="str">
            <v>AC</v>
          </cell>
          <cell r="L995" t="str">
            <v>SAGEMCOM</v>
          </cell>
          <cell r="M995" t="str">
            <v>Bonapriso</v>
          </cell>
          <cell r="N995" t="str">
            <v>WOURI</v>
          </cell>
          <cell r="O995" t="str">
            <v>Douala 2</v>
          </cell>
          <cell r="P995" t="str">
            <v>Johan Tonye</v>
          </cell>
          <cell r="Q995">
            <v>655022001</v>
          </cell>
          <cell r="R995">
            <v>652269685</v>
          </cell>
          <cell r="S995" t="str">
            <v>Valery Doudou</v>
          </cell>
          <cell r="T995" t="str">
            <v>GEORGES NAKHOUL</v>
          </cell>
          <cell r="U995" t="str">
            <v>I H S</v>
          </cell>
        </row>
        <row r="996">
          <cell r="A996" t="str">
            <v>LIT_087</v>
          </cell>
          <cell r="B996" t="str">
            <v>IHS_DLA_048</v>
          </cell>
          <cell r="C996" t="str">
            <v>LIT_087</v>
          </cell>
          <cell r="D996" t="str">
            <v>Littoral</v>
          </cell>
          <cell r="E996" t="str">
            <v>Littoral</v>
          </cell>
          <cell r="F996" t="str">
            <v>Wouri</v>
          </cell>
          <cell r="G996" t="str">
            <v>P3</v>
          </cell>
          <cell r="H996" t="str">
            <v>Grid-Gen</v>
          </cell>
          <cell r="I996" t="str">
            <v>On Air</v>
          </cell>
          <cell r="J996" t="str">
            <v>Indoor</v>
          </cell>
          <cell r="K996" t="str">
            <v>AC</v>
          </cell>
          <cell r="L996" t="str">
            <v>SAGEMCOM</v>
          </cell>
          <cell r="M996" t="str">
            <v>Agip</v>
          </cell>
          <cell r="N996" t="str">
            <v>WOURI</v>
          </cell>
          <cell r="O996" t="str">
            <v>Douala 1</v>
          </cell>
          <cell r="P996" t="str">
            <v>Johan Tonye</v>
          </cell>
          <cell r="Q996">
            <v>655022001</v>
          </cell>
          <cell r="R996">
            <v>652269685</v>
          </cell>
          <cell r="S996" t="str">
            <v>Valery Doudou</v>
          </cell>
          <cell r="T996" t="str">
            <v>GEORGES NAKHOUL</v>
          </cell>
          <cell r="U996" t="str">
            <v>I H S</v>
          </cell>
        </row>
        <row r="997">
          <cell r="A997" t="str">
            <v>LIT_446</v>
          </cell>
          <cell r="B997" t="str">
            <v>IHS_DLA_432</v>
          </cell>
          <cell r="C997" t="str">
            <v>LIT_446</v>
          </cell>
          <cell r="D997" t="str">
            <v>Littoral</v>
          </cell>
          <cell r="E997" t="str">
            <v>Littoral</v>
          </cell>
          <cell r="F997" t="str">
            <v>Bonamoussadi Hôpital</v>
          </cell>
          <cell r="G997" t="str">
            <v>P3</v>
          </cell>
          <cell r="H997" t="str">
            <v>Grid-Gen</v>
          </cell>
          <cell r="I997" t="str">
            <v>On Air</v>
          </cell>
          <cell r="J997" t="str">
            <v>Outdoor</v>
          </cell>
          <cell r="K997" t="str">
            <v>AC</v>
          </cell>
          <cell r="L997" t="str">
            <v>SAGEMCOM</v>
          </cell>
          <cell r="M997" t="str">
            <v>Kotto</v>
          </cell>
          <cell r="N997" t="str">
            <v>WOURI</v>
          </cell>
          <cell r="O997" t="str">
            <v>Douala 5</v>
          </cell>
          <cell r="P997" t="str">
            <v>Johan Tonye</v>
          </cell>
          <cell r="Q997">
            <v>655022001</v>
          </cell>
          <cell r="R997">
            <v>652269685</v>
          </cell>
          <cell r="S997" t="str">
            <v>Valery Doudou</v>
          </cell>
          <cell r="T997" t="str">
            <v>GEORGES NAKHOUL</v>
          </cell>
          <cell r="U997" t="str">
            <v>I H S</v>
          </cell>
        </row>
        <row r="998">
          <cell r="A998" t="str">
            <v>LIT_453</v>
          </cell>
          <cell r="B998" t="str">
            <v>IHS_DLA_454</v>
          </cell>
          <cell r="C998" t="str">
            <v>LIT_453</v>
          </cell>
          <cell r="D998" t="str">
            <v>Littoral</v>
          </cell>
          <cell r="E998" t="str">
            <v>Littoral</v>
          </cell>
          <cell r="F998" t="str">
            <v>Avenue de Gaulle</v>
          </cell>
          <cell r="G998" t="str">
            <v>P3</v>
          </cell>
          <cell r="H998" t="str">
            <v>Grid Only</v>
          </cell>
          <cell r="I998" t="str">
            <v>On Air</v>
          </cell>
          <cell r="J998" t="str">
            <v>Outdoor</v>
          </cell>
          <cell r="K998" t="str">
            <v>AC</v>
          </cell>
          <cell r="L998" t="str">
            <v>SAGEMCOM</v>
          </cell>
          <cell r="M998" t="str">
            <v>Kayo Elie</v>
          </cell>
          <cell r="N998" t="str">
            <v>WOURI</v>
          </cell>
          <cell r="O998" t="str">
            <v>Douala 1</v>
          </cell>
          <cell r="P998" t="str">
            <v>Johan Tonye</v>
          </cell>
          <cell r="Q998">
            <v>655022001</v>
          </cell>
          <cell r="R998">
            <v>652269685</v>
          </cell>
          <cell r="S998" t="str">
            <v>Valery Doudou</v>
          </cell>
          <cell r="T998" t="str">
            <v>GEORGES NAKHOUL</v>
          </cell>
          <cell r="U998" t="str">
            <v>I H S</v>
          </cell>
        </row>
        <row r="999">
          <cell r="A999" t="str">
            <v>LIT_247</v>
          </cell>
          <cell r="B999" t="str">
            <v>IHS_DLA_255</v>
          </cell>
          <cell r="C999" t="str">
            <v>LIT_247</v>
          </cell>
          <cell r="D999" t="str">
            <v>Littoral</v>
          </cell>
          <cell r="E999" t="str">
            <v>Littoral</v>
          </cell>
          <cell r="F999" t="str">
            <v>Bsadi-BlocJ</v>
          </cell>
          <cell r="G999" t="str">
            <v>P3</v>
          </cell>
          <cell r="H999" t="str">
            <v>Grid-Gen</v>
          </cell>
          <cell r="I999" t="str">
            <v>On Air</v>
          </cell>
          <cell r="J999" t="str">
            <v>Outdoor</v>
          </cell>
          <cell r="K999" t="str">
            <v>AC</v>
          </cell>
          <cell r="L999" t="str">
            <v>SAGEMCOM</v>
          </cell>
          <cell r="M999" t="str">
            <v>Kotto</v>
          </cell>
          <cell r="N999" t="str">
            <v>WOURI</v>
          </cell>
          <cell r="O999" t="str">
            <v>Douala 5</v>
          </cell>
          <cell r="P999" t="str">
            <v>Johan Tonye</v>
          </cell>
          <cell r="Q999">
            <v>655022001</v>
          </cell>
          <cell r="R999">
            <v>652269685</v>
          </cell>
          <cell r="S999" t="str">
            <v>Valery Doudou</v>
          </cell>
          <cell r="T999" t="str">
            <v>GEORGES NAKHOUL</v>
          </cell>
          <cell r="U999" t="str">
            <v>I H S</v>
          </cell>
        </row>
        <row r="1000">
          <cell r="A1000" t="str">
            <v>LIT_242</v>
          </cell>
          <cell r="B1000" t="str">
            <v>IHS_DLA_049</v>
          </cell>
          <cell r="C1000" t="str">
            <v>LIT_242</v>
          </cell>
          <cell r="D1000" t="str">
            <v>Littoral</v>
          </cell>
          <cell r="E1000" t="str">
            <v>Littoral</v>
          </cell>
          <cell r="F1000" t="str">
            <v>SABC-Bali</v>
          </cell>
          <cell r="G1000" t="str">
            <v>P3</v>
          </cell>
          <cell r="H1000" t="str">
            <v>Grid-Gen</v>
          </cell>
          <cell r="I1000" t="str">
            <v>On Air</v>
          </cell>
          <cell r="J1000" t="str">
            <v>Outdoor</v>
          </cell>
          <cell r="K1000" t="str">
            <v>AC</v>
          </cell>
          <cell r="L1000" t="str">
            <v>SAGEMCOM</v>
          </cell>
          <cell r="M1000" t="str">
            <v>Bonapriso</v>
          </cell>
          <cell r="N1000" t="str">
            <v>WOURI</v>
          </cell>
          <cell r="O1000" t="str">
            <v>Douala 1</v>
          </cell>
          <cell r="P1000" t="str">
            <v>Johan Tonye</v>
          </cell>
          <cell r="Q1000">
            <v>655022001</v>
          </cell>
          <cell r="R1000">
            <v>652269685</v>
          </cell>
          <cell r="S1000" t="str">
            <v>Valery Doudou</v>
          </cell>
          <cell r="T1000" t="str">
            <v>GEORGES NAKHOUL</v>
          </cell>
          <cell r="U1000" t="str">
            <v>I H S</v>
          </cell>
        </row>
        <row r="1001">
          <cell r="A1001" t="str">
            <v>LIT_413</v>
          </cell>
          <cell r="B1001" t="str">
            <v>IHS_DLA_001</v>
          </cell>
          <cell r="C1001" t="str">
            <v>LIT_413</v>
          </cell>
          <cell r="D1001" t="str">
            <v>Littoral</v>
          </cell>
          <cell r="E1001" t="str">
            <v>Littoral</v>
          </cell>
          <cell r="F1001" t="str">
            <v>Bali-Koumassi</v>
          </cell>
          <cell r="G1001" t="str">
            <v>P3</v>
          </cell>
          <cell r="H1001" t="str">
            <v>Grid-Gen</v>
          </cell>
          <cell r="I1001" t="str">
            <v>On Air</v>
          </cell>
          <cell r="J1001" t="str">
            <v>Outdoor</v>
          </cell>
          <cell r="K1001" t="str">
            <v>AC</v>
          </cell>
          <cell r="L1001" t="str">
            <v>SAGEMCOM</v>
          </cell>
          <cell r="M1001" t="str">
            <v>Kayo Elie</v>
          </cell>
          <cell r="N1001" t="str">
            <v>WOURI</v>
          </cell>
          <cell r="O1001" t="str">
            <v>Douala 1</v>
          </cell>
          <cell r="P1001" t="str">
            <v>Johan Tonye</v>
          </cell>
          <cell r="Q1001">
            <v>655022001</v>
          </cell>
          <cell r="R1001">
            <v>652269685</v>
          </cell>
          <cell r="S1001" t="str">
            <v>Valery Doudou</v>
          </cell>
          <cell r="T1001" t="str">
            <v>GEORGES NAKHOUL</v>
          </cell>
          <cell r="U1001" t="str">
            <v>I H S</v>
          </cell>
        </row>
        <row r="1002">
          <cell r="A1002" t="str">
            <v>LIT_099</v>
          </cell>
          <cell r="B1002" t="str">
            <v>IHS_DLA_087</v>
          </cell>
          <cell r="C1002" t="str">
            <v>LIT_099</v>
          </cell>
          <cell r="D1002" t="str">
            <v>Littoral</v>
          </cell>
          <cell r="E1002" t="str">
            <v>Littoral</v>
          </cell>
          <cell r="F1002" t="str">
            <v>H-Sawa</v>
          </cell>
          <cell r="G1002" t="str">
            <v>P3</v>
          </cell>
          <cell r="H1002" t="str">
            <v>Grid Only</v>
          </cell>
          <cell r="I1002" t="str">
            <v>On Air</v>
          </cell>
          <cell r="J1002" t="str">
            <v>Indoor</v>
          </cell>
          <cell r="K1002" t="str">
            <v>AC</v>
          </cell>
          <cell r="L1002" t="str">
            <v>SAGEMCOM</v>
          </cell>
          <cell r="M1002" t="str">
            <v>Kayo Elie</v>
          </cell>
          <cell r="N1002" t="str">
            <v>WOURI</v>
          </cell>
          <cell r="O1002" t="str">
            <v>Douala 1</v>
          </cell>
          <cell r="P1002" t="str">
            <v>Johan Tonye</v>
          </cell>
          <cell r="Q1002">
            <v>655022001</v>
          </cell>
          <cell r="R1002">
            <v>652269685</v>
          </cell>
          <cell r="S1002" t="str">
            <v>Valery Doudou</v>
          </cell>
          <cell r="T1002" t="str">
            <v>GEORGES NAKHOUL</v>
          </cell>
          <cell r="U1002" t="str">
            <v>I H S</v>
          </cell>
        </row>
        <row r="1003">
          <cell r="A1003" t="str">
            <v>LIT_065</v>
          </cell>
          <cell r="B1003" t="str">
            <v>IHS_DLA_036</v>
          </cell>
          <cell r="C1003" t="str">
            <v>LIT_065</v>
          </cell>
          <cell r="D1003" t="str">
            <v>Littoral</v>
          </cell>
          <cell r="E1003" t="str">
            <v>Littoral</v>
          </cell>
          <cell r="F1003" t="str">
            <v>H-Lumiere</v>
          </cell>
          <cell r="G1003" t="str">
            <v>P3</v>
          </cell>
          <cell r="H1003" t="str">
            <v>Grid Only</v>
          </cell>
          <cell r="I1003" t="str">
            <v>On Air</v>
          </cell>
          <cell r="J1003" t="str">
            <v>Indoor</v>
          </cell>
          <cell r="K1003" t="str">
            <v>AC</v>
          </cell>
          <cell r="L1003" t="str">
            <v>SAGEMCOM</v>
          </cell>
          <cell r="M1003" t="str">
            <v>Agip</v>
          </cell>
          <cell r="N1003" t="str">
            <v>WOURI</v>
          </cell>
          <cell r="O1003" t="str">
            <v>Douala 1</v>
          </cell>
          <cell r="P1003" t="str">
            <v>Johan Tonye</v>
          </cell>
          <cell r="Q1003">
            <v>655022001</v>
          </cell>
          <cell r="R1003">
            <v>652269685</v>
          </cell>
          <cell r="S1003" t="str">
            <v>Valery Doudou</v>
          </cell>
          <cell r="T1003" t="str">
            <v>GEORGES NAKHOUL</v>
          </cell>
          <cell r="U1003" t="str">
            <v>I H S</v>
          </cell>
        </row>
        <row r="1004">
          <cell r="A1004" t="str">
            <v>LIT_008</v>
          </cell>
          <cell r="B1004" t="str">
            <v>IHS_DLA_010</v>
          </cell>
          <cell r="C1004" t="str">
            <v>LIT_008</v>
          </cell>
          <cell r="D1004" t="str">
            <v>Littoral</v>
          </cell>
          <cell r="E1004" t="str">
            <v>Littoral</v>
          </cell>
          <cell r="F1004" t="str">
            <v>Hila</v>
          </cell>
          <cell r="G1004" t="str">
            <v>P3</v>
          </cell>
          <cell r="H1004" t="str">
            <v>Grid Only</v>
          </cell>
          <cell r="I1004" t="str">
            <v>On Air</v>
          </cell>
          <cell r="J1004" t="str">
            <v>Indoor</v>
          </cell>
          <cell r="K1004" t="str">
            <v>AC</v>
          </cell>
          <cell r="L1004" t="str">
            <v>SAGEMCOM</v>
          </cell>
          <cell r="M1004" t="str">
            <v>Bonapriso</v>
          </cell>
          <cell r="N1004" t="str">
            <v>WOURI</v>
          </cell>
          <cell r="O1004" t="str">
            <v>Douala 1</v>
          </cell>
          <cell r="P1004" t="str">
            <v>Johan Tonye</v>
          </cell>
          <cell r="Q1004">
            <v>655022001</v>
          </cell>
          <cell r="R1004">
            <v>652269685</v>
          </cell>
          <cell r="S1004" t="str">
            <v>Valery Doudou</v>
          </cell>
          <cell r="T1004" t="str">
            <v>GEORGES NAKHOUL</v>
          </cell>
          <cell r="U1004" t="str">
            <v>I H S</v>
          </cell>
        </row>
        <row r="1005">
          <cell r="A1005" t="str">
            <v>LIT_367</v>
          </cell>
          <cell r="B1005" t="str">
            <v>IHS_DLA_074</v>
          </cell>
          <cell r="C1005" t="str">
            <v>LIT_367</v>
          </cell>
          <cell r="D1005" t="str">
            <v>Littoral</v>
          </cell>
          <cell r="E1005" t="str">
            <v>Littoral</v>
          </cell>
          <cell r="F1005" t="str">
            <v>Activa-Akwa</v>
          </cell>
          <cell r="G1005" t="str">
            <v>P3</v>
          </cell>
          <cell r="H1005" t="str">
            <v>Grid Only</v>
          </cell>
          <cell r="I1005" t="str">
            <v>On Air</v>
          </cell>
          <cell r="J1005" t="str">
            <v>Outdoor</v>
          </cell>
          <cell r="K1005" t="str">
            <v>AC</v>
          </cell>
          <cell r="L1005" t="str">
            <v>SAGEMCOM</v>
          </cell>
          <cell r="M1005" t="str">
            <v>Agip</v>
          </cell>
          <cell r="N1005" t="str">
            <v>WOURI</v>
          </cell>
          <cell r="O1005" t="str">
            <v>Douala 1</v>
          </cell>
          <cell r="P1005" t="str">
            <v>Johan Tonye</v>
          </cell>
          <cell r="Q1005">
            <v>655022001</v>
          </cell>
          <cell r="R1005">
            <v>652269685</v>
          </cell>
          <cell r="S1005" t="str">
            <v>Valery Doudou</v>
          </cell>
          <cell r="T1005" t="str">
            <v>GEORGES NAKHOUL</v>
          </cell>
          <cell r="U1005" t="str">
            <v>I H S</v>
          </cell>
        </row>
        <row r="1006">
          <cell r="A1006" t="str">
            <v>LIT_171</v>
          </cell>
          <cell r="B1006" t="str">
            <v>IHS_MBG_029</v>
          </cell>
          <cell r="C1006" t="str">
            <v>LIT_171</v>
          </cell>
          <cell r="D1006" t="str">
            <v>Littoral</v>
          </cell>
          <cell r="E1006" t="str">
            <v>Littoral</v>
          </cell>
          <cell r="F1006" t="str">
            <v>Santa Barbara New</v>
          </cell>
          <cell r="G1006" t="str">
            <v>P3</v>
          </cell>
          <cell r="H1006" t="str">
            <v>Grid Only</v>
          </cell>
          <cell r="I1006" t="str">
            <v>On Air</v>
          </cell>
          <cell r="J1006" t="str">
            <v>Outdoor</v>
          </cell>
          <cell r="K1006" t="str">
            <v>AC</v>
          </cell>
          <cell r="L1006" t="str">
            <v>SAGEMCOM</v>
          </cell>
          <cell r="M1006" t="str">
            <v>Kotto</v>
          </cell>
          <cell r="N1006" t="str">
            <v>WOURI</v>
          </cell>
          <cell r="O1006" t="str">
            <v>Douala 5</v>
          </cell>
          <cell r="P1006" t="str">
            <v>Johan Tonye</v>
          </cell>
          <cell r="Q1006">
            <v>655022001</v>
          </cell>
          <cell r="R1006">
            <v>652269685</v>
          </cell>
          <cell r="S1006" t="str">
            <v>Valery Doudou</v>
          </cell>
          <cell r="T1006" t="str">
            <v>GEORGES NAKHOUL</v>
          </cell>
          <cell r="U1006" t="str">
            <v>I H S</v>
          </cell>
        </row>
        <row r="1007">
          <cell r="A1007" t="str">
            <v>LIT_427</v>
          </cell>
          <cell r="B1007" t="str">
            <v>IHS_DLA_050</v>
          </cell>
          <cell r="C1007" t="str">
            <v>LIT_427</v>
          </cell>
          <cell r="D1007" t="str">
            <v>Littoral</v>
          </cell>
          <cell r="E1007" t="str">
            <v>Littoral</v>
          </cell>
          <cell r="F1007" t="str">
            <v>Lycee technique Koumassi</v>
          </cell>
          <cell r="G1007" t="str">
            <v>P3</v>
          </cell>
          <cell r="H1007" t="str">
            <v>Grid-Gen</v>
          </cell>
          <cell r="I1007" t="str">
            <v>On Air</v>
          </cell>
          <cell r="J1007" t="str">
            <v>Indoor</v>
          </cell>
          <cell r="K1007" t="str">
            <v>AC</v>
          </cell>
          <cell r="L1007" t="str">
            <v>SAGEMCOM</v>
          </cell>
          <cell r="M1007" t="str">
            <v>Kayo Elie</v>
          </cell>
          <cell r="N1007" t="str">
            <v>WOURI</v>
          </cell>
          <cell r="O1007" t="str">
            <v>Douala 1</v>
          </cell>
          <cell r="P1007" t="str">
            <v>Johan Tonye</v>
          </cell>
          <cell r="Q1007">
            <v>655022001</v>
          </cell>
          <cell r="R1007">
            <v>652269685</v>
          </cell>
          <cell r="S1007" t="str">
            <v>Valery Doudou</v>
          </cell>
          <cell r="T1007" t="str">
            <v>GEORGES NAKHOUL</v>
          </cell>
          <cell r="U1007" t="str">
            <v>I H S</v>
          </cell>
        </row>
        <row r="1008">
          <cell r="A1008" t="str">
            <v>LIT_410</v>
          </cell>
          <cell r="B1008" t="str">
            <v>IHS_DLA_427</v>
          </cell>
          <cell r="C1008" t="str">
            <v>LIT_410</v>
          </cell>
          <cell r="D1008" t="str">
            <v>Littoral</v>
          </cell>
          <cell r="E1008" t="str">
            <v>Littoral</v>
          </cell>
          <cell r="F1008" t="str">
            <v>Bonapriso Vanitex New</v>
          </cell>
          <cell r="G1008" t="str">
            <v>P4</v>
          </cell>
          <cell r="H1008" t="str">
            <v>Grid-Gen</v>
          </cell>
          <cell r="I1008" t="str">
            <v>On Air</v>
          </cell>
          <cell r="J1008" t="str">
            <v>Outdoor</v>
          </cell>
          <cell r="K1008" t="str">
            <v>AC</v>
          </cell>
          <cell r="L1008" t="str">
            <v>SAGEMCOM</v>
          </cell>
          <cell r="M1008" t="str">
            <v>Bonapriso</v>
          </cell>
          <cell r="N1008" t="str">
            <v>WOURI</v>
          </cell>
          <cell r="O1008" t="str">
            <v>Douala 1</v>
          </cell>
          <cell r="P1008" t="str">
            <v>Johan Tonye</v>
          </cell>
          <cell r="Q1008">
            <v>655022001</v>
          </cell>
          <cell r="R1008">
            <v>652269685</v>
          </cell>
          <cell r="S1008" t="str">
            <v>Valery Doudou</v>
          </cell>
          <cell r="T1008" t="str">
            <v>GEORGES NAKHOUL</v>
          </cell>
          <cell r="U1008" t="str">
            <v>I H S</v>
          </cell>
        </row>
        <row r="1009">
          <cell r="A1009" t="str">
            <v>LIT_454</v>
          </cell>
          <cell r="B1009" t="str">
            <v>IHS_DLA_450</v>
          </cell>
          <cell r="C1009" t="str">
            <v>LIT_454</v>
          </cell>
          <cell r="D1009" t="str">
            <v>Littoral</v>
          </cell>
          <cell r="E1009" t="str">
            <v>Littoral</v>
          </cell>
          <cell r="F1009" t="str">
            <v>Kotto Eglise EPC</v>
          </cell>
          <cell r="G1009" t="str">
            <v>P4</v>
          </cell>
          <cell r="H1009" t="str">
            <v>Grid-Gen</v>
          </cell>
          <cell r="I1009" t="str">
            <v>On Air</v>
          </cell>
          <cell r="J1009" t="str">
            <v>Outdoor</v>
          </cell>
          <cell r="K1009" t="str">
            <v>AC</v>
          </cell>
          <cell r="L1009" t="str">
            <v>SAGEMCOM</v>
          </cell>
          <cell r="M1009" t="str">
            <v>Kotto</v>
          </cell>
          <cell r="N1009" t="str">
            <v>WOURI</v>
          </cell>
          <cell r="O1009" t="str">
            <v>Douala 5</v>
          </cell>
          <cell r="P1009" t="str">
            <v>Johan Tonye</v>
          </cell>
          <cell r="Q1009">
            <v>655022001</v>
          </cell>
          <cell r="R1009">
            <v>652269685</v>
          </cell>
          <cell r="S1009" t="str">
            <v>Valery Doudou</v>
          </cell>
          <cell r="T1009" t="str">
            <v>GEORGES NAKHOUL</v>
          </cell>
          <cell r="U1009" t="str">
            <v>I H S</v>
          </cell>
        </row>
        <row r="1010">
          <cell r="A1010" t="str">
            <v>LIT_358</v>
          </cell>
          <cell r="B1010" t="str">
            <v>IHS_DLA_273</v>
          </cell>
          <cell r="C1010" t="str">
            <v>LIT_358</v>
          </cell>
          <cell r="D1010" t="str">
            <v>Littoral</v>
          </cell>
          <cell r="E1010" t="str">
            <v>Littoral</v>
          </cell>
          <cell r="F1010" t="str">
            <v>Bonangang</v>
          </cell>
          <cell r="G1010" t="str">
            <v>P4</v>
          </cell>
          <cell r="H1010" t="str">
            <v>Grid-Gen</v>
          </cell>
          <cell r="I1010" t="str">
            <v>On Air</v>
          </cell>
          <cell r="J1010" t="str">
            <v>Outdoor</v>
          </cell>
          <cell r="K1010" t="str">
            <v>AC</v>
          </cell>
          <cell r="L1010" t="str">
            <v>SAGEMCOM</v>
          </cell>
          <cell r="M1010" t="str">
            <v>Kotto</v>
          </cell>
          <cell r="N1010" t="str">
            <v>WOURI</v>
          </cell>
          <cell r="O1010" t="str">
            <v>Douala 5</v>
          </cell>
          <cell r="P1010" t="str">
            <v>Johan Tonye</v>
          </cell>
          <cell r="Q1010">
            <v>655022001</v>
          </cell>
          <cell r="R1010">
            <v>652269685</v>
          </cell>
          <cell r="S1010" t="str">
            <v>Valery Doudou</v>
          </cell>
          <cell r="T1010" t="str">
            <v>GEORGES NAKHOUL</v>
          </cell>
          <cell r="U1010" t="str">
            <v>I H S</v>
          </cell>
        </row>
        <row r="1011">
          <cell r="A1011" t="str">
            <v>LIT_400</v>
          </cell>
          <cell r="B1011" t="str">
            <v>IHS_DLA_229</v>
          </cell>
          <cell r="C1011" t="str">
            <v>LIT_400</v>
          </cell>
          <cell r="D1011" t="str">
            <v>Littoral</v>
          </cell>
          <cell r="E1011" t="str">
            <v>Littoral</v>
          </cell>
          <cell r="F1011" t="str">
            <v>Bonawon</v>
          </cell>
          <cell r="G1011" t="str">
            <v>P4</v>
          </cell>
          <cell r="H1011" t="str">
            <v>Grid-Gen</v>
          </cell>
          <cell r="I1011" t="str">
            <v>On Air</v>
          </cell>
          <cell r="J1011" t="str">
            <v>Outdoor</v>
          </cell>
          <cell r="K1011" t="str">
            <v>AC</v>
          </cell>
          <cell r="L1011" t="str">
            <v>SAGEMCOM</v>
          </cell>
          <cell r="M1011" t="str">
            <v>Kotto</v>
          </cell>
          <cell r="N1011" t="str">
            <v>WOURI</v>
          </cell>
          <cell r="O1011" t="str">
            <v>Douala 5</v>
          </cell>
          <cell r="P1011" t="str">
            <v>Johan Tonye</v>
          </cell>
          <cell r="Q1011">
            <v>655022001</v>
          </cell>
          <cell r="R1011">
            <v>652269685</v>
          </cell>
          <cell r="S1011" t="str">
            <v>Valery Doudou</v>
          </cell>
          <cell r="T1011" t="str">
            <v>GEORGES NAKHOUL</v>
          </cell>
          <cell r="U1011" t="str">
            <v>I H S</v>
          </cell>
        </row>
        <row r="1012">
          <cell r="A1012" t="str">
            <v>LIT_347</v>
          </cell>
          <cell r="B1012" t="str">
            <v>IHS_DLA_117</v>
          </cell>
          <cell r="C1012" t="str">
            <v>LIT_347</v>
          </cell>
          <cell r="D1012" t="str">
            <v>Littoral</v>
          </cell>
          <cell r="E1012" t="str">
            <v>Littoral</v>
          </cell>
          <cell r="F1012" t="str">
            <v>Base-Navale</v>
          </cell>
          <cell r="G1012" t="str">
            <v>P4</v>
          </cell>
          <cell r="H1012" t="str">
            <v>Grid-Gen</v>
          </cell>
          <cell r="I1012" t="str">
            <v>On Air</v>
          </cell>
          <cell r="J1012" t="str">
            <v>Outdoor</v>
          </cell>
          <cell r="K1012" t="str">
            <v>AC</v>
          </cell>
          <cell r="L1012" t="str">
            <v>SAGEMCOM</v>
          </cell>
          <cell r="M1012" t="str">
            <v>Kayo Elie</v>
          </cell>
          <cell r="N1012" t="str">
            <v>WOURI</v>
          </cell>
          <cell r="O1012" t="str">
            <v>Douala 1</v>
          </cell>
          <cell r="P1012" t="str">
            <v>Johan Tonye</v>
          </cell>
          <cell r="Q1012">
            <v>655022001</v>
          </cell>
          <cell r="R1012">
            <v>652269685</v>
          </cell>
          <cell r="S1012" t="str">
            <v>Valery Doudou</v>
          </cell>
          <cell r="T1012" t="str">
            <v>GEORGES NAKHOUL</v>
          </cell>
          <cell r="U1012" t="str">
            <v>I H S</v>
          </cell>
        </row>
        <row r="1013">
          <cell r="A1013" t="str">
            <v>LIT_401</v>
          </cell>
          <cell r="B1013" t="str">
            <v>IHS_DLA_156</v>
          </cell>
          <cell r="C1013" t="str">
            <v>LIT_401</v>
          </cell>
          <cell r="D1013" t="str">
            <v>Littoral</v>
          </cell>
          <cell r="E1013" t="str">
            <v>Littoral</v>
          </cell>
          <cell r="F1013" t="str">
            <v>Makepe-Maturite</v>
          </cell>
          <cell r="G1013" t="str">
            <v>P4</v>
          </cell>
          <cell r="H1013" t="str">
            <v>Grid-Gen</v>
          </cell>
          <cell r="I1013" t="str">
            <v>On Air</v>
          </cell>
          <cell r="J1013" t="str">
            <v>Outdoor</v>
          </cell>
          <cell r="K1013" t="str">
            <v>AC</v>
          </cell>
          <cell r="L1013" t="str">
            <v>SAGEMCOM</v>
          </cell>
          <cell r="M1013" t="str">
            <v>Kotto</v>
          </cell>
          <cell r="N1013" t="str">
            <v>WOURI</v>
          </cell>
          <cell r="O1013" t="str">
            <v>Douala 5</v>
          </cell>
          <cell r="P1013" t="str">
            <v>Johan Tonye</v>
          </cell>
          <cell r="Q1013">
            <v>655022001</v>
          </cell>
          <cell r="R1013">
            <v>652269685</v>
          </cell>
          <cell r="S1013" t="str">
            <v>Valery Doudou</v>
          </cell>
          <cell r="T1013" t="str">
            <v>GEORGES NAKHOUL</v>
          </cell>
          <cell r="U1013" t="str">
            <v>I H S</v>
          </cell>
        </row>
        <row r="1014">
          <cell r="A1014" t="str">
            <v>LIT_411</v>
          </cell>
          <cell r="B1014" t="str">
            <v>IHS_DLA_034</v>
          </cell>
          <cell r="C1014" t="str">
            <v>LIT_411</v>
          </cell>
          <cell r="D1014" t="str">
            <v>Littoral</v>
          </cell>
          <cell r="E1014" t="str">
            <v>Littoral</v>
          </cell>
          <cell r="F1014" t="str">
            <v>Ngodi-Cimetiere</v>
          </cell>
          <cell r="G1014" t="str">
            <v>P4</v>
          </cell>
          <cell r="H1014" t="str">
            <v>Grid Only</v>
          </cell>
          <cell r="I1014" t="str">
            <v>On Air</v>
          </cell>
          <cell r="J1014" t="str">
            <v>Outdoor</v>
          </cell>
          <cell r="K1014" t="str">
            <v>AC</v>
          </cell>
          <cell r="L1014" t="str">
            <v>SAGEMCOM</v>
          </cell>
          <cell r="M1014" t="str">
            <v>Agip</v>
          </cell>
          <cell r="N1014" t="str">
            <v>WOURI</v>
          </cell>
          <cell r="O1014" t="str">
            <v>Douala 1</v>
          </cell>
          <cell r="P1014" t="str">
            <v>Johan Tonye</v>
          </cell>
          <cell r="Q1014">
            <v>655022001</v>
          </cell>
          <cell r="R1014">
            <v>652269685</v>
          </cell>
          <cell r="S1014" t="str">
            <v>Valery Doudou</v>
          </cell>
          <cell r="T1014" t="str">
            <v>GEORGES NAKHOUL</v>
          </cell>
          <cell r="U1014" t="str">
            <v>I H S</v>
          </cell>
        </row>
        <row r="1015">
          <cell r="A1015" t="str">
            <v>LIT_014</v>
          </cell>
          <cell r="B1015" t="str">
            <v>IHS_DLA_006</v>
          </cell>
          <cell r="C1015" t="str">
            <v>LIT_014</v>
          </cell>
          <cell r="D1015" t="str">
            <v>Littoral</v>
          </cell>
          <cell r="E1015" t="str">
            <v>Littoral</v>
          </cell>
          <cell r="F1015" t="str">
            <v>Stamatiades</v>
          </cell>
          <cell r="G1015" t="str">
            <v>P4</v>
          </cell>
          <cell r="H1015" t="str">
            <v>Grid Only</v>
          </cell>
          <cell r="I1015" t="str">
            <v>On Air</v>
          </cell>
          <cell r="J1015" t="str">
            <v>Indoor</v>
          </cell>
          <cell r="K1015" t="str">
            <v>AC</v>
          </cell>
          <cell r="L1015" t="str">
            <v>SAGEMCOM</v>
          </cell>
          <cell r="M1015" t="str">
            <v>Agip</v>
          </cell>
          <cell r="N1015" t="str">
            <v>WOURI</v>
          </cell>
          <cell r="O1015" t="str">
            <v>Douala 1</v>
          </cell>
          <cell r="P1015" t="str">
            <v>Johan Tonye</v>
          </cell>
          <cell r="Q1015">
            <v>655022001</v>
          </cell>
          <cell r="R1015">
            <v>652269685</v>
          </cell>
          <cell r="S1015" t="str">
            <v>Valery Doudou</v>
          </cell>
          <cell r="T1015" t="str">
            <v>GEORGES NAKHOUL</v>
          </cell>
          <cell r="U1015" t="str">
            <v>I H S</v>
          </cell>
        </row>
        <row r="1016">
          <cell r="A1016" t="str">
            <v>LIT_091</v>
          </cell>
          <cell r="B1016" t="str">
            <v>IHS_DLA_042</v>
          </cell>
          <cell r="C1016" t="str">
            <v>LIT_091</v>
          </cell>
          <cell r="D1016" t="str">
            <v>Littoral</v>
          </cell>
          <cell r="E1016" t="str">
            <v>Littoral</v>
          </cell>
          <cell r="F1016" t="str">
            <v>Nkongmondo</v>
          </cell>
          <cell r="G1016" t="str">
            <v>P4</v>
          </cell>
          <cell r="H1016" t="str">
            <v>Grid Only</v>
          </cell>
          <cell r="I1016" t="str">
            <v>On Air</v>
          </cell>
          <cell r="J1016" t="str">
            <v>Indoor</v>
          </cell>
          <cell r="K1016" t="str">
            <v>AC</v>
          </cell>
          <cell r="L1016" t="str">
            <v>SAGEMCOM</v>
          </cell>
          <cell r="M1016" t="str">
            <v>Bonapriso</v>
          </cell>
          <cell r="N1016" t="str">
            <v>WOURI</v>
          </cell>
          <cell r="O1016" t="str">
            <v>Douala 1</v>
          </cell>
          <cell r="P1016" t="str">
            <v>Johan Tonye</v>
          </cell>
          <cell r="Q1016">
            <v>655022001</v>
          </cell>
          <cell r="R1016">
            <v>652269685</v>
          </cell>
          <cell r="S1016" t="str">
            <v>Valery Doudou</v>
          </cell>
          <cell r="T1016" t="str">
            <v>GEORGES NAKHOUL</v>
          </cell>
          <cell r="U1016" t="str">
            <v>I H S</v>
          </cell>
        </row>
        <row r="1017">
          <cell r="A1017" t="str">
            <v>LIT_325</v>
          </cell>
          <cell r="B1017" t="str">
            <v>IHS_DLA_044</v>
          </cell>
          <cell r="C1017" t="str">
            <v>LIT_325</v>
          </cell>
          <cell r="D1017" t="str">
            <v>Littoral</v>
          </cell>
          <cell r="E1017" t="str">
            <v>Littoral</v>
          </cell>
          <cell r="F1017" t="str">
            <v>Hogmeni</v>
          </cell>
          <cell r="G1017" t="str">
            <v>P4</v>
          </cell>
          <cell r="H1017" t="str">
            <v>Grid Only</v>
          </cell>
          <cell r="I1017" t="str">
            <v>On Air</v>
          </cell>
          <cell r="J1017" t="str">
            <v>Outdoor</v>
          </cell>
          <cell r="K1017" t="str">
            <v>AC</v>
          </cell>
          <cell r="L1017" t="str">
            <v>SAGEMCOM</v>
          </cell>
          <cell r="M1017" t="str">
            <v>Kayo Elie</v>
          </cell>
          <cell r="N1017" t="str">
            <v>WOURI</v>
          </cell>
          <cell r="O1017" t="str">
            <v>Douala 1</v>
          </cell>
          <cell r="P1017" t="str">
            <v>Johan Tonye</v>
          </cell>
          <cell r="Q1017">
            <v>655022001</v>
          </cell>
          <cell r="R1017">
            <v>652269685</v>
          </cell>
          <cell r="S1017" t="str">
            <v>Valery Doudou</v>
          </cell>
          <cell r="T1017" t="str">
            <v>GEORGES NAKHOUL</v>
          </cell>
          <cell r="U1017" t="str">
            <v>I H S</v>
          </cell>
        </row>
        <row r="1018">
          <cell r="A1018" t="str">
            <v>LIT_373</v>
          </cell>
          <cell r="B1018" t="str">
            <v>IHS_DLA_190</v>
          </cell>
          <cell r="C1018" t="str">
            <v>LIT_373</v>
          </cell>
          <cell r="D1018" t="str">
            <v>Littoral</v>
          </cell>
          <cell r="E1018" t="str">
            <v>Littoral</v>
          </cell>
          <cell r="F1018" t="str">
            <v>Missoke-Universite</v>
          </cell>
          <cell r="G1018" t="str">
            <v>P4</v>
          </cell>
          <cell r="H1018" t="str">
            <v>Grid-Gen</v>
          </cell>
          <cell r="I1018" t="str">
            <v>On Air</v>
          </cell>
          <cell r="J1018" t="str">
            <v>Outdoor</v>
          </cell>
          <cell r="K1018" t="str">
            <v>AC</v>
          </cell>
          <cell r="L1018" t="str">
            <v>SAGEMCOM</v>
          </cell>
          <cell r="M1018" t="str">
            <v>Kotto</v>
          </cell>
          <cell r="N1018" t="str">
            <v>WOURI</v>
          </cell>
          <cell r="O1018" t="str">
            <v>Douala 5</v>
          </cell>
          <cell r="P1018" t="str">
            <v>Johan Tonye</v>
          </cell>
          <cell r="Q1018">
            <v>655022001</v>
          </cell>
          <cell r="R1018">
            <v>652269685</v>
          </cell>
          <cell r="S1018" t="str">
            <v>Valery Doudou</v>
          </cell>
          <cell r="T1018" t="str">
            <v>GEORGES NAKHOUL</v>
          </cell>
          <cell r="U1018" t="str">
            <v>I H S</v>
          </cell>
        </row>
        <row r="1019">
          <cell r="A1019" t="str">
            <v>LIT_057</v>
          </cell>
          <cell r="B1019" t="str">
            <v>IHS_DLA_254</v>
          </cell>
          <cell r="C1019" t="str">
            <v>LIT_057</v>
          </cell>
          <cell r="D1019" t="str">
            <v>Littoral</v>
          </cell>
          <cell r="E1019" t="str">
            <v>Littoral</v>
          </cell>
          <cell r="F1019" t="str">
            <v>Bsadi-Terminus</v>
          </cell>
          <cell r="G1019" t="str">
            <v>P4</v>
          </cell>
          <cell r="H1019" t="str">
            <v>Grid Only</v>
          </cell>
          <cell r="I1019" t="str">
            <v>On Air</v>
          </cell>
          <cell r="J1019" t="str">
            <v>Indoor</v>
          </cell>
          <cell r="K1019" t="str">
            <v>AC</v>
          </cell>
          <cell r="L1019" t="str">
            <v>SAGEMCOM</v>
          </cell>
          <cell r="M1019" t="str">
            <v>Kotto</v>
          </cell>
          <cell r="N1019" t="str">
            <v>WOURI</v>
          </cell>
          <cell r="O1019" t="str">
            <v>Douala 5</v>
          </cell>
          <cell r="P1019" t="str">
            <v>Johan Tonye</v>
          </cell>
          <cell r="Q1019">
            <v>655022001</v>
          </cell>
          <cell r="R1019">
            <v>652269685</v>
          </cell>
          <cell r="S1019" t="str">
            <v>Valery Doudou</v>
          </cell>
          <cell r="T1019" t="str">
            <v>GEORGES NAKHOUL</v>
          </cell>
          <cell r="U1019" t="str">
            <v>I H S</v>
          </cell>
        </row>
        <row r="1020">
          <cell r="A1020" t="str">
            <v>LIT_357</v>
          </cell>
          <cell r="B1020" t="str">
            <v>IHS_DLA_228</v>
          </cell>
          <cell r="C1020" t="str">
            <v>LIT_357</v>
          </cell>
          <cell r="D1020" t="str">
            <v>Littoral</v>
          </cell>
          <cell r="E1020" t="str">
            <v>Littoral</v>
          </cell>
          <cell r="F1020" t="str">
            <v>Makepe-AES</v>
          </cell>
          <cell r="G1020" t="str">
            <v>P4</v>
          </cell>
          <cell r="H1020" t="str">
            <v>Grid Only</v>
          </cell>
          <cell r="I1020" t="str">
            <v>On Air</v>
          </cell>
          <cell r="J1020" t="str">
            <v>Outdoor</v>
          </cell>
          <cell r="K1020" t="str">
            <v>AC</v>
          </cell>
          <cell r="L1020" t="str">
            <v>SAGEMCOM</v>
          </cell>
          <cell r="M1020" t="str">
            <v>Kotto</v>
          </cell>
          <cell r="N1020" t="str">
            <v>WOURI</v>
          </cell>
          <cell r="O1020" t="str">
            <v>Douala 5</v>
          </cell>
          <cell r="P1020" t="str">
            <v>Johan Tonye</v>
          </cell>
          <cell r="Q1020">
            <v>655022001</v>
          </cell>
          <cell r="R1020">
            <v>652269685</v>
          </cell>
          <cell r="S1020" t="str">
            <v>Valery Doudou</v>
          </cell>
          <cell r="T1020" t="str">
            <v>GEORGES NAKHOUL</v>
          </cell>
          <cell r="U1020" t="str">
            <v>I H S</v>
          </cell>
        </row>
        <row r="1021">
          <cell r="A1021" t="str">
            <v>LIT_460</v>
          </cell>
          <cell r="B1021" t="str">
            <v>IHS_DLA_447</v>
          </cell>
          <cell r="C1021" t="str">
            <v>LIT_460</v>
          </cell>
          <cell r="D1021" t="str">
            <v>Littoral</v>
          </cell>
          <cell r="E1021" t="str">
            <v>Littoral</v>
          </cell>
          <cell r="F1021" t="str">
            <v>Ngodi Akwa</v>
          </cell>
          <cell r="G1021" t="str">
            <v>P4</v>
          </cell>
          <cell r="H1021" t="str">
            <v>Grid Only</v>
          </cell>
          <cell r="I1021" t="str">
            <v>On Air</v>
          </cell>
          <cell r="J1021" t="str">
            <v>Outdoor</v>
          </cell>
          <cell r="K1021" t="str">
            <v>AC</v>
          </cell>
          <cell r="L1021" t="str">
            <v>SAGEMCOM</v>
          </cell>
          <cell r="M1021" t="str">
            <v>Agip</v>
          </cell>
          <cell r="N1021" t="str">
            <v>WOURI</v>
          </cell>
          <cell r="O1021" t="str">
            <v>Douala 1</v>
          </cell>
          <cell r="P1021" t="str">
            <v>Johan Tonye</v>
          </cell>
          <cell r="Q1021">
            <v>655022001</v>
          </cell>
          <cell r="R1021">
            <v>652269685</v>
          </cell>
          <cell r="S1021" t="str">
            <v>Valery Doudou</v>
          </cell>
          <cell r="T1021" t="str">
            <v>GEORGES NAKHOUL</v>
          </cell>
          <cell r="U1021" t="str">
            <v>I H S</v>
          </cell>
        </row>
        <row r="1022">
          <cell r="A1022" t="str">
            <v>LIT_120</v>
          </cell>
          <cell r="B1022" t="str">
            <v>IHS_DLA_055</v>
          </cell>
          <cell r="C1022" t="str">
            <v>LIT_120</v>
          </cell>
          <cell r="D1022" t="str">
            <v>Littoral</v>
          </cell>
          <cell r="E1022" t="str">
            <v>Littoral</v>
          </cell>
          <cell r="F1022" t="str">
            <v>Bonamouti</v>
          </cell>
          <cell r="G1022" t="str">
            <v>P4</v>
          </cell>
          <cell r="H1022" t="str">
            <v>Grid Only</v>
          </cell>
          <cell r="I1022" t="str">
            <v>On Air</v>
          </cell>
          <cell r="J1022" t="str">
            <v>Outdoor</v>
          </cell>
          <cell r="K1022" t="str">
            <v>AC</v>
          </cell>
          <cell r="L1022" t="str">
            <v>SAGEMCOM</v>
          </cell>
          <cell r="M1022" t="str">
            <v>Agip</v>
          </cell>
          <cell r="N1022" t="str">
            <v>WOURI</v>
          </cell>
          <cell r="O1022" t="str">
            <v>Douala 1</v>
          </cell>
          <cell r="P1022" t="str">
            <v>Johan Tonye</v>
          </cell>
          <cell r="Q1022">
            <v>655022001</v>
          </cell>
          <cell r="R1022">
            <v>652269685</v>
          </cell>
          <cell r="S1022" t="str">
            <v>Valery Doudou</v>
          </cell>
          <cell r="T1022" t="str">
            <v>GEORGES NAKHOUL</v>
          </cell>
          <cell r="U1022" t="str">
            <v>I H S</v>
          </cell>
        </row>
        <row r="1023">
          <cell r="A1023" t="str">
            <v>LIT_246</v>
          </cell>
          <cell r="B1023" t="str">
            <v>IHS_DLA_272</v>
          </cell>
          <cell r="C1023" t="str">
            <v>LIT_246</v>
          </cell>
          <cell r="D1023" t="str">
            <v>Littoral</v>
          </cell>
          <cell r="E1023" t="str">
            <v>Littoral</v>
          </cell>
          <cell r="F1023" t="str">
            <v>Kotto-Bloc</v>
          </cell>
          <cell r="G1023" t="str">
            <v>P4</v>
          </cell>
          <cell r="H1023" t="str">
            <v>Grid-Gen</v>
          </cell>
          <cell r="I1023" t="str">
            <v>On Air</v>
          </cell>
          <cell r="J1023" t="str">
            <v>Outdoor</v>
          </cell>
          <cell r="K1023" t="str">
            <v>AC</v>
          </cell>
          <cell r="L1023" t="str">
            <v>SAGEMCOM</v>
          </cell>
          <cell r="M1023" t="str">
            <v>Kotto</v>
          </cell>
          <cell r="N1023" t="str">
            <v>WOURI</v>
          </cell>
          <cell r="O1023" t="str">
            <v>Douala 5</v>
          </cell>
          <cell r="P1023" t="str">
            <v>Johan Tonye</v>
          </cell>
          <cell r="Q1023">
            <v>655022001</v>
          </cell>
          <cell r="R1023">
            <v>652269685</v>
          </cell>
          <cell r="S1023" t="str">
            <v>Valery Doudou</v>
          </cell>
          <cell r="T1023" t="str">
            <v>GEORGES NAKHOUL</v>
          </cell>
          <cell r="U1023" t="str">
            <v>I H S</v>
          </cell>
        </row>
        <row r="1024">
          <cell r="A1024" t="str">
            <v>LIT_236</v>
          </cell>
          <cell r="B1024" t="str">
            <v>IHS_DLA_428</v>
          </cell>
          <cell r="C1024" t="str">
            <v>LIT_236</v>
          </cell>
          <cell r="D1024" t="str">
            <v>Littoral</v>
          </cell>
          <cell r="E1024" t="str">
            <v>Littoral</v>
          </cell>
          <cell r="F1024" t="str">
            <v>Mboppi Marché</v>
          </cell>
          <cell r="G1024" t="str">
            <v>P4</v>
          </cell>
          <cell r="H1024" t="str">
            <v>Grid-Gen</v>
          </cell>
          <cell r="I1024" t="str">
            <v>On Air</v>
          </cell>
          <cell r="J1024" t="str">
            <v>Outdoor</v>
          </cell>
          <cell r="K1024" t="str">
            <v>AC</v>
          </cell>
          <cell r="L1024" t="str">
            <v>SAGEMCOM</v>
          </cell>
          <cell r="M1024" t="str">
            <v>Agip</v>
          </cell>
          <cell r="N1024" t="str">
            <v>WOURI</v>
          </cell>
          <cell r="O1024" t="str">
            <v>Douala 1</v>
          </cell>
          <cell r="P1024" t="str">
            <v>Johan Tonye</v>
          </cell>
          <cell r="Q1024">
            <v>655022001</v>
          </cell>
          <cell r="R1024">
            <v>652269685</v>
          </cell>
          <cell r="S1024" t="str">
            <v>Valery Doudou</v>
          </cell>
          <cell r="T1024" t="str">
            <v>GEORGES NAKHOUL</v>
          </cell>
          <cell r="U1024" t="str">
            <v>I H S</v>
          </cell>
        </row>
        <row r="1025">
          <cell r="A1025" t="str">
            <v>LIT_412</v>
          </cell>
          <cell r="B1025" t="str">
            <v>IHS_DLA_039</v>
          </cell>
          <cell r="C1025" t="str">
            <v>LIT_412</v>
          </cell>
          <cell r="D1025" t="str">
            <v>Littoral</v>
          </cell>
          <cell r="E1025" t="str">
            <v>Littoral</v>
          </cell>
          <cell r="F1025" t="str">
            <v>Bonadibong-Crf-Tif</v>
          </cell>
          <cell r="G1025" t="str">
            <v>P4</v>
          </cell>
          <cell r="H1025" t="str">
            <v>Grid Only</v>
          </cell>
          <cell r="I1025" t="str">
            <v>On Air</v>
          </cell>
          <cell r="J1025" t="str">
            <v>Outdoor</v>
          </cell>
          <cell r="K1025" t="str">
            <v>AC</v>
          </cell>
          <cell r="L1025" t="str">
            <v>SAGEMCOM</v>
          </cell>
          <cell r="M1025" t="str">
            <v>Bonapriso</v>
          </cell>
          <cell r="N1025" t="str">
            <v>WOURI</v>
          </cell>
          <cell r="O1025" t="str">
            <v>Douala 1</v>
          </cell>
          <cell r="P1025" t="str">
            <v>Johan Tonye</v>
          </cell>
          <cell r="Q1025">
            <v>655022001</v>
          </cell>
          <cell r="R1025">
            <v>652269685</v>
          </cell>
          <cell r="S1025" t="str">
            <v>Valery Doudou</v>
          </cell>
          <cell r="T1025" t="str">
            <v>GEORGES NAKHOUL</v>
          </cell>
          <cell r="U1025" t="str">
            <v>I H S</v>
          </cell>
        </row>
        <row r="1026">
          <cell r="A1026" t="str">
            <v>LIT_382</v>
          </cell>
          <cell r="B1026" t="str">
            <v>IHS_DLA_022</v>
          </cell>
          <cell r="C1026" t="str">
            <v>LIT_382</v>
          </cell>
          <cell r="D1026" t="str">
            <v>Littoral</v>
          </cell>
          <cell r="E1026" t="str">
            <v>Littoral</v>
          </cell>
          <cell r="F1026" t="str">
            <v>Banyangui</v>
          </cell>
          <cell r="G1026" t="str">
            <v>P4</v>
          </cell>
          <cell r="H1026" t="str">
            <v>Grid Only</v>
          </cell>
          <cell r="I1026" t="str">
            <v>On Air</v>
          </cell>
          <cell r="J1026" t="str">
            <v>Outdoor</v>
          </cell>
          <cell r="K1026" t="str">
            <v>AC</v>
          </cell>
          <cell r="L1026" t="str">
            <v>SAGEMCOM</v>
          </cell>
          <cell r="M1026" t="str">
            <v>Bonapriso</v>
          </cell>
          <cell r="N1026" t="str">
            <v>WOURI</v>
          </cell>
          <cell r="O1026" t="str">
            <v>Douala 1</v>
          </cell>
          <cell r="P1026" t="str">
            <v>Johan Tonye</v>
          </cell>
          <cell r="Q1026">
            <v>655022001</v>
          </cell>
          <cell r="R1026">
            <v>652269685</v>
          </cell>
          <cell r="S1026" t="str">
            <v>Valery Doudou</v>
          </cell>
          <cell r="T1026" t="str">
            <v>GEORGES NAKHOUL</v>
          </cell>
          <cell r="U1026" t="str">
            <v>I H S</v>
          </cell>
        </row>
        <row r="1027">
          <cell r="A1027" t="str">
            <v>LIT_407</v>
          </cell>
          <cell r="B1027" t="str">
            <v>IHS_DLA_052</v>
          </cell>
          <cell r="C1027" t="str">
            <v>LIT_407</v>
          </cell>
          <cell r="D1027" t="str">
            <v>Littoral</v>
          </cell>
          <cell r="E1027" t="str">
            <v>Littoral</v>
          </cell>
          <cell r="F1027" t="str">
            <v>Shell-NewBell-Carrefour</v>
          </cell>
          <cell r="G1027" t="str">
            <v>P4</v>
          </cell>
          <cell r="H1027" t="str">
            <v>Grid Only</v>
          </cell>
          <cell r="I1027" t="str">
            <v>On Air</v>
          </cell>
          <cell r="J1027" t="str">
            <v>Outdoor</v>
          </cell>
          <cell r="K1027" t="str">
            <v>AC</v>
          </cell>
          <cell r="L1027" t="str">
            <v>SAGEMCOM</v>
          </cell>
          <cell r="M1027" t="str">
            <v>Bonapriso</v>
          </cell>
          <cell r="N1027" t="str">
            <v>WOURI</v>
          </cell>
          <cell r="O1027" t="str">
            <v>Douala 2</v>
          </cell>
          <cell r="P1027" t="str">
            <v>Johan Tonye</v>
          </cell>
          <cell r="Q1027">
            <v>655022001</v>
          </cell>
          <cell r="R1027">
            <v>652269685</v>
          </cell>
          <cell r="S1027" t="str">
            <v>Valery Doudou</v>
          </cell>
          <cell r="T1027" t="str">
            <v>GEORGES NAKHOUL</v>
          </cell>
          <cell r="U1027" t="str">
            <v>I H S</v>
          </cell>
        </row>
        <row r="1028">
          <cell r="A1028" t="str">
            <v>LIT_244</v>
          </cell>
          <cell r="B1028" t="str">
            <v>IHS_DLA_002</v>
          </cell>
          <cell r="C1028" t="str">
            <v>LIT_244</v>
          </cell>
          <cell r="D1028" t="str">
            <v>Littoral</v>
          </cell>
          <cell r="E1028" t="str">
            <v>Littoral</v>
          </cell>
          <cell r="F1028" t="str">
            <v>H-Astoria</v>
          </cell>
          <cell r="G1028" t="str">
            <v>P4</v>
          </cell>
          <cell r="H1028" t="str">
            <v>Grid Only</v>
          </cell>
          <cell r="I1028" t="str">
            <v>On Air</v>
          </cell>
          <cell r="J1028" t="str">
            <v>Outdoor</v>
          </cell>
          <cell r="K1028" t="str">
            <v>AC</v>
          </cell>
          <cell r="L1028" t="str">
            <v>SAGEMCOM</v>
          </cell>
          <cell r="M1028" t="str">
            <v>Agip</v>
          </cell>
          <cell r="N1028" t="str">
            <v>WOURI</v>
          </cell>
          <cell r="O1028" t="str">
            <v>Douala 1</v>
          </cell>
          <cell r="P1028" t="str">
            <v>Johan Tonye</v>
          </cell>
          <cell r="Q1028">
            <v>655022001</v>
          </cell>
          <cell r="R1028">
            <v>652269685</v>
          </cell>
          <cell r="S1028" t="str">
            <v>Valery Doudou</v>
          </cell>
          <cell r="T1028" t="str">
            <v>GEORGES NAKHOUL</v>
          </cell>
          <cell r="U1028" t="str">
            <v>I H S</v>
          </cell>
        </row>
        <row r="1029">
          <cell r="A1029" t="str">
            <v>LIT_053</v>
          </cell>
          <cell r="B1029" t="str">
            <v>IHS_DLA_065</v>
          </cell>
          <cell r="C1029" t="str">
            <v>LIT_053</v>
          </cell>
          <cell r="D1029" t="str">
            <v>Littoral</v>
          </cell>
          <cell r="E1029" t="str">
            <v>Littoral</v>
          </cell>
          <cell r="F1029" t="str">
            <v>Shell-NewBell</v>
          </cell>
          <cell r="G1029" t="str">
            <v>P4</v>
          </cell>
          <cell r="H1029" t="str">
            <v>Grid-Gen</v>
          </cell>
          <cell r="I1029" t="str">
            <v>On Air</v>
          </cell>
          <cell r="J1029" t="str">
            <v>Indoor</v>
          </cell>
          <cell r="K1029" t="str">
            <v>AC</v>
          </cell>
          <cell r="L1029" t="str">
            <v>SAGEMCOM</v>
          </cell>
          <cell r="M1029" t="str">
            <v>Bonapriso</v>
          </cell>
          <cell r="N1029" t="str">
            <v>WOURI</v>
          </cell>
          <cell r="O1029" t="str">
            <v>Douala 2</v>
          </cell>
          <cell r="P1029" t="str">
            <v>Johan Tonye</v>
          </cell>
          <cell r="Q1029">
            <v>655022001</v>
          </cell>
          <cell r="R1029">
            <v>652269685</v>
          </cell>
          <cell r="S1029" t="str">
            <v>Valery Doudou</v>
          </cell>
          <cell r="T1029" t="str">
            <v>GEORGES NAKHOUL</v>
          </cell>
          <cell r="U1029" t="str">
            <v>I H S</v>
          </cell>
        </row>
        <row r="1030">
          <cell r="A1030" t="str">
            <v>LIT_267</v>
          </cell>
          <cell r="B1030" t="str">
            <v>IHS_DLA_187</v>
          </cell>
          <cell r="C1030" t="str">
            <v>LIT_267</v>
          </cell>
          <cell r="D1030" t="str">
            <v>Littoral</v>
          </cell>
          <cell r="E1030" t="str">
            <v>Littoral</v>
          </cell>
          <cell r="F1030" t="str">
            <v>Sable</v>
          </cell>
          <cell r="G1030" t="str">
            <v>P4</v>
          </cell>
          <cell r="H1030" t="str">
            <v>Grid-Gen</v>
          </cell>
          <cell r="I1030" t="str">
            <v>On Air</v>
          </cell>
          <cell r="J1030" t="str">
            <v>Outdoor</v>
          </cell>
          <cell r="K1030" t="str">
            <v>AC</v>
          </cell>
          <cell r="L1030" t="str">
            <v>SAGEMCOM</v>
          </cell>
          <cell r="M1030" t="str">
            <v>Kotto</v>
          </cell>
          <cell r="N1030" t="str">
            <v>WOURI</v>
          </cell>
          <cell r="O1030" t="str">
            <v>Douala 5</v>
          </cell>
          <cell r="P1030" t="str">
            <v>Johan Tonye</v>
          </cell>
          <cell r="Q1030">
            <v>655022001</v>
          </cell>
          <cell r="R1030">
            <v>652269685</v>
          </cell>
          <cell r="S1030" t="str">
            <v>Valery Doudou</v>
          </cell>
          <cell r="T1030" t="str">
            <v>GEORGES NAKHOUL</v>
          </cell>
          <cell r="U1030" t="str">
            <v>I H S</v>
          </cell>
        </row>
        <row r="1031">
          <cell r="A1031" t="str">
            <v>LIT_082</v>
          </cell>
          <cell r="B1031" t="str">
            <v>IHS_DLA_005</v>
          </cell>
          <cell r="C1031" t="str">
            <v>LIT_082</v>
          </cell>
          <cell r="D1031" t="str">
            <v>Littoral</v>
          </cell>
          <cell r="E1031" t="str">
            <v>Littoral</v>
          </cell>
          <cell r="F1031" t="str">
            <v>Laquintinie</v>
          </cell>
          <cell r="G1031" t="str">
            <v>P4</v>
          </cell>
          <cell r="H1031" t="str">
            <v>Grid Only</v>
          </cell>
          <cell r="I1031" t="str">
            <v>On Air</v>
          </cell>
          <cell r="J1031" t="str">
            <v>Indoor</v>
          </cell>
          <cell r="K1031" t="str">
            <v>AC</v>
          </cell>
          <cell r="L1031" t="str">
            <v>SAGEMCOM</v>
          </cell>
          <cell r="M1031" t="str">
            <v>Agip</v>
          </cell>
          <cell r="N1031" t="str">
            <v>WOURI</v>
          </cell>
          <cell r="O1031" t="str">
            <v>Douala 1</v>
          </cell>
          <cell r="P1031" t="str">
            <v>Johan Tonye</v>
          </cell>
          <cell r="Q1031">
            <v>655022001</v>
          </cell>
          <cell r="R1031">
            <v>652269685</v>
          </cell>
          <cell r="S1031" t="str">
            <v>Valery Doudou</v>
          </cell>
          <cell r="T1031" t="str">
            <v>GEORGES NAKHOUL</v>
          </cell>
          <cell r="U1031" t="str">
            <v>I H S</v>
          </cell>
        </row>
        <row r="1032">
          <cell r="A1032" t="str">
            <v>LIT_202</v>
          </cell>
          <cell r="B1032" t="str">
            <v>IHS_DLA_414</v>
          </cell>
          <cell r="C1032" t="str">
            <v>LIT_202</v>
          </cell>
          <cell r="D1032" t="str">
            <v>Littoral</v>
          </cell>
          <cell r="E1032" t="str">
            <v>Littoral</v>
          </cell>
          <cell r="F1032" t="str">
            <v>Kotto-Mbangue-T0</v>
          </cell>
          <cell r="G1032" t="str">
            <v>P4</v>
          </cell>
          <cell r="H1032" t="str">
            <v>Grid Only</v>
          </cell>
          <cell r="I1032" t="str">
            <v>On Air</v>
          </cell>
          <cell r="J1032" t="str">
            <v>Outdoor</v>
          </cell>
          <cell r="K1032" t="str">
            <v>AC</v>
          </cell>
          <cell r="L1032" t="str">
            <v>SAGEMCOM</v>
          </cell>
          <cell r="M1032" t="str">
            <v>Kotto</v>
          </cell>
          <cell r="N1032" t="str">
            <v>WOURI</v>
          </cell>
          <cell r="O1032" t="str">
            <v>Douala 5</v>
          </cell>
          <cell r="P1032" t="str">
            <v>Johan Tonye</v>
          </cell>
          <cell r="Q1032">
            <v>655022001</v>
          </cell>
          <cell r="R1032">
            <v>652269685</v>
          </cell>
          <cell r="S1032" t="str">
            <v>Valery Doudou</v>
          </cell>
          <cell r="T1032" t="str">
            <v>GEORGES NAKHOUL</v>
          </cell>
          <cell r="U1032" t="str">
            <v>I H S</v>
          </cell>
        </row>
        <row r="1033">
          <cell r="A1033" t="str">
            <v>LIT_041</v>
          </cell>
          <cell r="B1033" t="str">
            <v>IHS_DLA_081</v>
          </cell>
          <cell r="C1033" t="str">
            <v>LIT_041</v>
          </cell>
          <cell r="D1033" t="str">
            <v>Littoral</v>
          </cell>
          <cell r="E1033" t="str">
            <v>Littoral</v>
          </cell>
          <cell r="F1033" t="str">
            <v>La-Falaise</v>
          </cell>
          <cell r="G1033" t="str">
            <v>P4</v>
          </cell>
          <cell r="H1033" t="str">
            <v>Grid Only</v>
          </cell>
          <cell r="I1033" t="str">
            <v>On Air</v>
          </cell>
          <cell r="J1033" t="str">
            <v>Indoor</v>
          </cell>
          <cell r="K1033" t="str">
            <v>AC</v>
          </cell>
          <cell r="L1033" t="str">
            <v>SAGEMCOM</v>
          </cell>
          <cell r="M1033" t="str">
            <v>Kayo Elie</v>
          </cell>
          <cell r="N1033" t="str">
            <v>WOURI</v>
          </cell>
          <cell r="O1033" t="str">
            <v>Douala 1</v>
          </cell>
          <cell r="P1033" t="str">
            <v>Johan Tonye</v>
          </cell>
          <cell r="Q1033">
            <v>655022001</v>
          </cell>
          <cell r="R1033">
            <v>652269685</v>
          </cell>
          <cell r="S1033" t="str">
            <v>Valery Doudou</v>
          </cell>
          <cell r="T1033" t="str">
            <v>GEORGES NAKHOUL</v>
          </cell>
          <cell r="U1033" t="str">
            <v>I H S</v>
          </cell>
        </row>
        <row r="1034">
          <cell r="A1034" t="str">
            <v>LIT_139</v>
          </cell>
          <cell r="B1034" t="str">
            <v>IHS_DLA_083</v>
          </cell>
          <cell r="C1034" t="str">
            <v>LIT_139</v>
          </cell>
          <cell r="D1034" t="str">
            <v>Littoral</v>
          </cell>
          <cell r="E1034" t="str">
            <v>Littoral</v>
          </cell>
          <cell r="F1034" t="str">
            <v>Camship</v>
          </cell>
          <cell r="G1034" t="str">
            <v>P4</v>
          </cell>
          <cell r="H1034" t="str">
            <v>Grid-Gen</v>
          </cell>
          <cell r="I1034" t="str">
            <v>On Air</v>
          </cell>
          <cell r="J1034" t="str">
            <v>Indoor</v>
          </cell>
          <cell r="K1034" t="str">
            <v>AC</v>
          </cell>
          <cell r="L1034" t="str">
            <v>SAGEMCOM</v>
          </cell>
          <cell r="M1034" t="str">
            <v>Kayo Elie</v>
          </cell>
          <cell r="N1034" t="str">
            <v>WOURI</v>
          </cell>
          <cell r="O1034" t="str">
            <v>Douala 1</v>
          </cell>
          <cell r="P1034" t="str">
            <v>Johan Tonye</v>
          </cell>
          <cell r="Q1034">
            <v>655022001</v>
          </cell>
          <cell r="R1034">
            <v>652269685</v>
          </cell>
          <cell r="S1034" t="str">
            <v>Valery Doudou</v>
          </cell>
          <cell r="T1034" t="str">
            <v>GEORGES NAKHOUL</v>
          </cell>
          <cell r="U1034" t="str">
            <v>I H S</v>
          </cell>
        </row>
        <row r="1035">
          <cell r="A1035" t="str">
            <v>LIT_581</v>
          </cell>
          <cell r="B1035" t="str">
            <v>IHS_DLA_085</v>
          </cell>
          <cell r="C1035" t="str">
            <v>LIT_581</v>
          </cell>
          <cell r="D1035" t="str">
            <v>Littoral</v>
          </cell>
          <cell r="E1035" t="str">
            <v>Littoral</v>
          </cell>
          <cell r="F1035" t="str">
            <v>Ministere</v>
          </cell>
          <cell r="G1035" t="str">
            <v>P4</v>
          </cell>
          <cell r="H1035" t="str">
            <v>Grid-Gen</v>
          </cell>
          <cell r="I1035" t="str">
            <v>On Air</v>
          </cell>
          <cell r="J1035" t="str">
            <v>Indoor</v>
          </cell>
          <cell r="K1035" t="str">
            <v>AC</v>
          </cell>
          <cell r="L1035" t="str">
            <v>SAGEMCOM</v>
          </cell>
          <cell r="M1035" t="str">
            <v>Kayo Elie</v>
          </cell>
          <cell r="N1035" t="str">
            <v>WOURI</v>
          </cell>
          <cell r="O1035" t="str">
            <v>Douala 1</v>
          </cell>
          <cell r="P1035" t="str">
            <v>Johan Tonye</v>
          </cell>
          <cell r="Q1035">
            <v>655022001</v>
          </cell>
          <cell r="R1035">
            <v>652269685</v>
          </cell>
          <cell r="S1035" t="str">
            <v>Valery Doudou</v>
          </cell>
          <cell r="T1035" t="str">
            <v>GEORGES NAKHOUL</v>
          </cell>
          <cell r="U1035" t="str">
            <v>I H S</v>
          </cell>
        </row>
        <row r="1036">
          <cell r="A1036" t="str">
            <v>LIT_580</v>
          </cell>
          <cell r="B1036" t="str">
            <v>IHS_DLA_008</v>
          </cell>
          <cell r="C1036" t="str">
            <v>LIT_580</v>
          </cell>
          <cell r="D1036" t="str">
            <v>Littoral</v>
          </cell>
          <cell r="E1036" t="str">
            <v>Littoral</v>
          </cell>
          <cell r="F1036" t="str">
            <v>Douche</v>
          </cell>
          <cell r="G1036" t="str">
            <v>P4</v>
          </cell>
          <cell r="H1036" t="str">
            <v>Grid-Gen</v>
          </cell>
          <cell r="I1036" t="str">
            <v>On Air</v>
          </cell>
          <cell r="J1036" t="str">
            <v>Indoor</v>
          </cell>
          <cell r="K1036" t="str">
            <v>AC</v>
          </cell>
          <cell r="L1036" t="str">
            <v>SAGEMCOM</v>
          </cell>
          <cell r="M1036" t="str">
            <v>Agip</v>
          </cell>
          <cell r="N1036" t="str">
            <v>WOURI</v>
          </cell>
          <cell r="O1036" t="str">
            <v>Douala 1</v>
          </cell>
          <cell r="P1036" t="str">
            <v>Johan Tonye</v>
          </cell>
          <cell r="Q1036">
            <v>655022001</v>
          </cell>
          <cell r="R1036">
            <v>652269685</v>
          </cell>
          <cell r="S1036" t="str">
            <v>Valery Doudou</v>
          </cell>
          <cell r="T1036" t="str">
            <v>GEORGES NAKHOUL</v>
          </cell>
          <cell r="U1036" t="str">
            <v>I H S</v>
          </cell>
        </row>
        <row r="1037">
          <cell r="A1037" t="str">
            <v>LIT_574</v>
          </cell>
          <cell r="B1037" t="str">
            <v>IHS_DLA_225</v>
          </cell>
          <cell r="C1037" t="str">
            <v>LIT_574</v>
          </cell>
          <cell r="D1037" t="str">
            <v>Littoral</v>
          </cell>
          <cell r="E1037" t="str">
            <v>Littoral</v>
          </cell>
          <cell r="F1037" t="str">
            <v>New Bonamoussadi</v>
          </cell>
          <cell r="G1037" t="str">
            <v>P4</v>
          </cell>
          <cell r="H1037" t="str">
            <v>Grid-Gen</v>
          </cell>
          <cell r="I1037" t="str">
            <v>On Air</v>
          </cell>
          <cell r="J1037" t="str">
            <v>Outdoor</v>
          </cell>
          <cell r="K1037" t="str">
            <v>AC</v>
          </cell>
          <cell r="L1037" t="str">
            <v>SAGEMCOM</v>
          </cell>
          <cell r="M1037" t="str">
            <v>Kotto</v>
          </cell>
          <cell r="N1037" t="str">
            <v>WOURI</v>
          </cell>
          <cell r="O1037" t="str">
            <v>Douala 5</v>
          </cell>
          <cell r="P1037" t="str">
            <v>Johan Tonye</v>
          </cell>
          <cell r="Q1037">
            <v>655022001</v>
          </cell>
          <cell r="R1037">
            <v>652269685</v>
          </cell>
          <cell r="S1037" t="str">
            <v>Valery Doudou</v>
          </cell>
          <cell r="T1037" t="str">
            <v>GEORGES NAKHOUL</v>
          </cell>
          <cell r="U1037" t="str">
            <v>I H S</v>
          </cell>
        </row>
        <row r="1038">
          <cell r="A1038" t="str">
            <v>LIT_122</v>
          </cell>
          <cell r="B1038" t="str">
            <v>IHS_DLA_067</v>
          </cell>
          <cell r="C1038" t="str">
            <v>LIT_122</v>
          </cell>
          <cell r="D1038" t="str">
            <v>Littoral</v>
          </cell>
          <cell r="E1038" t="str">
            <v>Littoral</v>
          </cell>
          <cell r="F1038" t="str">
            <v>Old-Airport IHS</v>
          </cell>
          <cell r="G1038" t="str">
            <v>P4</v>
          </cell>
          <cell r="H1038" t="str">
            <v>Grid Only</v>
          </cell>
          <cell r="I1038" t="str">
            <v>On Air</v>
          </cell>
          <cell r="J1038" t="str">
            <v>Indoor</v>
          </cell>
          <cell r="K1038" t="str">
            <v>AC</v>
          </cell>
          <cell r="L1038" t="str">
            <v>SAGEMCOM</v>
          </cell>
          <cell r="M1038" t="str">
            <v>Bonapriso</v>
          </cell>
          <cell r="N1038" t="str">
            <v>WOURI</v>
          </cell>
          <cell r="O1038" t="str">
            <v>Douala 2</v>
          </cell>
          <cell r="P1038" t="str">
            <v>Johan Tonye</v>
          </cell>
          <cell r="Q1038">
            <v>655022001</v>
          </cell>
          <cell r="R1038">
            <v>652269685</v>
          </cell>
          <cell r="S1038" t="str">
            <v>Valery Doudou</v>
          </cell>
          <cell r="T1038" t="str">
            <v>GEORGES NAKHOUL</v>
          </cell>
          <cell r="U1038" t="str">
            <v>I H S</v>
          </cell>
        </row>
        <row r="1039">
          <cell r="A1039" t="str">
            <v>LIT_486</v>
          </cell>
          <cell r="B1039" t="str">
            <v>IHS_KMB_107</v>
          </cell>
          <cell r="C1039" t="str">
            <v>LIT_486</v>
          </cell>
          <cell r="D1039" t="str">
            <v>Littoral</v>
          </cell>
          <cell r="E1039" t="str">
            <v>Littoral</v>
          </cell>
          <cell r="F1039" t="str">
            <v>Denver II</v>
          </cell>
          <cell r="G1039" t="str">
            <v>P4</v>
          </cell>
          <cell r="H1039" t="str">
            <v>Grid Only</v>
          </cell>
          <cell r="I1039" t="str">
            <v>On Air</v>
          </cell>
          <cell r="J1039" t="str">
            <v>Outdoor</v>
          </cell>
          <cell r="K1039" t="str">
            <v>AC</v>
          </cell>
          <cell r="L1039" t="str">
            <v>SAGEMCOM</v>
          </cell>
          <cell r="M1039" t="str">
            <v>Kotto</v>
          </cell>
          <cell r="N1039" t="str">
            <v>WOURI</v>
          </cell>
          <cell r="O1039" t="str">
            <v>Douala 5</v>
          </cell>
          <cell r="P1039" t="str">
            <v>Johan Tonye</v>
          </cell>
          <cell r="Q1039">
            <v>655022001</v>
          </cell>
          <cell r="R1039">
            <v>652269685</v>
          </cell>
          <cell r="S1039" t="str">
            <v>Valery Doudou</v>
          </cell>
          <cell r="T1039" t="str">
            <v>GEORGES NAKHOUL</v>
          </cell>
          <cell r="U1039" t="str">
            <v>I H S</v>
          </cell>
        </row>
        <row r="1040">
          <cell r="A1040" t="str">
            <v>LIT_141</v>
          </cell>
          <cell r="B1040" t="str">
            <v>IHS_DLA_091</v>
          </cell>
          <cell r="C1040" t="str">
            <v>LIT_141</v>
          </cell>
          <cell r="D1040" t="str">
            <v>Littoral</v>
          </cell>
          <cell r="E1040" t="str">
            <v>Littoral</v>
          </cell>
          <cell r="F1040" t="str">
            <v>Sky-Way-Hotel_IHS</v>
          </cell>
          <cell r="G1040" t="str">
            <v>P4</v>
          </cell>
          <cell r="H1040" t="str">
            <v>Grid Only</v>
          </cell>
          <cell r="I1040" t="str">
            <v>On Air</v>
          </cell>
          <cell r="J1040" t="str">
            <v>Indoor</v>
          </cell>
          <cell r="K1040" t="str">
            <v>AC</v>
          </cell>
          <cell r="L1040" t="str">
            <v>SAGEMCOM</v>
          </cell>
          <cell r="M1040" t="str">
            <v>Bonapriso</v>
          </cell>
          <cell r="N1040" t="str">
            <v>WOURI</v>
          </cell>
          <cell r="O1040" t="str">
            <v>Douala 1</v>
          </cell>
          <cell r="P1040" t="str">
            <v>Johan Tonye</v>
          </cell>
          <cell r="Q1040">
            <v>655022001</v>
          </cell>
          <cell r="R1040">
            <v>652269685</v>
          </cell>
          <cell r="S1040" t="str">
            <v>Valery Doudou</v>
          </cell>
          <cell r="T1040" t="str">
            <v>GEORGES NAKHOUL</v>
          </cell>
          <cell r="U1040" t="str">
            <v>I H S</v>
          </cell>
        </row>
        <row r="1041">
          <cell r="A1041" t="str">
            <v>LIT_436</v>
          </cell>
          <cell r="B1041" t="str">
            <v>IHS_DLA_133</v>
          </cell>
          <cell r="C1041" t="str">
            <v>LIT_436</v>
          </cell>
          <cell r="D1041" t="str">
            <v>Littoral</v>
          </cell>
          <cell r="E1041" t="str">
            <v>Littoral</v>
          </cell>
          <cell r="F1041" t="str">
            <v>Deido Pharmacie</v>
          </cell>
          <cell r="G1041" t="str">
            <v>P4</v>
          </cell>
          <cell r="H1041" t="str">
            <v>Grid-Gen</v>
          </cell>
          <cell r="I1041" t="str">
            <v>On Air</v>
          </cell>
          <cell r="J1041" t="str">
            <v>Indoor</v>
          </cell>
          <cell r="K1041" t="str">
            <v>AC</v>
          </cell>
          <cell r="L1041" t="str">
            <v>SAGEMCOM</v>
          </cell>
          <cell r="M1041" t="str">
            <v>Agip</v>
          </cell>
          <cell r="N1041" t="str">
            <v>WOURI</v>
          </cell>
          <cell r="O1041" t="str">
            <v>Douala 5</v>
          </cell>
          <cell r="P1041" t="str">
            <v>Johan Tonye</v>
          </cell>
          <cell r="Q1041">
            <v>655022001</v>
          </cell>
          <cell r="R1041">
            <v>652269685</v>
          </cell>
          <cell r="S1041" t="str">
            <v>Valery Doudou</v>
          </cell>
          <cell r="T1041" t="str">
            <v>GEORGES NAKHOUL</v>
          </cell>
          <cell r="U1041" t="str">
            <v>I H S</v>
          </cell>
        </row>
        <row r="1042">
          <cell r="A1042" t="str">
            <v>LIT_497</v>
          </cell>
          <cell r="B1042" t="str">
            <v>IHS_DLA_307</v>
          </cell>
          <cell r="C1042" t="str">
            <v>LIT_497</v>
          </cell>
          <cell r="D1042" t="str">
            <v>Littoral</v>
          </cell>
          <cell r="E1042" t="str">
            <v>Littoral</v>
          </cell>
          <cell r="F1042" t="str">
            <v>Manoka-IHS</v>
          </cell>
          <cell r="G1042" t="str">
            <v>P4</v>
          </cell>
          <cell r="H1042" t="str">
            <v>Solar-Gen</v>
          </cell>
          <cell r="I1042" t="str">
            <v>On Air</v>
          </cell>
          <cell r="J1042" t="str">
            <v>Outdoor</v>
          </cell>
          <cell r="K1042" t="str">
            <v>AC</v>
          </cell>
          <cell r="L1042" t="str">
            <v>SAGEMCOM</v>
          </cell>
          <cell r="M1042" t="str">
            <v>Kayo Elie</v>
          </cell>
          <cell r="N1042" t="str">
            <v>WOURI</v>
          </cell>
          <cell r="O1042" t="str">
            <v>Douala 6</v>
          </cell>
          <cell r="P1042" t="str">
            <v>Johan Tonye</v>
          </cell>
          <cell r="Q1042">
            <v>655022001</v>
          </cell>
          <cell r="R1042">
            <v>652269685</v>
          </cell>
          <cell r="S1042" t="str">
            <v>Valery Doudou</v>
          </cell>
          <cell r="T1042" t="str">
            <v>GEORGES NAKHOUL</v>
          </cell>
          <cell r="U1042" t="str">
            <v>I H S</v>
          </cell>
        </row>
        <row r="1043">
          <cell r="A1043" t="str">
            <v>LIT_588</v>
          </cell>
          <cell r="B1043" t="str">
            <v>IHS_DLA_485</v>
          </cell>
          <cell r="C1043" t="str">
            <v>LIT_588</v>
          </cell>
          <cell r="D1043" t="str">
            <v>Littoral</v>
          </cell>
          <cell r="E1043" t="str">
            <v>Littoral</v>
          </cell>
          <cell r="F1043" t="str">
            <v>Denver Total</v>
          </cell>
          <cell r="G1043" t="str">
            <v>P4</v>
          </cell>
          <cell r="H1043" t="str">
            <v>Grid-Gen</v>
          </cell>
          <cell r="I1043" t="str">
            <v>On Air</v>
          </cell>
          <cell r="J1043" t="str">
            <v>Outdoor</v>
          </cell>
          <cell r="K1043" t="str">
            <v>AC</v>
          </cell>
          <cell r="L1043" t="str">
            <v>SAGEMCOM</v>
          </cell>
          <cell r="M1043" t="str">
            <v>Kotto</v>
          </cell>
          <cell r="N1043" t="str">
            <v>WOURI</v>
          </cell>
          <cell r="O1043" t="str">
            <v>Douala 5</v>
          </cell>
          <cell r="P1043" t="str">
            <v>Johan Tonye</v>
          </cell>
          <cell r="Q1043">
            <v>655022001</v>
          </cell>
          <cell r="R1043">
            <v>652269685</v>
          </cell>
          <cell r="S1043" t="str">
            <v>Valery Doudou</v>
          </cell>
          <cell r="T1043" t="str">
            <v>GEORGES NAKHOUL</v>
          </cell>
          <cell r="U1043" t="str">
            <v>I H S</v>
          </cell>
        </row>
        <row r="1044">
          <cell r="A1044" t="str">
            <v>LIT_268</v>
          </cell>
          <cell r="B1044" t="str">
            <v>IHS_DLA_114</v>
          </cell>
          <cell r="C1044" t="str">
            <v>LIT_268</v>
          </cell>
          <cell r="D1044" t="str">
            <v>Littoral</v>
          </cell>
          <cell r="E1044" t="str">
            <v>Littoral</v>
          </cell>
          <cell r="F1044" t="str">
            <v>Youpwe</v>
          </cell>
          <cell r="G1044" t="str">
            <v>P5</v>
          </cell>
          <cell r="H1044" t="str">
            <v>Grid-Gen</v>
          </cell>
          <cell r="I1044" t="str">
            <v>On Air</v>
          </cell>
          <cell r="J1044" t="str">
            <v>Outdoor</v>
          </cell>
          <cell r="K1044" t="str">
            <v>AC</v>
          </cell>
          <cell r="L1044" t="str">
            <v>SAGEMCOM</v>
          </cell>
          <cell r="M1044" t="str">
            <v>Bonapriso</v>
          </cell>
          <cell r="N1044" t="str">
            <v>WOURI</v>
          </cell>
          <cell r="O1044" t="str">
            <v>Douala 1</v>
          </cell>
          <cell r="P1044" t="str">
            <v>Johan Tonye</v>
          </cell>
          <cell r="Q1044">
            <v>655022001</v>
          </cell>
          <cell r="R1044">
            <v>652269685</v>
          </cell>
          <cell r="S1044" t="str">
            <v>Valery Doudou</v>
          </cell>
          <cell r="T1044" t="str">
            <v>GEORGES NAKHOUL</v>
          </cell>
          <cell r="U1044" t="str">
            <v>I H S</v>
          </cell>
        </row>
        <row r="1045">
          <cell r="A1045" t="str">
            <v>LIT_277</v>
          </cell>
          <cell r="B1045" t="str">
            <v>IHS_DLA_226</v>
          </cell>
          <cell r="C1045" t="str">
            <v>LIT_277</v>
          </cell>
          <cell r="D1045" t="str">
            <v>Littoral</v>
          </cell>
          <cell r="E1045" t="str">
            <v>Littoral</v>
          </cell>
          <cell r="F1045" t="str">
            <v>Bsadi-ZoneA-New</v>
          </cell>
          <cell r="G1045" t="str">
            <v>P5</v>
          </cell>
          <cell r="H1045" t="str">
            <v>Grid Only</v>
          </cell>
          <cell r="I1045" t="str">
            <v>On Air</v>
          </cell>
          <cell r="J1045" t="str">
            <v>Outdoor</v>
          </cell>
          <cell r="K1045" t="str">
            <v>AC</v>
          </cell>
          <cell r="L1045" t="str">
            <v>SAGEMCOM</v>
          </cell>
          <cell r="M1045" t="str">
            <v>Kotto</v>
          </cell>
          <cell r="N1045" t="str">
            <v>WOURI</v>
          </cell>
          <cell r="O1045" t="str">
            <v>Douala 5</v>
          </cell>
          <cell r="P1045" t="str">
            <v>Johan Tonye</v>
          </cell>
          <cell r="Q1045">
            <v>655022001</v>
          </cell>
          <cell r="R1045">
            <v>652269685</v>
          </cell>
          <cell r="S1045" t="str">
            <v>Valery Doudou</v>
          </cell>
          <cell r="T1045" t="str">
            <v>GEORGES NAKHOUL</v>
          </cell>
          <cell r="U1045" t="str">
            <v>I H S</v>
          </cell>
        </row>
        <row r="1046">
          <cell r="A1046" t="str">
            <v>LIT_336</v>
          </cell>
          <cell r="B1046" t="str">
            <v>IHS_DLA_038</v>
          </cell>
          <cell r="C1046" t="str">
            <v>LIT_336</v>
          </cell>
          <cell r="D1046" t="str">
            <v>Littoral</v>
          </cell>
          <cell r="E1046" t="str">
            <v>Littoral</v>
          </cell>
          <cell r="F1046" t="str">
            <v>Bonamikengue</v>
          </cell>
          <cell r="G1046" t="str">
            <v>P5</v>
          </cell>
          <cell r="H1046" t="str">
            <v>Grid Only</v>
          </cell>
          <cell r="I1046" t="str">
            <v>On Air</v>
          </cell>
          <cell r="J1046" t="str">
            <v>Outdoor</v>
          </cell>
          <cell r="K1046" t="str">
            <v>AC</v>
          </cell>
          <cell r="L1046" t="str">
            <v>SAGEMCOM</v>
          </cell>
          <cell r="M1046" t="str">
            <v>Agip</v>
          </cell>
          <cell r="N1046" t="str">
            <v>WOURI</v>
          </cell>
          <cell r="O1046" t="str">
            <v>Douala 1</v>
          </cell>
          <cell r="P1046" t="str">
            <v>Johan Tonye</v>
          </cell>
          <cell r="Q1046">
            <v>655022001</v>
          </cell>
          <cell r="R1046">
            <v>652269685</v>
          </cell>
          <cell r="S1046" t="str">
            <v>Valery Doudou</v>
          </cell>
          <cell r="T1046" t="str">
            <v>GEORGES NAKHOUL</v>
          </cell>
          <cell r="U1046" t="str">
            <v>I H S</v>
          </cell>
        </row>
        <row r="1047">
          <cell r="A1047" t="str">
            <v>LIT_429</v>
          </cell>
          <cell r="B1047" t="str">
            <v>IHS_DLA_089</v>
          </cell>
          <cell r="C1047" t="str">
            <v>LIT_429</v>
          </cell>
          <cell r="D1047" t="str">
            <v>Littoral</v>
          </cell>
          <cell r="E1047" t="str">
            <v>Littoral</v>
          </cell>
          <cell r="F1047" t="str">
            <v>Spectrum-Bonanjo-IHS</v>
          </cell>
          <cell r="G1047" t="str">
            <v>P5</v>
          </cell>
          <cell r="H1047" t="str">
            <v>Grid-Gen</v>
          </cell>
          <cell r="I1047" t="str">
            <v>On Air</v>
          </cell>
          <cell r="J1047" t="str">
            <v>Outdoor</v>
          </cell>
          <cell r="K1047" t="str">
            <v>AC</v>
          </cell>
          <cell r="L1047" t="str">
            <v>SAGEMCOM</v>
          </cell>
          <cell r="M1047" t="str">
            <v>Kayo Elie</v>
          </cell>
          <cell r="N1047" t="str">
            <v>WOURI</v>
          </cell>
          <cell r="O1047" t="str">
            <v>Douala 1</v>
          </cell>
          <cell r="P1047" t="str">
            <v>Johan Tonye</v>
          </cell>
          <cell r="Q1047">
            <v>655022001</v>
          </cell>
          <cell r="R1047">
            <v>652269685</v>
          </cell>
          <cell r="S1047" t="str">
            <v>Valery Doudou</v>
          </cell>
          <cell r="T1047" t="str">
            <v>GEORGES NAKHOUL</v>
          </cell>
          <cell r="U1047" t="str">
            <v>I H S</v>
          </cell>
        </row>
        <row r="1048">
          <cell r="A1048" t="str">
            <v>LIT_075</v>
          </cell>
          <cell r="B1048" t="str">
            <v>IHS_DLA_018</v>
          </cell>
          <cell r="C1048" t="str">
            <v>LIT_075</v>
          </cell>
          <cell r="D1048" t="str">
            <v>Littoral</v>
          </cell>
          <cell r="E1048" t="str">
            <v>Littoral</v>
          </cell>
          <cell r="F1048" t="str">
            <v>Mboppi</v>
          </cell>
          <cell r="G1048" t="str">
            <v>P4</v>
          </cell>
          <cell r="H1048" t="str">
            <v>Dismantled</v>
          </cell>
          <cell r="I1048" t="str">
            <v>On Air</v>
          </cell>
          <cell r="J1048" t="str">
            <v>Dismantled</v>
          </cell>
          <cell r="K1048" t="str">
            <v>AC</v>
          </cell>
          <cell r="L1048" t="str">
            <v>SAGEMCOM</v>
          </cell>
          <cell r="M1048" t="str">
            <v>Agip</v>
          </cell>
          <cell r="N1048" t="str">
            <v>WOURI</v>
          </cell>
          <cell r="O1048" t="str">
            <v>Douala 1</v>
          </cell>
          <cell r="P1048" t="str">
            <v>Johan Tonye</v>
          </cell>
          <cell r="Q1048">
            <v>655022001</v>
          </cell>
          <cell r="R1048">
            <v>652269685</v>
          </cell>
          <cell r="S1048" t="str">
            <v>Valery Doudou</v>
          </cell>
          <cell r="T1048" t="str">
            <v>GEORGES NAKHOUL</v>
          </cell>
          <cell r="U1048" t="str">
            <v>I H S</v>
          </cell>
        </row>
        <row r="1049">
          <cell r="A1049" t="str">
            <v>CTR_053</v>
          </cell>
          <cell r="B1049" t="str">
            <v>IHS_YND_384</v>
          </cell>
          <cell r="C1049" t="str">
            <v>CTR_053</v>
          </cell>
          <cell r="D1049" t="str">
            <v>South/East</v>
          </cell>
          <cell r="E1049" t="str">
            <v>South</v>
          </cell>
          <cell r="F1049" t="str">
            <v>Metet</v>
          </cell>
          <cell r="G1049" t="str">
            <v>P2</v>
          </cell>
          <cell r="H1049" t="str">
            <v>Grid-Gen</v>
          </cell>
          <cell r="I1049" t="str">
            <v>On Air</v>
          </cell>
          <cell r="J1049" t="str">
            <v>Indoor</v>
          </cell>
          <cell r="K1049" t="str">
            <v>AC</v>
          </cell>
          <cell r="L1049" t="str">
            <v>Dowen</v>
          </cell>
          <cell r="M1049" t="str">
            <v>Mbalmayo</v>
          </cell>
          <cell r="N1049" t="str">
            <v>DJA-ET-LOBO</v>
          </cell>
          <cell r="O1049" t="str">
            <v>COMMUNE DE MBALMAYO</v>
          </cell>
          <cell r="P1049" t="str">
            <v>Maxime Kenmoe</v>
          </cell>
          <cell r="Q1049">
            <v>677548276</v>
          </cell>
          <cell r="R1049">
            <v>655999785</v>
          </cell>
          <cell r="S1049" t="str">
            <v>Stephane KETCHOUANG</v>
          </cell>
          <cell r="T1049" t="str">
            <v>GEORGES NAKHOUL</v>
          </cell>
          <cell r="U1049" t="str">
            <v>I H S</v>
          </cell>
        </row>
        <row r="1050">
          <cell r="A1050" t="str">
            <v>CTR_111</v>
          </cell>
          <cell r="B1050" t="str">
            <v>IHS_SGM_013</v>
          </cell>
          <cell r="C1050" t="str">
            <v>CTR_111</v>
          </cell>
          <cell r="D1050" t="str">
            <v>South/East</v>
          </cell>
          <cell r="E1050" t="str">
            <v>South</v>
          </cell>
          <cell r="F1050" t="str">
            <v>Zoetele</v>
          </cell>
          <cell r="G1050" t="str">
            <v>P2</v>
          </cell>
          <cell r="H1050" t="str">
            <v>Grid-Gen</v>
          </cell>
          <cell r="I1050" t="str">
            <v>On Air</v>
          </cell>
          <cell r="J1050" t="str">
            <v>Indoor</v>
          </cell>
          <cell r="K1050" t="str">
            <v>AC</v>
          </cell>
          <cell r="L1050" t="str">
            <v>Dowen</v>
          </cell>
          <cell r="M1050" t="str">
            <v>Sangmelima</v>
          </cell>
          <cell r="N1050" t="str">
            <v>DJA-ET-LOBO</v>
          </cell>
          <cell r="O1050" t="str">
            <v>COMMUNE DE SANGMELIMA</v>
          </cell>
          <cell r="P1050" t="str">
            <v>Maxime Kenmoe</v>
          </cell>
          <cell r="Q1050">
            <v>677548276</v>
          </cell>
          <cell r="R1050">
            <v>655999785</v>
          </cell>
          <cell r="S1050" t="str">
            <v>Stephane KETCHOUANG</v>
          </cell>
          <cell r="T1050" t="str">
            <v>GEORGES NAKHOUL</v>
          </cell>
          <cell r="U1050" t="str">
            <v>I H S</v>
          </cell>
        </row>
        <row r="1051">
          <cell r="A1051" t="str">
            <v>SUD_012</v>
          </cell>
          <cell r="B1051" t="str">
            <v>IHS_SGM_008</v>
          </cell>
          <cell r="C1051" t="str">
            <v>SUD_012</v>
          </cell>
          <cell r="D1051" t="str">
            <v>South/East</v>
          </cell>
          <cell r="E1051" t="str">
            <v>South</v>
          </cell>
          <cell r="F1051" t="str">
            <v>Nkout</v>
          </cell>
          <cell r="G1051" t="str">
            <v>P2</v>
          </cell>
          <cell r="H1051" t="str">
            <v>Grid-Gen</v>
          </cell>
          <cell r="I1051" t="str">
            <v>On Air</v>
          </cell>
          <cell r="J1051" t="str">
            <v>Indoor</v>
          </cell>
          <cell r="K1051" t="str">
            <v>AC</v>
          </cell>
          <cell r="L1051" t="str">
            <v>Dowen</v>
          </cell>
          <cell r="M1051" t="str">
            <v>Sangmelima</v>
          </cell>
          <cell r="N1051" t="str">
            <v>DJA-ET-LOBO</v>
          </cell>
          <cell r="O1051" t="str">
            <v>COMMUNE DE SANGMELIMA</v>
          </cell>
          <cell r="P1051" t="str">
            <v>Maxime Kenmoe</v>
          </cell>
          <cell r="Q1051">
            <v>677548276</v>
          </cell>
          <cell r="R1051">
            <v>655999785</v>
          </cell>
          <cell r="S1051" t="str">
            <v>Stephane KETCHOUANG</v>
          </cell>
          <cell r="T1051" t="str">
            <v>GEORGES NAKHOUL</v>
          </cell>
          <cell r="U1051" t="str">
            <v>I H S</v>
          </cell>
        </row>
        <row r="1052">
          <cell r="A1052" t="str">
            <v>SUD_251</v>
          </cell>
          <cell r="B1052" t="str">
            <v>IHS_SGM_010</v>
          </cell>
          <cell r="C1052" t="str">
            <v>SUD_251</v>
          </cell>
          <cell r="D1052" t="str">
            <v>South/East</v>
          </cell>
          <cell r="E1052" t="str">
            <v>South</v>
          </cell>
          <cell r="F1052" t="str">
            <v>Essang-Mvout-MTN</v>
          </cell>
          <cell r="G1052" t="str">
            <v>P2</v>
          </cell>
          <cell r="H1052" t="str">
            <v>Hybrid-Gen</v>
          </cell>
          <cell r="I1052" t="str">
            <v>On Air</v>
          </cell>
          <cell r="J1052" t="str">
            <v>Outdoor</v>
          </cell>
          <cell r="K1052" t="str">
            <v>AC</v>
          </cell>
          <cell r="L1052" t="str">
            <v>Dowen</v>
          </cell>
          <cell r="M1052" t="str">
            <v>Sangmelima</v>
          </cell>
          <cell r="N1052" t="str">
            <v>DJA-ET-LOBO</v>
          </cell>
          <cell r="O1052" t="str">
            <v>COMMUNE DE SANGMELIMA</v>
          </cell>
          <cell r="P1052" t="str">
            <v>Maxime Kenmoe</v>
          </cell>
          <cell r="Q1052">
            <v>677548276</v>
          </cell>
          <cell r="R1052">
            <v>655999785</v>
          </cell>
          <cell r="S1052" t="str">
            <v>Stephane KETCHOUANG</v>
          </cell>
          <cell r="T1052" t="str">
            <v>GEORGES NAKHOUL</v>
          </cell>
          <cell r="U1052" t="str">
            <v>I H S</v>
          </cell>
        </row>
        <row r="1053">
          <cell r="A1053" t="str">
            <v>CTR_298</v>
          </cell>
          <cell r="B1053" t="str">
            <v>IHS_SGM_006</v>
          </cell>
          <cell r="C1053" t="str">
            <v>CTR_298</v>
          </cell>
          <cell r="D1053" t="str">
            <v>South/East</v>
          </cell>
          <cell r="E1053" t="str">
            <v>South</v>
          </cell>
          <cell r="F1053" t="str">
            <v>Olounou-MTN</v>
          </cell>
          <cell r="G1053" t="str">
            <v>P2</v>
          </cell>
          <cell r="H1053" t="str">
            <v>Hybrid-Gen</v>
          </cell>
          <cell r="I1053" t="str">
            <v>On Air</v>
          </cell>
          <cell r="J1053" t="str">
            <v>Outdoor</v>
          </cell>
          <cell r="K1053" t="str">
            <v>AC</v>
          </cell>
          <cell r="L1053" t="str">
            <v>Dowen</v>
          </cell>
          <cell r="M1053" t="str">
            <v>Sangmelima</v>
          </cell>
          <cell r="N1053" t="str">
            <v>DJA-ET-LOBO</v>
          </cell>
          <cell r="O1053" t="str">
            <v>COMMUNE DE MEYOMESSI</v>
          </cell>
          <cell r="P1053" t="str">
            <v>Maxime Kenmoe</v>
          </cell>
          <cell r="Q1053">
            <v>677548276</v>
          </cell>
          <cell r="R1053">
            <v>655999785</v>
          </cell>
          <cell r="S1053" t="str">
            <v>Stephane KETCHOUANG</v>
          </cell>
          <cell r="T1053" t="str">
            <v>GEORGES NAKHOUL</v>
          </cell>
          <cell r="U1053" t="str">
            <v>I H S</v>
          </cell>
        </row>
        <row r="1054">
          <cell r="A1054" t="str">
            <v>SUD_233</v>
          </cell>
          <cell r="B1054" t="str">
            <v>IHS_SGM_016</v>
          </cell>
          <cell r="C1054" t="str">
            <v>SUD_233</v>
          </cell>
          <cell r="D1054" t="str">
            <v>South/East</v>
          </cell>
          <cell r="E1054" t="str">
            <v>South</v>
          </cell>
          <cell r="F1054" t="str">
            <v>Boulou-MTN</v>
          </cell>
          <cell r="G1054" t="str">
            <v>P2</v>
          </cell>
          <cell r="H1054" t="str">
            <v>Hybrid-Gen</v>
          </cell>
          <cell r="I1054" t="str">
            <v>On Air</v>
          </cell>
          <cell r="J1054" t="str">
            <v>Outdoor</v>
          </cell>
          <cell r="K1054" t="str">
            <v>AC</v>
          </cell>
          <cell r="L1054" t="str">
            <v>Dowen</v>
          </cell>
          <cell r="M1054" t="str">
            <v>Djoum</v>
          </cell>
          <cell r="N1054" t="str">
            <v>DJA-ET-LOBO</v>
          </cell>
          <cell r="O1054" t="str">
            <v>COMMUNE DE DJOUM</v>
          </cell>
          <cell r="P1054" t="str">
            <v>Maxime Kenmoe</v>
          </cell>
          <cell r="Q1054">
            <v>677548276</v>
          </cell>
          <cell r="R1054">
            <v>655999785</v>
          </cell>
          <cell r="S1054" t="str">
            <v>Stephane KETCHOUANG</v>
          </cell>
          <cell r="T1054" t="str">
            <v>GEORGES NAKHOUL</v>
          </cell>
          <cell r="U1054" t="str">
            <v>I H S</v>
          </cell>
        </row>
        <row r="1055">
          <cell r="A1055" t="str">
            <v>SUD_231</v>
          </cell>
          <cell r="B1055" t="str">
            <v>IHS_SGM_019</v>
          </cell>
          <cell r="C1055" t="str">
            <v>SUD_231</v>
          </cell>
          <cell r="D1055" t="str">
            <v>South/East</v>
          </cell>
          <cell r="E1055" t="str">
            <v>South</v>
          </cell>
          <cell r="F1055" t="str">
            <v>Djoum-CIFAN</v>
          </cell>
          <cell r="G1055" t="str">
            <v>P2</v>
          </cell>
          <cell r="H1055" t="str">
            <v>Hybrid-Gen</v>
          </cell>
          <cell r="I1055" t="str">
            <v>On Air</v>
          </cell>
          <cell r="J1055" t="str">
            <v>Outdoor</v>
          </cell>
          <cell r="K1055" t="str">
            <v>AC</v>
          </cell>
          <cell r="L1055" t="str">
            <v>Dowen</v>
          </cell>
          <cell r="M1055" t="str">
            <v>Djoum</v>
          </cell>
          <cell r="N1055" t="str">
            <v>DJA-ET-LOBO</v>
          </cell>
          <cell r="O1055" t="str">
            <v>COMMUNE DE DJOUM</v>
          </cell>
          <cell r="P1055" t="str">
            <v>Maxime Kenmoe</v>
          </cell>
          <cell r="Q1055">
            <v>677548276</v>
          </cell>
          <cell r="R1055">
            <v>655999785</v>
          </cell>
          <cell r="S1055" t="str">
            <v>Stephane KETCHOUANG</v>
          </cell>
          <cell r="T1055" t="str">
            <v>GEORGES NAKHOUL</v>
          </cell>
          <cell r="U1055" t="str">
            <v>I H S</v>
          </cell>
        </row>
        <row r="1056">
          <cell r="A1056" t="str">
            <v>SUD_232</v>
          </cell>
          <cell r="B1056" t="str">
            <v>IHS_SGM_014</v>
          </cell>
          <cell r="C1056" t="str">
            <v>SUD_232</v>
          </cell>
          <cell r="D1056" t="str">
            <v>South/East</v>
          </cell>
          <cell r="E1056" t="str">
            <v>South</v>
          </cell>
          <cell r="F1056" t="str">
            <v>Bikoula-MTN</v>
          </cell>
          <cell r="G1056" t="str">
            <v>P2</v>
          </cell>
          <cell r="H1056" t="str">
            <v>Hybrid-Gen</v>
          </cell>
          <cell r="I1056" t="str">
            <v>On Air</v>
          </cell>
          <cell r="J1056" t="str">
            <v>Outdoor</v>
          </cell>
          <cell r="K1056" t="str">
            <v>AC</v>
          </cell>
          <cell r="L1056" t="str">
            <v>Dowen</v>
          </cell>
          <cell r="M1056" t="str">
            <v>Djoum</v>
          </cell>
          <cell r="N1056" t="str">
            <v>NYON-ET-SO'O</v>
          </cell>
          <cell r="O1056" t="str">
            <v>COMMUNE DE MEYOMESSI</v>
          </cell>
          <cell r="P1056" t="str">
            <v>Maxime Kenmoe</v>
          </cell>
          <cell r="Q1056">
            <v>677548276</v>
          </cell>
          <cell r="R1056">
            <v>655999785</v>
          </cell>
          <cell r="S1056" t="str">
            <v>Stephane KETCHOUANG</v>
          </cell>
          <cell r="T1056" t="str">
            <v>GEORGES NAKHOUL</v>
          </cell>
          <cell r="U1056" t="str">
            <v>I H S</v>
          </cell>
        </row>
        <row r="1057">
          <cell r="A1057" t="str">
            <v>SUD_244</v>
          </cell>
          <cell r="B1057" t="str">
            <v>IHS_SGM_021</v>
          </cell>
          <cell r="C1057" t="str">
            <v>SUD_244</v>
          </cell>
          <cell r="D1057" t="str">
            <v>South/East</v>
          </cell>
          <cell r="E1057" t="str">
            <v>South</v>
          </cell>
          <cell r="F1057" t="str">
            <v>Avobengon</v>
          </cell>
          <cell r="G1057" t="str">
            <v>P3</v>
          </cell>
          <cell r="H1057" t="str">
            <v>Hybrid-Gen</v>
          </cell>
          <cell r="I1057" t="str">
            <v>On Air</v>
          </cell>
          <cell r="J1057" t="str">
            <v>Outdoor</v>
          </cell>
          <cell r="K1057" t="str">
            <v>AC</v>
          </cell>
          <cell r="L1057" t="str">
            <v>Dowen</v>
          </cell>
          <cell r="M1057" t="str">
            <v>Djoum</v>
          </cell>
          <cell r="N1057" t="str">
            <v>DJA-ET-LOBO</v>
          </cell>
          <cell r="O1057" t="str">
            <v>COMMUNE DE DJOUM</v>
          </cell>
          <cell r="P1057" t="str">
            <v>Maxime Kenmoe</v>
          </cell>
          <cell r="Q1057">
            <v>677548276</v>
          </cell>
          <cell r="R1057">
            <v>655999785</v>
          </cell>
          <cell r="S1057" t="str">
            <v>Stephane KETCHOUANG</v>
          </cell>
          <cell r="T1057" t="str">
            <v>GEORGES NAKHOUL</v>
          </cell>
          <cell r="U1057" t="str">
            <v>I H S</v>
          </cell>
        </row>
        <row r="1058">
          <cell r="A1058" t="str">
            <v>SUD_050</v>
          </cell>
          <cell r="B1058" t="str">
            <v>IHS_SGM_108</v>
          </cell>
          <cell r="C1058" t="str">
            <v>SUD_050</v>
          </cell>
          <cell r="D1058" t="str">
            <v>South/East</v>
          </cell>
          <cell r="E1058" t="str">
            <v>South</v>
          </cell>
          <cell r="F1058" t="str">
            <v>NKOUMADJAP II</v>
          </cell>
          <cell r="G1058" t="str">
            <v>P4</v>
          </cell>
          <cell r="H1058" t="str">
            <v>Grid-Hybrid-Gen</v>
          </cell>
          <cell r="I1058" t="str">
            <v>On Air</v>
          </cell>
          <cell r="J1058" t="str">
            <v>Outdoor</v>
          </cell>
          <cell r="K1058" t="str">
            <v>AC</v>
          </cell>
          <cell r="L1058" t="str">
            <v>Dowen</v>
          </cell>
          <cell r="M1058" t="str">
            <v>Sangmelima</v>
          </cell>
          <cell r="N1058" t="str">
            <v>NYON-ET-SO'O</v>
          </cell>
          <cell r="O1058" t="str">
            <v>COMMUNE DE SANGMELIMA</v>
          </cell>
          <cell r="P1058" t="str">
            <v>Maxime Kenmoe</v>
          </cell>
          <cell r="Q1058">
            <v>677548276</v>
          </cell>
          <cell r="R1058">
            <v>655999785</v>
          </cell>
          <cell r="S1058" t="str">
            <v>Stephane KETCHOUANG</v>
          </cell>
          <cell r="T1058" t="str">
            <v>GEORGES NAKHOUL</v>
          </cell>
          <cell r="U1058" t="str">
            <v>I H S</v>
          </cell>
        </row>
        <row r="1059">
          <cell r="A1059" t="str">
            <v>SUD_222</v>
          </cell>
          <cell r="B1059" t="str">
            <v>IHS_BER_084</v>
          </cell>
          <cell r="C1059" t="str">
            <v>SUD_222</v>
          </cell>
          <cell r="D1059" t="str">
            <v>South/East</v>
          </cell>
          <cell r="E1059" t="str">
            <v>South</v>
          </cell>
          <cell r="F1059" t="str">
            <v>Mbalam</v>
          </cell>
          <cell r="G1059" t="str">
            <v>P4</v>
          </cell>
          <cell r="H1059" t="str">
            <v>Solar-Gen</v>
          </cell>
          <cell r="I1059" t="str">
            <v>On Air</v>
          </cell>
          <cell r="J1059" t="str">
            <v>Outdoor</v>
          </cell>
          <cell r="K1059" t="str">
            <v>AC</v>
          </cell>
          <cell r="L1059" t="str">
            <v>Dowen</v>
          </cell>
          <cell r="M1059" t="str">
            <v>Djoum</v>
          </cell>
          <cell r="N1059" t="str">
            <v>HAUT-NYONG</v>
          </cell>
          <cell r="O1059" t="str">
            <v>COMMUNE DE NGOLYA</v>
          </cell>
          <cell r="P1059" t="str">
            <v>Maxime Kenmoe</v>
          </cell>
          <cell r="Q1059">
            <v>677548276</v>
          </cell>
          <cell r="R1059">
            <v>655999785</v>
          </cell>
          <cell r="S1059" t="str">
            <v>Stephane KETCHOUANG</v>
          </cell>
          <cell r="T1059" t="str">
            <v>GEORGES NAKHOUL</v>
          </cell>
          <cell r="U1059" t="str">
            <v>I H S</v>
          </cell>
        </row>
        <row r="1060">
          <cell r="A1060" t="str">
            <v>SUD_064</v>
          </cell>
          <cell r="B1060" t="str">
            <v>IHS_SGM_105</v>
          </cell>
          <cell r="C1060" t="str">
            <v>SUD_064</v>
          </cell>
          <cell r="D1060" t="str">
            <v>South/East</v>
          </cell>
          <cell r="E1060" t="str">
            <v>South</v>
          </cell>
          <cell r="F1060" t="str">
            <v>Djoum Ville IHS</v>
          </cell>
          <cell r="G1060" t="str">
            <v>P4</v>
          </cell>
          <cell r="H1060" t="str">
            <v>Grid-Gen</v>
          </cell>
          <cell r="I1060" t="str">
            <v>On Air</v>
          </cell>
          <cell r="J1060" t="str">
            <v>Outdoor</v>
          </cell>
          <cell r="K1060" t="str">
            <v>AC</v>
          </cell>
          <cell r="L1060" t="str">
            <v>Dowen</v>
          </cell>
          <cell r="M1060" t="str">
            <v>Djoum</v>
          </cell>
          <cell r="N1060" t="str">
            <v>DJA-ET-LOBO</v>
          </cell>
          <cell r="O1060" t="str">
            <v>COMMUNE DE DJOUM</v>
          </cell>
          <cell r="P1060" t="str">
            <v>Maxime Kenmoe</v>
          </cell>
          <cell r="Q1060">
            <v>677548276</v>
          </cell>
          <cell r="R1060">
            <v>655999785</v>
          </cell>
          <cell r="S1060" t="str">
            <v>Stephane KETCHOUANG</v>
          </cell>
          <cell r="T1060" t="str">
            <v>GEORGES NAKHOUL</v>
          </cell>
          <cell r="U1060" t="str">
            <v>I H S</v>
          </cell>
        </row>
        <row r="1061">
          <cell r="A1061" t="str">
            <v>SUD_224</v>
          </cell>
          <cell r="B1061" t="str">
            <v>IHS_SGM_002</v>
          </cell>
          <cell r="C1061" t="str">
            <v>SUD_224</v>
          </cell>
          <cell r="D1061" t="str">
            <v>South/East</v>
          </cell>
          <cell r="E1061" t="str">
            <v>South</v>
          </cell>
          <cell r="F1061" t="str">
            <v>Sangmelima-II</v>
          </cell>
          <cell r="G1061" t="str">
            <v>P4</v>
          </cell>
          <cell r="H1061" t="str">
            <v>Grid-Gen</v>
          </cell>
          <cell r="I1061" t="str">
            <v>On Air</v>
          </cell>
          <cell r="J1061" t="str">
            <v>Outdoor</v>
          </cell>
          <cell r="K1061" t="str">
            <v>AC</v>
          </cell>
          <cell r="L1061" t="str">
            <v>Dowen</v>
          </cell>
          <cell r="M1061" t="str">
            <v>Sangmelima</v>
          </cell>
          <cell r="N1061" t="str">
            <v>DJA-ET-LOBO</v>
          </cell>
          <cell r="O1061" t="str">
            <v>COMMUNE DE SANGMELIMA</v>
          </cell>
          <cell r="P1061" t="str">
            <v>Maxime Kenmoe</v>
          </cell>
          <cell r="Q1061">
            <v>677548276</v>
          </cell>
          <cell r="R1061">
            <v>655999785</v>
          </cell>
          <cell r="S1061" t="str">
            <v>Stephane KETCHOUANG</v>
          </cell>
          <cell r="T1061" t="str">
            <v>GEORGES NAKHOUL</v>
          </cell>
          <cell r="U1061" t="str">
            <v>I H S</v>
          </cell>
        </row>
        <row r="1062">
          <cell r="A1062" t="str">
            <v>SUD_066</v>
          </cell>
          <cell r="B1062" t="str">
            <v>IHS_EBO_109</v>
          </cell>
          <cell r="C1062" t="str">
            <v>SUD_066</v>
          </cell>
          <cell r="D1062" t="str">
            <v>South/East</v>
          </cell>
          <cell r="E1062" t="str">
            <v>South</v>
          </cell>
          <cell r="F1062" t="str">
            <v>Mvangan</v>
          </cell>
          <cell r="G1062" t="str">
            <v>P4</v>
          </cell>
          <cell r="H1062" t="str">
            <v>Grid-Hybrid-Gen</v>
          </cell>
          <cell r="I1062" t="str">
            <v>On Air</v>
          </cell>
          <cell r="J1062" t="str">
            <v>Outdoor</v>
          </cell>
          <cell r="K1062" t="str">
            <v>AC</v>
          </cell>
          <cell r="L1062" t="str">
            <v>Dowen</v>
          </cell>
          <cell r="M1062" t="str">
            <v>Sangmelima</v>
          </cell>
          <cell r="N1062" t="str">
            <v>MVILLA</v>
          </cell>
          <cell r="O1062" t="str">
            <v>COMMUNE DE MVANGAN</v>
          </cell>
          <cell r="P1062" t="str">
            <v>Maxime Kenmoe</v>
          </cell>
          <cell r="Q1062">
            <v>677548276</v>
          </cell>
          <cell r="R1062">
            <v>655999785</v>
          </cell>
          <cell r="S1062" t="str">
            <v>Stephane KETCHOUANG</v>
          </cell>
          <cell r="T1062" t="str">
            <v>GEORGES NAKHOUL</v>
          </cell>
          <cell r="U1062" t="str">
            <v>I H S</v>
          </cell>
        </row>
        <row r="1063">
          <cell r="A1063" t="str">
            <v>SUD_248</v>
          </cell>
          <cell r="B1063" t="str">
            <v>IHS_SGM_024</v>
          </cell>
          <cell r="C1063" t="str">
            <v>SUD_248</v>
          </cell>
          <cell r="D1063" t="str">
            <v>South/East</v>
          </cell>
          <cell r="E1063" t="str">
            <v>South</v>
          </cell>
          <cell r="F1063" t="str">
            <v>Koungoulou-MTN</v>
          </cell>
          <cell r="G1063" t="str">
            <v>P4</v>
          </cell>
          <cell r="H1063" t="str">
            <v>Hybrid-Gen</v>
          </cell>
          <cell r="I1063" t="str">
            <v>On Air</v>
          </cell>
          <cell r="J1063" t="str">
            <v>Outdoor</v>
          </cell>
          <cell r="K1063" t="str">
            <v>AC</v>
          </cell>
          <cell r="L1063" t="str">
            <v>Dowen</v>
          </cell>
          <cell r="M1063" t="str">
            <v>Djoum</v>
          </cell>
          <cell r="N1063" t="str">
            <v>DJA-ET-LOBO</v>
          </cell>
          <cell r="O1063" t="str">
            <v>COMMUNE DE MINTOM</v>
          </cell>
          <cell r="P1063" t="str">
            <v>Maxime Kenmoe</v>
          </cell>
          <cell r="Q1063">
            <v>677548276</v>
          </cell>
          <cell r="R1063">
            <v>655999785</v>
          </cell>
          <cell r="S1063" t="str">
            <v>Stephane KETCHOUANG</v>
          </cell>
          <cell r="T1063" t="str">
            <v>GEORGES NAKHOUL</v>
          </cell>
          <cell r="U1063" t="str">
            <v>I H S</v>
          </cell>
        </row>
        <row r="1064">
          <cell r="A1064" t="str">
            <v>SUD_237</v>
          </cell>
          <cell r="B1064" t="str">
            <v>IHS_SGM_011</v>
          </cell>
          <cell r="C1064" t="str">
            <v>SUD_237</v>
          </cell>
          <cell r="D1064" t="str">
            <v>South/East</v>
          </cell>
          <cell r="E1064" t="str">
            <v>South</v>
          </cell>
          <cell r="F1064" t="str">
            <v>Mvoutessi-MTN</v>
          </cell>
          <cell r="G1064" t="str">
            <v>P4</v>
          </cell>
          <cell r="H1064" t="str">
            <v>Gen Only</v>
          </cell>
          <cell r="I1064" t="str">
            <v>On Air</v>
          </cell>
          <cell r="J1064" t="str">
            <v>Indoor</v>
          </cell>
          <cell r="K1064" t="str">
            <v>AC</v>
          </cell>
          <cell r="L1064" t="str">
            <v>Dowen</v>
          </cell>
          <cell r="M1064" t="str">
            <v>Sangmelima</v>
          </cell>
          <cell r="N1064" t="str">
            <v>DJA-ET-LOBO</v>
          </cell>
          <cell r="O1064" t="str">
            <v>COMMUNE DE SANGMELIMA</v>
          </cell>
          <cell r="P1064" t="str">
            <v>Maxime Kenmoe</v>
          </cell>
          <cell r="Q1064">
            <v>677548276</v>
          </cell>
          <cell r="R1064">
            <v>655999785</v>
          </cell>
          <cell r="S1064" t="str">
            <v>Stephane KETCHOUANG</v>
          </cell>
          <cell r="T1064" t="str">
            <v>GEORGES NAKHOUL</v>
          </cell>
          <cell r="U1064" t="str">
            <v>I H S</v>
          </cell>
        </row>
        <row r="1065">
          <cell r="A1065" t="str">
            <v>SUD_247</v>
          </cell>
          <cell r="B1065" t="str">
            <v>IHS_SGM_022</v>
          </cell>
          <cell r="C1065" t="str">
            <v>SUD_247</v>
          </cell>
          <cell r="D1065" t="str">
            <v>South/East</v>
          </cell>
          <cell r="E1065" t="str">
            <v>South</v>
          </cell>
          <cell r="F1065" t="str">
            <v>Messam-MTN</v>
          </cell>
          <cell r="G1065" t="str">
            <v>P4</v>
          </cell>
          <cell r="H1065" t="str">
            <v>Hybrid-Gen</v>
          </cell>
          <cell r="I1065" t="str">
            <v>On Air</v>
          </cell>
          <cell r="J1065" t="str">
            <v>Outdoor</v>
          </cell>
          <cell r="K1065" t="str">
            <v>AC</v>
          </cell>
          <cell r="L1065" t="str">
            <v>Dowen</v>
          </cell>
          <cell r="M1065" t="str">
            <v>Djoum</v>
          </cell>
          <cell r="N1065" t="str">
            <v>DJA-ET-LOBO</v>
          </cell>
          <cell r="O1065" t="str">
            <v>COMMUNE DE DJOUM</v>
          </cell>
          <cell r="P1065" t="str">
            <v>Maxime Kenmoe</v>
          </cell>
          <cell r="Q1065">
            <v>677548276</v>
          </cell>
          <cell r="R1065">
            <v>655999785</v>
          </cell>
          <cell r="S1065" t="str">
            <v>Stephane KETCHOUANG</v>
          </cell>
          <cell r="T1065" t="str">
            <v>GEORGES NAKHOUL</v>
          </cell>
          <cell r="U1065" t="str">
            <v>I H S</v>
          </cell>
        </row>
        <row r="1066">
          <cell r="A1066" t="str">
            <v>SUD_069</v>
          </cell>
          <cell r="B1066" t="str">
            <v>IHS_SGM_109</v>
          </cell>
          <cell r="C1066" t="str">
            <v>SUD_069</v>
          </cell>
          <cell r="D1066" t="str">
            <v>South/East</v>
          </cell>
          <cell r="E1066" t="str">
            <v>South</v>
          </cell>
          <cell r="F1066" t="str">
            <v>Mbile</v>
          </cell>
          <cell r="G1066" t="str">
            <v>P5</v>
          </cell>
          <cell r="H1066" t="str">
            <v>Gen Only</v>
          </cell>
          <cell r="I1066" t="str">
            <v>On Air</v>
          </cell>
          <cell r="J1066" t="str">
            <v>Outdoor</v>
          </cell>
          <cell r="K1066" t="str">
            <v>AC</v>
          </cell>
          <cell r="L1066" t="str">
            <v>Dowen</v>
          </cell>
          <cell r="M1066" t="str">
            <v>Sangmelima</v>
          </cell>
          <cell r="N1066" t="str">
            <v>DJA-ET-LOBO</v>
          </cell>
          <cell r="O1066" t="str">
            <v>COMMUNE DE SANGMELIMA</v>
          </cell>
          <cell r="P1066" t="str">
            <v>Maxime Kenmoe</v>
          </cell>
          <cell r="Q1066">
            <v>677548276</v>
          </cell>
          <cell r="R1066">
            <v>655999785</v>
          </cell>
          <cell r="S1066" t="str">
            <v>Stephane KETCHOUANG</v>
          </cell>
          <cell r="T1066" t="str">
            <v>GEORGES NAKHOUL</v>
          </cell>
          <cell r="U1066" t="str">
            <v>I H S</v>
          </cell>
        </row>
        <row r="1067">
          <cell r="A1067" t="str">
            <v>SUD_252</v>
          </cell>
          <cell r="B1067" t="str">
            <v>IHS_SGM_020</v>
          </cell>
          <cell r="C1067" t="str">
            <v>SUD_252</v>
          </cell>
          <cell r="D1067" t="str">
            <v>South/East</v>
          </cell>
          <cell r="E1067" t="str">
            <v>South</v>
          </cell>
          <cell r="F1067" t="str">
            <v>Djoum-CAMINEX</v>
          </cell>
          <cell r="G1067" t="str">
            <v>P5</v>
          </cell>
          <cell r="H1067" t="str">
            <v>Hybrid-Gen</v>
          </cell>
          <cell r="I1067" t="str">
            <v>On Air</v>
          </cell>
          <cell r="J1067" t="str">
            <v>Outdoor</v>
          </cell>
          <cell r="K1067" t="str">
            <v>AC</v>
          </cell>
          <cell r="L1067" t="str">
            <v>Dowen</v>
          </cell>
          <cell r="M1067" t="str">
            <v>Djoum</v>
          </cell>
          <cell r="N1067" t="str">
            <v>DJA-ET-LOBO</v>
          </cell>
          <cell r="O1067" t="str">
            <v>COMMUNE DE DJOUM</v>
          </cell>
          <cell r="P1067" t="str">
            <v>Maxime Kenmoe</v>
          </cell>
          <cell r="Q1067">
            <v>677548276</v>
          </cell>
          <cell r="R1067">
            <v>655999785</v>
          </cell>
          <cell r="S1067" t="str">
            <v>Stephane KETCHOUANG</v>
          </cell>
          <cell r="T1067" t="str">
            <v>GEORGES NAKHOUL</v>
          </cell>
          <cell r="U1067" t="str">
            <v>I H S</v>
          </cell>
        </row>
        <row r="1068">
          <cell r="A1068" t="str">
            <v>SUD_228</v>
          </cell>
          <cell r="B1068" t="str">
            <v>IHS_SGM_001</v>
          </cell>
          <cell r="C1068" t="str">
            <v>SUD_228</v>
          </cell>
          <cell r="D1068" t="str">
            <v>South/East</v>
          </cell>
          <cell r="E1068" t="str">
            <v>South</v>
          </cell>
          <cell r="F1068" t="str">
            <v>Sangmelima-Ville</v>
          </cell>
          <cell r="G1068" t="str">
            <v>P5</v>
          </cell>
          <cell r="H1068" t="str">
            <v>Grid-Gen</v>
          </cell>
          <cell r="I1068" t="str">
            <v>On Air</v>
          </cell>
          <cell r="J1068" t="str">
            <v>Outdoor</v>
          </cell>
          <cell r="K1068" t="str">
            <v>AC</v>
          </cell>
          <cell r="L1068" t="str">
            <v>Dowen</v>
          </cell>
          <cell r="M1068" t="str">
            <v>Sangmelima</v>
          </cell>
          <cell r="N1068" t="str">
            <v>DJA-ET-LOBO</v>
          </cell>
          <cell r="O1068" t="str">
            <v>COMMUNE DE SANGMELIMA</v>
          </cell>
          <cell r="P1068" t="str">
            <v>Maxime Kenmoe</v>
          </cell>
          <cell r="Q1068">
            <v>677548276</v>
          </cell>
          <cell r="R1068">
            <v>655999785</v>
          </cell>
          <cell r="S1068" t="str">
            <v>Stephane KETCHOUANG</v>
          </cell>
          <cell r="T1068" t="str">
            <v>GEORGES NAKHOUL</v>
          </cell>
          <cell r="U1068" t="str">
            <v>I H S</v>
          </cell>
        </row>
        <row r="1069">
          <cell r="A1069" t="str">
            <v>CTR_225</v>
          </cell>
          <cell r="B1069" t="str">
            <v>IHS_YND_452</v>
          </cell>
          <cell r="C1069" t="str">
            <v>CTR_225</v>
          </cell>
          <cell r="D1069" t="str">
            <v>South/East</v>
          </cell>
          <cell r="E1069" t="str">
            <v>South</v>
          </cell>
          <cell r="F1069" t="str">
            <v>Endom</v>
          </cell>
          <cell r="G1069" t="str">
            <v>P5</v>
          </cell>
          <cell r="H1069" t="str">
            <v>Grid-Hybrid-Gen</v>
          </cell>
          <cell r="I1069" t="str">
            <v>On Air</v>
          </cell>
          <cell r="J1069" t="str">
            <v>Outdoor</v>
          </cell>
          <cell r="K1069" t="str">
            <v>AC</v>
          </cell>
          <cell r="L1069" t="str">
            <v>Dowen</v>
          </cell>
          <cell r="M1069" t="str">
            <v>Sangmelima</v>
          </cell>
          <cell r="N1069" t="str">
            <v>DJA-ET-LOBO</v>
          </cell>
          <cell r="O1069" t="str">
            <v>COMMUNE DE ENDOM</v>
          </cell>
          <cell r="P1069" t="str">
            <v>Maxime Kenmoe</v>
          </cell>
          <cell r="Q1069">
            <v>677548276</v>
          </cell>
          <cell r="R1069">
            <v>655999785</v>
          </cell>
          <cell r="S1069" t="str">
            <v>Stephane KETCHOUANG</v>
          </cell>
          <cell r="T1069" t="str">
            <v>GEORGES NAKHOUL</v>
          </cell>
          <cell r="U1069" t="str">
            <v>I H S</v>
          </cell>
        </row>
        <row r="1070">
          <cell r="A1070" t="str">
            <v>SUD_249</v>
          </cell>
          <cell r="B1070" t="str">
            <v>IHS_SGM_005</v>
          </cell>
          <cell r="C1070" t="str">
            <v>SUD_249</v>
          </cell>
          <cell r="D1070" t="str">
            <v>South/East</v>
          </cell>
          <cell r="E1070" t="str">
            <v>South</v>
          </cell>
          <cell r="F1070" t="str">
            <v>Nyazanga</v>
          </cell>
          <cell r="G1070" t="str">
            <v>P5</v>
          </cell>
          <cell r="H1070" t="str">
            <v>Grid-Gen</v>
          </cell>
          <cell r="I1070" t="str">
            <v>On Air</v>
          </cell>
          <cell r="J1070" t="str">
            <v>Outdoor</v>
          </cell>
          <cell r="K1070" t="str">
            <v>AC</v>
          </cell>
          <cell r="L1070" t="str">
            <v>Dowen</v>
          </cell>
          <cell r="M1070" t="str">
            <v>Sangmelima</v>
          </cell>
          <cell r="N1070" t="str">
            <v>DJA-ET-LOBO</v>
          </cell>
          <cell r="O1070" t="str">
            <v>COMMUNE DE SANGMELIMA</v>
          </cell>
          <cell r="P1070" t="str">
            <v>Maxime Kenmoe</v>
          </cell>
          <cell r="Q1070">
            <v>677548276</v>
          </cell>
          <cell r="R1070">
            <v>655999785</v>
          </cell>
          <cell r="S1070" t="str">
            <v>Stephane KETCHOUANG</v>
          </cell>
          <cell r="T1070" t="str">
            <v>GEORGES NAKHOUL</v>
          </cell>
          <cell r="U1070" t="str">
            <v>I H S</v>
          </cell>
        </row>
        <row r="1071">
          <cell r="A1071" t="str">
            <v>SUD_235</v>
          </cell>
          <cell r="B1071" t="str">
            <v>IHS_YND_382</v>
          </cell>
          <cell r="C1071" t="str">
            <v>SUD_235</v>
          </cell>
          <cell r="D1071" t="str">
            <v>South/East</v>
          </cell>
          <cell r="E1071" t="str">
            <v>South</v>
          </cell>
          <cell r="F1071" t="str">
            <v>Memiam-MTN</v>
          </cell>
          <cell r="G1071" t="str">
            <v>P5</v>
          </cell>
          <cell r="H1071" t="str">
            <v>Grid-Gen</v>
          </cell>
          <cell r="I1071" t="str">
            <v>On Air</v>
          </cell>
          <cell r="J1071" t="str">
            <v>Outdoor</v>
          </cell>
          <cell r="K1071" t="str">
            <v>AC</v>
          </cell>
          <cell r="L1071" t="str">
            <v>Dowen</v>
          </cell>
          <cell r="M1071" t="str">
            <v>Mbalmayo</v>
          </cell>
          <cell r="N1071" t="str">
            <v>DJA-ET-LOBO</v>
          </cell>
          <cell r="O1071" t="str">
            <v>COMMUNE DE MBALMAYO</v>
          </cell>
          <cell r="P1071" t="str">
            <v>Maxime Kenmoe</v>
          </cell>
          <cell r="Q1071">
            <v>677548276</v>
          </cell>
          <cell r="R1071">
            <v>655999785</v>
          </cell>
          <cell r="S1071" t="str">
            <v>Stephane KETCHOUANG</v>
          </cell>
          <cell r="T1071" t="str">
            <v>GEORGES NAKHOUL</v>
          </cell>
          <cell r="U1071" t="str">
            <v>I H S</v>
          </cell>
        </row>
        <row r="1072">
          <cell r="A1072" t="str">
            <v>SUD_052</v>
          </cell>
          <cell r="B1072" t="str">
            <v>IHS_SGM_101</v>
          </cell>
          <cell r="C1072" t="str">
            <v>SUD_052</v>
          </cell>
          <cell r="D1072" t="str">
            <v>South/East</v>
          </cell>
          <cell r="E1072" t="str">
            <v>South</v>
          </cell>
          <cell r="F1072" t="str">
            <v>Bengbis</v>
          </cell>
          <cell r="G1072" t="str">
            <v>P5</v>
          </cell>
          <cell r="H1072" t="str">
            <v>Grid-Gen</v>
          </cell>
          <cell r="I1072" t="str">
            <v>On Air</v>
          </cell>
          <cell r="J1072" t="str">
            <v>Outdoor</v>
          </cell>
          <cell r="K1072" t="str">
            <v>AC</v>
          </cell>
          <cell r="L1072" t="str">
            <v>Dowen</v>
          </cell>
          <cell r="M1072" t="str">
            <v>Sangmelima</v>
          </cell>
          <cell r="N1072" t="str">
            <v>MEFOU-ET-AKONO</v>
          </cell>
          <cell r="O1072" t="str">
            <v>COMMUNE DE BENGBIS</v>
          </cell>
          <cell r="P1072" t="str">
            <v>Maxime Kenmoe</v>
          </cell>
          <cell r="Q1072">
            <v>677548276</v>
          </cell>
          <cell r="R1072">
            <v>655999785</v>
          </cell>
          <cell r="S1072" t="str">
            <v>Stephane KETCHOUANG</v>
          </cell>
          <cell r="T1072" t="str">
            <v>GEORGES NAKHOUL</v>
          </cell>
          <cell r="U1072" t="str">
            <v>I H S</v>
          </cell>
        </row>
        <row r="1073">
          <cell r="A1073" t="str">
            <v>SUD_062</v>
          </cell>
          <cell r="B1073" t="str">
            <v>IHS_SGM_009</v>
          </cell>
          <cell r="C1073" t="str">
            <v>SUD_062</v>
          </cell>
          <cell r="D1073" t="str">
            <v>South/East</v>
          </cell>
          <cell r="E1073" t="str">
            <v>South</v>
          </cell>
          <cell r="F1073" t="str">
            <v>Ndonkol</v>
          </cell>
          <cell r="G1073" t="str">
            <v>P5</v>
          </cell>
          <cell r="H1073" t="str">
            <v>Grid-Gen</v>
          </cell>
          <cell r="I1073" t="str">
            <v>On Air</v>
          </cell>
          <cell r="J1073" t="str">
            <v>Outdoor</v>
          </cell>
          <cell r="K1073" t="str">
            <v>AC</v>
          </cell>
          <cell r="L1073" t="str">
            <v>Dowen</v>
          </cell>
          <cell r="M1073" t="str">
            <v>Sangmelima</v>
          </cell>
          <cell r="N1073" t="str">
            <v>DJA-ET-LOBO</v>
          </cell>
          <cell r="O1073" t="str">
            <v>COMMUNE DE SANGMELIMA</v>
          </cell>
          <cell r="P1073" t="str">
            <v>Maxime Kenmoe</v>
          </cell>
          <cell r="Q1073">
            <v>677548276</v>
          </cell>
          <cell r="R1073">
            <v>655999785</v>
          </cell>
          <cell r="S1073" t="str">
            <v>Stephane KETCHOUANG</v>
          </cell>
          <cell r="T1073" t="str">
            <v>GEORGES NAKHOUL</v>
          </cell>
          <cell r="U1073" t="str">
            <v>I H S</v>
          </cell>
        </row>
        <row r="1074">
          <cell r="A1074" t="str">
            <v>SUD_239</v>
          </cell>
          <cell r="B1074" t="str">
            <v>IHS_SGM_004</v>
          </cell>
          <cell r="C1074" t="str">
            <v>SUD_239</v>
          </cell>
          <cell r="D1074" t="str">
            <v>South/East</v>
          </cell>
          <cell r="E1074" t="str">
            <v>South</v>
          </cell>
          <cell r="F1074" t="str">
            <v>Kpwang-MTN</v>
          </cell>
          <cell r="G1074" t="str">
            <v>P5</v>
          </cell>
          <cell r="H1074" t="str">
            <v>Grid-Gen</v>
          </cell>
          <cell r="I1074" t="str">
            <v>On Air</v>
          </cell>
          <cell r="J1074" t="str">
            <v>Outdoor</v>
          </cell>
          <cell r="K1074" t="str">
            <v>AC</v>
          </cell>
          <cell r="L1074" t="str">
            <v>Dowen</v>
          </cell>
          <cell r="M1074" t="str">
            <v>Sangmelima</v>
          </cell>
          <cell r="N1074" t="str">
            <v>DJA-ET-LOBO</v>
          </cell>
          <cell r="O1074" t="str">
            <v>COMMUNE DE SANGMELIMA</v>
          </cell>
          <cell r="P1074" t="str">
            <v>Maxime Kenmoe</v>
          </cell>
          <cell r="Q1074">
            <v>677548276</v>
          </cell>
          <cell r="R1074">
            <v>655999785</v>
          </cell>
          <cell r="S1074" t="str">
            <v>Stephane KETCHOUANG</v>
          </cell>
          <cell r="T1074" t="str">
            <v>GEORGES NAKHOUL</v>
          </cell>
          <cell r="U1074" t="str">
            <v>I H S</v>
          </cell>
        </row>
        <row r="1075">
          <cell r="A1075" t="str">
            <v>SUD_258</v>
          </cell>
          <cell r="B1075" t="str">
            <v>IHS_SGM_003</v>
          </cell>
          <cell r="C1075" t="str">
            <v>SUD_258</v>
          </cell>
          <cell r="D1075" t="str">
            <v>South/East</v>
          </cell>
          <cell r="E1075" t="str">
            <v>South</v>
          </cell>
          <cell r="F1075" t="str">
            <v>Sangmelima-Akon-MTN</v>
          </cell>
          <cell r="G1075" t="str">
            <v>P5</v>
          </cell>
          <cell r="H1075" t="str">
            <v>Grid-Gen</v>
          </cell>
          <cell r="I1075" t="str">
            <v>On Air</v>
          </cell>
          <cell r="J1075" t="str">
            <v>Outdoor</v>
          </cell>
          <cell r="K1075" t="str">
            <v>AC</v>
          </cell>
          <cell r="L1075" t="str">
            <v>Dowen</v>
          </cell>
          <cell r="M1075" t="str">
            <v>Sangmelima</v>
          </cell>
          <cell r="N1075" t="str">
            <v>DJA-ET-LOBO</v>
          </cell>
          <cell r="O1075" t="str">
            <v>SANGMELIMA</v>
          </cell>
          <cell r="P1075" t="str">
            <v>Maxime Kenmoe</v>
          </cell>
          <cell r="Q1075">
            <v>677548276</v>
          </cell>
          <cell r="R1075">
            <v>655999785</v>
          </cell>
          <cell r="S1075" t="str">
            <v>Stephane KETCHOUANG</v>
          </cell>
          <cell r="T1075" t="str">
            <v>GEORGES NAKHOUL</v>
          </cell>
          <cell r="U1075" t="str">
            <v>I H S</v>
          </cell>
        </row>
        <row r="1076">
          <cell r="A1076" t="str">
            <v>SUD_105</v>
          </cell>
          <cell r="B1076" t="str">
            <v>IHS_SGM_023</v>
          </cell>
          <cell r="C1076" t="str">
            <v>SUD_105</v>
          </cell>
          <cell r="D1076" t="str">
            <v>South/East</v>
          </cell>
          <cell r="E1076" t="str">
            <v>South</v>
          </cell>
          <cell r="F1076" t="str">
            <v>MBOMELA</v>
          </cell>
          <cell r="G1076" t="str">
            <v>P5</v>
          </cell>
          <cell r="H1076" t="str">
            <v>Hybrid-Gen</v>
          </cell>
          <cell r="I1076" t="str">
            <v>On Air</v>
          </cell>
          <cell r="J1076" t="str">
            <v>Outdoor</v>
          </cell>
          <cell r="K1076" t="str">
            <v>AC</v>
          </cell>
          <cell r="L1076" t="str">
            <v>Dowen</v>
          </cell>
          <cell r="M1076" t="str">
            <v>Djoum</v>
          </cell>
          <cell r="N1076" t="str">
            <v>DJA-ET-LOBO</v>
          </cell>
          <cell r="O1076" t="str">
            <v>COMMUNE DE MINTOM</v>
          </cell>
          <cell r="P1076" t="str">
            <v>Maxime Kenmoe</v>
          </cell>
          <cell r="Q1076">
            <v>677548276</v>
          </cell>
          <cell r="R1076">
            <v>655999785</v>
          </cell>
          <cell r="S1076" t="str">
            <v>Stephane KETCHOUANG</v>
          </cell>
          <cell r="T1076" t="str">
            <v>GEORGES NAKHOUL</v>
          </cell>
          <cell r="U1076" t="str">
            <v>I H S</v>
          </cell>
        </row>
        <row r="1077">
          <cell r="A1077" t="str">
            <v>CTR_673</v>
          </cell>
          <cell r="B1077" t="str">
            <v>IHS_YND_383</v>
          </cell>
          <cell r="C1077" t="str">
            <v>CTR_673</v>
          </cell>
          <cell r="D1077" t="str">
            <v>South/East</v>
          </cell>
          <cell r="E1077" t="str">
            <v>South</v>
          </cell>
          <cell r="F1077" t="str">
            <v>Yop</v>
          </cell>
          <cell r="G1077" t="str">
            <v>P5</v>
          </cell>
          <cell r="H1077" t="str">
            <v>Solar-Grid-Gen</v>
          </cell>
          <cell r="I1077" t="str">
            <v>On Air</v>
          </cell>
          <cell r="J1077" t="str">
            <v>Outdoor</v>
          </cell>
          <cell r="K1077" t="str">
            <v>AC</v>
          </cell>
          <cell r="L1077" t="str">
            <v>Dowen</v>
          </cell>
          <cell r="M1077" t="str">
            <v>Mbalmayo</v>
          </cell>
          <cell r="N1077" t="str">
            <v>DJA-ET-LOBO</v>
          </cell>
          <cell r="O1077" t="str">
            <v>COMMUNE DE MBALMAYO</v>
          </cell>
          <cell r="P1077" t="str">
            <v>Maxime Kenmoe</v>
          </cell>
          <cell r="Q1077">
            <v>677548276</v>
          </cell>
          <cell r="R1077">
            <v>655999785</v>
          </cell>
          <cell r="S1077" t="str">
            <v>Stephane KETCHOUANG</v>
          </cell>
          <cell r="T1077" t="str">
            <v>GEORGES NAKHOUL</v>
          </cell>
          <cell r="U1077" t="str">
            <v>I H S</v>
          </cell>
        </row>
        <row r="1078">
          <cell r="A1078" t="str">
            <v>SUD_246</v>
          </cell>
          <cell r="B1078" t="str">
            <v>IHS_SGM_025</v>
          </cell>
          <cell r="C1078" t="str">
            <v>SUD_246</v>
          </cell>
          <cell r="D1078" t="str">
            <v>South/East</v>
          </cell>
          <cell r="E1078" t="str">
            <v>South</v>
          </cell>
          <cell r="F1078" t="str">
            <v>Mintom-MTN</v>
          </cell>
          <cell r="G1078" t="str">
            <v>P5</v>
          </cell>
          <cell r="H1078" t="str">
            <v>Solar-Gen</v>
          </cell>
          <cell r="I1078" t="str">
            <v>On Air</v>
          </cell>
          <cell r="J1078" t="str">
            <v>Indoor</v>
          </cell>
          <cell r="K1078" t="str">
            <v>AC</v>
          </cell>
          <cell r="L1078" t="str">
            <v>Dowen</v>
          </cell>
          <cell r="M1078" t="str">
            <v>Djoum</v>
          </cell>
          <cell r="N1078" t="str">
            <v>DJA-ET-LOBO</v>
          </cell>
          <cell r="O1078" t="str">
            <v>COMMUNE DE MINTOM</v>
          </cell>
          <cell r="P1078" t="str">
            <v>Maxime Kenmoe</v>
          </cell>
          <cell r="Q1078">
            <v>677548276</v>
          </cell>
          <cell r="R1078">
            <v>655999785</v>
          </cell>
          <cell r="S1078" t="str">
            <v>Stephane KETCHOUANG</v>
          </cell>
          <cell r="T1078" t="str">
            <v>GEORGES NAKHOUL</v>
          </cell>
          <cell r="U1078" t="str">
            <v>I H S</v>
          </cell>
        </row>
        <row r="1079">
          <cell r="A1079" t="str">
            <v>CTR_122</v>
          </cell>
          <cell r="B1079" t="str">
            <v>IHS_YND_230</v>
          </cell>
          <cell r="C1079" t="str">
            <v>CTR_122</v>
          </cell>
          <cell r="D1079" t="str">
            <v>Center</v>
          </cell>
          <cell r="E1079" t="str">
            <v>Center</v>
          </cell>
          <cell r="F1079" t="str">
            <v>Meyong-Meyeme</v>
          </cell>
          <cell r="G1079" t="str">
            <v>P2</v>
          </cell>
          <cell r="H1079" t="str">
            <v>Grid-Gen</v>
          </cell>
          <cell r="I1079" t="str">
            <v>On Air</v>
          </cell>
          <cell r="J1079" t="str">
            <v>Indoor</v>
          </cell>
          <cell r="K1079" t="str">
            <v>AC</v>
          </cell>
          <cell r="L1079" t="str">
            <v>SAGEMCOM</v>
          </cell>
          <cell r="M1079" t="str">
            <v>Mendong</v>
          </cell>
          <cell r="N1079" t="str">
            <v>MFOUNDI</v>
          </cell>
          <cell r="O1079" t="str">
            <v>YAOUNDE 7</v>
          </cell>
          <cell r="P1079" t="str">
            <v>Pascaline MANDA</v>
          </cell>
          <cell r="Q1079">
            <v>677548320</v>
          </cell>
          <cell r="R1079">
            <v>656072444</v>
          </cell>
          <cell r="S1079" t="str">
            <v>Desire Moussinga</v>
          </cell>
          <cell r="T1079" t="str">
            <v>Valeur HOUELL</v>
          </cell>
          <cell r="U1079" t="str">
            <v>I H S</v>
          </cell>
        </row>
        <row r="1080">
          <cell r="A1080" t="str">
            <v>CTR_215</v>
          </cell>
          <cell r="B1080" t="str">
            <v>IHS_YND_311</v>
          </cell>
          <cell r="C1080" t="str">
            <v>CTR_215</v>
          </cell>
          <cell r="D1080" t="str">
            <v>Center</v>
          </cell>
          <cell r="E1080" t="str">
            <v>Center</v>
          </cell>
          <cell r="F1080" t="str">
            <v>Nkolda</v>
          </cell>
          <cell r="G1080" t="str">
            <v>P2</v>
          </cell>
          <cell r="H1080" t="str">
            <v>Grid-Gen</v>
          </cell>
          <cell r="I1080" t="str">
            <v>On Air</v>
          </cell>
          <cell r="J1080" t="str">
            <v>Outdoor</v>
          </cell>
          <cell r="K1080" t="str">
            <v>AC</v>
          </cell>
          <cell r="L1080" t="str">
            <v>SAGEMCOM</v>
          </cell>
          <cell r="M1080" t="str">
            <v>Tropicana</v>
          </cell>
          <cell r="N1080" t="str">
            <v>MFOUNDI</v>
          </cell>
          <cell r="O1080" t="str">
            <v>YAOUNDE 4</v>
          </cell>
          <cell r="P1080" t="str">
            <v>Pascaline MANDA</v>
          </cell>
          <cell r="Q1080">
            <v>677548320</v>
          </cell>
          <cell r="R1080">
            <v>656072444</v>
          </cell>
          <cell r="S1080" t="str">
            <v>Desire Moussinga</v>
          </cell>
          <cell r="T1080" t="str">
            <v>Valeur HOUELL</v>
          </cell>
          <cell r="U1080" t="str">
            <v>I H S</v>
          </cell>
        </row>
        <row r="1081">
          <cell r="A1081" t="str">
            <v>CTR_414</v>
          </cell>
          <cell r="B1081" t="str">
            <v>IHS_YND_202</v>
          </cell>
          <cell r="C1081" t="str">
            <v>CTR_414</v>
          </cell>
          <cell r="D1081" t="str">
            <v>Center</v>
          </cell>
          <cell r="E1081" t="str">
            <v>Center</v>
          </cell>
          <cell r="F1081" t="str">
            <v>Cite-Verte</v>
          </cell>
          <cell r="G1081" t="str">
            <v>P2</v>
          </cell>
          <cell r="H1081" t="str">
            <v>Grid Only</v>
          </cell>
          <cell r="I1081" t="str">
            <v>On Air</v>
          </cell>
          <cell r="J1081" t="str">
            <v>Outdoor</v>
          </cell>
          <cell r="K1081" t="str">
            <v>AC</v>
          </cell>
          <cell r="L1081" t="str">
            <v>SAGEMCOM</v>
          </cell>
          <cell r="M1081" t="str">
            <v>Nkolbisson</v>
          </cell>
          <cell r="N1081" t="str">
            <v>MFOUNDI</v>
          </cell>
          <cell r="O1081" t="str">
            <v>YAOUNDE 6</v>
          </cell>
          <cell r="P1081" t="str">
            <v>Pascaline MANDA</v>
          </cell>
          <cell r="Q1081">
            <v>677548320</v>
          </cell>
          <cell r="R1081">
            <v>656072444</v>
          </cell>
          <cell r="S1081" t="str">
            <v>Desire Moussinga</v>
          </cell>
          <cell r="T1081" t="str">
            <v>Valeur HOUELL</v>
          </cell>
          <cell r="U1081" t="str">
            <v>I H S</v>
          </cell>
        </row>
        <row r="1082">
          <cell r="A1082" t="str">
            <v>CTR_065</v>
          </cell>
          <cell r="B1082" t="str">
            <v>IHS_YND_285</v>
          </cell>
          <cell r="C1082" t="str">
            <v>CTR_065</v>
          </cell>
          <cell r="D1082" t="str">
            <v>Center</v>
          </cell>
          <cell r="E1082" t="str">
            <v>Center</v>
          </cell>
          <cell r="F1082" t="str">
            <v>Nkolbisson</v>
          </cell>
          <cell r="G1082" t="str">
            <v>P2</v>
          </cell>
          <cell r="H1082" t="str">
            <v>Grid-Gen</v>
          </cell>
          <cell r="I1082" t="str">
            <v>On Air</v>
          </cell>
          <cell r="J1082" t="str">
            <v>Indoor</v>
          </cell>
          <cell r="K1082" t="str">
            <v>AC</v>
          </cell>
          <cell r="L1082" t="str">
            <v>SAGEMCOM</v>
          </cell>
          <cell r="M1082" t="str">
            <v>Nkolbisson</v>
          </cell>
          <cell r="N1082" t="str">
            <v>MFOUNDI</v>
          </cell>
          <cell r="O1082" t="str">
            <v>YAOUNDE 7</v>
          </cell>
          <cell r="P1082" t="str">
            <v>Pascaline MANDA</v>
          </cell>
          <cell r="Q1082">
            <v>677548320</v>
          </cell>
          <cell r="R1082">
            <v>656072444</v>
          </cell>
          <cell r="S1082" t="str">
            <v>Desire Moussinga</v>
          </cell>
          <cell r="T1082" t="str">
            <v>Valeur HOUELL</v>
          </cell>
          <cell r="U1082" t="str">
            <v>I H S</v>
          </cell>
        </row>
        <row r="1083">
          <cell r="A1083" t="str">
            <v>SUD_016</v>
          </cell>
          <cell r="B1083" t="str">
            <v>IHS_YND_332</v>
          </cell>
          <cell r="C1083" t="str">
            <v>SUD_016</v>
          </cell>
          <cell r="D1083" t="str">
            <v>Center</v>
          </cell>
          <cell r="E1083" t="str">
            <v>Center</v>
          </cell>
          <cell r="F1083" t="str">
            <v>Nkomekui</v>
          </cell>
          <cell r="G1083" t="str">
            <v>P3</v>
          </cell>
          <cell r="H1083" t="str">
            <v>Grid-Gen</v>
          </cell>
          <cell r="I1083" t="str">
            <v>On Air</v>
          </cell>
          <cell r="J1083" t="str">
            <v>Indoor</v>
          </cell>
          <cell r="K1083" t="str">
            <v>AC</v>
          </cell>
          <cell r="L1083" t="str">
            <v>SAGEMCOM</v>
          </cell>
          <cell r="M1083" t="str">
            <v>Nkolbisson</v>
          </cell>
          <cell r="N1083" t="str">
            <v>MFOUNDI</v>
          </cell>
          <cell r="O1083" t="str">
            <v>YAOUNDE 7</v>
          </cell>
          <cell r="P1083" t="str">
            <v>Pascaline MANDA</v>
          </cell>
          <cell r="Q1083">
            <v>677548320</v>
          </cell>
          <cell r="R1083">
            <v>656072444</v>
          </cell>
          <cell r="S1083" t="str">
            <v>Desire Moussinga</v>
          </cell>
          <cell r="T1083" t="str">
            <v>Valeur HOUELL</v>
          </cell>
          <cell r="U1083" t="str">
            <v>I H S</v>
          </cell>
        </row>
        <row r="1084">
          <cell r="A1084" t="str">
            <v>CTR_333</v>
          </cell>
          <cell r="B1084" t="str">
            <v>IHS_YND_273</v>
          </cell>
          <cell r="C1084" t="str">
            <v>CTR_333</v>
          </cell>
          <cell r="D1084" t="str">
            <v>Center</v>
          </cell>
          <cell r="E1084" t="str">
            <v>Center</v>
          </cell>
          <cell r="F1084" t="str">
            <v>Nkolbi-Boss</v>
          </cell>
          <cell r="G1084" t="str">
            <v>P3</v>
          </cell>
          <cell r="H1084" t="str">
            <v>Grid-Gen</v>
          </cell>
          <cell r="I1084" t="str">
            <v>On Air</v>
          </cell>
          <cell r="J1084" t="str">
            <v>Outdoor</v>
          </cell>
          <cell r="K1084" t="str">
            <v>AC</v>
          </cell>
          <cell r="L1084" t="str">
            <v>SAGEMCOM</v>
          </cell>
          <cell r="M1084" t="str">
            <v>Nkolbisson</v>
          </cell>
          <cell r="N1084" t="str">
            <v>MFOUNDI</v>
          </cell>
          <cell r="O1084" t="str">
            <v>YAOUNDE 7</v>
          </cell>
          <cell r="P1084" t="str">
            <v>Pascaline MANDA</v>
          </cell>
          <cell r="Q1084">
            <v>677548320</v>
          </cell>
          <cell r="R1084">
            <v>656072444</v>
          </cell>
          <cell r="S1084" t="str">
            <v>Desire Moussinga</v>
          </cell>
          <cell r="T1084" t="str">
            <v>Valeur HOUELL</v>
          </cell>
          <cell r="U1084" t="str">
            <v>I H S</v>
          </cell>
        </row>
        <row r="1085">
          <cell r="A1085" t="str">
            <v>CTR_331</v>
          </cell>
          <cell r="B1085" t="str">
            <v>IHS_YND_253</v>
          </cell>
          <cell r="C1085" t="str">
            <v>CTR_331</v>
          </cell>
          <cell r="D1085" t="str">
            <v>Center</v>
          </cell>
          <cell r="E1085" t="str">
            <v>Center</v>
          </cell>
          <cell r="F1085" t="str">
            <v>Clge-Advantiste</v>
          </cell>
          <cell r="G1085" t="str">
            <v>P3</v>
          </cell>
          <cell r="H1085" t="str">
            <v>Grid-Gen</v>
          </cell>
          <cell r="I1085" t="str">
            <v>On Air</v>
          </cell>
          <cell r="J1085" t="str">
            <v>Outdoor</v>
          </cell>
          <cell r="K1085" t="str">
            <v>AC</v>
          </cell>
          <cell r="L1085" t="str">
            <v>SAGEMCOM</v>
          </cell>
          <cell r="M1085" t="str">
            <v>Tropicana</v>
          </cell>
          <cell r="N1085" t="str">
            <v>MFOUNDI</v>
          </cell>
          <cell r="O1085" t="str">
            <v>YAOUNDE 4</v>
          </cell>
          <cell r="P1085" t="str">
            <v>Pascaline MANDA</v>
          </cell>
          <cell r="Q1085">
            <v>677548320</v>
          </cell>
          <cell r="R1085">
            <v>656072444</v>
          </cell>
          <cell r="S1085" t="str">
            <v>Desire Moussinga</v>
          </cell>
          <cell r="T1085" t="str">
            <v>Valeur HOUELL</v>
          </cell>
          <cell r="U1085" t="str">
            <v>I H S</v>
          </cell>
        </row>
        <row r="1086">
          <cell r="A1086" t="str">
            <v>CTR_330</v>
          </cell>
          <cell r="B1086" t="str">
            <v>IHS_YND_255</v>
          </cell>
          <cell r="C1086" t="str">
            <v>CTR_330</v>
          </cell>
          <cell r="D1086" t="str">
            <v>Center</v>
          </cell>
          <cell r="E1086" t="str">
            <v>Center</v>
          </cell>
          <cell r="F1086" t="str">
            <v>Odza-PK10</v>
          </cell>
          <cell r="G1086" t="str">
            <v>P3</v>
          </cell>
          <cell r="H1086" t="str">
            <v>Grid-Gen</v>
          </cell>
          <cell r="I1086" t="str">
            <v>On Air</v>
          </cell>
          <cell r="J1086" t="str">
            <v>Outdoor</v>
          </cell>
          <cell r="K1086" t="str">
            <v>AC</v>
          </cell>
          <cell r="L1086" t="str">
            <v>SAGEMCOM</v>
          </cell>
          <cell r="M1086" t="str">
            <v>Tropicana</v>
          </cell>
          <cell r="N1086" t="str">
            <v>MFOUNDI</v>
          </cell>
          <cell r="O1086" t="str">
            <v>YAOUNDE 4</v>
          </cell>
          <cell r="P1086" t="str">
            <v>Pascaline MANDA</v>
          </cell>
          <cell r="Q1086">
            <v>677548320</v>
          </cell>
          <cell r="R1086">
            <v>656072444</v>
          </cell>
          <cell r="S1086" t="str">
            <v>Desire Moussinga</v>
          </cell>
          <cell r="T1086" t="str">
            <v>Valeur HOUELL</v>
          </cell>
          <cell r="U1086" t="str">
            <v>I H S</v>
          </cell>
        </row>
        <row r="1087">
          <cell r="A1087" t="str">
            <v>CTR_246</v>
          </cell>
          <cell r="B1087" t="str">
            <v>IHS_YND_287</v>
          </cell>
          <cell r="C1087" t="str">
            <v>CTR_246</v>
          </cell>
          <cell r="D1087" t="str">
            <v>Center</v>
          </cell>
          <cell r="E1087" t="str">
            <v>Center</v>
          </cell>
          <cell r="F1087" t="str">
            <v>Nkolafeme</v>
          </cell>
          <cell r="G1087" t="str">
            <v>P3</v>
          </cell>
          <cell r="H1087" t="str">
            <v>Grid-Gen</v>
          </cell>
          <cell r="I1087" t="str">
            <v>On Air</v>
          </cell>
          <cell r="J1087" t="str">
            <v>Outdoor</v>
          </cell>
          <cell r="K1087" t="str">
            <v>AC</v>
          </cell>
          <cell r="L1087" t="str">
            <v>SAGEMCOM</v>
          </cell>
          <cell r="M1087" t="str">
            <v>Nkolbisson</v>
          </cell>
          <cell r="N1087" t="str">
            <v>MFOUNDI</v>
          </cell>
          <cell r="O1087" t="str">
            <v>YAOUNDE 7</v>
          </cell>
          <cell r="P1087" t="str">
            <v>Pascaline MANDA</v>
          </cell>
          <cell r="Q1087">
            <v>677548320</v>
          </cell>
          <cell r="R1087">
            <v>656072444</v>
          </cell>
          <cell r="S1087" t="str">
            <v>Desire Moussinga</v>
          </cell>
          <cell r="T1087" t="str">
            <v>Valeur HOUELL</v>
          </cell>
          <cell r="U1087" t="str">
            <v>I H S</v>
          </cell>
        </row>
        <row r="1088">
          <cell r="A1088" t="str">
            <v>CTR_016</v>
          </cell>
          <cell r="B1088" t="str">
            <v>IHS_YND_226</v>
          </cell>
          <cell r="C1088" t="str">
            <v>CTR_016</v>
          </cell>
          <cell r="D1088" t="str">
            <v>Center</v>
          </cell>
          <cell r="E1088" t="str">
            <v>Center</v>
          </cell>
          <cell r="F1088" t="str">
            <v>Mvog-Betsi</v>
          </cell>
          <cell r="G1088" t="str">
            <v>P3</v>
          </cell>
          <cell r="H1088" t="str">
            <v>Grid-Gen</v>
          </cell>
          <cell r="I1088" t="str">
            <v>On Air</v>
          </cell>
          <cell r="J1088" t="str">
            <v>Indoor</v>
          </cell>
          <cell r="K1088" t="str">
            <v>AC</v>
          </cell>
          <cell r="L1088" t="str">
            <v>SAGEMCOM</v>
          </cell>
          <cell r="M1088" t="str">
            <v>Nkolbisson</v>
          </cell>
          <cell r="N1088" t="str">
            <v>MFOUNDI</v>
          </cell>
          <cell r="O1088" t="str">
            <v>YAOUNDE 6</v>
          </cell>
          <cell r="P1088" t="str">
            <v>Pascaline MANDA</v>
          </cell>
          <cell r="Q1088">
            <v>677548320</v>
          </cell>
          <cell r="R1088">
            <v>656072444</v>
          </cell>
          <cell r="S1088" t="str">
            <v>Desire Moussinga</v>
          </cell>
          <cell r="T1088" t="str">
            <v>Valeur HOUELL</v>
          </cell>
          <cell r="U1088" t="str">
            <v>I H S</v>
          </cell>
        </row>
        <row r="1089">
          <cell r="A1089" t="str">
            <v>CTR_008</v>
          </cell>
          <cell r="B1089" t="str">
            <v>IHS_YND_068</v>
          </cell>
          <cell r="C1089" t="str">
            <v>CTR_008</v>
          </cell>
          <cell r="D1089" t="str">
            <v>Center</v>
          </cell>
          <cell r="E1089" t="str">
            <v>Center</v>
          </cell>
          <cell r="F1089" t="str">
            <v>Ndisamba</v>
          </cell>
          <cell r="G1089" t="str">
            <v>P3</v>
          </cell>
          <cell r="H1089" t="str">
            <v>Grid-Gen</v>
          </cell>
          <cell r="I1089" t="str">
            <v>On Air</v>
          </cell>
          <cell r="J1089" t="str">
            <v>Indoor</v>
          </cell>
          <cell r="K1089" t="str">
            <v>AC</v>
          </cell>
          <cell r="L1089" t="str">
            <v>SAGEMCOM</v>
          </cell>
          <cell r="M1089" t="str">
            <v>Tropicana</v>
          </cell>
          <cell r="N1089" t="str">
            <v>MFOUNDI</v>
          </cell>
          <cell r="O1089" t="str">
            <v>YAOUNDE 4</v>
          </cell>
          <cell r="P1089" t="str">
            <v>Pascaline MANDA</v>
          </cell>
          <cell r="Q1089">
            <v>677548320</v>
          </cell>
          <cell r="R1089">
            <v>656072444</v>
          </cell>
          <cell r="S1089" t="str">
            <v>Desire Moussinga</v>
          </cell>
          <cell r="T1089" t="str">
            <v>Valeur HOUELL</v>
          </cell>
          <cell r="U1089" t="str">
            <v>I H S</v>
          </cell>
        </row>
        <row r="1090">
          <cell r="A1090" t="str">
            <v>CTR_483</v>
          </cell>
          <cell r="B1090" t="str">
            <v>IHS_YND_564</v>
          </cell>
          <cell r="C1090" t="str">
            <v>CTR_483</v>
          </cell>
          <cell r="D1090" t="str">
            <v>Center</v>
          </cell>
          <cell r="E1090" t="str">
            <v>Center</v>
          </cell>
          <cell r="F1090" t="str">
            <v>Mvog Mbi New</v>
          </cell>
          <cell r="G1090" t="str">
            <v>P3</v>
          </cell>
          <cell r="H1090" t="str">
            <v>Grid-Gen</v>
          </cell>
          <cell r="I1090" t="str">
            <v>On Air</v>
          </cell>
          <cell r="J1090" t="str">
            <v>Outdoor</v>
          </cell>
          <cell r="K1090" t="str">
            <v>AC</v>
          </cell>
          <cell r="L1090" t="str">
            <v>SAGEMCOM</v>
          </cell>
          <cell r="M1090" t="str">
            <v>Tropicana</v>
          </cell>
          <cell r="N1090" t="str">
            <v>MFOUNDI</v>
          </cell>
          <cell r="O1090" t="str">
            <v>YAOUNDE 4</v>
          </cell>
          <cell r="P1090" t="str">
            <v>Pascaline MANDA</v>
          </cell>
          <cell r="Q1090">
            <v>677548320</v>
          </cell>
          <cell r="R1090">
            <v>656072444</v>
          </cell>
          <cell r="S1090" t="str">
            <v>Desire Moussinga</v>
          </cell>
          <cell r="T1090" t="str">
            <v>Valeur HOUELL</v>
          </cell>
          <cell r="U1090" t="str">
            <v>I H S</v>
          </cell>
        </row>
        <row r="1091">
          <cell r="A1091" t="str">
            <v>CTR_389</v>
          </cell>
          <cell r="B1091" t="str">
            <v>IHS_YND_066</v>
          </cell>
          <cell r="C1091" t="str">
            <v>CTR_389</v>
          </cell>
          <cell r="D1091" t="str">
            <v>Center</v>
          </cell>
          <cell r="E1091" t="str">
            <v>Center</v>
          </cell>
          <cell r="F1091" t="str">
            <v>GSO</v>
          </cell>
          <cell r="G1091" t="str">
            <v>P3</v>
          </cell>
          <cell r="H1091" t="str">
            <v>Grid-Gen</v>
          </cell>
          <cell r="I1091" t="str">
            <v>On Air</v>
          </cell>
          <cell r="J1091" t="str">
            <v>Outdoor</v>
          </cell>
          <cell r="K1091" t="str">
            <v>AC</v>
          </cell>
          <cell r="L1091" t="str">
            <v>SAGEMCOM</v>
          </cell>
          <cell r="M1091" t="str">
            <v>Tropicana</v>
          </cell>
          <cell r="N1091" t="str">
            <v>MFOUNDI</v>
          </cell>
          <cell r="O1091" t="str">
            <v>YAOUNDE 4</v>
          </cell>
          <cell r="P1091" t="str">
            <v>Pascaline MANDA</v>
          </cell>
          <cell r="Q1091">
            <v>677548320</v>
          </cell>
          <cell r="R1091">
            <v>656072444</v>
          </cell>
          <cell r="S1091" t="str">
            <v>Desire Moussinga</v>
          </cell>
          <cell r="T1091" t="str">
            <v>Valeur HOUELL</v>
          </cell>
          <cell r="U1091" t="str">
            <v>I H S</v>
          </cell>
        </row>
        <row r="1092">
          <cell r="A1092" t="str">
            <v>CTR_519</v>
          </cell>
          <cell r="B1092" t="str">
            <v>IHS_YND_543</v>
          </cell>
          <cell r="C1092" t="str">
            <v>CTR_519</v>
          </cell>
          <cell r="D1092" t="str">
            <v>Center</v>
          </cell>
          <cell r="E1092" t="str">
            <v>Center</v>
          </cell>
          <cell r="F1092" t="str">
            <v>Entrée Cité verte</v>
          </cell>
          <cell r="G1092" t="str">
            <v>P3</v>
          </cell>
          <cell r="H1092" t="str">
            <v>Grid-Gen</v>
          </cell>
          <cell r="I1092" t="str">
            <v>On Air</v>
          </cell>
          <cell r="J1092" t="str">
            <v>Outdoor</v>
          </cell>
          <cell r="K1092" t="str">
            <v>AC</v>
          </cell>
          <cell r="L1092" t="str">
            <v>SAGEMCOM</v>
          </cell>
          <cell r="M1092" t="str">
            <v>Nkolbisson</v>
          </cell>
          <cell r="N1092" t="str">
            <v>MFOUNDI</v>
          </cell>
          <cell r="O1092" t="str">
            <v>YAOUNDE 6</v>
          </cell>
          <cell r="P1092" t="str">
            <v>Pascaline MANDA</v>
          </cell>
          <cell r="Q1092">
            <v>677548320</v>
          </cell>
          <cell r="R1092">
            <v>656072444</v>
          </cell>
          <cell r="S1092" t="str">
            <v>Desire Moussinga</v>
          </cell>
          <cell r="T1092" t="str">
            <v>Valeur HOUELL</v>
          </cell>
          <cell r="U1092" t="str">
            <v>I H S</v>
          </cell>
        </row>
        <row r="1093">
          <cell r="A1093" t="str">
            <v>CTR_522</v>
          </cell>
          <cell r="B1093" t="str">
            <v>IHS_YND_545</v>
          </cell>
          <cell r="C1093" t="str">
            <v>CTR_522</v>
          </cell>
          <cell r="D1093" t="str">
            <v>Center</v>
          </cell>
          <cell r="E1093" t="str">
            <v>Center</v>
          </cell>
          <cell r="F1093" t="str">
            <v>Nkolbisson Usine des eaux</v>
          </cell>
          <cell r="G1093" t="str">
            <v>P3</v>
          </cell>
          <cell r="H1093" t="str">
            <v>Grid-Gen</v>
          </cell>
          <cell r="I1093" t="str">
            <v>On Air</v>
          </cell>
          <cell r="J1093" t="str">
            <v>Outdoor</v>
          </cell>
          <cell r="K1093" t="str">
            <v>AC</v>
          </cell>
          <cell r="L1093" t="str">
            <v>SAGEMCOM</v>
          </cell>
          <cell r="M1093" t="str">
            <v>Nkolbisson</v>
          </cell>
          <cell r="N1093" t="str">
            <v>MFOUNDI</v>
          </cell>
          <cell r="O1093" t="str">
            <v>YAOUNDE 7</v>
          </cell>
          <cell r="P1093" t="str">
            <v>Pascaline MANDA</v>
          </cell>
          <cell r="Q1093">
            <v>677548320</v>
          </cell>
          <cell r="R1093">
            <v>656072444</v>
          </cell>
          <cell r="S1093" t="str">
            <v>Desire Moussinga</v>
          </cell>
          <cell r="T1093" t="str">
            <v>Valeur HOUELL</v>
          </cell>
          <cell r="U1093" t="str">
            <v>I H S</v>
          </cell>
        </row>
        <row r="1094">
          <cell r="A1094" t="str">
            <v>CTR_647</v>
          </cell>
          <cell r="B1094" t="str">
            <v>IHS_YND_684</v>
          </cell>
          <cell r="C1094" t="str">
            <v>CTR_647</v>
          </cell>
          <cell r="D1094" t="str">
            <v>Center</v>
          </cell>
          <cell r="E1094" t="str">
            <v>Center</v>
          </cell>
          <cell r="F1094" t="str">
            <v>Ekie sud IHS</v>
          </cell>
          <cell r="G1094" t="str">
            <v>P3</v>
          </cell>
          <cell r="H1094" t="str">
            <v>Grid-Gen</v>
          </cell>
          <cell r="I1094" t="str">
            <v>On Air</v>
          </cell>
          <cell r="J1094" t="str">
            <v>Outdoor</v>
          </cell>
          <cell r="K1094" t="str">
            <v>AC</v>
          </cell>
          <cell r="L1094" t="str">
            <v>SAGEMCOM</v>
          </cell>
          <cell r="M1094" t="str">
            <v>Tropicana</v>
          </cell>
          <cell r="N1094" t="str">
            <v>MFOUNDI</v>
          </cell>
          <cell r="O1094" t="str">
            <v>YAOUNDE 4</v>
          </cell>
          <cell r="P1094" t="str">
            <v>Pascaline MANDA</v>
          </cell>
          <cell r="Q1094">
            <v>677548320</v>
          </cell>
          <cell r="R1094">
            <v>656072444</v>
          </cell>
          <cell r="S1094" t="str">
            <v>Desire Moussinga</v>
          </cell>
          <cell r="T1094" t="str">
            <v>Valeur HOUELL</v>
          </cell>
          <cell r="U1094" t="str">
            <v>I H S</v>
          </cell>
        </row>
        <row r="1095">
          <cell r="A1095" t="str">
            <v>LIT_349</v>
          </cell>
          <cell r="B1095" t="str">
            <v>IHS_EDA_051</v>
          </cell>
          <cell r="C1095" t="str">
            <v>LIT_349</v>
          </cell>
          <cell r="D1095" t="str">
            <v>Center</v>
          </cell>
          <cell r="E1095" t="str">
            <v>Center</v>
          </cell>
          <cell r="F1095" t="str">
            <v>Nyanon</v>
          </cell>
          <cell r="G1095" t="str">
            <v>P4</v>
          </cell>
          <cell r="H1095" t="str">
            <v>Hybrid-Gen</v>
          </cell>
          <cell r="I1095" t="str">
            <v>On Air</v>
          </cell>
          <cell r="J1095" t="str">
            <v>Outdoor</v>
          </cell>
          <cell r="K1095" t="str">
            <v>AC</v>
          </cell>
          <cell r="L1095" t="str">
            <v>SAGEMCOM</v>
          </cell>
          <cell r="M1095" t="str">
            <v>Nkolbisson</v>
          </cell>
          <cell r="N1095" t="str">
            <v>HAUTE-SANAGA</v>
          </cell>
          <cell r="O1095" t="str">
            <v>NYANON</v>
          </cell>
          <cell r="P1095" t="str">
            <v>Pascaline MANDA</v>
          </cell>
          <cell r="Q1095">
            <v>677548320</v>
          </cell>
          <cell r="R1095">
            <v>656072444</v>
          </cell>
          <cell r="S1095" t="str">
            <v>Desire Moussinga</v>
          </cell>
          <cell r="T1095" t="str">
            <v>Valeur HOUELL</v>
          </cell>
          <cell r="U1095" t="str">
            <v>I H S</v>
          </cell>
        </row>
        <row r="1096">
          <cell r="A1096" t="str">
            <v>CTR_479</v>
          </cell>
          <cell r="B1096" t="str">
            <v>IHS_YND_580</v>
          </cell>
          <cell r="C1096" t="str">
            <v>CTR_479</v>
          </cell>
          <cell r="D1096" t="str">
            <v>Center</v>
          </cell>
          <cell r="E1096" t="str">
            <v>Center</v>
          </cell>
          <cell r="F1096" t="str">
            <v>Marche Odza</v>
          </cell>
          <cell r="G1096" t="str">
            <v>P4</v>
          </cell>
          <cell r="H1096" t="str">
            <v>Grid-Gen</v>
          </cell>
          <cell r="I1096" t="str">
            <v>On Air</v>
          </cell>
          <cell r="J1096" t="str">
            <v>Outdoor</v>
          </cell>
          <cell r="K1096" t="str">
            <v>AC</v>
          </cell>
          <cell r="L1096" t="str">
            <v>SAGEMCOM</v>
          </cell>
          <cell r="M1096" t="str">
            <v>Tropicana</v>
          </cell>
          <cell r="N1096" t="str">
            <v>MFOUNDI</v>
          </cell>
          <cell r="O1096" t="str">
            <v>YAOUNDE 4</v>
          </cell>
          <cell r="P1096" t="str">
            <v>Pascaline MANDA</v>
          </cell>
          <cell r="Q1096">
            <v>677548320</v>
          </cell>
          <cell r="R1096">
            <v>656072444</v>
          </cell>
          <cell r="S1096" t="str">
            <v>Desire Moussinga</v>
          </cell>
          <cell r="T1096" t="str">
            <v>Valeur HOUELL</v>
          </cell>
          <cell r="U1096" t="str">
            <v>I H S</v>
          </cell>
        </row>
        <row r="1097">
          <cell r="A1097" t="str">
            <v>CTR_488</v>
          </cell>
          <cell r="B1097" t="str">
            <v>IHS_YND_583</v>
          </cell>
          <cell r="C1097" t="str">
            <v>CTR_488</v>
          </cell>
          <cell r="D1097" t="str">
            <v>Center</v>
          </cell>
          <cell r="E1097" t="str">
            <v>Center</v>
          </cell>
          <cell r="F1097" t="str">
            <v>Nsam Sofavinc T0</v>
          </cell>
          <cell r="G1097" t="str">
            <v>P4</v>
          </cell>
          <cell r="H1097" t="str">
            <v>Grid-Gen</v>
          </cell>
          <cell r="I1097" t="str">
            <v>On Air</v>
          </cell>
          <cell r="J1097" t="str">
            <v>Outdoor</v>
          </cell>
          <cell r="K1097" t="str">
            <v>AC</v>
          </cell>
          <cell r="L1097" t="str">
            <v>SAGEMCOM</v>
          </cell>
          <cell r="M1097" t="str">
            <v>Tropicana</v>
          </cell>
          <cell r="N1097" t="str">
            <v>MFOUNDI</v>
          </cell>
          <cell r="O1097" t="str">
            <v>YAOUNDE 3</v>
          </cell>
          <cell r="P1097" t="str">
            <v>Pascaline MANDA</v>
          </cell>
          <cell r="Q1097">
            <v>677548320</v>
          </cell>
          <cell r="R1097">
            <v>656072444</v>
          </cell>
          <cell r="S1097" t="str">
            <v>Desire Moussinga</v>
          </cell>
          <cell r="T1097" t="str">
            <v>Valeur HOUELL</v>
          </cell>
          <cell r="U1097" t="str">
            <v>I H S</v>
          </cell>
        </row>
        <row r="1098">
          <cell r="A1098" t="str">
            <v>CTR_196</v>
          </cell>
          <cell r="B1098" t="str">
            <v>IHS_YND_159</v>
          </cell>
          <cell r="C1098" t="str">
            <v>CTR_196</v>
          </cell>
          <cell r="D1098" t="str">
            <v>Center</v>
          </cell>
          <cell r="E1098" t="str">
            <v>Center</v>
          </cell>
          <cell r="F1098" t="str">
            <v>Complexe-BEAC</v>
          </cell>
          <cell r="G1098" t="str">
            <v>P4</v>
          </cell>
          <cell r="H1098" t="str">
            <v>Grid-Gen</v>
          </cell>
          <cell r="I1098" t="str">
            <v>On Air</v>
          </cell>
          <cell r="J1098" t="str">
            <v>Indoor</v>
          </cell>
          <cell r="K1098" t="str">
            <v>AC</v>
          </cell>
          <cell r="L1098" t="str">
            <v>SAGEMCOM</v>
          </cell>
          <cell r="M1098" t="str">
            <v>Tropicana</v>
          </cell>
          <cell r="N1098" t="str">
            <v>MFOUNDI</v>
          </cell>
          <cell r="O1098" t="str">
            <v>YAOUNDE 4</v>
          </cell>
          <cell r="P1098" t="str">
            <v>Pascaline MANDA</v>
          </cell>
          <cell r="Q1098">
            <v>677548320</v>
          </cell>
          <cell r="R1098">
            <v>656072444</v>
          </cell>
          <cell r="S1098" t="str">
            <v>Desire Moussinga</v>
          </cell>
          <cell r="T1098" t="str">
            <v>Valeur HOUELL</v>
          </cell>
          <cell r="U1098" t="str">
            <v>I H S</v>
          </cell>
        </row>
        <row r="1099">
          <cell r="A1099" t="str">
            <v>CTR_276</v>
          </cell>
          <cell r="B1099" t="str">
            <v>IHS_YND_172</v>
          </cell>
          <cell r="C1099" t="str">
            <v>CTR_276</v>
          </cell>
          <cell r="D1099" t="str">
            <v>Center</v>
          </cell>
          <cell r="E1099" t="str">
            <v>Center</v>
          </cell>
          <cell r="F1099" t="str">
            <v>Tradex-Nkomo</v>
          </cell>
          <cell r="G1099" t="str">
            <v>P4</v>
          </cell>
          <cell r="H1099" t="str">
            <v>Grid-Gen</v>
          </cell>
          <cell r="I1099" t="str">
            <v>On Air</v>
          </cell>
          <cell r="J1099" t="str">
            <v>Outdoor</v>
          </cell>
          <cell r="K1099" t="str">
            <v>AC</v>
          </cell>
          <cell r="L1099" t="str">
            <v>SAGEMCOM</v>
          </cell>
          <cell r="M1099" t="str">
            <v>Nkomo</v>
          </cell>
          <cell r="N1099" t="str">
            <v>MFOUNDI</v>
          </cell>
          <cell r="O1099" t="str">
            <v>YAOUNDE 4</v>
          </cell>
          <cell r="P1099" t="str">
            <v>Pascaline MANDA</v>
          </cell>
          <cell r="Q1099">
            <v>677548320</v>
          </cell>
          <cell r="R1099">
            <v>656072444</v>
          </cell>
          <cell r="S1099" t="str">
            <v>Desire Moussinga</v>
          </cell>
          <cell r="T1099" t="str">
            <v>Valeur HOUELL</v>
          </cell>
          <cell r="U1099" t="str">
            <v>I H S</v>
          </cell>
        </row>
        <row r="1100">
          <cell r="A1100" t="str">
            <v>CTR_227</v>
          </cell>
          <cell r="B1100" t="str">
            <v>IHS_YND_341</v>
          </cell>
          <cell r="C1100" t="str">
            <v>CTR_227</v>
          </cell>
          <cell r="D1100" t="str">
            <v>Center</v>
          </cell>
          <cell r="E1100" t="str">
            <v>Center</v>
          </cell>
          <cell r="F1100" t="str">
            <v>Lobo</v>
          </cell>
          <cell r="G1100" t="str">
            <v>P4</v>
          </cell>
          <cell r="H1100" t="str">
            <v>Hybrid-Gen</v>
          </cell>
          <cell r="I1100" t="str">
            <v>On Air</v>
          </cell>
          <cell r="J1100" t="str">
            <v>Outdoor</v>
          </cell>
          <cell r="K1100" t="str">
            <v>AC</v>
          </cell>
          <cell r="L1100" t="str">
            <v>SAGEMCOM</v>
          </cell>
          <cell r="M1100" t="str">
            <v>Nkolbisson</v>
          </cell>
          <cell r="N1100" t="str">
            <v>LEKIE</v>
          </cell>
          <cell r="O1100" t="str">
            <v>LOBO</v>
          </cell>
          <cell r="P1100" t="str">
            <v>Pascaline MANDA</v>
          </cell>
          <cell r="Q1100">
            <v>677548320</v>
          </cell>
          <cell r="R1100">
            <v>656072444</v>
          </cell>
          <cell r="S1100" t="str">
            <v>Desire Moussinga</v>
          </cell>
          <cell r="T1100" t="str">
            <v>Valeur HOUELL</v>
          </cell>
          <cell r="U1100" t="str">
            <v>I H S</v>
          </cell>
        </row>
        <row r="1101">
          <cell r="A1101" t="str">
            <v>CTR_074</v>
          </cell>
          <cell r="B1101" t="str">
            <v>IHS_YND_166</v>
          </cell>
          <cell r="C1101" t="str">
            <v>CTR_074</v>
          </cell>
          <cell r="D1101" t="str">
            <v>Center</v>
          </cell>
          <cell r="E1101" t="str">
            <v>Center</v>
          </cell>
          <cell r="F1101" t="str">
            <v>Damas</v>
          </cell>
          <cell r="G1101" t="str">
            <v>P4</v>
          </cell>
          <cell r="H1101" t="str">
            <v>Grid-Gen</v>
          </cell>
          <cell r="I1101" t="str">
            <v>On Air</v>
          </cell>
          <cell r="J1101" t="str">
            <v>Indoor</v>
          </cell>
          <cell r="K1101" t="str">
            <v>AC</v>
          </cell>
          <cell r="L1101" t="str">
            <v>SAGEMCOM</v>
          </cell>
          <cell r="M1101" t="str">
            <v>Tropicana</v>
          </cell>
          <cell r="N1101" t="str">
            <v>MFOUNDI</v>
          </cell>
          <cell r="O1101" t="str">
            <v>YAOUNDE 3</v>
          </cell>
          <cell r="P1101" t="str">
            <v>Pascaline MANDA</v>
          </cell>
          <cell r="Q1101">
            <v>677548320</v>
          </cell>
          <cell r="R1101">
            <v>656072444</v>
          </cell>
          <cell r="S1101" t="str">
            <v>Desire Moussinga</v>
          </cell>
          <cell r="T1101" t="str">
            <v>Valeur HOUELL</v>
          </cell>
          <cell r="U1101" t="str">
            <v>I H S</v>
          </cell>
        </row>
        <row r="1102">
          <cell r="A1102" t="str">
            <v>CTR_378</v>
          </cell>
          <cell r="B1102" t="str">
            <v>IHS_YND_254</v>
          </cell>
          <cell r="C1102" t="str">
            <v>CTR_378</v>
          </cell>
          <cell r="D1102" t="str">
            <v>Center</v>
          </cell>
          <cell r="E1102" t="str">
            <v>Center</v>
          </cell>
          <cell r="F1102" t="str">
            <v>Mvog-Manga</v>
          </cell>
          <cell r="G1102" t="str">
            <v>P4</v>
          </cell>
          <cell r="H1102" t="str">
            <v>Grid-Gen</v>
          </cell>
          <cell r="I1102" t="str">
            <v>On Air</v>
          </cell>
          <cell r="J1102" t="str">
            <v>Outdoor</v>
          </cell>
          <cell r="K1102" t="str">
            <v>AC</v>
          </cell>
          <cell r="L1102" t="str">
            <v>SAGEMCOM</v>
          </cell>
          <cell r="M1102" t="str">
            <v>Tropicana</v>
          </cell>
          <cell r="N1102" t="str">
            <v>MFOUNDI</v>
          </cell>
          <cell r="O1102" t="str">
            <v>YAOUNDE 4</v>
          </cell>
          <cell r="P1102" t="str">
            <v>Pascaline MANDA</v>
          </cell>
          <cell r="Q1102">
            <v>677548320</v>
          </cell>
          <cell r="R1102">
            <v>656072444</v>
          </cell>
          <cell r="S1102" t="str">
            <v>Desire Moussinga</v>
          </cell>
          <cell r="T1102" t="str">
            <v>Valeur HOUELL</v>
          </cell>
          <cell r="U1102" t="str">
            <v>I H S</v>
          </cell>
        </row>
        <row r="1103">
          <cell r="A1103" t="str">
            <v>CTR_099</v>
          </cell>
          <cell r="B1103" t="str">
            <v>IHS_YND_168</v>
          </cell>
          <cell r="C1103" t="str">
            <v>CTR_099</v>
          </cell>
          <cell r="D1103" t="str">
            <v>Center</v>
          </cell>
          <cell r="E1103" t="str">
            <v>Center</v>
          </cell>
          <cell r="F1103" t="str">
            <v>Odza</v>
          </cell>
          <cell r="G1103" t="str">
            <v>P4</v>
          </cell>
          <cell r="H1103" t="str">
            <v>Grid-Gen</v>
          </cell>
          <cell r="I1103" t="str">
            <v>On Air</v>
          </cell>
          <cell r="J1103" t="str">
            <v>Indoor</v>
          </cell>
          <cell r="K1103" t="str">
            <v>AC</v>
          </cell>
          <cell r="L1103" t="str">
            <v>SAGEMCOM</v>
          </cell>
          <cell r="M1103" t="str">
            <v>Tropicana</v>
          </cell>
          <cell r="N1103" t="str">
            <v>MFOUNDI</v>
          </cell>
          <cell r="O1103" t="str">
            <v>YAOUNDE 4</v>
          </cell>
          <cell r="P1103" t="str">
            <v>Pascaline MANDA</v>
          </cell>
          <cell r="Q1103">
            <v>677548320</v>
          </cell>
          <cell r="R1103">
            <v>656072444</v>
          </cell>
          <cell r="S1103" t="str">
            <v>Desire Moussinga</v>
          </cell>
          <cell r="T1103" t="str">
            <v>Valeur HOUELL</v>
          </cell>
          <cell r="U1103" t="str">
            <v>I H S</v>
          </cell>
        </row>
        <row r="1104">
          <cell r="A1104" t="str">
            <v>CTR_255</v>
          </cell>
          <cell r="B1104" t="str">
            <v>IHS_YND_286</v>
          </cell>
          <cell r="C1104" t="str">
            <v>CTR_255</v>
          </cell>
          <cell r="D1104" t="str">
            <v>Center</v>
          </cell>
          <cell r="E1104" t="str">
            <v>Center</v>
          </cell>
          <cell r="F1104" t="str">
            <v>Dagobert</v>
          </cell>
          <cell r="G1104" t="str">
            <v>P4</v>
          </cell>
          <cell r="H1104" t="str">
            <v>Grid-Gen</v>
          </cell>
          <cell r="I1104" t="str">
            <v>On Air</v>
          </cell>
          <cell r="J1104" t="str">
            <v>Outdoor</v>
          </cell>
          <cell r="K1104" t="str">
            <v>AC</v>
          </cell>
          <cell r="L1104" t="str">
            <v>SAGEMCOM</v>
          </cell>
          <cell r="M1104" t="str">
            <v>Nkolbisson</v>
          </cell>
          <cell r="N1104" t="str">
            <v>MFOUNDI</v>
          </cell>
          <cell r="O1104" t="str">
            <v>YAOUNDE 7</v>
          </cell>
          <cell r="P1104" t="str">
            <v>Pascaline MANDA</v>
          </cell>
          <cell r="Q1104">
            <v>677548320</v>
          </cell>
          <cell r="R1104">
            <v>656072444</v>
          </cell>
          <cell r="S1104" t="str">
            <v>Desire Moussinga</v>
          </cell>
          <cell r="T1104" t="str">
            <v>Valeur HOUELL</v>
          </cell>
          <cell r="U1104" t="str">
            <v>I H S</v>
          </cell>
        </row>
        <row r="1105">
          <cell r="A1105" t="str">
            <v>CTR_158</v>
          </cell>
          <cell r="B1105" t="str">
            <v>IHS_YND_527</v>
          </cell>
          <cell r="C1105" t="str">
            <v>CTR_158</v>
          </cell>
          <cell r="D1105" t="str">
            <v>Center</v>
          </cell>
          <cell r="E1105" t="str">
            <v>Center</v>
          </cell>
          <cell r="F1105" t="str">
            <v>Odza-II</v>
          </cell>
          <cell r="G1105" t="str">
            <v>P4</v>
          </cell>
          <cell r="H1105" t="str">
            <v>Grid-Gen</v>
          </cell>
          <cell r="I1105" t="str">
            <v>On Air</v>
          </cell>
          <cell r="J1105" t="str">
            <v>Outdoor</v>
          </cell>
          <cell r="K1105" t="str">
            <v>AC</v>
          </cell>
          <cell r="L1105" t="str">
            <v>SAGEMCOM</v>
          </cell>
          <cell r="M1105" t="str">
            <v>Tropicana</v>
          </cell>
          <cell r="N1105" t="str">
            <v>MFOUNDI</v>
          </cell>
          <cell r="O1105" t="str">
            <v>YAOUNDE 4</v>
          </cell>
          <cell r="P1105" t="str">
            <v>Pascaline MANDA</v>
          </cell>
          <cell r="Q1105">
            <v>677548320</v>
          </cell>
          <cell r="R1105">
            <v>656072444</v>
          </cell>
          <cell r="S1105" t="str">
            <v>Desire Moussinga</v>
          </cell>
          <cell r="T1105" t="str">
            <v>Valeur HOUELL</v>
          </cell>
          <cell r="U1105" t="str">
            <v>I H S</v>
          </cell>
        </row>
        <row r="1106">
          <cell r="A1106" t="str">
            <v>CTR_262</v>
          </cell>
          <cell r="B1106" t="str">
            <v>IHS_YND_150</v>
          </cell>
          <cell r="C1106" t="str">
            <v>CTR_262</v>
          </cell>
          <cell r="D1106" t="str">
            <v>Center</v>
          </cell>
          <cell r="E1106" t="str">
            <v>Center</v>
          </cell>
          <cell r="F1106" t="str">
            <v>Nkol-Mbanda</v>
          </cell>
          <cell r="G1106" t="str">
            <v>P4</v>
          </cell>
          <cell r="H1106" t="str">
            <v>Grid-Gen</v>
          </cell>
          <cell r="I1106" t="str">
            <v>On Air</v>
          </cell>
          <cell r="J1106" t="str">
            <v>Outdoor</v>
          </cell>
          <cell r="K1106" t="str">
            <v>AC</v>
          </cell>
          <cell r="L1106" t="str">
            <v>SAGEMCOM</v>
          </cell>
          <cell r="M1106" t="str">
            <v>Tropicana</v>
          </cell>
          <cell r="N1106" t="str">
            <v>MFOUNDI</v>
          </cell>
          <cell r="O1106" t="str">
            <v>YAOUNDE 4</v>
          </cell>
          <cell r="P1106" t="str">
            <v>Pascaline MANDA</v>
          </cell>
          <cell r="Q1106">
            <v>677548320</v>
          </cell>
          <cell r="R1106">
            <v>656072444</v>
          </cell>
          <cell r="S1106" t="str">
            <v>Desire Moussinga</v>
          </cell>
          <cell r="T1106" t="str">
            <v>Valeur HOUELL</v>
          </cell>
          <cell r="U1106" t="str">
            <v>I H S</v>
          </cell>
        </row>
        <row r="1107">
          <cell r="A1107" t="str">
            <v>CTR_340</v>
          </cell>
          <cell r="B1107" t="str">
            <v>IHS_YND_233</v>
          </cell>
          <cell r="C1107" t="str">
            <v>CTR_340</v>
          </cell>
          <cell r="D1107" t="str">
            <v>Center</v>
          </cell>
          <cell r="E1107" t="str">
            <v>Center</v>
          </cell>
          <cell r="F1107" t="str">
            <v>Oyomabang</v>
          </cell>
          <cell r="G1107" t="str">
            <v>P4</v>
          </cell>
          <cell r="H1107" t="str">
            <v>Grid-Gen</v>
          </cell>
          <cell r="I1107" t="str">
            <v>On Air</v>
          </cell>
          <cell r="J1107" t="str">
            <v>Outdoor</v>
          </cell>
          <cell r="K1107" t="str">
            <v>AC</v>
          </cell>
          <cell r="L1107" t="str">
            <v>SAGEMCOM</v>
          </cell>
          <cell r="M1107" t="str">
            <v>Nkolbisson</v>
          </cell>
          <cell r="N1107" t="str">
            <v>MFOUNDI</v>
          </cell>
          <cell r="O1107" t="str">
            <v>YAOUNDE 7</v>
          </cell>
          <cell r="P1107" t="str">
            <v>Pascaline MANDA</v>
          </cell>
          <cell r="Q1107">
            <v>677548320</v>
          </cell>
          <cell r="R1107">
            <v>656072444</v>
          </cell>
          <cell r="S1107" t="str">
            <v>Desire Moussinga</v>
          </cell>
          <cell r="T1107" t="str">
            <v>Valeur HOUELL</v>
          </cell>
          <cell r="U1107" t="str">
            <v>I H S</v>
          </cell>
        </row>
        <row r="1108">
          <cell r="A1108" t="str">
            <v>CTR_259</v>
          </cell>
          <cell r="B1108" t="str">
            <v>IHS_YND_169</v>
          </cell>
          <cell r="C1108" t="str">
            <v>CTR_259</v>
          </cell>
          <cell r="D1108" t="str">
            <v>Center</v>
          </cell>
          <cell r="E1108" t="str">
            <v>Center</v>
          </cell>
          <cell r="F1108" t="str">
            <v>Ekoumdoum</v>
          </cell>
          <cell r="G1108" t="str">
            <v>P4</v>
          </cell>
          <cell r="H1108" t="str">
            <v>Grid-Gen</v>
          </cell>
          <cell r="I1108" t="str">
            <v>On Air</v>
          </cell>
          <cell r="J1108" t="str">
            <v>Outdoor</v>
          </cell>
          <cell r="K1108" t="str">
            <v>AC</v>
          </cell>
          <cell r="L1108" t="str">
            <v>SAGEMCOM</v>
          </cell>
          <cell r="M1108" t="str">
            <v>Tropicana</v>
          </cell>
          <cell r="N1108" t="str">
            <v>MFOUNDI</v>
          </cell>
          <cell r="O1108" t="str">
            <v>YAOUNDE 4</v>
          </cell>
          <cell r="P1108" t="str">
            <v>Pascaline MANDA</v>
          </cell>
          <cell r="Q1108">
            <v>677548320</v>
          </cell>
          <cell r="R1108">
            <v>656072444</v>
          </cell>
          <cell r="S1108" t="str">
            <v>Desire Moussinga</v>
          </cell>
          <cell r="T1108" t="str">
            <v>Valeur HOUELL</v>
          </cell>
          <cell r="U1108" t="str">
            <v>I H S</v>
          </cell>
        </row>
        <row r="1109">
          <cell r="A1109" t="str">
            <v>CTR_056</v>
          </cell>
          <cell r="B1109" t="str">
            <v>IHS_YND_100</v>
          </cell>
          <cell r="C1109" t="str">
            <v>CTR_056</v>
          </cell>
          <cell r="D1109" t="str">
            <v>Center</v>
          </cell>
          <cell r="E1109" t="str">
            <v>Center</v>
          </cell>
          <cell r="F1109" t="str">
            <v>Shell-Nsimeyong</v>
          </cell>
          <cell r="G1109" t="str">
            <v>P4</v>
          </cell>
          <cell r="H1109" t="str">
            <v>Grid-Gen</v>
          </cell>
          <cell r="I1109" t="str">
            <v>On Air</v>
          </cell>
          <cell r="J1109" t="str">
            <v>Indoor</v>
          </cell>
          <cell r="K1109" t="str">
            <v>AC</v>
          </cell>
          <cell r="L1109" t="str">
            <v>SAGEMCOM</v>
          </cell>
          <cell r="M1109" t="str">
            <v>Tropicana</v>
          </cell>
          <cell r="N1109" t="str">
            <v>MFOUNDI</v>
          </cell>
          <cell r="O1109" t="str">
            <v>YAOUNDE 3</v>
          </cell>
          <cell r="P1109" t="str">
            <v>Pascaline MANDA</v>
          </cell>
          <cell r="Q1109">
            <v>677548320</v>
          </cell>
          <cell r="R1109">
            <v>656072444</v>
          </cell>
          <cell r="S1109" t="str">
            <v>Desire Moussinga</v>
          </cell>
          <cell r="T1109" t="str">
            <v>Valeur HOUELL</v>
          </cell>
          <cell r="U1109" t="str">
            <v>I H S</v>
          </cell>
        </row>
        <row r="1110">
          <cell r="A1110" t="str">
            <v>CTR_249</v>
          </cell>
          <cell r="B1110" t="str">
            <v>IHS_YND_225</v>
          </cell>
          <cell r="C1110" t="str">
            <v>CTR_249</v>
          </cell>
          <cell r="D1110" t="str">
            <v>Center</v>
          </cell>
          <cell r="E1110" t="str">
            <v>Center</v>
          </cell>
          <cell r="F1110" t="str">
            <v>Science</v>
          </cell>
          <cell r="G1110" t="str">
            <v>P4</v>
          </cell>
          <cell r="H1110" t="str">
            <v>Grid-Gen</v>
          </cell>
          <cell r="I1110" t="str">
            <v>On Air</v>
          </cell>
          <cell r="J1110" t="str">
            <v>Outdoor</v>
          </cell>
          <cell r="K1110" t="str">
            <v>AC</v>
          </cell>
          <cell r="L1110" t="str">
            <v>SAGEMCOM</v>
          </cell>
          <cell r="M1110" t="str">
            <v>Nkolbisson</v>
          </cell>
          <cell r="N1110" t="str">
            <v>MFOUNDI</v>
          </cell>
          <cell r="O1110" t="str">
            <v>YAOUNDE 6</v>
          </cell>
          <cell r="P1110" t="str">
            <v>Pascaline MANDA</v>
          </cell>
          <cell r="Q1110">
            <v>677548320</v>
          </cell>
          <cell r="R1110">
            <v>656072444</v>
          </cell>
          <cell r="S1110" t="str">
            <v>Desire Moussinga</v>
          </cell>
          <cell r="T1110" t="str">
            <v>Valeur HOUELL</v>
          </cell>
          <cell r="U1110" t="str">
            <v>I H S</v>
          </cell>
        </row>
        <row r="1111">
          <cell r="A1111" t="str">
            <v>CTR_209</v>
          </cell>
          <cell r="B1111" t="str">
            <v>IHS_YND_070</v>
          </cell>
          <cell r="C1111" t="str">
            <v>CTR_209</v>
          </cell>
          <cell r="D1111" t="str">
            <v>Center</v>
          </cell>
          <cell r="E1111" t="str">
            <v>Center</v>
          </cell>
          <cell r="F1111" t="str">
            <v>Efoulan</v>
          </cell>
          <cell r="G1111" t="str">
            <v>P4</v>
          </cell>
          <cell r="H1111" t="str">
            <v>Grid-Gen</v>
          </cell>
          <cell r="I1111" t="str">
            <v>On Air</v>
          </cell>
          <cell r="J1111" t="str">
            <v>Outdoor</v>
          </cell>
          <cell r="K1111" t="str">
            <v>AC</v>
          </cell>
          <cell r="L1111" t="str">
            <v>SAGEMCOM</v>
          </cell>
          <cell r="M1111" t="str">
            <v>Tropicana</v>
          </cell>
          <cell r="N1111" t="str">
            <v>MFOUNDI</v>
          </cell>
          <cell r="O1111" t="str">
            <v>YAOUNDE 3</v>
          </cell>
          <cell r="P1111" t="str">
            <v>Pascaline MANDA</v>
          </cell>
          <cell r="Q1111">
            <v>677548320</v>
          </cell>
          <cell r="R1111">
            <v>656072444</v>
          </cell>
          <cell r="S1111" t="str">
            <v>Desire Moussinga</v>
          </cell>
          <cell r="T1111" t="str">
            <v>Valeur HOUELL</v>
          </cell>
          <cell r="U1111" t="str">
            <v>I H S</v>
          </cell>
        </row>
        <row r="1112">
          <cell r="A1112" t="str">
            <v>CTR_256</v>
          </cell>
          <cell r="B1112" t="str">
            <v>IHS_YND_232</v>
          </cell>
          <cell r="C1112" t="str">
            <v>CTR_256</v>
          </cell>
          <cell r="D1112" t="str">
            <v>Center</v>
          </cell>
          <cell r="E1112" t="str">
            <v>Center</v>
          </cell>
          <cell r="F1112" t="str">
            <v>Crf-Nkolbisson</v>
          </cell>
          <cell r="G1112" t="str">
            <v>P4</v>
          </cell>
          <cell r="H1112" t="str">
            <v>Grid-Gen</v>
          </cell>
          <cell r="I1112" t="str">
            <v>On Air</v>
          </cell>
          <cell r="J1112" t="str">
            <v>Outdoor</v>
          </cell>
          <cell r="K1112" t="str">
            <v>AC</v>
          </cell>
          <cell r="L1112" t="str">
            <v>SAGEMCOM</v>
          </cell>
          <cell r="M1112" t="str">
            <v>Nkolbisson</v>
          </cell>
          <cell r="N1112" t="str">
            <v>MFOUNDI</v>
          </cell>
          <cell r="O1112" t="str">
            <v>YAOUNDE 7</v>
          </cell>
          <cell r="P1112" t="str">
            <v>Pascaline MANDA</v>
          </cell>
          <cell r="Q1112">
            <v>677548320</v>
          </cell>
          <cell r="R1112">
            <v>656072444</v>
          </cell>
          <cell r="S1112" t="str">
            <v>Desire Moussinga</v>
          </cell>
          <cell r="T1112" t="str">
            <v>Valeur HOUELL</v>
          </cell>
          <cell r="U1112" t="str">
            <v>I H S</v>
          </cell>
        </row>
        <row r="1113">
          <cell r="A1113" t="str">
            <v>CTR_285</v>
          </cell>
          <cell r="B1113" t="str">
            <v>IHS_YND_099</v>
          </cell>
          <cell r="C1113" t="str">
            <v>CTR_285</v>
          </cell>
          <cell r="D1113" t="str">
            <v>Center</v>
          </cell>
          <cell r="E1113" t="str">
            <v>Center</v>
          </cell>
          <cell r="F1113" t="str">
            <v>Ekie-Elegance</v>
          </cell>
          <cell r="G1113" t="str">
            <v>P4</v>
          </cell>
          <cell r="H1113" t="str">
            <v>Grid Only</v>
          </cell>
          <cell r="I1113" t="str">
            <v>On Air</v>
          </cell>
          <cell r="J1113" t="str">
            <v>Outdoor</v>
          </cell>
          <cell r="K1113" t="str">
            <v>AC</v>
          </cell>
          <cell r="L1113" t="str">
            <v>SAGEMCOM</v>
          </cell>
          <cell r="M1113" t="str">
            <v>Tropicana</v>
          </cell>
          <cell r="N1113" t="str">
            <v>MFOUNDI</v>
          </cell>
          <cell r="O1113" t="str">
            <v>YAOUNDE 4</v>
          </cell>
          <cell r="P1113" t="str">
            <v>Pascaline MANDA</v>
          </cell>
          <cell r="Q1113">
            <v>677548320</v>
          </cell>
          <cell r="R1113">
            <v>656072444</v>
          </cell>
          <cell r="S1113" t="str">
            <v>Desire Moussinga</v>
          </cell>
          <cell r="T1113" t="str">
            <v>Valeur HOUELL</v>
          </cell>
          <cell r="U1113" t="str">
            <v>I H S</v>
          </cell>
        </row>
        <row r="1114">
          <cell r="A1114" t="str">
            <v>CTR_386</v>
          </cell>
          <cell r="B1114" t="str">
            <v>IHS_YND_162</v>
          </cell>
          <cell r="C1114" t="str">
            <v>CTR_386</v>
          </cell>
          <cell r="D1114" t="str">
            <v>Center</v>
          </cell>
          <cell r="E1114" t="str">
            <v>Center</v>
          </cell>
          <cell r="F1114" t="str">
            <v>Tropicana</v>
          </cell>
          <cell r="G1114" t="str">
            <v>P4</v>
          </cell>
          <cell r="H1114" t="str">
            <v>Grid Only</v>
          </cell>
          <cell r="I1114" t="str">
            <v>On Air</v>
          </cell>
          <cell r="J1114" t="str">
            <v>Outdoor</v>
          </cell>
          <cell r="K1114" t="str">
            <v>AC</v>
          </cell>
          <cell r="L1114" t="str">
            <v>SAGEMCOM</v>
          </cell>
          <cell r="M1114" t="str">
            <v>Tropicana</v>
          </cell>
          <cell r="N1114" t="str">
            <v>MFOUNDI</v>
          </cell>
          <cell r="O1114" t="str">
            <v>YAOUNDE 4</v>
          </cell>
          <cell r="P1114" t="str">
            <v>Pascaline MANDA</v>
          </cell>
          <cell r="Q1114">
            <v>677548320</v>
          </cell>
          <cell r="R1114">
            <v>656072444</v>
          </cell>
          <cell r="S1114" t="str">
            <v>Desire Moussinga</v>
          </cell>
          <cell r="T1114" t="str">
            <v>Valeur HOUELL</v>
          </cell>
          <cell r="U1114" t="str">
            <v>I H S</v>
          </cell>
        </row>
        <row r="1115">
          <cell r="A1115" t="str">
            <v>CTR_159</v>
          </cell>
          <cell r="B1115" t="str">
            <v>IHS_YND_508</v>
          </cell>
          <cell r="C1115" t="str">
            <v>CTR_159</v>
          </cell>
          <cell r="D1115" t="str">
            <v>Center</v>
          </cell>
          <cell r="E1115" t="str">
            <v>Center</v>
          </cell>
          <cell r="F1115" t="str">
            <v>Crf-Nsam</v>
          </cell>
          <cell r="G1115" t="str">
            <v>P4</v>
          </cell>
          <cell r="H1115" t="str">
            <v>Grid-Gen</v>
          </cell>
          <cell r="I1115" t="str">
            <v>On Air</v>
          </cell>
          <cell r="J1115" t="str">
            <v>Outdoor</v>
          </cell>
          <cell r="K1115" t="str">
            <v>AC</v>
          </cell>
          <cell r="L1115" t="str">
            <v>SAGEMCOM</v>
          </cell>
          <cell r="M1115" t="str">
            <v>Tropicana</v>
          </cell>
          <cell r="N1115" t="str">
            <v>MFOUNDI</v>
          </cell>
          <cell r="O1115" t="str">
            <v>YAOUNDE 3</v>
          </cell>
          <cell r="P1115" t="str">
            <v>Pascaline MANDA</v>
          </cell>
          <cell r="Q1115">
            <v>677548320</v>
          </cell>
          <cell r="R1115">
            <v>656072444</v>
          </cell>
          <cell r="S1115" t="str">
            <v>Desire Moussinga</v>
          </cell>
          <cell r="T1115" t="str">
            <v>Valeur HOUELL</v>
          </cell>
          <cell r="U1115" t="str">
            <v>I H S</v>
          </cell>
        </row>
        <row r="1116">
          <cell r="A1116" t="str">
            <v>CTR_238</v>
          </cell>
          <cell r="B1116" t="str">
            <v>IHS_YND_148</v>
          </cell>
          <cell r="C1116" t="str">
            <v>CTR_238</v>
          </cell>
          <cell r="D1116" t="str">
            <v>Center</v>
          </cell>
          <cell r="E1116" t="str">
            <v>Center</v>
          </cell>
          <cell r="F1116" t="str">
            <v>Chapelle-Nsimeyong</v>
          </cell>
          <cell r="G1116" t="str">
            <v>P4</v>
          </cell>
          <cell r="H1116" t="str">
            <v>Grid-Gen</v>
          </cell>
          <cell r="I1116" t="str">
            <v>On Air</v>
          </cell>
          <cell r="J1116" t="str">
            <v>Outdoor</v>
          </cell>
          <cell r="K1116" t="str">
            <v>AC</v>
          </cell>
          <cell r="L1116" t="str">
            <v>SAGEMCOM</v>
          </cell>
          <cell r="M1116" t="str">
            <v>Tropicana</v>
          </cell>
          <cell r="N1116" t="str">
            <v>MFOUNDI</v>
          </cell>
          <cell r="O1116" t="str">
            <v>YAOUNDE 3</v>
          </cell>
          <cell r="P1116" t="str">
            <v>Pascaline MANDA</v>
          </cell>
          <cell r="Q1116">
            <v>677548320</v>
          </cell>
          <cell r="R1116">
            <v>656072444</v>
          </cell>
          <cell r="S1116" t="str">
            <v>Desire Moussinga</v>
          </cell>
          <cell r="T1116" t="str">
            <v>Valeur HOUELL</v>
          </cell>
          <cell r="U1116" t="str">
            <v>I H S</v>
          </cell>
        </row>
        <row r="1117">
          <cell r="A1117" t="str">
            <v>CTR_261</v>
          </cell>
          <cell r="B1117" t="str">
            <v>IHS_YND_161</v>
          </cell>
          <cell r="C1117" t="str">
            <v>CTR_261</v>
          </cell>
          <cell r="D1117" t="str">
            <v>Center</v>
          </cell>
          <cell r="E1117" t="str">
            <v>Center</v>
          </cell>
          <cell r="F1117" t="str">
            <v>Sofavinc</v>
          </cell>
          <cell r="G1117" t="str">
            <v>P4</v>
          </cell>
          <cell r="H1117" t="str">
            <v>Grid-Gen</v>
          </cell>
          <cell r="I1117" t="str">
            <v>On Air</v>
          </cell>
          <cell r="J1117" t="str">
            <v>Outdoor</v>
          </cell>
          <cell r="K1117" t="str">
            <v>AC</v>
          </cell>
          <cell r="L1117" t="str">
            <v>SAGEMCOM</v>
          </cell>
          <cell r="M1117" t="str">
            <v>Tropicana</v>
          </cell>
          <cell r="N1117" t="str">
            <v>MFOUNDI</v>
          </cell>
          <cell r="O1117" t="str">
            <v>YAOUNDE 3</v>
          </cell>
          <cell r="P1117" t="str">
            <v>Pascaline MANDA</v>
          </cell>
          <cell r="Q1117">
            <v>677548320</v>
          </cell>
          <cell r="R1117">
            <v>656072444</v>
          </cell>
          <cell r="S1117" t="str">
            <v>Desire Moussinga</v>
          </cell>
          <cell r="T1117" t="str">
            <v>Valeur HOUELL</v>
          </cell>
          <cell r="U1117" t="str">
            <v>I H S</v>
          </cell>
        </row>
        <row r="1118">
          <cell r="A1118" t="str">
            <v>CTR_310</v>
          </cell>
          <cell r="B1118" t="str">
            <v>IHS_YND_057</v>
          </cell>
          <cell r="C1118" t="str">
            <v>CTR_310</v>
          </cell>
          <cell r="D1118" t="str">
            <v>Center</v>
          </cell>
          <cell r="E1118" t="str">
            <v>Center</v>
          </cell>
          <cell r="F1118" t="str">
            <v>Mvolye-New</v>
          </cell>
          <cell r="G1118" t="str">
            <v>P4</v>
          </cell>
          <cell r="H1118" t="str">
            <v>Grid Only</v>
          </cell>
          <cell r="I1118" t="str">
            <v>On Air</v>
          </cell>
          <cell r="J1118" t="str">
            <v>Outdoor</v>
          </cell>
          <cell r="K1118" t="str">
            <v>AC</v>
          </cell>
          <cell r="L1118" t="str">
            <v>SAGEMCOM</v>
          </cell>
          <cell r="M1118" t="str">
            <v>Tropicana</v>
          </cell>
          <cell r="N1118" t="str">
            <v>MFOUNDI</v>
          </cell>
          <cell r="O1118" t="str">
            <v>YAOUNDE 3</v>
          </cell>
          <cell r="P1118" t="str">
            <v>Pascaline MANDA</v>
          </cell>
          <cell r="Q1118">
            <v>677548320</v>
          </cell>
          <cell r="R1118">
            <v>656072444</v>
          </cell>
          <cell r="S1118" t="str">
            <v>Desire Moussinga</v>
          </cell>
          <cell r="T1118" t="str">
            <v>Valeur HOUELL</v>
          </cell>
          <cell r="U1118" t="str">
            <v>I H S</v>
          </cell>
        </row>
        <row r="1119">
          <cell r="A1119" t="str">
            <v>CTR_240</v>
          </cell>
          <cell r="B1119" t="str">
            <v>IHS_YND_021</v>
          </cell>
          <cell r="C1119" t="str">
            <v>CTR_240</v>
          </cell>
          <cell r="D1119" t="str">
            <v>Center</v>
          </cell>
          <cell r="E1119" t="str">
            <v>Center</v>
          </cell>
          <cell r="F1119" t="str">
            <v>C-Supreme</v>
          </cell>
          <cell r="G1119" t="str">
            <v>P4</v>
          </cell>
          <cell r="H1119" t="str">
            <v>Grid Only</v>
          </cell>
          <cell r="I1119" t="str">
            <v>On Air</v>
          </cell>
          <cell r="J1119" t="str">
            <v>Outdoor</v>
          </cell>
          <cell r="K1119" t="str">
            <v>AC</v>
          </cell>
          <cell r="L1119" t="str">
            <v>SAGEMCOM</v>
          </cell>
          <cell r="M1119" t="str">
            <v>Essos</v>
          </cell>
          <cell r="N1119" t="str">
            <v>MFOUNDI</v>
          </cell>
          <cell r="O1119" t="str">
            <v>YAOUNDE 1</v>
          </cell>
          <cell r="P1119" t="str">
            <v>Pascaline MANDA</v>
          </cell>
          <cell r="Q1119">
            <v>677548320</v>
          </cell>
          <cell r="R1119">
            <v>656072444</v>
          </cell>
          <cell r="S1119" t="str">
            <v>Desire Moussinga</v>
          </cell>
          <cell r="T1119" t="str">
            <v>Valeur HOUELL</v>
          </cell>
          <cell r="U1119" t="str">
            <v>I H S</v>
          </cell>
        </row>
        <row r="1120">
          <cell r="A1120" t="str">
            <v>CTR_035</v>
          </cell>
          <cell r="B1120" t="str">
            <v>IHS_YND_055</v>
          </cell>
          <cell r="C1120" t="str">
            <v>CTR_035</v>
          </cell>
          <cell r="D1120" t="str">
            <v>Center</v>
          </cell>
          <cell r="E1120" t="str">
            <v>Center</v>
          </cell>
          <cell r="F1120" t="str">
            <v>Olezoa</v>
          </cell>
          <cell r="G1120" t="str">
            <v>P4</v>
          </cell>
          <cell r="H1120" t="str">
            <v>Grid Only</v>
          </cell>
          <cell r="I1120" t="str">
            <v>On Air</v>
          </cell>
          <cell r="J1120" t="str">
            <v>Indoor</v>
          </cell>
          <cell r="K1120" t="str">
            <v>AC</v>
          </cell>
          <cell r="L1120" t="str">
            <v>SAGEMCOM</v>
          </cell>
          <cell r="M1120" t="str">
            <v>Tropicana</v>
          </cell>
          <cell r="N1120" t="str">
            <v>MFOUNDI</v>
          </cell>
          <cell r="O1120" t="str">
            <v>YAOUNDE 3</v>
          </cell>
          <cell r="P1120" t="str">
            <v>Pascaline MANDA</v>
          </cell>
          <cell r="Q1120">
            <v>677548320</v>
          </cell>
          <cell r="R1120">
            <v>656072444</v>
          </cell>
          <cell r="S1120" t="str">
            <v>Desire Moussinga</v>
          </cell>
          <cell r="T1120" t="str">
            <v>Valeur HOUELL</v>
          </cell>
          <cell r="U1120" t="str">
            <v>I H S</v>
          </cell>
        </row>
        <row r="1121">
          <cell r="A1121" t="str">
            <v>CTR_382</v>
          </cell>
          <cell r="B1121" t="str">
            <v>IHS_YND_265</v>
          </cell>
          <cell r="C1121" t="str">
            <v>CTR_382</v>
          </cell>
          <cell r="D1121" t="str">
            <v>Center</v>
          </cell>
          <cell r="E1121" t="str">
            <v>Center</v>
          </cell>
          <cell r="F1121" t="str">
            <v>Messa-Carriere</v>
          </cell>
          <cell r="G1121" t="str">
            <v>P4</v>
          </cell>
          <cell r="H1121" t="str">
            <v>Grid Only</v>
          </cell>
          <cell r="I1121" t="str">
            <v>On Air</v>
          </cell>
          <cell r="J1121" t="str">
            <v>Outdoor</v>
          </cell>
          <cell r="K1121" t="str">
            <v>AC</v>
          </cell>
          <cell r="L1121" t="str">
            <v>SAGEMCOM</v>
          </cell>
          <cell r="M1121" t="str">
            <v>Nkolbisson</v>
          </cell>
          <cell r="N1121" t="str">
            <v>MFOUNDI</v>
          </cell>
          <cell r="O1121" t="str">
            <v>YAOUNDE 6</v>
          </cell>
          <cell r="P1121" t="str">
            <v>Pascaline MANDA</v>
          </cell>
          <cell r="Q1121">
            <v>677548320</v>
          </cell>
          <cell r="R1121">
            <v>656072444</v>
          </cell>
          <cell r="S1121" t="str">
            <v>Desire Moussinga</v>
          </cell>
          <cell r="T1121" t="str">
            <v>Valeur HOUELL</v>
          </cell>
          <cell r="U1121" t="str">
            <v>I H S</v>
          </cell>
        </row>
        <row r="1122">
          <cell r="A1122" t="str">
            <v>CTR_010</v>
          </cell>
          <cell r="B1122" t="str">
            <v>IHS_YND_327</v>
          </cell>
          <cell r="C1122" t="str">
            <v>CTR_010</v>
          </cell>
          <cell r="D1122" t="str">
            <v>Center</v>
          </cell>
          <cell r="E1122" t="str">
            <v>Center</v>
          </cell>
          <cell r="F1122" t="str">
            <v>Nsimalen</v>
          </cell>
          <cell r="G1122" t="str">
            <v>P4</v>
          </cell>
          <cell r="H1122" t="str">
            <v>Grid Only</v>
          </cell>
          <cell r="I1122" t="str">
            <v>On Air</v>
          </cell>
          <cell r="J1122" t="str">
            <v>Indoor</v>
          </cell>
          <cell r="K1122" t="str">
            <v>AC</v>
          </cell>
          <cell r="L1122" t="str">
            <v>SAGEMCOM</v>
          </cell>
          <cell r="M1122" t="str">
            <v>Tropicana</v>
          </cell>
          <cell r="N1122" t="str">
            <v>MFOUNDI</v>
          </cell>
          <cell r="O1122" t="str">
            <v>YAOUNDE 4</v>
          </cell>
          <cell r="P1122" t="str">
            <v>Pascaline MANDA</v>
          </cell>
          <cell r="Q1122">
            <v>677548320</v>
          </cell>
          <cell r="R1122">
            <v>656072444</v>
          </cell>
          <cell r="S1122" t="str">
            <v>Desire Moussinga</v>
          </cell>
          <cell r="T1122" t="str">
            <v>Valeur HOUELL</v>
          </cell>
          <cell r="U1122" t="str">
            <v>I H S</v>
          </cell>
        </row>
        <row r="1123">
          <cell r="A1123" t="str">
            <v>CTR_623</v>
          </cell>
          <cell r="B1123" t="str">
            <v>IHS_YND_515</v>
          </cell>
          <cell r="C1123" t="str">
            <v>CTR_623</v>
          </cell>
          <cell r="D1123" t="str">
            <v>Center</v>
          </cell>
          <cell r="E1123" t="str">
            <v>Center</v>
          </cell>
          <cell r="F1123" t="str">
            <v>Elum Ndem-IHS</v>
          </cell>
          <cell r="G1123" t="str">
            <v>P4</v>
          </cell>
          <cell r="H1123" t="str">
            <v>Grid-Gen</v>
          </cell>
          <cell r="I1123" t="str">
            <v>On Air</v>
          </cell>
          <cell r="J1123" t="str">
            <v>Outdoor</v>
          </cell>
          <cell r="K1123" t="str">
            <v>AC</v>
          </cell>
          <cell r="L1123" t="str">
            <v>SAGEMCOM</v>
          </cell>
          <cell r="M1123" t="str">
            <v>Nkolbisson</v>
          </cell>
          <cell r="N1123" t="str">
            <v>MFOUNDI</v>
          </cell>
          <cell r="O1123" t="str">
            <v>YAOUNDE 6</v>
          </cell>
          <cell r="P1123" t="str">
            <v>Pascaline MANDA</v>
          </cell>
          <cell r="Q1123">
            <v>677548320</v>
          </cell>
          <cell r="R1123">
            <v>656072444</v>
          </cell>
          <cell r="S1123" t="str">
            <v>Desire Moussinga</v>
          </cell>
          <cell r="T1123" t="str">
            <v>Valeur HOUELL</v>
          </cell>
          <cell r="U1123" t="str">
            <v>I H S</v>
          </cell>
        </row>
        <row r="1124">
          <cell r="A1124" t="str">
            <v>CTR_467</v>
          </cell>
          <cell r="B1124" t="str">
            <v>IHS_YND_281</v>
          </cell>
          <cell r="C1124" t="str">
            <v>CTR_467</v>
          </cell>
          <cell r="D1124" t="str">
            <v>Center</v>
          </cell>
          <cell r="E1124" t="str">
            <v>Center</v>
          </cell>
          <cell r="F1124" t="str">
            <v>Odza II</v>
          </cell>
          <cell r="G1124" t="str">
            <v>P4</v>
          </cell>
          <cell r="H1124" t="str">
            <v>Grid-Gen</v>
          </cell>
          <cell r="I1124" t="str">
            <v>On Air</v>
          </cell>
          <cell r="J1124" t="str">
            <v>Outdoor</v>
          </cell>
          <cell r="K1124" t="str">
            <v>AC</v>
          </cell>
          <cell r="L1124" t="str">
            <v>SAGEMCOM</v>
          </cell>
          <cell r="M1124" t="str">
            <v>Tropicana</v>
          </cell>
          <cell r="N1124" t="str">
            <v>MFOUNDI</v>
          </cell>
          <cell r="O1124" t="str">
            <v>YAOUNDE 4</v>
          </cell>
          <cell r="P1124" t="str">
            <v>Pascaline MANDA</v>
          </cell>
          <cell r="Q1124">
            <v>677548320</v>
          </cell>
          <cell r="R1124">
            <v>656072444</v>
          </cell>
          <cell r="S1124" t="str">
            <v>Desire Moussinga</v>
          </cell>
          <cell r="T1124" t="str">
            <v>Valeur HOUELL</v>
          </cell>
          <cell r="U1124" t="str">
            <v>I H S</v>
          </cell>
        </row>
        <row r="1125">
          <cell r="A1125" t="str">
            <v>CTR_309</v>
          </cell>
          <cell r="B1125" t="str">
            <v>IHS_YND_343</v>
          </cell>
          <cell r="C1125" t="str">
            <v>CTR_309</v>
          </cell>
          <cell r="D1125" t="str">
            <v>Center</v>
          </cell>
          <cell r="E1125" t="str">
            <v>Center</v>
          </cell>
          <cell r="F1125" t="str">
            <v>Ekali-MTN</v>
          </cell>
          <cell r="G1125" t="str">
            <v>P4</v>
          </cell>
          <cell r="H1125" t="str">
            <v>Grid-Gen</v>
          </cell>
          <cell r="I1125" t="str">
            <v>On Air</v>
          </cell>
          <cell r="J1125" t="str">
            <v>Outdoor</v>
          </cell>
          <cell r="K1125" t="str">
            <v>AC</v>
          </cell>
          <cell r="L1125" t="str">
            <v>SAGEMCOM</v>
          </cell>
          <cell r="M1125" t="str">
            <v>Tropicana</v>
          </cell>
          <cell r="N1125" t="str">
            <v>NYONG-ET-SO'O</v>
          </cell>
          <cell r="O1125" t="str">
            <v>MBALMAYO</v>
          </cell>
          <cell r="P1125" t="str">
            <v>Pascaline MANDA</v>
          </cell>
          <cell r="Q1125">
            <v>677548320</v>
          </cell>
          <cell r="R1125">
            <v>656072444</v>
          </cell>
          <cell r="S1125" t="str">
            <v>Desire Moussinga</v>
          </cell>
          <cell r="T1125" t="str">
            <v>Valeur HOUELL</v>
          </cell>
          <cell r="U1125" t="str">
            <v>I H S</v>
          </cell>
        </row>
        <row r="1126">
          <cell r="A1126" t="str">
            <v>CTR_466</v>
          </cell>
          <cell r="B1126" t="str">
            <v>IHS_YND_271</v>
          </cell>
          <cell r="C1126" t="str">
            <v>CTR_466</v>
          </cell>
          <cell r="D1126" t="str">
            <v>Center</v>
          </cell>
          <cell r="E1126" t="str">
            <v>Center</v>
          </cell>
          <cell r="F1126" t="str">
            <v>Yona-Hotel-MTN-IHS</v>
          </cell>
          <cell r="G1126" t="str">
            <v>P4</v>
          </cell>
          <cell r="H1126" t="str">
            <v>Grid-Gen</v>
          </cell>
          <cell r="I1126" t="str">
            <v>On Air</v>
          </cell>
          <cell r="J1126" t="str">
            <v>Indoor</v>
          </cell>
          <cell r="K1126" t="str">
            <v>AC</v>
          </cell>
          <cell r="L1126" t="str">
            <v>SAGEMCOM</v>
          </cell>
          <cell r="M1126" t="str">
            <v>Nkolbisson</v>
          </cell>
          <cell r="N1126" t="str">
            <v>MFOUNDI</v>
          </cell>
          <cell r="O1126" t="str">
            <v>YAOUNDE 7</v>
          </cell>
          <cell r="P1126" t="str">
            <v>Pascaline MANDA</v>
          </cell>
          <cell r="Q1126">
            <v>677548320</v>
          </cell>
          <cell r="R1126">
            <v>656072444</v>
          </cell>
          <cell r="S1126" t="str">
            <v>Desire Moussinga</v>
          </cell>
          <cell r="T1126" t="str">
            <v>Valeur HOUELL</v>
          </cell>
          <cell r="U1126" t="str">
            <v>I H S</v>
          </cell>
        </row>
        <row r="1127">
          <cell r="A1127" t="str">
            <v>CTR_661</v>
          </cell>
          <cell r="B1127" t="str">
            <v>IHS_YND_067</v>
          </cell>
          <cell r="C1127" t="str">
            <v>CTR_661</v>
          </cell>
          <cell r="D1127" t="str">
            <v>Center</v>
          </cell>
          <cell r="E1127" t="str">
            <v>Center</v>
          </cell>
          <cell r="F1127" t="str">
            <v>Noka-Ayos-IHS</v>
          </cell>
          <cell r="G1127" t="str">
            <v>P4</v>
          </cell>
          <cell r="H1127" t="str">
            <v>Grid-Gen</v>
          </cell>
          <cell r="I1127" t="str">
            <v>On Air</v>
          </cell>
          <cell r="J1127" t="str">
            <v>Outdoor</v>
          </cell>
          <cell r="K1127" t="str">
            <v>AC</v>
          </cell>
          <cell r="L1127" t="str">
            <v>SAGEMCOM</v>
          </cell>
          <cell r="M1127" t="str">
            <v>Tropicana</v>
          </cell>
          <cell r="N1127" t="str">
            <v>MFOUNDI</v>
          </cell>
          <cell r="O1127" t="str">
            <v>YAOUNDE 4</v>
          </cell>
          <cell r="P1127" t="str">
            <v>Pascaline MANDA</v>
          </cell>
          <cell r="Q1127">
            <v>677548320</v>
          </cell>
          <cell r="R1127">
            <v>656072444</v>
          </cell>
          <cell r="S1127" t="str">
            <v>Desire Moussinga</v>
          </cell>
          <cell r="T1127" t="str">
            <v>Valeur HOUELL</v>
          </cell>
          <cell r="U1127" t="str">
            <v>I H S</v>
          </cell>
        </row>
        <row r="1128">
          <cell r="A1128" t="str">
            <v>CTR_471</v>
          </cell>
          <cell r="B1128" t="str">
            <v>IHS_YND_231</v>
          </cell>
          <cell r="C1128" t="str">
            <v>CTR_471</v>
          </cell>
          <cell r="D1128" t="str">
            <v>Center</v>
          </cell>
          <cell r="E1128" t="str">
            <v>Center</v>
          </cell>
          <cell r="F1128" t="str">
            <v>Nkolso-MTN-IHS</v>
          </cell>
          <cell r="G1128" t="str">
            <v>P4</v>
          </cell>
          <cell r="H1128" t="str">
            <v>Grid-Gen</v>
          </cell>
          <cell r="I1128" t="str">
            <v>On Air</v>
          </cell>
          <cell r="J1128" t="str">
            <v>Indoor</v>
          </cell>
          <cell r="K1128" t="str">
            <v>AC</v>
          </cell>
          <cell r="L1128" t="str">
            <v>SAGEMCOM</v>
          </cell>
          <cell r="M1128" t="str">
            <v>Nkolbisson</v>
          </cell>
          <cell r="N1128" t="str">
            <v>MFOUNDI</v>
          </cell>
          <cell r="O1128" t="str">
            <v>YAOUNDE 7</v>
          </cell>
          <cell r="P1128" t="str">
            <v>Pascaline MANDA</v>
          </cell>
          <cell r="Q1128">
            <v>677548320</v>
          </cell>
          <cell r="R1128">
            <v>656072444</v>
          </cell>
          <cell r="S1128" t="str">
            <v>Desire Moussinga</v>
          </cell>
          <cell r="T1128" t="str">
            <v>Valeur HOUELL</v>
          </cell>
          <cell r="U1128" t="str">
            <v>I H S</v>
          </cell>
        </row>
        <row r="1129">
          <cell r="A1129" t="str">
            <v>CTR_419</v>
          </cell>
          <cell r="B1129" t="str">
            <v>IHS_YND_227</v>
          </cell>
          <cell r="C1129" t="str">
            <v>CTR_419</v>
          </cell>
          <cell r="D1129" t="str">
            <v>Center</v>
          </cell>
          <cell r="E1129" t="str">
            <v>Center</v>
          </cell>
          <cell r="F1129" t="str">
            <v>EtougEbe-Lycee-MTN</v>
          </cell>
          <cell r="G1129" t="str">
            <v>P4</v>
          </cell>
          <cell r="H1129" t="str">
            <v>Grid-Gen</v>
          </cell>
          <cell r="I1129" t="str">
            <v>On Air</v>
          </cell>
          <cell r="J1129" t="str">
            <v>Indoor</v>
          </cell>
          <cell r="K1129" t="str">
            <v>AC</v>
          </cell>
          <cell r="L1129" t="str">
            <v>SAGEMCOM</v>
          </cell>
          <cell r="M1129" t="str">
            <v>Nkolbisson</v>
          </cell>
          <cell r="N1129" t="str">
            <v>MFOUNDI</v>
          </cell>
          <cell r="O1129" t="str">
            <v>YAOUNDE 6</v>
          </cell>
          <cell r="P1129" t="str">
            <v>Pascaline MANDA</v>
          </cell>
          <cell r="Q1129">
            <v>677548320</v>
          </cell>
          <cell r="R1129">
            <v>656072444</v>
          </cell>
          <cell r="S1129" t="str">
            <v>Desire Moussinga</v>
          </cell>
          <cell r="T1129" t="str">
            <v>Valeur HOUELL</v>
          </cell>
          <cell r="U1129" t="str">
            <v>I H S</v>
          </cell>
        </row>
        <row r="1130">
          <cell r="A1130" t="str">
            <v>CTR_487</v>
          </cell>
          <cell r="B1130" t="str">
            <v>IHS_YND_510</v>
          </cell>
          <cell r="C1130" t="str">
            <v>CTR_487</v>
          </cell>
          <cell r="D1130" t="str">
            <v>Center</v>
          </cell>
          <cell r="E1130" t="str">
            <v>Center</v>
          </cell>
          <cell r="F1130" t="str">
            <v>Mvan MRS</v>
          </cell>
          <cell r="G1130" t="str">
            <v>P4</v>
          </cell>
          <cell r="H1130" t="str">
            <v>Grid-Gen</v>
          </cell>
          <cell r="I1130" t="str">
            <v>On Air</v>
          </cell>
          <cell r="J1130" t="str">
            <v>Outdoor</v>
          </cell>
          <cell r="K1130" t="str">
            <v>AC</v>
          </cell>
          <cell r="L1130" t="str">
            <v>SAGEMCOM</v>
          </cell>
          <cell r="M1130" t="str">
            <v>Tropicana</v>
          </cell>
          <cell r="N1130" t="str">
            <v>MFOUNDI</v>
          </cell>
          <cell r="O1130" t="str">
            <v>YAOUNDE 4</v>
          </cell>
          <cell r="P1130" t="str">
            <v>Pascaline MANDA</v>
          </cell>
          <cell r="Q1130">
            <v>677548320</v>
          </cell>
          <cell r="R1130">
            <v>656072444</v>
          </cell>
          <cell r="S1130" t="str">
            <v>Desire Moussinga</v>
          </cell>
          <cell r="T1130" t="str">
            <v>Valeur HOUELL</v>
          </cell>
          <cell r="U1130" t="str">
            <v>I H S</v>
          </cell>
        </row>
        <row r="1131">
          <cell r="A1131" t="str">
            <v>CTR_465</v>
          </cell>
          <cell r="B1131" t="str">
            <v>IHS_YND_291</v>
          </cell>
          <cell r="C1131" t="str">
            <v>CTR_465</v>
          </cell>
          <cell r="D1131" t="str">
            <v>Center</v>
          </cell>
          <cell r="E1131" t="str">
            <v>Center</v>
          </cell>
          <cell r="F1131" t="str">
            <v>Ekoumdoum</v>
          </cell>
          <cell r="G1131" t="str">
            <v>P4</v>
          </cell>
          <cell r="H1131" t="str">
            <v>Grid-Gen</v>
          </cell>
          <cell r="I1131" t="str">
            <v>On Air</v>
          </cell>
          <cell r="J1131" t="str">
            <v>Outdoor</v>
          </cell>
          <cell r="K1131" t="str">
            <v>AC</v>
          </cell>
          <cell r="L1131" t="str">
            <v>SAGEMCOM</v>
          </cell>
          <cell r="M1131" t="str">
            <v>Tropicana</v>
          </cell>
          <cell r="N1131" t="str">
            <v>MFOUNDI</v>
          </cell>
          <cell r="O1131" t="str">
            <v>YAOUNDE 4</v>
          </cell>
          <cell r="P1131" t="str">
            <v>Pascaline MANDA</v>
          </cell>
          <cell r="Q1131">
            <v>677548320</v>
          </cell>
          <cell r="R1131">
            <v>656072444</v>
          </cell>
          <cell r="S1131" t="str">
            <v>Desire Moussinga</v>
          </cell>
          <cell r="T1131" t="str">
            <v>Valeur HOUELL</v>
          </cell>
          <cell r="U1131" t="str">
            <v>I H S</v>
          </cell>
        </row>
        <row r="1132">
          <cell r="A1132" t="str">
            <v>CTR_269</v>
          </cell>
          <cell r="B1132" t="str">
            <v>IHS_YND_098</v>
          </cell>
          <cell r="C1132" t="str">
            <v>CTR_269</v>
          </cell>
          <cell r="D1132" t="str">
            <v>Center</v>
          </cell>
          <cell r="E1132" t="str">
            <v>Center</v>
          </cell>
          <cell r="F1132" t="str">
            <v>Ekounou-PJ</v>
          </cell>
          <cell r="G1132" t="str">
            <v>P4</v>
          </cell>
          <cell r="H1132" t="str">
            <v>Grid-Gen</v>
          </cell>
          <cell r="I1132" t="str">
            <v>On Air</v>
          </cell>
          <cell r="J1132" t="str">
            <v>Outdoor</v>
          </cell>
          <cell r="K1132" t="str">
            <v>AC</v>
          </cell>
          <cell r="L1132" t="str">
            <v>SAGEMCOM</v>
          </cell>
          <cell r="M1132" t="str">
            <v>Nkomo</v>
          </cell>
          <cell r="N1132" t="str">
            <v>MFOUNDI</v>
          </cell>
          <cell r="O1132" t="str">
            <v>YAOUNDE 4</v>
          </cell>
          <cell r="P1132" t="str">
            <v>Pascaline MANDA</v>
          </cell>
          <cell r="Q1132">
            <v>677548320</v>
          </cell>
          <cell r="R1132">
            <v>656072444</v>
          </cell>
          <cell r="S1132" t="str">
            <v>Desire Moussinga</v>
          </cell>
          <cell r="T1132" t="str">
            <v>Valeur HOUELL</v>
          </cell>
          <cell r="U1132" t="str">
            <v>I H S</v>
          </cell>
        </row>
        <row r="1133">
          <cell r="A1133" t="str">
            <v>CTR_593</v>
          </cell>
          <cell r="B1133" t="str">
            <v>IHS_YND_309</v>
          </cell>
          <cell r="C1133" t="str">
            <v>CTR_593</v>
          </cell>
          <cell r="D1133" t="str">
            <v>Center</v>
          </cell>
          <cell r="E1133" t="str">
            <v>Center</v>
          </cell>
          <cell r="F1133" t="str">
            <v>Leboudi</v>
          </cell>
          <cell r="G1133" t="str">
            <v>P4</v>
          </cell>
          <cell r="H1133" t="str">
            <v>Grid-Gen</v>
          </cell>
          <cell r="I1133" t="str">
            <v>On Air</v>
          </cell>
          <cell r="J1133" t="str">
            <v>Outdoor</v>
          </cell>
          <cell r="K1133" t="str">
            <v>AC</v>
          </cell>
          <cell r="L1133" t="str">
            <v>SAGEMCOM</v>
          </cell>
          <cell r="M1133" t="str">
            <v>Nkolbisson</v>
          </cell>
          <cell r="N1133" t="str">
            <v>LEKIE</v>
          </cell>
          <cell r="O1133" t="str">
            <v>OKOLA</v>
          </cell>
          <cell r="P1133" t="str">
            <v>Pascaline MANDA</v>
          </cell>
          <cell r="Q1133">
            <v>677548320</v>
          </cell>
          <cell r="R1133">
            <v>656072444</v>
          </cell>
          <cell r="S1133" t="str">
            <v>Desire Moussinga</v>
          </cell>
          <cell r="T1133" t="str">
            <v>Valeur HOUELL</v>
          </cell>
          <cell r="U1133" t="str">
            <v>I H S</v>
          </cell>
        </row>
        <row r="1134">
          <cell r="A1134" t="str">
            <v>CTR_635</v>
          </cell>
          <cell r="B1134" t="str">
            <v>IHS_YND_528</v>
          </cell>
          <cell r="C1134" t="str">
            <v>CTR_635</v>
          </cell>
          <cell r="D1134" t="str">
            <v>Center</v>
          </cell>
          <cell r="E1134" t="str">
            <v>Center</v>
          </cell>
          <cell r="F1134" t="str">
            <v>Mehandan</v>
          </cell>
          <cell r="G1134" t="str">
            <v>P4</v>
          </cell>
          <cell r="H1134" t="str">
            <v>Grid-Gen</v>
          </cell>
          <cell r="I1134" t="str">
            <v>On Air</v>
          </cell>
          <cell r="J1134" t="str">
            <v>Outdoor</v>
          </cell>
          <cell r="K1134" t="str">
            <v>AC</v>
          </cell>
          <cell r="L1134" t="str">
            <v>SAGEMCOM</v>
          </cell>
          <cell r="M1134" t="str">
            <v>Tropicana</v>
          </cell>
          <cell r="N1134" t="str">
            <v>MFOUNDI</v>
          </cell>
          <cell r="O1134" t="str">
            <v>YAOUNDE 4</v>
          </cell>
          <cell r="P1134" t="str">
            <v>Pascaline MANDA</v>
          </cell>
          <cell r="Q1134">
            <v>677548320</v>
          </cell>
          <cell r="R1134">
            <v>656072444</v>
          </cell>
          <cell r="S1134" t="str">
            <v>Desire Moussinga</v>
          </cell>
          <cell r="T1134" t="str">
            <v>Valeur HOUELL</v>
          </cell>
          <cell r="U1134" t="str">
            <v>I H S</v>
          </cell>
        </row>
        <row r="1135">
          <cell r="A1135" t="str">
            <v>CTR_591</v>
          </cell>
          <cell r="B1135" t="str">
            <v>IHS_YND_519</v>
          </cell>
          <cell r="C1135" t="str">
            <v>CTR_591</v>
          </cell>
          <cell r="D1135" t="str">
            <v>Center</v>
          </cell>
          <cell r="E1135" t="str">
            <v>Center</v>
          </cell>
          <cell r="F1135" t="str">
            <v>Afeme-Nord</v>
          </cell>
          <cell r="G1135" t="str">
            <v>P4</v>
          </cell>
          <cell r="H1135" t="str">
            <v>Grid-Gen</v>
          </cell>
          <cell r="I1135" t="str">
            <v>On Air</v>
          </cell>
          <cell r="J1135" t="str">
            <v>Outdoor</v>
          </cell>
          <cell r="K1135" t="str">
            <v>AC</v>
          </cell>
          <cell r="L1135" t="str">
            <v>SAGEMCOM</v>
          </cell>
          <cell r="M1135" t="str">
            <v>Nkolbisson</v>
          </cell>
          <cell r="N1135" t="str">
            <v>MFOUNDI</v>
          </cell>
          <cell r="O1135" t="str">
            <v>YAOUNDE 7</v>
          </cell>
          <cell r="P1135" t="str">
            <v>Pascaline MANDA</v>
          </cell>
          <cell r="Q1135">
            <v>677548320</v>
          </cell>
          <cell r="R1135">
            <v>656072444</v>
          </cell>
          <cell r="S1135" t="str">
            <v>Desire Moussinga</v>
          </cell>
          <cell r="T1135" t="str">
            <v>Valeur HOUELL</v>
          </cell>
          <cell r="U1135" t="str">
            <v>I H S</v>
          </cell>
        </row>
        <row r="1136">
          <cell r="A1136" t="str">
            <v>CTR_639</v>
          </cell>
          <cell r="B1136" t="str">
            <v>IHS_YND_157</v>
          </cell>
          <cell r="C1136" t="str">
            <v>CTR_639</v>
          </cell>
          <cell r="D1136" t="str">
            <v>Center</v>
          </cell>
          <cell r="E1136" t="str">
            <v>Center</v>
          </cell>
          <cell r="F1136" t="str">
            <v>Mvan-IHS</v>
          </cell>
          <cell r="G1136" t="str">
            <v>P4</v>
          </cell>
          <cell r="H1136" t="str">
            <v>Grid-Gen</v>
          </cell>
          <cell r="I1136" t="str">
            <v>On Air</v>
          </cell>
          <cell r="J1136" t="str">
            <v>Outdoor</v>
          </cell>
          <cell r="K1136" t="str">
            <v>AC</v>
          </cell>
          <cell r="L1136" t="str">
            <v>SAGEMCOM</v>
          </cell>
          <cell r="M1136" t="str">
            <v>Tropicana</v>
          </cell>
          <cell r="N1136" t="str">
            <v>MFOUNDI</v>
          </cell>
          <cell r="O1136" t="str">
            <v>YAOUNDE 4</v>
          </cell>
          <cell r="P1136" t="str">
            <v>Pascaline MANDA</v>
          </cell>
          <cell r="Q1136">
            <v>677548320</v>
          </cell>
          <cell r="R1136">
            <v>656072444</v>
          </cell>
          <cell r="S1136" t="str">
            <v>Desire Moussinga</v>
          </cell>
          <cell r="T1136" t="str">
            <v>Valeur HOUELL</v>
          </cell>
          <cell r="U1136" t="str">
            <v>I H S</v>
          </cell>
        </row>
        <row r="1137">
          <cell r="A1137" t="str">
            <v>CTR_549</v>
          </cell>
          <cell r="B1137" t="str">
            <v>IHS_YND_283</v>
          </cell>
          <cell r="C1137" t="str">
            <v>CTR_549</v>
          </cell>
          <cell r="D1137" t="str">
            <v>Center</v>
          </cell>
          <cell r="E1137" t="str">
            <v>Center</v>
          </cell>
          <cell r="F1137" t="str">
            <v>Abome</v>
          </cell>
          <cell r="G1137" t="str">
            <v>P4</v>
          </cell>
          <cell r="H1137" t="str">
            <v>Grid-Gen</v>
          </cell>
          <cell r="I1137" t="str">
            <v>On Air</v>
          </cell>
          <cell r="J1137" t="str">
            <v>Outdoor</v>
          </cell>
          <cell r="K1137" t="str">
            <v>AC</v>
          </cell>
          <cell r="L1137" t="str">
            <v>SAGEMCOM</v>
          </cell>
          <cell r="M1137" t="str">
            <v>Tropicana</v>
          </cell>
          <cell r="N1137" t="str">
            <v>MFOUNDI</v>
          </cell>
          <cell r="O1137" t="str">
            <v>YAOUNDE 4</v>
          </cell>
          <cell r="P1137" t="str">
            <v>Pascaline MANDA</v>
          </cell>
          <cell r="Q1137">
            <v>677548320</v>
          </cell>
          <cell r="R1137">
            <v>656072444</v>
          </cell>
          <cell r="S1137" t="str">
            <v>Desire Moussinga</v>
          </cell>
          <cell r="T1137" t="str">
            <v>Valeur HOUELL</v>
          </cell>
          <cell r="U1137" t="str">
            <v>I H S</v>
          </cell>
        </row>
        <row r="1138">
          <cell r="A1138" t="str">
            <v>CTR_543</v>
          </cell>
          <cell r="B1138" t="str">
            <v>IHS_YND_155</v>
          </cell>
          <cell r="C1138" t="str">
            <v>CTR_543</v>
          </cell>
          <cell r="D1138" t="str">
            <v>Center</v>
          </cell>
          <cell r="E1138" t="str">
            <v>Center</v>
          </cell>
          <cell r="F1138" t="str">
            <v>Obobogo new</v>
          </cell>
          <cell r="G1138" t="str">
            <v>P4</v>
          </cell>
          <cell r="H1138" t="str">
            <v>Grid-Gen</v>
          </cell>
          <cell r="I1138" t="str">
            <v>On Air</v>
          </cell>
          <cell r="J1138" t="str">
            <v>Indoor</v>
          </cell>
          <cell r="K1138" t="str">
            <v>AC</v>
          </cell>
          <cell r="L1138" t="str">
            <v>SAGEMCOM</v>
          </cell>
          <cell r="M1138" t="str">
            <v>Tropicana</v>
          </cell>
          <cell r="N1138" t="str">
            <v>MFOUNDI</v>
          </cell>
          <cell r="O1138" t="str">
            <v>YAOUNDE 3</v>
          </cell>
          <cell r="P1138" t="str">
            <v>Pascaline MANDA</v>
          </cell>
          <cell r="Q1138">
            <v>677548320</v>
          </cell>
          <cell r="R1138">
            <v>656072444</v>
          </cell>
          <cell r="S1138" t="str">
            <v>Desire Moussinga</v>
          </cell>
          <cell r="T1138" t="str">
            <v>Valeur HOUELL</v>
          </cell>
          <cell r="U1138" t="str">
            <v>I H S</v>
          </cell>
        </row>
        <row r="1139">
          <cell r="A1139" t="str">
            <v>CTR_604</v>
          </cell>
          <cell r="B1139" t="str">
            <v>IHS_YND_252</v>
          </cell>
          <cell r="C1139" t="str">
            <v>CTR_604</v>
          </cell>
          <cell r="D1139" t="str">
            <v>Center</v>
          </cell>
          <cell r="E1139" t="str">
            <v>Center</v>
          </cell>
          <cell r="F1139" t="str">
            <v>Koweit City II-IHS</v>
          </cell>
          <cell r="G1139" t="str">
            <v>P4</v>
          </cell>
          <cell r="H1139" t="str">
            <v>Grid-Gen</v>
          </cell>
          <cell r="I1139" t="str">
            <v>On Air</v>
          </cell>
          <cell r="J1139" t="str">
            <v>Outdoor</v>
          </cell>
          <cell r="K1139" t="str">
            <v>AC</v>
          </cell>
          <cell r="L1139" t="str">
            <v>SAGEMCOM</v>
          </cell>
          <cell r="M1139" t="str">
            <v>Tropicana</v>
          </cell>
          <cell r="N1139" t="str">
            <v>MFOUNDI</v>
          </cell>
          <cell r="O1139" t="str">
            <v>YAOUNDE 4</v>
          </cell>
          <cell r="P1139" t="str">
            <v>Pascaline MANDA</v>
          </cell>
          <cell r="Q1139">
            <v>677548320</v>
          </cell>
          <cell r="R1139">
            <v>656072444</v>
          </cell>
          <cell r="S1139" t="str">
            <v>Desire Moussinga</v>
          </cell>
          <cell r="T1139" t="str">
            <v>Valeur HOUELL</v>
          </cell>
          <cell r="U1139" t="str">
            <v>I H S</v>
          </cell>
        </row>
        <row r="1140">
          <cell r="A1140" t="str">
            <v>CTR_632</v>
          </cell>
          <cell r="B1140" t="str">
            <v>IHS_YND_721</v>
          </cell>
          <cell r="C1140" t="str">
            <v>CTR_632</v>
          </cell>
          <cell r="D1140" t="str">
            <v>Center</v>
          </cell>
          <cell r="E1140" t="str">
            <v>Center</v>
          </cell>
          <cell r="F1140" t="str">
            <v>Yde-Voirie-Municipal</v>
          </cell>
          <cell r="G1140" t="str">
            <v>P4</v>
          </cell>
          <cell r="H1140" t="str">
            <v>Grid-Gen</v>
          </cell>
          <cell r="I1140" t="str">
            <v>On Air</v>
          </cell>
          <cell r="J1140" t="str">
            <v>Outdoor</v>
          </cell>
          <cell r="K1140" t="str">
            <v>AC</v>
          </cell>
          <cell r="L1140" t="str">
            <v>SAGEMCOM</v>
          </cell>
          <cell r="M1140" t="str">
            <v>Essos</v>
          </cell>
          <cell r="N1140" t="str">
            <v>MFOUNDI</v>
          </cell>
          <cell r="O1140" t="str">
            <v>YAOUNDE 1</v>
          </cell>
          <cell r="P1140" t="str">
            <v>Pascaline MANDA</v>
          </cell>
          <cell r="Q1140">
            <v>677548320</v>
          </cell>
          <cell r="R1140">
            <v>656072444</v>
          </cell>
          <cell r="S1140" t="str">
            <v>Desire Moussinga</v>
          </cell>
          <cell r="T1140" t="str">
            <v>Valeur HOUELL</v>
          </cell>
          <cell r="U1140" t="str">
            <v>I H S</v>
          </cell>
        </row>
        <row r="1141">
          <cell r="A1141" t="str">
            <v>CTR_694</v>
          </cell>
          <cell r="B1141" t="str">
            <v>IHS_YND_714</v>
          </cell>
          <cell r="C1141" t="str">
            <v>CTR_694</v>
          </cell>
          <cell r="D1141" t="str">
            <v>Center</v>
          </cell>
          <cell r="E1141" t="str">
            <v>Center</v>
          </cell>
          <cell r="F1141" t="str">
            <v>Ekekam-MTN-IHS</v>
          </cell>
          <cell r="G1141" t="str">
            <v>P4</v>
          </cell>
          <cell r="H1141" t="str">
            <v>Hybrid-Gen</v>
          </cell>
          <cell r="I1141" t="str">
            <v>On Air</v>
          </cell>
          <cell r="J1141" t="str">
            <v>Outdoor</v>
          </cell>
          <cell r="K1141" t="str">
            <v>AC</v>
          </cell>
          <cell r="L1141" t="str">
            <v>SAGEMCOM</v>
          </cell>
          <cell r="M1141" t="str">
            <v>Nkolbisson</v>
          </cell>
          <cell r="N1141" t="str">
            <v>LEKIE</v>
          </cell>
          <cell r="O1141" t="str">
            <v>LOBO</v>
          </cell>
          <cell r="P1141" t="str">
            <v>Pascaline MANDA</v>
          </cell>
          <cell r="Q1141">
            <v>677548320</v>
          </cell>
          <cell r="R1141">
            <v>656072444</v>
          </cell>
          <cell r="S1141" t="str">
            <v>Desire Moussinga</v>
          </cell>
          <cell r="T1141" t="str">
            <v>Valeur HOUELL</v>
          </cell>
          <cell r="U1141" t="str">
            <v>I H S</v>
          </cell>
        </row>
        <row r="1142">
          <cell r="A1142" t="str">
            <v>CTR_676</v>
          </cell>
          <cell r="B1142" t="str">
            <v>IHS_YND_712</v>
          </cell>
          <cell r="C1142" t="str">
            <v>CTR_676</v>
          </cell>
          <cell r="D1142" t="str">
            <v>Center</v>
          </cell>
          <cell r="E1142" t="str">
            <v>Center</v>
          </cell>
          <cell r="F1142" t="str">
            <v>Nkolnkoumou</v>
          </cell>
          <cell r="G1142" t="str">
            <v>P4</v>
          </cell>
          <cell r="H1142" t="str">
            <v>Grid-Gen</v>
          </cell>
          <cell r="I1142" t="str">
            <v>On Air</v>
          </cell>
          <cell r="J1142" t="str">
            <v>Outdoor</v>
          </cell>
          <cell r="K1142" t="str">
            <v>AC</v>
          </cell>
          <cell r="L1142" t="str">
            <v>SAGEMCOM</v>
          </cell>
          <cell r="M1142" t="str">
            <v>Nkolbisson</v>
          </cell>
          <cell r="N1142" t="str">
            <v>MFOUNDI</v>
          </cell>
          <cell r="O1142" t="str">
            <v>YAOUNDE 7</v>
          </cell>
          <cell r="P1142" t="str">
            <v>Pascaline MANDA</v>
          </cell>
          <cell r="Q1142">
            <v>677548320</v>
          </cell>
          <cell r="R1142">
            <v>656072444</v>
          </cell>
          <cell r="S1142" t="str">
            <v>Desire Moussinga</v>
          </cell>
          <cell r="T1142" t="str">
            <v>Valeur HOUELL</v>
          </cell>
          <cell r="U1142" t="str">
            <v>I H S</v>
          </cell>
        </row>
        <row r="1143">
          <cell r="A1143" t="str">
            <v>CTR_191</v>
          </cell>
          <cell r="B1143" t="str">
            <v>IHS_YND_338</v>
          </cell>
          <cell r="C1143" t="str">
            <v>CTR_191</v>
          </cell>
          <cell r="D1143" t="str">
            <v>Center</v>
          </cell>
          <cell r="E1143" t="str">
            <v>Center</v>
          </cell>
          <cell r="F1143" t="str">
            <v>Okola</v>
          </cell>
          <cell r="G1143" t="str">
            <v>P5</v>
          </cell>
          <cell r="H1143" t="str">
            <v>Grid-Gen</v>
          </cell>
          <cell r="I1143" t="str">
            <v>On Air</v>
          </cell>
          <cell r="J1143" t="str">
            <v>Outdoor</v>
          </cell>
          <cell r="K1143" t="str">
            <v>AC</v>
          </cell>
          <cell r="L1143" t="str">
            <v>SAGEMCOM</v>
          </cell>
          <cell r="M1143" t="str">
            <v>Nkolbisson</v>
          </cell>
          <cell r="N1143" t="str">
            <v>MFOUNDI</v>
          </cell>
          <cell r="O1143" t="str">
            <v>OKOLA</v>
          </cell>
          <cell r="P1143" t="str">
            <v>Pascaline MANDA</v>
          </cell>
          <cell r="Q1143">
            <v>677548320</v>
          </cell>
          <cell r="R1143">
            <v>656072444</v>
          </cell>
          <cell r="S1143" t="str">
            <v>Desire Moussinga</v>
          </cell>
          <cell r="T1143" t="str">
            <v>Valeur HOUELL</v>
          </cell>
          <cell r="U1143" t="str">
            <v>I H S</v>
          </cell>
        </row>
        <row r="1144">
          <cell r="A1144" t="str">
            <v>CTR_228</v>
          </cell>
          <cell r="B1144" t="str">
            <v>IHS_YND_409</v>
          </cell>
          <cell r="C1144" t="str">
            <v>CTR_228</v>
          </cell>
          <cell r="D1144" t="str">
            <v>Center</v>
          </cell>
          <cell r="E1144" t="str">
            <v>Center</v>
          </cell>
          <cell r="F1144" t="str">
            <v>Evodoula</v>
          </cell>
          <cell r="G1144" t="str">
            <v>P5</v>
          </cell>
          <cell r="H1144" t="str">
            <v>Grid-Gen</v>
          </cell>
          <cell r="I1144" t="str">
            <v>On Air</v>
          </cell>
          <cell r="J1144" t="str">
            <v>Outdoor</v>
          </cell>
          <cell r="K1144" t="str">
            <v>AC</v>
          </cell>
          <cell r="L1144" t="str">
            <v>SAGEMCOM</v>
          </cell>
          <cell r="M1144" t="str">
            <v>Nkolbisson</v>
          </cell>
          <cell r="N1144" t="str">
            <v>LEKIE</v>
          </cell>
          <cell r="O1144" t="str">
            <v>EVODOULA</v>
          </cell>
          <cell r="P1144" t="str">
            <v>Pascaline MANDA</v>
          </cell>
          <cell r="Q1144">
            <v>677548320</v>
          </cell>
          <cell r="R1144">
            <v>656072444</v>
          </cell>
          <cell r="S1144" t="str">
            <v>Desire Moussinga</v>
          </cell>
          <cell r="T1144" t="str">
            <v>Valeur HOUELL</v>
          </cell>
          <cell r="U1144" t="str">
            <v>I H S</v>
          </cell>
        </row>
        <row r="1145">
          <cell r="A1145" t="str">
            <v>CTR_553</v>
          </cell>
          <cell r="B1145" t="str">
            <v>IHS_YND_686</v>
          </cell>
          <cell r="C1145" t="str">
            <v>CTR_553</v>
          </cell>
          <cell r="D1145" t="str">
            <v>Center</v>
          </cell>
          <cell r="E1145" t="str">
            <v>Center</v>
          </cell>
          <cell r="F1145" t="str">
            <v>Oyomabang  Ecole</v>
          </cell>
          <cell r="G1145" t="str">
            <v>P5</v>
          </cell>
          <cell r="H1145" t="str">
            <v>Grid-Gen</v>
          </cell>
          <cell r="I1145" t="str">
            <v>On Air</v>
          </cell>
          <cell r="J1145" t="str">
            <v>Outdoor</v>
          </cell>
          <cell r="K1145" t="str">
            <v>AC</v>
          </cell>
          <cell r="L1145" t="str">
            <v>SAGEMCOM</v>
          </cell>
          <cell r="M1145" t="str">
            <v>Nkolbisson</v>
          </cell>
          <cell r="N1145" t="str">
            <v>MFOUNDI</v>
          </cell>
          <cell r="O1145" t="str">
            <v>YAOUNDE 7</v>
          </cell>
          <cell r="P1145" t="str">
            <v>Pascaline MANDA</v>
          </cell>
          <cell r="Q1145">
            <v>677548320</v>
          </cell>
          <cell r="R1145">
            <v>656072444</v>
          </cell>
          <cell r="S1145" t="str">
            <v>Desire Moussinga</v>
          </cell>
          <cell r="T1145" t="str">
            <v>Valeur HOUELL</v>
          </cell>
          <cell r="U1145" t="str">
            <v>I H S</v>
          </cell>
        </row>
        <row r="1146">
          <cell r="A1146" t="str">
            <v>CTR_696</v>
          </cell>
          <cell r="B1146" t="str">
            <v>IHS_YND_713</v>
          </cell>
          <cell r="C1146" t="str">
            <v>CTR_696</v>
          </cell>
          <cell r="D1146" t="str">
            <v>Center</v>
          </cell>
          <cell r="E1146" t="str">
            <v>Center</v>
          </cell>
          <cell r="F1146" t="str">
            <v>NKONGKARAK-MTN-IHS</v>
          </cell>
          <cell r="G1146" t="str">
            <v>P5</v>
          </cell>
          <cell r="H1146" t="str">
            <v>Hybrid-Gen</v>
          </cell>
          <cell r="I1146" t="str">
            <v>On Air</v>
          </cell>
          <cell r="J1146" t="str">
            <v>Outdoor</v>
          </cell>
          <cell r="K1146" t="str">
            <v>AC</v>
          </cell>
          <cell r="L1146" t="str">
            <v>SAGEMCOM</v>
          </cell>
          <cell r="M1146" t="str">
            <v>Nkolbisson</v>
          </cell>
          <cell r="N1146" t="str">
            <v>LEKIE</v>
          </cell>
          <cell r="O1146" t="str">
            <v>LOBO</v>
          </cell>
          <cell r="P1146" t="str">
            <v>Pascaline MANDA</v>
          </cell>
          <cell r="Q1146">
            <v>677548320</v>
          </cell>
          <cell r="R1146">
            <v>656072444</v>
          </cell>
          <cell r="S1146" t="str">
            <v>Desire Moussinga</v>
          </cell>
          <cell r="T1146" t="str">
            <v>Valeur HOUELL</v>
          </cell>
          <cell r="U1146" t="str">
            <v>I H S</v>
          </cell>
        </row>
        <row r="1147">
          <cell r="A1147" t="str">
            <v>EST_008</v>
          </cell>
          <cell r="B1147" t="str">
            <v>IHS_BER_033</v>
          </cell>
          <cell r="C1147" t="str">
            <v>EST_008</v>
          </cell>
          <cell r="D1147" t="str">
            <v>South/East</v>
          </cell>
          <cell r="E1147" t="str">
            <v>East</v>
          </cell>
          <cell r="F1147" t="str">
            <v>Djangane</v>
          </cell>
          <cell r="G1147" t="str">
            <v>P2</v>
          </cell>
          <cell r="H1147" t="str">
            <v>Grid-Gen</v>
          </cell>
          <cell r="I1147" t="str">
            <v>On Air</v>
          </cell>
          <cell r="J1147" t="str">
            <v>Indoor</v>
          </cell>
          <cell r="K1147" t="str">
            <v>AC</v>
          </cell>
          <cell r="L1147" t="str">
            <v>Dowen</v>
          </cell>
          <cell r="M1147" t="str">
            <v>Abong Mbang</v>
          </cell>
          <cell r="N1147" t="str">
            <v>LOM-ET-DJEREM</v>
          </cell>
          <cell r="O1147" t="str">
            <v>BELABO</v>
          </cell>
          <cell r="P1147" t="str">
            <v>Peter Ojong</v>
          </cell>
          <cell r="Q1147">
            <v>677549886</v>
          </cell>
          <cell r="R1147">
            <v>655999886</v>
          </cell>
          <cell r="S1147" t="str">
            <v>Stephane KETCHOUANG</v>
          </cell>
          <cell r="T1147" t="str">
            <v>Valeur HOUELL</v>
          </cell>
          <cell r="U1147" t="str">
            <v>I H S</v>
          </cell>
        </row>
        <row r="1148">
          <cell r="A1148" t="str">
            <v>EST_003</v>
          </cell>
          <cell r="B1148" t="str">
            <v>IHS_BER_021</v>
          </cell>
          <cell r="C1148" t="str">
            <v>EST_003</v>
          </cell>
          <cell r="D1148" t="str">
            <v>South/East</v>
          </cell>
          <cell r="E1148" t="str">
            <v>East</v>
          </cell>
          <cell r="F1148" t="str">
            <v>Bouam</v>
          </cell>
          <cell r="G1148" t="str">
            <v>P2</v>
          </cell>
          <cell r="H1148" t="str">
            <v>Grid-Gen</v>
          </cell>
          <cell r="I1148" t="str">
            <v>On Air</v>
          </cell>
          <cell r="J1148" t="str">
            <v>Indoor</v>
          </cell>
          <cell r="K1148" t="str">
            <v>AC</v>
          </cell>
          <cell r="L1148" t="str">
            <v>Dowen</v>
          </cell>
          <cell r="M1148" t="str">
            <v>Abong Mbang</v>
          </cell>
          <cell r="N1148" t="str">
            <v>LOM-ET-DJEREM</v>
          </cell>
          <cell r="O1148" t="str">
            <v>Diang</v>
          </cell>
          <cell r="P1148" t="str">
            <v>Peter Ojong</v>
          </cell>
          <cell r="Q1148">
            <v>677549886</v>
          </cell>
          <cell r="R1148">
            <v>655999886</v>
          </cell>
          <cell r="S1148" t="str">
            <v>Stephane KETCHOUANG</v>
          </cell>
          <cell r="T1148" t="str">
            <v>Valeur HOUELL</v>
          </cell>
          <cell r="U1148" t="str">
            <v>I H S</v>
          </cell>
        </row>
        <row r="1149">
          <cell r="A1149" t="str">
            <v>EST_054</v>
          </cell>
          <cell r="B1149" t="str">
            <v>IHS_BER_046</v>
          </cell>
          <cell r="C1149" t="str">
            <v>EST_054</v>
          </cell>
          <cell r="D1149" t="str">
            <v>South/East</v>
          </cell>
          <cell r="E1149" t="str">
            <v>East</v>
          </cell>
          <cell r="F1149" t="str">
            <v>Ndokayo</v>
          </cell>
          <cell r="G1149" t="str">
            <v>P2</v>
          </cell>
          <cell r="H1149" t="str">
            <v>Solar-Gen</v>
          </cell>
          <cell r="I1149" t="str">
            <v>On Air</v>
          </cell>
          <cell r="J1149" t="str">
            <v>Indoor</v>
          </cell>
          <cell r="K1149" t="str">
            <v>AC</v>
          </cell>
          <cell r="L1149" t="str">
            <v>Dowen</v>
          </cell>
          <cell r="M1149" t="str">
            <v>Garoua Boulai</v>
          </cell>
          <cell r="N1149" t="str">
            <v>LOM-ET-DJEREM</v>
          </cell>
          <cell r="O1149" t="str">
            <v>BETARE OYA</v>
          </cell>
          <cell r="P1149" t="str">
            <v>Peter Ojong</v>
          </cell>
          <cell r="Q1149">
            <v>677549886</v>
          </cell>
          <cell r="R1149">
            <v>655999886</v>
          </cell>
          <cell r="S1149" t="str">
            <v>Stephane KETCHOUANG</v>
          </cell>
          <cell r="T1149" t="str">
            <v>Valeur HOUELL</v>
          </cell>
          <cell r="U1149" t="str">
            <v>I H S</v>
          </cell>
        </row>
        <row r="1150">
          <cell r="A1150" t="str">
            <v>EST_053</v>
          </cell>
          <cell r="B1150" t="str">
            <v>IHS_BER_030</v>
          </cell>
          <cell r="C1150" t="str">
            <v>EST_053</v>
          </cell>
          <cell r="D1150" t="str">
            <v>South/East</v>
          </cell>
          <cell r="E1150" t="str">
            <v>East</v>
          </cell>
          <cell r="F1150" t="str">
            <v>Mbele-Mbeke</v>
          </cell>
          <cell r="G1150" t="str">
            <v>P2</v>
          </cell>
          <cell r="H1150" t="str">
            <v>Solar-Gen</v>
          </cell>
          <cell r="I1150" t="str">
            <v>On Air</v>
          </cell>
          <cell r="J1150" t="str">
            <v>Indoor</v>
          </cell>
          <cell r="K1150" t="str">
            <v>AC</v>
          </cell>
          <cell r="L1150" t="str">
            <v>Dowen</v>
          </cell>
          <cell r="M1150" t="str">
            <v>Garoua Boulai</v>
          </cell>
          <cell r="N1150" t="str">
            <v>LOM-ET-DJEREM</v>
          </cell>
          <cell r="O1150" t="str">
            <v>Goura</v>
          </cell>
          <cell r="P1150" t="str">
            <v>Peter Ojong</v>
          </cell>
          <cell r="Q1150">
            <v>677549886</v>
          </cell>
          <cell r="R1150">
            <v>655999886</v>
          </cell>
          <cell r="S1150" t="str">
            <v>Stephane KETCHOUANG</v>
          </cell>
          <cell r="T1150" t="str">
            <v>Valeur HOUELL</v>
          </cell>
          <cell r="U1150" t="str">
            <v>I H S</v>
          </cell>
        </row>
        <row r="1151">
          <cell r="A1151" t="str">
            <v>EST_055</v>
          </cell>
          <cell r="B1151" t="str">
            <v>IHS_BER_066</v>
          </cell>
          <cell r="C1151" t="str">
            <v>EST_055</v>
          </cell>
          <cell r="D1151" t="str">
            <v>South/East</v>
          </cell>
          <cell r="E1151" t="str">
            <v>East</v>
          </cell>
          <cell r="F1151" t="str">
            <v>Gado-Badzere</v>
          </cell>
          <cell r="G1151" t="str">
            <v>P2</v>
          </cell>
          <cell r="H1151" t="str">
            <v>Solar-Gen</v>
          </cell>
          <cell r="I1151" t="str">
            <v>On Air</v>
          </cell>
          <cell r="J1151" t="str">
            <v>Indoor</v>
          </cell>
          <cell r="K1151" t="str">
            <v>AC</v>
          </cell>
          <cell r="L1151" t="str">
            <v>Dowen</v>
          </cell>
          <cell r="M1151" t="str">
            <v>Garoua Boulai</v>
          </cell>
          <cell r="N1151" t="str">
            <v>LOM-ET-DJEREM</v>
          </cell>
          <cell r="O1151" t="str">
            <v>GAROUA BOULAI</v>
          </cell>
          <cell r="P1151" t="str">
            <v>Peter Ojong</v>
          </cell>
          <cell r="Q1151">
            <v>677549886</v>
          </cell>
          <cell r="R1151">
            <v>655999886</v>
          </cell>
          <cell r="S1151" t="str">
            <v>Stephane KETCHOUANG</v>
          </cell>
          <cell r="T1151" t="str">
            <v>Valeur HOUELL</v>
          </cell>
          <cell r="U1151" t="str">
            <v>I H S</v>
          </cell>
        </row>
        <row r="1152">
          <cell r="A1152" t="str">
            <v>EST_056</v>
          </cell>
          <cell r="B1152" t="str">
            <v>IHS_BER_017</v>
          </cell>
          <cell r="C1152" t="str">
            <v>EST_056</v>
          </cell>
          <cell r="D1152" t="str">
            <v>South/East</v>
          </cell>
          <cell r="E1152" t="str">
            <v>East</v>
          </cell>
          <cell r="F1152" t="str">
            <v>Brigaya</v>
          </cell>
          <cell r="G1152" t="str">
            <v>P2</v>
          </cell>
          <cell r="H1152" t="str">
            <v>Solar-Gen</v>
          </cell>
          <cell r="I1152" t="str">
            <v>On Air</v>
          </cell>
          <cell r="J1152" t="str">
            <v>Indoor</v>
          </cell>
          <cell r="K1152" t="str">
            <v>AC</v>
          </cell>
          <cell r="L1152" t="str">
            <v>Dowen</v>
          </cell>
          <cell r="M1152" t="str">
            <v>bertoua</v>
          </cell>
          <cell r="N1152" t="str">
            <v>LOM-ET-DJEREM</v>
          </cell>
          <cell r="O1152" t="str">
            <v>MANDJOU</v>
          </cell>
          <cell r="P1152" t="str">
            <v>Peter Ojong</v>
          </cell>
          <cell r="Q1152">
            <v>677549886</v>
          </cell>
          <cell r="R1152">
            <v>655999886</v>
          </cell>
          <cell r="S1152" t="str">
            <v>Stephane KETCHOUANG</v>
          </cell>
          <cell r="T1152" t="str">
            <v>Valeur HOUELL</v>
          </cell>
          <cell r="U1152" t="str">
            <v>I H S</v>
          </cell>
        </row>
        <row r="1153">
          <cell r="A1153" t="str">
            <v>EST_060</v>
          </cell>
          <cell r="B1153" t="str">
            <v>IHS_BER_005</v>
          </cell>
          <cell r="C1153" t="str">
            <v>EST_060</v>
          </cell>
          <cell r="D1153" t="str">
            <v>South/East</v>
          </cell>
          <cell r="E1153" t="str">
            <v>East</v>
          </cell>
          <cell r="F1153" t="str">
            <v>Bertoua-Mokolo</v>
          </cell>
          <cell r="G1153" t="str">
            <v>P2</v>
          </cell>
          <cell r="H1153" t="str">
            <v>Grid-Gen</v>
          </cell>
          <cell r="I1153" t="str">
            <v>On Air</v>
          </cell>
          <cell r="J1153" t="str">
            <v>Outdoor</v>
          </cell>
          <cell r="K1153" t="str">
            <v>AC</v>
          </cell>
          <cell r="L1153" t="str">
            <v>Dowen</v>
          </cell>
          <cell r="M1153" t="str">
            <v>bertoua</v>
          </cell>
          <cell r="N1153" t="str">
            <v>LOM-ET-DJEREM</v>
          </cell>
          <cell r="O1153" t="str">
            <v>Bertoua 2</v>
          </cell>
          <cell r="P1153" t="str">
            <v>Peter Ojong</v>
          </cell>
          <cell r="Q1153">
            <v>677549886</v>
          </cell>
          <cell r="R1153">
            <v>655999886</v>
          </cell>
          <cell r="S1153" t="str">
            <v>Stephane KETCHOUANG</v>
          </cell>
          <cell r="T1153" t="str">
            <v>Valeur HOUELL</v>
          </cell>
          <cell r="U1153" t="str">
            <v>I H S</v>
          </cell>
        </row>
        <row r="1154">
          <cell r="A1154" t="str">
            <v>CTR_233</v>
          </cell>
          <cell r="B1154" t="str">
            <v>IHS_YND_459</v>
          </cell>
          <cell r="C1154" t="str">
            <v>CTR_233</v>
          </cell>
          <cell r="D1154" t="str">
            <v>South/East</v>
          </cell>
          <cell r="E1154" t="str">
            <v>East</v>
          </cell>
          <cell r="F1154" t="str">
            <v>Minta</v>
          </cell>
          <cell r="G1154" t="str">
            <v>P3</v>
          </cell>
          <cell r="H1154" t="str">
            <v>Hybrid-Gen</v>
          </cell>
          <cell r="I1154" t="str">
            <v>On Air</v>
          </cell>
          <cell r="J1154" t="str">
            <v>Outdoor</v>
          </cell>
          <cell r="K1154" t="str">
            <v>AC</v>
          </cell>
          <cell r="L1154" t="str">
            <v>Dowen</v>
          </cell>
          <cell r="M1154" t="str">
            <v>Abong Mbang</v>
          </cell>
          <cell r="N1154" t="str">
            <v>HAUTE-SANAGA</v>
          </cell>
          <cell r="O1154" t="str">
            <v>Minta</v>
          </cell>
          <cell r="P1154" t="str">
            <v>Peter Ojong</v>
          </cell>
          <cell r="Q1154">
            <v>677549886</v>
          </cell>
          <cell r="R1154">
            <v>655999886</v>
          </cell>
          <cell r="S1154" t="str">
            <v>Stephane KETCHOUANG</v>
          </cell>
          <cell r="T1154" t="str">
            <v>Valeur HOUELL</v>
          </cell>
          <cell r="U1154" t="str">
            <v>I H S</v>
          </cell>
        </row>
        <row r="1155">
          <cell r="A1155" t="str">
            <v>EST_032</v>
          </cell>
          <cell r="B1155" t="str">
            <v>IHS_BER_009</v>
          </cell>
          <cell r="C1155" t="str">
            <v>EST_032</v>
          </cell>
          <cell r="D1155" t="str">
            <v>South/East</v>
          </cell>
          <cell r="E1155" t="str">
            <v>East</v>
          </cell>
          <cell r="F1155" t="str">
            <v>Bertoua-Kano</v>
          </cell>
          <cell r="G1155" t="str">
            <v>P3</v>
          </cell>
          <cell r="H1155" t="str">
            <v>Grid-Gen</v>
          </cell>
          <cell r="I1155" t="str">
            <v>On Air</v>
          </cell>
          <cell r="J1155" t="str">
            <v>Outdoor</v>
          </cell>
          <cell r="K1155" t="str">
            <v>AC</v>
          </cell>
          <cell r="L1155" t="str">
            <v>Dowen</v>
          </cell>
          <cell r="M1155" t="str">
            <v>bertoua</v>
          </cell>
          <cell r="N1155" t="str">
            <v>LOM-ET-DJEREM</v>
          </cell>
          <cell r="O1155" t="str">
            <v>MANDJOU</v>
          </cell>
          <cell r="P1155" t="str">
            <v>Peter Ojong</v>
          </cell>
          <cell r="Q1155">
            <v>677549886</v>
          </cell>
          <cell r="R1155">
            <v>655999886</v>
          </cell>
          <cell r="S1155" t="str">
            <v>Stephane KETCHOUANG</v>
          </cell>
          <cell r="T1155" t="str">
            <v>Valeur HOUELL</v>
          </cell>
          <cell r="U1155" t="str">
            <v>I H S</v>
          </cell>
        </row>
        <row r="1156">
          <cell r="A1156" t="str">
            <v>EST_075</v>
          </cell>
          <cell r="B1156" t="str">
            <v>IHS_BER_013</v>
          </cell>
          <cell r="C1156" t="str">
            <v>EST_075</v>
          </cell>
          <cell r="D1156" t="str">
            <v>South/East</v>
          </cell>
          <cell r="E1156" t="str">
            <v>East</v>
          </cell>
          <cell r="F1156" t="str">
            <v>Ndemba</v>
          </cell>
          <cell r="G1156" t="str">
            <v>P3</v>
          </cell>
          <cell r="H1156" t="str">
            <v>Grid-Gen</v>
          </cell>
          <cell r="I1156" t="str">
            <v>On Air</v>
          </cell>
          <cell r="J1156" t="str">
            <v>Outdoor</v>
          </cell>
          <cell r="K1156" t="str">
            <v>AC</v>
          </cell>
          <cell r="L1156" t="str">
            <v>Dowen</v>
          </cell>
          <cell r="M1156" t="str">
            <v>bertoua</v>
          </cell>
          <cell r="N1156" t="str">
            <v>LOM-ET-DJEREM</v>
          </cell>
          <cell r="O1156" t="str">
            <v>MANDJOU</v>
          </cell>
          <cell r="P1156" t="str">
            <v>Peter Ojong</v>
          </cell>
          <cell r="Q1156">
            <v>677549886</v>
          </cell>
          <cell r="R1156">
            <v>655999886</v>
          </cell>
          <cell r="S1156" t="str">
            <v>Stephane KETCHOUANG</v>
          </cell>
          <cell r="T1156" t="str">
            <v>Valeur HOUELL</v>
          </cell>
          <cell r="U1156" t="str">
            <v>I H S</v>
          </cell>
        </row>
        <row r="1157">
          <cell r="A1157" t="str">
            <v>EST_077</v>
          </cell>
          <cell r="B1157" t="str">
            <v>IHS_YND_467</v>
          </cell>
          <cell r="C1157" t="str">
            <v>EST_077</v>
          </cell>
          <cell r="D1157" t="str">
            <v>South/East</v>
          </cell>
          <cell r="E1157" t="str">
            <v>East</v>
          </cell>
          <cell r="F1157" t="str">
            <v>Nguem-MTN</v>
          </cell>
          <cell r="G1157" t="str">
            <v>P3</v>
          </cell>
          <cell r="H1157" t="str">
            <v>Grid-Gen</v>
          </cell>
          <cell r="I1157" t="str">
            <v>On Air</v>
          </cell>
          <cell r="J1157" t="str">
            <v>Outdoor</v>
          </cell>
          <cell r="K1157" t="str">
            <v>AC</v>
          </cell>
          <cell r="L1157" t="str">
            <v>Dowen</v>
          </cell>
          <cell r="M1157" t="str">
            <v>Abong Mbang</v>
          </cell>
          <cell r="N1157" t="str">
            <v>HAUTE-SANAGA</v>
          </cell>
          <cell r="O1157" t="str">
            <v>Minta</v>
          </cell>
          <cell r="P1157" t="str">
            <v>Peter Ojong</v>
          </cell>
          <cell r="Q1157">
            <v>677549886</v>
          </cell>
          <cell r="R1157">
            <v>655999886</v>
          </cell>
          <cell r="S1157" t="str">
            <v>Stephane KETCHOUANG</v>
          </cell>
          <cell r="T1157" t="str">
            <v>Valeur HOUELL</v>
          </cell>
          <cell r="U1157" t="str">
            <v>I H S</v>
          </cell>
        </row>
        <row r="1158">
          <cell r="A1158" t="str">
            <v>EST_112</v>
          </cell>
          <cell r="B1158" t="str">
            <v>IHS_BER_010</v>
          </cell>
          <cell r="C1158" t="str">
            <v>EST_112</v>
          </cell>
          <cell r="D1158" t="str">
            <v>South/East</v>
          </cell>
          <cell r="E1158" t="str">
            <v>East</v>
          </cell>
          <cell r="F1158" t="str">
            <v>Mandjou</v>
          </cell>
          <cell r="G1158" t="str">
            <v>P3</v>
          </cell>
          <cell r="H1158" t="str">
            <v>Grid-Gen</v>
          </cell>
          <cell r="I1158" t="str">
            <v>On Air</v>
          </cell>
          <cell r="J1158" t="str">
            <v>Outdoor</v>
          </cell>
          <cell r="K1158" t="str">
            <v>AC</v>
          </cell>
          <cell r="L1158" t="str">
            <v>Dowen</v>
          </cell>
          <cell r="M1158" t="str">
            <v>bertoua</v>
          </cell>
          <cell r="N1158" t="str">
            <v>LOM-ET-DJEREM</v>
          </cell>
          <cell r="O1158" t="str">
            <v>MANDJOU</v>
          </cell>
          <cell r="P1158" t="str">
            <v>Peter Ojong</v>
          </cell>
          <cell r="Q1158">
            <v>677549886</v>
          </cell>
          <cell r="R1158">
            <v>655999886</v>
          </cell>
          <cell r="S1158" t="str">
            <v>Stephane KETCHOUANG</v>
          </cell>
          <cell r="T1158" t="str">
            <v>Valeur HOUELL</v>
          </cell>
          <cell r="U1158" t="str">
            <v>I H S</v>
          </cell>
        </row>
        <row r="1159">
          <cell r="A1159" t="str">
            <v>EST_107</v>
          </cell>
          <cell r="B1159" t="str">
            <v>IHS_BER_146</v>
          </cell>
          <cell r="C1159" t="str">
            <v>EST_107</v>
          </cell>
          <cell r="D1159" t="str">
            <v>South/East</v>
          </cell>
          <cell r="E1159" t="str">
            <v>East</v>
          </cell>
          <cell r="F1159" t="str">
            <v>Bertoua Meteo</v>
          </cell>
          <cell r="G1159" t="str">
            <v>P3</v>
          </cell>
          <cell r="H1159" t="str">
            <v>Grid-Gen</v>
          </cell>
          <cell r="I1159" t="str">
            <v>On Air</v>
          </cell>
          <cell r="J1159" t="str">
            <v>Outdoor</v>
          </cell>
          <cell r="K1159" t="str">
            <v>AC</v>
          </cell>
          <cell r="L1159" t="str">
            <v>Dowen</v>
          </cell>
          <cell r="M1159" t="str">
            <v>bertoua</v>
          </cell>
          <cell r="N1159" t="str">
            <v>LOM-ET-DJEREM</v>
          </cell>
          <cell r="O1159" t="str">
            <v>Bertoua2</v>
          </cell>
          <cell r="P1159" t="str">
            <v>Peter Ojong</v>
          </cell>
          <cell r="Q1159">
            <v>677549886</v>
          </cell>
          <cell r="R1159">
            <v>655999886</v>
          </cell>
          <cell r="S1159" t="str">
            <v>Stephane KETCHOUANG</v>
          </cell>
          <cell r="T1159" t="str">
            <v>Valeur HOUELL</v>
          </cell>
          <cell r="U1159" t="str">
            <v>I H S</v>
          </cell>
        </row>
        <row r="1160">
          <cell r="A1160" t="str">
            <v>EST_076</v>
          </cell>
          <cell r="B1160" t="str">
            <v>IHS_BER_022</v>
          </cell>
          <cell r="C1160" t="str">
            <v>EST_076</v>
          </cell>
          <cell r="D1160" t="str">
            <v>South/East</v>
          </cell>
          <cell r="E1160" t="str">
            <v>East</v>
          </cell>
          <cell r="F1160" t="str">
            <v>Diang-MTN</v>
          </cell>
          <cell r="G1160" t="str">
            <v>P3</v>
          </cell>
          <cell r="H1160" t="str">
            <v>Grid-Gen</v>
          </cell>
          <cell r="I1160" t="str">
            <v>On Air</v>
          </cell>
          <cell r="J1160" t="str">
            <v>Outdoor</v>
          </cell>
          <cell r="K1160" t="str">
            <v>AC</v>
          </cell>
          <cell r="L1160" t="str">
            <v>Dowen</v>
          </cell>
          <cell r="M1160" t="str">
            <v>Abong Mbang</v>
          </cell>
          <cell r="N1160" t="str">
            <v>LOM-ET-DJEREM</v>
          </cell>
          <cell r="O1160" t="str">
            <v>Diang</v>
          </cell>
          <cell r="P1160" t="str">
            <v>Peter Ojong</v>
          </cell>
          <cell r="Q1160">
            <v>677549886</v>
          </cell>
          <cell r="R1160">
            <v>655999886</v>
          </cell>
          <cell r="S1160" t="str">
            <v>Stephane KETCHOUANG</v>
          </cell>
          <cell r="T1160" t="str">
            <v>Valeur HOUELL</v>
          </cell>
          <cell r="U1160" t="str">
            <v>I H S</v>
          </cell>
        </row>
        <row r="1161">
          <cell r="A1161" t="str">
            <v>EST_064</v>
          </cell>
          <cell r="B1161" t="str">
            <v>IHS_BER_042</v>
          </cell>
          <cell r="C1161" t="str">
            <v>EST_064</v>
          </cell>
          <cell r="D1161" t="str">
            <v>South/East</v>
          </cell>
          <cell r="E1161" t="str">
            <v>East</v>
          </cell>
          <cell r="F1161" t="str">
            <v>Garga-Salari-MTN</v>
          </cell>
          <cell r="G1161" t="str">
            <v>P3</v>
          </cell>
          <cell r="H1161" t="str">
            <v>Solar-Gen</v>
          </cell>
          <cell r="I1161" t="str">
            <v>On Air</v>
          </cell>
          <cell r="J1161" t="str">
            <v>Outdoor</v>
          </cell>
          <cell r="K1161" t="str">
            <v>AC</v>
          </cell>
          <cell r="L1161" t="str">
            <v>Dowen</v>
          </cell>
          <cell r="M1161" t="str">
            <v>Garoua Boulai</v>
          </cell>
          <cell r="N1161" t="str">
            <v>LOM-ET-DJEREM</v>
          </cell>
          <cell r="O1161" t="str">
            <v>Goura</v>
          </cell>
          <cell r="P1161" t="str">
            <v>Peter Ojong</v>
          </cell>
          <cell r="Q1161">
            <v>677549886</v>
          </cell>
          <cell r="R1161">
            <v>655999886</v>
          </cell>
          <cell r="S1161" t="str">
            <v>Stephane KETCHOUANG</v>
          </cell>
          <cell r="T1161" t="str">
            <v>Valeur HOUELL</v>
          </cell>
          <cell r="U1161" t="str">
            <v>I H S</v>
          </cell>
        </row>
        <row r="1162">
          <cell r="A1162" t="str">
            <v>EST_080</v>
          </cell>
          <cell r="B1162" t="str">
            <v>IHS_BER_069</v>
          </cell>
          <cell r="C1162" t="str">
            <v>EST_080</v>
          </cell>
          <cell r="D1162" t="str">
            <v>South/East</v>
          </cell>
          <cell r="E1162" t="str">
            <v>East</v>
          </cell>
          <cell r="F1162" t="str">
            <v>Garoua-Boulai-Frontiere</v>
          </cell>
          <cell r="G1162" t="str">
            <v>P4</v>
          </cell>
          <cell r="H1162" t="str">
            <v>Grid-Gen</v>
          </cell>
          <cell r="I1162" t="str">
            <v>On Air</v>
          </cell>
          <cell r="J1162" t="str">
            <v>Outdoor</v>
          </cell>
          <cell r="K1162" t="str">
            <v>AC</v>
          </cell>
          <cell r="L1162" t="str">
            <v>Dowen</v>
          </cell>
          <cell r="M1162" t="str">
            <v>Garoua Boulai</v>
          </cell>
          <cell r="N1162" t="str">
            <v>LOM-ET-DJEREM</v>
          </cell>
          <cell r="O1162" t="str">
            <v>Garoua Boulai</v>
          </cell>
          <cell r="P1162" t="str">
            <v>Peter Ojong</v>
          </cell>
          <cell r="Q1162">
            <v>677549886</v>
          </cell>
          <cell r="R1162">
            <v>655999886</v>
          </cell>
          <cell r="S1162" t="str">
            <v>Stephane KETCHOUANG</v>
          </cell>
          <cell r="T1162" t="str">
            <v>Valeur HOUELL</v>
          </cell>
          <cell r="U1162" t="str">
            <v>I H S</v>
          </cell>
        </row>
        <row r="1163">
          <cell r="A1163" t="str">
            <v>EST_051</v>
          </cell>
          <cell r="B1163" t="str">
            <v>IHS_BER_004</v>
          </cell>
          <cell r="C1163" t="str">
            <v>EST_051</v>
          </cell>
          <cell r="D1163" t="str">
            <v>South/East</v>
          </cell>
          <cell r="E1163" t="str">
            <v>East</v>
          </cell>
          <cell r="F1163" t="str">
            <v>Bertoua-Ngaikada</v>
          </cell>
          <cell r="G1163" t="str">
            <v>P4</v>
          </cell>
          <cell r="H1163" t="str">
            <v>Grid-Gen</v>
          </cell>
          <cell r="I1163" t="str">
            <v>On Air</v>
          </cell>
          <cell r="J1163" t="str">
            <v>Outdoor</v>
          </cell>
          <cell r="K1163" t="str">
            <v>AC</v>
          </cell>
          <cell r="L1163" t="str">
            <v>Dowen</v>
          </cell>
          <cell r="M1163" t="str">
            <v>bertoua</v>
          </cell>
          <cell r="N1163" t="str">
            <v>LOM-ET-DJEREM</v>
          </cell>
          <cell r="O1163" t="str">
            <v>Bertoua2</v>
          </cell>
          <cell r="P1163" t="str">
            <v>Peter Ojong</v>
          </cell>
          <cell r="Q1163">
            <v>677549886</v>
          </cell>
          <cell r="R1163">
            <v>655999886</v>
          </cell>
          <cell r="S1163" t="str">
            <v>Stephane KETCHOUANG</v>
          </cell>
          <cell r="T1163" t="str">
            <v>Valeur HOUELL</v>
          </cell>
          <cell r="U1163" t="str">
            <v>I H S</v>
          </cell>
        </row>
        <row r="1164">
          <cell r="A1164" t="str">
            <v>EST_079</v>
          </cell>
          <cell r="B1164" t="str">
            <v>IHS_BER_002</v>
          </cell>
          <cell r="C1164" t="str">
            <v>EST_079</v>
          </cell>
          <cell r="D1164" t="str">
            <v>South/East</v>
          </cell>
          <cell r="E1164" t="str">
            <v>East</v>
          </cell>
          <cell r="F1164" t="str">
            <v>Bertoua-Tigaza</v>
          </cell>
          <cell r="G1164" t="str">
            <v>P4</v>
          </cell>
          <cell r="H1164" t="str">
            <v>Grid-Gen</v>
          </cell>
          <cell r="I1164" t="str">
            <v>On Air</v>
          </cell>
          <cell r="J1164" t="str">
            <v>Outdoor</v>
          </cell>
          <cell r="K1164" t="str">
            <v>AC</v>
          </cell>
          <cell r="L1164" t="str">
            <v>Dowen</v>
          </cell>
          <cell r="M1164" t="str">
            <v>bertoua</v>
          </cell>
          <cell r="N1164" t="str">
            <v>LOM-ET-DJEREM</v>
          </cell>
          <cell r="O1164" t="str">
            <v>BERTOUA</v>
          </cell>
          <cell r="P1164" t="str">
            <v>Peter Ojong</v>
          </cell>
          <cell r="Q1164">
            <v>677549886</v>
          </cell>
          <cell r="R1164">
            <v>655999886</v>
          </cell>
          <cell r="S1164" t="str">
            <v>Stephane KETCHOUANG</v>
          </cell>
          <cell r="T1164" t="str">
            <v>Valeur HOUELL</v>
          </cell>
          <cell r="U1164" t="str">
            <v>I H S</v>
          </cell>
        </row>
        <row r="1165">
          <cell r="A1165" t="str">
            <v>EST_093</v>
          </cell>
          <cell r="B1165" t="str">
            <v>IHS_BER_103</v>
          </cell>
          <cell r="C1165" t="str">
            <v>EST_093</v>
          </cell>
          <cell r="D1165" t="str">
            <v>South/East</v>
          </cell>
          <cell r="E1165" t="str">
            <v>East</v>
          </cell>
          <cell r="F1165" t="str">
            <v>Deng-Deng-IHS</v>
          </cell>
          <cell r="G1165" t="str">
            <v>P4</v>
          </cell>
          <cell r="H1165" t="str">
            <v>Hybrid-Gen</v>
          </cell>
          <cell r="I1165" t="str">
            <v>On Air</v>
          </cell>
          <cell r="J1165" t="str">
            <v>Outdoor</v>
          </cell>
          <cell r="K1165" t="str">
            <v>AC</v>
          </cell>
          <cell r="L1165" t="str">
            <v>Dowen</v>
          </cell>
          <cell r="M1165" t="str">
            <v>Abong Mbang</v>
          </cell>
          <cell r="N1165" t="str">
            <v>LOM-ET-DJEREM</v>
          </cell>
          <cell r="O1165" t="str">
            <v>Belabo</v>
          </cell>
          <cell r="P1165" t="str">
            <v>Peter Ojong</v>
          </cell>
          <cell r="Q1165">
            <v>677549886</v>
          </cell>
          <cell r="R1165">
            <v>655999886</v>
          </cell>
          <cell r="S1165" t="str">
            <v>Stephane KETCHOUANG</v>
          </cell>
          <cell r="T1165" t="str">
            <v>Valeur HOUELL</v>
          </cell>
          <cell r="U1165" t="str">
            <v>I H S</v>
          </cell>
        </row>
        <row r="1166">
          <cell r="A1166" t="str">
            <v>EST_127</v>
          </cell>
          <cell r="B1166" t="str">
            <v>IHS_BER_140</v>
          </cell>
          <cell r="C1166" t="str">
            <v>EST_127</v>
          </cell>
          <cell r="D1166" t="str">
            <v>South/East</v>
          </cell>
          <cell r="E1166" t="str">
            <v>East</v>
          </cell>
          <cell r="F1166" t="str">
            <v>Bertoua Bindia</v>
          </cell>
          <cell r="G1166" t="str">
            <v>P4</v>
          </cell>
          <cell r="H1166" t="str">
            <v>Grid-Gen</v>
          </cell>
          <cell r="I1166" t="str">
            <v>On Air</v>
          </cell>
          <cell r="J1166" t="str">
            <v>Outdoor</v>
          </cell>
          <cell r="K1166" t="str">
            <v>AC</v>
          </cell>
          <cell r="L1166" t="str">
            <v>Dowen</v>
          </cell>
          <cell r="M1166" t="str">
            <v>bertoua</v>
          </cell>
          <cell r="N1166" t="str">
            <v>LOM-ET-DJEREM</v>
          </cell>
          <cell r="O1166" t="str">
            <v>Mandjou</v>
          </cell>
          <cell r="P1166" t="str">
            <v>Peter Ojong</v>
          </cell>
          <cell r="Q1166">
            <v>677549886</v>
          </cell>
          <cell r="R1166">
            <v>655999886</v>
          </cell>
          <cell r="S1166" t="str">
            <v>Stephane KETCHOUANG</v>
          </cell>
          <cell r="T1166" t="str">
            <v>Valeur HOUELL</v>
          </cell>
          <cell r="U1166" t="str">
            <v>I H S</v>
          </cell>
        </row>
        <row r="1167">
          <cell r="A1167" t="str">
            <v>EST_069</v>
          </cell>
          <cell r="B1167" t="str">
            <v>IHS_BER_006</v>
          </cell>
          <cell r="C1167" t="str">
            <v>EST_069</v>
          </cell>
          <cell r="D1167" t="str">
            <v>South/East</v>
          </cell>
          <cell r="E1167" t="str">
            <v>East</v>
          </cell>
          <cell r="F1167" t="str">
            <v>Bertoua-ENIA-MTN</v>
          </cell>
          <cell r="G1167" t="str">
            <v>P4</v>
          </cell>
          <cell r="H1167" t="str">
            <v>Grid-Gen</v>
          </cell>
          <cell r="I1167" t="str">
            <v>On Air</v>
          </cell>
          <cell r="J1167" t="str">
            <v>Indoor</v>
          </cell>
          <cell r="K1167" t="str">
            <v>AC</v>
          </cell>
          <cell r="L1167" t="str">
            <v>Dowen</v>
          </cell>
          <cell r="M1167" t="str">
            <v>bertoua</v>
          </cell>
          <cell r="N1167" t="str">
            <v>LOM-ET-DJEREM</v>
          </cell>
          <cell r="O1167" t="str">
            <v>Bertoua2</v>
          </cell>
          <cell r="P1167" t="str">
            <v>Peter Ojong</v>
          </cell>
          <cell r="Q1167">
            <v>677549886</v>
          </cell>
          <cell r="R1167">
            <v>655999886</v>
          </cell>
          <cell r="S1167" t="str">
            <v>Stephane KETCHOUANG</v>
          </cell>
          <cell r="T1167" t="str">
            <v>Valeur HOUELL</v>
          </cell>
          <cell r="U1167" t="str">
            <v>I H S</v>
          </cell>
        </row>
        <row r="1168">
          <cell r="A1168" t="str">
            <v>CTR_138</v>
          </cell>
          <cell r="B1168" t="str">
            <v>IHS_YND_443</v>
          </cell>
          <cell r="C1168" t="str">
            <v>CTR_138</v>
          </cell>
          <cell r="D1168" t="str">
            <v>South/East</v>
          </cell>
          <cell r="E1168" t="str">
            <v>East</v>
          </cell>
          <cell r="F1168" t="str">
            <v>Nanga-Eboko-IHS</v>
          </cell>
          <cell r="G1168" t="str">
            <v>P4</v>
          </cell>
          <cell r="H1168" t="str">
            <v>Grid-Gen</v>
          </cell>
          <cell r="I1168" t="str">
            <v>On Air</v>
          </cell>
          <cell r="J1168" t="str">
            <v>Outdoor</v>
          </cell>
          <cell r="K1168" t="str">
            <v>AC</v>
          </cell>
          <cell r="L1168" t="str">
            <v>Dowen</v>
          </cell>
          <cell r="M1168" t="str">
            <v>Abong Mbang</v>
          </cell>
          <cell r="N1168" t="str">
            <v>HAUTE-SANAGA</v>
          </cell>
          <cell r="O1168" t="str">
            <v>Nanaga Eboko</v>
          </cell>
          <cell r="P1168" t="str">
            <v>Peter Ojong</v>
          </cell>
          <cell r="Q1168">
            <v>677549886</v>
          </cell>
          <cell r="R1168">
            <v>655999886</v>
          </cell>
          <cell r="S1168" t="str">
            <v>Stephane KETCHOUANG</v>
          </cell>
          <cell r="T1168" t="str">
            <v>Valeur HOUELL</v>
          </cell>
          <cell r="U1168" t="str">
            <v>I H S</v>
          </cell>
        </row>
        <row r="1169">
          <cell r="A1169" t="str">
            <v>EST_118</v>
          </cell>
          <cell r="B1169" t="str">
            <v>IHS_BER_067</v>
          </cell>
          <cell r="C1169" t="str">
            <v>EST_118</v>
          </cell>
          <cell r="D1169" t="str">
            <v>South/East</v>
          </cell>
          <cell r="E1169" t="str">
            <v>East</v>
          </cell>
          <cell r="F1169" t="str">
            <v>Garoua-Boulai New</v>
          </cell>
          <cell r="G1169" t="str">
            <v>P4</v>
          </cell>
          <cell r="H1169" t="str">
            <v>Grid-Gen</v>
          </cell>
          <cell r="I1169" t="str">
            <v>On Air</v>
          </cell>
          <cell r="J1169" t="str">
            <v>Indoor</v>
          </cell>
          <cell r="K1169" t="str">
            <v>AC</v>
          </cell>
          <cell r="L1169" t="str">
            <v>Dowen</v>
          </cell>
          <cell r="M1169" t="str">
            <v>Garoua Boulai</v>
          </cell>
          <cell r="N1169" t="str">
            <v>LOM-ET-DJEREM</v>
          </cell>
          <cell r="O1169" t="str">
            <v>Garoua Boulai</v>
          </cell>
          <cell r="P1169" t="str">
            <v>Peter Ojong</v>
          </cell>
          <cell r="Q1169">
            <v>677549886</v>
          </cell>
          <cell r="R1169">
            <v>655999886</v>
          </cell>
          <cell r="S1169" t="str">
            <v>Stephane KETCHOUANG</v>
          </cell>
          <cell r="T1169" t="str">
            <v>Valeur HOUELL</v>
          </cell>
          <cell r="U1169" t="str">
            <v>I H S</v>
          </cell>
        </row>
        <row r="1170">
          <cell r="A1170" t="str">
            <v>EST_083</v>
          </cell>
          <cell r="B1170" t="str">
            <v>IHS_BER_054</v>
          </cell>
          <cell r="C1170" t="str">
            <v>EST_083</v>
          </cell>
          <cell r="D1170" t="str">
            <v>South/East</v>
          </cell>
          <cell r="E1170" t="str">
            <v>East</v>
          </cell>
          <cell r="F1170" t="str">
            <v>Lom-Pangar-MTN</v>
          </cell>
          <cell r="G1170" t="str">
            <v>P4</v>
          </cell>
          <cell r="H1170" t="str">
            <v>Hybrid-Gen</v>
          </cell>
          <cell r="I1170" t="str">
            <v>On Air</v>
          </cell>
          <cell r="J1170" t="str">
            <v>Outdoor</v>
          </cell>
          <cell r="K1170" t="str">
            <v>AC</v>
          </cell>
          <cell r="L1170" t="str">
            <v>Dowen</v>
          </cell>
          <cell r="M1170" t="str">
            <v>Abong Mbang</v>
          </cell>
          <cell r="N1170" t="str">
            <v>LOM-ET-DJEREM</v>
          </cell>
          <cell r="O1170" t="str">
            <v>Belabo</v>
          </cell>
          <cell r="P1170" t="str">
            <v>Peter Ojong</v>
          </cell>
          <cell r="Q1170">
            <v>677549886</v>
          </cell>
          <cell r="R1170">
            <v>655999886</v>
          </cell>
          <cell r="S1170" t="str">
            <v>Stephane KETCHOUANG</v>
          </cell>
          <cell r="T1170" t="str">
            <v>Valeur HOUELL</v>
          </cell>
          <cell r="U1170" t="str">
            <v>I H S</v>
          </cell>
        </row>
        <row r="1171">
          <cell r="A1171" t="str">
            <v>EST_125</v>
          </cell>
          <cell r="B1171" t="str">
            <v>IHS_BER_052</v>
          </cell>
          <cell r="C1171" t="str">
            <v>EST_125</v>
          </cell>
          <cell r="D1171" t="str">
            <v>South/East</v>
          </cell>
          <cell r="E1171" t="str">
            <v>East</v>
          </cell>
          <cell r="F1171" t="str">
            <v>Kolomine</v>
          </cell>
          <cell r="G1171" t="str">
            <v>P4</v>
          </cell>
          <cell r="H1171" t="str">
            <v>Hybrid-Gen</v>
          </cell>
          <cell r="I1171" t="str">
            <v>On Air</v>
          </cell>
          <cell r="J1171" t="str">
            <v>Outdoor</v>
          </cell>
          <cell r="K1171" t="str">
            <v>AC</v>
          </cell>
          <cell r="L1171" t="str">
            <v>Dowen</v>
          </cell>
          <cell r="M1171" t="str">
            <v>Garoua Boulai</v>
          </cell>
          <cell r="N1171" t="str">
            <v>LOM-ET-DJEREM</v>
          </cell>
          <cell r="O1171" t="str">
            <v>Goura</v>
          </cell>
          <cell r="P1171" t="str">
            <v>Peter Ojong</v>
          </cell>
          <cell r="Q1171">
            <v>677549886</v>
          </cell>
          <cell r="R1171">
            <v>655999886</v>
          </cell>
          <cell r="S1171" t="str">
            <v>Stephane KETCHOUANG</v>
          </cell>
          <cell r="T1171" t="str">
            <v>Valeur HOUELL</v>
          </cell>
          <cell r="U1171" t="str">
            <v>I H S</v>
          </cell>
        </row>
        <row r="1172">
          <cell r="A1172" t="str">
            <v>EST_061</v>
          </cell>
          <cell r="B1172" t="str">
            <v>IHS_BER_056</v>
          </cell>
          <cell r="C1172" t="str">
            <v>EST_061</v>
          </cell>
          <cell r="D1172" t="str">
            <v>South/East</v>
          </cell>
          <cell r="E1172" t="str">
            <v>East</v>
          </cell>
          <cell r="F1172" t="str">
            <v>Mombal-MTN</v>
          </cell>
          <cell r="G1172" t="str">
            <v>P4</v>
          </cell>
          <cell r="H1172" t="str">
            <v>Solar-Gen</v>
          </cell>
          <cell r="I1172" t="str">
            <v>On Air</v>
          </cell>
          <cell r="J1172" t="str">
            <v>Outdoor</v>
          </cell>
          <cell r="K1172" t="str">
            <v>AC</v>
          </cell>
          <cell r="L1172" t="str">
            <v>Dowen</v>
          </cell>
          <cell r="M1172" t="str">
            <v>Garoua Boulai</v>
          </cell>
          <cell r="N1172" t="str">
            <v>LOM-ET-DJEREM</v>
          </cell>
          <cell r="O1172" t="str">
            <v>Garoua Boulai</v>
          </cell>
          <cell r="P1172" t="str">
            <v>Peter Ojong</v>
          </cell>
          <cell r="Q1172">
            <v>677549886</v>
          </cell>
          <cell r="R1172">
            <v>655999886</v>
          </cell>
          <cell r="S1172" t="str">
            <v>Stephane KETCHOUANG</v>
          </cell>
          <cell r="T1172" t="str">
            <v>Valeur HOUELL</v>
          </cell>
          <cell r="U1172" t="str">
            <v>I H S</v>
          </cell>
        </row>
        <row r="1173">
          <cell r="A1173" t="str">
            <v>EST_116</v>
          </cell>
          <cell r="B1173" t="str">
            <v>IHS_BER_160</v>
          </cell>
          <cell r="C1173" t="str">
            <v>EST_116</v>
          </cell>
          <cell r="D1173" t="str">
            <v>South/East</v>
          </cell>
          <cell r="E1173" t="str">
            <v>East</v>
          </cell>
          <cell r="F1173" t="str">
            <v>Tongo Ngandinma</v>
          </cell>
          <cell r="G1173" t="str">
            <v>P5</v>
          </cell>
          <cell r="H1173" t="str">
            <v>Hybrid-Gen</v>
          </cell>
          <cell r="I1173" t="str">
            <v>On Air</v>
          </cell>
          <cell r="J1173" t="str">
            <v>Outdoor</v>
          </cell>
          <cell r="K1173" t="str">
            <v>AC</v>
          </cell>
          <cell r="L1173" t="str">
            <v>Dowen</v>
          </cell>
          <cell r="M1173" t="str">
            <v>Garoua Boulai</v>
          </cell>
          <cell r="N1173" t="str">
            <v>LOM-ET-DJEREM</v>
          </cell>
          <cell r="O1173" t="str">
            <v>Goura</v>
          </cell>
          <cell r="P1173" t="str">
            <v>Peter Ojong</v>
          </cell>
          <cell r="Q1173">
            <v>677549886</v>
          </cell>
          <cell r="R1173">
            <v>655999886</v>
          </cell>
          <cell r="S1173" t="str">
            <v>Stephane KETCHOUANG</v>
          </cell>
          <cell r="T1173" t="str">
            <v>Valeur HOUELL</v>
          </cell>
          <cell r="U1173" t="str">
            <v>I H S</v>
          </cell>
        </row>
        <row r="1174">
          <cell r="A1174" t="str">
            <v>EST_073</v>
          </cell>
          <cell r="B1174" t="str">
            <v>IHS_BER_078</v>
          </cell>
          <cell r="C1174" t="str">
            <v>EST_073</v>
          </cell>
          <cell r="D1174" t="str">
            <v>South/East</v>
          </cell>
          <cell r="E1174" t="str">
            <v>East</v>
          </cell>
          <cell r="F1174" t="str">
            <v>Bonga</v>
          </cell>
          <cell r="G1174" t="str">
            <v>P5</v>
          </cell>
          <cell r="H1174" t="str">
            <v>Hybrid-Gen</v>
          </cell>
          <cell r="I1174" t="str">
            <v>On Air</v>
          </cell>
          <cell r="J1174" t="str">
            <v>Outdoor</v>
          </cell>
          <cell r="K1174" t="str">
            <v>AC</v>
          </cell>
          <cell r="L1174" t="str">
            <v>Dowen</v>
          </cell>
          <cell r="M1174" t="str">
            <v>Garoua Boulai</v>
          </cell>
          <cell r="N1174" t="str">
            <v>LOM-ET-DJEREM</v>
          </cell>
          <cell r="O1174" t="str">
            <v>Garoua Boulai</v>
          </cell>
          <cell r="P1174" t="str">
            <v>Peter Ojong</v>
          </cell>
          <cell r="Q1174">
            <v>677549886</v>
          </cell>
          <cell r="R1174">
            <v>655999886</v>
          </cell>
          <cell r="S1174" t="str">
            <v>Stephane KETCHOUANG</v>
          </cell>
          <cell r="T1174" t="str">
            <v>Valeur HOUELL</v>
          </cell>
          <cell r="U1174" t="str">
            <v>I H S</v>
          </cell>
        </row>
        <row r="1175">
          <cell r="A1175" t="str">
            <v>EST_014</v>
          </cell>
          <cell r="B1175" t="str">
            <v>IHS_BER_047</v>
          </cell>
          <cell r="C1175" t="str">
            <v>EST_014</v>
          </cell>
          <cell r="D1175" t="str">
            <v>South/East</v>
          </cell>
          <cell r="E1175" t="str">
            <v>East</v>
          </cell>
          <cell r="F1175" t="str">
            <v>Betare-Oya</v>
          </cell>
          <cell r="G1175" t="str">
            <v>P5</v>
          </cell>
          <cell r="H1175" t="str">
            <v>Solar-Gen</v>
          </cell>
          <cell r="I1175" t="str">
            <v>On Air</v>
          </cell>
          <cell r="J1175" t="str">
            <v>Indoor</v>
          </cell>
          <cell r="K1175" t="str">
            <v>AC</v>
          </cell>
          <cell r="L1175" t="str">
            <v>Dowen</v>
          </cell>
          <cell r="M1175" t="str">
            <v>Garoua Boulai</v>
          </cell>
          <cell r="N1175" t="str">
            <v>LOM-ET-DJEREM</v>
          </cell>
          <cell r="O1175" t="str">
            <v>BETARE OYA</v>
          </cell>
          <cell r="P1175" t="str">
            <v>Peter Ojong</v>
          </cell>
          <cell r="Q1175">
            <v>677549886</v>
          </cell>
          <cell r="R1175">
            <v>655999886</v>
          </cell>
          <cell r="S1175" t="str">
            <v>Stephane KETCHOUANG</v>
          </cell>
          <cell r="T1175" t="str">
            <v>Valeur HOUELL</v>
          </cell>
          <cell r="U1175" t="str">
            <v>I H S</v>
          </cell>
        </row>
        <row r="1176">
          <cell r="A1176" t="str">
            <v>EST_094</v>
          </cell>
          <cell r="B1176" t="str">
            <v>IHS_BER_014</v>
          </cell>
          <cell r="C1176" t="str">
            <v>EST_094</v>
          </cell>
          <cell r="D1176" t="str">
            <v>South/East</v>
          </cell>
          <cell r="E1176" t="str">
            <v>East</v>
          </cell>
          <cell r="F1176" t="str">
            <v>Kouba-MTN-IHS</v>
          </cell>
          <cell r="G1176" t="str">
            <v>P5</v>
          </cell>
          <cell r="H1176" t="str">
            <v>Hybrid-Gen</v>
          </cell>
          <cell r="I1176" t="str">
            <v>On Air</v>
          </cell>
          <cell r="J1176" t="str">
            <v>Outdoor</v>
          </cell>
          <cell r="K1176" t="str">
            <v>AC</v>
          </cell>
          <cell r="L1176" t="str">
            <v>Dowen</v>
          </cell>
          <cell r="M1176" t="str">
            <v>bertoua</v>
          </cell>
          <cell r="N1176" t="str">
            <v>LOM-ET-DJEREM</v>
          </cell>
          <cell r="O1176" t="str">
            <v>Mandjou</v>
          </cell>
          <cell r="P1176" t="str">
            <v>Peter Ojong</v>
          </cell>
          <cell r="Q1176">
            <v>677549886</v>
          </cell>
          <cell r="R1176">
            <v>655999886</v>
          </cell>
          <cell r="S1176" t="str">
            <v>Stephane KETCHOUANG</v>
          </cell>
          <cell r="T1176" t="str">
            <v>Valeur HOUELL</v>
          </cell>
          <cell r="U1176" t="str">
            <v>I H S</v>
          </cell>
        </row>
        <row r="1177">
          <cell r="A1177" t="str">
            <v>EST_021</v>
          </cell>
          <cell r="B1177" t="str">
            <v>IHS_BER_051</v>
          </cell>
          <cell r="C1177" t="str">
            <v>EST_021</v>
          </cell>
          <cell r="D1177" t="str">
            <v>South/East</v>
          </cell>
          <cell r="E1177" t="str">
            <v>East</v>
          </cell>
          <cell r="F1177" t="str">
            <v>Ngoura-IHS</v>
          </cell>
          <cell r="G1177" t="str">
            <v>P5</v>
          </cell>
          <cell r="H1177" t="str">
            <v>Gen Only</v>
          </cell>
          <cell r="I1177" t="str">
            <v>On Air</v>
          </cell>
          <cell r="J1177" t="str">
            <v>Outdoor</v>
          </cell>
          <cell r="K1177" t="str">
            <v>AC</v>
          </cell>
          <cell r="L1177" t="str">
            <v>Dowen</v>
          </cell>
          <cell r="M1177" t="str">
            <v>Garoua Boulai</v>
          </cell>
          <cell r="N1177" t="str">
            <v>LOM-ET-DJEREM</v>
          </cell>
          <cell r="O1177" t="str">
            <v>Goura</v>
          </cell>
          <cell r="P1177" t="str">
            <v>Peter Ojong</v>
          </cell>
          <cell r="Q1177">
            <v>677549886</v>
          </cell>
          <cell r="R1177">
            <v>655999886</v>
          </cell>
          <cell r="S1177" t="str">
            <v>Stephane KETCHOUANG</v>
          </cell>
          <cell r="T1177" t="str">
            <v>Valeur HOUELL</v>
          </cell>
          <cell r="U1177" t="str">
            <v>I H S</v>
          </cell>
        </row>
        <row r="1178">
          <cell r="A1178" t="str">
            <v>ADM_156</v>
          </cell>
          <cell r="B1178" t="str">
            <v>IHS_BER_070</v>
          </cell>
          <cell r="C1178" t="str">
            <v>ADM_156</v>
          </cell>
          <cell r="D1178" t="str">
            <v>South/East</v>
          </cell>
          <cell r="E1178" t="str">
            <v>East</v>
          </cell>
          <cell r="F1178" t="str">
            <v>GAROUA-BOULAI2-IHS</v>
          </cell>
          <cell r="G1178" t="str">
            <v>P5</v>
          </cell>
          <cell r="H1178" t="str">
            <v>Grid-Gen</v>
          </cell>
          <cell r="I1178" t="str">
            <v>On Air</v>
          </cell>
          <cell r="J1178" t="str">
            <v>Outdoor</v>
          </cell>
          <cell r="K1178" t="str">
            <v>AC</v>
          </cell>
          <cell r="L1178" t="str">
            <v>Dowen</v>
          </cell>
          <cell r="M1178" t="str">
            <v>Garoua Boulai</v>
          </cell>
          <cell r="N1178" t="str">
            <v>LOM-ET-DJEREM</v>
          </cell>
          <cell r="O1178" t="str">
            <v>Garoua Boulai</v>
          </cell>
          <cell r="P1178" t="str">
            <v>Peter Ojong</v>
          </cell>
          <cell r="Q1178">
            <v>677549886</v>
          </cell>
          <cell r="R1178">
            <v>655999886</v>
          </cell>
          <cell r="S1178" t="str">
            <v>Stephane KETCHOUANG</v>
          </cell>
          <cell r="T1178" t="str">
            <v>Valeur HOUELL</v>
          </cell>
          <cell r="U1178" t="str">
            <v>I H S</v>
          </cell>
        </row>
        <row r="1179">
          <cell r="A1179" t="str">
            <v>CTR_141</v>
          </cell>
          <cell r="B1179" t="str">
            <v>IHS_YND_457</v>
          </cell>
          <cell r="C1179" t="str">
            <v>CTR_141</v>
          </cell>
          <cell r="D1179" t="str">
            <v>South/East</v>
          </cell>
          <cell r="E1179" t="str">
            <v>East</v>
          </cell>
          <cell r="F1179" t="str">
            <v>Ndandouck-IHS</v>
          </cell>
          <cell r="G1179" t="str">
            <v>P5</v>
          </cell>
          <cell r="H1179" t="str">
            <v>Solar-Gen</v>
          </cell>
          <cell r="I1179" t="str">
            <v>On Air</v>
          </cell>
          <cell r="J1179" t="str">
            <v>Outdoor</v>
          </cell>
          <cell r="K1179" t="str">
            <v>AC</v>
          </cell>
          <cell r="L1179" t="str">
            <v>Dowen</v>
          </cell>
          <cell r="M1179" t="str">
            <v>Abong Mbang</v>
          </cell>
          <cell r="N1179" t="str">
            <v>HAUTE-SANAGA</v>
          </cell>
          <cell r="O1179" t="str">
            <v>Minta</v>
          </cell>
          <cell r="P1179" t="str">
            <v>Peter Ojong</v>
          </cell>
          <cell r="Q1179">
            <v>677549886</v>
          </cell>
          <cell r="R1179">
            <v>655999886</v>
          </cell>
          <cell r="S1179" t="str">
            <v>Stephane KETCHOUANG</v>
          </cell>
          <cell r="T1179" t="str">
            <v>Valeur HOUELL</v>
          </cell>
          <cell r="U1179" t="str">
            <v>I H S</v>
          </cell>
        </row>
        <row r="1180">
          <cell r="A1180" t="str">
            <v>EST_063</v>
          </cell>
          <cell r="B1180" t="str">
            <v>IHS_BER_024</v>
          </cell>
          <cell r="C1180" t="str">
            <v>EST_063</v>
          </cell>
          <cell r="D1180" t="str">
            <v>South/East</v>
          </cell>
          <cell r="E1180" t="str">
            <v>East</v>
          </cell>
          <cell r="F1180" t="str">
            <v>Letta-MTN</v>
          </cell>
          <cell r="G1180" t="str">
            <v>P5</v>
          </cell>
          <cell r="H1180" t="str">
            <v>Solar-Gen</v>
          </cell>
          <cell r="I1180" t="str">
            <v>On Air</v>
          </cell>
          <cell r="J1180" t="str">
            <v>Outdoor</v>
          </cell>
          <cell r="K1180" t="str">
            <v>AC</v>
          </cell>
          <cell r="L1180" t="str">
            <v>Dowen</v>
          </cell>
          <cell r="M1180" t="str">
            <v>bertoua</v>
          </cell>
          <cell r="N1180" t="str">
            <v>LOM-ET-DJEREM</v>
          </cell>
          <cell r="O1180" t="str">
            <v>Mandjou</v>
          </cell>
          <cell r="P1180" t="str">
            <v>Peter Ojong</v>
          </cell>
          <cell r="Q1180">
            <v>677549886</v>
          </cell>
          <cell r="R1180">
            <v>655999886</v>
          </cell>
          <cell r="S1180" t="str">
            <v>Stephane KETCHOUANG</v>
          </cell>
          <cell r="T1180" t="str">
            <v>Valeur HOUELL</v>
          </cell>
          <cell r="U1180" t="str">
            <v>I H S</v>
          </cell>
        </row>
        <row r="1181">
          <cell r="A1181" t="str">
            <v>CTR_054</v>
          </cell>
          <cell r="B1181" t="str">
            <v>IHS_YND_445</v>
          </cell>
          <cell r="C1181" t="str">
            <v>CTR_054</v>
          </cell>
          <cell r="D1181" t="str">
            <v>West</v>
          </cell>
          <cell r="E1181" t="str">
            <v>West</v>
          </cell>
          <cell r="F1181" t="str">
            <v>Ndoussan</v>
          </cell>
          <cell r="G1181" t="str">
            <v>P2</v>
          </cell>
          <cell r="H1181" t="str">
            <v>Hybrid-Gen</v>
          </cell>
          <cell r="I1181" t="str">
            <v>On Air</v>
          </cell>
          <cell r="J1181" t="str">
            <v>Indoor</v>
          </cell>
          <cell r="K1181" t="str">
            <v>AC</v>
          </cell>
          <cell r="L1181" t="str">
            <v>I-Eng</v>
          </cell>
          <cell r="M1181" t="str">
            <v>Bafia</v>
          </cell>
          <cell r="N1181" t="str">
            <v>Mbam et inoubou</v>
          </cell>
          <cell r="O1181" t="str">
            <v>Kon-yambetta</v>
          </cell>
          <cell r="P1181" t="str">
            <v>Prospere Fassu</v>
          </cell>
          <cell r="Q1181">
            <v>677548569</v>
          </cell>
          <cell r="R1181">
            <v>656072387</v>
          </cell>
          <cell r="S1181" t="str">
            <v>Vensa Mohammadu</v>
          </cell>
          <cell r="T1181" t="str">
            <v>GEORGES NAKHOUL</v>
          </cell>
          <cell r="U1181" t="str">
            <v>I H S</v>
          </cell>
        </row>
        <row r="1182">
          <cell r="A1182" t="str">
            <v>CTR_095</v>
          </cell>
          <cell r="B1182" t="str">
            <v>IHS_YND_429</v>
          </cell>
          <cell r="C1182" t="str">
            <v>CTR_095</v>
          </cell>
          <cell r="D1182" t="str">
            <v>West</v>
          </cell>
          <cell r="E1182" t="str">
            <v>West</v>
          </cell>
          <cell r="F1182" t="str">
            <v>Ombessa</v>
          </cell>
          <cell r="G1182" t="str">
            <v>P2</v>
          </cell>
          <cell r="H1182" t="str">
            <v>Grid-Gen</v>
          </cell>
          <cell r="I1182" t="str">
            <v>On Air</v>
          </cell>
          <cell r="J1182" t="str">
            <v>Indoor</v>
          </cell>
          <cell r="K1182" t="str">
            <v>AC</v>
          </cell>
          <cell r="L1182" t="str">
            <v>I-Eng</v>
          </cell>
          <cell r="M1182" t="str">
            <v>Bafia</v>
          </cell>
          <cell r="N1182" t="str">
            <v>Mbam et inoubou</v>
          </cell>
          <cell r="O1182" t="str">
            <v>Ombessa</v>
          </cell>
          <cell r="P1182" t="str">
            <v>Prospere Fassu</v>
          </cell>
          <cell r="Q1182">
            <v>677548569</v>
          </cell>
          <cell r="R1182">
            <v>656072387</v>
          </cell>
          <cell r="S1182" t="str">
            <v>Vensa Mohammadu</v>
          </cell>
          <cell r="T1182" t="str">
            <v>GEORGES NAKHOUL</v>
          </cell>
          <cell r="U1182" t="str">
            <v>I H S</v>
          </cell>
        </row>
        <row r="1183">
          <cell r="A1183" t="str">
            <v>OST_015</v>
          </cell>
          <cell r="B1183" t="str">
            <v>IHS_BFG_004</v>
          </cell>
          <cell r="C1183" t="str">
            <v>OST_015</v>
          </cell>
          <cell r="D1183" t="str">
            <v>West</v>
          </cell>
          <cell r="E1183" t="str">
            <v>West</v>
          </cell>
          <cell r="F1183" t="str">
            <v>Bafang</v>
          </cell>
          <cell r="G1183" t="str">
            <v>P2</v>
          </cell>
          <cell r="H1183" t="str">
            <v>Grid-Gen</v>
          </cell>
          <cell r="I1183" t="str">
            <v>On Air</v>
          </cell>
          <cell r="J1183" t="str">
            <v>Indoor</v>
          </cell>
          <cell r="K1183" t="str">
            <v>AC</v>
          </cell>
          <cell r="L1183" t="str">
            <v>I-Eng</v>
          </cell>
          <cell r="M1183" t="str">
            <v>Dschang</v>
          </cell>
          <cell r="N1183" t="str">
            <v>Haut Nkam</v>
          </cell>
          <cell r="O1183" t="str">
            <v>Bafang</v>
          </cell>
          <cell r="P1183" t="str">
            <v>Prospere Fassu</v>
          </cell>
          <cell r="Q1183">
            <v>677548569</v>
          </cell>
          <cell r="R1183">
            <v>656072387</v>
          </cell>
          <cell r="S1183" t="str">
            <v>Vensa Mohammadu</v>
          </cell>
          <cell r="T1183" t="str">
            <v>GEORGES NAKHOUL</v>
          </cell>
          <cell r="U1183" t="str">
            <v>I H S</v>
          </cell>
        </row>
        <row r="1184">
          <cell r="A1184" t="str">
            <v>OST_010</v>
          </cell>
          <cell r="B1184" t="str">
            <v>IHS_BAF_071</v>
          </cell>
          <cell r="C1184" t="str">
            <v>OST_010</v>
          </cell>
          <cell r="D1184" t="str">
            <v>West</v>
          </cell>
          <cell r="E1184" t="str">
            <v>West</v>
          </cell>
          <cell r="F1184" t="str">
            <v>Bantoum</v>
          </cell>
          <cell r="G1184" t="str">
            <v>P2</v>
          </cell>
          <cell r="H1184" t="str">
            <v>Grid-Gen</v>
          </cell>
          <cell r="I1184" t="str">
            <v>On Air</v>
          </cell>
          <cell r="J1184" t="str">
            <v>Indoor</v>
          </cell>
          <cell r="K1184" t="str">
            <v>AC</v>
          </cell>
          <cell r="L1184" t="str">
            <v>I-Eng</v>
          </cell>
          <cell r="M1184" t="str">
            <v>Bafia</v>
          </cell>
          <cell r="N1184" t="str">
            <v>Nde</v>
          </cell>
          <cell r="O1184" t="str">
            <v>Bangangte</v>
          </cell>
          <cell r="P1184" t="str">
            <v>Prospere Fassu</v>
          </cell>
          <cell r="Q1184">
            <v>677548569</v>
          </cell>
          <cell r="R1184">
            <v>656072387</v>
          </cell>
          <cell r="S1184" t="str">
            <v>Vensa Mohammadu</v>
          </cell>
          <cell r="T1184" t="str">
            <v>GEORGES NAKHOUL</v>
          </cell>
          <cell r="U1184" t="str">
            <v>I H S</v>
          </cell>
        </row>
        <row r="1185">
          <cell r="A1185" t="str">
            <v>CTR_226</v>
          </cell>
          <cell r="B1185" t="str">
            <v>IHS_YND_426</v>
          </cell>
          <cell r="C1185" t="str">
            <v>CTR_226</v>
          </cell>
          <cell r="D1185" t="str">
            <v>West</v>
          </cell>
          <cell r="E1185" t="str">
            <v>West</v>
          </cell>
          <cell r="F1185" t="str">
            <v>Mbangassina</v>
          </cell>
          <cell r="G1185" t="str">
            <v>P2</v>
          </cell>
          <cell r="H1185" t="str">
            <v>Grid-Gen</v>
          </cell>
          <cell r="I1185" t="str">
            <v>On Air</v>
          </cell>
          <cell r="J1185" t="str">
            <v>Outdoor</v>
          </cell>
          <cell r="K1185" t="str">
            <v>AC</v>
          </cell>
          <cell r="L1185" t="str">
            <v>I-Eng</v>
          </cell>
          <cell r="M1185" t="str">
            <v>Bafia</v>
          </cell>
          <cell r="N1185" t="str">
            <v>MBAM ET KIM</v>
          </cell>
          <cell r="O1185" t="str">
            <v>Mbangassina</v>
          </cell>
          <cell r="P1185" t="str">
            <v>Prospere Fassu</v>
          </cell>
          <cell r="Q1185">
            <v>677548569</v>
          </cell>
          <cell r="R1185">
            <v>656072387</v>
          </cell>
          <cell r="S1185" t="str">
            <v>Vensa Mohammadu</v>
          </cell>
          <cell r="T1185" t="str">
            <v>GEORGES NAKHOUL</v>
          </cell>
          <cell r="U1185" t="str">
            <v>I H S</v>
          </cell>
        </row>
        <row r="1186">
          <cell r="A1186" t="str">
            <v>OST_013</v>
          </cell>
          <cell r="B1186" t="str">
            <v>IHS_BAF_048</v>
          </cell>
          <cell r="C1186" t="str">
            <v>OST_013</v>
          </cell>
          <cell r="D1186" t="str">
            <v>West</v>
          </cell>
          <cell r="E1186" t="str">
            <v>West</v>
          </cell>
          <cell r="F1186" t="str">
            <v>Yenon</v>
          </cell>
          <cell r="G1186" t="str">
            <v>P2</v>
          </cell>
          <cell r="H1186" t="str">
            <v>Grid-Gen</v>
          </cell>
          <cell r="I1186" t="str">
            <v>On Air</v>
          </cell>
          <cell r="J1186" t="str">
            <v>Indoor</v>
          </cell>
          <cell r="K1186" t="str">
            <v>AC</v>
          </cell>
          <cell r="L1186" t="str">
            <v>I-Eng</v>
          </cell>
          <cell r="M1186" t="str">
            <v>Bafoussam</v>
          </cell>
          <cell r="N1186" t="str">
            <v>Koung-Khi</v>
          </cell>
          <cell r="O1186" t="str">
            <v>Bayangam</v>
          </cell>
          <cell r="P1186" t="str">
            <v>Prospere Fassu</v>
          </cell>
          <cell r="Q1186">
            <v>677548569</v>
          </cell>
          <cell r="R1186">
            <v>656072387</v>
          </cell>
          <cell r="S1186" t="str">
            <v>Vensa Mohammadu</v>
          </cell>
          <cell r="T1186" t="str">
            <v>GEORGES NAKHOUL</v>
          </cell>
          <cell r="U1186" t="str">
            <v>I H S</v>
          </cell>
        </row>
        <row r="1187">
          <cell r="A1187" t="str">
            <v>LIT_063</v>
          </cell>
          <cell r="B1187" t="str">
            <v>IHS_NKS_014</v>
          </cell>
          <cell r="C1187" t="str">
            <v>LIT_063</v>
          </cell>
          <cell r="D1187" t="str">
            <v>West</v>
          </cell>
          <cell r="E1187" t="str">
            <v>West</v>
          </cell>
          <cell r="F1187" t="str">
            <v>Melong</v>
          </cell>
          <cell r="G1187" t="str">
            <v>P2</v>
          </cell>
          <cell r="H1187" t="str">
            <v>Grid-Gen</v>
          </cell>
          <cell r="I1187" t="str">
            <v>On Air</v>
          </cell>
          <cell r="J1187" t="str">
            <v>Indoor</v>
          </cell>
          <cell r="K1187" t="str">
            <v>AC</v>
          </cell>
          <cell r="L1187" t="str">
            <v>I-Eng</v>
          </cell>
          <cell r="M1187" t="str">
            <v>Dschang</v>
          </cell>
          <cell r="N1187" t="str">
            <v>Moungo</v>
          </cell>
          <cell r="O1187" t="str">
            <v>Melong</v>
          </cell>
          <cell r="P1187" t="str">
            <v>Prospere Fassu</v>
          </cell>
          <cell r="Q1187">
            <v>677548569</v>
          </cell>
          <cell r="R1187">
            <v>656072387</v>
          </cell>
          <cell r="S1187" t="str">
            <v>Vensa Mohammadu</v>
          </cell>
          <cell r="T1187" t="str">
            <v>GEORGES NAKHOUL</v>
          </cell>
          <cell r="U1187" t="str">
            <v>I H S</v>
          </cell>
        </row>
        <row r="1188">
          <cell r="A1188" t="str">
            <v>OST_126</v>
          </cell>
          <cell r="B1188" t="str">
            <v>IHS_BFG_001</v>
          </cell>
          <cell r="C1188" t="str">
            <v>OST_126</v>
          </cell>
          <cell r="D1188" t="str">
            <v>West</v>
          </cell>
          <cell r="E1188" t="str">
            <v>West</v>
          </cell>
          <cell r="F1188" t="str">
            <v>Bafang-Centre</v>
          </cell>
          <cell r="G1188" t="str">
            <v>P2</v>
          </cell>
          <cell r="H1188" t="str">
            <v>Grid Only</v>
          </cell>
          <cell r="I1188" t="str">
            <v>On Air</v>
          </cell>
          <cell r="J1188" t="str">
            <v>Outdoor</v>
          </cell>
          <cell r="K1188" t="str">
            <v>AC</v>
          </cell>
          <cell r="L1188" t="str">
            <v>I-Eng</v>
          </cell>
          <cell r="M1188" t="str">
            <v>Dschang</v>
          </cell>
          <cell r="N1188" t="str">
            <v>Haut Nkam</v>
          </cell>
          <cell r="O1188" t="str">
            <v>Bafang</v>
          </cell>
          <cell r="P1188" t="str">
            <v>Prospere Fassu</v>
          </cell>
          <cell r="Q1188">
            <v>677548569</v>
          </cell>
          <cell r="R1188">
            <v>656072387</v>
          </cell>
          <cell r="S1188" t="str">
            <v>Vensa Mohammadu</v>
          </cell>
          <cell r="T1188" t="str">
            <v>GEORGES NAKHOUL</v>
          </cell>
          <cell r="U1188" t="str">
            <v>I H S</v>
          </cell>
        </row>
        <row r="1189">
          <cell r="A1189" t="str">
            <v>OST_012</v>
          </cell>
          <cell r="B1189" t="str">
            <v>IHS_BAF_053</v>
          </cell>
          <cell r="C1189" t="str">
            <v>OST_012</v>
          </cell>
          <cell r="D1189" t="str">
            <v>West</v>
          </cell>
          <cell r="E1189" t="str">
            <v>West</v>
          </cell>
          <cell r="F1189" t="str">
            <v>Bangangte</v>
          </cell>
          <cell r="G1189" t="str">
            <v>P3</v>
          </cell>
          <cell r="H1189" t="str">
            <v>Grid-Gen</v>
          </cell>
          <cell r="I1189" t="str">
            <v>On Air</v>
          </cell>
          <cell r="J1189" t="str">
            <v>Indoor</v>
          </cell>
          <cell r="K1189" t="str">
            <v>AC</v>
          </cell>
          <cell r="L1189" t="str">
            <v>I-Eng</v>
          </cell>
          <cell r="M1189" t="str">
            <v>Bafia</v>
          </cell>
          <cell r="N1189" t="str">
            <v>Nde</v>
          </cell>
          <cell r="O1189" t="str">
            <v>Bangangte</v>
          </cell>
          <cell r="P1189" t="str">
            <v>Prospere Fassu</v>
          </cell>
          <cell r="Q1189">
            <v>677548569</v>
          </cell>
          <cell r="R1189">
            <v>656072387</v>
          </cell>
          <cell r="S1189" t="str">
            <v>Vensa Mohammadu</v>
          </cell>
          <cell r="T1189" t="str">
            <v>GEORGES NAKHOUL</v>
          </cell>
          <cell r="U1189" t="str">
            <v>I H S</v>
          </cell>
        </row>
        <row r="1190">
          <cell r="A1190" t="str">
            <v>CTR_231</v>
          </cell>
          <cell r="B1190" t="str">
            <v>IHS_YND_430</v>
          </cell>
          <cell r="C1190" t="str">
            <v>CTR_231</v>
          </cell>
          <cell r="D1190" t="str">
            <v>West</v>
          </cell>
          <cell r="E1190" t="str">
            <v>West</v>
          </cell>
          <cell r="F1190" t="str">
            <v>Goufan</v>
          </cell>
          <cell r="G1190" t="str">
            <v>P3</v>
          </cell>
          <cell r="H1190" t="str">
            <v>Grid-Gen</v>
          </cell>
          <cell r="I1190" t="str">
            <v>On Air</v>
          </cell>
          <cell r="J1190" t="str">
            <v>Outdoor</v>
          </cell>
          <cell r="K1190" t="str">
            <v>AC</v>
          </cell>
          <cell r="L1190" t="str">
            <v>I-Eng</v>
          </cell>
          <cell r="M1190" t="str">
            <v>Bafia</v>
          </cell>
          <cell r="N1190" t="str">
            <v>Mbam et inoubou</v>
          </cell>
          <cell r="O1190" t="str">
            <v>Bafia</v>
          </cell>
          <cell r="P1190" t="str">
            <v>Prospere Fassu</v>
          </cell>
          <cell r="Q1190">
            <v>677548569</v>
          </cell>
          <cell r="R1190">
            <v>656072387</v>
          </cell>
          <cell r="S1190" t="str">
            <v>Vensa Mohammadu</v>
          </cell>
          <cell r="T1190" t="str">
            <v>GEORGES NAKHOUL</v>
          </cell>
          <cell r="U1190" t="str">
            <v>I H S</v>
          </cell>
        </row>
        <row r="1191">
          <cell r="A1191" t="str">
            <v>SUO_028</v>
          </cell>
          <cell r="B1191" t="str">
            <v>IHS_EDA_049</v>
          </cell>
          <cell r="C1191" t="str">
            <v>SUO_028</v>
          </cell>
          <cell r="D1191" t="str">
            <v>West</v>
          </cell>
          <cell r="E1191" t="str">
            <v>West</v>
          </cell>
          <cell r="F1191" t="str">
            <v>Ndom</v>
          </cell>
          <cell r="G1191" t="str">
            <v>P3</v>
          </cell>
          <cell r="H1191" t="str">
            <v>Grid-Gen</v>
          </cell>
          <cell r="I1191" t="str">
            <v>On Air</v>
          </cell>
          <cell r="J1191" t="str">
            <v>Indoor</v>
          </cell>
          <cell r="K1191" t="str">
            <v>AC</v>
          </cell>
          <cell r="L1191" t="str">
            <v>I-Eng</v>
          </cell>
          <cell r="M1191" t="str">
            <v>Bafia</v>
          </cell>
          <cell r="N1191" t="str">
            <v>SANAGA-MARITIME</v>
          </cell>
          <cell r="O1191" t="str">
            <v>Ndom</v>
          </cell>
          <cell r="P1191" t="str">
            <v>Prospere Fassu</v>
          </cell>
          <cell r="Q1191">
            <v>677548569</v>
          </cell>
          <cell r="R1191">
            <v>656072387</v>
          </cell>
          <cell r="S1191" t="str">
            <v>Vensa Mohammadu</v>
          </cell>
          <cell r="T1191" t="str">
            <v>GEORGES NAKHOUL</v>
          </cell>
          <cell r="U1191" t="str">
            <v>I H S</v>
          </cell>
        </row>
        <row r="1192">
          <cell r="A1192" t="str">
            <v>CTR_206</v>
          </cell>
          <cell r="B1192" t="str">
            <v>IHS_YND_550</v>
          </cell>
          <cell r="C1192" t="str">
            <v>CTR_206</v>
          </cell>
          <cell r="D1192" t="str">
            <v>West</v>
          </cell>
          <cell r="E1192" t="str">
            <v>West</v>
          </cell>
          <cell r="F1192" t="str">
            <v>TALBA</v>
          </cell>
          <cell r="G1192" t="str">
            <v>P4</v>
          </cell>
          <cell r="H1192" t="str">
            <v>Grid-Gen</v>
          </cell>
          <cell r="I1192" t="str">
            <v>On Air</v>
          </cell>
          <cell r="J1192" t="str">
            <v>Outdoor</v>
          </cell>
          <cell r="K1192" t="str">
            <v>AC</v>
          </cell>
          <cell r="L1192" t="str">
            <v>I-Eng</v>
          </cell>
          <cell r="M1192" t="str">
            <v>Bafia</v>
          </cell>
          <cell r="N1192" t="str">
            <v>MBAM ET KIM</v>
          </cell>
          <cell r="O1192" t="str">
            <v>Mbangassina</v>
          </cell>
          <cell r="P1192" t="str">
            <v>Prospere Fassu</v>
          </cell>
          <cell r="Q1192">
            <v>677548569</v>
          </cell>
          <cell r="R1192">
            <v>656072387</v>
          </cell>
          <cell r="S1192" t="str">
            <v>Vensa Mohammadu</v>
          </cell>
          <cell r="T1192" t="str">
            <v>GEORGES NAKHOUL</v>
          </cell>
          <cell r="U1192" t="str">
            <v>I H S</v>
          </cell>
        </row>
        <row r="1193">
          <cell r="A1193" t="str">
            <v>CTR_190</v>
          </cell>
          <cell r="B1193" t="str">
            <v>IHS_YND_549</v>
          </cell>
          <cell r="C1193" t="str">
            <v>CTR_190</v>
          </cell>
          <cell r="D1193" t="str">
            <v>West</v>
          </cell>
          <cell r="E1193" t="str">
            <v>West</v>
          </cell>
          <cell r="F1193" t="str">
            <v>KIKI</v>
          </cell>
          <cell r="G1193" t="str">
            <v>P4</v>
          </cell>
          <cell r="H1193" t="str">
            <v>Grid-Gen</v>
          </cell>
          <cell r="I1193" t="str">
            <v>On Air</v>
          </cell>
          <cell r="J1193" t="str">
            <v>Outdoor</v>
          </cell>
          <cell r="K1193" t="str">
            <v>AC</v>
          </cell>
          <cell r="L1193" t="str">
            <v>I-Eng</v>
          </cell>
          <cell r="M1193" t="str">
            <v>Bafia</v>
          </cell>
          <cell r="N1193" t="str">
            <v>Mbam et Inoubou</v>
          </cell>
          <cell r="O1193" t="str">
            <v>Kiki</v>
          </cell>
          <cell r="P1193" t="str">
            <v>Prospere Fassu</v>
          </cell>
          <cell r="Q1193">
            <v>677548569</v>
          </cell>
          <cell r="R1193">
            <v>656072387</v>
          </cell>
          <cell r="S1193" t="str">
            <v>Vensa Mohammadu</v>
          </cell>
          <cell r="T1193" t="str">
            <v>GEORGES NAKHOUL</v>
          </cell>
          <cell r="U1193" t="str">
            <v>I H S</v>
          </cell>
        </row>
        <row r="1194">
          <cell r="A1194" t="str">
            <v>OST_158</v>
          </cell>
          <cell r="B1194" t="str">
            <v>IHS_BFG_017</v>
          </cell>
          <cell r="C1194" t="str">
            <v>OST_158</v>
          </cell>
          <cell r="D1194" t="str">
            <v>West</v>
          </cell>
          <cell r="E1194" t="str">
            <v>West</v>
          </cell>
          <cell r="F1194" t="str">
            <v>FONDJANTI</v>
          </cell>
          <cell r="G1194" t="str">
            <v>P4</v>
          </cell>
          <cell r="H1194" t="str">
            <v>Grid-Gen</v>
          </cell>
          <cell r="I1194" t="str">
            <v>On Air</v>
          </cell>
          <cell r="J1194" t="str">
            <v>Outdoor</v>
          </cell>
          <cell r="K1194" t="str">
            <v>AC</v>
          </cell>
          <cell r="L1194" t="str">
            <v>I-Eng</v>
          </cell>
          <cell r="M1194" t="str">
            <v>Dschang</v>
          </cell>
          <cell r="N1194" t="str">
            <v>Haut Nkam</v>
          </cell>
          <cell r="O1194" t="str">
            <v>Bakou</v>
          </cell>
          <cell r="P1194" t="str">
            <v>Prospere Fassu</v>
          </cell>
          <cell r="Q1194">
            <v>677548569</v>
          </cell>
          <cell r="R1194">
            <v>656072387</v>
          </cell>
          <cell r="S1194" t="str">
            <v>Vensa Mohammadu</v>
          </cell>
          <cell r="T1194" t="str">
            <v>GEORGES NAKHOUL</v>
          </cell>
          <cell r="U1194" t="str">
            <v>I H S</v>
          </cell>
        </row>
        <row r="1195">
          <cell r="A1195" t="str">
            <v>CTR_362</v>
          </cell>
          <cell r="B1195" t="str">
            <v>IHS_YND_437</v>
          </cell>
          <cell r="C1195" t="str">
            <v>CTR_362</v>
          </cell>
          <cell r="D1195" t="str">
            <v>West</v>
          </cell>
          <cell r="E1195" t="str">
            <v>West</v>
          </cell>
          <cell r="F1195" t="str">
            <v>Bafia-Lable</v>
          </cell>
          <cell r="G1195" t="str">
            <v>P4</v>
          </cell>
          <cell r="H1195" t="str">
            <v>Grid-Gen</v>
          </cell>
          <cell r="I1195" t="str">
            <v>On Air</v>
          </cell>
          <cell r="J1195" t="str">
            <v>Outdoor</v>
          </cell>
          <cell r="K1195" t="str">
            <v>AC</v>
          </cell>
          <cell r="L1195" t="str">
            <v>I-Eng</v>
          </cell>
          <cell r="M1195" t="str">
            <v>Bafia</v>
          </cell>
          <cell r="N1195" t="str">
            <v>Mbam et Inoubou</v>
          </cell>
          <cell r="O1195" t="str">
            <v>Bafia</v>
          </cell>
          <cell r="P1195" t="str">
            <v>Prospere Fassu</v>
          </cell>
          <cell r="Q1195">
            <v>677548569</v>
          </cell>
          <cell r="R1195">
            <v>656072387</v>
          </cell>
          <cell r="S1195" t="str">
            <v>Vensa Mohammadu</v>
          </cell>
          <cell r="T1195" t="str">
            <v>GEORGES NAKHOUL</v>
          </cell>
          <cell r="U1195" t="str">
            <v>I H S</v>
          </cell>
        </row>
        <row r="1196">
          <cell r="A1196" t="str">
            <v>CTR_092</v>
          </cell>
          <cell r="B1196" t="str">
            <v>IHS_YND_461</v>
          </cell>
          <cell r="C1196" t="str">
            <v>CTR_092</v>
          </cell>
          <cell r="D1196" t="str">
            <v>West</v>
          </cell>
          <cell r="E1196" t="str">
            <v>West</v>
          </cell>
          <cell r="F1196" t="str">
            <v>Boutourou</v>
          </cell>
          <cell r="G1196" t="str">
            <v>P4</v>
          </cell>
          <cell r="H1196" t="str">
            <v>Grid-Hybrid-Gen</v>
          </cell>
          <cell r="I1196" t="str">
            <v>On Air</v>
          </cell>
          <cell r="J1196" t="str">
            <v>Indoor</v>
          </cell>
          <cell r="K1196" t="str">
            <v>AC</v>
          </cell>
          <cell r="L1196" t="str">
            <v>I-Eng</v>
          </cell>
          <cell r="M1196" t="str">
            <v>Bafia</v>
          </cell>
          <cell r="N1196" t="str">
            <v>Mbam et inoubou</v>
          </cell>
          <cell r="O1196" t="str">
            <v>Ndikinimeki</v>
          </cell>
          <cell r="P1196" t="str">
            <v>Prospere Fassu</v>
          </cell>
          <cell r="Q1196">
            <v>677548569</v>
          </cell>
          <cell r="R1196">
            <v>656072387</v>
          </cell>
          <cell r="S1196" t="str">
            <v>Vensa Mohammadu</v>
          </cell>
          <cell r="T1196" t="str">
            <v>GEORGES NAKHOUL</v>
          </cell>
          <cell r="U1196" t="str">
            <v>I H S</v>
          </cell>
        </row>
        <row r="1197">
          <cell r="A1197" t="str">
            <v>OST_022</v>
          </cell>
          <cell r="B1197" t="str">
            <v>IHS_BAF_054</v>
          </cell>
          <cell r="C1197" t="str">
            <v>OST_022</v>
          </cell>
          <cell r="D1197" t="str">
            <v>West</v>
          </cell>
          <cell r="E1197" t="str">
            <v>West</v>
          </cell>
          <cell r="F1197" t="str">
            <v>Bandja</v>
          </cell>
          <cell r="G1197" t="str">
            <v>P4</v>
          </cell>
          <cell r="H1197" t="str">
            <v>Grid-Gen</v>
          </cell>
          <cell r="I1197" t="str">
            <v>On Air</v>
          </cell>
          <cell r="J1197" t="str">
            <v>Indoor</v>
          </cell>
          <cell r="K1197" t="str">
            <v>AC</v>
          </cell>
          <cell r="L1197" t="str">
            <v>I-Eng</v>
          </cell>
          <cell r="M1197" t="str">
            <v>Dschang</v>
          </cell>
          <cell r="N1197" t="str">
            <v>Haut Nkam</v>
          </cell>
          <cell r="O1197" t="str">
            <v>Bandja</v>
          </cell>
          <cell r="P1197" t="str">
            <v>Prospere Fassu</v>
          </cell>
          <cell r="Q1197">
            <v>677548569</v>
          </cell>
          <cell r="R1197">
            <v>656072387</v>
          </cell>
          <cell r="S1197" t="str">
            <v>Vensa Mohammadu</v>
          </cell>
          <cell r="T1197" t="str">
            <v>GEORGES NAKHOUL</v>
          </cell>
          <cell r="U1197" t="str">
            <v>I H S</v>
          </cell>
        </row>
        <row r="1198">
          <cell r="A1198" t="str">
            <v>CTR_022</v>
          </cell>
          <cell r="B1198" t="str">
            <v>IHS_YND_436</v>
          </cell>
          <cell r="C1198" t="str">
            <v>CTR_022</v>
          </cell>
          <cell r="D1198" t="str">
            <v>West</v>
          </cell>
          <cell r="E1198" t="str">
            <v>West</v>
          </cell>
          <cell r="F1198" t="str">
            <v>Bafia</v>
          </cell>
          <cell r="G1198" t="str">
            <v>P4</v>
          </cell>
          <cell r="H1198" t="str">
            <v>Grid-Gen</v>
          </cell>
          <cell r="I1198" t="str">
            <v>On Air</v>
          </cell>
          <cell r="J1198" t="str">
            <v>Indoor</v>
          </cell>
          <cell r="K1198" t="str">
            <v>AC</v>
          </cell>
          <cell r="L1198" t="str">
            <v>I-Eng</v>
          </cell>
          <cell r="M1198" t="str">
            <v>Bafia</v>
          </cell>
          <cell r="N1198" t="str">
            <v>Mbam et inoubou</v>
          </cell>
          <cell r="O1198" t="str">
            <v>Bafia</v>
          </cell>
          <cell r="P1198" t="str">
            <v>Prospere Fassu</v>
          </cell>
          <cell r="Q1198">
            <v>677548569</v>
          </cell>
          <cell r="R1198">
            <v>656072387</v>
          </cell>
          <cell r="S1198" t="str">
            <v>Vensa Mohammadu</v>
          </cell>
          <cell r="T1198" t="str">
            <v>GEORGES NAKHOUL</v>
          </cell>
          <cell r="U1198" t="str">
            <v>I H S</v>
          </cell>
        </row>
        <row r="1199">
          <cell r="A1199" t="str">
            <v>LIT_136</v>
          </cell>
          <cell r="B1199" t="str">
            <v>IHS_EDA_050</v>
          </cell>
          <cell r="C1199" t="str">
            <v>LIT_136</v>
          </cell>
          <cell r="D1199" t="str">
            <v>West</v>
          </cell>
          <cell r="E1199" t="str">
            <v>West</v>
          </cell>
          <cell r="F1199" t="str">
            <v>Omeng</v>
          </cell>
          <cell r="G1199" t="str">
            <v>P4</v>
          </cell>
          <cell r="H1199" t="str">
            <v>Grid-Gen</v>
          </cell>
          <cell r="I1199" t="str">
            <v>On Air</v>
          </cell>
          <cell r="J1199" t="str">
            <v>Indoor</v>
          </cell>
          <cell r="K1199" t="str">
            <v>AC</v>
          </cell>
          <cell r="L1199" t="str">
            <v>I-Eng</v>
          </cell>
          <cell r="M1199" t="str">
            <v>Bafia</v>
          </cell>
          <cell r="N1199" t="str">
            <v>SANAGA-MARITIME</v>
          </cell>
          <cell r="O1199" t="str">
            <v>Ndom</v>
          </cell>
          <cell r="P1199" t="str">
            <v>Prospere Fassu</v>
          </cell>
          <cell r="Q1199">
            <v>677548569</v>
          </cell>
          <cell r="R1199">
            <v>656072387</v>
          </cell>
          <cell r="S1199" t="str">
            <v>Vensa Mohammadu</v>
          </cell>
          <cell r="T1199" t="str">
            <v>GEORGES NAKHOUL</v>
          </cell>
          <cell r="U1199" t="str">
            <v>I H S</v>
          </cell>
        </row>
        <row r="1200">
          <cell r="A1200" t="str">
            <v>CTR_081</v>
          </cell>
          <cell r="B1200" t="str">
            <v>IHS_YND_471</v>
          </cell>
          <cell r="C1200" t="str">
            <v>CTR_081</v>
          </cell>
          <cell r="D1200" t="str">
            <v>West</v>
          </cell>
          <cell r="E1200" t="str">
            <v>West</v>
          </cell>
          <cell r="F1200" t="str">
            <v>Makenene</v>
          </cell>
          <cell r="G1200" t="str">
            <v>P4</v>
          </cell>
          <cell r="H1200" t="str">
            <v>Grid-Gen</v>
          </cell>
          <cell r="I1200" t="str">
            <v>On Air</v>
          </cell>
          <cell r="J1200" t="str">
            <v>Indoor</v>
          </cell>
          <cell r="K1200" t="str">
            <v>AC</v>
          </cell>
          <cell r="L1200" t="str">
            <v>I-Eng</v>
          </cell>
          <cell r="M1200" t="str">
            <v>Bafia</v>
          </cell>
          <cell r="N1200" t="str">
            <v>Mbam et inoubou</v>
          </cell>
          <cell r="O1200" t="str">
            <v>Makenene</v>
          </cell>
          <cell r="P1200" t="str">
            <v>Prospere Fassu</v>
          </cell>
          <cell r="Q1200">
            <v>677548569</v>
          </cell>
          <cell r="R1200">
            <v>656072387</v>
          </cell>
          <cell r="S1200" t="str">
            <v>Vensa Mohammadu</v>
          </cell>
          <cell r="T1200" t="str">
            <v>GEORGES NAKHOUL</v>
          </cell>
          <cell r="U1200" t="str">
            <v>I H S</v>
          </cell>
        </row>
        <row r="1201">
          <cell r="A1201" t="str">
            <v>CTR_397</v>
          </cell>
          <cell r="B1201" t="str">
            <v>IHS_YND_435</v>
          </cell>
          <cell r="C1201" t="str">
            <v>CTR_397</v>
          </cell>
          <cell r="D1201" t="str">
            <v>West</v>
          </cell>
          <cell r="E1201" t="str">
            <v>West</v>
          </cell>
          <cell r="F1201" t="str">
            <v>Bafia-Dang</v>
          </cell>
          <cell r="G1201" t="str">
            <v>P4</v>
          </cell>
          <cell r="H1201" t="str">
            <v>Grid-Gen</v>
          </cell>
          <cell r="I1201" t="str">
            <v>On Air</v>
          </cell>
          <cell r="J1201" t="str">
            <v>Outdoor</v>
          </cell>
          <cell r="K1201" t="str">
            <v>AC</v>
          </cell>
          <cell r="L1201" t="str">
            <v>I-Eng</v>
          </cell>
          <cell r="M1201" t="str">
            <v>Bafia</v>
          </cell>
          <cell r="N1201" t="str">
            <v>Mbam et inoubou</v>
          </cell>
          <cell r="O1201" t="str">
            <v>Bafia</v>
          </cell>
          <cell r="P1201" t="str">
            <v>Prospere Fassu</v>
          </cell>
          <cell r="Q1201">
            <v>677548569</v>
          </cell>
          <cell r="R1201">
            <v>656072387</v>
          </cell>
          <cell r="S1201" t="str">
            <v>Vensa Mohammadu</v>
          </cell>
          <cell r="T1201" t="str">
            <v>GEORGES NAKHOUL</v>
          </cell>
          <cell r="U1201" t="str">
            <v>I H S</v>
          </cell>
        </row>
        <row r="1202">
          <cell r="A1202" t="str">
            <v>OST_088</v>
          </cell>
          <cell r="B1202" t="str">
            <v>IHS_BAF_045</v>
          </cell>
          <cell r="C1202" t="str">
            <v>OST_088</v>
          </cell>
          <cell r="D1202" t="str">
            <v>West</v>
          </cell>
          <cell r="E1202" t="str">
            <v>West</v>
          </cell>
          <cell r="F1202" t="str">
            <v>Demdeng</v>
          </cell>
          <cell r="G1202" t="str">
            <v>P4</v>
          </cell>
          <cell r="H1202" t="str">
            <v>Grid-Gen</v>
          </cell>
          <cell r="I1202" t="str">
            <v>On Air</v>
          </cell>
          <cell r="J1202" t="str">
            <v>Outdoor</v>
          </cell>
          <cell r="K1202" t="str">
            <v>AC</v>
          </cell>
          <cell r="L1202" t="str">
            <v>I-Eng</v>
          </cell>
          <cell r="M1202" t="str">
            <v>Bafoussam</v>
          </cell>
          <cell r="N1202" t="str">
            <v>Koung-Khi</v>
          </cell>
          <cell r="O1202" t="str">
            <v>Demdeng</v>
          </cell>
          <cell r="P1202" t="str">
            <v>Prospere Fassu</v>
          </cell>
          <cell r="Q1202">
            <v>677548569</v>
          </cell>
          <cell r="R1202">
            <v>656072387</v>
          </cell>
          <cell r="S1202" t="str">
            <v>Vensa Mohammadu</v>
          </cell>
          <cell r="T1202" t="str">
            <v>GEORGES NAKHOUL</v>
          </cell>
          <cell r="U1202" t="str">
            <v>I H S</v>
          </cell>
        </row>
        <row r="1203">
          <cell r="A1203" t="str">
            <v>OST_053</v>
          </cell>
          <cell r="B1203" t="str">
            <v>IHS_BAF_072</v>
          </cell>
          <cell r="C1203" t="str">
            <v>OST_053</v>
          </cell>
          <cell r="D1203" t="str">
            <v>West</v>
          </cell>
          <cell r="E1203" t="str">
            <v>West</v>
          </cell>
          <cell r="F1203" t="str">
            <v>Tonga</v>
          </cell>
          <cell r="G1203" t="str">
            <v>P4</v>
          </cell>
          <cell r="H1203" t="str">
            <v>Grid-Gen</v>
          </cell>
          <cell r="I1203" t="str">
            <v>On Air</v>
          </cell>
          <cell r="J1203" t="str">
            <v>Outdoor</v>
          </cell>
          <cell r="K1203" t="str">
            <v>AC</v>
          </cell>
          <cell r="L1203" t="str">
            <v>I-Eng</v>
          </cell>
          <cell r="M1203" t="str">
            <v>Bafia</v>
          </cell>
          <cell r="N1203" t="str">
            <v>Nde</v>
          </cell>
          <cell r="O1203" t="str">
            <v>Tonga</v>
          </cell>
          <cell r="P1203" t="str">
            <v>Prospere Fassu</v>
          </cell>
          <cell r="Q1203">
            <v>677548569</v>
          </cell>
          <cell r="R1203">
            <v>656072387</v>
          </cell>
          <cell r="S1203" t="str">
            <v>Vensa Mohammadu</v>
          </cell>
          <cell r="T1203" t="str">
            <v>GEORGES NAKHOUL</v>
          </cell>
          <cell r="U1203" t="str">
            <v>I H S</v>
          </cell>
        </row>
        <row r="1204">
          <cell r="A1204" t="str">
            <v>OST_037</v>
          </cell>
          <cell r="B1204" t="str">
            <v>IHS_BAF_070</v>
          </cell>
          <cell r="C1204" t="str">
            <v>OST_037</v>
          </cell>
          <cell r="D1204" t="str">
            <v>West</v>
          </cell>
          <cell r="E1204" t="str">
            <v>West</v>
          </cell>
          <cell r="F1204" t="str">
            <v>Bazou</v>
          </cell>
          <cell r="G1204" t="str">
            <v>P4</v>
          </cell>
          <cell r="H1204" t="str">
            <v>Grid-Gen</v>
          </cell>
          <cell r="I1204" t="str">
            <v>On Air</v>
          </cell>
          <cell r="J1204" t="str">
            <v>Indoor</v>
          </cell>
          <cell r="K1204" t="str">
            <v>AC</v>
          </cell>
          <cell r="L1204" t="str">
            <v>I-Eng</v>
          </cell>
          <cell r="M1204" t="str">
            <v>Bafia</v>
          </cell>
          <cell r="N1204" t="str">
            <v>NDE</v>
          </cell>
          <cell r="O1204" t="str">
            <v>Bazou</v>
          </cell>
          <cell r="P1204" t="str">
            <v>Prospere Fassu</v>
          </cell>
          <cell r="Q1204">
            <v>677548569</v>
          </cell>
          <cell r="R1204">
            <v>656072387</v>
          </cell>
          <cell r="S1204" t="str">
            <v>Vensa Mohammadu</v>
          </cell>
          <cell r="T1204" t="str">
            <v>GEORGES NAKHOUL</v>
          </cell>
          <cell r="U1204" t="str">
            <v>I H S</v>
          </cell>
        </row>
        <row r="1205">
          <cell r="A1205" t="str">
            <v>OST_033</v>
          </cell>
          <cell r="B1205" t="str">
            <v>IHS_BAF_061</v>
          </cell>
          <cell r="C1205" t="str">
            <v>OST_033</v>
          </cell>
          <cell r="D1205" t="str">
            <v>West</v>
          </cell>
          <cell r="E1205" t="str">
            <v>West</v>
          </cell>
          <cell r="F1205" t="str">
            <v>Batchingou</v>
          </cell>
          <cell r="G1205" t="str">
            <v>P4</v>
          </cell>
          <cell r="H1205" t="str">
            <v>Grid-Gen</v>
          </cell>
          <cell r="I1205" t="str">
            <v>On Air</v>
          </cell>
          <cell r="J1205" t="str">
            <v>Outdoor</v>
          </cell>
          <cell r="K1205" t="str">
            <v>AC</v>
          </cell>
          <cell r="L1205" t="str">
            <v>I-Eng</v>
          </cell>
          <cell r="M1205" t="str">
            <v>Bafoussam</v>
          </cell>
          <cell r="N1205" t="str">
            <v>NDE</v>
          </cell>
          <cell r="O1205" t="str">
            <v>Bangangte</v>
          </cell>
          <cell r="P1205" t="str">
            <v>Prospere Fassu</v>
          </cell>
          <cell r="Q1205">
            <v>677548569</v>
          </cell>
          <cell r="R1205">
            <v>656072387</v>
          </cell>
          <cell r="S1205" t="str">
            <v>Vensa Mohammadu</v>
          </cell>
          <cell r="T1205" t="str">
            <v>GEORGES NAKHOUL</v>
          </cell>
          <cell r="U1205" t="str">
            <v>I H S</v>
          </cell>
        </row>
        <row r="1206">
          <cell r="A1206" t="str">
            <v>SUO_013</v>
          </cell>
          <cell r="B1206" t="str">
            <v>IHS_KMB_058</v>
          </cell>
          <cell r="C1206" t="str">
            <v>SUO_013</v>
          </cell>
          <cell r="D1206" t="str">
            <v>West</v>
          </cell>
          <cell r="E1206" t="str">
            <v>West</v>
          </cell>
          <cell r="F1206" t="str">
            <v>Banguem</v>
          </cell>
          <cell r="G1206" t="str">
            <v>P4</v>
          </cell>
          <cell r="H1206" t="str">
            <v>Grid-Gen</v>
          </cell>
          <cell r="I1206" t="str">
            <v>On Air</v>
          </cell>
          <cell r="J1206" t="str">
            <v>Indoor</v>
          </cell>
          <cell r="K1206" t="str">
            <v>AC</v>
          </cell>
          <cell r="L1206" t="str">
            <v>I-Eng</v>
          </cell>
          <cell r="M1206" t="str">
            <v>Dschang</v>
          </cell>
          <cell r="N1206" t="str">
            <v>Koupe-Manengouba</v>
          </cell>
          <cell r="O1206" t="str">
            <v>Banguem</v>
          </cell>
          <cell r="P1206" t="str">
            <v>Prospere Fassu</v>
          </cell>
          <cell r="Q1206">
            <v>677548569</v>
          </cell>
          <cell r="R1206">
            <v>656072387</v>
          </cell>
          <cell r="S1206" t="str">
            <v>Vensa Mohammadu</v>
          </cell>
          <cell r="T1206" t="str">
            <v>GEORGES NAKHOUL</v>
          </cell>
          <cell r="U1206" t="str">
            <v>I H S</v>
          </cell>
        </row>
        <row r="1207">
          <cell r="A1207" t="str">
            <v>OST_018</v>
          </cell>
          <cell r="B1207" t="str">
            <v>IHS_BAF_055</v>
          </cell>
          <cell r="C1207" t="str">
            <v>OST_018</v>
          </cell>
          <cell r="D1207" t="str">
            <v>West</v>
          </cell>
          <cell r="E1207" t="str">
            <v>West</v>
          </cell>
          <cell r="F1207" t="str">
            <v>Bangangte-Ville</v>
          </cell>
          <cell r="G1207" t="str">
            <v>P4</v>
          </cell>
          <cell r="H1207" t="str">
            <v>Grid Only</v>
          </cell>
          <cell r="I1207" t="str">
            <v>On Air</v>
          </cell>
          <cell r="J1207" t="str">
            <v>Indoor</v>
          </cell>
          <cell r="K1207" t="str">
            <v>AC</v>
          </cell>
          <cell r="L1207" t="str">
            <v>I-Eng</v>
          </cell>
          <cell r="M1207" t="str">
            <v>Bafia</v>
          </cell>
          <cell r="N1207" t="str">
            <v>NDE</v>
          </cell>
          <cell r="O1207" t="str">
            <v>Bangangte</v>
          </cell>
          <cell r="P1207" t="str">
            <v>Prospere Fassu</v>
          </cell>
          <cell r="Q1207">
            <v>677548569</v>
          </cell>
          <cell r="R1207">
            <v>656072387</v>
          </cell>
          <cell r="S1207" t="str">
            <v>Vensa Mohammadu</v>
          </cell>
          <cell r="T1207" t="str">
            <v>GEORGES NAKHOUL</v>
          </cell>
          <cell r="U1207" t="str">
            <v>I H S</v>
          </cell>
        </row>
        <row r="1208">
          <cell r="A1208" t="str">
            <v>CTR_278</v>
          </cell>
          <cell r="B1208" t="str">
            <v>IHS_YND_466</v>
          </cell>
          <cell r="C1208" t="str">
            <v>CTR_278</v>
          </cell>
          <cell r="D1208" t="str">
            <v>West</v>
          </cell>
          <cell r="E1208" t="str">
            <v>West</v>
          </cell>
          <cell r="F1208" t="str">
            <v>Ngoro</v>
          </cell>
          <cell r="G1208" t="str">
            <v>P4</v>
          </cell>
          <cell r="H1208" t="str">
            <v>Hybrid-Gen</v>
          </cell>
          <cell r="I1208" t="str">
            <v>On Air</v>
          </cell>
          <cell r="J1208" t="str">
            <v>Outdoor</v>
          </cell>
          <cell r="K1208" t="str">
            <v>AC</v>
          </cell>
          <cell r="L1208" t="str">
            <v>I-Eng</v>
          </cell>
          <cell r="M1208" t="str">
            <v>Bafia</v>
          </cell>
          <cell r="N1208" t="str">
            <v>Mbam et inoubou</v>
          </cell>
          <cell r="O1208" t="str">
            <v>Ngoro</v>
          </cell>
          <cell r="P1208" t="str">
            <v>Prospere Fassu</v>
          </cell>
          <cell r="Q1208">
            <v>677548569</v>
          </cell>
          <cell r="R1208">
            <v>656072387</v>
          </cell>
          <cell r="S1208" t="str">
            <v>Vensa Mohammadu</v>
          </cell>
          <cell r="T1208" t="str">
            <v>GEORGES NAKHOUL</v>
          </cell>
          <cell r="U1208" t="str">
            <v>I H S</v>
          </cell>
        </row>
        <row r="1209">
          <cell r="A1209" t="str">
            <v>CTR_277</v>
          </cell>
          <cell r="B1209" t="str">
            <v>IHS_YND_468</v>
          </cell>
          <cell r="C1209" t="str">
            <v>CTR_277</v>
          </cell>
          <cell r="D1209" t="str">
            <v>West</v>
          </cell>
          <cell r="E1209" t="str">
            <v>West</v>
          </cell>
          <cell r="F1209" t="str">
            <v>Deuk</v>
          </cell>
          <cell r="G1209" t="str">
            <v>P4</v>
          </cell>
          <cell r="H1209" t="str">
            <v>Solar-Gen</v>
          </cell>
          <cell r="I1209" t="str">
            <v>On Air</v>
          </cell>
          <cell r="J1209" t="str">
            <v>Outdoor</v>
          </cell>
          <cell r="K1209" t="str">
            <v>AC</v>
          </cell>
          <cell r="L1209" t="str">
            <v>I-Eng</v>
          </cell>
          <cell r="M1209" t="str">
            <v>Bafia</v>
          </cell>
          <cell r="N1209" t="str">
            <v>Mbam et inoubou</v>
          </cell>
          <cell r="O1209" t="str">
            <v>Deuk</v>
          </cell>
          <cell r="P1209" t="str">
            <v>Prospere Fassu</v>
          </cell>
          <cell r="Q1209">
            <v>677548569</v>
          </cell>
          <cell r="R1209">
            <v>656072387</v>
          </cell>
          <cell r="S1209" t="str">
            <v>Vensa Mohammadu</v>
          </cell>
          <cell r="T1209" t="str">
            <v>GEORGES NAKHOUL</v>
          </cell>
          <cell r="U1209" t="str">
            <v>I H S</v>
          </cell>
        </row>
        <row r="1210">
          <cell r="A1210" t="str">
            <v>CTR_091</v>
          </cell>
          <cell r="B1210" t="str">
            <v>IHS_YND_447</v>
          </cell>
          <cell r="C1210" t="str">
            <v>CTR_091</v>
          </cell>
          <cell r="D1210" t="str">
            <v>West</v>
          </cell>
          <cell r="E1210" t="str">
            <v>West</v>
          </cell>
          <cell r="F1210" t="str">
            <v>Bamoko</v>
          </cell>
          <cell r="G1210" t="str">
            <v>P4</v>
          </cell>
          <cell r="H1210" t="str">
            <v>Solar-Gen</v>
          </cell>
          <cell r="I1210" t="str">
            <v>On Air</v>
          </cell>
          <cell r="J1210" t="str">
            <v>Indoor</v>
          </cell>
          <cell r="K1210" t="str">
            <v>AC</v>
          </cell>
          <cell r="L1210" t="str">
            <v>I-Eng</v>
          </cell>
          <cell r="M1210" t="str">
            <v>Bafia</v>
          </cell>
          <cell r="N1210" t="str">
            <v>Mbam et inoubou</v>
          </cell>
          <cell r="O1210" t="str">
            <v>Kon-yambetta</v>
          </cell>
          <cell r="P1210" t="str">
            <v>Prospere Fassu</v>
          </cell>
          <cell r="Q1210">
            <v>677548569</v>
          </cell>
          <cell r="R1210">
            <v>656072387</v>
          </cell>
          <cell r="S1210" t="str">
            <v>Vensa Mohammadu</v>
          </cell>
          <cell r="T1210" t="str">
            <v>GEORGES NAKHOUL</v>
          </cell>
          <cell r="U1210" t="str">
            <v>I H S</v>
          </cell>
        </row>
        <row r="1211">
          <cell r="A1211" t="str">
            <v>LIT_501</v>
          </cell>
          <cell r="B1211" t="str">
            <v>IHS_EDA_058</v>
          </cell>
          <cell r="C1211" t="str">
            <v>LIT_501</v>
          </cell>
          <cell r="D1211" t="str">
            <v>West</v>
          </cell>
          <cell r="E1211" t="str">
            <v>West</v>
          </cell>
          <cell r="F1211" t="str">
            <v>Sohock IHS</v>
          </cell>
          <cell r="G1211" t="str">
            <v>P4</v>
          </cell>
          <cell r="H1211" t="str">
            <v>Hybrid-Gen</v>
          </cell>
          <cell r="I1211" t="str">
            <v>On Air</v>
          </cell>
          <cell r="J1211" t="str">
            <v>Outdoor</v>
          </cell>
          <cell r="K1211" t="str">
            <v>AC</v>
          </cell>
          <cell r="L1211" t="str">
            <v>I-Eng</v>
          </cell>
          <cell r="M1211" t="str">
            <v>Dschang</v>
          </cell>
          <cell r="N1211" t="str">
            <v>Nkam</v>
          </cell>
          <cell r="O1211" t="str">
            <v>Nkondjock</v>
          </cell>
          <cell r="P1211" t="str">
            <v>Prospere Fassu</v>
          </cell>
          <cell r="Q1211">
            <v>677548569</v>
          </cell>
          <cell r="R1211">
            <v>656072387</v>
          </cell>
          <cell r="S1211" t="str">
            <v>Vensa Mohammadu</v>
          </cell>
          <cell r="T1211" t="str">
            <v>GEORGES NAKHOUL</v>
          </cell>
          <cell r="U1211" t="str">
            <v>I H S</v>
          </cell>
        </row>
        <row r="1212">
          <cell r="A1212" t="str">
            <v>LIT_502</v>
          </cell>
          <cell r="B1212" t="str">
            <v>IHS_EDA_054</v>
          </cell>
          <cell r="C1212" t="str">
            <v>LIT_502</v>
          </cell>
          <cell r="D1212" t="str">
            <v>West</v>
          </cell>
          <cell r="E1212" t="str">
            <v>West</v>
          </cell>
          <cell r="F1212" t="str">
            <v>Kouedjou</v>
          </cell>
          <cell r="G1212" t="str">
            <v>P4</v>
          </cell>
          <cell r="H1212" t="str">
            <v>Gen Only</v>
          </cell>
          <cell r="I1212" t="str">
            <v>On Air</v>
          </cell>
          <cell r="J1212" t="str">
            <v>Outdoor</v>
          </cell>
          <cell r="K1212" t="str">
            <v>AC</v>
          </cell>
          <cell r="L1212" t="str">
            <v>I-Eng</v>
          </cell>
          <cell r="M1212" t="str">
            <v>Dschang</v>
          </cell>
          <cell r="N1212" t="str">
            <v>Nkam</v>
          </cell>
          <cell r="O1212" t="str">
            <v>Nkondjock</v>
          </cell>
          <cell r="P1212" t="str">
            <v>Prospere Fassu</v>
          </cell>
          <cell r="Q1212">
            <v>677548569</v>
          </cell>
          <cell r="R1212">
            <v>656072387</v>
          </cell>
          <cell r="S1212" t="str">
            <v>Vensa Mohammadu</v>
          </cell>
          <cell r="T1212" t="str">
            <v>GEORGES NAKHOUL</v>
          </cell>
          <cell r="U1212" t="str">
            <v>I H S</v>
          </cell>
        </row>
        <row r="1213">
          <cell r="A1213" t="str">
            <v>NRO_093</v>
          </cell>
          <cell r="B1213" t="str">
            <v>IHS_BFG_18</v>
          </cell>
          <cell r="C1213" t="str">
            <v>NRO_093</v>
          </cell>
          <cell r="D1213" t="str">
            <v>West</v>
          </cell>
          <cell r="E1213" t="str">
            <v>West</v>
          </cell>
          <cell r="F1213" t="str">
            <v>Bamengwi</v>
          </cell>
          <cell r="G1213" t="str">
            <v>P4</v>
          </cell>
          <cell r="H1213" t="str">
            <v>Grid-Gen</v>
          </cell>
          <cell r="I1213" t="str">
            <v>On Air</v>
          </cell>
          <cell r="J1213" t="str">
            <v>Outdoor</v>
          </cell>
          <cell r="K1213" t="str">
            <v>AC</v>
          </cell>
          <cell r="L1213" t="str">
            <v>I-Eng</v>
          </cell>
          <cell r="M1213" t="str">
            <v>Dschang</v>
          </cell>
          <cell r="N1213" t="str">
            <v>Haut Nkam</v>
          </cell>
          <cell r="O1213" t="str">
            <v>Kekem</v>
          </cell>
          <cell r="P1213" t="str">
            <v>Prospere Fassu</v>
          </cell>
          <cell r="Q1213">
            <v>677548569</v>
          </cell>
          <cell r="R1213">
            <v>656072387</v>
          </cell>
          <cell r="S1213" t="str">
            <v>Vensa Mohammadu</v>
          </cell>
          <cell r="T1213" t="str">
            <v>GEORGES NAKHOUL</v>
          </cell>
          <cell r="U1213" t="str">
            <v>I H S</v>
          </cell>
        </row>
        <row r="1214">
          <cell r="A1214" t="str">
            <v>CTR_828</v>
          </cell>
          <cell r="B1214" t="str">
            <v>IHS_YND_481</v>
          </cell>
          <cell r="C1214" t="str">
            <v>CTR_828</v>
          </cell>
          <cell r="D1214" t="str">
            <v>West</v>
          </cell>
          <cell r="E1214" t="str">
            <v>West</v>
          </cell>
          <cell r="F1214" t="str">
            <v>BAFIA BEGNIAN</v>
          </cell>
          <cell r="G1214" t="str">
            <v>P4</v>
          </cell>
          <cell r="H1214" t="str">
            <v>Grid-Hybrid-Gen</v>
          </cell>
          <cell r="I1214">
            <v>0</v>
          </cell>
          <cell r="J1214" t="str">
            <v>Outdoor</v>
          </cell>
          <cell r="K1214" t="str">
            <v>AC</v>
          </cell>
          <cell r="L1214" t="str">
            <v>I-Eng</v>
          </cell>
          <cell r="M1214" t="str">
            <v>Bafia</v>
          </cell>
          <cell r="N1214" t="str">
            <v>Mbam et Inoubou</v>
          </cell>
          <cell r="O1214" t="str">
            <v>Bafia</v>
          </cell>
          <cell r="P1214" t="str">
            <v>Prospere Fassu</v>
          </cell>
          <cell r="Q1214">
            <v>677548569</v>
          </cell>
          <cell r="R1214">
            <v>656072387</v>
          </cell>
          <cell r="S1214" t="str">
            <v>Vensa Mohammadu</v>
          </cell>
          <cell r="T1214" t="str">
            <v>GEORGES NAKHOUL</v>
          </cell>
          <cell r="U1214" t="str">
            <v>I H S</v>
          </cell>
        </row>
        <row r="1215">
          <cell r="A1215" t="str">
            <v>SUO_150</v>
          </cell>
          <cell r="B1215" t="str">
            <v>IHS_KMB_118</v>
          </cell>
          <cell r="C1215" t="str">
            <v>SUO_150</v>
          </cell>
          <cell r="D1215" t="str">
            <v>West</v>
          </cell>
          <cell r="E1215" t="str">
            <v>West</v>
          </cell>
          <cell r="F1215" t="str">
            <v>BANGUEM STREET II</v>
          </cell>
          <cell r="G1215" t="str">
            <v>P4</v>
          </cell>
          <cell r="H1215" t="str">
            <v>Grid-Gen</v>
          </cell>
          <cell r="I1215" t="str">
            <v>On Air</v>
          </cell>
          <cell r="J1215" t="str">
            <v>Outdoor</v>
          </cell>
          <cell r="K1215" t="str">
            <v>AC</v>
          </cell>
          <cell r="L1215" t="str">
            <v>I-Eng</v>
          </cell>
          <cell r="M1215" t="str">
            <v>Dschang</v>
          </cell>
          <cell r="N1215" t="str">
            <v>Koupe-Manengouba</v>
          </cell>
          <cell r="O1215" t="str">
            <v>Banguem</v>
          </cell>
          <cell r="P1215" t="str">
            <v>Prospere Fassu</v>
          </cell>
          <cell r="Q1215">
            <v>677548569</v>
          </cell>
          <cell r="R1215">
            <v>656072387</v>
          </cell>
          <cell r="S1215" t="str">
            <v>Vensa Mohammadu</v>
          </cell>
          <cell r="T1215" t="str">
            <v>GEORGES NAKHOUL</v>
          </cell>
          <cell r="U1215" t="str">
            <v>I H S</v>
          </cell>
        </row>
        <row r="1216">
          <cell r="A1216" t="str">
            <v>OST_025</v>
          </cell>
          <cell r="B1216" t="str">
            <v>IHS_YND_469</v>
          </cell>
          <cell r="C1216" t="str">
            <v>OST_025</v>
          </cell>
          <cell r="D1216" t="str">
            <v>West</v>
          </cell>
          <cell r="E1216" t="str">
            <v>West</v>
          </cell>
          <cell r="F1216" t="str">
            <v>Ndokohok-IHS</v>
          </cell>
          <cell r="G1216" t="str">
            <v>P4</v>
          </cell>
          <cell r="H1216" t="str">
            <v>Grid-Gen</v>
          </cell>
          <cell r="I1216" t="str">
            <v>On Air</v>
          </cell>
          <cell r="J1216" t="str">
            <v>Indoor</v>
          </cell>
          <cell r="K1216" t="str">
            <v>AC</v>
          </cell>
          <cell r="L1216" t="str">
            <v>I-Eng</v>
          </cell>
          <cell r="M1216" t="str">
            <v>Bafia</v>
          </cell>
          <cell r="N1216" t="str">
            <v>Mbam et inoubou</v>
          </cell>
          <cell r="O1216" t="str">
            <v>Ndikinimeki</v>
          </cell>
          <cell r="P1216" t="str">
            <v>Prospere Fassu</v>
          </cell>
          <cell r="Q1216">
            <v>677548569</v>
          </cell>
          <cell r="R1216">
            <v>656072387</v>
          </cell>
          <cell r="S1216" t="str">
            <v>Vensa Mohammadu</v>
          </cell>
          <cell r="T1216" t="str">
            <v>GEORGES NAKHOUL</v>
          </cell>
          <cell r="U1216" t="str">
            <v>I H S</v>
          </cell>
        </row>
        <row r="1217">
          <cell r="A1217" t="str">
            <v>LIT_239</v>
          </cell>
          <cell r="B1217" t="str">
            <v>IHS_DLA_305</v>
          </cell>
          <cell r="C1217" t="str">
            <v>LIT_239</v>
          </cell>
          <cell r="D1217" t="str">
            <v>West</v>
          </cell>
          <cell r="E1217" t="str">
            <v>West</v>
          </cell>
          <cell r="F1217" t="str">
            <v>Nkondjock-MTN</v>
          </cell>
          <cell r="G1217" t="str">
            <v>P4</v>
          </cell>
          <cell r="H1217" t="str">
            <v>Grid-Gen</v>
          </cell>
          <cell r="I1217" t="str">
            <v>On Air</v>
          </cell>
          <cell r="J1217" t="str">
            <v>Outdoor</v>
          </cell>
          <cell r="K1217" t="str">
            <v>AC</v>
          </cell>
          <cell r="L1217" t="str">
            <v>I-Eng</v>
          </cell>
          <cell r="M1217" t="str">
            <v>Dschang</v>
          </cell>
          <cell r="N1217" t="str">
            <v>Nkam</v>
          </cell>
          <cell r="O1217" t="str">
            <v>Nkondjock</v>
          </cell>
          <cell r="P1217" t="str">
            <v>Prospere Fassu</v>
          </cell>
          <cell r="Q1217">
            <v>677548569</v>
          </cell>
          <cell r="R1217">
            <v>656072387</v>
          </cell>
          <cell r="S1217" t="str">
            <v>Vensa Mohammadu</v>
          </cell>
          <cell r="T1217" t="str">
            <v>GEORGES NAKHOUL</v>
          </cell>
          <cell r="U1217" t="str">
            <v>I H S</v>
          </cell>
        </row>
        <row r="1218">
          <cell r="A1218" t="str">
            <v>CTR_082</v>
          </cell>
          <cell r="B1218" t="str">
            <v>IHS_YND_464</v>
          </cell>
          <cell r="C1218" t="str">
            <v>CTR_082</v>
          </cell>
          <cell r="D1218" t="str">
            <v>West</v>
          </cell>
          <cell r="E1218" t="str">
            <v>West</v>
          </cell>
          <cell r="F1218" t="str">
            <v>Ndikinimeki</v>
          </cell>
          <cell r="G1218" t="str">
            <v>P4</v>
          </cell>
          <cell r="H1218" t="str">
            <v>Grid-Gen</v>
          </cell>
          <cell r="I1218" t="str">
            <v>On Air</v>
          </cell>
          <cell r="J1218" t="str">
            <v>Indoor</v>
          </cell>
          <cell r="K1218" t="str">
            <v>AC</v>
          </cell>
          <cell r="L1218" t="str">
            <v>I-Eng</v>
          </cell>
          <cell r="M1218" t="str">
            <v>Bafia</v>
          </cell>
          <cell r="N1218" t="str">
            <v>Mbam et inoubou</v>
          </cell>
          <cell r="O1218" t="str">
            <v>Ndikinimeki</v>
          </cell>
          <cell r="P1218" t="str">
            <v>Prospere Fassu</v>
          </cell>
          <cell r="Q1218">
            <v>677548569</v>
          </cell>
          <cell r="R1218">
            <v>656072387</v>
          </cell>
          <cell r="S1218" t="str">
            <v>Vensa Mohammadu</v>
          </cell>
          <cell r="T1218" t="str">
            <v>GEORGES NAKHOUL</v>
          </cell>
          <cell r="U1218" t="str">
            <v>I H S</v>
          </cell>
        </row>
        <row r="1219">
          <cell r="A1219" t="str">
            <v>CTR_364</v>
          </cell>
          <cell r="B1219" t="str">
            <v>IHS_YND_446</v>
          </cell>
          <cell r="C1219" t="str">
            <v>CTR_364</v>
          </cell>
          <cell r="D1219" t="str">
            <v>West</v>
          </cell>
          <cell r="E1219" t="str">
            <v>West</v>
          </cell>
          <cell r="F1219" t="str">
            <v>Bayomen-Kalong-MTN</v>
          </cell>
          <cell r="G1219" t="str">
            <v>P4</v>
          </cell>
          <cell r="H1219" t="str">
            <v>Hybrid-Gen</v>
          </cell>
          <cell r="I1219" t="str">
            <v>On Air</v>
          </cell>
          <cell r="J1219" t="str">
            <v>Indoor</v>
          </cell>
          <cell r="K1219" t="str">
            <v>AC</v>
          </cell>
          <cell r="L1219" t="str">
            <v>I-Eng</v>
          </cell>
          <cell r="M1219" t="str">
            <v>Bafia</v>
          </cell>
          <cell r="N1219" t="str">
            <v>Mbam et inoubou</v>
          </cell>
          <cell r="O1219" t="str">
            <v>Kon-yambetta</v>
          </cell>
          <cell r="P1219" t="str">
            <v>Prospere Fassu</v>
          </cell>
          <cell r="Q1219">
            <v>677548569</v>
          </cell>
          <cell r="R1219">
            <v>656072387</v>
          </cell>
          <cell r="S1219" t="str">
            <v>Vensa Mohammadu</v>
          </cell>
          <cell r="T1219" t="str">
            <v>GEORGES NAKHOUL</v>
          </cell>
          <cell r="U1219" t="str">
            <v>I H S</v>
          </cell>
        </row>
        <row r="1220">
          <cell r="A1220" t="str">
            <v>OST_143</v>
          </cell>
          <cell r="B1220" t="str">
            <v>IHS_BAF_067</v>
          </cell>
          <cell r="C1220" t="str">
            <v>OST_143</v>
          </cell>
          <cell r="D1220" t="str">
            <v>West</v>
          </cell>
          <cell r="E1220" t="str">
            <v>West</v>
          </cell>
          <cell r="F1220" t="str">
            <v>Bassamba</v>
          </cell>
          <cell r="G1220" t="str">
            <v>P4</v>
          </cell>
          <cell r="H1220" t="str">
            <v>Grid-Gen</v>
          </cell>
          <cell r="I1220" t="str">
            <v>On Air</v>
          </cell>
          <cell r="J1220" t="str">
            <v>Outdoor</v>
          </cell>
          <cell r="K1220" t="str">
            <v>AC</v>
          </cell>
          <cell r="L1220" t="str">
            <v>I-Eng</v>
          </cell>
          <cell r="M1220" t="str">
            <v>Bafia</v>
          </cell>
          <cell r="N1220" t="str">
            <v>Nde</v>
          </cell>
          <cell r="O1220" t="str">
            <v>Bassamba</v>
          </cell>
          <cell r="P1220" t="str">
            <v>Prospere Fassu</v>
          </cell>
          <cell r="Q1220">
            <v>677548569</v>
          </cell>
          <cell r="R1220">
            <v>656072387</v>
          </cell>
          <cell r="S1220" t="str">
            <v>Vensa Mohammadu</v>
          </cell>
          <cell r="T1220" t="str">
            <v>GEORGES NAKHOUL</v>
          </cell>
          <cell r="U1220" t="str">
            <v>I H S</v>
          </cell>
        </row>
        <row r="1221">
          <cell r="A1221" t="str">
            <v>CTR_193</v>
          </cell>
          <cell r="B1221" t="str">
            <v>IHS_YND_439</v>
          </cell>
          <cell r="C1221" t="str">
            <v>CTR_193</v>
          </cell>
          <cell r="D1221" t="str">
            <v>West</v>
          </cell>
          <cell r="E1221" t="str">
            <v>West</v>
          </cell>
          <cell r="F1221" t="str">
            <v>Bokito-MTN</v>
          </cell>
          <cell r="G1221" t="str">
            <v>P4</v>
          </cell>
          <cell r="H1221" t="str">
            <v>Grid-Gen</v>
          </cell>
          <cell r="I1221" t="str">
            <v>On Air</v>
          </cell>
          <cell r="J1221" t="str">
            <v>Indoor</v>
          </cell>
          <cell r="K1221" t="str">
            <v>AC</v>
          </cell>
          <cell r="L1221" t="str">
            <v>I-Eng</v>
          </cell>
          <cell r="M1221" t="str">
            <v>Bafia</v>
          </cell>
          <cell r="N1221" t="str">
            <v>Mbam et inoubou</v>
          </cell>
          <cell r="O1221" t="str">
            <v>Bokito</v>
          </cell>
          <cell r="P1221" t="str">
            <v>Prospere Fassu</v>
          </cell>
          <cell r="Q1221">
            <v>677548569</v>
          </cell>
          <cell r="R1221">
            <v>656072387</v>
          </cell>
          <cell r="S1221" t="str">
            <v>Vensa Mohammadu</v>
          </cell>
          <cell r="T1221" t="str">
            <v>GEORGES NAKHOUL</v>
          </cell>
          <cell r="U1221" t="str">
            <v>I H S</v>
          </cell>
        </row>
        <row r="1222">
          <cell r="A1222" t="str">
            <v>CTR_184</v>
          </cell>
          <cell r="B1222" t="str">
            <v>IHS_YND_438</v>
          </cell>
          <cell r="C1222" t="str">
            <v>CTR_184</v>
          </cell>
          <cell r="D1222" t="str">
            <v>West</v>
          </cell>
          <cell r="E1222" t="str">
            <v>West</v>
          </cell>
          <cell r="F1222" t="str">
            <v>Taete-MTN-IHS</v>
          </cell>
          <cell r="G1222" t="str">
            <v>P4</v>
          </cell>
          <cell r="H1222" t="str">
            <v>Grid-Hybrid-Gen</v>
          </cell>
          <cell r="I1222" t="str">
            <v>On Air</v>
          </cell>
          <cell r="J1222" t="str">
            <v>Outdoor</v>
          </cell>
          <cell r="K1222" t="str">
            <v>AC</v>
          </cell>
          <cell r="L1222" t="str">
            <v>I-Eng</v>
          </cell>
          <cell r="M1222" t="str">
            <v>Bafia</v>
          </cell>
          <cell r="N1222" t="str">
            <v>MBAM ET KIM</v>
          </cell>
          <cell r="O1222" t="str">
            <v>Mbangassina</v>
          </cell>
          <cell r="P1222" t="str">
            <v>Prospere Fassu</v>
          </cell>
          <cell r="Q1222">
            <v>677548569</v>
          </cell>
          <cell r="R1222">
            <v>656072387</v>
          </cell>
          <cell r="S1222" t="str">
            <v>Vensa Mohammadu</v>
          </cell>
          <cell r="T1222" t="str">
            <v>GEORGES NAKHOUL</v>
          </cell>
          <cell r="U1222" t="str">
            <v>I H S</v>
          </cell>
        </row>
        <row r="1223">
          <cell r="A1223" t="str">
            <v>CTR_183</v>
          </cell>
          <cell r="B1223" t="str">
            <v>IHS_YND_448</v>
          </cell>
          <cell r="C1223" t="str">
            <v>CTR_183</v>
          </cell>
          <cell r="D1223" t="str">
            <v>West</v>
          </cell>
          <cell r="E1223" t="str">
            <v>West</v>
          </cell>
          <cell r="F1223" t="str">
            <v>Mvoundou-Ngoke-MTN-IHS</v>
          </cell>
          <cell r="G1223" t="str">
            <v>P4</v>
          </cell>
          <cell r="H1223" t="str">
            <v>Hybrid-Gen</v>
          </cell>
          <cell r="I1223" t="str">
            <v>On Air</v>
          </cell>
          <cell r="J1223" t="str">
            <v>Outdoor</v>
          </cell>
          <cell r="K1223" t="str">
            <v>AC</v>
          </cell>
          <cell r="L1223" t="str">
            <v>I-Eng</v>
          </cell>
          <cell r="M1223" t="str">
            <v>Bafia</v>
          </cell>
          <cell r="N1223" t="str">
            <v>MBAM ET KIM</v>
          </cell>
          <cell r="O1223" t="str">
            <v>Mbangassina</v>
          </cell>
          <cell r="P1223" t="str">
            <v>Prospere Fassu</v>
          </cell>
          <cell r="Q1223">
            <v>677548569</v>
          </cell>
          <cell r="R1223">
            <v>656072387</v>
          </cell>
          <cell r="S1223" t="str">
            <v>Vensa Mohammadu</v>
          </cell>
          <cell r="T1223" t="str">
            <v>GEORGES NAKHOUL</v>
          </cell>
          <cell r="U1223" t="str">
            <v>I H S</v>
          </cell>
        </row>
        <row r="1224">
          <cell r="A1224" t="str">
            <v>CTR_443</v>
          </cell>
          <cell r="B1224" t="str">
            <v>IHS_YND_425</v>
          </cell>
          <cell r="C1224" t="str">
            <v>CTR_443</v>
          </cell>
          <cell r="D1224" t="str">
            <v>West</v>
          </cell>
          <cell r="E1224" t="str">
            <v>West</v>
          </cell>
          <cell r="F1224" t="str">
            <v>Biakoa</v>
          </cell>
          <cell r="G1224" t="str">
            <v>P4</v>
          </cell>
          <cell r="H1224" t="str">
            <v>Solar-Grid-Gen</v>
          </cell>
          <cell r="I1224" t="str">
            <v>On Air</v>
          </cell>
          <cell r="J1224" t="str">
            <v>Indoor</v>
          </cell>
          <cell r="K1224" t="str">
            <v>AC</v>
          </cell>
          <cell r="L1224" t="str">
            <v>I-Eng</v>
          </cell>
          <cell r="M1224" t="str">
            <v>Bafia</v>
          </cell>
          <cell r="N1224" t="str">
            <v>MBAM ET KIM</v>
          </cell>
          <cell r="O1224" t="str">
            <v>Mbangassina</v>
          </cell>
          <cell r="P1224" t="str">
            <v>Prospere Fassu</v>
          </cell>
          <cell r="Q1224">
            <v>677548569</v>
          </cell>
          <cell r="R1224">
            <v>656072387</v>
          </cell>
          <cell r="S1224" t="str">
            <v>Vensa Mohammadu</v>
          </cell>
          <cell r="T1224" t="str">
            <v>GEORGES NAKHOUL</v>
          </cell>
          <cell r="U1224" t="str">
            <v>I H S</v>
          </cell>
        </row>
        <row r="1225">
          <cell r="A1225" t="str">
            <v>CTR_297</v>
          </cell>
          <cell r="B1225" t="str">
            <v>IHS_YND_463</v>
          </cell>
          <cell r="C1225" t="str">
            <v>CTR_297</v>
          </cell>
          <cell r="D1225" t="str">
            <v>West</v>
          </cell>
          <cell r="E1225" t="str">
            <v>West</v>
          </cell>
          <cell r="F1225" t="str">
            <v>Nomale</v>
          </cell>
          <cell r="G1225" t="str">
            <v>P5</v>
          </cell>
          <cell r="H1225" t="str">
            <v>Grid-Gen</v>
          </cell>
          <cell r="I1225" t="str">
            <v>On Air</v>
          </cell>
          <cell r="J1225" t="str">
            <v>Outdoor</v>
          </cell>
          <cell r="K1225" t="str">
            <v>AC</v>
          </cell>
          <cell r="L1225" t="str">
            <v>I-Eng</v>
          </cell>
          <cell r="M1225" t="str">
            <v>Bafia</v>
          </cell>
          <cell r="N1225" t="str">
            <v>Mbam et inoubou</v>
          </cell>
          <cell r="O1225" t="str">
            <v>Ndikinimeki</v>
          </cell>
          <cell r="P1225" t="str">
            <v>Prospere Fassu</v>
          </cell>
          <cell r="Q1225">
            <v>677548569</v>
          </cell>
          <cell r="R1225">
            <v>656072387</v>
          </cell>
          <cell r="S1225" t="str">
            <v>Vensa Mohammadu</v>
          </cell>
          <cell r="T1225" t="str">
            <v>GEORGES NAKHOUL</v>
          </cell>
          <cell r="U1225" t="str">
            <v>I H S</v>
          </cell>
        </row>
        <row r="1226">
          <cell r="A1226" t="str">
            <v>OST_103</v>
          </cell>
          <cell r="B1226" t="str">
            <v>IHS_BFG_012</v>
          </cell>
          <cell r="C1226" t="str">
            <v>OST_103</v>
          </cell>
          <cell r="D1226" t="str">
            <v>West</v>
          </cell>
          <cell r="E1226" t="str">
            <v>West</v>
          </cell>
          <cell r="F1226" t="str">
            <v>Kekem</v>
          </cell>
          <cell r="G1226" t="str">
            <v>P5</v>
          </cell>
          <cell r="H1226" t="str">
            <v>Grid-Gen</v>
          </cell>
          <cell r="I1226" t="str">
            <v>On Air</v>
          </cell>
          <cell r="J1226" t="str">
            <v>Outdoor</v>
          </cell>
          <cell r="K1226" t="str">
            <v>AC</v>
          </cell>
          <cell r="L1226" t="str">
            <v>I-Eng</v>
          </cell>
          <cell r="M1226" t="str">
            <v>Dschang</v>
          </cell>
          <cell r="N1226" t="str">
            <v>Haut Nkam</v>
          </cell>
          <cell r="O1226" t="str">
            <v>Kekem</v>
          </cell>
          <cell r="P1226" t="str">
            <v>Prospere Fassu</v>
          </cell>
          <cell r="Q1226">
            <v>677548569</v>
          </cell>
          <cell r="R1226">
            <v>656072387</v>
          </cell>
          <cell r="S1226" t="str">
            <v>Vensa Mohammadu</v>
          </cell>
          <cell r="T1226" t="str">
            <v>GEORGES NAKHOUL</v>
          </cell>
          <cell r="U1226" t="str">
            <v>I H S</v>
          </cell>
        </row>
        <row r="1227">
          <cell r="A1227" t="str">
            <v>OST_156</v>
          </cell>
          <cell r="B1227" t="str">
            <v>IHS_BFG_016</v>
          </cell>
          <cell r="C1227" t="str">
            <v>OST_156</v>
          </cell>
          <cell r="D1227" t="str">
            <v>West</v>
          </cell>
          <cell r="E1227" t="str">
            <v>West</v>
          </cell>
          <cell r="F1227" t="str">
            <v>FOYEMTCHA</v>
          </cell>
          <cell r="G1227" t="str">
            <v>P5</v>
          </cell>
          <cell r="H1227" t="str">
            <v>Grid-Gen</v>
          </cell>
          <cell r="I1227" t="str">
            <v>On Air</v>
          </cell>
          <cell r="J1227" t="str">
            <v>Outdoor</v>
          </cell>
          <cell r="K1227" t="str">
            <v>AC</v>
          </cell>
          <cell r="L1227" t="str">
            <v>I-Eng</v>
          </cell>
          <cell r="M1227" t="str">
            <v>Dschang</v>
          </cell>
          <cell r="N1227" t="str">
            <v>Haut Nkam</v>
          </cell>
          <cell r="O1227" t="str">
            <v>Kekem</v>
          </cell>
          <cell r="P1227" t="str">
            <v>Prospere Fassu</v>
          </cell>
          <cell r="Q1227">
            <v>677548569</v>
          </cell>
          <cell r="R1227">
            <v>656072387</v>
          </cell>
          <cell r="S1227" t="str">
            <v>Vensa Mohammadu</v>
          </cell>
          <cell r="T1227" t="str">
            <v>GEORGES NAKHOUL</v>
          </cell>
          <cell r="U1227" t="str">
            <v>I H S</v>
          </cell>
        </row>
        <row r="1228">
          <cell r="A1228" t="str">
            <v>OST_182</v>
          </cell>
          <cell r="B1228" t="str">
            <v>IHS_BFG_020</v>
          </cell>
          <cell r="C1228" t="str">
            <v>OST_182</v>
          </cell>
          <cell r="D1228" t="str">
            <v>West</v>
          </cell>
          <cell r="E1228" t="str">
            <v>West</v>
          </cell>
          <cell r="F1228" t="str">
            <v>Bakou</v>
          </cell>
          <cell r="G1228" t="str">
            <v>P5</v>
          </cell>
          <cell r="H1228" t="str">
            <v>Grid-Gen</v>
          </cell>
          <cell r="I1228" t="str">
            <v>On Air</v>
          </cell>
          <cell r="J1228" t="str">
            <v>Outdoor</v>
          </cell>
          <cell r="K1228" t="str">
            <v>AC</v>
          </cell>
          <cell r="L1228" t="str">
            <v>I-Eng</v>
          </cell>
          <cell r="M1228" t="str">
            <v>Dschang</v>
          </cell>
          <cell r="N1228" t="str">
            <v>Haut Nkam</v>
          </cell>
          <cell r="O1228" t="str">
            <v>Bakou</v>
          </cell>
          <cell r="P1228" t="str">
            <v>Prospere Fassu</v>
          </cell>
          <cell r="Q1228">
            <v>677548569</v>
          </cell>
          <cell r="R1228">
            <v>656072387</v>
          </cell>
          <cell r="S1228" t="str">
            <v>Vensa Mohammadu</v>
          </cell>
          <cell r="T1228" t="str">
            <v>GEORGES NAKHOUL</v>
          </cell>
          <cell r="U1228" t="str">
            <v>I H S</v>
          </cell>
        </row>
        <row r="1229">
          <cell r="A1229" t="str">
            <v>OST_052</v>
          </cell>
          <cell r="B1229" t="str">
            <v>IHS_BAF_058</v>
          </cell>
          <cell r="C1229" t="str">
            <v>OST_052</v>
          </cell>
          <cell r="D1229" t="str">
            <v>West</v>
          </cell>
          <cell r="E1229" t="str">
            <v>West</v>
          </cell>
          <cell r="F1229" t="str">
            <v>Banekane</v>
          </cell>
          <cell r="G1229" t="str">
            <v>P5</v>
          </cell>
          <cell r="H1229" t="str">
            <v>Grid-Gen</v>
          </cell>
          <cell r="I1229" t="str">
            <v>On Air</v>
          </cell>
          <cell r="J1229" t="str">
            <v>Outdoor</v>
          </cell>
          <cell r="K1229" t="str">
            <v>AC</v>
          </cell>
          <cell r="L1229" t="str">
            <v>I-Eng</v>
          </cell>
          <cell r="M1229" t="str">
            <v>Bafia</v>
          </cell>
          <cell r="N1229" t="str">
            <v>Nde</v>
          </cell>
          <cell r="O1229" t="str">
            <v>Bangangte</v>
          </cell>
          <cell r="P1229" t="str">
            <v>Prospere Fassu</v>
          </cell>
          <cell r="Q1229">
            <v>677548569</v>
          </cell>
          <cell r="R1229">
            <v>656072387</v>
          </cell>
          <cell r="S1229" t="str">
            <v>Vensa Mohammadu</v>
          </cell>
          <cell r="T1229" t="str">
            <v>GEORGES NAKHOUL</v>
          </cell>
          <cell r="U1229" t="str">
            <v>I H S</v>
          </cell>
        </row>
        <row r="1230">
          <cell r="A1230" t="str">
            <v>OST_049</v>
          </cell>
          <cell r="B1230" t="str">
            <v>IHS_BAF_065</v>
          </cell>
          <cell r="C1230" t="str">
            <v>OST_049</v>
          </cell>
          <cell r="D1230" t="str">
            <v>West</v>
          </cell>
          <cell r="E1230" t="str">
            <v>West</v>
          </cell>
          <cell r="F1230" t="str">
            <v>Balengou</v>
          </cell>
          <cell r="G1230" t="str">
            <v>P5</v>
          </cell>
          <cell r="H1230" t="str">
            <v>Grid-Gen</v>
          </cell>
          <cell r="I1230" t="str">
            <v>On Air</v>
          </cell>
          <cell r="J1230" t="str">
            <v>Outdoor</v>
          </cell>
          <cell r="K1230" t="str">
            <v>AC</v>
          </cell>
          <cell r="L1230" t="str">
            <v>I-Eng</v>
          </cell>
          <cell r="M1230" t="str">
            <v>Bafia</v>
          </cell>
          <cell r="N1230" t="str">
            <v>NDE</v>
          </cell>
          <cell r="O1230" t="str">
            <v>Bazou</v>
          </cell>
          <cell r="P1230" t="str">
            <v>Prospere Fassu</v>
          </cell>
          <cell r="Q1230">
            <v>677548569</v>
          </cell>
          <cell r="R1230">
            <v>656072387</v>
          </cell>
          <cell r="S1230" t="str">
            <v>Vensa Mohammadu</v>
          </cell>
          <cell r="T1230" t="str">
            <v>GEORGES NAKHOUL</v>
          </cell>
          <cell r="U1230" t="str">
            <v>I H S</v>
          </cell>
        </row>
        <row r="1231">
          <cell r="A1231" t="str">
            <v>OST_036</v>
          </cell>
          <cell r="B1231" t="str">
            <v>IHS_BFG_014</v>
          </cell>
          <cell r="C1231" t="str">
            <v>OST_036</v>
          </cell>
          <cell r="D1231" t="str">
            <v>West</v>
          </cell>
          <cell r="E1231" t="str">
            <v>West</v>
          </cell>
          <cell r="F1231" t="str">
            <v>Bana-Centre</v>
          </cell>
          <cell r="G1231" t="str">
            <v>P5</v>
          </cell>
          <cell r="H1231" t="str">
            <v>Grid-Gen</v>
          </cell>
          <cell r="I1231" t="str">
            <v>On Air</v>
          </cell>
          <cell r="J1231" t="str">
            <v>Outdoor</v>
          </cell>
          <cell r="K1231" t="str">
            <v>AC</v>
          </cell>
          <cell r="L1231" t="str">
            <v>I-Eng</v>
          </cell>
          <cell r="M1231" t="str">
            <v>Bafoussam</v>
          </cell>
          <cell r="N1231" t="str">
            <v>Haut Nkam</v>
          </cell>
          <cell r="O1231" t="str">
            <v>Bana</v>
          </cell>
          <cell r="P1231" t="str">
            <v>Prospere Fassu</v>
          </cell>
          <cell r="Q1231">
            <v>677548569</v>
          </cell>
          <cell r="R1231">
            <v>656072387</v>
          </cell>
          <cell r="S1231" t="str">
            <v>Vensa Mohammadu</v>
          </cell>
          <cell r="T1231" t="str">
            <v>GEORGES NAKHOUL</v>
          </cell>
          <cell r="U1231" t="str">
            <v>I H S</v>
          </cell>
        </row>
        <row r="1232">
          <cell r="A1232" t="str">
            <v>CTR_352</v>
          </cell>
          <cell r="B1232" t="str">
            <v>IHS_YND_427</v>
          </cell>
          <cell r="C1232" t="str">
            <v>CTR_352</v>
          </cell>
          <cell r="D1232" t="str">
            <v>West</v>
          </cell>
          <cell r="E1232" t="str">
            <v>West</v>
          </cell>
          <cell r="F1232" t="str">
            <v>Baliama</v>
          </cell>
          <cell r="G1232" t="str">
            <v>P5</v>
          </cell>
          <cell r="H1232" t="str">
            <v>Grid-Gen</v>
          </cell>
          <cell r="I1232" t="str">
            <v>On Air</v>
          </cell>
          <cell r="J1232" t="str">
            <v>Outdoor</v>
          </cell>
          <cell r="K1232" t="str">
            <v>AC</v>
          </cell>
          <cell r="L1232" t="str">
            <v>I-Eng</v>
          </cell>
          <cell r="M1232" t="str">
            <v>Bafia</v>
          </cell>
          <cell r="N1232" t="str">
            <v>Mbam et inoubou</v>
          </cell>
          <cell r="O1232" t="str">
            <v>Ombessa</v>
          </cell>
          <cell r="P1232" t="str">
            <v>Prospere Fassu</v>
          </cell>
          <cell r="Q1232">
            <v>677548569</v>
          </cell>
          <cell r="R1232">
            <v>656072387</v>
          </cell>
          <cell r="S1232" t="str">
            <v>Vensa Mohammadu</v>
          </cell>
          <cell r="T1232" t="str">
            <v>GEORGES NAKHOUL</v>
          </cell>
          <cell r="U1232" t="str">
            <v>I H S</v>
          </cell>
        </row>
        <row r="1233">
          <cell r="A1233" t="str">
            <v>OST_051</v>
          </cell>
          <cell r="B1233" t="str">
            <v>IHS_BAF_046</v>
          </cell>
          <cell r="C1233" t="str">
            <v>OST_051</v>
          </cell>
          <cell r="D1233" t="str">
            <v>West</v>
          </cell>
          <cell r="E1233" t="str">
            <v>West</v>
          </cell>
          <cell r="F1233" t="str">
            <v>Bayangam</v>
          </cell>
          <cell r="G1233" t="str">
            <v>P5</v>
          </cell>
          <cell r="H1233" t="str">
            <v>Grid-Gen</v>
          </cell>
          <cell r="I1233" t="str">
            <v>On Air</v>
          </cell>
          <cell r="J1233" t="str">
            <v>Outdoor</v>
          </cell>
          <cell r="K1233" t="str">
            <v>AC</v>
          </cell>
          <cell r="L1233" t="str">
            <v>I-Eng</v>
          </cell>
          <cell r="M1233" t="str">
            <v>Bafoussam</v>
          </cell>
          <cell r="N1233" t="str">
            <v>Koung-Khi</v>
          </cell>
          <cell r="O1233" t="str">
            <v>Bayangam</v>
          </cell>
          <cell r="P1233" t="str">
            <v>Prospere Fassu</v>
          </cell>
          <cell r="Q1233">
            <v>677548569</v>
          </cell>
          <cell r="R1233">
            <v>656072387</v>
          </cell>
          <cell r="S1233" t="str">
            <v>Vensa Mohammadu</v>
          </cell>
          <cell r="T1233" t="str">
            <v>GEORGES NAKHOUL</v>
          </cell>
          <cell r="U1233" t="str">
            <v>I H S</v>
          </cell>
        </row>
        <row r="1234">
          <cell r="A1234" t="str">
            <v>OST_099</v>
          </cell>
          <cell r="B1234" t="str">
            <v>IHS_BFG_006</v>
          </cell>
          <cell r="C1234" t="str">
            <v>OST_099</v>
          </cell>
          <cell r="D1234" t="str">
            <v>West</v>
          </cell>
          <cell r="E1234" t="str">
            <v>West</v>
          </cell>
          <cell r="F1234" t="str">
            <v>Bafang-Chefferie</v>
          </cell>
          <cell r="G1234" t="str">
            <v>P5</v>
          </cell>
          <cell r="H1234" t="str">
            <v>Grid-Gen</v>
          </cell>
          <cell r="I1234" t="str">
            <v>On Air</v>
          </cell>
          <cell r="J1234" t="str">
            <v>Outdoor</v>
          </cell>
          <cell r="K1234" t="str">
            <v>AC</v>
          </cell>
          <cell r="L1234" t="str">
            <v>I-Eng</v>
          </cell>
          <cell r="M1234" t="str">
            <v>Dschang</v>
          </cell>
          <cell r="N1234" t="str">
            <v>Haut Nkam</v>
          </cell>
          <cell r="O1234" t="str">
            <v>Bafang</v>
          </cell>
          <cell r="P1234" t="str">
            <v>Prospere Fassu</v>
          </cell>
          <cell r="Q1234">
            <v>677548569</v>
          </cell>
          <cell r="R1234">
            <v>656072387</v>
          </cell>
          <cell r="S1234" t="str">
            <v>Vensa Mohammadu</v>
          </cell>
          <cell r="T1234" t="str">
            <v>GEORGES NAKHOUL</v>
          </cell>
          <cell r="U1234" t="str">
            <v>I H S</v>
          </cell>
        </row>
        <row r="1235">
          <cell r="A1235" t="str">
            <v>CTR_232</v>
          </cell>
          <cell r="B1235" t="str">
            <v>IHS_YND_423</v>
          </cell>
          <cell r="C1235" t="str">
            <v>CTR_232</v>
          </cell>
          <cell r="D1235" t="str">
            <v>West</v>
          </cell>
          <cell r="E1235" t="str">
            <v>West</v>
          </cell>
          <cell r="F1235" t="str">
            <v>Yambassa</v>
          </cell>
          <cell r="G1235" t="str">
            <v>P5</v>
          </cell>
          <cell r="H1235" t="str">
            <v>Grid-Gen</v>
          </cell>
          <cell r="I1235" t="str">
            <v>On Air</v>
          </cell>
          <cell r="J1235" t="str">
            <v>Outdoor</v>
          </cell>
          <cell r="K1235" t="str">
            <v>AC</v>
          </cell>
          <cell r="L1235" t="str">
            <v>I-Eng</v>
          </cell>
          <cell r="M1235" t="str">
            <v>Bafia</v>
          </cell>
          <cell r="N1235" t="str">
            <v>Mbam et inoubou</v>
          </cell>
          <cell r="O1235" t="str">
            <v>Bokito</v>
          </cell>
          <cell r="P1235" t="str">
            <v>Prospere Fassu</v>
          </cell>
          <cell r="Q1235">
            <v>677548569</v>
          </cell>
          <cell r="R1235">
            <v>656072387</v>
          </cell>
          <cell r="S1235" t="str">
            <v>Vensa Mohammadu</v>
          </cell>
          <cell r="T1235" t="str">
            <v>GEORGES NAKHOUL</v>
          </cell>
          <cell r="U1235" t="str">
            <v>I H S</v>
          </cell>
        </row>
        <row r="1236">
          <cell r="A1236" t="str">
            <v>OST_089</v>
          </cell>
          <cell r="B1236" t="str">
            <v>IHS_BFG_015</v>
          </cell>
          <cell r="C1236" t="str">
            <v>OST_089</v>
          </cell>
          <cell r="D1236" t="str">
            <v>West</v>
          </cell>
          <cell r="E1236" t="str">
            <v>West</v>
          </cell>
          <cell r="F1236" t="str">
            <v>Banwa</v>
          </cell>
          <cell r="G1236" t="str">
            <v>P5</v>
          </cell>
          <cell r="H1236" t="str">
            <v>Grid-Gen</v>
          </cell>
          <cell r="I1236" t="str">
            <v>On Air</v>
          </cell>
          <cell r="J1236" t="str">
            <v>Outdoor</v>
          </cell>
          <cell r="K1236" t="str">
            <v>AC</v>
          </cell>
          <cell r="L1236" t="str">
            <v>I-Eng</v>
          </cell>
          <cell r="M1236" t="str">
            <v>Dschang</v>
          </cell>
          <cell r="N1236" t="str">
            <v>Haut Nkam</v>
          </cell>
          <cell r="O1236" t="str">
            <v>Banwa</v>
          </cell>
          <cell r="P1236" t="str">
            <v>Prospere Fassu</v>
          </cell>
          <cell r="Q1236">
            <v>677548569</v>
          </cell>
          <cell r="R1236">
            <v>656072387</v>
          </cell>
          <cell r="S1236" t="str">
            <v>Vensa Mohammadu</v>
          </cell>
          <cell r="T1236" t="str">
            <v>GEORGES NAKHOUL</v>
          </cell>
          <cell r="U1236" t="str">
            <v>I H S</v>
          </cell>
        </row>
        <row r="1237">
          <cell r="A1237" t="str">
            <v>OST_180</v>
          </cell>
          <cell r="B1237" t="str">
            <v>IHS_BFG_018</v>
          </cell>
          <cell r="C1237" t="str">
            <v>OST_180</v>
          </cell>
          <cell r="D1237" t="str">
            <v>West</v>
          </cell>
          <cell r="E1237" t="str">
            <v>West</v>
          </cell>
          <cell r="F1237" t="str">
            <v>Bagangte Center</v>
          </cell>
          <cell r="G1237" t="str">
            <v>P5</v>
          </cell>
          <cell r="H1237" t="str">
            <v>Grid-Gen</v>
          </cell>
          <cell r="I1237" t="str">
            <v>On Air</v>
          </cell>
          <cell r="J1237" t="str">
            <v>Outdoor</v>
          </cell>
          <cell r="K1237" t="str">
            <v>AC</v>
          </cell>
          <cell r="L1237" t="str">
            <v>I-Eng</v>
          </cell>
          <cell r="M1237" t="str">
            <v>Bafia</v>
          </cell>
          <cell r="N1237" t="str">
            <v>NDE</v>
          </cell>
          <cell r="O1237" t="str">
            <v>Bangangte</v>
          </cell>
          <cell r="P1237" t="str">
            <v>Prospere Fassu</v>
          </cell>
          <cell r="Q1237">
            <v>677548569</v>
          </cell>
          <cell r="R1237">
            <v>656072387</v>
          </cell>
          <cell r="S1237" t="str">
            <v>Vensa Mohammadu</v>
          </cell>
          <cell r="T1237" t="str">
            <v>GEORGES NAKHOUL</v>
          </cell>
          <cell r="U1237" t="str">
            <v>I H S</v>
          </cell>
        </row>
        <row r="1238">
          <cell r="A1238" t="str">
            <v>OST_212</v>
          </cell>
          <cell r="B1238" t="str">
            <v>IHS_FBN_027</v>
          </cell>
          <cell r="C1238" t="str">
            <v>OST_212</v>
          </cell>
          <cell r="D1238" t="str">
            <v>West</v>
          </cell>
          <cell r="E1238" t="str">
            <v>West</v>
          </cell>
          <cell r="F1238" t="str">
            <v>Bangam Fokam</v>
          </cell>
          <cell r="G1238" t="str">
            <v>P5</v>
          </cell>
          <cell r="H1238" t="str">
            <v>Grid-Gen</v>
          </cell>
          <cell r="I1238" t="str">
            <v>On Air</v>
          </cell>
          <cell r="J1238" t="str">
            <v>Outdoor</v>
          </cell>
          <cell r="K1238" t="str">
            <v>AC</v>
          </cell>
          <cell r="L1238" t="str">
            <v>I-Eng</v>
          </cell>
          <cell r="M1238" t="str">
            <v>Bafoussam</v>
          </cell>
          <cell r="N1238" t="str">
            <v>Nde</v>
          </cell>
          <cell r="O1238" t="str">
            <v>Bangangte</v>
          </cell>
          <cell r="P1238" t="str">
            <v>Prospere Fassu</v>
          </cell>
          <cell r="Q1238">
            <v>677548569</v>
          </cell>
          <cell r="R1238">
            <v>656072387</v>
          </cell>
          <cell r="S1238" t="str">
            <v>Vensa Mohammadu</v>
          </cell>
          <cell r="T1238" t="str">
            <v>GEORGES NAKHOUL</v>
          </cell>
          <cell r="U1238" t="str">
            <v>I H S</v>
          </cell>
        </row>
        <row r="1239">
          <cell r="A1239" t="str">
            <v>CTR_177</v>
          </cell>
          <cell r="B1239" t="str">
            <v>IHS_YND_472</v>
          </cell>
          <cell r="C1239" t="str">
            <v>CTR_177</v>
          </cell>
          <cell r="D1239" t="str">
            <v>West</v>
          </cell>
          <cell r="E1239" t="str">
            <v>West</v>
          </cell>
          <cell r="F1239" t="str">
            <v>Nitoukou-IHS</v>
          </cell>
          <cell r="G1239" t="str">
            <v>P5</v>
          </cell>
          <cell r="H1239" t="str">
            <v>Grid-Gen</v>
          </cell>
          <cell r="I1239" t="str">
            <v>On Air</v>
          </cell>
          <cell r="J1239" t="str">
            <v>Outdoor</v>
          </cell>
          <cell r="K1239" t="str">
            <v>AC</v>
          </cell>
          <cell r="L1239" t="str">
            <v>I-Eng</v>
          </cell>
          <cell r="M1239" t="str">
            <v>Bafia</v>
          </cell>
          <cell r="N1239" t="str">
            <v>Mbam et inoubou</v>
          </cell>
          <cell r="O1239" t="str">
            <v>Nitoukou</v>
          </cell>
          <cell r="P1239" t="str">
            <v>Prospere Fassu</v>
          </cell>
          <cell r="Q1239">
            <v>677548569</v>
          </cell>
          <cell r="R1239">
            <v>656072387</v>
          </cell>
          <cell r="S1239" t="str">
            <v>Vensa Mohammadu</v>
          </cell>
          <cell r="T1239" t="str">
            <v>GEORGES NAKHOUL</v>
          </cell>
          <cell r="U1239" t="str">
            <v>I H S</v>
          </cell>
        </row>
        <row r="1240">
          <cell r="A1240" t="str">
            <v>OST_152</v>
          </cell>
          <cell r="B1240" t="str">
            <v>IHS_BAF_064</v>
          </cell>
          <cell r="C1240" t="str">
            <v>OST_152</v>
          </cell>
          <cell r="D1240" t="str">
            <v>West</v>
          </cell>
          <cell r="E1240" t="str">
            <v>West</v>
          </cell>
          <cell r="F1240" t="str">
            <v>Bazou-IHS</v>
          </cell>
          <cell r="G1240" t="str">
            <v>P5</v>
          </cell>
          <cell r="H1240" t="str">
            <v>Grid-Gen</v>
          </cell>
          <cell r="I1240" t="str">
            <v>On Air</v>
          </cell>
          <cell r="J1240" t="str">
            <v>Outdoor</v>
          </cell>
          <cell r="K1240" t="str">
            <v>AC</v>
          </cell>
          <cell r="L1240" t="str">
            <v>I-Eng</v>
          </cell>
          <cell r="M1240" t="str">
            <v>Bafia</v>
          </cell>
          <cell r="N1240" t="str">
            <v>Nde</v>
          </cell>
          <cell r="O1240" t="str">
            <v>Bazou</v>
          </cell>
          <cell r="P1240" t="str">
            <v>Prospere Fassu</v>
          </cell>
          <cell r="Q1240">
            <v>677548569</v>
          </cell>
          <cell r="R1240">
            <v>656072387</v>
          </cell>
          <cell r="S1240" t="str">
            <v>Vensa Mohammadu</v>
          </cell>
          <cell r="T1240" t="str">
            <v>GEORGES NAKHOUL</v>
          </cell>
          <cell r="U1240" t="str">
            <v>I H S</v>
          </cell>
        </row>
        <row r="1241">
          <cell r="A1241" t="str">
            <v>OST_161</v>
          </cell>
          <cell r="B1241" t="str">
            <v>IHS_BFG_009</v>
          </cell>
          <cell r="C1241" t="str">
            <v>OST_161</v>
          </cell>
          <cell r="D1241" t="str">
            <v>West</v>
          </cell>
          <cell r="E1241" t="str">
            <v>West</v>
          </cell>
          <cell r="F1241" t="str">
            <v>Bafang II</v>
          </cell>
          <cell r="G1241" t="str">
            <v>P5</v>
          </cell>
          <cell r="H1241" t="str">
            <v>Grid-Gen</v>
          </cell>
          <cell r="I1241" t="str">
            <v>On Air</v>
          </cell>
          <cell r="J1241" t="str">
            <v>Outdoor</v>
          </cell>
          <cell r="K1241" t="str">
            <v>AC</v>
          </cell>
          <cell r="L1241" t="str">
            <v>I-Eng</v>
          </cell>
          <cell r="M1241" t="str">
            <v>Dschang</v>
          </cell>
          <cell r="N1241" t="str">
            <v>Haut Nkam</v>
          </cell>
          <cell r="O1241" t="str">
            <v>Bafang</v>
          </cell>
          <cell r="P1241" t="str">
            <v>Prospere Fassu</v>
          </cell>
          <cell r="Q1241">
            <v>677548569</v>
          </cell>
          <cell r="R1241">
            <v>656072387</v>
          </cell>
          <cell r="S1241" t="str">
            <v>Vensa Mohammadu</v>
          </cell>
          <cell r="T1241" t="str">
            <v>GEORGES NAKHOUL</v>
          </cell>
          <cell r="U1241" t="str">
            <v>I H S</v>
          </cell>
        </row>
        <row r="1242">
          <cell r="A1242" t="str">
            <v>OST_222</v>
          </cell>
          <cell r="B1242" t="str">
            <v>IHS_BFG_003</v>
          </cell>
          <cell r="C1242" t="str">
            <v>OST_222</v>
          </cell>
          <cell r="D1242" t="str">
            <v>West</v>
          </cell>
          <cell r="E1242" t="str">
            <v>West</v>
          </cell>
          <cell r="F1242" t="str">
            <v>Mantoum Village</v>
          </cell>
          <cell r="G1242" t="str">
            <v>P5</v>
          </cell>
          <cell r="H1242" t="str">
            <v>Grid-Gen</v>
          </cell>
          <cell r="I1242" t="str">
            <v>On Air</v>
          </cell>
          <cell r="J1242" t="str">
            <v>Outdoor</v>
          </cell>
          <cell r="K1242" t="str">
            <v>AC</v>
          </cell>
          <cell r="L1242" t="str">
            <v>I-Eng</v>
          </cell>
          <cell r="M1242" t="str">
            <v>Dschang</v>
          </cell>
          <cell r="N1242" t="str">
            <v>Haut Nkam</v>
          </cell>
          <cell r="O1242" t="str">
            <v>Bafang</v>
          </cell>
          <cell r="P1242" t="str">
            <v>Prospere Fassu</v>
          </cell>
          <cell r="Q1242">
            <v>677548569</v>
          </cell>
          <cell r="R1242">
            <v>656072387</v>
          </cell>
          <cell r="S1242" t="str">
            <v>Vensa Mohammadu</v>
          </cell>
          <cell r="T1242" t="str">
            <v>GEORGES NAKHOUL</v>
          </cell>
          <cell r="U1242" t="str">
            <v>I H S</v>
          </cell>
        </row>
        <row r="1243">
          <cell r="A1243" t="str">
            <v>OST_208</v>
          </cell>
          <cell r="B1243" t="str">
            <v>IHS_BAF_312</v>
          </cell>
          <cell r="C1243" t="str">
            <v>OST_208</v>
          </cell>
          <cell r="D1243" t="str">
            <v>West</v>
          </cell>
          <cell r="E1243" t="str">
            <v>West</v>
          </cell>
          <cell r="F1243" t="str">
            <v>Fondjomekwet</v>
          </cell>
          <cell r="G1243" t="str">
            <v>P5</v>
          </cell>
          <cell r="H1243" t="str">
            <v>Grid-Gen</v>
          </cell>
          <cell r="I1243" t="str">
            <v>On Air</v>
          </cell>
          <cell r="J1243" t="str">
            <v>Outdoor</v>
          </cell>
          <cell r="K1243" t="str">
            <v>AC</v>
          </cell>
          <cell r="L1243" t="str">
            <v>I-Eng</v>
          </cell>
          <cell r="M1243" t="str">
            <v>Dschang</v>
          </cell>
          <cell r="N1243" t="str">
            <v>Haut Nkam</v>
          </cell>
          <cell r="O1243" t="str">
            <v>Bandja</v>
          </cell>
          <cell r="P1243" t="str">
            <v>Prospere Fassu</v>
          </cell>
          <cell r="Q1243">
            <v>677548569</v>
          </cell>
          <cell r="R1243">
            <v>656072387</v>
          </cell>
          <cell r="S1243" t="str">
            <v>Vensa Mohammadu</v>
          </cell>
          <cell r="T1243" t="str">
            <v>GEORGES NAKHOUL</v>
          </cell>
          <cell r="U1243" t="str">
            <v>I H S</v>
          </cell>
        </row>
        <row r="1244">
          <cell r="A1244" t="str">
            <v>OST_266</v>
          </cell>
          <cell r="B1244" t="str">
            <v>IHS_BAF_057</v>
          </cell>
          <cell r="C1244" t="str">
            <v>OST_266</v>
          </cell>
          <cell r="D1244" t="str">
            <v>West</v>
          </cell>
          <cell r="E1244" t="str">
            <v>West</v>
          </cell>
          <cell r="F1244" t="str">
            <v>Bangangte-Lycee-Classique-IHS</v>
          </cell>
          <cell r="G1244" t="str">
            <v>P5</v>
          </cell>
          <cell r="H1244" t="str">
            <v>Grid-Gen</v>
          </cell>
          <cell r="I1244" t="str">
            <v>On Air</v>
          </cell>
          <cell r="J1244" t="str">
            <v>Outdoor</v>
          </cell>
          <cell r="K1244" t="str">
            <v>AC</v>
          </cell>
          <cell r="L1244" t="str">
            <v>I-Eng</v>
          </cell>
          <cell r="M1244" t="str">
            <v>Bafia</v>
          </cell>
          <cell r="N1244" t="str">
            <v>NDE</v>
          </cell>
          <cell r="O1244" t="str">
            <v>Bangangte</v>
          </cell>
          <cell r="P1244" t="str">
            <v>Prospere Fassu</v>
          </cell>
          <cell r="Q1244">
            <v>677548569</v>
          </cell>
          <cell r="R1244">
            <v>656072387</v>
          </cell>
          <cell r="S1244" t="str">
            <v>Vensa Mohammadu</v>
          </cell>
          <cell r="T1244" t="str">
            <v>GEORGES NAKHOUL</v>
          </cell>
          <cell r="U1244" t="str">
            <v>I H S</v>
          </cell>
        </row>
        <row r="1245">
          <cell r="A1245" t="str">
            <v>OST_183</v>
          </cell>
          <cell r="B1245" t="str">
            <v>IHS_BAF_052</v>
          </cell>
          <cell r="C1245" t="str">
            <v>OST_183</v>
          </cell>
          <cell r="D1245" t="str">
            <v>West</v>
          </cell>
          <cell r="E1245" t="str">
            <v>West</v>
          </cell>
          <cell r="F1245" t="str">
            <v>Bangoua</v>
          </cell>
          <cell r="G1245" t="str">
            <v>P5</v>
          </cell>
          <cell r="H1245" t="str">
            <v>Grid-Gen</v>
          </cell>
          <cell r="I1245" t="str">
            <v>On Air</v>
          </cell>
          <cell r="J1245" t="str">
            <v>Outdoor</v>
          </cell>
          <cell r="K1245" t="str">
            <v>AC</v>
          </cell>
          <cell r="L1245" t="str">
            <v>I-Eng</v>
          </cell>
          <cell r="M1245" t="str">
            <v>Bafia</v>
          </cell>
          <cell r="N1245" t="str">
            <v>NDE</v>
          </cell>
          <cell r="O1245" t="str">
            <v>Bangangte</v>
          </cell>
          <cell r="P1245" t="str">
            <v>Prospere Fassu</v>
          </cell>
          <cell r="Q1245">
            <v>677548569</v>
          </cell>
          <cell r="R1245">
            <v>656072387</v>
          </cell>
          <cell r="S1245" t="str">
            <v>Vensa Mohammadu</v>
          </cell>
          <cell r="T1245" t="str">
            <v>GEORGES NAKHOUL</v>
          </cell>
          <cell r="U1245" t="str">
            <v>I H S</v>
          </cell>
        </row>
        <row r="1246">
          <cell r="A1246" t="str">
            <v>OST_224</v>
          </cell>
          <cell r="B1246" t="str">
            <v>IHS_BFG_010</v>
          </cell>
          <cell r="C1246" t="str">
            <v>OST_224</v>
          </cell>
          <cell r="D1246" t="str">
            <v>West</v>
          </cell>
          <cell r="E1246" t="str">
            <v>West</v>
          </cell>
          <cell r="F1246" t="str">
            <v>Moumee-new</v>
          </cell>
          <cell r="G1246" t="str">
            <v>P5</v>
          </cell>
          <cell r="H1246" t="str">
            <v>Grid-Gen</v>
          </cell>
          <cell r="I1246" t="str">
            <v>On Air</v>
          </cell>
          <cell r="J1246" t="str">
            <v>Indoor</v>
          </cell>
          <cell r="K1246" t="str">
            <v>AC</v>
          </cell>
          <cell r="L1246" t="str">
            <v>I-Eng</v>
          </cell>
          <cell r="M1246" t="str">
            <v>Dschang</v>
          </cell>
          <cell r="N1246" t="str">
            <v>Haut Nkam</v>
          </cell>
          <cell r="O1246" t="str">
            <v>Kekem</v>
          </cell>
          <cell r="P1246" t="str">
            <v>Prospere Fassu</v>
          </cell>
          <cell r="Q1246">
            <v>677548569</v>
          </cell>
          <cell r="R1246">
            <v>656072387</v>
          </cell>
          <cell r="S1246" t="str">
            <v>Vensa Mohammadu</v>
          </cell>
          <cell r="T1246" t="str">
            <v>GEORGES NAKHOUL</v>
          </cell>
          <cell r="U1246" t="str">
            <v>I H S</v>
          </cell>
        </row>
        <row r="1247">
          <cell r="A1247" t="str">
            <v>OST_301</v>
          </cell>
          <cell r="B1247" t="str">
            <v>IHS_BAF_062</v>
          </cell>
          <cell r="C1247" t="str">
            <v>OST_301</v>
          </cell>
          <cell r="D1247" t="str">
            <v>West</v>
          </cell>
          <cell r="E1247" t="str">
            <v>West</v>
          </cell>
          <cell r="F1247" t="str">
            <v>Bantoum</v>
          </cell>
          <cell r="G1247" t="str">
            <v>P5</v>
          </cell>
          <cell r="H1247" t="str">
            <v>Grid-Gen</v>
          </cell>
          <cell r="I1247">
            <v>0</v>
          </cell>
          <cell r="J1247" t="str">
            <v>Indoor</v>
          </cell>
          <cell r="K1247" t="str">
            <v>AC</v>
          </cell>
          <cell r="L1247" t="str">
            <v>I-Eng</v>
          </cell>
          <cell r="M1247" t="str">
            <v>Bafia</v>
          </cell>
          <cell r="N1247" t="str">
            <v>NDE</v>
          </cell>
          <cell r="O1247" t="str">
            <v>Bangangte</v>
          </cell>
          <cell r="P1247" t="str">
            <v>Prospere Fassu</v>
          </cell>
          <cell r="Q1247">
            <v>677548569</v>
          </cell>
          <cell r="R1247">
            <v>656072387</v>
          </cell>
          <cell r="S1247" t="str">
            <v>Vensa Mohammadu</v>
          </cell>
          <cell r="T1247" t="str">
            <v>GEORGES NAKHOUL</v>
          </cell>
          <cell r="U1247" t="str">
            <v>I H S</v>
          </cell>
        </row>
        <row r="1248">
          <cell r="A1248" t="str">
            <v>OST_048</v>
          </cell>
          <cell r="B1248" t="str">
            <v>IHS_BAF_059</v>
          </cell>
          <cell r="C1248" t="str">
            <v>OST_048</v>
          </cell>
          <cell r="D1248" t="str">
            <v>West</v>
          </cell>
          <cell r="E1248" t="str">
            <v>West</v>
          </cell>
          <cell r="F1248" t="str">
            <v>Bambit-MTN</v>
          </cell>
          <cell r="G1248" t="str">
            <v>P5</v>
          </cell>
          <cell r="H1248" t="str">
            <v>Grid-Gen</v>
          </cell>
          <cell r="I1248" t="str">
            <v>On Air</v>
          </cell>
          <cell r="J1248" t="str">
            <v>Indoor</v>
          </cell>
          <cell r="K1248" t="str">
            <v>AC</v>
          </cell>
          <cell r="L1248" t="str">
            <v>I-Eng</v>
          </cell>
          <cell r="M1248" t="str">
            <v>Bafia</v>
          </cell>
          <cell r="N1248" t="str">
            <v>NDE</v>
          </cell>
          <cell r="O1248" t="str">
            <v>Bangangte</v>
          </cell>
          <cell r="P1248" t="str">
            <v>Prospere Fassu</v>
          </cell>
          <cell r="Q1248">
            <v>677548569</v>
          </cell>
          <cell r="R1248">
            <v>656072387</v>
          </cell>
          <cell r="S1248" t="str">
            <v>Vensa Mohammadu</v>
          </cell>
          <cell r="T1248" t="str">
            <v>GEORGES NAKHOUL</v>
          </cell>
          <cell r="U1248" t="str">
            <v>I H S</v>
          </cell>
        </row>
        <row r="1249">
          <cell r="A1249" t="str">
            <v>CTR_223</v>
          </cell>
          <cell r="B1249" t="str">
            <v>IHS_YND_400</v>
          </cell>
          <cell r="C1249" t="str">
            <v>CTR_223</v>
          </cell>
          <cell r="D1249" t="str">
            <v>West</v>
          </cell>
          <cell r="E1249" t="str">
            <v>West</v>
          </cell>
          <cell r="F1249" t="str">
            <v>Botatango-MTN</v>
          </cell>
          <cell r="G1249" t="str">
            <v>P5</v>
          </cell>
          <cell r="H1249" t="str">
            <v>Solar-Gen</v>
          </cell>
          <cell r="I1249" t="str">
            <v>On Air</v>
          </cell>
          <cell r="J1249" t="str">
            <v>Indoor</v>
          </cell>
          <cell r="K1249" t="str">
            <v>AC</v>
          </cell>
          <cell r="L1249" t="str">
            <v>I-Eng</v>
          </cell>
          <cell r="M1249" t="str">
            <v>Bafia</v>
          </cell>
          <cell r="N1249" t="str">
            <v>Mbam et inoubou</v>
          </cell>
          <cell r="O1249" t="str">
            <v>Balamba</v>
          </cell>
          <cell r="P1249" t="str">
            <v>Prospere Fassu</v>
          </cell>
          <cell r="Q1249">
            <v>677548569</v>
          </cell>
          <cell r="R1249">
            <v>656072387</v>
          </cell>
          <cell r="S1249" t="str">
            <v>Vensa Mohammadu</v>
          </cell>
          <cell r="T1249" t="str">
            <v>GEORGES NAKHOUL</v>
          </cell>
          <cell r="U1249" t="str">
            <v>I H S</v>
          </cell>
        </row>
        <row r="1250">
          <cell r="B1250" t="str">
            <v>IHS_MBG_031</v>
          </cell>
          <cell r="D1250" t="str">
            <v>West</v>
          </cell>
          <cell r="E1250" t="str">
            <v>West</v>
          </cell>
          <cell r="F1250" t="str">
            <v>Lelem</v>
          </cell>
          <cell r="G1250" t="str">
            <v>P4</v>
          </cell>
          <cell r="H1250" t="str">
            <v>Solar Only</v>
          </cell>
          <cell r="I1250" t="str">
            <v>On Air</v>
          </cell>
          <cell r="J1250" t="str">
            <v>Outdoor</v>
          </cell>
          <cell r="K1250" t="str">
            <v>AC</v>
          </cell>
          <cell r="L1250" t="str">
            <v>I-Eng</v>
          </cell>
          <cell r="M1250" t="str">
            <v>Bafia</v>
          </cell>
          <cell r="N1250" t="str">
            <v>Mbam et inoubou</v>
          </cell>
          <cell r="O1250" t="str">
            <v>N/A</v>
          </cell>
          <cell r="P1250" t="str">
            <v>Prospere Fassu</v>
          </cell>
          <cell r="Q1250">
            <v>677548569</v>
          </cell>
          <cell r="R1250">
            <v>656072387</v>
          </cell>
          <cell r="S1250" t="str">
            <v>Vensa Mohammadu</v>
          </cell>
          <cell r="T1250" t="str">
            <v>GEORGES NAKHOUL</v>
          </cell>
          <cell r="U1250" t="str">
            <v>I H S</v>
          </cell>
        </row>
        <row r="1251">
          <cell r="A1251" t="str">
            <v>EXN_020</v>
          </cell>
          <cell r="B1251" t="str">
            <v>IHS_KSR_018</v>
          </cell>
          <cell r="C1251" t="str">
            <v>EXN_020</v>
          </cell>
          <cell r="D1251" t="str">
            <v>North</v>
          </cell>
          <cell r="E1251" t="str">
            <v>Far North</v>
          </cell>
          <cell r="F1251" t="str">
            <v>Makary</v>
          </cell>
          <cell r="G1251" t="str">
            <v>P2</v>
          </cell>
          <cell r="H1251" t="str">
            <v>Solar-Gen</v>
          </cell>
          <cell r="I1251" t="str">
            <v>On Air</v>
          </cell>
          <cell r="J1251" t="str">
            <v>Indoor</v>
          </cell>
          <cell r="K1251" t="str">
            <v>AC</v>
          </cell>
          <cell r="L1251" t="str">
            <v>I-Eng</v>
          </cell>
          <cell r="M1251" t="str">
            <v>Kousseri</v>
          </cell>
          <cell r="N1251" t="str">
            <v>LOGONE ET CHARI</v>
          </cell>
          <cell r="O1251" t="str">
            <v>MAKARY</v>
          </cell>
          <cell r="P1251" t="str">
            <v>Renaud Omog</v>
          </cell>
          <cell r="Q1251">
            <v>672544188</v>
          </cell>
          <cell r="R1251">
            <v>657105012</v>
          </cell>
          <cell r="S1251" t="str">
            <v>Alain Etoundi</v>
          </cell>
          <cell r="T1251" t="str">
            <v>Valeur HOUELL</v>
          </cell>
          <cell r="U1251" t="str">
            <v>I H S</v>
          </cell>
        </row>
        <row r="1252">
          <cell r="A1252" t="str">
            <v>EXN_021</v>
          </cell>
          <cell r="B1252" t="str">
            <v>IHS_KSR_009</v>
          </cell>
          <cell r="C1252" t="str">
            <v>EXN_021</v>
          </cell>
          <cell r="D1252" t="str">
            <v>North</v>
          </cell>
          <cell r="E1252" t="str">
            <v>Far North</v>
          </cell>
          <cell r="F1252" t="str">
            <v>Goulfey</v>
          </cell>
          <cell r="G1252" t="str">
            <v>P2</v>
          </cell>
          <cell r="H1252" t="str">
            <v>Solar-Gen</v>
          </cell>
          <cell r="I1252" t="str">
            <v>On Air</v>
          </cell>
          <cell r="J1252" t="str">
            <v>Indoor</v>
          </cell>
          <cell r="K1252" t="str">
            <v>AC</v>
          </cell>
          <cell r="L1252" t="str">
            <v>I-Eng</v>
          </cell>
          <cell r="M1252" t="str">
            <v>Kousseri</v>
          </cell>
          <cell r="N1252" t="str">
            <v>LOGONE ET CHARI</v>
          </cell>
          <cell r="O1252" t="str">
            <v>COMMUNE GOULFEY</v>
          </cell>
          <cell r="P1252" t="str">
            <v>Renaud Omog</v>
          </cell>
          <cell r="Q1252">
            <v>672544188</v>
          </cell>
          <cell r="R1252">
            <v>657105012</v>
          </cell>
          <cell r="S1252" t="str">
            <v>Alain Etoundi</v>
          </cell>
          <cell r="T1252" t="str">
            <v>Valeur HOUELL</v>
          </cell>
          <cell r="U1252" t="str">
            <v>I H S</v>
          </cell>
        </row>
        <row r="1253">
          <cell r="A1253" t="str">
            <v>EXN_223</v>
          </cell>
          <cell r="B1253" t="str">
            <v>IHS_KSR_102</v>
          </cell>
          <cell r="C1253" t="str">
            <v>EXN_223</v>
          </cell>
          <cell r="D1253" t="str">
            <v>North</v>
          </cell>
          <cell r="E1253" t="str">
            <v>Far North</v>
          </cell>
          <cell r="F1253" t="str">
            <v>Mada-IHS</v>
          </cell>
          <cell r="G1253" t="str">
            <v>P4</v>
          </cell>
          <cell r="H1253" t="str">
            <v>Gen Only</v>
          </cell>
          <cell r="I1253" t="str">
            <v>On Air</v>
          </cell>
          <cell r="J1253" t="str">
            <v>Outdoor</v>
          </cell>
          <cell r="K1253" t="str">
            <v>AC</v>
          </cell>
          <cell r="L1253" t="str">
            <v>I-Eng</v>
          </cell>
          <cell r="M1253" t="str">
            <v>Kousseri</v>
          </cell>
          <cell r="N1253" t="str">
            <v>LOGONE ET CHARI</v>
          </cell>
          <cell r="O1253" t="str">
            <v>MAKARY</v>
          </cell>
          <cell r="P1253" t="str">
            <v>Renaud Omog</v>
          </cell>
          <cell r="Q1253">
            <v>672544188</v>
          </cell>
          <cell r="R1253">
            <v>657105012</v>
          </cell>
          <cell r="S1253" t="str">
            <v>Alain Etoundi</v>
          </cell>
          <cell r="T1253" t="str">
            <v>Valeur HOUELL</v>
          </cell>
          <cell r="U1253" t="str">
            <v>I H S</v>
          </cell>
        </row>
        <row r="1254">
          <cell r="A1254" t="str">
            <v>EXN_224</v>
          </cell>
          <cell r="B1254" t="str">
            <v>IHS_KSR_104</v>
          </cell>
          <cell r="C1254" t="str">
            <v>EXN_224</v>
          </cell>
          <cell r="D1254" t="str">
            <v>North</v>
          </cell>
          <cell r="E1254" t="str">
            <v>Far North</v>
          </cell>
          <cell r="F1254" t="str">
            <v>Hile-Alifa-IHS</v>
          </cell>
          <cell r="G1254" t="str">
            <v>P4</v>
          </cell>
          <cell r="H1254" t="str">
            <v>Hybrid-Gen</v>
          </cell>
          <cell r="I1254" t="str">
            <v>On Air</v>
          </cell>
          <cell r="J1254" t="str">
            <v>Outdoor</v>
          </cell>
          <cell r="K1254" t="str">
            <v>AC</v>
          </cell>
          <cell r="L1254" t="str">
            <v>I-Eng</v>
          </cell>
          <cell r="M1254" t="str">
            <v>Kousseri</v>
          </cell>
          <cell r="N1254" t="str">
            <v>LOGONE ET CHARI</v>
          </cell>
          <cell r="O1254" t="str">
            <v>HILE ALIFA</v>
          </cell>
          <cell r="P1254" t="str">
            <v>Renaud Omog</v>
          </cell>
          <cell r="Q1254">
            <v>672544188</v>
          </cell>
          <cell r="R1254">
            <v>657105012</v>
          </cell>
          <cell r="S1254" t="str">
            <v>Alain Etoundi</v>
          </cell>
          <cell r="T1254" t="str">
            <v>Valeur HOUELL</v>
          </cell>
          <cell r="U1254" t="str">
            <v>I H S</v>
          </cell>
        </row>
        <row r="1255">
          <cell r="A1255" t="str">
            <v>EXN_133</v>
          </cell>
          <cell r="B1255" t="str">
            <v>IHS_KSR_020</v>
          </cell>
          <cell r="C1255" t="str">
            <v>EXN_133</v>
          </cell>
          <cell r="D1255" t="str">
            <v>North</v>
          </cell>
          <cell r="E1255" t="str">
            <v>Far North</v>
          </cell>
          <cell r="F1255" t="str">
            <v>Darrack</v>
          </cell>
          <cell r="G1255" t="str">
            <v>P4</v>
          </cell>
          <cell r="H1255" t="str">
            <v>Solar-Gen</v>
          </cell>
          <cell r="I1255" t="str">
            <v>On Air</v>
          </cell>
          <cell r="J1255" t="str">
            <v>Outdoor</v>
          </cell>
          <cell r="K1255" t="str">
            <v>AC</v>
          </cell>
          <cell r="L1255" t="str">
            <v>I-Eng</v>
          </cell>
          <cell r="M1255" t="str">
            <v>Kousseri</v>
          </cell>
          <cell r="N1255" t="str">
            <v>LOGONE ET CHARI</v>
          </cell>
          <cell r="O1255" t="str">
            <v>DARRACK</v>
          </cell>
          <cell r="P1255" t="str">
            <v>Renaud Omog</v>
          </cell>
          <cell r="Q1255">
            <v>672544188</v>
          </cell>
          <cell r="R1255">
            <v>657105012</v>
          </cell>
          <cell r="S1255" t="str">
            <v>Alain Etoundi</v>
          </cell>
          <cell r="T1255" t="str">
            <v>Valeur HOUELL</v>
          </cell>
          <cell r="U1255" t="str">
            <v>I H S</v>
          </cell>
        </row>
        <row r="1256">
          <cell r="A1256" t="str">
            <v>EXN_013</v>
          </cell>
          <cell r="B1256" t="str">
            <v>IHS_KSR_016</v>
          </cell>
          <cell r="C1256" t="str">
            <v>EXN_013</v>
          </cell>
          <cell r="D1256" t="str">
            <v>North</v>
          </cell>
          <cell r="E1256" t="str">
            <v>Far North</v>
          </cell>
          <cell r="F1256" t="str">
            <v>Fotokol</v>
          </cell>
          <cell r="G1256" t="str">
            <v>P5</v>
          </cell>
          <cell r="H1256" t="str">
            <v>Solar-Gen</v>
          </cell>
          <cell r="I1256" t="str">
            <v>On Air</v>
          </cell>
          <cell r="J1256" t="str">
            <v>Outdoor</v>
          </cell>
          <cell r="K1256" t="str">
            <v>AC</v>
          </cell>
          <cell r="L1256" t="str">
            <v>I-Eng</v>
          </cell>
          <cell r="M1256" t="str">
            <v>Kousseri</v>
          </cell>
          <cell r="N1256" t="str">
            <v>LOGONE ET CHARI</v>
          </cell>
          <cell r="O1256" t="str">
            <v>FOTOKOL</v>
          </cell>
          <cell r="P1256" t="str">
            <v>Renaud Omog</v>
          </cell>
          <cell r="Q1256">
            <v>672544188</v>
          </cell>
          <cell r="R1256">
            <v>657105012</v>
          </cell>
          <cell r="S1256" t="str">
            <v>Alain Etoundi</v>
          </cell>
          <cell r="T1256" t="str">
            <v>Valeur HOUELL</v>
          </cell>
          <cell r="U1256" t="str">
            <v>I H S</v>
          </cell>
        </row>
        <row r="1257">
          <cell r="A1257" t="str">
            <v>EXN_041</v>
          </cell>
          <cell r="B1257" t="str">
            <v>IHS_KSR_019</v>
          </cell>
          <cell r="C1257" t="str">
            <v>EXN_041</v>
          </cell>
          <cell r="D1257" t="str">
            <v>North</v>
          </cell>
          <cell r="E1257" t="str">
            <v>Far North</v>
          </cell>
          <cell r="F1257" t="str">
            <v>Blangoua</v>
          </cell>
          <cell r="G1257" t="str">
            <v>P5</v>
          </cell>
          <cell r="H1257" t="str">
            <v>Solar-Gen</v>
          </cell>
          <cell r="I1257" t="str">
            <v>On Air</v>
          </cell>
          <cell r="J1257" t="str">
            <v>Outdoor</v>
          </cell>
          <cell r="K1257" t="str">
            <v>AC</v>
          </cell>
          <cell r="L1257" t="str">
            <v>I-Eng</v>
          </cell>
          <cell r="M1257" t="str">
            <v>Kousseri</v>
          </cell>
          <cell r="N1257" t="str">
            <v>LOGONE ET CHARI</v>
          </cell>
          <cell r="O1257" t="str">
            <v>COMMUNE BLANGOUA</v>
          </cell>
          <cell r="P1257" t="str">
            <v>Renaud Omog</v>
          </cell>
          <cell r="Q1257">
            <v>672544188</v>
          </cell>
          <cell r="R1257">
            <v>657105012</v>
          </cell>
          <cell r="S1257" t="str">
            <v>Alain Etoundi</v>
          </cell>
          <cell r="T1257" t="str">
            <v>Valeur HOUELL</v>
          </cell>
          <cell r="U1257" t="str">
            <v>I H S</v>
          </cell>
        </row>
        <row r="1258">
          <cell r="A1258" t="str">
            <v>EXN_225</v>
          </cell>
          <cell r="B1258" t="str">
            <v>IHS_KSR_107</v>
          </cell>
          <cell r="C1258" t="str">
            <v>EXN_225</v>
          </cell>
          <cell r="D1258" t="str">
            <v>North</v>
          </cell>
          <cell r="E1258" t="str">
            <v>Far North</v>
          </cell>
          <cell r="F1258" t="str">
            <v>Tchika</v>
          </cell>
          <cell r="G1258" t="str">
            <v>P5</v>
          </cell>
          <cell r="H1258" t="str">
            <v>Hybrid-Gen</v>
          </cell>
          <cell r="I1258" t="str">
            <v>On Air</v>
          </cell>
          <cell r="J1258" t="str">
            <v>Outdoor</v>
          </cell>
          <cell r="K1258" t="str">
            <v>AC</v>
          </cell>
          <cell r="L1258" t="str">
            <v>I-Eng</v>
          </cell>
          <cell r="M1258" t="str">
            <v>Kousseri</v>
          </cell>
          <cell r="N1258" t="str">
            <v>LOGONE ET CHARI</v>
          </cell>
          <cell r="O1258" t="str">
            <v>HILE ALIFA</v>
          </cell>
          <cell r="P1258" t="str">
            <v>Renaud Omog</v>
          </cell>
          <cell r="Q1258">
            <v>672544188</v>
          </cell>
          <cell r="R1258">
            <v>657105012</v>
          </cell>
          <cell r="S1258" t="str">
            <v>Alain Etoundi</v>
          </cell>
          <cell r="T1258" t="str">
            <v>Valeur HOUELL</v>
          </cell>
          <cell r="U1258" t="str">
            <v>I H S</v>
          </cell>
        </row>
        <row r="1259">
          <cell r="A1259" t="str">
            <v>EXN_259</v>
          </cell>
          <cell r="B1259" t="str">
            <v>IHS_KSR_103</v>
          </cell>
          <cell r="C1259" t="str">
            <v>EXN_259</v>
          </cell>
          <cell r="D1259" t="str">
            <v>North</v>
          </cell>
          <cell r="E1259" t="str">
            <v>Far North</v>
          </cell>
          <cell r="F1259" t="str">
            <v>FOTOKOL TOWN</v>
          </cell>
          <cell r="G1259" t="str">
            <v>P2</v>
          </cell>
          <cell r="H1259" t="str">
            <v>Hybrid-Gen</v>
          </cell>
          <cell r="I1259">
            <v>0</v>
          </cell>
          <cell r="J1259" t="str">
            <v>Outdoor</v>
          </cell>
          <cell r="K1259" t="str">
            <v>AC</v>
          </cell>
          <cell r="L1259" t="str">
            <v>I-Eng</v>
          </cell>
          <cell r="M1259" t="str">
            <v>Kousseri</v>
          </cell>
          <cell r="N1259" t="str">
            <v>LOGONE ET CHARI</v>
          </cell>
          <cell r="O1259" t="str">
            <v>FOTOKOL</v>
          </cell>
          <cell r="P1259" t="str">
            <v>Renaud Omog</v>
          </cell>
          <cell r="Q1259">
            <v>677549882</v>
          </cell>
          <cell r="R1259">
            <v>655999882</v>
          </cell>
          <cell r="S1259" t="str">
            <v>Alain Etoundi</v>
          </cell>
          <cell r="T1259" t="str">
            <v>Valeur HOUELL</v>
          </cell>
          <cell r="U1259" t="str">
            <v>I H S</v>
          </cell>
        </row>
        <row r="1260">
          <cell r="A1260" t="str">
            <v>ADM_127</v>
          </cell>
          <cell r="B1260" t="str">
            <v>IHS_NGD_226</v>
          </cell>
          <cell r="C1260" t="str">
            <v>ADM_127</v>
          </cell>
          <cell r="D1260" t="str">
            <v>North</v>
          </cell>
          <cell r="E1260" t="str">
            <v>Adamawa</v>
          </cell>
          <cell r="F1260" t="str">
            <v>Ngaoundere University II</v>
          </cell>
          <cell r="G1260" t="str">
            <v>P2</v>
          </cell>
          <cell r="H1260" t="str">
            <v>Grid-Gen</v>
          </cell>
          <cell r="I1260" t="str">
            <v>On Air</v>
          </cell>
          <cell r="J1260" t="str">
            <v>Indoor</v>
          </cell>
          <cell r="K1260" t="str">
            <v>AC</v>
          </cell>
          <cell r="L1260" t="str">
            <v>I-Eng</v>
          </cell>
          <cell r="M1260" t="str">
            <v>Ngaoundere</v>
          </cell>
          <cell r="N1260" t="str">
            <v>VINA</v>
          </cell>
          <cell r="O1260" t="str">
            <v>NGAOUNDERE 3</v>
          </cell>
          <cell r="P1260" t="str">
            <v>Richard Nganmo</v>
          </cell>
          <cell r="Q1260">
            <v>655999898</v>
          </cell>
          <cell r="R1260">
            <v>673457084</v>
          </cell>
          <cell r="S1260" t="str">
            <v>Alain Etoundi</v>
          </cell>
          <cell r="T1260" t="str">
            <v>Valeur HOUELL</v>
          </cell>
          <cell r="U1260" t="str">
            <v>I H S</v>
          </cell>
        </row>
        <row r="1261">
          <cell r="A1261" t="str">
            <v>ADM_005</v>
          </cell>
          <cell r="B1261" t="str">
            <v>IHS_GAR_078</v>
          </cell>
          <cell r="C1261" t="str">
            <v>ADM_005</v>
          </cell>
          <cell r="D1261" t="str">
            <v>North</v>
          </cell>
          <cell r="E1261" t="str">
            <v>North</v>
          </cell>
          <cell r="F1261" t="str">
            <v>Touboro</v>
          </cell>
          <cell r="G1261" t="str">
            <v>P2</v>
          </cell>
          <cell r="H1261" t="str">
            <v>Grid-Gen</v>
          </cell>
          <cell r="I1261" t="str">
            <v>On Air</v>
          </cell>
          <cell r="J1261" t="str">
            <v>Indoor</v>
          </cell>
          <cell r="K1261" t="str">
            <v>AC</v>
          </cell>
          <cell r="L1261" t="str">
            <v>I-Eng</v>
          </cell>
          <cell r="M1261" t="str">
            <v>Garoua 1</v>
          </cell>
          <cell r="N1261" t="str">
            <v>MAYO REY</v>
          </cell>
          <cell r="O1261" t="str">
            <v>touboro</v>
          </cell>
          <cell r="P1261" t="str">
            <v>Richard Nganmo</v>
          </cell>
          <cell r="Q1261">
            <v>655999898</v>
          </cell>
          <cell r="R1261">
            <v>673457084</v>
          </cell>
          <cell r="S1261" t="str">
            <v>Alain Etoundi</v>
          </cell>
          <cell r="T1261" t="str">
            <v>Valeur HOUELL</v>
          </cell>
          <cell r="U1261" t="str">
            <v>I H S</v>
          </cell>
        </row>
        <row r="1262">
          <cell r="A1262" t="str">
            <v>ADM_016</v>
          </cell>
          <cell r="B1262" t="str">
            <v>IHS_NGD_032</v>
          </cell>
          <cell r="C1262" t="str">
            <v>ADM_016</v>
          </cell>
          <cell r="D1262" t="str">
            <v>North</v>
          </cell>
          <cell r="E1262" t="str">
            <v>Adamawa</v>
          </cell>
          <cell r="F1262" t="str">
            <v>Tchabal</v>
          </cell>
          <cell r="G1262" t="str">
            <v>P2</v>
          </cell>
          <cell r="H1262" t="str">
            <v>Solar-Grid-Gen</v>
          </cell>
          <cell r="I1262" t="str">
            <v>On Air</v>
          </cell>
          <cell r="J1262" t="str">
            <v>Indoor</v>
          </cell>
          <cell r="K1262" t="str">
            <v>AC</v>
          </cell>
          <cell r="L1262" t="str">
            <v>I-Eng</v>
          </cell>
          <cell r="M1262" t="str">
            <v>Ngaoundere</v>
          </cell>
          <cell r="N1262" t="str">
            <v>VINA</v>
          </cell>
          <cell r="O1262" t="str">
            <v>NGAOUNEDERE 3</v>
          </cell>
          <cell r="P1262" t="str">
            <v>Richard Nganmo</v>
          </cell>
          <cell r="Q1262">
            <v>655999898</v>
          </cell>
          <cell r="R1262">
            <v>673457084</v>
          </cell>
          <cell r="S1262" t="str">
            <v>Alain Etoundi</v>
          </cell>
          <cell r="T1262" t="str">
            <v>Valeur HOUELL</v>
          </cell>
          <cell r="U1262" t="str">
            <v>I H S</v>
          </cell>
        </row>
        <row r="1263">
          <cell r="A1263" t="str">
            <v>NRD_813</v>
          </cell>
          <cell r="B1263" t="str">
            <v>IHS_GAR_121</v>
          </cell>
          <cell r="C1263" t="str">
            <v>NRD_813</v>
          </cell>
          <cell r="D1263" t="str">
            <v>North</v>
          </cell>
          <cell r="E1263" t="str">
            <v>North</v>
          </cell>
          <cell r="F1263" t="str">
            <v>Nana-IHS</v>
          </cell>
          <cell r="G1263" t="str">
            <v>P2</v>
          </cell>
          <cell r="H1263" t="str">
            <v>Solar-Gen</v>
          </cell>
          <cell r="I1263" t="str">
            <v>On Air</v>
          </cell>
          <cell r="J1263" t="str">
            <v>Indoor</v>
          </cell>
          <cell r="K1263" t="str">
            <v>AC</v>
          </cell>
          <cell r="L1263" t="str">
            <v>I-Eng</v>
          </cell>
          <cell r="M1263" t="str">
            <v>Garoua 1</v>
          </cell>
          <cell r="N1263" t="str">
            <v>MAYO REY</v>
          </cell>
          <cell r="O1263" t="str">
            <v>touboro</v>
          </cell>
          <cell r="P1263" t="str">
            <v>Richard Nganmo</v>
          </cell>
          <cell r="Q1263">
            <v>655999898</v>
          </cell>
          <cell r="R1263">
            <v>673457084</v>
          </cell>
          <cell r="S1263" t="str">
            <v>Alain Etoundi</v>
          </cell>
          <cell r="T1263" t="str">
            <v>Valeur HOUELL</v>
          </cell>
          <cell r="U1263" t="str">
            <v>I H S</v>
          </cell>
        </row>
        <row r="1264">
          <cell r="A1264" t="str">
            <v>ADM_115</v>
          </cell>
          <cell r="B1264" t="str">
            <v>IHS_NGD_202</v>
          </cell>
          <cell r="C1264" t="str">
            <v>ADM_115</v>
          </cell>
          <cell r="D1264" t="str">
            <v>North</v>
          </cell>
          <cell r="E1264" t="str">
            <v>Adamawa</v>
          </cell>
          <cell r="F1264" t="str">
            <v>Ngaoundere Audi</v>
          </cell>
          <cell r="G1264" t="str">
            <v>P2</v>
          </cell>
          <cell r="H1264" t="str">
            <v>Grid-Gen</v>
          </cell>
          <cell r="I1264" t="str">
            <v>On Air</v>
          </cell>
          <cell r="J1264" t="str">
            <v>Indoor</v>
          </cell>
          <cell r="K1264" t="str">
            <v>AC</v>
          </cell>
          <cell r="L1264" t="str">
            <v>I-Eng</v>
          </cell>
          <cell r="M1264" t="str">
            <v>Ngaoundere</v>
          </cell>
          <cell r="N1264" t="str">
            <v>VINA</v>
          </cell>
          <cell r="O1264" t="str">
            <v>NGAOUNEDERE 1</v>
          </cell>
          <cell r="P1264" t="str">
            <v>Richard Nganmo</v>
          </cell>
          <cell r="Q1264">
            <v>655999898</v>
          </cell>
          <cell r="R1264">
            <v>673457084</v>
          </cell>
          <cell r="S1264" t="str">
            <v>Alain Etoundi</v>
          </cell>
          <cell r="T1264" t="str">
            <v>Valeur HOUELL</v>
          </cell>
          <cell r="U1264" t="str">
            <v>I H S</v>
          </cell>
        </row>
        <row r="1265">
          <cell r="A1265" t="str">
            <v>ADM_085</v>
          </cell>
          <cell r="B1265" t="str">
            <v>IHS_NGD_206</v>
          </cell>
          <cell r="C1265" t="str">
            <v>ADM_085</v>
          </cell>
          <cell r="D1265" t="str">
            <v>North</v>
          </cell>
          <cell r="E1265" t="str">
            <v>Adamawa</v>
          </cell>
          <cell r="F1265" t="str">
            <v>Ngd-Bamyangal-II</v>
          </cell>
          <cell r="G1265" t="str">
            <v>P3</v>
          </cell>
          <cell r="H1265" t="str">
            <v>Grid-Gen</v>
          </cell>
          <cell r="I1265" t="str">
            <v>On Air</v>
          </cell>
          <cell r="J1265" t="str">
            <v>Outdoor</v>
          </cell>
          <cell r="K1265" t="str">
            <v>AC</v>
          </cell>
          <cell r="L1265" t="str">
            <v>I-Eng</v>
          </cell>
          <cell r="M1265" t="str">
            <v>Ngaoundere</v>
          </cell>
          <cell r="N1265" t="str">
            <v>VINA</v>
          </cell>
          <cell r="O1265" t="str">
            <v>NGAOUNDERE 1</v>
          </cell>
          <cell r="P1265" t="str">
            <v>Richard Nganmo</v>
          </cell>
          <cell r="Q1265">
            <v>655999898</v>
          </cell>
          <cell r="R1265">
            <v>673457084</v>
          </cell>
          <cell r="S1265" t="str">
            <v>Alain Etoundi</v>
          </cell>
          <cell r="T1265" t="str">
            <v>Valeur HOUELL</v>
          </cell>
          <cell r="U1265" t="str">
            <v>I H S</v>
          </cell>
        </row>
        <row r="1266">
          <cell r="A1266" t="str">
            <v>ADM_048</v>
          </cell>
          <cell r="B1266" t="str">
            <v>IHS_NGD_006</v>
          </cell>
          <cell r="C1266" t="str">
            <v>ADM_048</v>
          </cell>
          <cell r="D1266" t="str">
            <v>North</v>
          </cell>
          <cell r="E1266" t="str">
            <v>Adamawa</v>
          </cell>
          <cell r="F1266" t="str">
            <v>Ngd-Q-Haoussa</v>
          </cell>
          <cell r="G1266" t="str">
            <v>P3</v>
          </cell>
          <cell r="H1266" t="str">
            <v>Grid-Gen</v>
          </cell>
          <cell r="I1266" t="str">
            <v>On Air</v>
          </cell>
          <cell r="J1266" t="str">
            <v>Outdoor</v>
          </cell>
          <cell r="K1266" t="str">
            <v>AC</v>
          </cell>
          <cell r="L1266" t="str">
            <v>I-Eng</v>
          </cell>
          <cell r="M1266" t="str">
            <v>Ngaoundere</v>
          </cell>
          <cell r="N1266" t="str">
            <v>VINA</v>
          </cell>
          <cell r="O1266" t="str">
            <v>NGAOUNDERE 1</v>
          </cell>
          <cell r="P1266" t="str">
            <v>Richard Nganmo</v>
          </cell>
          <cell r="Q1266">
            <v>655999898</v>
          </cell>
          <cell r="R1266">
            <v>673457084</v>
          </cell>
          <cell r="S1266" t="str">
            <v>Alain Etoundi</v>
          </cell>
          <cell r="T1266" t="str">
            <v>Valeur HOUELL</v>
          </cell>
          <cell r="U1266" t="str">
            <v>I H S</v>
          </cell>
        </row>
        <row r="1267">
          <cell r="A1267" t="str">
            <v>ADM_035</v>
          </cell>
          <cell r="B1267" t="str">
            <v>IHS_NGD_010</v>
          </cell>
          <cell r="C1267" t="str">
            <v>ADM_035</v>
          </cell>
          <cell r="D1267" t="str">
            <v>North</v>
          </cell>
          <cell r="E1267" t="str">
            <v>Adamawa</v>
          </cell>
          <cell r="F1267" t="str">
            <v>Ngd-Baladji</v>
          </cell>
          <cell r="G1267" t="str">
            <v>P3</v>
          </cell>
          <cell r="H1267" t="str">
            <v>Grid-Gen</v>
          </cell>
          <cell r="I1267" t="str">
            <v>On Air</v>
          </cell>
          <cell r="J1267" t="str">
            <v>Outdoor</v>
          </cell>
          <cell r="K1267" t="str">
            <v>AC</v>
          </cell>
          <cell r="L1267" t="str">
            <v>I-Eng</v>
          </cell>
          <cell r="M1267" t="str">
            <v>Ngaoundere</v>
          </cell>
          <cell r="N1267" t="str">
            <v>VINA</v>
          </cell>
          <cell r="O1267" t="str">
            <v>NGAOUNEDERE 1</v>
          </cell>
          <cell r="P1267" t="str">
            <v>Richard Nganmo</v>
          </cell>
          <cell r="Q1267">
            <v>655999898</v>
          </cell>
          <cell r="R1267">
            <v>673457084</v>
          </cell>
          <cell r="S1267" t="str">
            <v>Alain Etoundi</v>
          </cell>
          <cell r="T1267" t="str">
            <v>Valeur HOUELL</v>
          </cell>
          <cell r="U1267" t="str">
            <v>I H S</v>
          </cell>
        </row>
        <row r="1268">
          <cell r="A1268" t="str">
            <v>ADM_018</v>
          </cell>
          <cell r="B1268" t="str">
            <v>IHS_NGD_011</v>
          </cell>
          <cell r="C1268" t="str">
            <v>ADM_018</v>
          </cell>
          <cell r="D1268" t="str">
            <v>North</v>
          </cell>
          <cell r="E1268" t="str">
            <v>Adamawa</v>
          </cell>
          <cell r="F1268" t="str">
            <v>Ngd-Ville</v>
          </cell>
          <cell r="G1268" t="str">
            <v>P3</v>
          </cell>
          <cell r="H1268" t="str">
            <v>Grid-Gen</v>
          </cell>
          <cell r="I1268" t="str">
            <v>On Air</v>
          </cell>
          <cell r="J1268" t="str">
            <v>Indoor</v>
          </cell>
          <cell r="K1268" t="str">
            <v>AC</v>
          </cell>
          <cell r="L1268" t="str">
            <v>I-Eng</v>
          </cell>
          <cell r="M1268" t="str">
            <v>Ngaoundere</v>
          </cell>
          <cell r="N1268" t="str">
            <v>VINA</v>
          </cell>
          <cell r="O1268" t="str">
            <v>NGAOUNEDERE 1</v>
          </cell>
          <cell r="P1268" t="str">
            <v>Richard Nganmo</v>
          </cell>
          <cell r="Q1268">
            <v>655999898</v>
          </cell>
          <cell r="R1268">
            <v>673457084</v>
          </cell>
          <cell r="S1268" t="str">
            <v>Alain Etoundi</v>
          </cell>
          <cell r="T1268" t="str">
            <v>Valeur HOUELL</v>
          </cell>
          <cell r="U1268" t="str">
            <v>I H S</v>
          </cell>
        </row>
        <row r="1269">
          <cell r="A1269" t="str">
            <v>ADM_057</v>
          </cell>
          <cell r="B1269" t="str">
            <v>IHS_NGD_035</v>
          </cell>
          <cell r="C1269" t="str">
            <v>ADM_057</v>
          </cell>
          <cell r="D1269" t="str">
            <v>North</v>
          </cell>
          <cell r="E1269" t="str">
            <v>Adamawa</v>
          </cell>
          <cell r="F1269" t="str">
            <v>Ngd-Stade</v>
          </cell>
          <cell r="G1269" t="str">
            <v>P3</v>
          </cell>
          <cell r="H1269" t="str">
            <v>Grid Only</v>
          </cell>
          <cell r="I1269" t="str">
            <v>On Air</v>
          </cell>
          <cell r="J1269" t="str">
            <v>Outdoor</v>
          </cell>
          <cell r="K1269" t="str">
            <v>AC</v>
          </cell>
          <cell r="L1269" t="str">
            <v>I-Eng</v>
          </cell>
          <cell r="M1269" t="str">
            <v>Ngaoundere</v>
          </cell>
          <cell r="N1269" t="str">
            <v>VINA</v>
          </cell>
          <cell r="O1269" t="str">
            <v>NGAOUNEDERE 1</v>
          </cell>
          <cell r="P1269" t="str">
            <v>Richard Nganmo</v>
          </cell>
          <cell r="Q1269">
            <v>655999898</v>
          </cell>
          <cell r="R1269">
            <v>673457084</v>
          </cell>
          <cell r="S1269" t="str">
            <v>Alain Etoundi</v>
          </cell>
          <cell r="T1269" t="str">
            <v>Valeur HOUELL</v>
          </cell>
          <cell r="U1269" t="str">
            <v>I H S</v>
          </cell>
        </row>
        <row r="1270">
          <cell r="A1270" t="str">
            <v>ADM_120</v>
          </cell>
          <cell r="B1270" t="str">
            <v>IHS_NGD_012</v>
          </cell>
          <cell r="C1270" t="str">
            <v>ADM_120</v>
          </cell>
          <cell r="D1270" t="str">
            <v>North</v>
          </cell>
          <cell r="E1270" t="str">
            <v>Adamawa</v>
          </cell>
          <cell r="F1270" t="str">
            <v>Ngaoundere CIFAN</v>
          </cell>
          <cell r="G1270" t="str">
            <v>P3</v>
          </cell>
          <cell r="H1270" t="str">
            <v>Grid-Gen</v>
          </cell>
          <cell r="I1270" t="str">
            <v>On Air</v>
          </cell>
          <cell r="J1270" t="str">
            <v>Outdoor</v>
          </cell>
          <cell r="K1270" t="str">
            <v>AC</v>
          </cell>
          <cell r="L1270" t="str">
            <v>I-Eng</v>
          </cell>
          <cell r="M1270" t="str">
            <v>Ngaoundere</v>
          </cell>
          <cell r="N1270" t="str">
            <v>VINA</v>
          </cell>
          <cell r="O1270" t="str">
            <v>NGAOUNEDERE 1</v>
          </cell>
          <cell r="P1270" t="str">
            <v>Richard Nganmo</v>
          </cell>
          <cell r="Q1270">
            <v>655999898</v>
          </cell>
          <cell r="R1270">
            <v>673457084</v>
          </cell>
          <cell r="S1270" t="str">
            <v>Alain Etoundi</v>
          </cell>
          <cell r="T1270" t="str">
            <v>Valeur HOUELL</v>
          </cell>
          <cell r="U1270" t="str">
            <v>I H S</v>
          </cell>
        </row>
        <row r="1271">
          <cell r="A1271" t="str">
            <v>ADM_073</v>
          </cell>
          <cell r="B1271" t="str">
            <v>IHS_NGD_003</v>
          </cell>
          <cell r="C1271" t="str">
            <v>ADM_073</v>
          </cell>
          <cell r="D1271" t="str">
            <v>North</v>
          </cell>
          <cell r="E1271" t="str">
            <v>Adamawa</v>
          </cell>
          <cell r="F1271" t="str">
            <v>Ngd-Yarban</v>
          </cell>
          <cell r="G1271" t="str">
            <v>P4</v>
          </cell>
          <cell r="H1271" t="str">
            <v>Grid-Gen</v>
          </cell>
          <cell r="I1271" t="str">
            <v>On Air</v>
          </cell>
          <cell r="J1271" t="str">
            <v>Outdoor</v>
          </cell>
          <cell r="K1271" t="str">
            <v>AC</v>
          </cell>
          <cell r="L1271" t="str">
            <v>I-Eng</v>
          </cell>
          <cell r="M1271" t="str">
            <v>Ngaoundere</v>
          </cell>
          <cell r="N1271" t="str">
            <v>VINA</v>
          </cell>
          <cell r="O1271" t="str">
            <v>NGAOUNDERE 1</v>
          </cell>
          <cell r="P1271" t="str">
            <v>Richard Nganmo</v>
          </cell>
          <cell r="Q1271">
            <v>655999898</v>
          </cell>
          <cell r="R1271">
            <v>673457084</v>
          </cell>
          <cell r="S1271" t="str">
            <v>Alain Etoundi</v>
          </cell>
          <cell r="T1271" t="str">
            <v>Valeur HOUELL</v>
          </cell>
          <cell r="U1271" t="str">
            <v>I H S</v>
          </cell>
        </row>
        <row r="1272">
          <cell r="A1272" t="str">
            <v>ADM_084</v>
          </cell>
          <cell r="B1272" t="str">
            <v>IHS_NGD_201</v>
          </cell>
          <cell r="C1272" t="str">
            <v>ADM_084</v>
          </cell>
          <cell r="D1272" t="str">
            <v>North</v>
          </cell>
          <cell r="E1272" t="str">
            <v>Adamawa</v>
          </cell>
          <cell r="F1272" t="str">
            <v>NG'DERE MADAGASCAR-IHS</v>
          </cell>
          <cell r="G1272" t="str">
            <v>P4</v>
          </cell>
          <cell r="H1272" t="str">
            <v>Grid-Gen</v>
          </cell>
          <cell r="I1272" t="str">
            <v>On Air</v>
          </cell>
          <cell r="J1272" t="str">
            <v>Outdoor</v>
          </cell>
          <cell r="K1272" t="str">
            <v>AC</v>
          </cell>
          <cell r="L1272" t="str">
            <v>I-Eng</v>
          </cell>
          <cell r="M1272" t="str">
            <v>Ngaoundere</v>
          </cell>
          <cell r="N1272" t="str">
            <v>VINA</v>
          </cell>
          <cell r="O1272" t="str">
            <v>NGAOUNDERE 1</v>
          </cell>
          <cell r="P1272" t="str">
            <v>Richard Nganmo</v>
          </cell>
          <cell r="Q1272">
            <v>655999898</v>
          </cell>
          <cell r="R1272">
            <v>673457084</v>
          </cell>
          <cell r="S1272" t="str">
            <v>Alain Etoundi</v>
          </cell>
          <cell r="T1272" t="str">
            <v>Valeur HOUELL</v>
          </cell>
          <cell r="U1272" t="str">
            <v>I H S</v>
          </cell>
        </row>
        <row r="1273">
          <cell r="A1273" t="str">
            <v>ADM_101</v>
          </cell>
          <cell r="B1273" t="str">
            <v>IHS_NGD_205</v>
          </cell>
          <cell r="C1273" t="str">
            <v>ADM_101</v>
          </cell>
          <cell r="D1273" t="str">
            <v>North</v>
          </cell>
          <cell r="E1273" t="str">
            <v>Adamawa</v>
          </cell>
          <cell r="F1273" t="str">
            <v>Ngd-Gambara</v>
          </cell>
          <cell r="G1273" t="str">
            <v>P4</v>
          </cell>
          <cell r="H1273" t="str">
            <v>Grid-Gen</v>
          </cell>
          <cell r="I1273" t="str">
            <v>On Air</v>
          </cell>
          <cell r="J1273" t="str">
            <v>Outdoor</v>
          </cell>
          <cell r="K1273" t="str">
            <v>AC</v>
          </cell>
          <cell r="L1273" t="str">
            <v>I-Eng</v>
          </cell>
          <cell r="M1273" t="str">
            <v>Ngaoundere</v>
          </cell>
          <cell r="N1273" t="str">
            <v>VINA</v>
          </cell>
          <cell r="O1273" t="str">
            <v>NGAOUNDERE 1</v>
          </cell>
          <cell r="P1273" t="str">
            <v>Richard Nganmo</v>
          </cell>
          <cell r="Q1273">
            <v>655999898</v>
          </cell>
          <cell r="R1273">
            <v>673457084</v>
          </cell>
          <cell r="S1273" t="str">
            <v>Alain Etoundi</v>
          </cell>
          <cell r="T1273" t="str">
            <v>Valeur HOUELL</v>
          </cell>
          <cell r="U1273" t="str">
            <v>I H S</v>
          </cell>
        </row>
        <row r="1274">
          <cell r="A1274" t="str">
            <v>ADM_003</v>
          </cell>
          <cell r="B1274" t="str">
            <v>IHS_NGD_027</v>
          </cell>
          <cell r="C1274" t="str">
            <v>ADM_003</v>
          </cell>
          <cell r="D1274" t="str">
            <v>North</v>
          </cell>
          <cell r="E1274" t="str">
            <v>Adamawa</v>
          </cell>
          <cell r="F1274" t="str">
            <v>Ngd-Universite</v>
          </cell>
          <cell r="G1274" t="str">
            <v>P4</v>
          </cell>
          <cell r="H1274" t="str">
            <v>Grid-Gen</v>
          </cell>
          <cell r="I1274" t="str">
            <v>On Air</v>
          </cell>
          <cell r="J1274" t="str">
            <v>Indoor</v>
          </cell>
          <cell r="K1274" t="str">
            <v>AC</v>
          </cell>
          <cell r="L1274" t="str">
            <v>I-Eng</v>
          </cell>
          <cell r="M1274" t="str">
            <v>Ngaoundere</v>
          </cell>
          <cell r="N1274" t="str">
            <v>VINA</v>
          </cell>
          <cell r="O1274" t="str">
            <v>COMMUNE NGAOUNDERE3</v>
          </cell>
          <cell r="P1274" t="str">
            <v>Richard Nganmo</v>
          </cell>
          <cell r="Q1274">
            <v>655999898</v>
          </cell>
          <cell r="R1274">
            <v>673457084</v>
          </cell>
          <cell r="S1274" t="str">
            <v>Alain Etoundi</v>
          </cell>
          <cell r="T1274" t="str">
            <v>Valeur HOUELL</v>
          </cell>
          <cell r="U1274" t="str">
            <v>I H S</v>
          </cell>
        </row>
        <row r="1275">
          <cell r="A1275" t="str">
            <v>ADM_017</v>
          </cell>
          <cell r="B1275" t="str">
            <v>IHS_NGD_029</v>
          </cell>
          <cell r="C1275" t="str">
            <v>ADM_017</v>
          </cell>
          <cell r="D1275" t="str">
            <v>North</v>
          </cell>
          <cell r="E1275" t="str">
            <v>Adamawa</v>
          </cell>
          <cell r="F1275" t="str">
            <v>Ngd-Dang</v>
          </cell>
          <cell r="G1275" t="str">
            <v>P4</v>
          </cell>
          <cell r="H1275" t="str">
            <v>Grid-Gen</v>
          </cell>
          <cell r="I1275" t="str">
            <v>On Air</v>
          </cell>
          <cell r="J1275" t="str">
            <v>Indoor</v>
          </cell>
          <cell r="K1275" t="str">
            <v>AC</v>
          </cell>
          <cell r="L1275" t="str">
            <v>I-Eng</v>
          </cell>
          <cell r="M1275" t="str">
            <v>Ngaoundere</v>
          </cell>
          <cell r="N1275" t="str">
            <v>VINA</v>
          </cell>
          <cell r="O1275" t="str">
            <v>NGAOUNDERE 3</v>
          </cell>
          <cell r="P1275" t="str">
            <v>Richard Nganmo</v>
          </cell>
          <cell r="Q1275">
            <v>655999898</v>
          </cell>
          <cell r="R1275">
            <v>673457084</v>
          </cell>
          <cell r="S1275" t="str">
            <v>Alain Etoundi</v>
          </cell>
          <cell r="T1275" t="str">
            <v>Valeur HOUELL</v>
          </cell>
          <cell r="U1275" t="str">
            <v>I H S</v>
          </cell>
        </row>
        <row r="1276">
          <cell r="A1276" t="str">
            <v>ADM_074</v>
          </cell>
          <cell r="B1276" t="str">
            <v>IHS_NGD_007</v>
          </cell>
          <cell r="C1276" t="str">
            <v>ADM_074</v>
          </cell>
          <cell r="D1276" t="str">
            <v>North</v>
          </cell>
          <cell r="E1276" t="str">
            <v>Adamawa</v>
          </cell>
          <cell r="F1276" t="str">
            <v>Ngd-Troua-Mala-II</v>
          </cell>
          <cell r="G1276" t="str">
            <v>P4</v>
          </cell>
          <cell r="H1276" t="str">
            <v>Grid-Gen</v>
          </cell>
          <cell r="I1276" t="str">
            <v>On Air</v>
          </cell>
          <cell r="J1276" t="str">
            <v>Outdoor</v>
          </cell>
          <cell r="K1276" t="str">
            <v>AC</v>
          </cell>
          <cell r="L1276" t="str">
            <v>I-Eng</v>
          </cell>
          <cell r="M1276" t="str">
            <v>Ngaoundere</v>
          </cell>
          <cell r="N1276" t="str">
            <v>VINA</v>
          </cell>
          <cell r="O1276" t="str">
            <v>NGAOUNEDERE 1</v>
          </cell>
          <cell r="P1276" t="str">
            <v>Richard Nganmo</v>
          </cell>
          <cell r="Q1276">
            <v>655999898</v>
          </cell>
          <cell r="R1276">
            <v>673457084</v>
          </cell>
          <cell r="S1276" t="str">
            <v>Alain Etoundi</v>
          </cell>
          <cell r="T1276" t="str">
            <v>Valeur HOUELL</v>
          </cell>
          <cell r="U1276" t="str">
            <v>I H S</v>
          </cell>
        </row>
        <row r="1277">
          <cell r="A1277" t="str">
            <v>ADM_087</v>
          </cell>
          <cell r="B1277" t="str">
            <v>IHS_NGD_204</v>
          </cell>
          <cell r="C1277" t="str">
            <v>ADM_087</v>
          </cell>
          <cell r="D1277" t="str">
            <v>North</v>
          </cell>
          <cell r="E1277" t="str">
            <v>Adamawa</v>
          </cell>
          <cell r="F1277" t="str">
            <v>Gada Mabanga</v>
          </cell>
          <cell r="G1277" t="str">
            <v>P4</v>
          </cell>
          <cell r="H1277" t="str">
            <v>Grid-Gen</v>
          </cell>
          <cell r="I1277" t="str">
            <v>On Air</v>
          </cell>
          <cell r="J1277" t="str">
            <v>Outdoor</v>
          </cell>
          <cell r="K1277" t="str">
            <v>AC</v>
          </cell>
          <cell r="L1277" t="str">
            <v>I-Eng</v>
          </cell>
          <cell r="M1277" t="str">
            <v>Ngaoundere</v>
          </cell>
          <cell r="N1277" t="str">
            <v>VINA</v>
          </cell>
          <cell r="O1277" t="str">
            <v>NGAOUNEDERE 1</v>
          </cell>
          <cell r="P1277" t="str">
            <v>Richard Nganmo</v>
          </cell>
          <cell r="Q1277">
            <v>655999898</v>
          </cell>
          <cell r="R1277">
            <v>673457084</v>
          </cell>
          <cell r="S1277" t="str">
            <v>Alain Etoundi</v>
          </cell>
          <cell r="T1277" t="str">
            <v>Valeur HOUELL</v>
          </cell>
          <cell r="U1277" t="str">
            <v>I H S</v>
          </cell>
        </row>
        <row r="1278">
          <cell r="A1278" t="str">
            <v>ADM_036</v>
          </cell>
          <cell r="B1278" t="str">
            <v>IHS_NGD_017</v>
          </cell>
          <cell r="C1278" t="str">
            <v>ADM_036</v>
          </cell>
          <cell r="D1278" t="str">
            <v>North</v>
          </cell>
          <cell r="E1278" t="str">
            <v>Adamawa</v>
          </cell>
          <cell r="F1278" t="str">
            <v>Ngd-Burkina</v>
          </cell>
          <cell r="G1278" t="str">
            <v>P4</v>
          </cell>
          <cell r="H1278" t="str">
            <v>Grid-Gen</v>
          </cell>
          <cell r="I1278" t="str">
            <v>On Air</v>
          </cell>
          <cell r="J1278" t="str">
            <v>Outdoor</v>
          </cell>
          <cell r="K1278" t="str">
            <v>AC</v>
          </cell>
          <cell r="L1278" t="str">
            <v>I-Eng</v>
          </cell>
          <cell r="M1278" t="str">
            <v>Ngaoundere</v>
          </cell>
          <cell r="N1278" t="str">
            <v>VINA</v>
          </cell>
          <cell r="O1278" t="str">
            <v>NGAOUNEDERE 1</v>
          </cell>
          <cell r="P1278" t="str">
            <v>Richard Nganmo</v>
          </cell>
          <cell r="Q1278">
            <v>655999898</v>
          </cell>
          <cell r="R1278">
            <v>673457084</v>
          </cell>
          <cell r="S1278" t="str">
            <v>Alain Etoundi</v>
          </cell>
          <cell r="T1278" t="str">
            <v>Valeur HOUELL</v>
          </cell>
          <cell r="U1278" t="str">
            <v>I H S</v>
          </cell>
        </row>
        <row r="1279">
          <cell r="A1279" t="str">
            <v>ADM_034</v>
          </cell>
          <cell r="B1279" t="str">
            <v>IHS_NGD_025</v>
          </cell>
          <cell r="C1279" t="str">
            <v>ADM_034</v>
          </cell>
          <cell r="D1279" t="str">
            <v>North</v>
          </cell>
          <cell r="E1279" t="str">
            <v>Adamawa</v>
          </cell>
          <cell r="F1279" t="str">
            <v>Ngd-Projet-Laitier</v>
          </cell>
          <cell r="G1279" t="str">
            <v>P4</v>
          </cell>
          <cell r="H1279" t="str">
            <v>Grid-Gen</v>
          </cell>
          <cell r="I1279" t="str">
            <v>On Air</v>
          </cell>
          <cell r="J1279" t="str">
            <v>Outdoor</v>
          </cell>
          <cell r="K1279" t="str">
            <v>AC</v>
          </cell>
          <cell r="L1279" t="str">
            <v>I-Eng</v>
          </cell>
          <cell r="M1279" t="str">
            <v>Ngaoundere</v>
          </cell>
          <cell r="N1279" t="str">
            <v>VINA</v>
          </cell>
          <cell r="O1279" t="str">
            <v>COMMUNE NGAOUNDERE 3</v>
          </cell>
          <cell r="P1279" t="str">
            <v>Richard Nganmo</v>
          </cell>
          <cell r="Q1279">
            <v>655999898</v>
          </cell>
          <cell r="R1279">
            <v>673457084</v>
          </cell>
          <cell r="S1279" t="str">
            <v>Alain Etoundi</v>
          </cell>
          <cell r="T1279" t="str">
            <v>Valeur HOUELL</v>
          </cell>
          <cell r="U1279" t="str">
            <v>I H S</v>
          </cell>
        </row>
        <row r="1280">
          <cell r="A1280" t="str">
            <v>ADM_071</v>
          </cell>
          <cell r="B1280" t="str">
            <v>IHS_NGD_001</v>
          </cell>
          <cell r="C1280" t="str">
            <v>ADM_071</v>
          </cell>
          <cell r="D1280" t="str">
            <v>North</v>
          </cell>
          <cell r="E1280" t="str">
            <v>Adamawa</v>
          </cell>
          <cell r="F1280" t="str">
            <v>Ngd-Crf-Texaco</v>
          </cell>
          <cell r="G1280" t="str">
            <v>P4</v>
          </cell>
          <cell r="H1280" t="str">
            <v>Grid Only</v>
          </cell>
          <cell r="I1280" t="str">
            <v>On Air</v>
          </cell>
          <cell r="J1280" t="str">
            <v>Outdoor</v>
          </cell>
          <cell r="K1280" t="str">
            <v>AC</v>
          </cell>
          <cell r="L1280" t="str">
            <v>I-Eng</v>
          </cell>
          <cell r="M1280" t="str">
            <v>Ngaoundere</v>
          </cell>
          <cell r="N1280" t="str">
            <v>VINA</v>
          </cell>
          <cell r="O1280" t="str">
            <v>NGAOUNEDERE 1</v>
          </cell>
          <cell r="P1280" t="str">
            <v>Richard Nganmo</v>
          </cell>
          <cell r="Q1280">
            <v>655999898</v>
          </cell>
          <cell r="R1280">
            <v>673457084</v>
          </cell>
          <cell r="S1280" t="str">
            <v>Alain Etoundi</v>
          </cell>
          <cell r="T1280" t="str">
            <v>Valeur HOUELL</v>
          </cell>
          <cell r="U1280" t="str">
            <v>I H S</v>
          </cell>
        </row>
        <row r="1281">
          <cell r="A1281" t="str">
            <v>ADM_058</v>
          </cell>
          <cell r="B1281" t="str">
            <v>IHS_NGD_015</v>
          </cell>
          <cell r="C1281" t="str">
            <v>ADM_058</v>
          </cell>
          <cell r="D1281" t="str">
            <v>North</v>
          </cell>
          <cell r="E1281" t="str">
            <v>Adamawa</v>
          </cell>
          <cell r="F1281" t="str">
            <v>Ngd-Trouamala</v>
          </cell>
          <cell r="G1281" t="str">
            <v>P4</v>
          </cell>
          <cell r="H1281" t="str">
            <v>Grid-Gen</v>
          </cell>
          <cell r="I1281" t="str">
            <v>On Air</v>
          </cell>
          <cell r="J1281" t="str">
            <v>Outdoor</v>
          </cell>
          <cell r="K1281" t="str">
            <v>AC</v>
          </cell>
          <cell r="L1281" t="str">
            <v>I-Eng</v>
          </cell>
          <cell r="M1281" t="str">
            <v>Ngaoundere</v>
          </cell>
          <cell r="N1281" t="str">
            <v>VINA</v>
          </cell>
          <cell r="O1281" t="str">
            <v>NGAOUNEDERE 1</v>
          </cell>
          <cell r="P1281" t="str">
            <v>Richard Nganmo</v>
          </cell>
          <cell r="Q1281">
            <v>655999898</v>
          </cell>
          <cell r="R1281">
            <v>673457084</v>
          </cell>
          <cell r="S1281" t="str">
            <v>Alain Etoundi</v>
          </cell>
          <cell r="T1281" t="str">
            <v>Valeur HOUELL</v>
          </cell>
          <cell r="U1281" t="str">
            <v>I H S</v>
          </cell>
        </row>
        <row r="1282">
          <cell r="A1282" t="str">
            <v>ADM_072</v>
          </cell>
          <cell r="B1282" t="str">
            <v>IHS_NGD_002</v>
          </cell>
          <cell r="C1282" t="str">
            <v>ADM_072</v>
          </cell>
          <cell r="D1282" t="str">
            <v>North</v>
          </cell>
          <cell r="E1282" t="str">
            <v>Adamawa</v>
          </cell>
          <cell r="F1282" t="str">
            <v>Ngd-Lamidat-IHS</v>
          </cell>
          <cell r="G1282" t="str">
            <v>P4</v>
          </cell>
          <cell r="H1282" t="str">
            <v>Grid-Gen</v>
          </cell>
          <cell r="I1282" t="str">
            <v>On Air</v>
          </cell>
          <cell r="J1282" t="str">
            <v>Outdoor</v>
          </cell>
          <cell r="K1282" t="str">
            <v>AC</v>
          </cell>
          <cell r="L1282" t="str">
            <v>I-Eng</v>
          </cell>
          <cell r="M1282" t="str">
            <v>Ngaoundere</v>
          </cell>
          <cell r="N1282" t="str">
            <v>VINA</v>
          </cell>
          <cell r="O1282" t="str">
            <v>NGAOUNDERE 1</v>
          </cell>
          <cell r="P1282" t="str">
            <v>Richard Nganmo</v>
          </cell>
          <cell r="Q1282">
            <v>655999898</v>
          </cell>
          <cell r="R1282">
            <v>673457084</v>
          </cell>
          <cell r="S1282" t="str">
            <v>Alain Etoundi</v>
          </cell>
          <cell r="T1282" t="str">
            <v>Valeur HOUELL</v>
          </cell>
          <cell r="U1282" t="str">
            <v>I H S</v>
          </cell>
        </row>
        <row r="1283">
          <cell r="A1283" t="str">
            <v>ADM_033</v>
          </cell>
          <cell r="B1283" t="str">
            <v>IHS_NGD_021</v>
          </cell>
          <cell r="C1283" t="str">
            <v>ADM_033</v>
          </cell>
          <cell r="D1283" t="str">
            <v>North</v>
          </cell>
          <cell r="E1283" t="str">
            <v>Adamawa</v>
          </cell>
          <cell r="F1283" t="str">
            <v>Ngd-ZI New</v>
          </cell>
          <cell r="G1283" t="str">
            <v>P4</v>
          </cell>
          <cell r="H1283" t="str">
            <v>Grid-Gen</v>
          </cell>
          <cell r="I1283" t="str">
            <v>On Air</v>
          </cell>
          <cell r="J1283" t="str">
            <v>Outdoor</v>
          </cell>
          <cell r="K1283" t="str">
            <v>AC</v>
          </cell>
          <cell r="L1283" t="str">
            <v>I-Eng</v>
          </cell>
          <cell r="M1283" t="str">
            <v>Ngaoundere</v>
          </cell>
          <cell r="N1283" t="str">
            <v>VINA</v>
          </cell>
          <cell r="O1283" t="str">
            <v>NGAOUNDERE 1</v>
          </cell>
          <cell r="P1283" t="str">
            <v>Richard Nganmo</v>
          </cell>
          <cell r="Q1283">
            <v>655999898</v>
          </cell>
          <cell r="R1283">
            <v>673457084</v>
          </cell>
          <cell r="S1283" t="str">
            <v>Alain Etoundi</v>
          </cell>
          <cell r="T1283" t="str">
            <v>Valeur HOUELL</v>
          </cell>
          <cell r="U1283" t="str">
            <v>I H S</v>
          </cell>
        </row>
        <row r="1284">
          <cell r="A1284" t="str">
            <v>ADM_076</v>
          </cell>
          <cell r="B1284" t="str">
            <v>IHS_NGD_028</v>
          </cell>
          <cell r="C1284" t="str">
            <v>ADM_076</v>
          </cell>
          <cell r="D1284" t="str">
            <v>North</v>
          </cell>
          <cell r="E1284" t="str">
            <v>Adamawa</v>
          </cell>
          <cell r="F1284" t="str">
            <v>Ngaoundere-University-IHS</v>
          </cell>
          <cell r="G1284" t="str">
            <v>P4</v>
          </cell>
          <cell r="H1284" t="str">
            <v>Grid-Gen</v>
          </cell>
          <cell r="I1284" t="str">
            <v>On Air</v>
          </cell>
          <cell r="J1284" t="str">
            <v>Indoor</v>
          </cell>
          <cell r="K1284" t="str">
            <v>AC</v>
          </cell>
          <cell r="L1284" t="str">
            <v>I-Eng</v>
          </cell>
          <cell r="M1284" t="str">
            <v>Ngaoundere</v>
          </cell>
          <cell r="N1284" t="str">
            <v>VINA</v>
          </cell>
          <cell r="O1284" t="str">
            <v>NGAOUNDERE 3</v>
          </cell>
          <cell r="P1284" t="str">
            <v>Richard Nganmo</v>
          </cell>
          <cell r="Q1284">
            <v>655999898</v>
          </cell>
          <cell r="R1284">
            <v>673457084</v>
          </cell>
          <cell r="S1284" t="str">
            <v>Alain Etoundi</v>
          </cell>
          <cell r="T1284" t="str">
            <v>Valeur HOUELL</v>
          </cell>
          <cell r="U1284" t="str">
            <v>I H S</v>
          </cell>
        </row>
        <row r="1285">
          <cell r="A1285" t="str">
            <v>ADM_155</v>
          </cell>
          <cell r="B1285" t="str">
            <v>IHS_NGD_214</v>
          </cell>
          <cell r="C1285" t="str">
            <v>ADM_155</v>
          </cell>
          <cell r="D1285" t="str">
            <v>North</v>
          </cell>
          <cell r="E1285" t="str">
            <v>Adamawa</v>
          </cell>
          <cell r="F1285" t="str">
            <v>Ngd-Sabonbari-America-IHS</v>
          </cell>
          <cell r="G1285" t="str">
            <v>P4</v>
          </cell>
          <cell r="H1285" t="str">
            <v>Grid-Gen</v>
          </cell>
          <cell r="I1285" t="str">
            <v>On Air</v>
          </cell>
          <cell r="J1285" t="str">
            <v>Outdoor</v>
          </cell>
          <cell r="K1285" t="str">
            <v>AC</v>
          </cell>
          <cell r="L1285" t="str">
            <v>I-Eng</v>
          </cell>
          <cell r="M1285" t="str">
            <v>Ngaoundere</v>
          </cell>
          <cell r="N1285" t="str">
            <v>VINA</v>
          </cell>
          <cell r="O1285" t="str">
            <v>NGAOUNEDERE 1</v>
          </cell>
          <cell r="P1285" t="str">
            <v>Richard Nganmo</v>
          </cell>
          <cell r="Q1285">
            <v>655999898</v>
          </cell>
          <cell r="R1285">
            <v>673457084</v>
          </cell>
          <cell r="S1285" t="str">
            <v>Alain Etoundi</v>
          </cell>
          <cell r="T1285" t="str">
            <v>Valeur HOUELL</v>
          </cell>
          <cell r="U1285" t="str">
            <v>I H S</v>
          </cell>
        </row>
        <row r="1286">
          <cell r="A1286" t="str">
            <v>ADM_137</v>
          </cell>
          <cell r="B1286" t="str">
            <v>IHS_NGD_038</v>
          </cell>
          <cell r="C1286" t="str">
            <v>ADM_137</v>
          </cell>
          <cell r="D1286" t="str">
            <v>North</v>
          </cell>
          <cell r="E1286" t="str">
            <v>Adamawa</v>
          </cell>
          <cell r="F1286" t="str">
            <v>NGANHA</v>
          </cell>
          <cell r="G1286" t="str">
            <v>P4</v>
          </cell>
          <cell r="H1286" t="str">
            <v>Hybrid-Gen</v>
          </cell>
          <cell r="I1286" t="str">
            <v>On Air</v>
          </cell>
          <cell r="J1286" t="str">
            <v>Outdoor</v>
          </cell>
          <cell r="K1286" t="str">
            <v>AC</v>
          </cell>
          <cell r="L1286" t="str">
            <v>I-Eng</v>
          </cell>
          <cell r="M1286" t="str">
            <v>Ngaoundere</v>
          </cell>
          <cell r="N1286" t="str">
            <v>MAYO REY</v>
          </cell>
          <cell r="O1286" t="str">
            <v>NGANHA</v>
          </cell>
          <cell r="P1286" t="str">
            <v>Richard Nganmo</v>
          </cell>
          <cell r="Q1286">
            <v>655999898</v>
          </cell>
          <cell r="R1286">
            <v>673457084</v>
          </cell>
          <cell r="S1286" t="str">
            <v>Alain Etoundi</v>
          </cell>
          <cell r="T1286" t="str">
            <v>Valeur HOUELL</v>
          </cell>
          <cell r="U1286" t="str">
            <v>I H S</v>
          </cell>
        </row>
        <row r="1287">
          <cell r="A1287" t="str">
            <v>ADM_094</v>
          </cell>
          <cell r="B1287" t="str">
            <v>IHS_NGD_040</v>
          </cell>
          <cell r="C1287" t="str">
            <v>ADM_094</v>
          </cell>
          <cell r="D1287" t="str">
            <v>North</v>
          </cell>
          <cell r="E1287" t="str">
            <v>Adamawa</v>
          </cell>
          <cell r="F1287" t="str">
            <v>Tourningal</v>
          </cell>
          <cell r="G1287" t="str">
            <v>P4</v>
          </cell>
          <cell r="H1287" t="str">
            <v>Solar-Grid-Gen</v>
          </cell>
          <cell r="I1287" t="str">
            <v>On Air</v>
          </cell>
          <cell r="J1287" t="str">
            <v>Outdoor</v>
          </cell>
          <cell r="K1287" t="str">
            <v>AC</v>
          </cell>
          <cell r="L1287" t="str">
            <v>I-Eng</v>
          </cell>
          <cell r="M1287" t="str">
            <v>Ngaoundere</v>
          </cell>
          <cell r="N1287" t="str">
            <v>VINA</v>
          </cell>
          <cell r="O1287" t="str">
            <v>BELLEL</v>
          </cell>
          <cell r="P1287" t="str">
            <v>Richard Nganmo</v>
          </cell>
          <cell r="Q1287">
            <v>655999898</v>
          </cell>
          <cell r="R1287">
            <v>673457084</v>
          </cell>
          <cell r="S1287" t="str">
            <v>Alain Etoundi</v>
          </cell>
          <cell r="T1287" t="str">
            <v>Valeur HOUELL</v>
          </cell>
          <cell r="U1287" t="str">
            <v>I H S</v>
          </cell>
        </row>
        <row r="1288">
          <cell r="A1288" t="str">
            <v>ADM_069</v>
          </cell>
          <cell r="B1288" t="str">
            <v>IHS_NGD_026</v>
          </cell>
          <cell r="C1288" t="str">
            <v>ADM_069</v>
          </cell>
          <cell r="D1288" t="str">
            <v>North</v>
          </cell>
          <cell r="E1288" t="str">
            <v>Adamawa</v>
          </cell>
          <cell r="F1288" t="str">
            <v>Ngd-Bini</v>
          </cell>
          <cell r="G1288" t="str">
            <v>P5</v>
          </cell>
          <cell r="H1288" t="str">
            <v>Grid-Gen</v>
          </cell>
          <cell r="I1288" t="str">
            <v>On Air</v>
          </cell>
          <cell r="J1288" t="str">
            <v>Outdoor</v>
          </cell>
          <cell r="K1288" t="str">
            <v>AC</v>
          </cell>
          <cell r="L1288" t="str">
            <v>I-Eng</v>
          </cell>
          <cell r="M1288" t="str">
            <v>Ngaoundere</v>
          </cell>
          <cell r="N1288" t="str">
            <v>VINA</v>
          </cell>
          <cell r="O1288" t="str">
            <v>NGAOUNEDERE 1</v>
          </cell>
          <cell r="P1288" t="str">
            <v>Richard Nganmo</v>
          </cell>
          <cell r="Q1288">
            <v>655999898</v>
          </cell>
          <cell r="R1288">
            <v>673457084</v>
          </cell>
          <cell r="S1288" t="str">
            <v>Alain Etoundi</v>
          </cell>
          <cell r="T1288" t="str">
            <v>Valeur HOUELL</v>
          </cell>
          <cell r="U1288" t="str">
            <v>I H S</v>
          </cell>
        </row>
        <row r="1289">
          <cell r="A1289" t="str">
            <v>ADM_008</v>
          </cell>
          <cell r="B1289" t="str">
            <v>IHS_GAR_079</v>
          </cell>
          <cell r="C1289" t="str">
            <v>ADM_008</v>
          </cell>
          <cell r="D1289" t="str">
            <v>North</v>
          </cell>
          <cell r="E1289" t="str">
            <v>North</v>
          </cell>
          <cell r="F1289" t="str">
            <v>Baiboum</v>
          </cell>
          <cell r="G1289" t="str">
            <v>P5</v>
          </cell>
          <cell r="H1289" t="str">
            <v>Gen Only</v>
          </cell>
          <cell r="I1289" t="str">
            <v>On Air</v>
          </cell>
          <cell r="J1289" t="str">
            <v>Indoor</v>
          </cell>
          <cell r="K1289" t="str">
            <v>AC</v>
          </cell>
          <cell r="L1289" t="str">
            <v>I-Eng</v>
          </cell>
          <cell r="M1289" t="str">
            <v>Garoua 1</v>
          </cell>
          <cell r="N1289" t="str">
            <v>MAYO REY</v>
          </cell>
          <cell r="O1289" t="str">
            <v>touboro</v>
          </cell>
          <cell r="P1289" t="str">
            <v>Richard Nganmo</v>
          </cell>
          <cell r="Q1289">
            <v>655999898</v>
          </cell>
          <cell r="R1289">
            <v>673457084</v>
          </cell>
          <cell r="S1289" t="str">
            <v>Alain Etoundi</v>
          </cell>
          <cell r="T1289" t="str">
            <v>Valeur HOUELL</v>
          </cell>
          <cell r="U1289" t="str">
            <v>I H S</v>
          </cell>
        </row>
        <row r="1290">
          <cell r="A1290" t="str">
            <v>ADM_111</v>
          </cell>
          <cell r="B1290" t="str">
            <v>IHS_NGD_208</v>
          </cell>
          <cell r="C1290" t="str">
            <v>ADM_111</v>
          </cell>
          <cell r="D1290" t="str">
            <v>North</v>
          </cell>
          <cell r="E1290" t="str">
            <v>Adamawa</v>
          </cell>
          <cell r="F1290" t="str">
            <v>Deone</v>
          </cell>
          <cell r="G1290" t="str">
            <v>P5</v>
          </cell>
          <cell r="H1290" t="str">
            <v>Hybrid-Gen</v>
          </cell>
          <cell r="I1290" t="str">
            <v>On Air</v>
          </cell>
          <cell r="J1290" t="str">
            <v>Outdoor</v>
          </cell>
          <cell r="K1290" t="str">
            <v>AC</v>
          </cell>
          <cell r="L1290" t="str">
            <v>I-Eng</v>
          </cell>
          <cell r="M1290" t="str">
            <v>Ngaoundere</v>
          </cell>
          <cell r="N1290" t="str">
            <v>VINA</v>
          </cell>
          <cell r="O1290" t="str">
            <v>NGAOUNDERE 3</v>
          </cell>
          <cell r="P1290" t="str">
            <v>Richard Nganmo</v>
          </cell>
          <cell r="Q1290">
            <v>655999898</v>
          </cell>
          <cell r="R1290">
            <v>673457084</v>
          </cell>
          <cell r="S1290" t="str">
            <v>Alain Etoundi</v>
          </cell>
          <cell r="T1290" t="str">
            <v>Valeur HOUELL</v>
          </cell>
          <cell r="U1290" t="str">
            <v>I H S</v>
          </cell>
        </row>
        <row r="1291">
          <cell r="A1291" t="str">
            <v>ADM_131</v>
          </cell>
          <cell r="B1291" t="str">
            <v>IHS_NGD_020</v>
          </cell>
          <cell r="C1291" t="str">
            <v>ADM_131</v>
          </cell>
          <cell r="D1291" t="str">
            <v>North</v>
          </cell>
          <cell r="E1291" t="str">
            <v>Adamawa</v>
          </cell>
          <cell r="F1291" t="str">
            <v>Ngd-Bamyangal New</v>
          </cell>
          <cell r="G1291" t="str">
            <v>P5</v>
          </cell>
          <cell r="H1291" t="str">
            <v>Grid-Gen</v>
          </cell>
          <cell r="I1291" t="str">
            <v>On Air</v>
          </cell>
          <cell r="J1291" t="str">
            <v>Outdoor</v>
          </cell>
          <cell r="K1291" t="str">
            <v>AC</v>
          </cell>
          <cell r="L1291" t="str">
            <v>I-Eng</v>
          </cell>
          <cell r="M1291" t="str">
            <v>Ngaoundere</v>
          </cell>
          <cell r="N1291" t="str">
            <v>VINA</v>
          </cell>
          <cell r="O1291" t="str">
            <v>NGAOUNDERE 1</v>
          </cell>
          <cell r="P1291" t="str">
            <v>Richard Nganmo</v>
          </cell>
          <cell r="Q1291">
            <v>655999898</v>
          </cell>
          <cell r="R1291">
            <v>673457084</v>
          </cell>
          <cell r="S1291" t="str">
            <v>Alain Etoundi</v>
          </cell>
          <cell r="T1291" t="str">
            <v>Valeur HOUELL</v>
          </cell>
          <cell r="U1291" t="str">
            <v>I H S</v>
          </cell>
        </row>
        <row r="1292">
          <cell r="A1292" t="str">
            <v>ADM_158</v>
          </cell>
          <cell r="B1292" t="str">
            <v>IHS_NGD_227</v>
          </cell>
          <cell r="C1292" t="str">
            <v>ADM_158</v>
          </cell>
          <cell r="D1292" t="str">
            <v>North</v>
          </cell>
          <cell r="E1292" t="str">
            <v>Adamawa</v>
          </cell>
          <cell r="F1292" t="str">
            <v>Ngd-Baladji-II-IHS</v>
          </cell>
          <cell r="G1292" t="str">
            <v>P5</v>
          </cell>
          <cell r="H1292" t="str">
            <v>Grid-Gen</v>
          </cell>
          <cell r="I1292" t="str">
            <v>On Air</v>
          </cell>
          <cell r="J1292" t="str">
            <v>Outdoor</v>
          </cell>
          <cell r="K1292" t="str">
            <v>AC</v>
          </cell>
          <cell r="L1292" t="str">
            <v>I-Eng</v>
          </cell>
          <cell r="M1292" t="str">
            <v>Ngaoundere</v>
          </cell>
          <cell r="N1292" t="str">
            <v>VINA</v>
          </cell>
          <cell r="O1292" t="str">
            <v>NGAOUNDERE 1</v>
          </cell>
          <cell r="P1292" t="str">
            <v>Richard Nganmo</v>
          </cell>
          <cell r="Q1292">
            <v>655999898</v>
          </cell>
          <cell r="R1292">
            <v>673457084</v>
          </cell>
          <cell r="S1292" t="str">
            <v>Alain Etoundi</v>
          </cell>
          <cell r="T1292" t="str">
            <v>Valeur HOUELL</v>
          </cell>
          <cell r="U1292" t="str">
            <v>I H S</v>
          </cell>
        </row>
        <row r="1293">
          <cell r="A1293" t="str">
            <v>ADM_132</v>
          </cell>
          <cell r="B1293" t="str">
            <v>IHS_NGD_023</v>
          </cell>
          <cell r="C1293" t="str">
            <v>ADM_132</v>
          </cell>
          <cell r="D1293" t="str">
            <v>North</v>
          </cell>
          <cell r="E1293" t="str">
            <v>Adamawa</v>
          </cell>
          <cell r="F1293" t="str">
            <v>Beka-Hossere-MTN-IHS</v>
          </cell>
          <cell r="G1293" t="str">
            <v>P5</v>
          </cell>
          <cell r="H1293" t="str">
            <v>Grid-Gen</v>
          </cell>
          <cell r="I1293" t="str">
            <v>On Air</v>
          </cell>
          <cell r="J1293" t="str">
            <v>Outdoor</v>
          </cell>
          <cell r="K1293" t="str">
            <v>AC</v>
          </cell>
          <cell r="L1293" t="str">
            <v>I-Eng</v>
          </cell>
          <cell r="M1293" t="str">
            <v>Ngaoundere</v>
          </cell>
          <cell r="N1293" t="str">
            <v>VINA</v>
          </cell>
          <cell r="O1293" t="str">
            <v>NGAOUNDERE 1</v>
          </cell>
          <cell r="P1293" t="str">
            <v>Richard Nganmo</v>
          </cell>
          <cell r="Q1293">
            <v>655999898</v>
          </cell>
          <cell r="R1293">
            <v>673457084</v>
          </cell>
          <cell r="S1293" t="str">
            <v>Alain Etoundi</v>
          </cell>
          <cell r="T1293" t="str">
            <v>Valeur HOUELL</v>
          </cell>
          <cell r="U1293" t="str">
            <v>I H S</v>
          </cell>
        </row>
        <row r="1294">
          <cell r="A1294" t="str">
            <v>ADM_135</v>
          </cell>
          <cell r="B1294" t="str">
            <v>IHS_NGD_008</v>
          </cell>
          <cell r="C1294" t="str">
            <v>ADM_135</v>
          </cell>
          <cell r="D1294" t="str">
            <v>North</v>
          </cell>
          <cell r="E1294" t="str">
            <v>Adamawa</v>
          </cell>
          <cell r="F1294" t="str">
            <v>Ngd-Madagascar</v>
          </cell>
          <cell r="G1294" t="str">
            <v>P5</v>
          </cell>
          <cell r="H1294" t="str">
            <v>Grid-Gen</v>
          </cell>
          <cell r="I1294" t="str">
            <v>On Air</v>
          </cell>
          <cell r="J1294" t="str">
            <v>Outdoor</v>
          </cell>
          <cell r="K1294" t="str">
            <v>AC</v>
          </cell>
          <cell r="L1294" t="str">
            <v>I-Eng</v>
          </cell>
          <cell r="M1294" t="str">
            <v>Ngaoundere</v>
          </cell>
          <cell r="N1294" t="str">
            <v>VINA</v>
          </cell>
          <cell r="O1294" t="str">
            <v>NGAOUNDERE 1</v>
          </cell>
          <cell r="P1294" t="str">
            <v>Richard Nganmo</v>
          </cell>
          <cell r="Q1294">
            <v>655999898</v>
          </cell>
          <cell r="R1294">
            <v>673457084</v>
          </cell>
          <cell r="S1294" t="str">
            <v>Alain Etoundi</v>
          </cell>
          <cell r="T1294" t="str">
            <v>Valeur HOUELL</v>
          </cell>
          <cell r="U1294" t="str">
            <v>I H S</v>
          </cell>
        </row>
        <row r="1295">
          <cell r="A1295" t="str">
            <v>ADM_157</v>
          </cell>
          <cell r="B1295" t="str">
            <v>IHS_NGD_018</v>
          </cell>
          <cell r="C1295" t="str">
            <v>ADM_157</v>
          </cell>
          <cell r="D1295" t="str">
            <v>North</v>
          </cell>
          <cell r="E1295" t="str">
            <v>Adamawa</v>
          </cell>
          <cell r="F1295" t="str">
            <v>Ngd-Mbideng-IHS</v>
          </cell>
          <cell r="G1295" t="str">
            <v>P5</v>
          </cell>
          <cell r="H1295" t="str">
            <v>Grid-Gen</v>
          </cell>
          <cell r="I1295" t="str">
            <v>On Air</v>
          </cell>
          <cell r="J1295" t="str">
            <v>Outdoor</v>
          </cell>
          <cell r="K1295" t="str">
            <v>AC</v>
          </cell>
          <cell r="L1295" t="str">
            <v>I-Eng</v>
          </cell>
          <cell r="M1295" t="str">
            <v>Ngaoundere</v>
          </cell>
          <cell r="N1295" t="str">
            <v>VINA</v>
          </cell>
          <cell r="O1295" t="str">
            <v>NGAOUNEDERE 1</v>
          </cell>
          <cell r="P1295" t="str">
            <v>Richard Nganmo</v>
          </cell>
          <cell r="Q1295">
            <v>655999898</v>
          </cell>
          <cell r="R1295">
            <v>673457084</v>
          </cell>
          <cell r="S1295" t="str">
            <v>Alain Etoundi</v>
          </cell>
          <cell r="T1295" t="str">
            <v>Valeur HOUELL</v>
          </cell>
          <cell r="U1295" t="str">
            <v>I H S</v>
          </cell>
        </row>
        <row r="1296">
          <cell r="A1296" t="str">
            <v>ADM_077</v>
          </cell>
          <cell r="B1296" t="str">
            <v>IHS_NGD_013</v>
          </cell>
          <cell r="C1296" t="str">
            <v>ADM_077</v>
          </cell>
          <cell r="D1296" t="str">
            <v>North</v>
          </cell>
          <cell r="E1296" t="str">
            <v>Adamawa</v>
          </cell>
          <cell r="F1296" t="str">
            <v>Ngd-EPC-IHS</v>
          </cell>
          <cell r="G1296" t="str">
            <v>P5</v>
          </cell>
          <cell r="H1296" t="str">
            <v>Grid-Gen</v>
          </cell>
          <cell r="I1296" t="str">
            <v>On Air</v>
          </cell>
          <cell r="J1296" t="str">
            <v>Outdoor</v>
          </cell>
          <cell r="K1296" t="str">
            <v>AC</v>
          </cell>
          <cell r="L1296" t="str">
            <v>I-Eng</v>
          </cell>
          <cell r="M1296" t="str">
            <v>Ngaoundere</v>
          </cell>
          <cell r="N1296" t="str">
            <v>VINA</v>
          </cell>
          <cell r="O1296" t="str">
            <v>NGAOUNEDERE 1</v>
          </cell>
          <cell r="P1296" t="str">
            <v>Richard Nganmo</v>
          </cell>
          <cell r="Q1296">
            <v>655999898</v>
          </cell>
          <cell r="R1296">
            <v>673457084</v>
          </cell>
          <cell r="S1296" t="str">
            <v>Alain Etoundi</v>
          </cell>
          <cell r="T1296" t="str">
            <v>Valeur HOUELL</v>
          </cell>
          <cell r="U1296" t="str">
            <v>I H S</v>
          </cell>
        </row>
        <row r="1297">
          <cell r="A1297" t="str">
            <v>ADM_083</v>
          </cell>
          <cell r="B1297" t="str">
            <v>IHS_NGD_030</v>
          </cell>
          <cell r="C1297" t="str">
            <v>ADM_083</v>
          </cell>
          <cell r="D1297" t="str">
            <v>North</v>
          </cell>
          <cell r="E1297" t="str">
            <v>Adamawa</v>
          </cell>
          <cell r="F1297" t="str">
            <v>Ngd-Dang-MTN-IHS</v>
          </cell>
          <cell r="G1297" t="str">
            <v>P5</v>
          </cell>
          <cell r="H1297" t="str">
            <v>Grid-Gen</v>
          </cell>
          <cell r="I1297" t="str">
            <v>On Air</v>
          </cell>
          <cell r="J1297" t="str">
            <v>Outdoor</v>
          </cell>
          <cell r="K1297" t="str">
            <v>AC</v>
          </cell>
          <cell r="L1297" t="str">
            <v>I-Eng</v>
          </cell>
          <cell r="M1297" t="str">
            <v>Ngaoundere</v>
          </cell>
          <cell r="N1297" t="str">
            <v>VINA</v>
          </cell>
          <cell r="O1297" t="str">
            <v>NGAOUNEDERE 3</v>
          </cell>
          <cell r="P1297" t="str">
            <v>Richard Nganmo</v>
          </cell>
          <cell r="Q1297">
            <v>655999898</v>
          </cell>
          <cell r="R1297">
            <v>673457084</v>
          </cell>
          <cell r="S1297" t="str">
            <v>Alain Etoundi</v>
          </cell>
          <cell r="T1297" t="str">
            <v>Valeur HOUELL</v>
          </cell>
          <cell r="U1297" t="str">
            <v>I H S</v>
          </cell>
        </row>
        <row r="1298">
          <cell r="A1298" t="str">
            <v>ADM_136</v>
          </cell>
          <cell r="B1298" t="str">
            <v>IHS_NGD_057</v>
          </cell>
          <cell r="C1298" t="str">
            <v>ADM_136</v>
          </cell>
          <cell r="D1298" t="str">
            <v>North</v>
          </cell>
          <cell r="E1298" t="str">
            <v>Adamawa</v>
          </cell>
          <cell r="F1298" t="str">
            <v>Ngd-Bamyanga2-IHS</v>
          </cell>
          <cell r="G1298" t="str">
            <v>P5</v>
          </cell>
          <cell r="H1298" t="str">
            <v>Grid-Gen</v>
          </cell>
          <cell r="I1298" t="str">
            <v>On Air</v>
          </cell>
          <cell r="J1298" t="str">
            <v>Outdoor</v>
          </cell>
          <cell r="K1298" t="str">
            <v>AC</v>
          </cell>
          <cell r="L1298" t="str">
            <v>I-Eng</v>
          </cell>
          <cell r="M1298" t="str">
            <v>Ngaoundere</v>
          </cell>
          <cell r="N1298" t="str">
            <v>VINA</v>
          </cell>
          <cell r="O1298" t="str">
            <v>NGAOUNEDERE 1</v>
          </cell>
          <cell r="P1298" t="str">
            <v>Richard Nganmo</v>
          </cell>
          <cell r="Q1298">
            <v>655999898</v>
          </cell>
          <cell r="R1298">
            <v>673457084</v>
          </cell>
          <cell r="S1298" t="str">
            <v>Alain Etoundi</v>
          </cell>
          <cell r="T1298" t="str">
            <v>Valeur HOUELL</v>
          </cell>
          <cell r="U1298" t="str">
            <v>I H S</v>
          </cell>
        </row>
        <row r="1299">
          <cell r="A1299" t="str">
            <v>ADM_108</v>
          </cell>
          <cell r="B1299" t="str">
            <v>IHS_NGD_042</v>
          </cell>
          <cell r="C1299" t="str">
            <v>ADM_108</v>
          </cell>
          <cell r="D1299" t="str">
            <v>North</v>
          </cell>
          <cell r="E1299" t="str">
            <v>Adamawa</v>
          </cell>
          <cell r="F1299" t="str">
            <v>TELLO</v>
          </cell>
          <cell r="G1299" t="str">
            <v>P5</v>
          </cell>
          <cell r="H1299" t="str">
            <v>Grid-Hybrid-Gen</v>
          </cell>
          <cell r="I1299" t="str">
            <v>On Air</v>
          </cell>
          <cell r="J1299" t="str">
            <v>Outdoor</v>
          </cell>
          <cell r="K1299" t="str">
            <v>AC</v>
          </cell>
          <cell r="L1299" t="str">
            <v>I-Eng</v>
          </cell>
          <cell r="M1299" t="str">
            <v>Ngaoundere</v>
          </cell>
          <cell r="N1299" t="str">
            <v>VINA</v>
          </cell>
          <cell r="O1299" t="str">
            <v>BELLEL</v>
          </cell>
          <cell r="P1299" t="str">
            <v>Richard Nganmo</v>
          </cell>
          <cell r="Q1299">
            <v>655999898</v>
          </cell>
          <cell r="R1299">
            <v>673457084</v>
          </cell>
          <cell r="S1299" t="str">
            <v>Alain Etoundi</v>
          </cell>
          <cell r="T1299" t="str">
            <v>Valeur HOUELL</v>
          </cell>
          <cell r="U1299" t="str">
            <v>I H S</v>
          </cell>
        </row>
        <row r="1300">
          <cell r="A1300" t="str">
            <v>ADM_093</v>
          </cell>
          <cell r="B1300" t="str">
            <v>IHS_NGD_034</v>
          </cell>
          <cell r="C1300" t="str">
            <v>ADM_093</v>
          </cell>
          <cell r="D1300" t="str">
            <v>North</v>
          </cell>
          <cell r="E1300" t="str">
            <v>Adamawa</v>
          </cell>
          <cell r="F1300" t="str">
            <v>Laore</v>
          </cell>
          <cell r="G1300" t="str">
            <v>P5</v>
          </cell>
          <cell r="H1300" t="str">
            <v>Solar-Gen</v>
          </cell>
          <cell r="I1300" t="str">
            <v>On Air</v>
          </cell>
          <cell r="J1300" t="str">
            <v>Outdoor</v>
          </cell>
          <cell r="K1300" t="str">
            <v>AC</v>
          </cell>
          <cell r="L1300" t="str">
            <v>I-Eng</v>
          </cell>
          <cell r="M1300" t="str">
            <v>Ngaoundere</v>
          </cell>
          <cell r="N1300" t="str">
            <v>VINA</v>
          </cell>
          <cell r="O1300" t="str">
            <v>NGAOUNDERE 1</v>
          </cell>
          <cell r="P1300" t="str">
            <v>Richard Nganmo</v>
          </cell>
          <cell r="Q1300">
            <v>655999898</v>
          </cell>
          <cell r="R1300">
            <v>673457084</v>
          </cell>
          <cell r="S1300" t="str">
            <v>Alain Etoundi</v>
          </cell>
          <cell r="T1300" t="str">
            <v>Valeur HOUELL</v>
          </cell>
          <cell r="U1300" t="str">
            <v>I H S</v>
          </cell>
        </row>
        <row r="1301">
          <cell r="A1301" t="str">
            <v>ADM_112</v>
          </cell>
          <cell r="B1301" t="str">
            <v>IHS_GAR_120</v>
          </cell>
          <cell r="C1301" t="str">
            <v>ADM_112</v>
          </cell>
          <cell r="D1301" t="str">
            <v>North</v>
          </cell>
          <cell r="E1301" t="str">
            <v>North</v>
          </cell>
          <cell r="F1301" t="str">
            <v>Home</v>
          </cell>
          <cell r="G1301" t="str">
            <v>P5</v>
          </cell>
          <cell r="H1301" t="str">
            <v>Hybrid-Gen</v>
          </cell>
          <cell r="I1301" t="str">
            <v>On Air</v>
          </cell>
          <cell r="J1301" t="str">
            <v>Outdoor</v>
          </cell>
          <cell r="K1301" t="str">
            <v>AC</v>
          </cell>
          <cell r="L1301" t="str">
            <v>I-Eng</v>
          </cell>
          <cell r="M1301" t="str">
            <v>Garoua 1</v>
          </cell>
          <cell r="N1301" t="str">
            <v>MAYO REY</v>
          </cell>
          <cell r="O1301" t="str">
            <v>touboro</v>
          </cell>
          <cell r="P1301" t="str">
            <v>Richard Nganmo</v>
          </cell>
          <cell r="Q1301">
            <v>655999898</v>
          </cell>
          <cell r="R1301">
            <v>673457084</v>
          </cell>
          <cell r="S1301" t="str">
            <v>Alain Etoundi</v>
          </cell>
          <cell r="T1301" t="str">
            <v>Valeur HOUELL</v>
          </cell>
          <cell r="U1301" t="str">
            <v>I H S</v>
          </cell>
        </row>
        <row r="1302">
          <cell r="A1302" t="str">
            <v>EST_017</v>
          </cell>
          <cell r="B1302" t="str">
            <v>IHS_BER_064</v>
          </cell>
          <cell r="C1302" t="str">
            <v>EST_017</v>
          </cell>
          <cell r="D1302" t="str">
            <v>Center</v>
          </cell>
          <cell r="E1302" t="str">
            <v>Center</v>
          </cell>
          <cell r="F1302" t="str">
            <v>Atok</v>
          </cell>
          <cell r="G1302" t="str">
            <v>P2</v>
          </cell>
          <cell r="H1302" t="str">
            <v>Grid-Hybrid-Gen</v>
          </cell>
          <cell r="I1302" t="str">
            <v>On Air</v>
          </cell>
          <cell r="J1302" t="str">
            <v>Indoor</v>
          </cell>
          <cell r="K1302" t="str">
            <v>AC</v>
          </cell>
          <cell r="L1302" t="str">
            <v>Dowen</v>
          </cell>
          <cell r="M1302" t="str">
            <v>Akonolinga</v>
          </cell>
          <cell r="N1302" t="str">
            <v>HAUT-NYONG</v>
          </cell>
          <cell r="O1302" t="str">
            <v>ATOK</v>
          </cell>
          <cell r="P1302" t="str">
            <v>Rodrigue Kuate</v>
          </cell>
          <cell r="Q1302">
            <v>677549185</v>
          </cell>
          <cell r="R1302">
            <v>656993741</v>
          </cell>
          <cell r="S1302" t="str">
            <v>Desire Moussinga</v>
          </cell>
          <cell r="T1302" t="str">
            <v>Valeur HOUELL</v>
          </cell>
          <cell r="U1302" t="str">
            <v>I H S</v>
          </cell>
        </row>
        <row r="1303">
          <cell r="A1303" t="str">
            <v>EST_018</v>
          </cell>
          <cell r="B1303" t="str">
            <v>IHS_YND_441</v>
          </cell>
          <cell r="C1303" t="str">
            <v>EST_018</v>
          </cell>
          <cell r="D1303" t="str">
            <v>Center</v>
          </cell>
          <cell r="E1303" t="str">
            <v>Center</v>
          </cell>
          <cell r="F1303" t="str">
            <v>Ayos</v>
          </cell>
          <cell r="G1303" t="str">
            <v>P2</v>
          </cell>
          <cell r="H1303" t="str">
            <v>Grid-Gen</v>
          </cell>
          <cell r="I1303" t="str">
            <v>On Air</v>
          </cell>
          <cell r="J1303" t="str">
            <v>Indoor</v>
          </cell>
          <cell r="K1303" t="str">
            <v>AC</v>
          </cell>
          <cell r="L1303" t="str">
            <v>Dowen</v>
          </cell>
          <cell r="M1303" t="str">
            <v>Akonolinga</v>
          </cell>
          <cell r="N1303" t="str">
            <v>NYONG-ET-MFOUMOU</v>
          </cell>
          <cell r="O1303" t="str">
            <v>AYOS</v>
          </cell>
          <cell r="P1303" t="str">
            <v>Rodrigue Kuate</v>
          </cell>
          <cell r="Q1303">
            <v>677549185</v>
          </cell>
          <cell r="R1303">
            <v>656993741</v>
          </cell>
          <cell r="S1303" t="str">
            <v>Desire Moussinga</v>
          </cell>
          <cell r="T1303" t="str">
            <v>Valeur HOUELL</v>
          </cell>
          <cell r="U1303" t="str">
            <v>I H S</v>
          </cell>
        </row>
        <row r="1304">
          <cell r="A1304" t="str">
            <v>CTR_146</v>
          </cell>
          <cell r="B1304" t="str">
            <v>IHS_YND_399</v>
          </cell>
          <cell r="C1304" t="str">
            <v>CTR_146</v>
          </cell>
          <cell r="D1304" t="str">
            <v>Center</v>
          </cell>
          <cell r="E1304" t="str">
            <v>Center</v>
          </cell>
          <cell r="F1304" t="str">
            <v>Mekouda</v>
          </cell>
          <cell r="G1304" t="str">
            <v>P2</v>
          </cell>
          <cell r="H1304" t="str">
            <v>Grid-Gen</v>
          </cell>
          <cell r="I1304" t="str">
            <v>On Air</v>
          </cell>
          <cell r="J1304" t="str">
            <v>Indoor</v>
          </cell>
          <cell r="K1304" t="str">
            <v>AC</v>
          </cell>
          <cell r="L1304" t="str">
            <v>Dowen</v>
          </cell>
          <cell r="M1304" t="str">
            <v>Akonolinga</v>
          </cell>
          <cell r="N1304" t="str">
            <v>NYONG-ET-MFOUMOU</v>
          </cell>
          <cell r="O1304" t="str">
            <v>AKONOLINGA</v>
          </cell>
          <cell r="P1304" t="str">
            <v>Rodrigue Kuate</v>
          </cell>
          <cell r="Q1304">
            <v>677549185</v>
          </cell>
          <cell r="R1304">
            <v>656993741</v>
          </cell>
          <cell r="S1304" t="str">
            <v>Desire Moussinga</v>
          </cell>
          <cell r="T1304" t="str">
            <v>Valeur HOUELL</v>
          </cell>
          <cell r="U1304" t="str">
            <v>I H S</v>
          </cell>
        </row>
        <row r="1305">
          <cell r="A1305" t="str">
            <v>CTR_211</v>
          </cell>
          <cell r="B1305" t="str">
            <v>IHS_YND_248</v>
          </cell>
          <cell r="C1305" t="str">
            <v>CTR_211</v>
          </cell>
          <cell r="D1305" t="str">
            <v>Center</v>
          </cell>
          <cell r="E1305" t="str">
            <v>Center</v>
          </cell>
          <cell r="F1305" t="str">
            <v>Biteng</v>
          </cell>
          <cell r="G1305" t="str">
            <v>P2</v>
          </cell>
          <cell r="H1305" t="str">
            <v>Grid-Gen</v>
          </cell>
          <cell r="I1305" t="str">
            <v>On Air</v>
          </cell>
          <cell r="J1305" t="str">
            <v>Outdoor</v>
          </cell>
          <cell r="K1305" t="str">
            <v>AC</v>
          </cell>
          <cell r="L1305" t="str">
            <v>SAGEMCOM</v>
          </cell>
          <cell r="M1305" t="str">
            <v>Nkomo</v>
          </cell>
          <cell r="N1305" t="str">
            <v>MFOUNDI</v>
          </cell>
          <cell r="O1305" t="str">
            <v>YAOUNDE 4</v>
          </cell>
          <cell r="P1305" t="str">
            <v>Rodrigue Kuate</v>
          </cell>
          <cell r="Q1305">
            <v>677549185</v>
          </cell>
          <cell r="R1305">
            <v>656993741</v>
          </cell>
          <cell r="S1305" t="str">
            <v>Desire Moussinga</v>
          </cell>
          <cell r="T1305" t="str">
            <v>Valeur HOUELL</v>
          </cell>
          <cell r="U1305" t="str">
            <v>I H S</v>
          </cell>
        </row>
        <row r="1306">
          <cell r="A1306" t="str">
            <v>CTR_112</v>
          </cell>
          <cell r="B1306" t="str">
            <v>IHS_YND_355</v>
          </cell>
          <cell r="C1306" t="str">
            <v>CTR_112</v>
          </cell>
          <cell r="D1306" t="str">
            <v>Center</v>
          </cell>
          <cell r="E1306" t="str">
            <v>Center</v>
          </cell>
          <cell r="F1306" t="str">
            <v>Awae</v>
          </cell>
          <cell r="G1306" t="str">
            <v>P3</v>
          </cell>
          <cell r="H1306" t="str">
            <v>Grid-Gen</v>
          </cell>
          <cell r="I1306" t="str">
            <v>On Air</v>
          </cell>
          <cell r="J1306" t="str">
            <v>Indoor</v>
          </cell>
          <cell r="K1306" t="str">
            <v>AC</v>
          </cell>
          <cell r="L1306" t="str">
            <v>Dowen</v>
          </cell>
          <cell r="M1306" t="str">
            <v>Akonolinga</v>
          </cell>
          <cell r="N1306" t="str">
            <v>MEFOU-ET-AFAMBA</v>
          </cell>
          <cell r="O1306" t="str">
            <v>NKOLAFAMBA</v>
          </cell>
          <cell r="P1306" t="str">
            <v>Rodrigue Kuate</v>
          </cell>
          <cell r="Q1306">
            <v>677549185</v>
          </cell>
          <cell r="R1306">
            <v>656993741</v>
          </cell>
          <cell r="S1306" t="str">
            <v>Desire Moussinga</v>
          </cell>
          <cell r="T1306" t="str">
            <v>Valeur HOUELL</v>
          </cell>
          <cell r="U1306" t="str">
            <v>I H S</v>
          </cell>
        </row>
        <row r="1307">
          <cell r="A1307" t="str">
            <v>CTR_315</v>
          </cell>
          <cell r="B1307" t="str">
            <v>IHS_YND_292</v>
          </cell>
          <cell r="C1307" t="str">
            <v>CTR_315</v>
          </cell>
          <cell r="D1307" t="str">
            <v>Center</v>
          </cell>
          <cell r="E1307" t="str">
            <v>Center</v>
          </cell>
          <cell r="F1307" t="str">
            <v>Bitoto</v>
          </cell>
          <cell r="G1307" t="str">
            <v>P3</v>
          </cell>
          <cell r="H1307" t="str">
            <v>Grid-Gen</v>
          </cell>
          <cell r="I1307" t="str">
            <v>On Air</v>
          </cell>
          <cell r="J1307" t="str">
            <v>Outdoor</v>
          </cell>
          <cell r="K1307" t="str">
            <v>AC</v>
          </cell>
          <cell r="L1307" t="str">
            <v>SAGEMCOM</v>
          </cell>
          <cell r="M1307" t="str">
            <v>Nkomo</v>
          </cell>
          <cell r="N1307" t="str">
            <v>MEFOU-ET-AFAMBA</v>
          </cell>
          <cell r="O1307" t="str">
            <v>MFOU</v>
          </cell>
          <cell r="P1307" t="str">
            <v>Rodrigue Kuate</v>
          </cell>
          <cell r="Q1307">
            <v>677549185</v>
          </cell>
          <cell r="R1307">
            <v>656993741</v>
          </cell>
          <cell r="S1307" t="str">
            <v>Desire Moussinga</v>
          </cell>
          <cell r="T1307" t="str">
            <v>Valeur HOUELL</v>
          </cell>
          <cell r="U1307" t="str">
            <v>I H S</v>
          </cell>
        </row>
        <row r="1308">
          <cell r="A1308" t="str">
            <v>CTR_084</v>
          </cell>
          <cell r="B1308" t="str">
            <v>IHS_YND_294</v>
          </cell>
          <cell r="C1308" t="str">
            <v>CTR_084</v>
          </cell>
          <cell r="D1308" t="str">
            <v>Center</v>
          </cell>
          <cell r="E1308" t="str">
            <v>Center</v>
          </cell>
          <cell r="F1308" t="str">
            <v>Nkoabang</v>
          </cell>
          <cell r="G1308" t="str">
            <v>P3</v>
          </cell>
          <cell r="H1308" t="str">
            <v>Grid-Gen</v>
          </cell>
          <cell r="I1308" t="str">
            <v>On Air</v>
          </cell>
          <cell r="J1308" t="str">
            <v>Indoor</v>
          </cell>
          <cell r="K1308" t="str">
            <v>AC</v>
          </cell>
          <cell r="L1308" t="str">
            <v>SAGEMCOM</v>
          </cell>
          <cell r="M1308" t="str">
            <v>Nkomo</v>
          </cell>
          <cell r="N1308" t="str">
            <v>MEFOU-ET-AFAMBA</v>
          </cell>
          <cell r="O1308" t="str">
            <v>NKOLAFAMBA</v>
          </cell>
          <cell r="P1308" t="str">
            <v>Rodrigue Kuate</v>
          </cell>
          <cell r="Q1308">
            <v>677549185</v>
          </cell>
          <cell r="R1308">
            <v>656993741</v>
          </cell>
          <cell r="S1308" t="str">
            <v>Desire Moussinga</v>
          </cell>
          <cell r="T1308" t="str">
            <v>Valeur HOUELL</v>
          </cell>
          <cell r="U1308" t="str">
            <v>I H S</v>
          </cell>
        </row>
        <row r="1309">
          <cell r="A1309" t="str">
            <v>CTR_247</v>
          </cell>
          <cell r="B1309" t="str">
            <v>IHS_YND_289</v>
          </cell>
          <cell r="C1309" t="str">
            <v>CTR_247</v>
          </cell>
          <cell r="D1309" t="str">
            <v>Center</v>
          </cell>
          <cell r="E1309" t="str">
            <v>Center</v>
          </cell>
          <cell r="F1309" t="str">
            <v>Nkolangaa</v>
          </cell>
          <cell r="G1309" t="str">
            <v>P3</v>
          </cell>
          <cell r="H1309" t="str">
            <v>Grid-Gen</v>
          </cell>
          <cell r="I1309" t="str">
            <v>On Air</v>
          </cell>
          <cell r="J1309" t="str">
            <v>Outdoor</v>
          </cell>
          <cell r="K1309" t="str">
            <v>AC</v>
          </cell>
          <cell r="L1309" t="str">
            <v>SAGEMCOM</v>
          </cell>
          <cell r="M1309" t="str">
            <v>Nkomo</v>
          </cell>
          <cell r="N1309" t="str">
            <v>MEFOU-ET-AFAMBA</v>
          </cell>
          <cell r="O1309" t="str">
            <v>NKOLAFAMBA</v>
          </cell>
          <cell r="P1309" t="str">
            <v>Rodrigue Kuate</v>
          </cell>
          <cell r="Q1309">
            <v>677549185</v>
          </cell>
          <cell r="R1309">
            <v>656993741</v>
          </cell>
          <cell r="S1309" t="str">
            <v>Desire Moussinga</v>
          </cell>
          <cell r="T1309" t="str">
            <v>Valeur HOUELL</v>
          </cell>
          <cell r="U1309" t="str">
            <v>I H S</v>
          </cell>
        </row>
        <row r="1310">
          <cell r="A1310" t="str">
            <v>CTR_236</v>
          </cell>
          <cell r="B1310" t="str">
            <v>IHS_YND_177</v>
          </cell>
          <cell r="C1310" t="str">
            <v>CTR_236</v>
          </cell>
          <cell r="D1310" t="str">
            <v>Center</v>
          </cell>
          <cell r="E1310" t="str">
            <v>Center</v>
          </cell>
          <cell r="F1310" t="str">
            <v>Awae-Yde</v>
          </cell>
          <cell r="G1310" t="str">
            <v>P3</v>
          </cell>
          <cell r="H1310" t="str">
            <v>Grid-Gen</v>
          </cell>
          <cell r="I1310" t="str">
            <v>On Air</v>
          </cell>
          <cell r="J1310" t="str">
            <v>Outdoor</v>
          </cell>
          <cell r="K1310" t="str">
            <v>AC</v>
          </cell>
          <cell r="L1310" t="str">
            <v>SAGEMCOM</v>
          </cell>
          <cell r="M1310" t="str">
            <v>Nkomo</v>
          </cell>
          <cell r="N1310" t="str">
            <v>MEFOU-ET-AFAMBA</v>
          </cell>
          <cell r="O1310" t="str">
            <v>NKOLAFAMBA</v>
          </cell>
          <cell r="P1310" t="str">
            <v>Rodrigue Kuate</v>
          </cell>
          <cell r="Q1310">
            <v>677549185</v>
          </cell>
          <cell r="R1310">
            <v>656993741</v>
          </cell>
          <cell r="S1310" t="str">
            <v>Desire Moussinga</v>
          </cell>
          <cell r="T1310" t="str">
            <v>Valeur HOUELL</v>
          </cell>
          <cell r="U1310" t="str">
            <v>I H S</v>
          </cell>
        </row>
        <row r="1311">
          <cell r="A1311" t="str">
            <v>CTR_109</v>
          </cell>
          <cell r="B1311" t="str">
            <v>IHS_YND_037</v>
          </cell>
          <cell r="C1311" t="str">
            <v>CTR_109</v>
          </cell>
          <cell r="D1311" t="str">
            <v>Center</v>
          </cell>
          <cell r="E1311" t="str">
            <v>Center</v>
          </cell>
          <cell r="F1311" t="str">
            <v>Nkolndongo</v>
          </cell>
          <cell r="G1311" t="str">
            <v>P3</v>
          </cell>
          <cell r="H1311" t="str">
            <v>Grid-Gen</v>
          </cell>
          <cell r="I1311" t="str">
            <v>On Air</v>
          </cell>
          <cell r="J1311" t="str">
            <v>Indoor</v>
          </cell>
          <cell r="K1311" t="str">
            <v>AC</v>
          </cell>
          <cell r="L1311" t="str">
            <v>SAGEMCOM</v>
          </cell>
          <cell r="M1311" t="str">
            <v>Essos</v>
          </cell>
          <cell r="N1311" t="str">
            <v>MFOUNDI</v>
          </cell>
          <cell r="O1311" t="str">
            <v>YAOUNDE 5</v>
          </cell>
          <cell r="P1311" t="str">
            <v>Rodrigue Kuate</v>
          </cell>
          <cell r="Q1311">
            <v>677549185</v>
          </cell>
          <cell r="R1311">
            <v>656993741</v>
          </cell>
          <cell r="S1311" t="str">
            <v>Desire Moussinga</v>
          </cell>
          <cell r="T1311" t="str">
            <v>Valeur HOUELL</v>
          </cell>
          <cell r="U1311" t="str">
            <v>I H S</v>
          </cell>
        </row>
        <row r="1312">
          <cell r="A1312" t="str">
            <v>CTR_348</v>
          </cell>
          <cell r="B1312" t="str">
            <v>IHS_YND_356</v>
          </cell>
          <cell r="C1312" t="str">
            <v>CTR_348</v>
          </cell>
          <cell r="D1312" t="str">
            <v>Center</v>
          </cell>
          <cell r="E1312" t="str">
            <v>Center</v>
          </cell>
          <cell r="F1312" t="str">
            <v>Essiezik</v>
          </cell>
          <cell r="G1312" t="str">
            <v>P4</v>
          </cell>
          <cell r="H1312" t="str">
            <v>Hybrid-Gen</v>
          </cell>
          <cell r="I1312" t="str">
            <v>On Air</v>
          </cell>
          <cell r="J1312" t="str">
            <v>Outdoor</v>
          </cell>
          <cell r="K1312" t="str">
            <v>AC</v>
          </cell>
          <cell r="L1312" t="str">
            <v>Dowen</v>
          </cell>
          <cell r="M1312" t="str">
            <v>Akonolinga</v>
          </cell>
          <cell r="N1312" t="str">
            <v>NYONG-ET-MFOUMOU</v>
          </cell>
          <cell r="O1312" t="str">
            <v>NKOLAFAMBA</v>
          </cell>
          <cell r="P1312" t="str">
            <v>Rodrigue Kuate</v>
          </cell>
          <cell r="Q1312">
            <v>677549185</v>
          </cell>
          <cell r="R1312">
            <v>656993741</v>
          </cell>
          <cell r="S1312" t="str">
            <v>Desire Moussinga</v>
          </cell>
          <cell r="T1312" t="str">
            <v>Valeur HOUELL</v>
          </cell>
          <cell r="U1312" t="str">
            <v>I H S</v>
          </cell>
        </row>
        <row r="1313">
          <cell r="A1313" t="str">
            <v>CTR_353</v>
          </cell>
          <cell r="B1313" t="str">
            <v>IHS_YND_413</v>
          </cell>
          <cell r="C1313" t="str">
            <v>CTR_353</v>
          </cell>
          <cell r="D1313" t="str">
            <v>Center</v>
          </cell>
          <cell r="E1313" t="str">
            <v>Center</v>
          </cell>
          <cell r="F1313" t="str">
            <v>Nguinda</v>
          </cell>
          <cell r="G1313" t="str">
            <v>P4</v>
          </cell>
          <cell r="H1313" t="str">
            <v>Grid-Gen</v>
          </cell>
          <cell r="I1313" t="str">
            <v>On Air</v>
          </cell>
          <cell r="J1313" t="str">
            <v>Outdoor</v>
          </cell>
          <cell r="K1313" t="str">
            <v>AC</v>
          </cell>
          <cell r="L1313" t="str">
            <v>Dowen</v>
          </cell>
          <cell r="M1313" t="str">
            <v>Akonolinga</v>
          </cell>
          <cell r="N1313" t="str">
            <v>NYONG-ET-MFOUMOU</v>
          </cell>
          <cell r="O1313" t="str">
            <v>AYOS</v>
          </cell>
          <cell r="P1313" t="str">
            <v>Rodrigue Kuate</v>
          </cell>
          <cell r="Q1313">
            <v>677549185</v>
          </cell>
          <cell r="R1313">
            <v>656993741</v>
          </cell>
          <cell r="S1313" t="str">
            <v>Desire Moussinga</v>
          </cell>
          <cell r="T1313" t="str">
            <v>Valeur HOUELL</v>
          </cell>
          <cell r="U1313" t="str">
            <v>I H S</v>
          </cell>
        </row>
        <row r="1314">
          <cell r="A1314" t="str">
            <v>CTR_134</v>
          </cell>
          <cell r="B1314" t="str">
            <v>IHS_YND_398</v>
          </cell>
          <cell r="C1314" t="str">
            <v>CTR_134</v>
          </cell>
          <cell r="D1314" t="str">
            <v>Center</v>
          </cell>
          <cell r="E1314" t="str">
            <v>Center</v>
          </cell>
          <cell r="F1314" t="str">
            <v>Akonolinga Town</v>
          </cell>
          <cell r="G1314" t="str">
            <v>P4</v>
          </cell>
          <cell r="H1314" t="str">
            <v>Grid-Gen</v>
          </cell>
          <cell r="I1314" t="str">
            <v>On Air</v>
          </cell>
          <cell r="J1314" t="str">
            <v>Indoor</v>
          </cell>
          <cell r="K1314" t="str">
            <v>AC</v>
          </cell>
          <cell r="L1314" t="str">
            <v>Dowen</v>
          </cell>
          <cell r="M1314" t="str">
            <v>Akonolinga</v>
          </cell>
          <cell r="N1314" t="str">
            <v>MEFOU-ET-AFAMBA</v>
          </cell>
          <cell r="O1314" t="str">
            <v>ESSE</v>
          </cell>
          <cell r="P1314" t="str">
            <v>Rodrigue Kuate</v>
          </cell>
          <cell r="Q1314">
            <v>677549185</v>
          </cell>
          <cell r="R1314">
            <v>656993741</v>
          </cell>
          <cell r="S1314" t="str">
            <v>Desire Moussinga</v>
          </cell>
          <cell r="T1314" t="str">
            <v>Valeur HOUELL</v>
          </cell>
          <cell r="U1314" t="str">
            <v>I H S</v>
          </cell>
        </row>
        <row r="1315">
          <cell r="A1315" t="str">
            <v>CTR_349</v>
          </cell>
          <cell r="B1315" t="str">
            <v>IHS_YND_315</v>
          </cell>
          <cell r="C1315" t="str">
            <v>CTR_349</v>
          </cell>
          <cell r="D1315" t="str">
            <v>Center</v>
          </cell>
          <cell r="E1315" t="str">
            <v>Center</v>
          </cell>
          <cell r="F1315" t="str">
            <v>Ayoumgong-MTN</v>
          </cell>
          <cell r="G1315" t="str">
            <v>P4</v>
          </cell>
          <cell r="H1315" t="str">
            <v>Grid-Gen</v>
          </cell>
          <cell r="I1315" t="str">
            <v>On Air</v>
          </cell>
          <cell r="J1315" t="str">
            <v>Indoor</v>
          </cell>
          <cell r="K1315" t="str">
            <v>AC</v>
          </cell>
          <cell r="L1315" t="str">
            <v>Dowen</v>
          </cell>
          <cell r="M1315" t="str">
            <v>Akonolinga</v>
          </cell>
          <cell r="N1315" t="str">
            <v>MEFOU-ET-AFAMBA</v>
          </cell>
          <cell r="O1315" t="str">
            <v>NKOLAFAMBA</v>
          </cell>
          <cell r="P1315" t="str">
            <v>Rodrigue Kuate</v>
          </cell>
          <cell r="Q1315">
            <v>677549185</v>
          </cell>
          <cell r="R1315">
            <v>656993741</v>
          </cell>
          <cell r="S1315" t="str">
            <v>Desire Moussinga</v>
          </cell>
          <cell r="T1315" t="str">
            <v>Valeur HOUELL</v>
          </cell>
          <cell r="U1315" t="str">
            <v>I H S</v>
          </cell>
        </row>
        <row r="1316">
          <cell r="A1316" t="str">
            <v>CTR_307</v>
          </cell>
          <cell r="B1316" t="str">
            <v>IHS_YND_412</v>
          </cell>
          <cell r="C1316" t="str">
            <v>CTR_307</v>
          </cell>
          <cell r="D1316" t="str">
            <v>Center</v>
          </cell>
          <cell r="E1316" t="str">
            <v>Center</v>
          </cell>
          <cell r="F1316" t="str">
            <v>Miende-MTN</v>
          </cell>
          <cell r="G1316" t="str">
            <v>P4</v>
          </cell>
          <cell r="H1316" t="str">
            <v>Grid-Gen</v>
          </cell>
          <cell r="I1316" t="str">
            <v>On Air</v>
          </cell>
          <cell r="J1316" t="str">
            <v>Outdoor</v>
          </cell>
          <cell r="K1316" t="str">
            <v>AC</v>
          </cell>
          <cell r="L1316" t="str">
            <v>Dowen</v>
          </cell>
          <cell r="M1316" t="str">
            <v>Akonolinga</v>
          </cell>
          <cell r="N1316" t="str">
            <v>NYONG-ET-MFOUMOU</v>
          </cell>
          <cell r="O1316" t="str">
            <v>AKONOLINGA</v>
          </cell>
          <cell r="P1316" t="str">
            <v>Rodrigue Kuate</v>
          </cell>
          <cell r="Q1316">
            <v>677549185</v>
          </cell>
          <cell r="R1316">
            <v>656993741</v>
          </cell>
          <cell r="S1316" t="str">
            <v>Desire Moussinga</v>
          </cell>
          <cell r="T1316" t="str">
            <v>Valeur HOUELL</v>
          </cell>
          <cell r="U1316" t="str">
            <v>I H S</v>
          </cell>
        </row>
        <row r="1317">
          <cell r="A1317" t="str">
            <v>CTR_827</v>
          </cell>
          <cell r="B1317" t="str">
            <v>IHS_YND_533</v>
          </cell>
          <cell r="C1317" t="str">
            <v>CTR_827</v>
          </cell>
          <cell r="D1317" t="str">
            <v>Center</v>
          </cell>
          <cell r="E1317" t="str">
            <v>Center</v>
          </cell>
          <cell r="F1317" t="str">
            <v>Akonolinga Town</v>
          </cell>
          <cell r="G1317" t="str">
            <v>P4</v>
          </cell>
          <cell r="H1317" t="str">
            <v>Grid-Gen</v>
          </cell>
          <cell r="I1317">
            <v>0</v>
          </cell>
          <cell r="J1317" t="str">
            <v>Outdoor</v>
          </cell>
          <cell r="K1317" t="str">
            <v>AC</v>
          </cell>
          <cell r="L1317" t="str">
            <v>Dowen</v>
          </cell>
          <cell r="M1317" t="str">
            <v>Akonolinga</v>
          </cell>
          <cell r="N1317" t="str">
            <v>NYONG-ET-MFOUMOU</v>
          </cell>
          <cell r="O1317" t="str">
            <v>AKONOLINGA</v>
          </cell>
          <cell r="P1317" t="str">
            <v>Rodrigue Kuate</v>
          </cell>
          <cell r="Q1317">
            <v>677549185</v>
          </cell>
          <cell r="R1317">
            <v>656993741</v>
          </cell>
          <cell r="S1317" t="str">
            <v>Desire Moussinga</v>
          </cell>
          <cell r="T1317" t="str">
            <v>Valeur HOUELL</v>
          </cell>
          <cell r="U1317" t="str">
            <v>I H S</v>
          </cell>
        </row>
        <row r="1318">
          <cell r="A1318" t="str">
            <v>CTR_306</v>
          </cell>
          <cell r="B1318" t="str">
            <v>IHS_YND_397</v>
          </cell>
          <cell r="C1318" t="str">
            <v>CTR_306</v>
          </cell>
          <cell r="D1318" t="str">
            <v>Center</v>
          </cell>
          <cell r="E1318" t="str">
            <v>Center</v>
          </cell>
          <cell r="F1318" t="str">
            <v>Mengang-MTN</v>
          </cell>
          <cell r="G1318" t="str">
            <v>P4</v>
          </cell>
          <cell r="H1318" t="str">
            <v>Grid-Gen</v>
          </cell>
          <cell r="I1318" t="str">
            <v>On Air</v>
          </cell>
          <cell r="J1318" t="str">
            <v>Outdoor</v>
          </cell>
          <cell r="K1318" t="str">
            <v>AC</v>
          </cell>
          <cell r="L1318" t="str">
            <v>Dowen</v>
          </cell>
          <cell r="M1318" t="str">
            <v>Akonolinga</v>
          </cell>
          <cell r="N1318" t="str">
            <v>NYONG-ET-MFOUMOU</v>
          </cell>
          <cell r="O1318" t="str">
            <v>AKONOLINGA</v>
          </cell>
          <cell r="P1318" t="str">
            <v>Rodrigue Kuate</v>
          </cell>
          <cell r="Q1318">
            <v>677549185</v>
          </cell>
          <cell r="R1318">
            <v>656993741</v>
          </cell>
          <cell r="S1318" t="str">
            <v>Desire Moussinga</v>
          </cell>
          <cell r="T1318" t="str">
            <v>Valeur HOUELL</v>
          </cell>
          <cell r="U1318" t="str">
            <v>I H S</v>
          </cell>
        </row>
        <row r="1319">
          <cell r="A1319" t="str">
            <v>CTR_478</v>
          </cell>
          <cell r="B1319" t="str">
            <v>IHS_YND_568</v>
          </cell>
          <cell r="C1319" t="str">
            <v>CTR_478</v>
          </cell>
          <cell r="D1319" t="str">
            <v>Center</v>
          </cell>
          <cell r="E1319" t="str">
            <v>Center</v>
          </cell>
          <cell r="F1319" t="str">
            <v>Anguissa New</v>
          </cell>
          <cell r="G1319" t="str">
            <v>P4</v>
          </cell>
          <cell r="H1319" t="str">
            <v>Grid-Gen</v>
          </cell>
          <cell r="I1319" t="str">
            <v>On Air</v>
          </cell>
          <cell r="J1319" t="str">
            <v>Outdoor</v>
          </cell>
          <cell r="K1319" t="str">
            <v>AC</v>
          </cell>
          <cell r="L1319" t="str">
            <v>SAGEMCOM</v>
          </cell>
          <cell r="M1319" t="str">
            <v>Nkomo</v>
          </cell>
          <cell r="N1319" t="str">
            <v>MFOUNDI</v>
          </cell>
          <cell r="O1319" t="str">
            <v>YAOUNDE 4</v>
          </cell>
          <cell r="P1319" t="str">
            <v>Rodrigue Kuate</v>
          </cell>
          <cell r="Q1319">
            <v>677549185</v>
          </cell>
          <cell r="R1319">
            <v>656993741</v>
          </cell>
          <cell r="S1319" t="str">
            <v>Desire Moussinga</v>
          </cell>
          <cell r="T1319" t="str">
            <v>Valeur HOUELL</v>
          </cell>
          <cell r="U1319" t="str">
            <v>I H S</v>
          </cell>
        </row>
        <row r="1320">
          <cell r="A1320" t="str">
            <v>CTR_042</v>
          </cell>
          <cell r="B1320" t="str">
            <v>IHS_YND_175</v>
          </cell>
          <cell r="C1320" t="str">
            <v>CTR_042</v>
          </cell>
          <cell r="D1320" t="str">
            <v>Center</v>
          </cell>
          <cell r="E1320" t="str">
            <v>Center</v>
          </cell>
          <cell r="F1320" t="str">
            <v>Nkomo</v>
          </cell>
          <cell r="G1320" t="str">
            <v>P4</v>
          </cell>
          <cell r="H1320" t="str">
            <v>Grid-Gen</v>
          </cell>
          <cell r="I1320" t="str">
            <v>On Air</v>
          </cell>
          <cell r="J1320" t="str">
            <v>Indoor</v>
          </cell>
          <cell r="K1320" t="str">
            <v>AC</v>
          </cell>
          <cell r="L1320" t="str">
            <v>SAGEMCOM</v>
          </cell>
          <cell r="M1320" t="str">
            <v>Nkomo</v>
          </cell>
          <cell r="N1320" t="str">
            <v>MFOUNDI</v>
          </cell>
          <cell r="O1320" t="str">
            <v>YAOUNDE 4</v>
          </cell>
          <cell r="P1320" t="str">
            <v>Rodrigue Kuate</v>
          </cell>
          <cell r="Q1320">
            <v>677549185</v>
          </cell>
          <cell r="R1320">
            <v>656993741</v>
          </cell>
          <cell r="S1320" t="str">
            <v>Desire Moussinga</v>
          </cell>
          <cell r="T1320" t="str">
            <v>Valeur HOUELL</v>
          </cell>
          <cell r="U1320" t="str">
            <v>I H S</v>
          </cell>
        </row>
        <row r="1321">
          <cell r="A1321" t="str">
            <v>CTR_395</v>
          </cell>
          <cell r="B1321" t="str">
            <v>IHS_YND_249</v>
          </cell>
          <cell r="C1321" t="str">
            <v>CTR_395</v>
          </cell>
          <cell r="D1321" t="str">
            <v>Center</v>
          </cell>
          <cell r="E1321" t="str">
            <v>Center</v>
          </cell>
          <cell r="F1321" t="str">
            <v>Biteng-Maetur</v>
          </cell>
          <cell r="G1321" t="str">
            <v>P4</v>
          </cell>
          <cell r="H1321" t="str">
            <v>Grid-Gen</v>
          </cell>
          <cell r="I1321" t="str">
            <v>On Air</v>
          </cell>
          <cell r="J1321" t="str">
            <v>Indoor / Outdoor</v>
          </cell>
          <cell r="K1321" t="str">
            <v>AC</v>
          </cell>
          <cell r="L1321" t="str">
            <v>SAGEMCOM</v>
          </cell>
          <cell r="M1321" t="str">
            <v>Nkomo</v>
          </cell>
          <cell r="N1321" t="str">
            <v>MFOUNDI</v>
          </cell>
          <cell r="O1321" t="str">
            <v>YAOUNDE 4</v>
          </cell>
          <cell r="P1321" t="str">
            <v>Rodrigue Kuate</v>
          </cell>
          <cell r="Q1321">
            <v>677549185</v>
          </cell>
          <cell r="R1321">
            <v>656993741</v>
          </cell>
          <cell r="S1321" t="str">
            <v>Desire Moussinga</v>
          </cell>
          <cell r="T1321" t="str">
            <v>Valeur HOUELL</v>
          </cell>
          <cell r="U1321" t="str">
            <v>I H S</v>
          </cell>
        </row>
        <row r="1322">
          <cell r="A1322" t="str">
            <v>CTR_036</v>
          </cell>
          <cell r="B1322" t="str">
            <v>IHS_YND_334</v>
          </cell>
          <cell r="C1322" t="str">
            <v>CTR_036</v>
          </cell>
          <cell r="D1322" t="str">
            <v>Center</v>
          </cell>
          <cell r="E1322" t="str">
            <v>Center</v>
          </cell>
          <cell r="F1322" t="str">
            <v>Mfou</v>
          </cell>
          <cell r="G1322" t="str">
            <v>P4</v>
          </cell>
          <cell r="H1322" t="str">
            <v>Grid-Gen</v>
          </cell>
          <cell r="I1322" t="str">
            <v>On Air</v>
          </cell>
          <cell r="J1322" t="str">
            <v>Indoor</v>
          </cell>
          <cell r="K1322" t="str">
            <v>AC</v>
          </cell>
          <cell r="L1322" t="str">
            <v>SAGEMCOM</v>
          </cell>
          <cell r="M1322" t="str">
            <v>Nkomo</v>
          </cell>
          <cell r="N1322" t="str">
            <v>MEFOU-ET-AFAMBA</v>
          </cell>
          <cell r="O1322" t="str">
            <v>MFOU</v>
          </cell>
          <cell r="P1322" t="str">
            <v>Rodrigue Kuate</v>
          </cell>
          <cell r="Q1322">
            <v>677549185</v>
          </cell>
          <cell r="R1322">
            <v>656993741</v>
          </cell>
          <cell r="S1322" t="str">
            <v>Desire Moussinga</v>
          </cell>
          <cell r="T1322" t="str">
            <v>Valeur HOUELL</v>
          </cell>
          <cell r="U1322" t="str">
            <v>I H S</v>
          </cell>
        </row>
        <row r="1323">
          <cell r="A1323" t="str">
            <v>CTR_477</v>
          </cell>
          <cell r="B1323" t="str">
            <v>IHS_YND_566</v>
          </cell>
          <cell r="C1323" t="str">
            <v>CTR_477</v>
          </cell>
          <cell r="D1323" t="str">
            <v>Center</v>
          </cell>
          <cell r="E1323" t="str">
            <v>Center</v>
          </cell>
          <cell r="F1323" t="str">
            <v>Crf Cornier</v>
          </cell>
          <cell r="G1323" t="str">
            <v>P4</v>
          </cell>
          <cell r="H1323" t="str">
            <v>Grid-Gen</v>
          </cell>
          <cell r="I1323" t="str">
            <v>On Air</v>
          </cell>
          <cell r="J1323" t="str">
            <v>Outdoor</v>
          </cell>
          <cell r="K1323" t="str">
            <v>AC</v>
          </cell>
          <cell r="L1323" t="str">
            <v>SAGEMCOM</v>
          </cell>
          <cell r="M1323" t="str">
            <v>Nkomo</v>
          </cell>
          <cell r="N1323" t="str">
            <v>MFOUNDI</v>
          </cell>
          <cell r="O1323" t="str">
            <v>YAOUNDE 4</v>
          </cell>
          <cell r="P1323" t="str">
            <v>Rodrigue Kuate</v>
          </cell>
          <cell r="Q1323">
            <v>677549185</v>
          </cell>
          <cell r="R1323">
            <v>656993741</v>
          </cell>
          <cell r="S1323" t="str">
            <v>Desire Moussinga</v>
          </cell>
          <cell r="T1323" t="str">
            <v>Valeur HOUELL</v>
          </cell>
          <cell r="U1323" t="str">
            <v>I H S</v>
          </cell>
        </row>
        <row r="1324">
          <cell r="A1324" t="str">
            <v>CTR_040</v>
          </cell>
          <cell r="B1324" t="str">
            <v>IHS_YND_114</v>
          </cell>
          <cell r="C1324" t="str">
            <v>CTR_040</v>
          </cell>
          <cell r="D1324" t="str">
            <v>Center</v>
          </cell>
          <cell r="E1324" t="str">
            <v>Center</v>
          </cell>
          <cell r="F1324" t="str">
            <v>Kondengui</v>
          </cell>
          <cell r="G1324" t="str">
            <v>P4</v>
          </cell>
          <cell r="H1324" t="str">
            <v>Grid-Gen</v>
          </cell>
          <cell r="I1324" t="str">
            <v>On Air</v>
          </cell>
          <cell r="J1324" t="str">
            <v>Indoor</v>
          </cell>
          <cell r="K1324" t="str">
            <v>AC</v>
          </cell>
          <cell r="L1324" t="str">
            <v>SAGEMCOM</v>
          </cell>
          <cell r="M1324" t="str">
            <v>Nkomo</v>
          </cell>
          <cell r="N1324" t="str">
            <v>MFOUNDI</v>
          </cell>
          <cell r="O1324" t="str">
            <v>YAOUNDE 4</v>
          </cell>
          <cell r="P1324" t="str">
            <v>Rodrigue Kuate</v>
          </cell>
          <cell r="Q1324">
            <v>677549185</v>
          </cell>
          <cell r="R1324">
            <v>656993741</v>
          </cell>
          <cell r="S1324" t="str">
            <v>Desire Moussinga</v>
          </cell>
          <cell r="T1324" t="str">
            <v>Valeur HOUELL</v>
          </cell>
          <cell r="U1324" t="str">
            <v>I H S</v>
          </cell>
        </row>
        <row r="1325">
          <cell r="A1325" t="str">
            <v>CTR_274</v>
          </cell>
          <cell r="B1325" t="str">
            <v>IHS_YND_116</v>
          </cell>
          <cell r="C1325" t="str">
            <v>CTR_274</v>
          </cell>
          <cell r="D1325" t="str">
            <v>Center</v>
          </cell>
          <cell r="E1325" t="str">
            <v>Center</v>
          </cell>
          <cell r="F1325" t="str">
            <v>Stade-Abega</v>
          </cell>
          <cell r="G1325" t="str">
            <v>P4</v>
          </cell>
          <cell r="H1325" t="str">
            <v>Grid-Gen</v>
          </cell>
          <cell r="I1325" t="str">
            <v>On Air</v>
          </cell>
          <cell r="J1325" t="str">
            <v>Outdoor</v>
          </cell>
          <cell r="K1325" t="str">
            <v>AC</v>
          </cell>
          <cell r="L1325" t="str">
            <v>SAGEMCOM</v>
          </cell>
          <cell r="M1325" t="str">
            <v>Nkomo</v>
          </cell>
          <cell r="N1325" t="str">
            <v>MFOUNDI</v>
          </cell>
          <cell r="O1325" t="str">
            <v>YAOUNDE 4</v>
          </cell>
          <cell r="P1325" t="str">
            <v>Rodrigue Kuate</v>
          </cell>
          <cell r="Q1325">
            <v>677549185</v>
          </cell>
          <cell r="R1325">
            <v>656993741</v>
          </cell>
          <cell r="S1325" t="str">
            <v>Desire Moussinga</v>
          </cell>
          <cell r="T1325" t="str">
            <v>Valeur HOUELL</v>
          </cell>
          <cell r="U1325" t="str">
            <v>I H S</v>
          </cell>
        </row>
        <row r="1326">
          <cell r="A1326" t="str">
            <v>CTR_245</v>
          </cell>
          <cell r="B1326" t="str">
            <v>IHS_YND_267</v>
          </cell>
          <cell r="C1326" t="str">
            <v>CTR_245</v>
          </cell>
          <cell r="D1326" t="str">
            <v>Center</v>
          </cell>
          <cell r="E1326" t="str">
            <v>Center</v>
          </cell>
          <cell r="F1326" t="str">
            <v>Mimboman-Village</v>
          </cell>
          <cell r="G1326" t="str">
            <v>P4</v>
          </cell>
          <cell r="H1326" t="str">
            <v>Grid-Gen</v>
          </cell>
          <cell r="I1326" t="str">
            <v>On Air</v>
          </cell>
          <cell r="J1326" t="str">
            <v>Outdoor</v>
          </cell>
          <cell r="K1326" t="str">
            <v>AC</v>
          </cell>
          <cell r="L1326" t="str">
            <v>SAGEMCOM</v>
          </cell>
          <cell r="M1326" t="str">
            <v>Nkomo</v>
          </cell>
          <cell r="N1326" t="str">
            <v>MFOUNDI</v>
          </cell>
          <cell r="O1326" t="str">
            <v>YAOUNDE 4</v>
          </cell>
          <cell r="P1326" t="str">
            <v>Rodrigue Kuate</v>
          </cell>
          <cell r="Q1326">
            <v>677549185</v>
          </cell>
          <cell r="R1326">
            <v>656993741</v>
          </cell>
          <cell r="S1326" t="str">
            <v>Desire Moussinga</v>
          </cell>
          <cell r="T1326" t="str">
            <v>Valeur HOUELL</v>
          </cell>
          <cell r="U1326" t="str">
            <v>I H S</v>
          </cell>
        </row>
        <row r="1327">
          <cell r="A1327" t="str">
            <v>CTR_270</v>
          </cell>
          <cell r="B1327" t="str">
            <v>IHS_YND_023</v>
          </cell>
          <cell r="C1327" t="str">
            <v>CTR_270</v>
          </cell>
          <cell r="D1327" t="str">
            <v>Center</v>
          </cell>
          <cell r="E1327" t="str">
            <v>Center</v>
          </cell>
          <cell r="F1327" t="str">
            <v>Montesquieux</v>
          </cell>
          <cell r="G1327" t="str">
            <v>P4</v>
          </cell>
          <cell r="H1327" t="str">
            <v>Grid-Gen</v>
          </cell>
          <cell r="I1327" t="str">
            <v>On Air</v>
          </cell>
          <cell r="J1327" t="str">
            <v>Outdoor</v>
          </cell>
          <cell r="K1327" t="str">
            <v>AC</v>
          </cell>
          <cell r="L1327" t="str">
            <v>SAGEMCOM</v>
          </cell>
          <cell r="M1327" t="str">
            <v>Essos</v>
          </cell>
          <cell r="N1327" t="str">
            <v>MFOUNDI</v>
          </cell>
          <cell r="O1327" t="str">
            <v>YAOUNDE 5</v>
          </cell>
          <cell r="P1327" t="str">
            <v>Rodrigue Kuate</v>
          </cell>
          <cell r="Q1327">
            <v>677549185</v>
          </cell>
          <cell r="R1327">
            <v>656993741</v>
          </cell>
          <cell r="S1327" t="str">
            <v>Desire Moussinga</v>
          </cell>
          <cell r="T1327" t="str">
            <v>Valeur HOUELL</v>
          </cell>
          <cell r="U1327" t="str">
            <v>I H S</v>
          </cell>
        </row>
        <row r="1328">
          <cell r="A1328" t="str">
            <v>CTR_096</v>
          </cell>
          <cell r="B1328" t="str">
            <v>IHS_YND_042</v>
          </cell>
          <cell r="C1328" t="str">
            <v>CTR_096</v>
          </cell>
          <cell r="D1328" t="str">
            <v>Center</v>
          </cell>
          <cell r="E1328" t="str">
            <v>Center</v>
          </cell>
          <cell r="F1328" t="str">
            <v>Mvog-Ada-TKC</v>
          </cell>
          <cell r="G1328" t="str">
            <v>P4</v>
          </cell>
          <cell r="H1328" t="str">
            <v>Grid Only</v>
          </cell>
          <cell r="I1328" t="str">
            <v>On Air</v>
          </cell>
          <cell r="J1328" t="str">
            <v>Indoor</v>
          </cell>
          <cell r="K1328" t="str">
            <v>AC</v>
          </cell>
          <cell r="L1328" t="str">
            <v>SAGEMCOM</v>
          </cell>
          <cell r="M1328" t="str">
            <v>Essos</v>
          </cell>
          <cell r="N1328" t="str">
            <v>MFOUNDI</v>
          </cell>
          <cell r="O1328" t="str">
            <v>YAOUNDE 5</v>
          </cell>
          <cell r="P1328" t="str">
            <v>Rodrigue Kuate</v>
          </cell>
          <cell r="Q1328">
            <v>677549185</v>
          </cell>
          <cell r="R1328">
            <v>656993741</v>
          </cell>
          <cell r="S1328" t="str">
            <v>Desire Moussinga</v>
          </cell>
          <cell r="T1328" t="str">
            <v>Valeur HOUELL</v>
          </cell>
          <cell r="U1328" t="str">
            <v>I H S</v>
          </cell>
        </row>
        <row r="1329">
          <cell r="A1329" t="str">
            <v>CTR_374</v>
          </cell>
          <cell r="B1329" t="str">
            <v>IHS_YND_173</v>
          </cell>
          <cell r="C1329" t="str">
            <v>CTR_374</v>
          </cell>
          <cell r="D1329" t="str">
            <v>Center</v>
          </cell>
          <cell r="E1329" t="str">
            <v>Center</v>
          </cell>
          <cell r="F1329" t="str">
            <v>Awae-Nkomo</v>
          </cell>
          <cell r="G1329" t="str">
            <v>P4</v>
          </cell>
          <cell r="H1329" t="str">
            <v>Grid-Gen</v>
          </cell>
          <cell r="I1329" t="str">
            <v>On Air</v>
          </cell>
          <cell r="J1329" t="str">
            <v>Outdoor</v>
          </cell>
          <cell r="K1329" t="str">
            <v>AC</v>
          </cell>
          <cell r="L1329" t="str">
            <v>SAGEMCOM</v>
          </cell>
          <cell r="M1329" t="str">
            <v>Nkomo</v>
          </cell>
          <cell r="N1329" t="str">
            <v>MEFOU-ET-AFAMBA</v>
          </cell>
          <cell r="O1329" t="str">
            <v>NKOLAFAMBA</v>
          </cell>
          <cell r="P1329" t="str">
            <v>Rodrigue Kuate</v>
          </cell>
          <cell r="Q1329">
            <v>677549185</v>
          </cell>
          <cell r="R1329">
            <v>656993741</v>
          </cell>
          <cell r="S1329" t="str">
            <v>Desire Moussinga</v>
          </cell>
          <cell r="T1329" t="str">
            <v>Valeur HOUELL</v>
          </cell>
          <cell r="U1329" t="str">
            <v>I H S</v>
          </cell>
        </row>
        <row r="1330">
          <cell r="A1330" t="str">
            <v>CTR_212</v>
          </cell>
          <cell r="B1330" t="str">
            <v>IHS_YND_178</v>
          </cell>
          <cell r="C1330" t="str">
            <v>CTR_212</v>
          </cell>
          <cell r="D1330" t="str">
            <v>Center</v>
          </cell>
          <cell r="E1330" t="str">
            <v>Center</v>
          </cell>
          <cell r="F1330" t="str">
            <v>Emombo</v>
          </cell>
          <cell r="G1330" t="str">
            <v>P4</v>
          </cell>
          <cell r="H1330" t="str">
            <v>Grid-Gen</v>
          </cell>
          <cell r="I1330" t="str">
            <v>On Air</v>
          </cell>
          <cell r="J1330" t="str">
            <v>Indoor</v>
          </cell>
          <cell r="K1330" t="str">
            <v>AC</v>
          </cell>
          <cell r="L1330" t="str">
            <v>SAGEMCOM</v>
          </cell>
          <cell r="M1330" t="str">
            <v>Nkomo</v>
          </cell>
          <cell r="N1330" t="str">
            <v>MFOUNDI</v>
          </cell>
          <cell r="O1330" t="str">
            <v>YAOUNDE 4</v>
          </cell>
          <cell r="P1330" t="str">
            <v>Rodrigue Kuate</v>
          </cell>
          <cell r="Q1330">
            <v>677549185</v>
          </cell>
          <cell r="R1330">
            <v>656993741</v>
          </cell>
          <cell r="S1330" t="str">
            <v>Desire Moussinga</v>
          </cell>
          <cell r="T1330" t="str">
            <v>Valeur HOUELL</v>
          </cell>
          <cell r="U1330" t="str">
            <v>I H S</v>
          </cell>
        </row>
        <row r="1331">
          <cell r="A1331" t="str">
            <v>CTR_090</v>
          </cell>
          <cell r="B1331" t="str">
            <v>IHS_YND_063</v>
          </cell>
          <cell r="C1331" t="str">
            <v>CTR_090</v>
          </cell>
          <cell r="D1331" t="str">
            <v>Center</v>
          </cell>
          <cell r="E1331" t="str">
            <v>Center</v>
          </cell>
          <cell r="F1331" t="str">
            <v>Av-Germaine</v>
          </cell>
          <cell r="G1331" t="str">
            <v>P4</v>
          </cell>
          <cell r="H1331" t="str">
            <v>Grid Only</v>
          </cell>
          <cell r="I1331" t="str">
            <v>On Air</v>
          </cell>
          <cell r="J1331" t="str">
            <v>Indoor</v>
          </cell>
          <cell r="K1331" t="str">
            <v>AC</v>
          </cell>
          <cell r="L1331" t="str">
            <v>SAGEMCOM</v>
          </cell>
          <cell r="M1331" t="str">
            <v>Essos</v>
          </cell>
          <cell r="N1331" t="str">
            <v>MFOUNDI</v>
          </cell>
          <cell r="O1331" t="str">
            <v>YAOUNDE 5</v>
          </cell>
          <cell r="P1331" t="str">
            <v>Rodrigue Kuate</v>
          </cell>
          <cell r="Q1331">
            <v>677549185</v>
          </cell>
          <cell r="R1331">
            <v>656993741</v>
          </cell>
          <cell r="S1331" t="str">
            <v>Desire Moussinga</v>
          </cell>
          <cell r="T1331" t="str">
            <v>Valeur HOUELL</v>
          </cell>
          <cell r="U1331" t="str">
            <v>I H S</v>
          </cell>
        </row>
        <row r="1332">
          <cell r="A1332" t="str">
            <v>CTR_125</v>
          </cell>
          <cell r="B1332" t="str">
            <v>IHS_YND_096</v>
          </cell>
          <cell r="C1332" t="str">
            <v>CTR_125</v>
          </cell>
          <cell r="D1332" t="str">
            <v>Center</v>
          </cell>
          <cell r="E1332" t="str">
            <v>Center</v>
          </cell>
          <cell r="F1332" t="str">
            <v>Mobil-Kondengui</v>
          </cell>
          <cell r="G1332" t="str">
            <v>P4</v>
          </cell>
          <cell r="H1332" t="str">
            <v>Grid Only</v>
          </cell>
          <cell r="I1332" t="str">
            <v>On Air</v>
          </cell>
          <cell r="J1332" t="str">
            <v>Indoor</v>
          </cell>
          <cell r="K1332" t="str">
            <v>AC</v>
          </cell>
          <cell r="L1332" t="str">
            <v>SAGEMCOM</v>
          </cell>
          <cell r="M1332" t="str">
            <v>Nkomo</v>
          </cell>
          <cell r="N1332" t="str">
            <v>MFOUNDI</v>
          </cell>
          <cell r="O1332" t="str">
            <v>YAOUNDE 4</v>
          </cell>
          <cell r="P1332" t="str">
            <v>Rodrigue Kuate</v>
          </cell>
          <cell r="Q1332">
            <v>677549185</v>
          </cell>
          <cell r="R1332">
            <v>656993741</v>
          </cell>
          <cell r="S1332" t="str">
            <v>Desire Moussinga</v>
          </cell>
          <cell r="T1332" t="str">
            <v>Valeur HOUELL</v>
          </cell>
          <cell r="U1332" t="str">
            <v>I H S</v>
          </cell>
        </row>
        <row r="1333">
          <cell r="A1333" t="str">
            <v>CTR_266</v>
          </cell>
          <cell r="B1333" t="str">
            <v>IHS_YND_179</v>
          </cell>
          <cell r="C1333" t="str">
            <v>CTR_266</v>
          </cell>
          <cell r="D1333" t="str">
            <v>Center</v>
          </cell>
          <cell r="E1333" t="str">
            <v>Center</v>
          </cell>
          <cell r="F1333" t="str">
            <v>Essomba</v>
          </cell>
          <cell r="G1333" t="str">
            <v>P4</v>
          </cell>
          <cell r="H1333" t="str">
            <v>Grid-Gen</v>
          </cell>
          <cell r="I1333" t="str">
            <v>On Air</v>
          </cell>
          <cell r="J1333" t="str">
            <v>Outdoor</v>
          </cell>
          <cell r="K1333" t="str">
            <v>AC</v>
          </cell>
          <cell r="L1333" t="str">
            <v>SAGEMCOM</v>
          </cell>
          <cell r="M1333" t="str">
            <v>Nkomo</v>
          </cell>
          <cell r="N1333" t="str">
            <v>MFOUNDI</v>
          </cell>
          <cell r="O1333" t="str">
            <v>YAOUNDE 4</v>
          </cell>
          <cell r="P1333" t="str">
            <v>Rodrigue Kuate</v>
          </cell>
          <cell r="Q1333">
            <v>677549185</v>
          </cell>
          <cell r="R1333">
            <v>656993741</v>
          </cell>
          <cell r="S1333" t="str">
            <v>Desire Moussinga</v>
          </cell>
          <cell r="T1333" t="str">
            <v>Valeur HOUELL</v>
          </cell>
          <cell r="U1333" t="str">
            <v>I H S</v>
          </cell>
        </row>
        <row r="1334">
          <cell r="A1334" t="str">
            <v>CTR_422</v>
          </cell>
          <cell r="B1334" t="str">
            <v>IHS_YND_512</v>
          </cell>
          <cell r="C1334" t="str">
            <v>CTR_422</v>
          </cell>
          <cell r="D1334" t="str">
            <v>Center</v>
          </cell>
          <cell r="E1334" t="str">
            <v>Center</v>
          </cell>
          <cell r="F1334" t="str">
            <v>Mimboman-Ecole</v>
          </cell>
          <cell r="G1334" t="str">
            <v>P4</v>
          </cell>
          <cell r="H1334" t="str">
            <v>Grid-Gen</v>
          </cell>
          <cell r="I1334" t="str">
            <v>On Air</v>
          </cell>
          <cell r="J1334" t="str">
            <v>Outdoor</v>
          </cell>
          <cell r="K1334" t="str">
            <v>AC</v>
          </cell>
          <cell r="L1334" t="str">
            <v>SAGEMCOM</v>
          </cell>
          <cell r="M1334" t="str">
            <v>Nkomo</v>
          </cell>
          <cell r="N1334" t="str">
            <v>MFOUNDI</v>
          </cell>
          <cell r="O1334" t="str">
            <v>YAOUNDE 4</v>
          </cell>
          <cell r="P1334" t="str">
            <v>Rodrigue Kuate</v>
          </cell>
          <cell r="Q1334">
            <v>677549185</v>
          </cell>
          <cell r="R1334">
            <v>656993741</v>
          </cell>
          <cell r="S1334" t="str">
            <v>Desire Moussinga</v>
          </cell>
          <cell r="T1334" t="str">
            <v>Valeur HOUELL</v>
          </cell>
          <cell r="U1334" t="str">
            <v>I H S</v>
          </cell>
        </row>
        <row r="1335">
          <cell r="A1335" t="str">
            <v>CTR_417</v>
          </cell>
          <cell r="B1335" t="str">
            <v>IHS_YND_121</v>
          </cell>
          <cell r="C1335" t="str">
            <v>CTR_417</v>
          </cell>
          <cell r="D1335" t="str">
            <v>Center</v>
          </cell>
          <cell r="E1335" t="str">
            <v>Center</v>
          </cell>
          <cell r="F1335" t="str">
            <v>Emombo-Tchad</v>
          </cell>
          <cell r="G1335" t="str">
            <v>P4</v>
          </cell>
          <cell r="H1335" t="str">
            <v>Grid Only</v>
          </cell>
          <cell r="I1335" t="str">
            <v>On Air</v>
          </cell>
          <cell r="J1335" t="str">
            <v>Outdoor</v>
          </cell>
          <cell r="K1335" t="str">
            <v>AC</v>
          </cell>
          <cell r="L1335" t="str">
            <v>SAGEMCOM</v>
          </cell>
          <cell r="M1335" t="str">
            <v>Nkomo</v>
          </cell>
          <cell r="N1335" t="str">
            <v>MFOUNDI</v>
          </cell>
          <cell r="O1335" t="str">
            <v>YAOUNDE 4</v>
          </cell>
          <cell r="P1335" t="str">
            <v>Rodrigue Kuate</v>
          </cell>
          <cell r="Q1335">
            <v>677549185</v>
          </cell>
          <cell r="R1335">
            <v>656993741</v>
          </cell>
          <cell r="S1335" t="str">
            <v>Desire Moussinga</v>
          </cell>
          <cell r="T1335" t="str">
            <v>Valeur HOUELL</v>
          </cell>
          <cell r="U1335" t="str">
            <v>I H S</v>
          </cell>
        </row>
        <row r="1336">
          <cell r="A1336" t="str">
            <v>CTR_207</v>
          </cell>
          <cell r="B1336" t="str">
            <v>IHS_YND_093</v>
          </cell>
          <cell r="C1336" t="str">
            <v>CTR_207</v>
          </cell>
          <cell r="D1336" t="str">
            <v>Center</v>
          </cell>
          <cell r="E1336" t="str">
            <v>Center</v>
          </cell>
          <cell r="F1336" t="str">
            <v>Chapelle-Essos</v>
          </cell>
          <cell r="G1336" t="str">
            <v>P4</v>
          </cell>
          <cell r="H1336" t="str">
            <v>Grid-Gen</v>
          </cell>
          <cell r="I1336" t="str">
            <v>On Air</v>
          </cell>
          <cell r="J1336" t="str">
            <v>Indoor</v>
          </cell>
          <cell r="K1336" t="str">
            <v>AC</v>
          </cell>
          <cell r="L1336" t="str">
            <v>SAGEMCOM</v>
          </cell>
          <cell r="M1336" t="str">
            <v>Essos</v>
          </cell>
          <cell r="N1336" t="str">
            <v>MFOUNDI</v>
          </cell>
          <cell r="O1336" t="str">
            <v>YAOUNDE 5</v>
          </cell>
          <cell r="P1336" t="str">
            <v>Rodrigue Kuate</v>
          </cell>
          <cell r="Q1336">
            <v>677549185</v>
          </cell>
          <cell r="R1336">
            <v>656993741</v>
          </cell>
          <cell r="S1336" t="str">
            <v>Desire Moussinga</v>
          </cell>
          <cell r="T1336" t="str">
            <v>Valeur HOUELL</v>
          </cell>
          <cell r="U1336" t="str">
            <v>I H S</v>
          </cell>
        </row>
        <row r="1337">
          <cell r="A1337" t="str">
            <v>CTR_068</v>
          </cell>
          <cell r="B1337" t="str">
            <v>IHS_YND_109</v>
          </cell>
          <cell r="C1337" t="str">
            <v>CTR_068</v>
          </cell>
          <cell r="D1337" t="str">
            <v>Center</v>
          </cell>
          <cell r="E1337" t="str">
            <v>Center</v>
          </cell>
          <cell r="F1337" t="str">
            <v>Mobil-Essos</v>
          </cell>
          <cell r="G1337" t="str">
            <v>P4</v>
          </cell>
          <cell r="H1337" t="str">
            <v>Grid-Gen</v>
          </cell>
          <cell r="I1337" t="str">
            <v>On Air</v>
          </cell>
          <cell r="J1337" t="str">
            <v>Indoor</v>
          </cell>
          <cell r="K1337" t="str">
            <v>AC</v>
          </cell>
          <cell r="L1337" t="str">
            <v>SAGEMCOM</v>
          </cell>
          <cell r="M1337" t="str">
            <v>Essos</v>
          </cell>
          <cell r="N1337" t="str">
            <v>MFOUNDI</v>
          </cell>
          <cell r="O1337" t="str">
            <v>YAOUNDE 5</v>
          </cell>
          <cell r="P1337" t="str">
            <v>Rodrigue Kuate</v>
          </cell>
          <cell r="Q1337">
            <v>677549185</v>
          </cell>
          <cell r="R1337">
            <v>656993741</v>
          </cell>
          <cell r="S1337" t="str">
            <v>Desire Moussinga</v>
          </cell>
          <cell r="T1337" t="str">
            <v>Valeur HOUELL</v>
          </cell>
          <cell r="U1337" t="str">
            <v>I H S</v>
          </cell>
        </row>
        <row r="1338">
          <cell r="A1338" t="str">
            <v>CTR_015</v>
          </cell>
          <cell r="B1338" t="str">
            <v>IHS_YND_115</v>
          </cell>
          <cell r="C1338" t="str">
            <v>CTR_015</v>
          </cell>
          <cell r="D1338" t="str">
            <v>Center</v>
          </cell>
          <cell r="E1338" t="str">
            <v>Center</v>
          </cell>
          <cell r="F1338" t="str">
            <v>Labogenie</v>
          </cell>
          <cell r="G1338" t="str">
            <v>P4</v>
          </cell>
          <cell r="H1338" t="str">
            <v>Grid Only</v>
          </cell>
          <cell r="I1338" t="str">
            <v>On Air</v>
          </cell>
          <cell r="J1338" t="str">
            <v>Indoor</v>
          </cell>
          <cell r="K1338" t="str">
            <v>AC</v>
          </cell>
          <cell r="L1338" t="str">
            <v>SAGEMCOM</v>
          </cell>
          <cell r="M1338" t="str">
            <v>Nkomo</v>
          </cell>
          <cell r="N1338" t="str">
            <v>MFOUNDI</v>
          </cell>
          <cell r="O1338" t="str">
            <v>YAOUNDE 4</v>
          </cell>
          <cell r="P1338" t="str">
            <v>Rodrigue Kuate</v>
          </cell>
          <cell r="Q1338">
            <v>677549185</v>
          </cell>
          <cell r="R1338">
            <v>656993741</v>
          </cell>
          <cell r="S1338" t="str">
            <v>Desire Moussinga</v>
          </cell>
          <cell r="T1338" t="str">
            <v>Valeur HOUELL</v>
          </cell>
          <cell r="U1338" t="str">
            <v>I H S</v>
          </cell>
        </row>
        <row r="1339">
          <cell r="A1339" t="str">
            <v>CTR_071</v>
          </cell>
          <cell r="B1339" t="str">
            <v>IHS_YND_112</v>
          </cell>
          <cell r="C1339" t="str">
            <v>CTR_071</v>
          </cell>
          <cell r="D1339" t="str">
            <v>Center</v>
          </cell>
          <cell r="E1339" t="str">
            <v>Center</v>
          </cell>
          <cell r="F1339" t="str">
            <v>Madison</v>
          </cell>
          <cell r="G1339" t="str">
            <v>P4</v>
          </cell>
          <cell r="H1339" t="str">
            <v>Grid-Gen</v>
          </cell>
          <cell r="I1339" t="str">
            <v>On Air</v>
          </cell>
          <cell r="J1339" t="str">
            <v>Indoor</v>
          </cell>
          <cell r="K1339" t="str">
            <v>AC</v>
          </cell>
          <cell r="L1339" t="str">
            <v>SAGEMCOM</v>
          </cell>
          <cell r="M1339" t="str">
            <v>Essos</v>
          </cell>
          <cell r="N1339" t="str">
            <v>MFOUNDI</v>
          </cell>
          <cell r="O1339" t="str">
            <v>YAOUNDE 5</v>
          </cell>
          <cell r="P1339" t="str">
            <v>Rodrigue Kuate</v>
          </cell>
          <cell r="Q1339">
            <v>677549185</v>
          </cell>
          <cell r="R1339">
            <v>656993741</v>
          </cell>
          <cell r="S1339" t="str">
            <v>Desire Moussinga</v>
          </cell>
          <cell r="T1339" t="str">
            <v>Valeur HOUELL</v>
          </cell>
          <cell r="U1339" t="str">
            <v>I H S</v>
          </cell>
        </row>
        <row r="1340">
          <cell r="A1340" t="str">
            <v>CTR_462</v>
          </cell>
          <cell r="B1340" t="str">
            <v>IHS_YND_290</v>
          </cell>
          <cell r="C1340" t="str">
            <v>CTR_462</v>
          </cell>
          <cell r="D1340" t="str">
            <v>Center</v>
          </cell>
          <cell r="E1340" t="str">
            <v>Center</v>
          </cell>
          <cell r="F1340" t="str">
            <v>Abang</v>
          </cell>
          <cell r="G1340" t="str">
            <v>P4</v>
          </cell>
          <cell r="H1340" t="str">
            <v>Grid-Gen</v>
          </cell>
          <cell r="I1340" t="str">
            <v>On Air</v>
          </cell>
          <cell r="J1340" t="str">
            <v>Outdoor</v>
          </cell>
          <cell r="K1340" t="str">
            <v>AC</v>
          </cell>
          <cell r="L1340" t="str">
            <v>SAGEMCOM</v>
          </cell>
          <cell r="M1340" t="str">
            <v>Nkomo</v>
          </cell>
          <cell r="N1340" t="str">
            <v>MEFOU-ET-AFAMBA</v>
          </cell>
          <cell r="O1340" t="str">
            <v>NKOLAFAMBA</v>
          </cell>
          <cell r="P1340" t="str">
            <v>Rodrigue Kuate</v>
          </cell>
          <cell r="Q1340">
            <v>677549185</v>
          </cell>
          <cell r="R1340">
            <v>656993741</v>
          </cell>
          <cell r="S1340" t="str">
            <v>Desire Moussinga</v>
          </cell>
          <cell r="T1340" t="str">
            <v>Valeur HOUELL</v>
          </cell>
          <cell r="U1340" t="str">
            <v>I H S</v>
          </cell>
        </row>
        <row r="1341">
          <cell r="A1341" t="str">
            <v>CTR_129</v>
          </cell>
          <cell r="B1341" t="str">
            <v>IHS_YND_036</v>
          </cell>
          <cell r="C1341" t="str">
            <v>CTR_129</v>
          </cell>
          <cell r="D1341" t="str">
            <v>Center</v>
          </cell>
          <cell r="E1341" t="str">
            <v>Center</v>
          </cell>
          <cell r="F1341" t="str">
            <v>Acropole-IHS</v>
          </cell>
          <cell r="G1341" t="str">
            <v>P4</v>
          </cell>
          <cell r="H1341" t="str">
            <v>Grid-Gen</v>
          </cell>
          <cell r="I1341" t="str">
            <v>On Air</v>
          </cell>
          <cell r="J1341" t="str">
            <v>Outdoor</v>
          </cell>
          <cell r="K1341" t="str">
            <v>AC</v>
          </cell>
          <cell r="L1341" t="str">
            <v>SAGEMCOM</v>
          </cell>
          <cell r="M1341" t="str">
            <v>Essos</v>
          </cell>
          <cell r="N1341" t="str">
            <v>MFOUNDI</v>
          </cell>
          <cell r="O1341" t="str">
            <v>YAOUNDE 5</v>
          </cell>
          <cell r="P1341" t="str">
            <v>Rodrigue Kuate</v>
          </cell>
          <cell r="Q1341">
            <v>677549185</v>
          </cell>
          <cell r="R1341">
            <v>656993741</v>
          </cell>
          <cell r="S1341" t="str">
            <v>Desire Moussinga</v>
          </cell>
          <cell r="T1341" t="str">
            <v>Valeur HOUELL</v>
          </cell>
          <cell r="U1341" t="str">
            <v>I H S</v>
          </cell>
        </row>
        <row r="1342">
          <cell r="A1342" t="str">
            <v>CTR_376</v>
          </cell>
          <cell r="B1342" t="str">
            <v>IHS_YND_113</v>
          </cell>
          <cell r="C1342" t="str">
            <v>CTR_376</v>
          </cell>
          <cell r="D1342" t="str">
            <v>Center</v>
          </cell>
          <cell r="E1342" t="str">
            <v>Center</v>
          </cell>
          <cell r="F1342" t="str">
            <v>Emombo-1er-Crf-MTN</v>
          </cell>
          <cell r="G1342" t="str">
            <v>P4</v>
          </cell>
          <cell r="H1342" t="str">
            <v>Grid-Gen</v>
          </cell>
          <cell r="I1342" t="str">
            <v>On Air</v>
          </cell>
          <cell r="J1342" t="str">
            <v>Indoor</v>
          </cell>
          <cell r="K1342" t="str">
            <v>AC</v>
          </cell>
          <cell r="L1342" t="str">
            <v>SAGEMCOM</v>
          </cell>
          <cell r="M1342" t="str">
            <v>Nkomo</v>
          </cell>
          <cell r="N1342" t="str">
            <v>MFOUNDI</v>
          </cell>
          <cell r="O1342" t="str">
            <v>YAOUNDE 4</v>
          </cell>
          <cell r="P1342" t="str">
            <v>Rodrigue Kuate</v>
          </cell>
          <cell r="Q1342">
            <v>677549185</v>
          </cell>
          <cell r="R1342">
            <v>656993741</v>
          </cell>
          <cell r="S1342" t="str">
            <v>Desire Moussinga</v>
          </cell>
          <cell r="T1342" t="str">
            <v>Valeur HOUELL</v>
          </cell>
          <cell r="U1342" t="str">
            <v>I H S</v>
          </cell>
        </row>
        <row r="1343">
          <cell r="A1343" t="str">
            <v>CTR_484</v>
          </cell>
          <cell r="B1343" t="str">
            <v>IHS_YND_118</v>
          </cell>
          <cell r="C1343" t="str">
            <v>CTR_484</v>
          </cell>
          <cell r="D1343" t="str">
            <v>Center</v>
          </cell>
          <cell r="E1343" t="str">
            <v>Center</v>
          </cell>
          <cell r="F1343" t="str">
            <v>H Plateau New</v>
          </cell>
          <cell r="G1343" t="str">
            <v>P4</v>
          </cell>
          <cell r="H1343" t="str">
            <v>Grid-Gen</v>
          </cell>
          <cell r="I1343" t="str">
            <v>On Air</v>
          </cell>
          <cell r="J1343" t="str">
            <v>Outdoor</v>
          </cell>
          <cell r="K1343" t="str">
            <v>AC</v>
          </cell>
          <cell r="L1343" t="str">
            <v>SAGEMCOM</v>
          </cell>
          <cell r="M1343" t="str">
            <v>Essos</v>
          </cell>
          <cell r="N1343" t="str">
            <v>MFOUNDI</v>
          </cell>
          <cell r="O1343" t="str">
            <v>YAOUNDE 5</v>
          </cell>
          <cell r="P1343" t="str">
            <v>Rodrigue Kuate</v>
          </cell>
          <cell r="Q1343">
            <v>677549185</v>
          </cell>
          <cell r="R1343">
            <v>656993741</v>
          </cell>
          <cell r="S1343" t="str">
            <v>Desire Moussinga</v>
          </cell>
          <cell r="T1343" t="str">
            <v>Valeur HOUELL</v>
          </cell>
          <cell r="U1343" t="str">
            <v>I H S</v>
          </cell>
        </row>
        <row r="1344">
          <cell r="A1344" t="str">
            <v>CTR_622</v>
          </cell>
          <cell r="B1344" t="str">
            <v>IHS_YND_535</v>
          </cell>
          <cell r="C1344" t="str">
            <v>CTR_622</v>
          </cell>
          <cell r="D1344" t="str">
            <v>Center</v>
          </cell>
          <cell r="E1344" t="str">
            <v>Center</v>
          </cell>
          <cell r="F1344" t="str">
            <v>Ondoa-Otoa-IHS</v>
          </cell>
          <cell r="G1344" t="str">
            <v>P4</v>
          </cell>
          <cell r="H1344" t="str">
            <v>Grid-Gen</v>
          </cell>
          <cell r="I1344" t="str">
            <v>On Air</v>
          </cell>
          <cell r="J1344" t="str">
            <v>Outdoor</v>
          </cell>
          <cell r="K1344" t="str">
            <v>AC</v>
          </cell>
          <cell r="L1344" t="str">
            <v>SAGEMCOM</v>
          </cell>
          <cell r="M1344" t="str">
            <v>Nkomo</v>
          </cell>
          <cell r="N1344" t="str">
            <v>MEFOU-ET-AFAMBA</v>
          </cell>
          <cell r="O1344" t="str">
            <v>NKOLAFAMBA</v>
          </cell>
          <cell r="P1344" t="str">
            <v>Rodrigue Kuate</v>
          </cell>
          <cell r="Q1344">
            <v>677549185</v>
          </cell>
          <cell r="R1344">
            <v>656993741</v>
          </cell>
          <cell r="S1344" t="str">
            <v>Desire Moussinga</v>
          </cell>
          <cell r="T1344" t="str">
            <v>Valeur HOUELL</v>
          </cell>
          <cell r="U1344" t="str">
            <v>I H S</v>
          </cell>
        </row>
        <row r="1345">
          <cell r="A1345" t="str">
            <v>CTR_458</v>
          </cell>
          <cell r="B1345" t="str">
            <v>IHS_YND_526</v>
          </cell>
          <cell r="C1345" t="str">
            <v>CTR_458</v>
          </cell>
          <cell r="D1345" t="str">
            <v>Center</v>
          </cell>
          <cell r="E1345" t="str">
            <v>Center</v>
          </cell>
          <cell r="F1345" t="str">
            <v>Nkoabang II</v>
          </cell>
          <cell r="G1345" t="str">
            <v>P4</v>
          </cell>
          <cell r="H1345" t="str">
            <v>Grid-Gen</v>
          </cell>
          <cell r="I1345" t="str">
            <v>On Air</v>
          </cell>
          <cell r="J1345" t="str">
            <v>Outdoor</v>
          </cell>
          <cell r="K1345" t="str">
            <v>AC</v>
          </cell>
          <cell r="L1345" t="str">
            <v>SAGEMCOM</v>
          </cell>
          <cell r="M1345" t="str">
            <v>Nkomo</v>
          </cell>
          <cell r="N1345" t="str">
            <v>MEFOU-ET-AFAMBA</v>
          </cell>
          <cell r="O1345" t="str">
            <v>NKOLAFAMBA</v>
          </cell>
          <cell r="P1345" t="str">
            <v>Rodrigue Kuate</v>
          </cell>
          <cell r="Q1345">
            <v>677549185</v>
          </cell>
          <cell r="R1345">
            <v>656993741</v>
          </cell>
          <cell r="S1345" t="str">
            <v>Desire Moussinga</v>
          </cell>
          <cell r="T1345" t="str">
            <v>Valeur HOUELL</v>
          </cell>
          <cell r="U1345" t="str">
            <v>I H S</v>
          </cell>
        </row>
        <row r="1346">
          <cell r="A1346" t="str">
            <v>CTR_464</v>
          </cell>
          <cell r="B1346" t="str">
            <v>IHS_YND_674</v>
          </cell>
          <cell r="C1346" t="str">
            <v>CTR_464</v>
          </cell>
          <cell r="D1346" t="str">
            <v>Center</v>
          </cell>
          <cell r="E1346" t="str">
            <v>Center</v>
          </cell>
          <cell r="F1346" t="str">
            <v>Mfou EPC-MTN-IHS</v>
          </cell>
          <cell r="G1346" t="str">
            <v>P4</v>
          </cell>
          <cell r="H1346" t="str">
            <v>Grid-Gen</v>
          </cell>
          <cell r="I1346" t="str">
            <v>On Air</v>
          </cell>
          <cell r="J1346" t="str">
            <v>Outdoor</v>
          </cell>
          <cell r="K1346" t="str">
            <v>AC</v>
          </cell>
          <cell r="L1346" t="str">
            <v>SAGEMCOM</v>
          </cell>
          <cell r="M1346" t="str">
            <v>Nkomo</v>
          </cell>
          <cell r="N1346" t="str">
            <v>MEFOU-ET-AFAMBA</v>
          </cell>
          <cell r="O1346" t="str">
            <v>MFOU</v>
          </cell>
          <cell r="P1346" t="str">
            <v>Rodrigue Kuate</v>
          </cell>
          <cell r="Q1346">
            <v>677549185</v>
          </cell>
          <cell r="R1346">
            <v>656993741</v>
          </cell>
          <cell r="S1346" t="str">
            <v>Desire Moussinga</v>
          </cell>
          <cell r="T1346" t="str">
            <v>Valeur HOUELL</v>
          </cell>
          <cell r="U1346" t="str">
            <v>I H S</v>
          </cell>
        </row>
        <row r="1347">
          <cell r="A1347" t="str">
            <v>CTR_168</v>
          </cell>
          <cell r="B1347" t="str">
            <v>IHS_YND_171</v>
          </cell>
          <cell r="C1347" t="str">
            <v>CTR_168</v>
          </cell>
          <cell r="D1347" t="str">
            <v>Center</v>
          </cell>
          <cell r="E1347" t="str">
            <v>Center</v>
          </cell>
          <cell r="F1347" t="str">
            <v>AWAE Escalier</v>
          </cell>
          <cell r="G1347" t="str">
            <v>P4</v>
          </cell>
          <cell r="H1347" t="str">
            <v>Grid-Gen</v>
          </cell>
          <cell r="I1347" t="str">
            <v>On Air</v>
          </cell>
          <cell r="J1347" t="str">
            <v>Outdoor</v>
          </cell>
          <cell r="K1347" t="str">
            <v>AC</v>
          </cell>
          <cell r="L1347" t="str">
            <v>SAGEMCOM</v>
          </cell>
          <cell r="M1347" t="str">
            <v>Nkomo</v>
          </cell>
          <cell r="N1347" t="str">
            <v>MEFOU-ET-AFAMBA</v>
          </cell>
          <cell r="O1347" t="str">
            <v>NKOLAFAMBA</v>
          </cell>
          <cell r="P1347" t="str">
            <v>Rodrigue Kuate</v>
          </cell>
          <cell r="Q1347">
            <v>677549185</v>
          </cell>
          <cell r="R1347">
            <v>656993741</v>
          </cell>
          <cell r="S1347" t="str">
            <v>Desire Moussinga</v>
          </cell>
          <cell r="T1347" t="str">
            <v>Valeur HOUELL</v>
          </cell>
          <cell r="U1347" t="str">
            <v>I H S</v>
          </cell>
        </row>
        <row r="1348">
          <cell r="A1348" t="str">
            <v>CTR_554</v>
          </cell>
          <cell r="B1348" t="str">
            <v>IHS_YND_174</v>
          </cell>
          <cell r="C1348" t="str">
            <v>CTR_554</v>
          </cell>
          <cell r="D1348" t="str">
            <v>Center</v>
          </cell>
          <cell r="E1348" t="str">
            <v>Center</v>
          </cell>
          <cell r="F1348" t="str">
            <v>Carrefour Nkomo</v>
          </cell>
          <cell r="G1348" t="str">
            <v>P4</v>
          </cell>
          <cell r="H1348" t="str">
            <v>Grid-Gen</v>
          </cell>
          <cell r="I1348" t="str">
            <v>On Air</v>
          </cell>
          <cell r="J1348" t="str">
            <v>Outdoor</v>
          </cell>
          <cell r="K1348" t="str">
            <v>AC</v>
          </cell>
          <cell r="L1348" t="str">
            <v>SAGEMCOM</v>
          </cell>
          <cell r="M1348" t="str">
            <v>Nkomo</v>
          </cell>
          <cell r="N1348" t="str">
            <v>MFOUNDI</v>
          </cell>
          <cell r="O1348" t="str">
            <v>YAOUNDE 4</v>
          </cell>
          <cell r="P1348" t="str">
            <v>Rodrigue Kuate</v>
          </cell>
          <cell r="Q1348">
            <v>677549185</v>
          </cell>
          <cell r="R1348">
            <v>656993741</v>
          </cell>
          <cell r="S1348" t="str">
            <v>Desire Moussinga</v>
          </cell>
          <cell r="T1348" t="str">
            <v>Valeur HOUELL</v>
          </cell>
          <cell r="U1348" t="str">
            <v>I H S</v>
          </cell>
        </row>
        <row r="1349">
          <cell r="A1349" t="str">
            <v>CTR_535</v>
          </cell>
          <cell r="B1349" t="str">
            <v>IHS_YND_682</v>
          </cell>
          <cell r="C1349" t="str">
            <v>CTR_535</v>
          </cell>
          <cell r="D1349" t="str">
            <v>Center</v>
          </cell>
          <cell r="E1349" t="str">
            <v>Center</v>
          </cell>
          <cell r="F1349" t="str">
            <v>Montee Kondengui</v>
          </cell>
          <cell r="G1349" t="str">
            <v>P4</v>
          </cell>
          <cell r="H1349" t="str">
            <v>Grid-Gen</v>
          </cell>
          <cell r="I1349" t="str">
            <v>On Air</v>
          </cell>
          <cell r="J1349" t="str">
            <v>Outdoor</v>
          </cell>
          <cell r="K1349" t="str">
            <v>AC</v>
          </cell>
          <cell r="L1349" t="str">
            <v>SAGEMCOM</v>
          </cell>
          <cell r="M1349" t="str">
            <v>Nkomo</v>
          </cell>
          <cell r="N1349" t="str">
            <v>MFOUNDI</v>
          </cell>
          <cell r="O1349" t="str">
            <v>YAOUNDE 4</v>
          </cell>
          <cell r="P1349" t="str">
            <v>Rodrigue Kuate</v>
          </cell>
          <cell r="Q1349">
            <v>677549185</v>
          </cell>
          <cell r="R1349">
            <v>656993741</v>
          </cell>
          <cell r="S1349" t="str">
            <v>Desire Moussinga</v>
          </cell>
          <cell r="T1349" t="str">
            <v>Valeur HOUELL</v>
          </cell>
          <cell r="U1349" t="str">
            <v>I H S</v>
          </cell>
        </row>
        <row r="1350">
          <cell r="A1350" t="str">
            <v>CTR_625</v>
          </cell>
          <cell r="B1350" t="str">
            <v>IHS_YND_181</v>
          </cell>
          <cell r="C1350" t="str">
            <v>CTR_625</v>
          </cell>
          <cell r="D1350" t="str">
            <v>Center</v>
          </cell>
          <cell r="E1350" t="str">
            <v>Center</v>
          </cell>
          <cell r="F1350" t="str">
            <v>Mimboman</v>
          </cell>
          <cell r="G1350" t="str">
            <v>P4</v>
          </cell>
          <cell r="H1350" t="str">
            <v>Grid-Gen</v>
          </cell>
          <cell r="I1350" t="str">
            <v>On Air</v>
          </cell>
          <cell r="J1350" t="str">
            <v>Outdoor</v>
          </cell>
          <cell r="K1350" t="str">
            <v>AC</v>
          </cell>
          <cell r="L1350" t="str">
            <v>SAGEMCOM</v>
          </cell>
          <cell r="M1350" t="str">
            <v>Nkomo</v>
          </cell>
          <cell r="N1350" t="str">
            <v>MFOUNDI</v>
          </cell>
          <cell r="O1350" t="str">
            <v>YAOUNDE 4</v>
          </cell>
          <cell r="P1350" t="str">
            <v>Rodrigue Kuate</v>
          </cell>
          <cell r="Q1350">
            <v>677549185</v>
          </cell>
          <cell r="R1350">
            <v>656993741</v>
          </cell>
          <cell r="S1350" t="str">
            <v>Desire Moussinga</v>
          </cell>
          <cell r="T1350" t="str">
            <v>Valeur HOUELL</v>
          </cell>
          <cell r="U1350" t="str">
            <v>I H S</v>
          </cell>
        </row>
        <row r="1351">
          <cell r="A1351" t="str">
            <v>CTR_590</v>
          </cell>
          <cell r="B1351" t="str">
            <v>IHS_YND_295</v>
          </cell>
          <cell r="C1351" t="str">
            <v>CTR_590</v>
          </cell>
          <cell r="D1351" t="str">
            <v>Center</v>
          </cell>
          <cell r="E1351" t="str">
            <v>Center</v>
          </cell>
          <cell r="F1351" t="str">
            <v>Ngona</v>
          </cell>
          <cell r="G1351" t="str">
            <v>P4</v>
          </cell>
          <cell r="H1351" t="str">
            <v>Grid-Gen</v>
          </cell>
          <cell r="I1351" t="str">
            <v>On Air</v>
          </cell>
          <cell r="J1351" t="str">
            <v>Outdoor</v>
          </cell>
          <cell r="K1351" t="str">
            <v>AC</v>
          </cell>
          <cell r="L1351" t="str">
            <v>SAGEMCOM</v>
          </cell>
          <cell r="M1351" t="str">
            <v>Nkomo</v>
          </cell>
          <cell r="N1351" t="str">
            <v>MEFOU-ET-AFAMBA</v>
          </cell>
          <cell r="O1351" t="str">
            <v>NKOLAFAMBA</v>
          </cell>
          <cell r="P1351" t="str">
            <v>Rodrigue Kuate</v>
          </cell>
          <cell r="Q1351">
            <v>677549185</v>
          </cell>
          <cell r="R1351">
            <v>656993741</v>
          </cell>
          <cell r="S1351" t="str">
            <v>Desire Moussinga</v>
          </cell>
          <cell r="T1351" t="str">
            <v>Valeur HOUELL</v>
          </cell>
          <cell r="U1351" t="str">
            <v>I H S</v>
          </cell>
        </row>
        <row r="1352">
          <cell r="A1352" t="str">
            <v>CTR_133</v>
          </cell>
          <cell r="B1352" t="str">
            <v>IHS_YND_120</v>
          </cell>
          <cell r="C1352" t="str">
            <v>CTR_133</v>
          </cell>
          <cell r="D1352" t="str">
            <v>Center</v>
          </cell>
          <cell r="E1352" t="str">
            <v>Center</v>
          </cell>
          <cell r="F1352" t="str">
            <v>Sapeur-Mimboman-IHS</v>
          </cell>
          <cell r="G1352" t="str">
            <v>P4</v>
          </cell>
          <cell r="H1352" t="str">
            <v>Grid-Gen</v>
          </cell>
          <cell r="I1352" t="str">
            <v>On Air</v>
          </cell>
          <cell r="J1352" t="str">
            <v>Indoor</v>
          </cell>
          <cell r="K1352" t="str">
            <v>AC</v>
          </cell>
          <cell r="L1352" t="str">
            <v>SAGEMCOM</v>
          </cell>
          <cell r="M1352" t="str">
            <v>Nkomo</v>
          </cell>
          <cell r="N1352" t="str">
            <v>MFOUNDI</v>
          </cell>
          <cell r="O1352" t="str">
            <v>YAOUNDE 4</v>
          </cell>
          <cell r="P1352" t="str">
            <v>Rodrigue Kuate</v>
          </cell>
          <cell r="Q1352">
            <v>677549185</v>
          </cell>
          <cell r="R1352">
            <v>656993741</v>
          </cell>
          <cell r="S1352" t="str">
            <v>Desire Moussinga</v>
          </cell>
          <cell r="T1352" t="str">
            <v>Valeur HOUELL</v>
          </cell>
          <cell r="U1352" t="str">
            <v>I H S</v>
          </cell>
        </row>
        <row r="1353">
          <cell r="A1353" t="str">
            <v>CTR_641</v>
          </cell>
          <cell r="B1353" t="str">
            <v>IHS_YND_062</v>
          </cell>
          <cell r="C1353" t="str">
            <v>CTR_641</v>
          </cell>
          <cell r="D1353" t="str">
            <v>Center</v>
          </cell>
          <cell r="E1353" t="str">
            <v>Center</v>
          </cell>
          <cell r="F1353" t="str">
            <v>Institute Samba IHS</v>
          </cell>
          <cell r="G1353" t="str">
            <v>P4</v>
          </cell>
          <cell r="H1353" t="str">
            <v>Grid-Gen</v>
          </cell>
          <cell r="I1353" t="str">
            <v>On Air</v>
          </cell>
          <cell r="J1353" t="str">
            <v>Indoor</v>
          </cell>
          <cell r="K1353" t="str">
            <v>AC</v>
          </cell>
          <cell r="L1353" t="str">
            <v>SAGEMCOM</v>
          </cell>
          <cell r="M1353" t="str">
            <v>Essos</v>
          </cell>
          <cell r="N1353" t="str">
            <v>MFOUNDI</v>
          </cell>
          <cell r="O1353" t="str">
            <v>YAOUNDE 5</v>
          </cell>
          <cell r="P1353" t="str">
            <v>Rodrigue Kuate</v>
          </cell>
          <cell r="Q1353">
            <v>677549185</v>
          </cell>
          <cell r="R1353">
            <v>656993741</v>
          </cell>
          <cell r="S1353" t="str">
            <v>Desire Moussinga</v>
          </cell>
          <cell r="T1353" t="str">
            <v>Valeur HOUELL</v>
          </cell>
          <cell r="U1353" t="str">
            <v>I H S</v>
          </cell>
        </row>
        <row r="1354">
          <cell r="A1354" t="str">
            <v>CTR_552</v>
          </cell>
          <cell r="B1354" t="str">
            <v>IHS_YND_680</v>
          </cell>
          <cell r="C1354" t="str">
            <v>CTR_552</v>
          </cell>
          <cell r="D1354" t="str">
            <v>Center</v>
          </cell>
          <cell r="E1354" t="str">
            <v>Center</v>
          </cell>
          <cell r="F1354" t="str">
            <v>Mimboman Liberte</v>
          </cell>
          <cell r="G1354" t="str">
            <v>P4</v>
          </cell>
          <cell r="H1354" t="str">
            <v>Grid-Gen</v>
          </cell>
          <cell r="I1354" t="str">
            <v>On Air</v>
          </cell>
          <cell r="J1354" t="str">
            <v>Outdoor</v>
          </cell>
          <cell r="K1354" t="str">
            <v>AC</v>
          </cell>
          <cell r="L1354" t="str">
            <v>SAGEMCOM</v>
          </cell>
          <cell r="M1354" t="str">
            <v>Nkomo</v>
          </cell>
          <cell r="N1354" t="str">
            <v>MFOUNDI</v>
          </cell>
          <cell r="O1354" t="str">
            <v>YAOUNDE 4</v>
          </cell>
          <cell r="P1354" t="str">
            <v>Rodrigue Kuate</v>
          </cell>
          <cell r="Q1354">
            <v>677549185</v>
          </cell>
          <cell r="R1354">
            <v>656993741</v>
          </cell>
          <cell r="S1354" t="str">
            <v>Desire Moussinga</v>
          </cell>
          <cell r="T1354" t="str">
            <v>Valeur HOUELL</v>
          </cell>
          <cell r="U1354" t="str">
            <v>I H S</v>
          </cell>
        </row>
        <row r="1355">
          <cell r="A1355" t="str">
            <v>CTR_469</v>
          </cell>
          <cell r="B1355" t="str">
            <v>IHS_YND_709</v>
          </cell>
          <cell r="C1355" t="str">
            <v>CTR_469</v>
          </cell>
          <cell r="D1355" t="str">
            <v>Center</v>
          </cell>
          <cell r="E1355" t="str">
            <v>Center</v>
          </cell>
          <cell r="F1355" t="str">
            <v>Nkolo2-MTN-IHS</v>
          </cell>
          <cell r="G1355" t="str">
            <v>P4</v>
          </cell>
          <cell r="H1355" t="str">
            <v>Grid-Gen</v>
          </cell>
          <cell r="I1355" t="str">
            <v>On Air</v>
          </cell>
          <cell r="J1355" t="str">
            <v>Outdoor</v>
          </cell>
          <cell r="K1355" t="str">
            <v>AC</v>
          </cell>
          <cell r="L1355" t="str">
            <v>SAGEMCOM</v>
          </cell>
          <cell r="M1355" t="str">
            <v>Nkomo</v>
          </cell>
          <cell r="N1355" t="str">
            <v>MFOUNDI</v>
          </cell>
          <cell r="O1355" t="str">
            <v>YAOUNDE 4</v>
          </cell>
          <cell r="P1355" t="str">
            <v>Rodrigue Kuate</v>
          </cell>
          <cell r="Q1355">
            <v>677549185</v>
          </cell>
          <cell r="R1355">
            <v>656993741</v>
          </cell>
          <cell r="S1355" t="str">
            <v>Desire Moussinga</v>
          </cell>
          <cell r="T1355" t="str">
            <v>Valeur HOUELL</v>
          </cell>
          <cell r="U1355" t="str">
            <v>I H S</v>
          </cell>
        </row>
        <row r="1356">
          <cell r="A1356" t="str">
            <v>EST_057</v>
          </cell>
          <cell r="B1356" t="str">
            <v>IHS_YND_449</v>
          </cell>
          <cell r="C1356" t="str">
            <v>EST_057</v>
          </cell>
          <cell r="D1356" t="str">
            <v>Center</v>
          </cell>
          <cell r="E1356" t="str">
            <v>Center</v>
          </cell>
          <cell r="F1356" t="str">
            <v>Kobdombo</v>
          </cell>
          <cell r="G1356" t="str">
            <v>P5</v>
          </cell>
          <cell r="H1356" t="str">
            <v>Grid-Gen</v>
          </cell>
          <cell r="I1356" t="str">
            <v>On Air</v>
          </cell>
          <cell r="J1356" t="str">
            <v>Outdoor</v>
          </cell>
          <cell r="K1356" t="str">
            <v>AC</v>
          </cell>
          <cell r="L1356" t="str">
            <v>Dowen</v>
          </cell>
          <cell r="M1356" t="str">
            <v>Akonolinga</v>
          </cell>
          <cell r="N1356" t="str">
            <v>NYONG-ET-MFOUMOU</v>
          </cell>
          <cell r="O1356" t="str">
            <v>ENDOM</v>
          </cell>
          <cell r="P1356" t="str">
            <v>Rodrigue Kuate</v>
          </cell>
          <cell r="Q1356">
            <v>677549185</v>
          </cell>
          <cell r="R1356">
            <v>656993741</v>
          </cell>
          <cell r="S1356" t="str">
            <v>Desire Moussinga</v>
          </cell>
          <cell r="T1356" t="str">
            <v>Valeur HOUELL</v>
          </cell>
          <cell r="U1356" t="str">
            <v>I H S</v>
          </cell>
        </row>
        <row r="1357">
          <cell r="A1357" t="str">
            <v>CTR_147</v>
          </cell>
          <cell r="B1357" t="str">
            <v>IHS_YND_340</v>
          </cell>
          <cell r="C1357" t="str">
            <v>CTR_147</v>
          </cell>
          <cell r="D1357" t="str">
            <v>Center</v>
          </cell>
          <cell r="E1357" t="str">
            <v>Center</v>
          </cell>
          <cell r="F1357" t="str">
            <v>Essa-Mitsang-IHS</v>
          </cell>
          <cell r="G1357" t="str">
            <v>P5</v>
          </cell>
          <cell r="H1357" t="str">
            <v>Grid-Hybrid-Gen</v>
          </cell>
          <cell r="I1357" t="str">
            <v>On Air</v>
          </cell>
          <cell r="J1357" t="str">
            <v>Outdoor</v>
          </cell>
          <cell r="K1357" t="str">
            <v>AC</v>
          </cell>
          <cell r="L1357" t="str">
            <v>Dowen</v>
          </cell>
          <cell r="M1357" t="str">
            <v>Akonolinga</v>
          </cell>
          <cell r="N1357" t="str">
            <v>MEFOU-ET-AFAMBA</v>
          </cell>
          <cell r="O1357" t="str">
            <v>ESSE</v>
          </cell>
          <cell r="P1357" t="str">
            <v>Rodrigue Kuate</v>
          </cell>
          <cell r="Q1357">
            <v>677549185</v>
          </cell>
          <cell r="R1357">
            <v>656993741</v>
          </cell>
          <cell r="S1357" t="str">
            <v>Desire Moussinga</v>
          </cell>
          <cell r="T1357" t="str">
            <v>Valeur HOUELL</v>
          </cell>
          <cell r="U1357" t="str">
            <v>I H S</v>
          </cell>
        </row>
        <row r="1358">
          <cell r="A1358" t="str">
            <v>CTR_187</v>
          </cell>
          <cell r="B1358" t="str">
            <v>IHS_YND_170</v>
          </cell>
          <cell r="C1358" t="str">
            <v>CTR_187</v>
          </cell>
          <cell r="D1358" t="str">
            <v>Center</v>
          </cell>
          <cell r="E1358" t="str">
            <v>Center</v>
          </cell>
          <cell r="F1358" t="str">
            <v>Awae-IHS</v>
          </cell>
          <cell r="G1358" t="str">
            <v>P5</v>
          </cell>
          <cell r="H1358" t="str">
            <v>Grid-Gen</v>
          </cell>
          <cell r="I1358" t="str">
            <v>On Air</v>
          </cell>
          <cell r="J1358" t="str">
            <v>Indoor</v>
          </cell>
          <cell r="K1358" t="str">
            <v>AC</v>
          </cell>
          <cell r="L1358" t="str">
            <v>Dowen</v>
          </cell>
          <cell r="M1358" t="str">
            <v>Akonolinga</v>
          </cell>
          <cell r="N1358" t="str">
            <v>MEFOU-ET-AFAMBA</v>
          </cell>
          <cell r="O1358" t="str">
            <v>NKOLAFAMBA</v>
          </cell>
          <cell r="P1358" t="str">
            <v>Rodrigue Kuate</v>
          </cell>
          <cell r="Q1358">
            <v>677549185</v>
          </cell>
          <cell r="R1358">
            <v>656993741</v>
          </cell>
          <cell r="S1358" t="str">
            <v>Desire Moussinga</v>
          </cell>
          <cell r="T1358" t="str">
            <v>Valeur HOUELL</v>
          </cell>
          <cell r="U1358" t="str">
            <v>I H S</v>
          </cell>
        </row>
        <row r="1359">
          <cell r="A1359" t="str">
            <v>EST_067</v>
          </cell>
          <cell r="B1359" t="str">
            <v>IHS_BER_071</v>
          </cell>
          <cell r="C1359" t="str">
            <v>EST_067</v>
          </cell>
          <cell r="D1359" t="str">
            <v>Center</v>
          </cell>
          <cell r="E1359" t="str">
            <v>Center</v>
          </cell>
          <cell r="F1359" t="str">
            <v>Ngoulemakong-MTN</v>
          </cell>
          <cell r="G1359" t="str">
            <v>P5</v>
          </cell>
          <cell r="H1359" t="str">
            <v>Grid-Hybrid-Gen</v>
          </cell>
          <cell r="I1359" t="str">
            <v>On Air</v>
          </cell>
          <cell r="J1359" t="str">
            <v>Outdoor</v>
          </cell>
          <cell r="K1359" t="str">
            <v>AC</v>
          </cell>
          <cell r="L1359" t="str">
            <v>Dowen</v>
          </cell>
          <cell r="M1359" t="str">
            <v>Akonolinga</v>
          </cell>
          <cell r="N1359" t="str">
            <v>HAUT-NYONG</v>
          </cell>
          <cell r="O1359" t="str">
            <v>ATOK</v>
          </cell>
          <cell r="P1359" t="str">
            <v>Rodrigue Kuate</v>
          </cell>
          <cell r="Q1359">
            <v>677549185</v>
          </cell>
          <cell r="R1359">
            <v>656993741</v>
          </cell>
          <cell r="S1359" t="str">
            <v>Desire Moussinga</v>
          </cell>
          <cell r="T1359" t="str">
            <v>Valeur HOUELL</v>
          </cell>
          <cell r="U1359" t="str">
            <v>I H S</v>
          </cell>
        </row>
        <row r="1360">
          <cell r="A1360" t="str">
            <v>CTR_351</v>
          </cell>
          <cell r="B1360" t="str">
            <v>IHS_YND_734</v>
          </cell>
          <cell r="C1360" t="str">
            <v>CTR_351</v>
          </cell>
          <cell r="D1360" t="str">
            <v>Center</v>
          </cell>
          <cell r="E1360" t="str">
            <v>Center</v>
          </cell>
          <cell r="F1360" t="str">
            <v>Mimboman Chateau</v>
          </cell>
          <cell r="G1360" t="str">
            <v>P4</v>
          </cell>
          <cell r="H1360" t="str">
            <v>Grid Only</v>
          </cell>
          <cell r="I1360" t="str">
            <v>On Air</v>
          </cell>
          <cell r="J1360" t="str">
            <v>Outdoor</v>
          </cell>
          <cell r="K1360" t="str">
            <v>AC</v>
          </cell>
          <cell r="L1360" t="str">
            <v>SAGEMCOM</v>
          </cell>
          <cell r="M1360" t="str">
            <v>Nkomo</v>
          </cell>
          <cell r="N1360" t="str">
            <v>MFOUNDI</v>
          </cell>
          <cell r="O1360" t="str">
            <v>YAOUNDE 5</v>
          </cell>
          <cell r="P1360" t="str">
            <v>Rodrigue Kuate</v>
          </cell>
          <cell r="Q1360">
            <v>677549185</v>
          </cell>
          <cell r="R1360">
            <v>656993741</v>
          </cell>
          <cell r="S1360" t="str">
            <v>Desire Moussinga</v>
          </cell>
          <cell r="T1360" t="str">
            <v>Valeur HOUELL</v>
          </cell>
          <cell r="U1360" t="str">
            <v>I H S</v>
          </cell>
        </row>
        <row r="1361">
          <cell r="A1361" t="str">
            <v>ADM_028</v>
          </cell>
          <cell r="B1361" t="str">
            <v>IHS_NGD_054</v>
          </cell>
          <cell r="C1361" t="str">
            <v>ADM_028</v>
          </cell>
          <cell r="D1361" t="str">
            <v>North</v>
          </cell>
          <cell r="E1361" t="str">
            <v>Adamawa</v>
          </cell>
          <cell r="F1361" t="str">
            <v>Galle</v>
          </cell>
          <cell r="G1361" t="str">
            <v>P2</v>
          </cell>
          <cell r="H1361" t="str">
            <v>Grid-Gen</v>
          </cell>
          <cell r="I1361" t="str">
            <v>On Air</v>
          </cell>
          <cell r="J1361" t="str">
            <v>Indoor</v>
          </cell>
          <cell r="K1361" t="str">
            <v>AC</v>
          </cell>
          <cell r="L1361" t="str">
            <v>I-Eng</v>
          </cell>
          <cell r="M1361" t="str">
            <v>Meiganga</v>
          </cell>
          <cell r="N1361" t="str">
            <v>MBERE</v>
          </cell>
          <cell r="O1361" t="str">
            <v>MEIGANGA</v>
          </cell>
          <cell r="P1361" t="str">
            <v>Rostand TCHAGTIEU</v>
          </cell>
          <cell r="Q1361">
            <v>677548566</v>
          </cell>
          <cell r="R1361">
            <v>656072391</v>
          </cell>
          <cell r="S1361" t="str">
            <v>Alain Etoundi</v>
          </cell>
          <cell r="T1361" t="str">
            <v>Valeur HOUELL</v>
          </cell>
          <cell r="U1361" t="str">
            <v>I H S</v>
          </cell>
        </row>
        <row r="1362">
          <cell r="A1362" t="str">
            <v>ADM_030</v>
          </cell>
          <cell r="B1362" t="str">
            <v>IHS_NGD_041</v>
          </cell>
          <cell r="C1362" t="str">
            <v>ADM_030</v>
          </cell>
          <cell r="D1362" t="str">
            <v>North</v>
          </cell>
          <cell r="E1362" t="str">
            <v>Adamawa</v>
          </cell>
          <cell r="F1362" t="str">
            <v>Soukounga-MTN</v>
          </cell>
          <cell r="G1362" t="str">
            <v>P2</v>
          </cell>
          <cell r="H1362" t="str">
            <v>Grid-Gen</v>
          </cell>
          <cell r="I1362" t="str">
            <v>On Air</v>
          </cell>
          <cell r="J1362" t="str">
            <v>Indoor</v>
          </cell>
          <cell r="K1362" t="str">
            <v>AC</v>
          </cell>
          <cell r="L1362" t="str">
            <v>I-Eng</v>
          </cell>
          <cell r="M1362" t="str">
            <v>Ngaoundere</v>
          </cell>
          <cell r="N1362" t="str">
            <v>VINA</v>
          </cell>
          <cell r="O1362" t="str">
            <v>NYAMBAKA</v>
          </cell>
          <cell r="P1362" t="str">
            <v>Rostand TCHAGTIEU</v>
          </cell>
          <cell r="Q1362">
            <v>677548566</v>
          </cell>
          <cell r="R1362">
            <v>656072391</v>
          </cell>
          <cell r="S1362" t="str">
            <v>Alain Etoundi</v>
          </cell>
          <cell r="T1362" t="str">
            <v>Valeur HOUELL</v>
          </cell>
          <cell r="U1362" t="str">
            <v>I H S</v>
          </cell>
        </row>
        <row r="1363">
          <cell r="A1363" t="str">
            <v>ADM_065</v>
          </cell>
          <cell r="B1363" t="str">
            <v>IHS_NGD_037</v>
          </cell>
          <cell r="C1363" t="str">
            <v>ADM_065</v>
          </cell>
          <cell r="D1363" t="str">
            <v>North</v>
          </cell>
          <cell r="E1363" t="str">
            <v>Adamawa</v>
          </cell>
          <cell r="F1363" t="str">
            <v>Likok-MTN</v>
          </cell>
          <cell r="G1363" t="str">
            <v>P2</v>
          </cell>
          <cell r="H1363" t="str">
            <v>Hybrid-Gen</v>
          </cell>
          <cell r="I1363" t="str">
            <v>On Air</v>
          </cell>
          <cell r="J1363" t="str">
            <v>Outdoor</v>
          </cell>
          <cell r="K1363" t="str">
            <v>AC</v>
          </cell>
          <cell r="L1363" t="str">
            <v>I-Eng</v>
          </cell>
          <cell r="M1363" t="str">
            <v>Ngaoundere</v>
          </cell>
          <cell r="N1363" t="str">
            <v>VINA</v>
          </cell>
          <cell r="O1363" t="str">
            <v>MARTAP</v>
          </cell>
          <cell r="P1363" t="str">
            <v>Rostand TCHAGTIEU</v>
          </cell>
          <cell r="Q1363">
            <v>677548566</v>
          </cell>
          <cell r="R1363">
            <v>656072391</v>
          </cell>
          <cell r="S1363" t="str">
            <v>Alain Etoundi</v>
          </cell>
          <cell r="T1363" t="str">
            <v>Valeur HOUELL</v>
          </cell>
          <cell r="U1363" t="str">
            <v>I H S</v>
          </cell>
        </row>
        <row r="1364">
          <cell r="A1364" t="str">
            <v>ADM_023</v>
          </cell>
          <cell r="B1364" t="str">
            <v>IHS_NGD_053</v>
          </cell>
          <cell r="C1364" t="str">
            <v>ADM_023</v>
          </cell>
          <cell r="D1364" t="str">
            <v>North</v>
          </cell>
          <cell r="E1364" t="str">
            <v>Adamawa</v>
          </cell>
          <cell r="F1364" t="str">
            <v>Ngam</v>
          </cell>
          <cell r="G1364" t="str">
            <v>P3</v>
          </cell>
          <cell r="H1364" t="str">
            <v>Hybrid-Gen</v>
          </cell>
          <cell r="I1364" t="str">
            <v>On Air</v>
          </cell>
          <cell r="J1364" t="str">
            <v>Outdoor</v>
          </cell>
          <cell r="K1364" t="str">
            <v>AC</v>
          </cell>
          <cell r="L1364" t="str">
            <v>I-Eng</v>
          </cell>
          <cell r="M1364" t="str">
            <v>Meiganga</v>
          </cell>
          <cell r="N1364" t="str">
            <v>MBERE</v>
          </cell>
          <cell r="O1364" t="str">
            <v>DJOHONG</v>
          </cell>
          <cell r="P1364" t="str">
            <v>Rostand TCHAGTIEU</v>
          </cell>
          <cell r="Q1364">
            <v>677548566</v>
          </cell>
          <cell r="R1364">
            <v>656072391</v>
          </cell>
          <cell r="S1364" t="str">
            <v>Alain Etoundi</v>
          </cell>
          <cell r="T1364" t="str">
            <v>Valeur HOUELL</v>
          </cell>
          <cell r="U1364" t="str">
            <v>I H S</v>
          </cell>
        </row>
        <row r="1365">
          <cell r="A1365" t="str">
            <v>ADM_031</v>
          </cell>
          <cell r="B1365" t="str">
            <v>IHS_NGD_039</v>
          </cell>
          <cell r="C1365" t="str">
            <v>ADM_031</v>
          </cell>
          <cell r="D1365" t="str">
            <v>North</v>
          </cell>
          <cell r="E1365" t="str">
            <v>Adamawa</v>
          </cell>
          <cell r="F1365" t="str">
            <v>Galdi</v>
          </cell>
          <cell r="G1365" t="str">
            <v>P3</v>
          </cell>
          <cell r="H1365" t="str">
            <v>Grid-Gen</v>
          </cell>
          <cell r="I1365" t="str">
            <v>On Air</v>
          </cell>
          <cell r="J1365" t="str">
            <v>Indoor</v>
          </cell>
          <cell r="K1365" t="str">
            <v>AC</v>
          </cell>
          <cell r="L1365" t="str">
            <v>I-Eng</v>
          </cell>
          <cell r="M1365" t="str">
            <v>Ngaoundere</v>
          </cell>
          <cell r="N1365" t="str">
            <v>VINA</v>
          </cell>
          <cell r="O1365" t="str">
            <v>NYAMBAKA</v>
          </cell>
          <cell r="P1365" t="str">
            <v>Rostand TCHAGTIEU</v>
          </cell>
          <cell r="Q1365">
            <v>677548566</v>
          </cell>
          <cell r="R1365">
            <v>656072391</v>
          </cell>
          <cell r="S1365" t="str">
            <v>Alain Etoundi</v>
          </cell>
          <cell r="T1365" t="str">
            <v>Valeur HOUELL</v>
          </cell>
          <cell r="U1365" t="str">
            <v>I H S</v>
          </cell>
        </row>
        <row r="1366">
          <cell r="A1366" t="str">
            <v>ADM_021</v>
          </cell>
          <cell r="B1366" t="str">
            <v>IHS_NGD_077</v>
          </cell>
          <cell r="C1366" t="str">
            <v>ADM_021</v>
          </cell>
          <cell r="D1366" t="str">
            <v>North</v>
          </cell>
          <cell r="E1366" t="str">
            <v>Adamawa</v>
          </cell>
          <cell r="F1366" t="str">
            <v>Dir</v>
          </cell>
          <cell r="G1366" t="str">
            <v>P3</v>
          </cell>
          <cell r="H1366" t="str">
            <v>Solar-Gen</v>
          </cell>
          <cell r="I1366" t="str">
            <v>On Air</v>
          </cell>
          <cell r="J1366" t="str">
            <v>Outdoor</v>
          </cell>
          <cell r="K1366" t="str">
            <v>AC</v>
          </cell>
          <cell r="L1366" t="str">
            <v>I-Eng</v>
          </cell>
          <cell r="M1366" t="str">
            <v>Meiganga</v>
          </cell>
          <cell r="N1366" t="str">
            <v>Meiganga</v>
          </cell>
          <cell r="O1366" t="str">
            <v>DIR</v>
          </cell>
          <cell r="P1366" t="str">
            <v>Rostand TCHAGTIEU</v>
          </cell>
          <cell r="Q1366">
            <v>677548566</v>
          </cell>
          <cell r="R1366">
            <v>656072391</v>
          </cell>
          <cell r="S1366" t="str">
            <v>Alain Etoundi</v>
          </cell>
          <cell r="T1366" t="str">
            <v>Valeur HOUELL</v>
          </cell>
          <cell r="U1366" t="str">
            <v>I H S</v>
          </cell>
        </row>
        <row r="1367">
          <cell r="A1367" t="str">
            <v>ADM_022</v>
          </cell>
          <cell r="B1367" t="str">
            <v>IHS_NGD_058</v>
          </cell>
          <cell r="C1367" t="str">
            <v>ADM_022</v>
          </cell>
          <cell r="D1367" t="str">
            <v>North</v>
          </cell>
          <cell r="E1367" t="str">
            <v>Adamawa</v>
          </cell>
          <cell r="F1367" t="str">
            <v>Djohong</v>
          </cell>
          <cell r="G1367" t="str">
            <v>P3</v>
          </cell>
          <cell r="H1367" t="str">
            <v>Solar-Gen</v>
          </cell>
          <cell r="I1367" t="str">
            <v>On Air</v>
          </cell>
          <cell r="J1367" t="str">
            <v>Outdoor</v>
          </cell>
          <cell r="K1367" t="str">
            <v>AC</v>
          </cell>
          <cell r="L1367" t="str">
            <v>I-Eng</v>
          </cell>
          <cell r="M1367" t="str">
            <v>Meiganga</v>
          </cell>
          <cell r="N1367" t="str">
            <v>MBERE</v>
          </cell>
          <cell r="O1367" t="str">
            <v>DJOHONG</v>
          </cell>
          <cell r="P1367" t="str">
            <v>Rostand TCHAGTIEU</v>
          </cell>
          <cell r="Q1367">
            <v>677548566</v>
          </cell>
          <cell r="R1367">
            <v>656072391</v>
          </cell>
          <cell r="S1367" t="str">
            <v>Alain Etoundi</v>
          </cell>
          <cell r="T1367" t="str">
            <v>Valeur HOUELL</v>
          </cell>
          <cell r="U1367" t="str">
            <v>I H S</v>
          </cell>
        </row>
        <row r="1368">
          <cell r="A1368" t="str">
            <v>ADM_029</v>
          </cell>
          <cell r="B1368" t="str">
            <v>IHS_NGD_047</v>
          </cell>
          <cell r="C1368" t="str">
            <v>ADM_029</v>
          </cell>
          <cell r="D1368" t="str">
            <v>North</v>
          </cell>
          <cell r="E1368" t="str">
            <v>Adamawa</v>
          </cell>
          <cell r="F1368" t="str">
            <v>Mboulai-MTN</v>
          </cell>
          <cell r="G1368" t="str">
            <v>P3</v>
          </cell>
          <cell r="H1368" t="str">
            <v>Gen Only</v>
          </cell>
          <cell r="I1368" t="str">
            <v>On Air</v>
          </cell>
          <cell r="J1368" t="str">
            <v>Indoor</v>
          </cell>
          <cell r="K1368" t="str">
            <v>AC</v>
          </cell>
          <cell r="L1368" t="str">
            <v>I-Eng</v>
          </cell>
          <cell r="M1368" t="str">
            <v>Meiganga</v>
          </cell>
          <cell r="N1368" t="str">
            <v>MBERE</v>
          </cell>
          <cell r="O1368" t="str">
            <v>MEIGANGA</v>
          </cell>
          <cell r="P1368" t="str">
            <v>Rostand TCHAGTIEU</v>
          </cell>
          <cell r="Q1368">
            <v>677548566</v>
          </cell>
          <cell r="R1368">
            <v>656072391</v>
          </cell>
          <cell r="S1368" t="str">
            <v>Alain Etoundi</v>
          </cell>
          <cell r="T1368" t="str">
            <v>Valeur HOUELL</v>
          </cell>
          <cell r="U1368" t="str">
            <v>I H S</v>
          </cell>
        </row>
        <row r="1369">
          <cell r="A1369" t="str">
            <v>ADM_037</v>
          </cell>
          <cell r="B1369" t="str">
            <v>IHS_NGD_072</v>
          </cell>
          <cell r="C1369" t="str">
            <v>ADM_037</v>
          </cell>
          <cell r="D1369" t="str">
            <v>North</v>
          </cell>
          <cell r="E1369" t="str">
            <v>Adamawa</v>
          </cell>
          <cell r="F1369" t="str">
            <v>Ngaoui</v>
          </cell>
          <cell r="G1369" t="str">
            <v>P4</v>
          </cell>
          <cell r="H1369" t="str">
            <v>Solar-Gen</v>
          </cell>
          <cell r="I1369" t="str">
            <v>On Air</v>
          </cell>
          <cell r="J1369" t="str">
            <v>Outdoor</v>
          </cell>
          <cell r="K1369" t="str">
            <v>AC</v>
          </cell>
          <cell r="L1369" t="str">
            <v>I-Eng</v>
          </cell>
          <cell r="M1369" t="str">
            <v>Meiganga</v>
          </cell>
          <cell r="N1369" t="str">
            <v>MBERE</v>
          </cell>
          <cell r="O1369" t="str">
            <v>NGAOUI</v>
          </cell>
          <cell r="P1369" t="str">
            <v>Rostand TCHAGTIEU</v>
          </cell>
          <cell r="Q1369">
            <v>677548566</v>
          </cell>
          <cell r="R1369">
            <v>656072391</v>
          </cell>
          <cell r="S1369" t="str">
            <v>Alain Etoundi</v>
          </cell>
          <cell r="T1369" t="str">
            <v>Valeur HOUELL</v>
          </cell>
          <cell r="U1369" t="str">
            <v>I H S</v>
          </cell>
        </row>
        <row r="1370">
          <cell r="A1370" t="str">
            <v>ADM_051</v>
          </cell>
          <cell r="B1370" t="str">
            <v>IHS_NGD_066</v>
          </cell>
          <cell r="C1370" t="str">
            <v>ADM_051</v>
          </cell>
          <cell r="D1370" t="str">
            <v>North</v>
          </cell>
          <cell r="E1370" t="str">
            <v>Adamawa</v>
          </cell>
          <cell r="F1370" t="str">
            <v>Lokoti</v>
          </cell>
          <cell r="G1370" t="str">
            <v>P4</v>
          </cell>
          <cell r="H1370" t="str">
            <v>Solar-Grid-Gen</v>
          </cell>
          <cell r="I1370" t="str">
            <v>On Air</v>
          </cell>
          <cell r="J1370" t="str">
            <v>Outdoor</v>
          </cell>
          <cell r="K1370" t="str">
            <v>AC</v>
          </cell>
          <cell r="L1370" t="str">
            <v>I-Eng</v>
          </cell>
          <cell r="M1370" t="str">
            <v>Meiganga</v>
          </cell>
          <cell r="N1370" t="str">
            <v>MBERE</v>
          </cell>
          <cell r="O1370" t="str">
            <v>MEIGANGA</v>
          </cell>
          <cell r="P1370" t="str">
            <v>Rostand TCHAGTIEU</v>
          </cell>
          <cell r="Q1370">
            <v>677548566</v>
          </cell>
          <cell r="R1370">
            <v>656072391</v>
          </cell>
          <cell r="S1370" t="str">
            <v>Alain Etoundi</v>
          </cell>
          <cell r="T1370" t="str">
            <v>Valeur HOUELL</v>
          </cell>
          <cell r="U1370" t="str">
            <v>I H S</v>
          </cell>
        </row>
        <row r="1371">
          <cell r="A1371" t="str">
            <v>ADM_078</v>
          </cell>
          <cell r="B1371" t="str">
            <v>IHS_NGD_033</v>
          </cell>
          <cell r="C1371" t="str">
            <v>ADM_078</v>
          </cell>
          <cell r="D1371" t="str">
            <v>North</v>
          </cell>
          <cell r="E1371" t="str">
            <v>Adamawa</v>
          </cell>
          <cell r="F1371" t="str">
            <v>Wakwa-IHS</v>
          </cell>
          <cell r="G1371" t="str">
            <v>P4</v>
          </cell>
          <cell r="H1371" t="str">
            <v>Grid-Gen</v>
          </cell>
          <cell r="I1371" t="str">
            <v>On Air</v>
          </cell>
          <cell r="J1371" t="str">
            <v>Outdoor</v>
          </cell>
          <cell r="K1371" t="str">
            <v>AC</v>
          </cell>
          <cell r="L1371" t="str">
            <v>I-Eng</v>
          </cell>
          <cell r="M1371" t="str">
            <v>Ngaoundere</v>
          </cell>
          <cell r="N1371" t="str">
            <v>VINA</v>
          </cell>
          <cell r="O1371" t="str">
            <v>NGAOUNEDERE 1</v>
          </cell>
          <cell r="P1371" t="str">
            <v>Rostand TCHAGTIEU</v>
          </cell>
          <cell r="Q1371">
            <v>677548566</v>
          </cell>
          <cell r="R1371">
            <v>656072391</v>
          </cell>
          <cell r="S1371" t="str">
            <v>Alain Etoundi</v>
          </cell>
          <cell r="T1371" t="str">
            <v>Valeur HOUELL</v>
          </cell>
          <cell r="U1371" t="str">
            <v>I H S</v>
          </cell>
        </row>
        <row r="1372">
          <cell r="A1372" t="str">
            <v>ADM_045</v>
          </cell>
          <cell r="B1372" t="str">
            <v>IHS_NGD_069</v>
          </cell>
          <cell r="C1372" t="str">
            <v>ADM_045</v>
          </cell>
          <cell r="D1372" t="str">
            <v>North</v>
          </cell>
          <cell r="E1372" t="str">
            <v>Adamawa</v>
          </cell>
          <cell r="F1372" t="str">
            <v>Dobiri-MTN</v>
          </cell>
          <cell r="G1372" t="str">
            <v>P4</v>
          </cell>
          <cell r="H1372" t="str">
            <v>Solar-Gen</v>
          </cell>
          <cell r="I1372" t="str">
            <v>On Air</v>
          </cell>
          <cell r="J1372" t="str">
            <v>Indoor</v>
          </cell>
          <cell r="K1372" t="str">
            <v>AC</v>
          </cell>
          <cell r="L1372" t="str">
            <v>I-Eng</v>
          </cell>
          <cell r="M1372" t="str">
            <v>Meiganga</v>
          </cell>
          <cell r="N1372" t="str">
            <v>MBERE</v>
          </cell>
          <cell r="O1372" t="str">
            <v>DIR</v>
          </cell>
          <cell r="P1372" t="str">
            <v>Rostand TCHAGTIEU</v>
          </cell>
          <cell r="Q1372">
            <v>677548566</v>
          </cell>
          <cell r="R1372">
            <v>656072391</v>
          </cell>
          <cell r="S1372" t="str">
            <v>Alain Etoundi</v>
          </cell>
          <cell r="T1372" t="str">
            <v>Valeur HOUELL</v>
          </cell>
          <cell r="U1372" t="str">
            <v>I H S</v>
          </cell>
        </row>
        <row r="1373">
          <cell r="A1373" t="str">
            <v>ADM_052</v>
          </cell>
          <cell r="B1373" t="str">
            <v>IHS_NGD_079</v>
          </cell>
          <cell r="C1373" t="str">
            <v>ADM_052</v>
          </cell>
          <cell r="D1373" t="str">
            <v>North</v>
          </cell>
          <cell r="E1373" t="str">
            <v>Adamawa</v>
          </cell>
          <cell r="F1373" t="str">
            <v>Bagodo</v>
          </cell>
          <cell r="G1373" t="str">
            <v>P5</v>
          </cell>
          <cell r="H1373" t="str">
            <v>Gen-Solar AER</v>
          </cell>
          <cell r="I1373" t="str">
            <v>On Air</v>
          </cell>
          <cell r="J1373" t="str">
            <v>Outdoor</v>
          </cell>
          <cell r="K1373" t="str">
            <v>AC</v>
          </cell>
          <cell r="L1373" t="str">
            <v>I-Eng</v>
          </cell>
          <cell r="M1373" t="str">
            <v>Meiganga</v>
          </cell>
          <cell r="N1373" t="str">
            <v>Meiganga</v>
          </cell>
          <cell r="O1373" t="str">
            <v>DIR</v>
          </cell>
          <cell r="P1373" t="str">
            <v>Rostand TCHAGTIEU</v>
          </cell>
          <cell r="Q1373">
            <v>677548566</v>
          </cell>
          <cell r="R1373">
            <v>656072391</v>
          </cell>
          <cell r="S1373" t="str">
            <v>Alain Etoundi</v>
          </cell>
          <cell r="T1373" t="str">
            <v>Valeur HOUELL</v>
          </cell>
          <cell r="U1373" t="str">
            <v>I H S</v>
          </cell>
        </row>
        <row r="1374">
          <cell r="A1374" t="str">
            <v>ADM_027</v>
          </cell>
          <cell r="B1374" t="str">
            <v>IHS_NGD_071</v>
          </cell>
          <cell r="C1374" t="str">
            <v>ADM_027</v>
          </cell>
          <cell r="D1374" t="str">
            <v>North</v>
          </cell>
          <cell r="E1374" t="str">
            <v>Adamawa</v>
          </cell>
          <cell r="F1374" t="str">
            <v>Bata</v>
          </cell>
          <cell r="G1374" t="str">
            <v>P5</v>
          </cell>
          <cell r="H1374" t="str">
            <v>Solar-Grid-Gen</v>
          </cell>
          <cell r="I1374" t="str">
            <v>On Air</v>
          </cell>
          <cell r="J1374" t="str">
            <v>Indoor</v>
          </cell>
          <cell r="K1374" t="str">
            <v>AC</v>
          </cell>
          <cell r="L1374" t="str">
            <v>I-Eng</v>
          </cell>
          <cell r="M1374" t="str">
            <v>Meiganga</v>
          </cell>
          <cell r="N1374" t="str">
            <v>MBERE</v>
          </cell>
          <cell r="O1374" t="str">
            <v>MEIGANGA</v>
          </cell>
          <cell r="P1374" t="str">
            <v>Rostand TCHAGTIEU</v>
          </cell>
          <cell r="Q1374">
            <v>677548566</v>
          </cell>
          <cell r="R1374">
            <v>656072391</v>
          </cell>
          <cell r="S1374" t="str">
            <v>Alain Etoundi</v>
          </cell>
          <cell r="T1374" t="str">
            <v>Valeur HOUELL</v>
          </cell>
          <cell r="U1374" t="str">
            <v>I H S</v>
          </cell>
        </row>
        <row r="1375">
          <cell r="A1375" t="str">
            <v>ADM_142</v>
          </cell>
          <cell r="B1375" t="str">
            <v>IHS_NGD_217</v>
          </cell>
          <cell r="C1375" t="str">
            <v>ADM_142</v>
          </cell>
          <cell r="D1375" t="str">
            <v>North</v>
          </cell>
          <cell r="E1375" t="str">
            <v>Adamawa</v>
          </cell>
          <cell r="F1375" t="str">
            <v>YARBANG GAZIYA</v>
          </cell>
          <cell r="G1375" t="str">
            <v>P5</v>
          </cell>
          <cell r="H1375" t="str">
            <v>Hybrid-Gen</v>
          </cell>
          <cell r="I1375" t="str">
            <v>On Air</v>
          </cell>
          <cell r="J1375" t="str">
            <v>Outdoor</v>
          </cell>
          <cell r="K1375" t="str">
            <v>AC</v>
          </cell>
          <cell r="L1375" t="str">
            <v>I-Eng</v>
          </cell>
          <cell r="M1375" t="str">
            <v>Meiganga</v>
          </cell>
          <cell r="N1375" t="str">
            <v>MBERE</v>
          </cell>
          <cell r="O1375" t="str">
            <v>DJOHONG</v>
          </cell>
          <cell r="P1375" t="str">
            <v>Rostand TCHAGTIEU</v>
          </cell>
          <cell r="Q1375">
            <v>677548566</v>
          </cell>
          <cell r="R1375">
            <v>656072391</v>
          </cell>
          <cell r="S1375" t="str">
            <v>Alain Etoundi</v>
          </cell>
          <cell r="T1375" t="str">
            <v>Valeur HOUELL</v>
          </cell>
          <cell r="U1375" t="str">
            <v>I H S</v>
          </cell>
        </row>
        <row r="1376">
          <cell r="A1376" t="str">
            <v>ADM_143</v>
          </cell>
          <cell r="B1376" t="str">
            <v>IHS_NGD_219</v>
          </cell>
          <cell r="C1376" t="str">
            <v>ADM_143</v>
          </cell>
          <cell r="D1376" t="str">
            <v>North</v>
          </cell>
          <cell r="E1376" t="str">
            <v>Adamawa</v>
          </cell>
          <cell r="F1376" t="str">
            <v>BAWA</v>
          </cell>
          <cell r="G1376" t="str">
            <v>P5</v>
          </cell>
          <cell r="H1376" t="str">
            <v>Solar-Gen</v>
          </cell>
          <cell r="I1376" t="str">
            <v>On Air</v>
          </cell>
          <cell r="J1376" t="str">
            <v>Outdoor</v>
          </cell>
          <cell r="K1376" t="str">
            <v>AC</v>
          </cell>
          <cell r="L1376" t="str">
            <v>I-Eng</v>
          </cell>
          <cell r="M1376" t="str">
            <v>Ngaoundere</v>
          </cell>
          <cell r="N1376" t="str">
            <v>VINA</v>
          </cell>
          <cell r="O1376" t="str">
            <v>MARTAP</v>
          </cell>
          <cell r="P1376" t="str">
            <v>Rostand TCHAGTIEU</v>
          </cell>
          <cell r="Q1376">
            <v>677548566</v>
          </cell>
          <cell r="R1376">
            <v>656072391</v>
          </cell>
          <cell r="S1376" t="str">
            <v>Alain Etoundi</v>
          </cell>
          <cell r="T1376" t="str">
            <v>Valeur HOUELL</v>
          </cell>
          <cell r="U1376" t="str">
            <v>I H S</v>
          </cell>
        </row>
        <row r="1377">
          <cell r="A1377" t="str">
            <v>ADM_141</v>
          </cell>
          <cell r="B1377" t="str">
            <v>IHS_NGD_212</v>
          </cell>
          <cell r="C1377" t="str">
            <v>ADM_141</v>
          </cell>
          <cell r="D1377" t="str">
            <v>North</v>
          </cell>
          <cell r="E1377" t="str">
            <v>Adamawa</v>
          </cell>
          <cell r="F1377" t="str">
            <v>Batoua-Godole</v>
          </cell>
          <cell r="G1377" t="str">
            <v>P5</v>
          </cell>
          <cell r="H1377" t="str">
            <v>Solar-Gen</v>
          </cell>
          <cell r="I1377" t="str">
            <v>On Air</v>
          </cell>
          <cell r="J1377" t="str">
            <v>Outdoor</v>
          </cell>
          <cell r="K1377" t="str">
            <v>AC</v>
          </cell>
          <cell r="L1377" t="str">
            <v>I-Eng</v>
          </cell>
          <cell r="M1377" t="str">
            <v>Meiganga</v>
          </cell>
          <cell r="N1377" t="str">
            <v>MBERE</v>
          </cell>
          <cell r="O1377" t="str">
            <v>MEIGANGA</v>
          </cell>
          <cell r="P1377" t="str">
            <v>Rostand TCHAGTIEU</v>
          </cell>
          <cell r="Q1377">
            <v>677548566</v>
          </cell>
          <cell r="R1377">
            <v>656072391</v>
          </cell>
          <cell r="S1377" t="str">
            <v>Alain Etoundi</v>
          </cell>
          <cell r="T1377" t="str">
            <v>Valeur HOUELL</v>
          </cell>
          <cell r="U1377" t="str">
            <v>I H S</v>
          </cell>
        </row>
        <row r="1378">
          <cell r="A1378" t="str">
            <v>ADM_106</v>
          </cell>
          <cell r="B1378" t="str">
            <v>IHS_NGD_056</v>
          </cell>
          <cell r="C1378" t="str">
            <v>ADM_106</v>
          </cell>
          <cell r="D1378" t="str">
            <v>North</v>
          </cell>
          <cell r="E1378" t="str">
            <v>Adamawa</v>
          </cell>
          <cell r="F1378" t="str">
            <v>Meiganga EECL</v>
          </cell>
          <cell r="G1378" t="str">
            <v>P5</v>
          </cell>
          <cell r="H1378" t="str">
            <v>Grid-Gen</v>
          </cell>
          <cell r="I1378" t="str">
            <v>On Air</v>
          </cell>
          <cell r="J1378" t="str">
            <v>Outdoor</v>
          </cell>
          <cell r="K1378" t="str">
            <v>AC</v>
          </cell>
          <cell r="L1378" t="str">
            <v>I-Eng</v>
          </cell>
          <cell r="M1378" t="str">
            <v>Meiganga</v>
          </cell>
          <cell r="N1378" t="str">
            <v>MBERE</v>
          </cell>
          <cell r="O1378" t="str">
            <v>MEIGANGA</v>
          </cell>
          <cell r="P1378" t="str">
            <v>Rostand TCHAGTIEU</v>
          </cell>
          <cell r="Q1378">
            <v>677548566</v>
          </cell>
          <cell r="R1378">
            <v>656072391</v>
          </cell>
          <cell r="S1378" t="str">
            <v>Alain Etoundi</v>
          </cell>
          <cell r="T1378" t="str">
            <v>Valeur HOUELL</v>
          </cell>
          <cell r="U1378" t="str">
            <v>I H S</v>
          </cell>
        </row>
        <row r="1379">
          <cell r="A1379" t="str">
            <v>ADM_107</v>
          </cell>
          <cell r="B1379" t="str">
            <v>IHS_NGD_211</v>
          </cell>
          <cell r="C1379" t="str">
            <v>ADM_107</v>
          </cell>
          <cell r="D1379" t="str">
            <v>North</v>
          </cell>
          <cell r="E1379" t="str">
            <v>Adamawa</v>
          </cell>
          <cell r="F1379" t="str">
            <v>Meiganga Market</v>
          </cell>
          <cell r="G1379" t="str">
            <v>P5</v>
          </cell>
          <cell r="H1379" t="str">
            <v>Grid-Gen</v>
          </cell>
          <cell r="I1379" t="str">
            <v>On Air</v>
          </cell>
          <cell r="J1379" t="str">
            <v>Outdoor</v>
          </cell>
          <cell r="K1379" t="str">
            <v>AC</v>
          </cell>
          <cell r="L1379" t="str">
            <v>I-Eng</v>
          </cell>
          <cell r="M1379" t="str">
            <v>Meiganga</v>
          </cell>
          <cell r="N1379" t="str">
            <v>MBERE</v>
          </cell>
          <cell r="O1379" t="str">
            <v>MEIGANGA</v>
          </cell>
          <cell r="P1379" t="str">
            <v>Rostand TCHAGTIEU</v>
          </cell>
          <cell r="Q1379">
            <v>677548566</v>
          </cell>
          <cell r="R1379">
            <v>656072391</v>
          </cell>
          <cell r="S1379" t="str">
            <v>Alain Etoundi</v>
          </cell>
          <cell r="T1379" t="str">
            <v>Valeur HOUELL</v>
          </cell>
          <cell r="U1379" t="str">
            <v>I H S</v>
          </cell>
        </row>
        <row r="1380">
          <cell r="A1380" t="str">
            <v>ADM_032</v>
          </cell>
          <cell r="B1380" t="str">
            <v>IHS_NGD_036</v>
          </cell>
          <cell r="C1380" t="str">
            <v>ADM_032</v>
          </cell>
          <cell r="D1380" t="str">
            <v>North</v>
          </cell>
          <cell r="E1380" t="str">
            <v>Adamawa</v>
          </cell>
          <cell r="F1380" t="str">
            <v>Dibi-MTN</v>
          </cell>
          <cell r="G1380" t="str">
            <v>P5</v>
          </cell>
          <cell r="H1380" t="str">
            <v>Grid-Gen</v>
          </cell>
          <cell r="I1380" t="str">
            <v>On Air</v>
          </cell>
          <cell r="J1380" t="str">
            <v>Indoor</v>
          </cell>
          <cell r="K1380" t="str">
            <v>AC</v>
          </cell>
          <cell r="L1380" t="str">
            <v>I-Eng</v>
          </cell>
          <cell r="M1380" t="str">
            <v>Ngaoundere</v>
          </cell>
          <cell r="N1380" t="str">
            <v>VINA</v>
          </cell>
          <cell r="O1380" t="str">
            <v>NGAOUNEDERE 1</v>
          </cell>
          <cell r="P1380" t="str">
            <v>Rostand TCHAGTIEU</v>
          </cell>
          <cell r="Q1380">
            <v>677548566</v>
          </cell>
          <cell r="R1380">
            <v>656072391</v>
          </cell>
          <cell r="S1380" t="str">
            <v>Alain Etoundi</v>
          </cell>
          <cell r="T1380" t="str">
            <v>Valeur HOUELL</v>
          </cell>
          <cell r="U1380" t="str">
            <v>I H S</v>
          </cell>
        </row>
        <row r="1381">
          <cell r="A1381" t="str">
            <v>ADM_062</v>
          </cell>
          <cell r="B1381" t="str">
            <v>IHS_NGD_065</v>
          </cell>
          <cell r="C1381" t="str">
            <v>ADM_062</v>
          </cell>
          <cell r="D1381" t="str">
            <v>North</v>
          </cell>
          <cell r="E1381" t="str">
            <v>Adamawa</v>
          </cell>
          <cell r="F1381" t="str">
            <v>Meidougou-MTN</v>
          </cell>
          <cell r="G1381" t="str">
            <v>P5</v>
          </cell>
          <cell r="H1381" t="str">
            <v>Grid-Gen</v>
          </cell>
          <cell r="I1381" t="str">
            <v>On Air</v>
          </cell>
          <cell r="J1381" t="str">
            <v>Outdoor</v>
          </cell>
          <cell r="K1381" t="str">
            <v>AC</v>
          </cell>
          <cell r="L1381" t="str">
            <v>I-Eng</v>
          </cell>
          <cell r="M1381" t="str">
            <v>Meiganga</v>
          </cell>
          <cell r="N1381" t="str">
            <v>MBERE</v>
          </cell>
          <cell r="O1381" t="str">
            <v>MEIGANGA</v>
          </cell>
          <cell r="P1381" t="str">
            <v>Rostand TCHAGTIEU</v>
          </cell>
          <cell r="Q1381">
            <v>677548566</v>
          </cell>
          <cell r="R1381">
            <v>656072391</v>
          </cell>
          <cell r="S1381" t="str">
            <v>Alain Etoundi</v>
          </cell>
          <cell r="T1381" t="str">
            <v>Valeur HOUELL</v>
          </cell>
          <cell r="U1381" t="str">
            <v>I H S</v>
          </cell>
        </row>
        <row r="1382">
          <cell r="A1382" t="str">
            <v>ADM_079</v>
          </cell>
          <cell r="B1382" t="str">
            <v>IHS_NGD_044</v>
          </cell>
          <cell r="C1382" t="str">
            <v>ADM_079</v>
          </cell>
          <cell r="D1382" t="str">
            <v>North</v>
          </cell>
          <cell r="E1382" t="str">
            <v>Adamawa</v>
          </cell>
          <cell r="F1382" t="str">
            <v>Mbidou-IHS</v>
          </cell>
          <cell r="G1382" t="str">
            <v>P5</v>
          </cell>
          <cell r="H1382" t="str">
            <v>Grid-Gen</v>
          </cell>
          <cell r="I1382" t="str">
            <v>On Air</v>
          </cell>
          <cell r="J1382" t="str">
            <v>Outdoor</v>
          </cell>
          <cell r="K1382" t="str">
            <v>AC</v>
          </cell>
          <cell r="L1382" t="str">
            <v>I-Eng</v>
          </cell>
          <cell r="M1382" t="str">
            <v>Meiganga</v>
          </cell>
          <cell r="N1382" t="str">
            <v>VINA</v>
          </cell>
          <cell r="O1382" t="str">
            <v>NYAMBAKA</v>
          </cell>
          <cell r="P1382" t="str">
            <v>Rostand TCHAGTIEU</v>
          </cell>
          <cell r="Q1382">
            <v>677548566</v>
          </cell>
          <cell r="R1382">
            <v>656072391</v>
          </cell>
          <cell r="S1382" t="str">
            <v>Alain Etoundi</v>
          </cell>
          <cell r="T1382" t="str">
            <v>Valeur HOUELL</v>
          </cell>
          <cell r="U1382" t="str">
            <v>I H S</v>
          </cell>
        </row>
        <row r="1383">
          <cell r="A1383" t="str">
            <v>ADM_080</v>
          </cell>
          <cell r="B1383" t="str">
            <v>IHS_NGD_052</v>
          </cell>
          <cell r="C1383" t="str">
            <v>ADM_080</v>
          </cell>
          <cell r="D1383" t="str">
            <v>North</v>
          </cell>
          <cell r="E1383" t="str">
            <v>Adamawa</v>
          </cell>
          <cell r="F1383" t="str">
            <v>Limbon-IHS</v>
          </cell>
          <cell r="G1383" t="str">
            <v>P5</v>
          </cell>
          <cell r="H1383" t="str">
            <v>Grid-Gen</v>
          </cell>
          <cell r="I1383" t="str">
            <v>On Air</v>
          </cell>
          <cell r="J1383" t="str">
            <v>Outdoor</v>
          </cell>
          <cell r="K1383" t="str">
            <v>AC</v>
          </cell>
          <cell r="L1383" t="str">
            <v>I-Eng</v>
          </cell>
          <cell r="M1383" t="str">
            <v>Meiganga</v>
          </cell>
          <cell r="N1383" t="str">
            <v>MBERE</v>
          </cell>
          <cell r="O1383" t="str">
            <v>MEIGANGA</v>
          </cell>
          <cell r="P1383" t="str">
            <v>Rostand TCHAGTIEU</v>
          </cell>
          <cell r="Q1383">
            <v>677548566</v>
          </cell>
          <cell r="R1383">
            <v>656072391</v>
          </cell>
          <cell r="S1383" t="str">
            <v>Alain Etoundi</v>
          </cell>
          <cell r="T1383" t="str">
            <v>Valeur HOUELL</v>
          </cell>
          <cell r="U1383" t="str">
            <v>I H S</v>
          </cell>
        </row>
        <row r="1384">
          <cell r="A1384" t="str">
            <v>ADM_138</v>
          </cell>
          <cell r="B1384" t="str">
            <v>IHS_NGD_068</v>
          </cell>
          <cell r="C1384" t="str">
            <v>ADM_138</v>
          </cell>
          <cell r="D1384" t="str">
            <v>North</v>
          </cell>
          <cell r="E1384" t="str">
            <v>Adamawa</v>
          </cell>
          <cell r="F1384" t="str">
            <v>GORO</v>
          </cell>
          <cell r="G1384" t="str">
            <v>P5</v>
          </cell>
          <cell r="H1384" t="str">
            <v>Hybrid-Gen</v>
          </cell>
          <cell r="I1384" t="str">
            <v>On Air</v>
          </cell>
          <cell r="J1384" t="str">
            <v>Outdoor</v>
          </cell>
          <cell r="K1384" t="str">
            <v>AC</v>
          </cell>
          <cell r="L1384" t="str">
            <v>I-Eng</v>
          </cell>
          <cell r="M1384" t="str">
            <v>Meiganga</v>
          </cell>
          <cell r="N1384" t="str">
            <v>MBERE</v>
          </cell>
          <cell r="O1384" t="str">
            <v>DIR</v>
          </cell>
          <cell r="P1384" t="str">
            <v>Rostand TCHAGTIEU</v>
          </cell>
          <cell r="Q1384">
            <v>677548566</v>
          </cell>
          <cell r="R1384">
            <v>656072391</v>
          </cell>
          <cell r="S1384" t="str">
            <v>Alain Etoundi</v>
          </cell>
          <cell r="T1384" t="str">
            <v>Valeur HOUELL</v>
          </cell>
          <cell r="U1384" t="str">
            <v>I H S</v>
          </cell>
        </row>
        <row r="1385">
          <cell r="A1385" t="str">
            <v>ADM_100</v>
          </cell>
          <cell r="B1385" t="str">
            <v>IHS_NGD_067</v>
          </cell>
          <cell r="C1385" t="str">
            <v>ADM_100</v>
          </cell>
          <cell r="D1385" t="str">
            <v>North</v>
          </cell>
          <cell r="E1385" t="str">
            <v>Adamawa</v>
          </cell>
          <cell r="F1385" t="str">
            <v>Kaladi-MTN-IHS</v>
          </cell>
          <cell r="G1385" t="str">
            <v>P5</v>
          </cell>
          <cell r="H1385" t="str">
            <v>Solar-Gen</v>
          </cell>
          <cell r="I1385" t="str">
            <v>On Air</v>
          </cell>
          <cell r="J1385" t="str">
            <v>Indoor</v>
          </cell>
          <cell r="K1385" t="str">
            <v>AC</v>
          </cell>
          <cell r="L1385" t="str">
            <v>I-Eng</v>
          </cell>
          <cell r="M1385" t="str">
            <v>Meiganga</v>
          </cell>
          <cell r="N1385" t="str">
            <v>MBERE</v>
          </cell>
          <cell r="O1385" t="str">
            <v>MEIGANGA</v>
          </cell>
          <cell r="P1385" t="str">
            <v>Rostand TCHAGTIEU</v>
          </cell>
          <cell r="Q1385">
            <v>677548566</v>
          </cell>
          <cell r="R1385">
            <v>656072391</v>
          </cell>
          <cell r="S1385" t="str">
            <v>Alain Etoundi</v>
          </cell>
          <cell r="T1385" t="str">
            <v>Valeur HOUELL</v>
          </cell>
          <cell r="U1385" t="str">
            <v>I H S</v>
          </cell>
        </row>
        <row r="1386">
          <cell r="A1386" t="str">
            <v>ADM_095</v>
          </cell>
          <cell r="B1386" t="str">
            <v>IHS_NGD_045</v>
          </cell>
          <cell r="C1386" t="str">
            <v>ADM_095</v>
          </cell>
          <cell r="D1386" t="str">
            <v>North</v>
          </cell>
          <cell r="E1386" t="str">
            <v>Adamawa</v>
          </cell>
          <cell r="F1386" t="str">
            <v>Djerkoka</v>
          </cell>
          <cell r="G1386" t="str">
            <v>P5</v>
          </cell>
          <cell r="H1386" t="str">
            <v>Hybrid-Gen</v>
          </cell>
          <cell r="I1386" t="str">
            <v>On Air</v>
          </cell>
          <cell r="J1386" t="str">
            <v>Outdoor</v>
          </cell>
          <cell r="K1386" t="str">
            <v>AC</v>
          </cell>
          <cell r="L1386" t="str">
            <v>I-Eng</v>
          </cell>
          <cell r="M1386" t="str">
            <v>Meiganga</v>
          </cell>
          <cell r="N1386" t="str">
            <v>VINA</v>
          </cell>
          <cell r="O1386" t="str">
            <v>BELEL</v>
          </cell>
          <cell r="P1386" t="str">
            <v>Rostand TCHAGTIEU</v>
          </cell>
          <cell r="Q1386">
            <v>677548566</v>
          </cell>
          <cell r="R1386">
            <v>656072391</v>
          </cell>
          <cell r="S1386" t="str">
            <v>Alain Etoundi</v>
          </cell>
          <cell r="T1386" t="str">
            <v>Valeur HOUELL</v>
          </cell>
          <cell r="U1386" t="str">
            <v>I H S</v>
          </cell>
        </row>
        <row r="1387">
          <cell r="A1387" t="str">
            <v>ADM_096</v>
          </cell>
          <cell r="B1387" t="str">
            <v>IHS_NGD_048</v>
          </cell>
          <cell r="C1387" t="str">
            <v>ADM_096</v>
          </cell>
          <cell r="D1387" t="str">
            <v>North</v>
          </cell>
          <cell r="E1387" t="str">
            <v>Adamawa</v>
          </cell>
          <cell r="F1387" t="str">
            <v>Belel</v>
          </cell>
          <cell r="G1387" t="str">
            <v>P5</v>
          </cell>
          <cell r="H1387" t="str">
            <v>Solar-Gen</v>
          </cell>
          <cell r="I1387" t="str">
            <v>On Air</v>
          </cell>
          <cell r="J1387" t="str">
            <v>Outdoor</v>
          </cell>
          <cell r="K1387" t="str">
            <v>AC</v>
          </cell>
          <cell r="L1387" t="str">
            <v>I-Eng</v>
          </cell>
          <cell r="M1387" t="str">
            <v>Meiganga</v>
          </cell>
          <cell r="N1387" t="str">
            <v>VINA</v>
          </cell>
          <cell r="O1387" t="str">
            <v>BELEL</v>
          </cell>
          <cell r="P1387" t="str">
            <v>Rostand TCHAGTIEU</v>
          </cell>
          <cell r="Q1387">
            <v>677548566</v>
          </cell>
          <cell r="R1387">
            <v>656072391</v>
          </cell>
          <cell r="S1387" t="str">
            <v>Alain Etoundi</v>
          </cell>
          <cell r="T1387" t="str">
            <v>Valeur HOUELL</v>
          </cell>
          <cell r="U1387" t="str">
            <v>I H S</v>
          </cell>
        </row>
        <row r="1388">
          <cell r="A1388" t="str">
            <v>EST_020</v>
          </cell>
          <cell r="B1388" t="str">
            <v>IHS_BER_028</v>
          </cell>
          <cell r="C1388" t="str">
            <v>EST_020</v>
          </cell>
          <cell r="D1388" t="str">
            <v>South/East</v>
          </cell>
          <cell r="E1388" t="str">
            <v>East</v>
          </cell>
          <cell r="F1388" t="str">
            <v>Doume</v>
          </cell>
          <cell r="G1388" t="str">
            <v>P2</v>
          </cell>
          <cell r="H1388" t="str">
            <v>Grid-Hybrid-Gen</v>
          </cell>
          <cell r="I1388" t="str">
            <v>On Air</v>
          </cell>
          <cell r="J1388" t="str">
            <v>Indoor</v>
          </cell>
          <cell r="K1388" t="str">
            <v>AC</v>
          </cell>
          <cell r="L1388" t="str">
            <v>Dowen</v>
          </cell>
          <cell r="M1388" t="str">
            <v>Abong Mbang</v>
          </cell>
          <cell r="N1388" t="str">
            <v>HAUT-NYONG</v>
          </cell>
          <cell r="O1388" t="str">
            <v>DOUME</v>
          </cell>
          <cell r="P1388" t="str">
            <v>Samson Ndjaka</v>
          </cell>
          <cell r="Q1388">
            <v>677548443</v>
          </cell>
          <cell r="R1388">
            <v>656072411</v>
          </cell>
          <cell r="S1388" t="str">
            <v>Stephane KETCHOUANG</v>
          </cell>
          <cell r="T1388" t="str">
            <v>Valeur HOUELL</v>
          </cell>
          <cell r="U1388" t="str">
            <v>I H S</v>
          </cell>
        </row>
        <row r="1389">
          <cell r="A1389" t="str">
            <v>EST_036</v>
          </cell>
          <cell r="B1389" t="str">
            <v>IHS_BER_041</v>
          </cell>
          <cell r="C1389" t="str">
            <v>EST_036</v>
          </cell>
          <cell r="D1389" t="str">
            <v>South/East</v>
          </cell>
          <cell r="E1389" t="str">
            <v>East</v>
          </cell>
          <cell r="F1389" t="str">
            <v>Abong-Mbang-II</v>
          </cell>
          <cell r="G1389" t="str">
            <v>P2</v>
          </cell>
          <cell r="H1389" t="str">
            <v>Grid-Gen</v>
          </cell>
          <cell r="I1389" t="str">
            <v>On Air</v>
          </cell>
          <cell r="J1389" t="str">
            <v>Indoor</v>
          </cell>
          <cell r="K1389" t="str">
            <v>AC</v>
          </cell>
          <cell r="L1389" t="str">
            <v>Dowen</v>
          </cell>
          <cell r="M1389" t="str">
            <v>Abong Mbang</v>
          </cell>
          <cell r="N1389" t="str">
            <v>HAUT-NYONG</v>
          </cell>
          <cell r="O1389" t="str">
            <v>ABONGMBANG</v>
          </cell>
          <cell r="P1389" t="str">
            <v>Samson Ndjaka</v>
          </cell>
          <cell r="Q1389">
            <v>677548443</v>
          </cell>
          <cell r="R1389">
            <v>656072411</v>
          </cell>
          <cell r="S1389" t="str">
            <v>Stephane KETCHOUANG</v>
          </cell>
          <cell r="T1389" t="str">
            <v>Valeur HOUELL</v>
          </cell>
          <cell r="U1389" t="str">
            <v>I H S</v>
          </cell>
        </row>
        <row r="1390">
          <cell r="A1390" t="str">
            <v>EST_022</v>
          </cell>
          <cell r="B1390" t="str">
            <v>IHS_BER_038</v>
          </cell>
          <cell r="C1390" t="str">
            <v>EST_022</v>
          </cell>
          <cell r="D1390" t="str">
            <v>South/East</v>
          </cell>
          <cell r="E1390" t="str">
            <v>East</v>
          </cell>
          <cell r="F1390" t="str">
            <v>Nkoum</v>
          </cell>
          <cell r="G1390" t="str">
            <v>P2</v>
          </cell>
          <cell r="H1390" t="str">
            <v>Grid-Gen</v>
          </cell>
          <cell r="I1390" t="str">
            <v>On Air</v>
          </cell>
          <cell r="J1390" t="str">
            <v>Indoor</v>
          </cell>
          <cell r="K1390" t="str">
            <v>AC</v>
          </cell>
          <cell r="L1390" t="str">
            <v>Dowen</v>
          </cell>
          <cell r="M1390" t="str">
            <v>Abong Mbang</v>
          </cell>
          <cell r="N1390" t="str">
            <v>HAUT-NYONG</v>
          </cell>
          <cell r="O1390" t="str">
            <v>ABONGMBANG</v>
          </cell>
          <cell r="P1390" t="str">
            <v>Samson Ndjaka</v>
          </cell>
          <cell r="Q1390">
            <v>677548443</v>
          </cell>
          <cell r="R1390">
            <v>656072411</v>
          </cell>
          <cell r="S1390" t="str">
            <v>Stephane KETCHOUANG</v>
          </cell>
          <cell r="T1390" t="str">
            <v>Valeur HOUELL</v>
          </cell>
          <cell r="U1390" t="str">
            <v>I H S</v>
          </cell>
        </row>
        <row r="1391">
          <cell r="A1391" t="str">
            <v>EST_040</v>
          </cell>
          <cell r="B1391" t="str">
            <v>IHS_BER_025</v>
          </cell>
          <cell r="C1391" t="str">
            <v>EST_040</v>
          </cell>
          <cell r="D1391" t="str">
            <v>South/East</v>
          </cell>
          <cell r="E1391" t="str">
            <v>East</v>
          </cell>
          <cell r="F1391" t="str">
            <v>Tikondi-MTN</v>
          </cell>
          <cell r="G1391" t="str">
            <v>P2</v>
          </cell>
          <cell r="H1391" t="str">
            <v>Grid-Gen</v>
          </cell>
          <cell r="I1391" t="str">
            <v>On Air</v>
          </cell>
          <cell r="J1391" t="str">
            <v>Indoor</v>
          </cell>
          <cell r="K1391" t="str">
            <v>AC</v>
          </cell>
          <cell r="L1391" t="str">
            <v>Dowen</v>
          </cell>
          <cell r="M1391" t="str">
            <v>Yokadouma</v>
          </cell>
          <cell r="N1391" t="str">
            <v>KADEY</v>
          </cell>
          <cell r="O1391" t="str">
            <v>BATOURI</v>
          </cell>
          <cell r="P1391" t="str">
            <v>Samson Ndjaka</v>
          </cell>
          <cell r="Q1391">
            <v>677548443</v>
          </cell>
          <cell r="R1391">
            <v>656072411</v>
          </cell>
          <cell r="S1391" t="str">
            <v>Stephane KETCHOUANG</v>
          </cell>
          <cell r="T1391" t="str">
            <v>Valeur HOUELL</v>
          </cell>
          <cell r="U1391" t="str">
            <v>I H S</v>
          </cell>
        </row>
        <row r="1392">
          <cell r="A1392" t="str">
            <v>EST_041</v>
          </cell>
          <cell r="B1392" t="str">
            <v>IHS_BER_060</v>
          </cell>
          <cell r="C1392" t="str">
            <v>EST_041</v>
          </cell>
          <cell r="D1392" t="str">
            <v>South/East</v>
          </cell>
          <cell r="E1392" t="str">
            <v>East</v>
          </cell>
          <cell r="F1392" t="str">
            <v>Ndelele-MTN</v>
          </cell>
          <cell r="G1392" t="str">
            <v>P2</v>
          </cell>
          <cell r="H1392" t="str">
            <v>Gen-Solar AER</v>
          </cell>
          <cell r="I1392" t="str">
            <v>On Air</v>
          </cell>
          <cell r="J1392" t="str">
            <v>Indoor / Outdoor</v>
          </cell>
          <cell r="K1392" t="str">
            <v>AC</v>
          </cell>
          <cell r="L1392" t="str">
            <v>Dowen</v>
          </cell>
          <cell r="M1392" t="str">
            <v>Yokadouma</v>
          </cell>
          <cell r="N1392" t="str">
            <v>BOUMBA-ET-NGOKO</v>
          </cell>
          <cell r="O1392" t="str">
            <v>NDELELE</v>
          </cell>
          <cell r="P1392" t="str">
            <v>Samson Ndjaka</v>
          </cell>
          <cell r="Q1392">
            <v>677548443</v>
          </cell>
          <cell r="R1392">
            <v>656072411</v>
          </cell>
          <cell r="S1392" t="str">
            <v>Stephane KETCHOUANG</v>
          </cell>
          <cell r="T1392" t="str">
            <v>Valeur HOUELL</v>
          </cell>
          <cell r="U1392" t="str">
            <v>I H S</v>
          </cell>
        </row>
        <row r="1393">
          <cell r="A1393" t="str">
            <v>EST_096</v>
          </cell>
          <cell r="B1393" t="str">
            <v>IHS_BER_156</v>
          </cell>
          <cell r="C1393" t="str">
            <v>EST_096</v>
          </cell>
          <cell r="D1393" t="str">
            <v>South/East</v>
          </cell>
          <cell r="E1393" t="str">
            <v>East</v>
          </cell>
          <cell r="F1393" t="str">
            <v>BOUBARA</v>
          </cell>
          <cell r="G1393" t="str">
            <v>P3</v>
          </cell>
          <cell r="H1393" t="str">
            <v>Hybrid-Gen</v>
          </cell>
          <cell r="I1393" t="str">
            <v>On Air</v>
          </cell>
          <cell r="J1393" t="str">
            <v>Outdoor</v>
          </cell>
          <cell r="K1393" t="str">
            <v>AC</v>
          </cell>
          <cell r="L1393" t="str">
            <v>Dowen</v>
          </cell>
          <cell r="M1393" t="str">
            <v>Yokadouma</v>
          </cell>
          <cell r="N1393" t="str">
            <v>KADEY</v>
          </cell>
          <cell r="O1393" t="str">
            <v>KETTE</v>
          </cell>
          <cell r="P1393" t="str">
            <v>Samson Ndjaka</v>
          </cell>
          <cell r="Q1393">
            <v>677548443</v>
          </cell>
          <cell r="R1393">
            <v>656072411</v>
          </cell>
          <cell r="S1393" t="str">
            <v>Stephane KETCHOUANG</v>
          </cell>
          <cell r="T1393" t="str">
            <v>Valeur HOUELL</v>
          </cell>
          <cell r="U1393" t="str">
            <v>I H S</v>
          </cell>
        </row>
        <row r="1394">
          <cell r="A1394" t="str">
            <v>EST_019</v>
          </cell>
          <cell r="B1394" t="str">
            <v>IHS_BER_020</v>
          </cell>
          <cell r="C1394" t="str">
            <v>EST_019</v>
          </cell>
          <cell r="D1394" t="str">
            <v>South/East</v>
          </cell>
          <cell r="E1394" t="str">
            <v>East</v>
          </cell>
          <cell r="F1394" t="str">
            <v>Dimako</v>
          </cell>
          <cell r="G1394" t="str">
            <v>P3</v>
          </cell>
          <cell r="H1394" t="str">
            <v>Grid-Gen</v>
          </cell>
          <cell r="I1394" t="str">
            <v>On Air</v>
          </cell>
          <cell r="J1394" t="str">
            <v>Indoor</v>
          </cell>
          <cell r="K1394" t="str">
            <v>AC</v>
          </cell>
          <cell r="L1394" t="str">
            <v>Dowen</v>
          </cell>
          <cell r="M1394" t="str">
            <v>bertoua</v>
          </cell>
          <cell r="N1394" t="str">
            <v>HAUT-NYONG</v>
          </cell>
          <cell r="O1394" t="str">
            <v>Dimako</v>
          </cell>
          <cell r="P1394" t="str">
            <v>Samson Ndjaka</v>
          </cell>
          <cell r="Q1394">
            <v>677548443</v>
          </cell>
          <cell r="R1394">
            <v>656072411</v>
          </cell>
          <cell r="S1394" t="str">
            <v>Stephane KETCHOUANG</v>
          </cell>
          <cell r="T1394" t="str">
            <v>Valeur HOUELL</v>
          </cell>
          <cell r="U1394" t="str">
            <v>I H S</v>
          </cell>
        </row>
        <row r="1395">
          <cell r="A1395" t="str">
            <v>EST_070</v>
          </cell>
          <cell r="B1395" t="str">
            <v>IHS_BER_032</v>
          </cell>
          <cell r="C1395" t="str">
            <v>EST_070</v>
          </cell>
          <cell r="D1395" t="str">
            <v>South/East</v>
          </cell>
          <cell r="E1395" t="str">
            <v>East</v>
          </cell>
          <cell r="F1395" t="str">
            <v>Batouri-Kako-MTN</v>
          </cell>
          <cell r="G1395" t="str">
            <v>P3</v>
          </cell>
          <cell r="H1395" t="str">
            <v>Grid-Gen</v>
          </cell>
          <cell r="I1395" t="str">
            <v>On Air</v>
          </cell>
          <cell r="J1395" t="str">
            <v>Indoor</v>
          </cell>
          <cell r="K1395" t="str">
            <v>AC</v>
          </cell>
          <cell r="L1395" t="str">
            <v>Dowen</v>
          </cell>
          <cell r="M1395" t="str">
            <v>Yokadouma</v>
          </cell>
          <cell r="N1395" t="str">
            <v>BOUMBA-ET-NGOKO</v>
          </cell>
          <cell r="O1395" t="str">
            <v>BATOURI</v>
          </cell>
          <cell r="P1395" t="str">
            <v>Samson Ndjaka</v>
          </cell>
          <cell r="Q1395">
            <v>677548443</v>
          </cell>
          <cell r="R1395">
            <v>656072411</v>
          </cell>
          <cell r="S1395" t="str">
            <v>Stephane KETCHOUANG</v>
          </cell>
          <cell r="T1395" t="str">
            <v>Valeur HOUELL</v>
          </cell>
          <cell r="U1395" t="str">
            <v>I H S</v>
          </cell>
        </row>
        <row r="1396">
          <cell r="A1396" t="str">
            <v>EST_092</v>
          </cell>
          <cell r="B1396" t="str">
            <v>IHS_BER_027</v>
          </cell>
          <cell r="C1396" t="str">
            <v>EST_092</v>
          </cell>
          <cell r="D1396" t="str">
            <v>South/East</v>
          </cell>
          <cell r="E1396" t="str">
            <v>East</v>
          </cell>
          <cell r="F1396" t="str">
            <v>Doume-MTN-IHS</v>
          </cell>
          <cell r="G1396" t="str">
            <v>P3</v>
          </cell>
          <cell r="H1396" t="str">
            <v>Grid-Gen</v>
          </cell>
          <cell r="I1396" t="str">
            <v>On Air</v>
          </cell>
          <cell r="J1396" t="str">
            <v>Indoor</v>
          </cell>
          <cell r="K1396" t="str">
            <v>AC</v>
          </cell>
          <cell r="L1396" t="str">
            <v>Dowen</v>
          </cell>
          <cell r="M1396" t="str">
            <v>Abong Mbang</v>
          </cell>
          <cell r="N1396" t="str">
            <v>HAUT-NYONG</v>
          </cell>
          <cell r="O1396" t="str">
            <v>DOUME</v>
          </cell>
          <cell r="P1396" t="str">
            <v>Samson Ndjaka</v>
          </cell>
          <cell r="Q1396">
            <v>677548443</v>
          </cell>
          <cell r="R1396">
            <v>656072411</v>
          </cell>
          <cell r="S1396" t="str">
            <v>Stephane KETCHOUANG</v>
          </cell>
          <cell r="T1396" t="str">
            <v>Valeur HOUELL</v>
          </cell>
          <cell r="U1396" t="str">
            <v>I H S</v>
          </cell>
        </row>
        <row r="1397">
          <cell r="A1397" t="str">
            <v>EST_130</v>
          </cell>
          <cell r="B1397" t="str">
            <v>IHS_BER_043</v>
          </cell>
          <cell r="C1397" t="str">
            <v>EST_130</v>
          </cell>
          <cell r="D1397" t="str">
            <v>South/East</v>
          </cell>
          <cell r="E1397" t="str">
            <v>East</v>
          </cell>
          <cell r="F1397" t="str">
            <v>Borongoue</v>
          </cell>
          <cell r="G1397" t="str">
            <v>P3</v>
          </cell>
          <cell r="H1397" t="str">
            <v>Solar-Gen</v>
          </cell>
          <cell r="I1397" t="str">
            <v>On Air</v>
          </cell>
          <cell r="J1397" t="str">
            <v>Indoor</v>
          </cell>
          <cell r="K1397" t="str">
            <v>AC</v>
          </cell>
          <cell r="L1397" t="str">
            <v>Dowen</v>
          </cell>
          <cell r="M1397" t="str">
            <v>Yokadouma</v>
          </cell>
          <cell r="N1397" t="str">
            <v>KADEY</v>
          </cell>
          <cell r="O1397" t="str">
            <v>Batouri</v>
          </cell>
          <cell r="P1397" t="str">
            <v>Samson Ndjaka</v>
          </cell>
          <cell r="Q1397">
            <v>677548443</v>
          </cell>
          <cell r="R1397">
            <v>656072411</v>
          </cell>
          <cell r="S1397" t="str">
            <v>Stephane KETCHOUANG</v>
          </cell>
          <cell r="T1397" t="str">
            <v>Valeur HOUELL</v>
          </cell>
          <cell r="U1397" t="str">
            <v>I H S</v>
          </cell>
        </row>
        <row r="1398">
          <cell r="A1398" t="str">
            <v>EST_114</v>
          </cell>
          <cell r="B1398" t="str">
            <v>IHS_BER_159</v>
          </cell>
          <cell r="C1398" t="str">
            <v>EST_114</v>
          </cell>
          <cell r="D1398" t="str">
            <v>South/East</v>
          </cell>
          <cell r="E1398" t="str">
            <v>East</v>
          </cell>
          <cell r="F1398" t="str">
            <v>Ouli</v>
          </cell>
          <cell r="G1398" t="str">
            <v>P4</v>
          </cell>
          <cell r="H1398" t="str">
            <v>Gen Only</v>
          </cell>
          <cell r="I1398" t="str">
            <v>On Air</v>
          </cell>
          <cell r="J1398" t="str">
            <v>Outdoor</v>
          </cell>
          <cell r="K1398" t="str">
            <v>AC</v>
          </cell>
          <cell r="L1398" t="str">
            <v>Dowen</v>
          </cell>
          <cell r="M1398" t="str">
            <v>Yokadouma</v>
          </cell>
          <cell r="N1398" t="str">
            <v>KADEY</v>
          </cell>
          <cell r="O1398" t="str">
            <v>OULI</v>
          </cell>
          <cell r="P1398" t="str">
            <v>Samson Ndjaka</v>
          </cell>
          <cell r="Q1398">
            <v>677548443</v>
          </cell>
          <cell r="R1398">
            <v>656072411</v>
          </cell>
          <cell r="S1398" t="str">
            <v>Stephane KETCHOUANG</v>
          </cell>
          <cell r="T1398" t="str">
            <v>Valeur HOUELL</v>
          </cell>
          <cell r="U1398" t="str">
            <v>I H S</v>
          </cell>
        </row>
        <row r="1399">
          <cell r="A1399" t="str">
            <v>EST_071</v>
          </cell>
          <cell r="B1399" t="str">
            <v>IHS_BER_023</v>
          </cell>
          <cell r="C1399" t="str">
            <v>EST_071</v>
          </cell>
          <cell r="D1399" t="str">
            <v>South/East</v>
          </cell>
          <cell r="E1399" t="str">
            <v>East</v>
          </cell>
          <cell r="F1399" t="str">
            <v>Kouen</v>
          </cell>
          <cell r="G1399" t="str">
            <v>P4</v>
          </cell>
          <cell r="H1399" t="str">
            <v>Gen Only</v>
          </cell>
          <cell r="I1399" t="str">
            <v>On Air</v>
          </cell>
          <cell r="J1399" t="str">
            <v>Outdoor</v>
          </cell>
          <cell r="K1399" t="str">
            <v>AC</v>
          </cell>
          <cell r="L1399" t="str">
            <v>Dowen</v>
          </cell>
          <cell r="M1399" t="str">
            <v>Abong Mbang</v>
          </cell>
          <cell r="N1399" t="str">
            <v>HAUT-NYONG</v>
          </cell>
          <cell r="O1399" t="str">
            <v>DIMAKO</v>
          </cell>
          <cell r="P1399" t="str">
            <v>Samson Ndjaka</v>
          </cell>
          <cell r="Q1399">
            <v>677548443</v>
          </cell>
          <cell r="R1399">
            <v>656072411</v>
          </cell>
          <cell r="S1399" t="str">
            <v>Stephane KETCHOUANG</v>
          </cell>
          <cell r="T1399" t="str">
            <v>Valeur HOUELL</v>
          </cell>
          <cell r="U1399" t="str">
            <v>I H S</v>
          </cell>
        </row>
        <row r="1400">
          <cell r="A1400" t="str">
            <v>EST_115</v>
          </cell>
          <cell r="B1400" t="str">
            <v>IHS_BER_152</v>
          </cell>
          <cell r="C1400" t="str">
            <v>EST_115</v>
          </cell>
          <cell r="D1400" t="str">
            <v>South/East</v>
          </cell>
          <cell r="E1400" t="str">
            <v>East</v>
          </cell>
          <cell r="F1400" t="str">
            <v>Kika</v>
          </cell>
          <cell r="G1400" t="str">
            <v>P4</v>
          </cell>
          <cell r="H1400" t="str">
            <v>Hybrid-Gen</v>
          </cell>
          <cell r="I1400" t="str">
            <v>On Air</v>
          </cell>
          <cell r="J1400" t="str">
            <v>Outdoor</v>
          </cell>
          <cell r="K1400" t="str">
            <v>AC</v>
          </cell>
          <cell r="L1400" t="str">
            <v>Dowen</v>
          </cell>
          <cell r="M1400" t="str">
            <v>Yokadouma</v>
          </cell>
          <cell r="N1400" t="str">
            <v>BOUMBA-ET-NGOKO</v>
          </cell>
          <cell r="O1400" t="str">
            <v>MOLOUNDOU</v>
          </cell>
          <cell r="P1400" t="str">
            <v>Samson Ndjaka</v>
          </cell>
          <cell r="Q1400">
            <v>677548443</v>
          </cell>
          <cell r="R1400">
            <v>656072411</v>
          </cell>
          <cell r="S1400" t="str">
            <v>Stephane KETCHOUANG</v>
          </cell>
          <cell r="T1400" t="str">
            <v>Valeur HOUELL</v>
          </cell>
          <cell r="U1400" t="str">
            <v>I H S</v>
          </cell>
        </row>
        <row r="1401">
          <cell r="A1401" t="str">
            <v>EST_025</v>
          </cell>
          <cell r="B1401" t="str">
            <v>IHS_BER_100</v>
          </cell>
          <cell r="C1401" t="str">
            <v>EST_025</v>
          </cell>
          <cell r="D1401" t="str">
            <v>South/East</v>
          </cell>
          <cell r="E1401" t="str">
            <v>East</v>
          </cell>
          <cell r="F1401" t="str">
            <v>Bertoua-Camp-SIC_IHS</v>
          </cell>
          <cell r="G1401" t="str">
            <v>P4</v>
          </cell>
          <cell r="H1401" t="str">
            <v>Grid-Gen</v>
          </cell>
          <cell r="I1401" t="str">
            <v>On Air</v>
          </cell>
          <cell r="J1401" t="str">
            <v>Outdoor</v>
          </cell>
          <cell r="K1401" t="str">
            <v>AC</v>
          </cell>
          <cell r="L1401" t="str">
            <v>Dowen</v>
          </cell>
          <cell r="M1401" t="str">
            <v>bertoua</v>
          </cell>
          <cell r="N1401" t="str">
            <v>LOM-ET-DJEREM</v>
          </cell>
          <cell r="O1401" t="str">
            <v>BERTOUA 1er</v>
          </cell>
          <cell r="P1401" t="str">
            <v>Samson Ndjaka</v>
          </cell>
          <cell r="Q1401">
            <v>677548443</v>
          </cell>
          <cell r="R1401">
            <v>656072411</v>
          </cell>
          <cell r="S1401" t="str">
            <v>Stephane KETCHOUANG</v>
          </cell>
          <cell r="T1401" t="str">
            <v>Valeur HOUELL</v>
          </cell>
          <cell r="U1401" t="str">
            <v>I H S</v>
          </cell>
        </row>
        <row r="1402">
          <cell r="A1402" t="str">
            <v>EST_108</v>
          </cell>
          <cell r="B1402" t="str">
            <v>IHS_BER_151</v>
          </cell>
          <cell r="C1402" t="str">
            <v>EST_108</v>
          </cell>
          <cell r="D1402" t="str">
            <v>South/East</v>
          </cell>
          <cell r="E1402" t="str">
            <v>East</v>
          </cell>
          <cell r="F1402" t="str">
            <v>Bertoua Q Admin</v>
          </cell>
          <cell r="G1402" t="str">
            <v>P4</v>
          </cell>
          <cell r="H1402" t="str">
            <v>Grid-Gen</v>
          </cell>
          <cell r="I1402" t="str">
            <v>On Air</v>
          </cell>
          <cell r="J1402" t="str">
            <v>Outdoor</v>
          </cell>
          <cell r="K1402" t="str">
            <v>AC</v>
          </cell>
          <cell r="L1402" t="str">
            <v>Dowen</v>
          </cell>
          <cell r="M1402" t="str">
            <v>bertoua</v>
          </cell>
          <cell r="N1402" t="str">
            <v>LOM-ET-DJEREM</v>
          </cell>
          <cell r="O1402" t="str">
            <v>BERTOUA 1er</v>
          </cell>
          <cell r="P1402" t="str">
            <v>Samson Ndjaka</v>
          </cell>
          <cell r="Q1402">
            <v>677548443</v>
          </cell>
          <cell r="R1402">
            <v>656072411</v>
          </cell>
          <cell r="S1402" t="str">
            <v>Stephane KETCHOUANG</v>
          </cell>
          <cell r="T1402" t="str">
            <v>Valeur HOUELL</v>
          </cell>
          <cell r="U1402" t="str">
            <v>I H S</v>
          </cell>
        </row>
        <row r="1403">
          <cell r="A1403" t="str">
            <v>EST_087</v>
          </cell>
          <cell r="B1403" t="str">
            <v>IHS_BER_007</v>
          </cell>
          <cell r="C1403" t="str">
            <v>EST_087</v>
          </cell>
          <cell r="D1403" t="str">
            <v>South/East</v>
          </cell>
          <cell r="E1403" t="str">
            <v>East</v>
          </cell>
          <cell r="F1403" t="str">
            <v>Bertoua-Dabadi</v>
          </cell>
          <cell r="G1403" t="str">
            <v>P4</v>
          </cell>
          <cell r="H1403" t="str">
            <v>Grid-Gen</v>
          </cell>
          <cell r="I1403" t="str">
            <v>On Air</v>
          </cell>
          <cell r="J1403" t="str">
            <v>Outdoor</v>
          </cell>
          <cell r="K1403" t="str">
            <v>AC</v>
          </cell>
          <cell r="L1403" t="str">
            <v>Dowen</v>
          </cell>
          <cell r="M1403" t="str">
            <v>bertoua</v>
          </cell>
          <cell r="N1403" t="str">
            <v>LOM-ET-DJEREM</v>
          </cell>
          <cell r="O1403" t="str">
            <v>BERTOUA 1er</v>
          </cell>
          <cell r="P1403" t="str">
            <v>Samson Ndjaka</v>
          </cell>
          <cell r="Q1403">
            <v>677548443</v>
          </cell>
          <cell r="R1403">
            <v>656072411</v>
          </cell>
          <cell r="S1403" t="str">
            <v>Stephane KETCHOUANG</v>
          </cell>
          <cell r="T1403" t="str">
            <v>Valeur HOUELL</v>
          </cell>
          <cell r="U1403" t="str">
            <v>I H S</v>
          </cell>
        </row>
        <row r="1404">
          <cell r="A1404" t="str">
            <v>EST_010</v>
          </cell>
          <cell r="B1404" t="str">
            <v>IHS_BER_080</v>
          </cell>
          <cell r="C1404" t="str">
            <v>EST_010</v>
          </cell>
          <cell r="D1404" t="str">
            <v>South/East</v>
          </cell>
          <cell r="E1404" t="str">
            <v>East</v>
          </cell>
          <cell r="F1404" t="str">
            <v>Lomie</v>
          </cell>
          <cell r="G1404" t="str">
            <v>P4</v>
          </cell>
          <cell r="H1404" t="str">
            <v>Grid-Gen</v>
          </cell>
          <cell r="I1404" t="str">
            <v>On Air</v>
          </cell>
          <cell r="J1404" t="str">
            <v>Indoor</v>
          </cell>
          <cell r="K1404" t="str">
            <v>AC</v>
          </cell>
          <cell r="L1404" t="str">
            <v>Dowen</v>
          </cell>
          <cell r="M1404" t="str">
            <v>Abong Mbang</v>
          </cell>
          <cell r="N1404" t="str">
            <v>HAUT-NYONG</v>
          </cell>
          <cell r="O1404" t="str">
            <v>Lomie</v>
          </cell>
          <cell r="P1404" t="str">
            <v>Samson Ndjaka</v>
          </cell>
          <cell r="Q1404">
            <v>677548443</v>
          </cell>
          <cell r="R1404">
            <v>656072411</v>
          </cell>
          <cell r="S1404" t="str">
            <v>Stephane KETCHOUANG</v>
          </cell>
          <cell r="T1404" t="str">
            <v>Valeur HOUELL</v>
          </cell>
          <cell r="U1404" t="str">
            <v>I H S</v>
          </cell>
        </row>
        <row r="1405">
          <cell r="A1405" t="str">
            <v>EST_024</v>
          </cell>
          <cell r="B1405" t="str">
            <v>IHS_BER_077</v>
          </cell>
          <cell r="C1405" t="str">
            <v>EST_024</v>
          </cell>
          <cell r="D1405" t="str">
            <v>South/East</v>
          </cell>
          <cell r="E1405" t="str">
            <v>East</v>
          </cell>
          <cell r="F1405" t="str">
            <v>Nguelemendouka-FH</v>
          </cell>
          <cell r="G1405" t="str">
            <v>P4</v>
          </cell>
          <cell r="H1405" t="str">
            <v>Grid-Gen</v>
          </cell>
          <cell r="I1405" t="str">
            <v>On Air</v>
          </cell>
          <cell r="J1405" t="str">
            <v>Outdoor</v>
          </cell>
          <cell r="K1405" t="str">
            <v>AC</v>
          </cell>
          <cell r="L1405" t="str">
            <v>Dowen</v>
          </cell>
          <cell r="M1405" t="str">
            <v>Abong Mbang</v>
          </cell>
          <cell r="N1405" t="str">
            <v>HAUT-NYONG</v>
          </cell>
          <cell r="O1405" t="str">
            <v>Nguelemedouka</v>
          </cell>
          <cell r="P1405" t="str">
            <v>Samson Ndjaka</v>
          </cell>
          <cell r="Q1405">
            <v>677548443</v>
          </cell>
          <cell r="R1405">
            <v>656072411</v>
          </cell>
          <cell r="S1405" t="str">
            <v>Stephane KETCHOUANG</v>
          </cell>
          <cell r="T1405" t="str">
            <v>Valeur HOUELL</v>
          </cell>
          <cell r="U1405" t="str">
            <v>I H S</v>
          </cell>
        </row>
        <row r="1406">
          <cell r="A1406" t="str">
            <v>EST_012</v>
          </cell>
          <cell r="B1406" t="str">
            <v>IHS_BER_073</v>
          </cell>
          <cell r="C1406" t="str">
            <v>EST_012</v>
          </cell>
          <cell r="D1406" t="str">
            <v>South/East</v>
          </cell>
          <cell r="E1406" t="str">
            <v>East</v>
          </cell>
          <cell r="F1406" t="str">
            <v>Mindourou</v>
          </cell>
          <cell r="G1406" t="str">
            <v>P4</v>
          </cell>
          <cell r="H1406" t="str">
            <v>Solar-Gen</v>
          </cell>
          <cell r="I1406" t="str">
            <v>On Air</v>
          </cell>
          <cell r="J1406" t="str">
            <v>Indoor</v>
          </cell>
          <cell r="K1406" t="str">
            <v>AC</v>
          </cell>
          <cell r="L1406" t="str">
            <v>Dowen</v>
          </cell>
          <cell r="M1406" t="str">
            <v>Abong Mbang</v>
          </cell>
          <cell r="N1406" t="str">
            <v>KADEY</v>
          </cell>
          <cell r="O1406" t="str">
            <v>MINDOUROU</v>
          </cell>
          <cell r="P1406" t="str">
            <v>Samson Ndjaka</v>
          </cell>
          <cell r="Q1406">
            <v>677548443</v>
          </cell>
          <cell r="R1406">
            <v>656072411</v>
          </cell>
          <cell r="S1406" t="str">
            <v>Stephane KETCHOUANG</v>
          </cell>
          <cell r="T1406" t="str">
            <v>Valeur HOUELL</v>
          </cell>
          <cell r="U1406" t="str">
            <v>I H S</v>
          </cell>
        </row>
        <row r="1407">
          <cell r="A1407" t="str">
            <v>EST_046</v>
          </cell>
          <cell r="B1407" t="str">
            <v>IHS_BER_072</v>
          </cell>
          <cell r="C1407" t="str">
            <v>EST_046</v>
          </cell>
          <cell r="D1407" t="str">
            <v>South/East</v>
          </cell>
          <cell r="E1407" t="str">
            <v>East</v>
          </cell>
          <cell r="F1407" t="str">
            <v>Messamena</v>
          </cell>
          <cell r="G1407" t="str">
            <v>P4</v>
          </cell>
          <cell r="H1407" t="str">
            <v>Solar-Gen</v>
          </cell>
          <cell r="I1407" t="str">
            <v>On Air</v>
          </cell>
          <cell r="J1407" t="str">
            <v>Outdoor</v>
          </cell>
          <cell r="K1407" t="str">
            <v>AC</v>
          </cell>
          <cell r="L1407" t="str">
            <v>Dowen</v>
          </cell>
          <cell r="M1407" t="str">
            <v>Abong Mbang</v>
          </cell>
          <cell r="N1407" t="str">
            <v>HAUT-NYONG</v>
          </cell>
          <cell r="O1407" t="str">
            <v>MESSAMENA</v>
          </cell>
          <cell r="P1407" t="str">
            <v>Samson Ndjaka</v>
          </cell>
          <cell r="Q1407">
            <v>677548443</v>
          </cell>
          <cell r="R1407">
            <v>656072411</v>
          </cell>
          <cell r="S1407" t="str">
            <v>Stephane KETCHOUANG</v>
          </cell>
          <cell r="T1407" t="str">
            <v>Valeur HOUELL</v>
          </cell>
          <cell r="U1407" t="str">
            <v>I H S</v>
          </cell>
        </row>
        <row r="1408">
          <cell r="A1408" t="str">
            <v>EST_011</v>
          </cell>
          <cell r="B1408" t="str">
            <v>IHS_BER_055</v>
          </cell>
          <cell r="C1408" t="str">
            <v>EST_011</v>
          </cell>
          <cell r="D1408" t="str">
            <v>South/East</v>
          </cell>
          <cell r="E1408" t="str">
            <v>East</v>
          </cell>
          <cell r="F1408" t="str">
            <v>Mbang</v>
          </cell>
          <cell r="G1408" t="str">
            <v>P4</v>
          </cell>
          <cell r="H1408" t="str">
            <v>Solar-Gen</v>
          </cell>
          <cell r="I1408" t="str">
            <v>On Air</v>
          </cell>
          <cell r="J1408" t="str">
            <v>Indoor</v>
          </cell>
          <cell r="K1408" t="str">
            <v>AC</v>
          </cell>
          <cell r="L1408" t="str">
            <v>Dowen</v>
          </cell>
          <cell r="M1408" t="str">
            <v>Yokadouma</v>
          </cell>
          <cell r="N1408" t="str">
            <v>KADEY</v>
          </cell>
          <cell r="O1408" t="str">
            <v>MBANG</v>
          </cell>
          <cell r="P1408" t="str">
            <v>Samson Ndjaka</v>
          </cell>
          <cell r="Q1408">
            <v>677548443</v>
          </cell>
          <cell r="R1408">
            <v>656072411</v>
          </cell>
          <cell r="S1408" t="str">
            <v>Stephane KETCHOUANG</v>
          </cell>
          <cell r="T1408" t="str">
            <v>Valeur HOUELL</v>
          </cell>
          <cell r="U1408" t="str">
            <v>I H S</v>
          </cell>
        </row>
        <row r="1409">
          <cell r="A1409" t="str">
            <v>EST_045</v>
          </cell>
          <cell r="B1409" t="str">
            <v>IHS_BER_053</v>
          </cell>
          <cell r="C1409" t="str">
            <v>EST_045</v>
          </cell>
          <cell r="D1409" t="str">
            <v>South/East</v>
          </cell>
          <cell r="E1409" t="str">
            <v>East</v>
          </cell>
          <cell r="F1409" t="str">
            <v>Kette</v>
          </cell>
          <cell r="G1409" t="str">
            <v>P4</v>
          </cell>
          <cell r="H1409" t="str">
            <v>Solar-Gen</v>
          </cell>
          <cell r="I1409" t="str">
            <v>On Air</v>
          </cell>
          <cell r="J1409" t="str">
            <v>Outdoor</v>
          </cell>
          <cell r="K1409" t="str">
            <v>AC</v>
          </cell>
          <cell r="L1409" t="str">
            <v>Dowen</v>
          </cell>
          <cell r="M1409" t="str">
            <v>Yokadouma</v>
          </cell>
          <cell r="N1409" t="str">
            <v>KADEY</v>
          </cell>
          <cell r="O1409" t="str">
            <v>KETTE</v>
          </cell>
          <cell r="P1409" t="str">
            <v>Samson Ndjaka</v>
          </cell>
          <cell r="Q1409">
            <v>677548443</v>
          </cell>
          <cell r="R1409">
            <v>656072411</v>
          </cell>
          <cell r="S1409" t="str">
            <v>Stephane KETCHOUANG</v>
          </cell>
          <cell r="T1409" t="str">
            <v>Valeur HOUELL</v>
          </cell>
          <cell r="U1409" t="str">
            <v>I H S</v>
          </cell>
        </row>
        <row r="1410">
          <cell r="A1410" t="str">
            <v>EST_016</v>
          </cell>
          <cell r="B1410" t="str">
            <v>IHS_BER_058</v>
          </cell>
          <cell r="C1410" t="str">
            <v>EST_016</v>
          </cell>
          <cell r="D1410" t="str">
            <v>South/East</v>
          </cell>
          <cell r="E1410" t="str">
            <v>East</v>
          </cell>
          <cell r="F1410" t="str">
            <v>Kenzou</v>
          </cell>
          <cell r="G1410" t="str">
            <v>P4</v>
          </cell>
          <cell r="H1410" t="str">
            <v>Solar-Gen</v>
          </cell>
          <cell r="I1410" t="str">
            <v>On Air</v>
          </cell>
          <cell r="J1410" t="str">
            <v>Indoor</v>
          </cell>
          <cell r="K1410" t="str">
            <v>AC</v>
          </cell>
          <cell r="L1410" t="str">
            <v>Dowen</v>
          </cell>
          <cell r="M1410" t="str">
            <v>Yokadouma</v>
          </cell>
          <cell r="N1410" t="str">
            <v>KADEY</v>
          </cell>
          <cell r="O1410" t="str">
            <v>KENTZOU</v>
          </cell>
          <cell r="P1410" t="str">
            <v>Samson Ndjaka</v>
          </cell>
          <cell r="Q1410">
            <v>677548443</v>
          </cell>
          <cell r="R1410">
            <v>656072411</v>
          </cell>
          <cell r="S1410" t="str">
            <v>Stephane KETCHOUANG</v>
          </cell>
          <cell r="T1410" t="str">
            <v>Valeur HOUELL</v>
          </cell>
          <cell r="U1410" t="str">
            <v>I H S</v>
          </cell>
        </row>
        <row r="1411">
          <cell r="A1411" t="str">
            <v>EST_048</v>
          </cell>
          <cell r="B1411" t="str">
            <v>IHS_BER_061</v>
          </cell>
          <cell r="C1411" t="str">
            <v>EST_048</v>
          </cell>
          <cell r="D1411" t="str">
            <v>South/East</v>
          </cell>
          <cell r="E1411" t="str">
            <v>East</v>
          </cell>
          <cell r="F1411" t="str">
            <v>Gari-Gombo</v>
          </cell>
          <cell r="G1411" t="str">
            <v>P4</v>
          </cell>
          <cell r="H1411" t="str">
            <v>Gen-Solar AER</v>
          </cell>
          <cell r="I1411" t="str">
            <v>On Air</v>
          </cell>
          <cell r="J1411" t="str">
            <v>Outdoor</v>
          </cell>
          <cell r="K1411" t="str">
            <v>AC</v>
          </cell>
          <cell r="L1411" t="str">
            <v>Dowen</v>
          </cell>
          <cell r="M1411" t="str">
            <v>Yokadouma</v>
          </cell>
          <cell r="N1411" t="str">
            <v>BOUMBA-ET-NGOKO</v>
          </cell>
          <cell r="O1411" t="str">
            <v>GARIGOMBO</v>
          </cell>
          <cell r="P1411" t="str">
            <v>Samson Ndjaka</v>
          </cell>
          <cell r="Q1411">
            <v>677548443</v>
          </cell>
          <cell r="R1411">
            <v>656072411</v>
          </cell>
          <cell r="S1411" t="str">
            <v>Stephane KETCHOUANG</v>
          </cell>
          <cell r="T1411" t="str">
            <v>Valeur HOUELL</v>
          </cell>
          <cell r="U1411" t="str">
            <v>I H S</v>
          </cell>
        </row>
        <row r="1412">
          <cell r="A1412" t="str">
            <v>EST_103</v>
          </cell>
          <cell r="B1412" t="str">
            <v>IHS_BER_106</v>
          </cell>
          <cell r="C1412" t="str">
            <v>EST_103</v>
          </cell>
          <cell r="D1412" t="str">
            <v>South/East</v>
          </cell>
          <cell r="E1412" t="str">
            <v>East</v>
          </cell>
          <cell r="F1412" t="str">
            <v>Salapoumbe</v>
          </cell>
          <cell r="G1412" t="str">
            <v>P4</v>
          </cell>
          <cell r="H1412" t="str">
            <v>Hybrid-Gen</v>
          </cell>
          <cell r="I1412" t="str">
            <v>On Air</v>
          </cell>
          <cell r="J1412" t="str">
            <v>Outdoor</v>
          </cell>
          <cell r="K1412" t="str">
            <v>AC</v>
          </cell>
          <cell r="L1412" t="str">
            <v>Dowen</v>
          </cell>
          <cell r="M1412" t="str">
            <v>Yokadouma</v>
          </cell>
          <cell r="N1412" t="str">
            <v>BOUMBA-ET-NGOKO</v>
          </cell>
          <cell r="O1412" t="str">
            <v>SALAPOUMBE</v>
          </cell>
          <cell r="P1412" t="str">
            <v>Samson Ndjaka</v>
          </cell>
          <cell r="Q1412">
            <v>677548443</v>
          </cell>
          <cell r="R1412">
            <v>656072411</v>
          </cell>
          <cell r="S1412" t="str">
            <v>Stephane KETCHOUANG</v>
          </cell>
          <cell r="T1412" t="str">
            <v>Valeur HOUELL</v>
          </cell>
          <cell r="U1412" t="str">
            <v>I H S</v>
          </cell>
        </row>
        <row r="1413">
          <cell r="A1413" t="str">
            <v>EST_128</v>
          </cell>
          <cell r="B1413" t="str">
            <v>IHS_BER_107</v>
          </cell>
          <cell r="C1413" t="str">
            <v>EST_128</v>
          </cell>
          <cell r="D1413" t="str">
            <v>South/East</v>
          </cell>
          <cell r="E1413" t="str">
            <v>East</v>
          </cell>
          <cell r="F1413" t="str">
            <v>Bertoua-Birpondo-IHS</v>
          </cell>
          <cell r="G1413" t="str">
            <v>P4</v>
          </cell>
          <cell r="H1413" t="str">
            <v>Grid-Gen</v>
          </cell>
          <cell r="I1413" t="str">
            <v>On Air</v>
          </cell>
          <cell r="J1413" t="str">
            <v>Outdoor</v>
          </cell>
          <cell r="K1413" t="str">
            <v>AC</v>
          </cell>
          <cell r="L1413" t="str">
            <v>Dowen</v>
          </cell>
          <cell r="M1413" t="str">
            <v>bertoua</v>
          </cell>
          <cell r="N1413" t="str">
            <v>LOM-ET-DJEREM</v>
          </cell>
          <cell r="O1413" t="str">
            <v>BERTOUA 2em</v>
          </cell>
          <cell r="P1413" t="str">
            <v>Samson Ndjaka</v>
          </cell>
          <cell r="Q1413">
            <v>677548443</v>
          </cell>
          <cell r="R1413">
            <v>656072411</v>
          </cell>
          <cell r="S1413" t="str">
            <v>Stephane KETCHOUANG</v>
          </cell>
          <cell r="T1413" t="str">
            <v>Valeur HOUELL</v>
          </cell>
          <cell r="U1413" t="str">
            <v>I H S</v>
          </cell>
        </row>
        <row r="1414">
          <cell r="A1414" t="str">
            <v>EST_126</v>
          </cell>
          <cell r="B1414" t="str">
            <v>IHS_BER_044</v>
          </cell>
          <cell r="C1414" t="str">
            <v>EST_126</v>
          </cell>
          <cell r="D1414" t="str">
            <v>South/East</v>
          </cell>
          <cell r="E1414" t="str">
            <v>East</v>
          </cell>
          <cell r="F1414" t="str">
            <v>Gomala</v>
          </cell>
          <cell r="G1414" t="str">
            <v>P4</v>
          </cell>
          <cell r="H1414" t="str">
            <v>Solar-Gen</v>
          </cell>
          <cell r="I1414" t="str">
            <v>On Air</v>
          </cell>
          <cell r="J1414" t="str">
            <v>Outdoor</v>
          </cell>
          <cell r="K1414" t="str">
            <v>AC</v>
          </cell>
          <cell r="L1414" t="str">
            <v>Dowen</v>
          </cell>
          <cell r="M1414" t="str">
            <v>Yokadouma</v>
          </cell>
          <cell r="N1414" t="str">
            <v>KADEY</v>
          </cell>
          <cell r="O1414" t="str">
            <v>KENTZOU</v>
          </cell>
          <cell r="P1414" t="str">
            <v>Samson Ndjaka</v>
          </cell>
          <cell r="Q1414">
            <v>677548443</v>
          </cell>
          <cell r="R1414">
            <v>656072411</v>
          </cell>
          <cell r="S1414" t="str">
            <v>Stephane KETCHOUANG</v>
          </cell>
          <cell r="T1414" t="str">
            <v>Valeur HOUELL</v>
          </cell>
          <cell r="U1414" t="str">
            <v>I H S</v>
          </cell>
        </row>
        <row r="1415">
          <cell r="A1415" t="str">
            <v>EST_074</v>
          </cell>
          <cell r="B1415" t="str">
            <v>IHS_BER_050</v>
          </cell>
          <cell r="C1415" t="str">
            <v>EST_074</v>
          </cell>
          <cell r="D1415" t="str">
            <v>South/East</v>
          </cell>
          <cell r="E1415" t="str">
            <v>East</v>
          </cell>
          <cell r="F1415" t="str">
            <v>Mazabe</v>
          </cell>
          <cell r="G1415" t="str">
            <v>P5</v>
          </cell>
          <cell r="H1415" t="str">
            <v>Solar Only</v>
          </cell>
          <cell r="I1415" t="str">
            <v>On Air</v>
          </cell>
          <cell r="J1415" t="str">
            <v>Outdoor</v>
          </cell>
          <cell r="K1415" t="str">
            <v>AC</v>
          </cell>
          <cell r="L1415" t="str">
            <v>Dowen</v>
          </cell>
          <cell r="M1415" t="str">
            <v>Abong Mbang</v>
          </cell>
          <cell r="N1415" t="str">
            <v>HAUT-NYONG</v>
          </cell>
          <cell r="O1415" t="str">
            <v>ABONGMBANG</v>
          </cell>
          <cell r="P1415" t="str">
            <v>Samson Ndjaka</v>
          </cell>
          <cell r="Q1415">
            <v>677548443</v>
          </cell>
          <cell r="R1415">
            <v>656072411</v>
          </cell>
          <cell r="S1415" t="str">
            <v>Stephane KETCHOUANG</v>
          </cell>
          <cell r="T1415" t="str">
            <v>Valeur HOUELL</v>
          </cell>
          <cell r="U1415" t="str">
            <v>I H S</v>
          </cell>
        </row>
        <row r="1416">
          <cell r="A1416" t="str">
            <v>EST_072</v>
          </cell>
          <cell r="B1416" t="str">
            <v>IHS_BER_015</v>
          </cell>
          <cell r="C1416" t="str">
            <v>EST_072</v>
          </cell>
          <cell r="D1416" t="str">
            <v>South/East</v>
          </cell>
          <cell r="E1416" t="str">
            <v>East</v>
          </cell>
          <cell r="F1416" t="str">
            <v>Longtimbi</v>
          </cell>
          <cell r="G1416" t="str">
            <v>P5</v>
          </cell>
          <cell r="H1416" t="str">
            <v>Grid-Gen</v>
          </cell>
          <cell r="I1416" t="str">
            <v>On Air</v>
          </cell>
          <cell r="J1416" t="str">
            <v>Outdoor</v>
          </cell>
          <cell r="K1416" t="str">
            <v>AC</v>
          </cell>
          <cell r="L1416" t="str">
            <v>Dowen</v>
          </cell>
          <cell r="M1416" t="str">
            <v>Abong Mbang</v>
          </cell>
          <cell r="N1416" t="str">
            <v>LOM-ET-DJEREM</v>
          </cell>
          <cell r="O1416" t="str">
            <v>BERTOUA 1er</v>
          </cell>
          <cell r="P1416" t="str">
            <v>Samson Ndjaka</v>
          </cell>
          <cell r="Q1416">
            <v>677548443</v>
          </cell>
          <cell r="R1416">
            <v>656072411</v>
          </cell>
          <cell r="S1416" t="str">
            <v>Stephane KETCHOUANG</v>
          </cell>
          <cell r="T1416" t="str">
            <v>Valeur HOUELL</v>
          </cell>
          <cell r="U1416" t="str">
            <v>I H S</v>
          </cell>
        </row>
        <row r="1417">
          <cell r="A1417" t="str">
            <v>EST_101</v>
          </cell>
          <cell r="B1417" t="str">
            <v>IHS_BER_157</v>
          </cell>
          <cell r="C1417" t="str">
            <v>EST_101</v>
          </cell>
          <cell r="D1417" t="str">
            <v>South/East</v>
          </cell>
          <cell r="E1417" t="str">
            <v>East</v>
          </cell>
          <cell r="F1417" t="str">
            <v>GBITI</v>
          </cell>
          <cell r="G1417" t="str">
            <v>P5</v>
          </cell>
          <cell r="H1417" t="str">
            <v>Hybrid-Gen</v>
          </cell>
          <cell r="I1417" t="str">
            <v>On Air</v>
          </cell>
          <cell r="J1417" t="str">
            <v>Outdoor</v>
          </cell>
          <cell r="K1417" t="str">
            <v>AC</v>
          </cell>
          <cell r="L1417" t="str">
            <v>Dowen</v>
          </cell>
          <cell r="M1417" t="str">
            <v>Yokadouma</v>
          </cell>
          <cell r="N1417" t="str">
            <v>KADEY</v>
          </cell>
          <cell r="O1417" t="str">
            <v>KETTE</v>
          </cell>
          <cell r="P1417" t="str">
            <v>Samson Ndjaka</v>
          </cell>
          <cell r="Q1417">
            <v>677548443</v>
          </cell>
          <cell r="R1417">
            <v>656072411</v>
          </cell>
          <cell r="S1417" t="str">
            <v>Stephane KETCHOUANG</v>
          </cell>
          <cell r="T1417" t="str">
            <v>Valeur HOUELL</v>
          </cell>
          <cell r="U1417" t="str">
            <v>I H S</v>
          </cell>
        </row>
        <row r="1418">
          <cell r="A1418" t="str">
            <v>EST_082</v>
          </cell>
          <cell r="B1418" t="str">
            <v>IHS_BER_048</v>
          </cell>
          <cell r="C1418" t="str">
            <v>EST_082</v>
          </cell>
          <cell r="D1418" t="str">
            <v>South/East</v>
          </cell>
          <cell r="E1418" t="str">
            <v>East</v>
          </cell>
          <cell r="F1418" t="str">
            <v>Bagofit</v>
          </cell>
          <cell r="G1418" t="str">
            <v>P5</v>
          </cell>
          <cell r="H1418" t="str">
            <v>Grid-Gen</v>
          </cell>
          <cell r="I1418" t="str">
            <v>On Air</v>
          </cell>
          <cell r="J1418" t="str">
            <v>Outdoor</v>
          </cell>
          <cell r="K1418" t="str">
            <v>AC</v>
          </cell>
          <cell r="L1418" t="str">
            <v>Dowen</v>
          </cell>
          <cell r="M1418" t="str">
            <v>Abong Mbang</v>
          </cell>
          <cell r="N1418" t="str">
            <v>HAUT-NYONG</v>
          </cell>
          <cell r="O1418" t="str">
            <v>ABONGMBANG</v>
          </cell>
          <cell r="P1418" t="str">
            <v>Samson Ndjaka</v>
          </cell>
          <cell r="Q1418">
            <v>677548443</v>
          </cell>
          <cell r="R1418">
            <v>656072411</v>
          </cell>
          <cell r="S1418" t="str">
            <v>Stephane KETCHOUANG</v>
          </cell>
          <cell r="T1418" t="str">
            <v>Valeur HOUELL</v>
          </cell>
          <cell r="U1418" t="str">
            <v>I H S</v>
          </cell>
        </row>
        <row r="1419">
          <cell r="A1419" t="str">
            <v>EST_015</v>
          </cell>
          <cell r="B1419" t="str">
            <v>IHS_BER_082</v>
          </cell>
          <cell r="C1419" t="str">
            <v>EST_015</v>
          </cell>
          <cell r="D1419" t="str">
            <v>South/East</v>
          </cell>
          <cell r="E1419" t="str">
            <v>East</v>
          </cell>
          <cell r="F1419" t="str">
            <v>Moloundou</v>
          </cell>
          <cell r="G1419" t="str">
            <v>P5</v>
          </cell>
          <cell r="H1419" t="str">
            <v>Solar-Gen</v>
          </cell>
          <cell r="I1419" t="str">
            <v>On Air</v>
          </cell>
          <cell r="J1419" t="str">
            <v>Indoor / Outdoor</v>
          </cell>
          <cell r="K1419" t="str">
            <v>AC</v>
          </cell>
          <cell r="L1419" t="str">
            <v>Dowen</v>
          </cell>
          <cell r="M1419" t="str">
            <v>Yokadouma</v>
          </cell>
          <cell r="N1419" t="str">
            <v>BOUMBA-ET-NGOKO</v>
          </cell>
          <cell r="O1419" t="str">
            <v>MOLOUDOU</v>
          </cell>
          <cell r="P1419" t="str">
            <v>Samson Ndjaka</v>
          </cell>
          <cell r="Q1419">
            <v>677548443</v>
          </cell>
          <cell r="R1419">
            <v>656072411</v>
          </cell>
          <cell r="S1419" t="str">
            <v>Stephane KETCHOUANG</v>
          </cell>
          <cell r="T1419" t="str">
            <v>Valeur HOUELL</v>
          </cell>
          <cell r="U1419" t="str">
            <v>I H S</v>
          </cell>
        </row>
        <row r="1420">
          <cell r="A1420" t="str">
            <v>EST_102</v>
          </cell>
          <cell r="B1420" t="str">
            <v>IHS_BER_105</v>
          </cell>
          <cell r="C1420" t="str">
            <v>EST_102</v>
          </cell>
          <cell r="D1420" t="str">
            <v>South/East</v>
          </cell>
          <cell r="E1420" t="str">
            <v>East</v>
          </cell>
          <cell r="F1420" t="str">
            <v>SFID-NDENG-MTN-IHS</v>
          </cell>
          <cell r="G1420" t="str">
            <v>P5</v>
          </cell>
          <cell r="H1420" t="str">
            <v>Hybrid-Gen</v>
          </cell>
          <cell r="I1420" t="str">
            <v>On Air</v>
          </cell>
          <cell r="J1420" t="str">
            <v>Outdoor</v>
          </cell>
          <cell r="K1420" t="str">
            <v>AC</v>
          </cell>
          <cell r="L1420" t="str">
            <v>Dowen</v>
          </cell>
          <cell r="M1420" t="str">
            <v>Yokadouma</v>
          </cell>
          <cell r="N1420" t="str">
            <v>BOUMBA-ET-NGOKO</v>
          </cell>
          <cell r="O1420" t="str">
            <v>YOKADOUMA</v>
          </cell>
          <cell r="P1420" t="str">
            <v>Samson Ndjaka</v>
          </cell>
          <cell r="Q1420">
            <v>677548443</v>
          </cell>
          <cell r="R1420">
            <v>656072411</v>
          </cell>
          <cell r="S1420" t="str">
            <v>Stephane KETCHOUANG</v>
          </cell>
          <cell r="T1420" t="str">
            <v>Valeur HOUELL</v>
          </cell>
          <cell r="U1420" t="str">
            <v>I H S</v>
          </cell>
        </row>
        <row r="1421">
          <cell r="A1421" t="str">
            <v>EST_122</v>
          </cell>
          <cell r="B1421" t="str">
            <v>IHS_BER_104</v>
          </cell>
          <cell r="C1421" t="str">
            <v>EST_122</v>
          </cell>
          <cell r="D1421" t="str">
            <v>South/East</v>
          </cell>
          <cell r="E1421" t="str">
            <v>East</v>
          </cell>
          <cell r="F1421" t="str">
            <v>MINDOUROU  GRUMCAM</v>
          </cell>
          <cell r="G1421" t="str">
            <v>P5</v>
          </cell>
          <cell r="H1421" t="str">
            <v>Hybrid-Gen</v>
          </cell>
          <cell r="I1421" t="str">
            <v>On Air</v>
          </cell>
          <cell r="J1421" t="str">
            <v>Outdoor</v>
          </cell>
          <cell r="K1421" t="str">
            <v>AC</v>
          </cell>
          <cell r="L1421" t="str">
            <v>Dowen</v>
          </cell>
          <cell r="M1421" t="str">
            <v>Abong Mbang</v>
          </cell>
          <cell r="N1421" t="str">
            <v>KADEY</v>
          </cell>
          <cell r="O1421" t="str">
            <v>BATOURI</v>
          </cell>
          <cell r="P1421" t="str">
            <v>Samson Ndjaka</v>
          </cell>
          <cell r="Q1421">
            <v>677548443</v>
          </cell>
          <cell r="R1421">
            <v>656072411</v>
          </cell>
          <cell r="S1421" t="str">
            <v>Stephane KETCHOUANG</v>
          </cell>
          <cell r="T1421" t="str">
            <v>Valeur HOUELL</v>
          </cell>
          <cell r="U1421" t="str">
            <v>I H S</v>
          </cell>
        </row>
        <row r="1422">
          <cell r="A1422" t="str">
            <v>EST_042</v>
          </cell>
          <cell r="B1422" t="str">
            <v>IHS_BER_081</v>
          </cell>
          <cell r="C1422" t="str">
            <v>EST_042</v>
          </cell>
          <cell r="D1422" t="str">
            <v>South/East</v>
          </cell>
          <cell r="E1422" t="str">
            <v>East</v>
          </cell>
          <cell r="F1422" t="str">
            <v>Lokomo-MTN</v>
          </cell>
          <cell r="G1422" t="str">
            <v>P5</v>
          </cell>
          <cell r="H1422" t="str">
            <v>Grid-Gen</v>
          </cell>
          <cell r="I1422" t="str">
            <v>On Air</v>
          </cell>
          <cell r="J1422" t="str">
            <v>Indoor</v>
          </cell>
          <cell r="K1422" t="str">
            <v>AC</v>
          </cell>
          <cell r="L1422" t="str">
            <v>Dowen</v>
          </cell>
          <cell r="M1422" t="str">
            <v>Yokadouma</v>
          </cell>
          <cell r="N1422" t="str">
            <v>BOUMBA-ET-NGOKO</v>
          </cell>
          <cell r="O1422" t="str">
            <v>SALAPOUMBE</v>
          </cell>
          <cell r="P1422" t="str">
            <v>Samson Ndjaka</v>
          </cell>
          <cell r="Q1422">
            <v>677548443</v>
          </cell>
          <cell r="R1422">
            <v>656072411</v>
          </cell>
          <cell r="S1422" t="str">
            <v>Stephane KETCHOUANG</v>
          </cell>
          <cell r="T1422" t="str">
            <v>Valeur HOUELL</v>
          </cell>
          <cell r="U1422" t="str">
            <v>I H S</v>
          </cell>
        </row>
        <row r="1423">
          <cell r="A1423" t="str">
            <v>EST_084</v>
          </cell>
          <cell r="B1423" t="str">
            <v>IHS_BER_018</v>
          </cell>
          <cell r="C1423" t="str">
            <v>EST_084</v>
          </cell>
          <cell r="D1423" t="str">
            <v>South/East</v>
          </cell>
          <cell r="E1423" t="str">
            <v>East</v>
          </cell>
          <cell r="F1423" t="str">
            <v>Fio-MTN</v>
          </cell>
          <cell r="G1423" t="str">
            <v>P5</v>
          </cell>
          <cell r="H1423" t="str">
            <v>Grid-Gen</v>
          </cell>
          <cell r="I1423" t="str">
            <v>On Air</v>
          </cell>
          <cell r="J1423" t="str">
            <v>Outdoor</v>
          </cell>
          <cell r="K1423" t="str">
            <v>AC</v>
          </cell>
          <cell r="L1423" t="str">
            <v>Dowen</v>
          </cell>
          <cell r="M1423" t="str">
            <v>Yokadouma</v>
          </cell>
          <cell r="N1423" t="str">
            <v>KADEY</v>
          </cell>
          <cell r="O1423" t="str">
            <v>MANDJOU</v>
          </cell>
          <cell r="P1423" t="str">
            <v>Samson Ndjaka</v>
          </cell>
          <cell r="Q1423">
            <v>677548443</v>
          </cell>
          <cell r="R1423">
            <v>656072411</v>
          </cell>
          <cell r="S1423" t="str">
            <v>Stephane KETCHOUANG</v>
          </cell>
          <cell r="T1423" t="str">
            <v>Valeur HOUELL</v>
          </cell>
          <cell r="U1423" t="str">
            <v>I H S</v>
          </cell>
        </row>
        <row r="1424">
          <cell r="A1424" t="str">
            <v>EST_052</v>
          </cell>
          <cell r="B1424" t="str">
            <v>IHS_BER_011</v>
          </cell>
          <cell r="C1424" t="str">
            <v>EST_052</v>
          </cell>
          <cell r="D1424" t="str">
            <v>South/East</v>
          </cell>
          <cell r="E1424" t="str">
            <v>East</v>
          </cell>
          <cell r="F1424" t="str">
            <v>Bertoua-Bonis-MTN</v>
          </cell>
          <cell r="G1424" t="str">
            <v>P5</v>
          </cell>
          <cell r="H1424" t="str">
            <v>Grid-Gen</v>
          </cell>
          <cell r="I1424" t="str">
            <v>On Air</v>
          </cell>
          <cell r="J1424" t="str">
            <v>Outdoor</v>
          </cell>
          <cell r="K1424" t="str">
            <v>AC</v>
          </cell>
          <cell r="L1424" t="str">
            <v>Dowen</v>
          </cell>
          <cell r="M1424" t="str">
            <v>bertoua</v>
          </cell>
          <cell r="N1424" t="str">
            <v>LOM-ET-DJEREM</v>
          </cell>
          <cell r="O1424" t="str">
            <v>Bertoua 1er</v>
          </cell>
          <cell r="P1424" t="str">
            <v>Samson Ndjaka</v>
          </cell>
          <cell r="Q1424">
            <v>677548443</v>
          </cell>
          <cell r="R1424">
            <v>656072411</v>
          </cell>
          <cell r="S1424" t="str">
            <v>Stephane KETCHOUANG</v>
          </cell>
          <cell r="T1424" t="str">
            <v>Valeur HOUELL</v>
          </cell>
          <cell r="U1424" t="str">
            <v>I H S</v>
          </cell>
        </row>
        <row r="1425">
          <cell r="A1425" t="str">
            <v>EST_062</v>
          </cell>
          <cell r="B1425" t="str">
            <v>IHS_BER_039</v>
          </cell>
          <cell r="C1425" t="str">
            <v>EST_062</v>
          </cell>
          <cell r="D1425" t="str">
            <v>South/East</v>
          </cell>
          <cell r="E1425" t="str">
            <v>East</v>
          </cell>
          <cell r="F1425" t="str">
            <v>Motcheboum</v>
          </cell>
          <cell r="G1425" t="str">
            <v>P5</v>
          </cell>
          <cell r="H1425" t="str">
            <v>Grid-Gen</v>
          </cell>
          <cell r="I1425" t="str">
            <v>On Air</v>
          </cell>
          <cell r="J1425" t="str">
            <v>Outdoor</v>
          </cell>
          <cell r="K1425" t="str">
            <v>AC</v>
          </cell>
          <cell r="L1425" t="str">
            <v>Dowen</v>
          </cell>
          <cell r="M1425" t="str">
            <v>Abong Mbang</v>
          </cell>
          <cell r="N1425" t="str">
            <v>HAUT-NYONG</v>
          </cell>
          <cell r="O1425" t="str">
            <v>ABONGMBANG</v>
          </cell>
          <cell r="P1425" t="str">
            <v>Samson Ndjaka</v>
          </cell>
          <cell r="Q1425">
            <v>677548443</v>
          </cell>
          <cell r="R1425">
            <v>656072411</v>
          </cell>
          <cell r="S1425" t="str">
            <v>Stephane KETCHOUANG</v>
          </cell>
          <cell r="T1425" t="str">
            <v>Valeur HOUELL</v>
          </cell>
          <cell r="U1425" t="str">
            <v>I H S</v>
          </cell>
        </row>
        <row r="1426">
          <cell r="A1426" t="str">
            <v>EST_029</v>
          </cell>
          <cell r="B1426" t="str">
            <v>IHS_BER_062</v>
          </cell>
          <cell r="C1426" t="str">
            <v>EST_029</v>
          </cell>
          <cell r="D1426" t="str">
            <v>South/East</v>
          </cell>
          <cell r="E1426" t="str">
            <v>East</v>
          </cell>
          <cell r="F1426" t="str">
            <v>Bigoens-IHS</v>
          </cell>
          <cell r="G1426" t="str">
            <v>P5</v>
          </cell>
          <cell r="H1426" t="str">
            <v>Hybrid-Gen</v>
          </cell>
          <cell r="I1426" t="str">
            <v>On Air</v>
          </cell>
          <cell r="J1426" t="str">
            <v>Outdoor</v>
          </cell>
          <cell r="K1426" t="str">
            <v>AC</v>
          </cell>
          <cell r="L1426" t="str">
            <v>Dowen</v>
          </cell>
          <cell r="M1426" t="str">
            <v>Abong Mbang</v>
          </cell>
          <cell r="N1426" t="str">
            <v>HAUT-NYONG</v>
          </cell>
          <cell r="O1426" t="str">
            <v>ABONGMBANG</v>
          </cell>
          <cell r="P1426" t="str">
            <v>Samson Ndjaka</v>
          </cell>
          <cell r="Q1426">
            <v>677548443</v>
          </cell>
          <cell r="R1426">
            <v>656072411</v>
          </cell>
          <cell r="S1426" t="str">
            <v>Stephane KETCHOUANG</v>
          </cell>
          <cell r="T1426" t="str">
            <v>Valeur HOUELL</v>
          </cell>
          <cell r="U1426" t="str">
            <v>I H S</v>
          </cell>
        </row>
        <row r="1427">
          <cell r="A1427" t="str">
            <v>EST_089</v>
          </cell>
          <cell r="B1427" t="str">
            <v>IHS_BER_026</v>
          </cell>
          <cell r="C1427" t="str">
            <v>EST_089</v>
          </cell>
          <cell r="D1427" t="str">
            <v>South/East</v>
          </cell>
          <cell r="E1427" t="str">
            <v>East</v>
          </cell>
          <cell r="F1427" t="str">
            <v>Badongoue-MTN-IHS</v>
          </cell>
          <cell r="G1427" t="str">
            <v>P5</v>
          </cell>
          <cell r="H1427" t="str">
            <v>Grid-Hybrid-Gen</v>
          </cell>
          <cell r="I1427" t="str">
            <v>On Air</v>
          </cell>
          <cell r="J1427" t="str">
            <v>Outdoor</v>
          </cell>
          <cell r="K1427" t="str">
            <v>AC</v>
          </cell>
          <cell r="L1427" t="str">
            <v>Dowen</v>
          </cell>
          <cell r="M1427" t="str">
            <v>Yokadouma</v>
          </cell>
          <cell r="N1427" t="str">
            <v>KADEY</v>
          </cell>
          <cell r="O1427" t="str">
            <v>BATOURI</v>
          </cell>
          <cell r="P1427" t="str">
            <v>Samson Ndjaka</v>
          </cell>
          <cell r="Q1427">
            <v>677548443</v>
          </cell>
          <cell r="R1427">
            <v>656072411</v>
          </cell>
          <cell r="S1427" t="str">
            <v>Stephane KETCHOUANG</v>
          </cell>
          <cell r="T1427" t="str">
            <v>Valeur HOUELL</v>
          </cell>
          <cell r="U1427" t="str">
            <v>I H S</v>
          </cell>
        </row>
        <row r="1428">
          <cell r="A1428" t="str">
            <v>EST_106</v>
          </cell>
          <cell r="B1428" t="str">
            <v>IHS_BER_059</v>
          </cell>
          <cell r="C1428" t="str">
            <v>EST_106</v>
          </cell>
          <cell r="D1428" t="str">
            <v>South/East</v>
          </cell>
          <cell r="E1428" t="str">
            <v>East</v>
          </cell>
          <cell r="F1428" t="str">
            <v>Yola</v>
          </cell>
          <cell r="G1428" t="str">
            <v>P5</v>
          </cell>
          <cell r="H1428" t="str">
            <v>Solar-Gen</v>
          </cell>
          <cell r="I1428" t="str">
            <v>On Air</v>
          </cell>
          <cell r="J1428" t="str">
            <v>Outdoor</v>
          </cell>
          <cell r="K1428" t="str">
            <v>AC</v>
          </cell>
          <cell r="L1428" t="str">
            <v>Dowen</v>
          </cell>
          <cell r="M1428" t="str">
            <v>Yokadouma</v>
          </cell>
          <cell r="N1428" t="str">
            <v>BOUMBA-ET-NGOKO</v>
          </cell>
          <cell r="O1428" t="str">
            <v>NDELELE</v>
          </cell>
          <cell r="P1428" t="str">
            <v>Samson Ndjaka</v>
          </cell>
          <cell r="Q1428">
            <v>677548443</v>
          </cell>
          <cell r="R1428">
            <v>656072411</v>
          </cell>
          <cell r="S1428" t="str">
            <v>Stephane KETCHOUANG</v>
          </cell>
          <cell r="T1428" t="str">
            <v>Valeur HOUELL</v>
          </cell>
          <cell r="U1428" t="str">
            <v>I H S</v>
          </cell>
        </row>
        <row r="1429">
          <cell r="A1429" t="str">
            <v>EST_043</v>
          </cell>
          <cell r="B1429" t="str">
            <v>IHS_BER_075</v>
          </cell>
          <cell r="C1429" t="str">
            <v>EST_043</v>
          </cell>
          <cell r="D1429" t="str">
            <v>South/East</v>
          </cell>
          <cell r="E1429" t="str">
            <v>East</v>
          </cell>
          <cell r="F1429" t="str">
            <v>Ngola-MTN</v>
          </cell>
          <cell r="G1429" t="str">
            <v>P5</v>
          </cell>
          <cell r="H1429" t="str">
            <v>Solar-Gen</v>
          </cell>
          <cell r="I1429" t="str">
            <v>On Air</v>
          </cell>
          <cell r="J1429" t="str">
            <v>Outdoor</v>
          </cell>
          <cell r="K1429" t="str">
            <v>AC</v>
          </cell>
          <cell r="L1429" t="str">
            <v>Dowen</v>
          </cell>
          <cell r="M1429" t="str">
            <v>Yokadouma</v>
          </cell>
          <cell r="N1429" t="str">
            <v>BOUMBA-ET-NGOKO</v>
          </cell>
          <cell r="O1429" t="str">
            <v>YOKADOUMA</v>
          </cell>
          <cell r="P1429" t="str">
            <v>Samson Ndjaka</v>
          </cell>
          <cell r="Q1429">
            <v>677548443</v>
          </cell>
          <cell r="R1429">
            <v>656072411</v>
          </cell>
          <cell r="S1429" t="str">
            <v>Stephane KETCHOUANG</v>
          </cell>
          <cell r="T1429" t="str">
            <v>Valeur HOUELL</v>
          </cell>
          <cell r="U1429" t="str">
            <v>I H S</v>
          </cell>
        </row>
        <row r="1430">
          <cell r="A1430" t="str">
            <v>EST_028</v>
          </cell>
          <cell r="B1430" t="str">
            <v>IHS_BER_035</v>
          </cell>
          <cell r="C1430" t="str">
            <v>EST_028</v>
          </cell>
          <cell r="D1430" t="str">
            <v>South/East</v>
          </cell>
          <cell r="E1430" t="str">
            <v>East</v>
          </cell>
          <cell r="F1430" t="str">
            <v>Kambolepi-IHS</v>
          </cell>
          <cell r="G1430" t="str">
            <v>P5</v>
          </cell>
          <cell r="H1430" t="str">
            <v>Solar-Gen</v>
          </cell>
          <cell r="I1430" t="str">
            <v>On Air</v>
          </cell>
          <cell r="J1430" t="str">
            <v>Outdoor</v>
          </cell>
          <cell r="K1430" t="str">
            <v>AC</v>
          </cell>
          <cell r="L1430" t="str">
            <v>Dowen</v>
          </cell>
          <cell r="M1430" t="str">
            <v>Yokadouma</v>
          </cell>
          <cell r="N1430" t="str">
            <v>KADEY</v>
          </cell>
          <cell r="O1430" t="str">
            <v>Batouri</v>
          </cell>
          <cell r="P1430" t="str">
            <v>Samson Ndjaka</v>
          </cell>
          <cell r="Q1430">
            <v>677548443</v>
          </cell>
          <cell r="R1430">
            <v>656072411</v>
          </cell>
          <cell r="S1430" t="str">
            <v>Stephane KETCHOUANG</v>
          </cell>
          <cell r="T1430" t="str">
            <v>Valeur HOUELL</v>
          </cell>
          <cell r="U1430" t="str">
            <v>I H S</v>
          </cell>
        </row>
        <row r="1431">
          <cell r="A1431" t="str">
            <v>OST_029</v>
          </cell>
          <cell r="B1431" t="str">
            <v>IHS_KMB_075</v>
          </cell>
          <cell r="C1431" t="str">
            <v>OST_029</v>
          </cell>
          <cell r="D1431" t="str">
            <v>West</v>
          </cell>
          <cell r="E1431" t="str">
            <v>West</v>
          </cell>
          <cell r="F1431" t="str">
            <v>Meguia</v>
          </cell>
          <cell r="G1431" t="str">
            <v>P2</v>
          </cell>
          <cell r="H1431" t="str">
            <v>Gen Only</v>
          </cell>
          <cell r="I1431" t="str">
            <v>On Air</v>
          </cell>
          <cell r="J1431" t="str">
            <v>Indoor</v>
          </cell>
          <cell r="K1431" t="str">
            <v>AC</v>
          </cell>
          <cell r="L1431" t="str">
            <v>I-Eng</v>
          </cell>
          <cell r="M1431" t="str">
            <v>Dschang</v>
          </cell>
          <cell r="N1431" t="str">
            <v>MENOUA</v>
          </cell>
          <cell r="O1431" t="str">
            <v>DSCHANG</v>
          </cell>
          <cell r="P1431" t="str">
            <v>Samuel Ekouele</v>
          </cell>
          <cell r="Q1431">
            <v>677549818</v>
          </cell>
          <cell r="R1431">
            <v>655999818</v>
          </cell>
          <cell r="S1431" t="str">
            <v>Vensa Mohammadu</v>
          </cell>
          <cell r="T1431" t="str">
            <v>GEORGES NAKHOUL</v>
          </cell>
          <cell r="U1431" t="str">
            <v>I H S</v>
          </cell>
        </row>
        <row r="1432">
          <cell r="A1432" t="str">
            <v>OST_007</v>
          </cell>
          <cell r="B1432" t="str">
            <v>IHS_BAF_069</v>
          </cell>
          <cell r="C1432" t="str">
            <v>OST_007</v>
          </cell>
          <cell r="D1432" t="str">
            <v>West</v>
          </cell>
          <cell r="E1432" t="str">
            <v>West</v>
          </cell>
          <cell r="F1432" t="str">
            <v>Bana</v>
          </cell>
          <cell r="G1432" t="str">
            <v>P2</v>
          </cell>
          <cell r="H1432" t="str">
            <v>Grid-Gen</v>
          </cell>
          <cell r="I1432" t="str">
            <v>On Air</v>
          </cell>
          <cell r="J1432" t="str">
            <v>Indoor</v>
          </cell>
          <cell r="K1432" t="str">
            <v>AC</v>
          </cell>
          <cell r="L1432" t="str">
            <v>I-Eng</v>
          </cell>
          <cell r="M1432" t="str">
            <v>Bafoussam</v>
          </cell>
          <cell r="N1432" t="str">
            <v>HAUT-NKAM</v>
          </cell>
          <cell r="O1432" t="str">
            <v>BANA</v>
          </cell>
          <cell r="P1432" t="str">
            <v>Samuel Ekouele</v>
          </cell>
          <cell r="Q1432">
            <v>677549818</v>
          </cell>
          <cell r="R1432">
            <v>655999818</v>
          </cell>
          <cell r="S1432" t="str">
            <v>Vensa Mohammadu</v>
          </cell>
          <cell r="T1432" t="str">
            <v>GEORGES NAKHOUL</v>
          </cell>
          <cell r="U1432" t="str">
            <v>I H S</v>
          </cell>
        </row>
        <row r="1433">
          <cell r="A1433" t="str">
            <v>OST_017</v>
          </cell>
          <cell r="B1433" t="str">
            <v>IHS_DCG_021</v>
          </cell>
          <cell r="C1433" t="str">
            <v>OST_017</v>
          </cell>
          <cell r="D1433" t="str">
            <v>West</v>
          </cell>
          <cell r="E1433" t="str">
            <v>West</v>
          </cell>
          <cell r="F1433" t="str">
            <v>Bafou</v>
          </cell>
          <cell r="G1433" t="str">
            <v>P2</v>
          </cell>
          <cell r="H1433" t="str">
            <v>Grid-Gen</v>
          </cell>
          <cell r="I1433" t="str">
            <v>On Air</v>
          </cell>
          <cell r="J1433" t="str">
            <v>Indoor</v>
          </cell>
          <cell r="K1433" t="str">
            <v>AC</v>
          </cell>
          <cell r="L1433" t="str">
            <v>I-Eng</v>
          </cell>
          <cell r="M1433" t="str">
            <v>Dschang</v>
          </cell>
          <cell r="N1433" t="str">
            <v>MENOUA</v>
          </cell>
          <cell r="O1433" t="str">
            <v>NKONGHNI</v>
          </cell>
          <cell r="P1433" t="str">
            <v>Samuel Ekouele</v>
          </cell>
          <cell r="Q1433">
            <v>677549818</v>
          </cell>
          <cell r="R1433">
            <v>655999818</v>
          </cell>
          <cell r="S1433" t="str">
            <v>Vensa Mohammadu</v>
          </cell>
          <cell r="T1433" t="str">
            <v>GEORGES NAKHOUL</v>
          </cell>
          <cell r="U1433" t="str">
            <v>I H S</v>
          </cell>
        </row>
        <row r="1434">
          <cell r="A1434" t="str">
            <v>SUO_017</v>
          </cell>
          <cell r="B1434" t="str">
            <v>IHS_KMB_068</v>
          </cell>
          <cell r="C1434" t="str">
            <v>SUO_017</v>
          </cell>
          <cell r="D1434" t="str">
            <v>West</v>
          </cell>
          <cell r="E1434" t="str">
            <v>West</v>
          </cell>
          <cell r="F1434" t="str">
            <v>Fontem</v>
          </cell>
          <cell r="G1434" t="str">
            <v>P2</v>
          </cell>
          <cell r="H1434" t="str">
            <v>Grid-Gen</v>
          </cell>
          <cell r="I1434" t="str">
            <v>On Air</v>
          </cell>
          <cell r="J1434" t="str">
            <v>Indoor</v>
          </cell>
          <cell r="K1434" t="str">
            <v>AC</v>
          </cell>
          <cell r="L1434" t="str">
            <v>I-Eng</v>
          </cell>
          <cell r="M1434" t="str">
            <v>Dschang</v>
          </cell>
          <cell r="N1434" t="str">
            <v>LEBIALEM</v>
          </cell>
          <cell r="O1434" t="str">
            <v>MENDJI</v>
          </cell>
          <cell r="P1434" t="str">
            <v>Samuel Ekouele</v>
          </cell>
          <cell r="Q1434">
            <v>677549818</v>
          </cell>
          <cell r="R1434">
            <v>655999818</v>
          </cell>
          <cell r="S1434" t="str">
            <v>Vensa Mohammadu</v>
          </cell>
          <cell r="T1434" t="str">
            <v>GEORGES NAKHOUL</v>
          </cell>
          <cell r="U1434" t="str">
            <v>I H S</v>
          </cell>
        </row>
        <row r="1435">
          <cell r="A1435" t="str">
            <v>OST_016</v>
          </cell>
          <cell r="B1435" t="str">
            <v>IHS_BAF_003</v>
          </cell>
          <cell r="C1435" t="str">
            <v>OST_016</v>
          </cell>
          <cell r="D1435" t="str">
            <v>West</v>
          </cell>
          <cell r="E1435" t="str">
            <v>West</v>
          </cell>
          <cell r="F1435" t="str">
            <v>bfsam-Djeleng</v>
          </cell>
          <cell r="G1435" t="str">
            <v>P2</v>
          </cell>
          <cell r="H1435" t="str">
            <v>Grid-Gen</v>
          </cell>
          <cell r="I1435" t="str">
            <v>On Air</v>
          </cell>
          <cell r="J1435" t="str">
            <v>Indoor</v>
          </cell>
          <cell r="K1435" t="str">
            <v>AC</v>
          </cell>
          <cell r="L1435" t="str">
            <v>I-Eng</v>
          </cell>
          <cell r="M1435" t="str">
            <v>Bafoussam</v>
          </cell>
          <cell r="N1435" t="str">
            <v>MIFI</v>
          </cell>
          <cell r="O1435" t="str">
            <v>BAFOUSSAM</v>
          </cell>
          <cell r="P1435" t="str">
            <v>Samuel Ekouele</v>
          </cell>
          <cell r="Q1435">
            <v>677549818</v>
          </cell>
          <cell r="R1435">
            <v>655999818</v>
          </cell>
          <cell r="S1435" t="str">
            <v>Vensa Mohammadu</v>
          </cell>
          <cell r="T1435" t="str">
            <v>GEORGES NAKHOUL</v>
          </cell>
          <cell r="U1435" t="str">
            <v>I H S</v>
          </cell>
        </row>
        <row r="1436">
          <cell r="A1436" t="str">
            <v>OST_020</v>
          </cell>
          <cell r="B1436" t="str">
            <v>IHS_DCG_011</v>
          </cell>
          <cell r="C1436" t="str">
            <v>OST_020</v>
          </cell>
          <cell r="D1436" t="str">
            <v>West</v>
          </cell>
          <cell r="E1436" t="str">
            <v>West</v>
          </cell>
          <cell r="F1436" t="str">
            <v>Dschang-II</v>
          </cell>
          <cell r="G1436" t="str">
            <v>P2</v>
          </cell>
          <cell r="H1436" t="str">
            <v>Grid-Gen</v>
          </cell>
          <cell r="I1436" t="str">
            <v>On Air</v>
          </cell>
          <cell r="J1436" t="str">
            <v>Indoor</v>
          </cell>
          <cell r="K1436" t="str">
            <v>AC</v>
          </cell>
          <cell r="L1436" t="str">
            <v>I-Eng</v>
          </cell>
          <cell r="M1436" t="str">
            <v>Dschang</v>
          </cell>
          <cell r="N1436" t="str">
            <v>MENOUA</v>
          </cell>
          <cell r="O1436" t="str">
            <v>DSCHANG</v>
          </cell>
          <cell r="P1436" t="str">
            <v>Samuel Ekouele</v>
          </cell>
          <cell r="Q1436">
            <v>677549818</v>
          </cell>
          <cell r="R1436">
            <v>655999818</v>
          </cell>
          <cell r="S1436" t="str">
            <v>Vensa Mohammadu</v>
          </cell>
          <cell r="T1436" t="str">
            <v>GEORGES NAKHOUL</v>
          </cell>
          <cell r="U1436" t="str">
            <v>I H S</v>
          </cell>
        </row>
        <row r="1437">
          <cell r="A1437" t="str">
            <v>OST_111</v>
          </cell>
          <cell r="B1437" t="str">
            <v>IHS_BAF_007</v>
          </cell>
          <cell r="C1437" t="str">
            <v>OST_111</v>
          </cell>
          <cell r="D1437" t="str">
            <v>West</v>
          </cell>
          <cell r="E1437" t="str">
            <v>West</v>
          </cell>
          <cell r="F1437" t="str">
            <v>Bfsam-Q-Admin</v>
          </cell>
          <cell r="G1437" t="str">
            <v>P2</v>
          </cell>
          <cell r="H1437" t="str">
            <v>Grid-Gen</v>
          </cell>
          <cell r="I1437" t="str">
            <v>On Air</v>
          </cell>
          <cell r="J1437" t="str">
            <v>Indoor</v>
          </cell>
          <cell r="K1437" t="str">
            <v>AC</v>
          </cell>
          <cell r="L1437" t="str">
            <v>I-Eng</v>
          </cell>
          <cell r="M1437" t="str">
            <v>Bafoussam</v>
          </cell>
          <cell r="N1437" t="str">
            <v>MIFI</v>
          </cell>
          <cell r="O1437" t="str">
            <v>BAFOUSSAM</v>
          </cell>
          <cell r="P1437" t="str">
            <v>Samuel Ekouele</v>
          </cell>
          <cell r="Q1437">
            <v>677549818</v>
          </cell>
          <cell r="R1437">
            <v>655999818</v>
          </cell>
          <cell r="S1437" t="str">
            <v>Vensa Mohammadu</v>
          </cell>
          <cell r="T1437" t="str">
            <v>GEORGES NAKHOUL</v>
          </cell>
          <cell r="U1437" t="str">
            <v>I H S</v>
          </cell>
        </row>
        <row r="1438">
          <cell r="A1438" t="str">
            <v>OST_045</v>
          </cell>
          <cell r="B1438" t="str">
            <v>IHS_BAF_023</v>
          </cell>
          <cell r="C1438" t="str">
            <v>OST_045</v>
          </cell>
          <cell r="D1438" t="str">
            <v>West</v>
          </cell>
          <cell r="E1438" t="str">
            <v>West</v>
          </cell>
          <cell r="F1438" t="str">
            <v>Bfsam-Toket</v>
          </cell>
          <cell r="G1438" t="str">
            <v>P3</v>
          </cell>
          <cell r="H1438" t="str">
            <v>Grid-Gen</v>
          </cell>
          <cell r="I1438" t="str">
            <v>On Air</v>
          </cell>
          <cell r="J1438" t="str">
            <v>Outdoor</v>
          </cell>
          <cell r="K1438" t="str">
            <v>AC</v>
          </cell>
          <cell r="L1438" t="str">
            <v>I-Eng</v>
          </cell>
          <cell r="M1438" t="str">
            <v>Bafoussam</v>
          </cell>
          <cell r="N1438" t="str">
            <v>MIFI</v>
          </cell>
          <cell r="O1438" t="str">
            <v>BAFOUSSAM</v>
          </cell>
          <cell r="P1438" t="str">
            <v>Samuel Ekouele</v>
          </cell>
          <cell r="Q1438">
            <v>677549818</v>
          </cell>
          <cell r="R1438">
            <v>655999818</v>
          </cell>
          <cell r="S1438" t="str">
            <v>Vensa Mohammadu</v>
          </cell>
          <cell r="T1438" t="str">
            <v>GEORGES NAKHOUL</v>
          </cell>
          <cell r="U1438" t="str">
            <v>I H S</v>
          </cell>
        </row>
        <row r="1439">
          <cell r="A1439" t="str">
            <v>OST_077</v>
          </cell>
          <cell r="B1439" t="str">
            <v>IHS_BAF_015</v>
          </cell>
          <cell r="C1439" t="str">
            <v>OST_077</v>
          </cell>
          <cell r="D1439" t="str">
            <v>West</v>
          </cell>
          <cell r="E1439" t="str">
            <v>West</v>
          </cell>
          <cell r="F1439" t="str">
            <v>Bfsam-Tougang-EEC</v>
          </cell>
          <cell r="G1439" t="str">
            <v>P3</v>
          </cell>
          <cell r="H1439" t="str">
            <v>Grid-Gen</v>
          </cell>
          <cell r="I1439" t="str">
            <v>On Air</v>
          </cell>
          <cell r="J1439" t="str">
            <v>Outdoor</v>
          </cell>
          <cell r="K1439" t="str">
            <v>AC</v>
          </cell>
          <cell r="L1439" t="str">
            <v>I-Eng</v>
          </cell>
          <cell r="M1439" t="str">
            <v>Bafoussam</v>
          </cell>
          <cell r="N1439" t="str">
            <v>MIFI</v>
          </cell>
          <cell r="O1439" t="str">
            <v>BAFOUSSAM</v>
          </cell>
          <cell r="P1439" t="str">
            <v>Samuel Ekouele</v>
          </cell>
          <cell r="Q1439">
            <v>677549818</v>
          </cell>
          <cell r="R1439">
            <v>655999818</v>
          </cell>
          <cell r="S1439" t="str">
            <v>Vensa Mohammadu</v>
          </cell>
          <cell r="T1439" t="str">
            <v>GEORGES NAKHOUL</v>
          </cell>
          <cell r="U1439" t="str">
            <v>I H S</v>
          </cell>
        </row>
        <row r="1440">
          <cell r="A1440" t="str">
            <v>OST_035</v>
          </cell>
          <cell r="B1440" t="str">
            <v>IHS_BAF_044</v>
          </cell>
          <cell r="C1440" t="str">
            <v>OST_035</v>
          </cell>
          <cell r="D1440" t="str">
            <v>West</v>
          </cell>
          <cell r="E1440" t="str">
            <v>West</v>
          </cell>
          <cell r="F1440" t="str">
            <v>Baham</v>
          </cell>
          <cell r="G1440" t="str">
            <v>P3</v>
          </cell>
          <cell r="H1440" t="str">
            <v>Grid-Gen</v>
          </cell>
          <cell r="I1440" t="str">
            <v>On Air</v>
          </cell>
          <cell r="J1440" t="str">
            <v>Indoor</v>
          </cell>
          <cell r="K1440" t="str">
            <v>AC</v>
          </cell>
          <cell r="L1440" t="str">
            <v>I-Eng</v>
          </cell>
          <cell r="M1440" t="str">
            <v>Bafoussam</v>
          </cell>
          <cell r="N1440" t="str">
            <v>HAUTS-PLATEAUX</v>
          </cell>
          <cell r="O1440" t="str">
            <v>BAHAM</v>
          </cell>
          <cell r="P1440" t="str">
            <v>Samuel Ekouele</v>
          </cell>
          <cell r="Q1440">
            <v>677549818</v>
          </cell>
          <cell r="R1440">
            <v>655999818</v>
          </cell>
          <cell r="S1440" t="str">
            <v>Vensa Mohammadu</v>
          </cell>
          <cell r="T1440" t="str">
            <v>GEORGES NAKHOUL</v>
          </cell>
          <cell r="U1440" t="str">
            <v>I H S</v>
          </cell>
        </row>
        <row r="1441">
          <cell r="A1441" t="str">
            <v>OST_121</v>
          </cell>
          <cell r="B1441" t="str">
            <v>IHS_BAF_019</v>
          </cell>
          <cell r="C1441" t="str">
            <v>OST_121</v>
          </cell>
          <cell r="D1441" t="str">
            <v>West</v>
          </cell>
          <cell r="E1441" t="str">
            <v>West</v>
          </cell>
          <cell r="F1441" t="str">
            <v>Bfsam-Gouache</v>
          </cell>
          <cell r="G1441" t="str">
            <v>P3</v>
          </cell>
          <cell r="H1441" t="str">
            <v>Grid-Gen</v>
          </cell>
          <cell r="I1441" t="str">
            <v>On Air</v>
          </cell>
          <cell r="J1441" t="str">
            <v>Outdoor</v>
          </cell>
          <cell r="K1441" t="str">
            <v>AC</v>
          </cell>
          <cell r="L1441" t="str">
            <v>I-Eng</v>
          </cell>
          <cell r="M1441" t="str">
            <v>Bafoussam</v>
          </cell>
          <cell r="N1441" t="str">
            <v>MIFI</v>
          </cell>
          <cell r="O1441" t="str">
            <v>BAFOUSSAM</v>
          </cell>
          <cell r="P1441" t="str">
            <v>Samuel Ekouele</v>
          </cell>
          <cell r="Q1441">
            <v>677549818</v>
          </cell>
          <cell r="R1441">
            <v>655999818</v>
          </cell>
          <cell r="S1441" t="str">
            <v>Vensa Mohammadu</v>
          </cell>
          <cell r="T1441" t="str">
            <v>GEORGES NAKHOUL</v>
          </cell>
          <cell r="U1441" t="str">
            <v>I H S</v>
          </cell>
        </row>
        <row r="1442">
          <cell r="A1442" t="str">
            <v>OST_193</v>
          </cell>
          <cell r="B1442" t="str">
            <v>IHS_BAF_314</v>
          </cell>
          <cell r="C1442" t="str">
            <v>OST_193</v>
          </cell>
          <cell r="D1442" t="str">
            <v>West</v>
          </cell>
          <cell r="E1442" t="str">
            <v>West</v>
          </cell>
          <cell r="F1442" t="str">
            <v>Banefo Baleng</v>
          </cell>
          <cell r="G1442" t="str">
            <v>P4</v>
          </cell>
          <cell r="H1442" t="str">
            <v>Gen Only</v>
          </cell>
          <cell r="I1442" t="str">
            <v>On Air</v>
          </cell>
          <cell r="J1442" t="str">
            <v>Outdoor</v>
          </cell>
          <cell r="K1442" t="str">
            <v>AC</v>
          </cell>
          <cell r="L1442" t="str">
            <v>I-Eng</v>
          </cell>
          <cell r="M1442" t="str">
            <v>Bafoussam</v>
          </cell>
          <cell r="N1442" t="str">
            <v>MIFI</v>
          </cell>
          <cell r="O1442" t="str">
            <v>BAFOUSSAM</v>
          </cell>
          <cell r="P1442" t="str">
            <v>Samuel Ekouele</v>
          </cell>
          <cell r="Q1442">
            <v>677549818</v>
          </cell>
          <cell r="R1442">
            <v>655999818</v>
          </cell>
          <cell r="S1442" t="str">
            <v>Vensa Mohammadu</v>
          </cell>
          <cell r="T1442" t="str">
            <v>GEORGES NAKHOUL</v>
          </cell>
          <cell r="U1442" t="str">
            <v>I H S</v>
          </cell>
        </row>
        <row r="1443">
          <cell r="A1443" t="str">
            <v>OST_155</v>
          </cell>
          <cell r="B1443" t="str">
            <v>IHS_MBD_018</v>
          </cell>
          <cell r="C1443" t="str">
            <v>OST_155</v>
          </cell>
          <cell r="D1443" t="str">
            <v>West</v>
          </cell>
          <cell r="E1443" t="str">
            <v>West</v>
          </cell>
          <cell r="F1443" t="str">
            <v>BAMENKOMBO</v>
          </cell>
          <cell r="G1443" t="str">
            <v>P4</v>
          </cell>
          <cell r="H1443" t="str">
            <v>Grid-Gen</v>
          </cell>
          <cell r="I1443" t="str">
            <v>On Air</v>
          </cell>
          <cell r="J1443" t="str">
            <v>Outdoor</v>
          </cell>
          <cell r="K1443" t="str">
            <v>AC</v>
          </cell>
          <cell r="L1443" t="str">
            <v>I-Eng</v>
          </cell>
          <cell r="M1443" t="str">
            <v>Bafoussam</v>
          </cell>
          <cell r="N1443" t="str">
            <v>MENOUA</v>
          </cell>
          <cell r="O1443" t="str">
            <v>MBOUDA</v>
          </cell>
          <cell r="P1443" t="str">
            <v>Samuel Ekouele</v>
          </cell>
          <cell r="Q1443">
            <v>677549818</v>
          </cell>
          <cell r="R1443">
            <v>655999818</v>
          </cell>
          <cell r="S1443" t="str">
            <v>Vensa Mohammadu</v>
          </cell>
          <cell r="T1443" t="str">
            <v>GEORGES NAKHOUL</v>
          </cell>
          <cell r="U1443" t="str">
            <v>I H S</v>
          </cell>
        </row>
        <row r="1444">
          <cell r="A1444" t="str">
            <v>OST_105</v>
          </cell>
          <cell r="B1444" t="str">
            <v>IHS_DCG_015</v>
          </cell>
          <cell r="C1444" t="str">
            <v>OST_105</v>
          </cell>
          <cell r="D1444" t="str">
            <v>West</v>
          </cell>
          <cell r="E1444" t="str">
            <v>West</v>
          </cell>
          <cell r="F1444" t="str">
            <v>Dschang-Foto</v>
          </cell>
          <cell r="G1444" t="str">
            <v>P4</v>
          </cell>
          <cell r="H1444" t="str">
            <v>Grid-Gen</v>
          </cell>
          <cell r="I1444" t="str">
            <v>On Air</v>
          </cell>
          <cell r="J1444" t="str">
            <v>Outdoor</v>
          </cell>
          <cell r="K1444" t="str">
            <v>AC</v>
          </cell>
          <cell r="L1444" t="str">
            <v>I-Eng</v>
          </cell>
          <cell r="M1444" t="str">
            <v>Dschang</v>
          </cell>
          <cell r="N1444" t="str">
            <v>MENOUA</v>
          </cell>
          <cell r="O1444" t="str">
            <v>DSCHANG</v>
          </cell>
          <cell r="P1444" t="str">
            <v>Samuel Ekouele</v>
          </cell>
          <cell r="Q1444">
            <v>677549818</v>
          </cell>
          <cell r="R1444">
            <v>655999818</v>
          </cell>
          <cell r="S1444" t="str">
            <v>Vensa Mohammadu</v>
          </cell>
          <cell r="T1444" t="str">
            <v>GEORGES NAKHOUL</v>
          </cell>
          <cell r="U1444" t="str">
            <v>I H S</v>
          </cell>
        </row>
        <row r="1445">
          <cell r="A1445" t="str">
            <v>OST_024</v>
          </cell>
          <cell r="B1445" t="str">
            <v>IHS_BAF_028</v>
          </cell>
          <cell r="C1445" t="str">
            <v>OST_024</v>
          </cell>
          <cell r="D1445" t="str">
            <v>West</v>
          </cell>
          <cell r="E1445" t="str">
            <v>West</v>
          </cell>
          <cell r="F1445" t="str">
            <v>bfsam-Bamendzi</v>
          </cell>
          <cell r="G1445" t="str">
            <v>P4</v>
          </cell>
          <cell r="H1445" t="str">
            <v>Grid-Gen</v>
          </cell>
          <cell r="I1445" t="str">
            <v>On Air</v>
          </cell>
          <cell r="J1445" t="str">
            <v>Indoor</v>
          </cell>
          <cell r="K1445" t="str">
            <v>AC</v>
          </cell>
          <cell r="L1445" t="str">
            <v>I-Eng</v>
          </cell>
          <cell r="M1445" t="str">
            <v>Bafoussam</v>
          </cell>
          <cell r="N1445" t="str">
            <v>MIFI</v>
          </cell>
          <cell r="O1445" t="str">
            <v>BAFOUSSAM</v>
          </cell>
          <cell r="P1445" t="str">
            <v>Samuel Ekouele</v>
          </cell>
          <cell r="Q1445">
            <v>677549818</v>
          </cell>
          <cell r="R1445">
            <v>655999818</v>
          </cell>
          <cell r="S1445" t="str">
            <v>Vensa Mohammadu</v>
          </cell>
          <cell r="T1445" t="str">
            <v>GEORGES NAKHOUL</v>
          </cell>
          <cell r="U1445" t="str">
            <v>I H S</v>
          </cell>
        </row>
        <row r="1446">
          <cell r="A1446" t="str">
            <v>OST_040</v>
          </cell>
          <cell r="B1446" t="str">
            <v>IHS_MBD_011</v>
          </cell>
          <cell r="C1446" t="str">
            <v>OST_040</v>
          </cell>
          <cell r="D1446" t="str">
            <v>West</v>
          </cell>
          <cell r="E1446" t="str">
            <v>West</v>
          </cell>
          <cell r="F1446" t="str">
            <v>Batcham</v>
          </cell>
          <cell r="G1446" t="str">
            <v>P4</v>
          </cell>
          <cell r="H1446" t="str">
            <v>Grid-Gen</v>
          </cell>
          <cell r="I1446" t="str">
            <v>On Air</v>
          </cell>
          <cell r="J1446" t="str">
            <v>Outdoor</v>
          </cell>
          <cell r="K1446" t="str">
            <v>AC</v>
          </cell>
          <cell r="L1446" t="str">
            <v>I-Eng</v>
          </cell>
          <cell r="M1446" t="str">
            <v>Bafoussam</v>
          </cell>
          <cell r="N1446" t="str">
            <v>BAMBOUTOUS</v>
          </cell>
          <cell r="O1446" t="str">
            <v>BATCHAM</v>
          </cell>
          <cell r="P1446" t="str">
            <v>Samuel Ekouele</v>
          </cell>
          <cell r="Q1446">
            <v>677549818</v>
          </cell>
          <cell r="R1446">
            <v>655999818</v>
          </cell>
          <cell r="S1446" t="str">
            <v>Vensa Mohammadu</v>
          </cell>
          <cell r="T1446" t="str">
            <v>GEORGES NAKHOUL</v>
          </cell>
          <cell r="U1446" t="str">
            <v>I H S</v>
          </cell>
        </row>
        <row r="1447">
          <cell r="A1447" t="str">
            <v>OST_046</v>
          </cell>
          <cell r="B1447" t="str">
            <v>IHS_BAF_029</v>
          </cell>
          <cell r="C1447" t="str">
            <v>OST_046</v>
          </cell>
          <cell r="D1447" t="str">
            <v>West</v>
          </cell>
          <cell r="E1447" t="str">
            <v>West</v>
          </cell>
          <cell r="F1447" t="str">
            <v>bfsam-Bamengoum</v>
          </cell>
          <cell r="G1447" t="str">
            <v>P4</v>
          </cell>
          <cell r="H1447" t="str">
            <v>Grid-Gen</v>
          </cell>
          <cell r="I1447" t="str">
            <v>On Air</v>
          </cell>
          <cell r="J1447" t="str">
            <v>Outdoor</v>
          </cell>
          <cell r="K1447" t="str">
            <v>AC</v>
          </cell>
          <cell r="L1447" t="str">
            <v>I-Eng</v>
          </cell>
          <cell r="M1447" t="str">
            <v>Bafoussam</v>
          </cell>
          <cell r="N1447" t="str">
            <v>MIFI</v>
          </cell>
          <cell r="O1447" t="str">
            <v>BAFOUSSAM</v>
          </cell>
          <cell r="P1447" t="str">
            <v>Samuel Ekouele</v>
          </cell>
          <cell r="Q1447">
            <v>677549818</v>
          </cell>
          <cell r="R1447">
            <v>655999818</v>
          </cell>
          <cell r="S1447" t="str">
            <v>Vensa Mohammadu</v>
          </cell>
          <cell r="T1447" t="str">
            <v>GEORGES NAKHOUL</v>
          </cell>
          <cell r="U1447" t="str">
            <v>I H S</v>
          </cell>
        </row>
        <row r="1448">
          <cell r="A1448" t="str">
            <v>OST_009</v>
          </cell>
          <cell r="B1448" t="str">
            <v>IHS_BAF_038</v>
          </cell>
          <cell r="C1448" t="str">
            <v>OST_009</v>
          </cell>
          <cell r="D1448" t="str">
            <v>West</v>
          </cell>
          <cell r="E1448" t="str">
            <v>West</v>
          </cell>
          <cell r="F1448" t="str">
            <v>Bandjoun</v>
          </cell>
          <cell r="G1448" t="str">
            <v>P4</v>
          </cell>
          <cell r="H1448" t="str">
            <v>Grid-Gen</v>
          </cell>
          <cell r="I1448" t="str">
            <v>On Air</v>
          </cell>
          <cell r="J1448" t="str">
            <v>Indoor</v>
          </cell>
          <cell r="K1448" t="str">
            <v>AC</v>
          </cell>
          <cell r="L1448" t="str">
            <v>I-Eng</v>
          </cell>
          <cell r="M1448" t="str">
            <v>Bafoussam</v>
          </cell>
          <cell r="N1448" t="str">
            <v>KOUNG-KHI</v>
          </cell>
          <cell r="O1448" t="str">
            <v>BANDJOUN</v>
          </cell>
          <cell r="P1448" t="str">
            <v>Samuel Ekouele</v>
          </cell>
          <cell r="Q1448">
            <v>677549818</v>
          </cell>
          <cell r="R1448">
            <v>655999818</v>
          </cell>
          <cell r="S1448" t="str">
            <v>Vensa Mohammadu</v>
          </cell>
          <cell r="T1448" t="str">
            <v>GEORGES NAKHOUL</v>
          </cell>
          <cell r="U1448" t="str">
            <v>I H S</v>
          </cell>
        </row>
        <row r="1449">
          <cell r="A1449" t="str">
            <v>OST_076</v>
          </cell>
          <cell r="B1449" t="str">
            <v>IHS_BAF_032</v>
          </cell>
          <cell r="C1449" t="str">
            <v>OST_076</v>
          </cell>
          <cell r="D1449" t="str">
            <v>West</v>
          </cell>
          <cell r="E1449" t="str">
            <v>West</v>
          </cell>
          <cell r="F1449" t="str">
            <v>bfsam-Njinkwo</v>
          </cell>
          <cell r="G1449" t="str">
            <v>P4</v>
          </cell>
          <cell r="H1449" t="str">
            <v>Grid-Gen</v>
          </cell>
          <cell r="I1449" t="str">
            <v>On Air</v>
          </cell>
          <cell r="J1449" t="str">
            <v>Outdoor</v>
          </cell>
          <cell r="K1449" t="str">
            <v>AC</v>
          </cell>
          <cell r="L1449" t="str">
            <v>I-Eng</v>
          </cell>
          <cell r="M1449" t="str">
            <v>Bafoussam</v>
          </cell>
          <cell r="N1449" t="str">
            <v>MIFI</v>
          </cell>
          <cell r="O1449" t="str">
            <v>BAFOUSSAM</v>
          </cell>
          <cell r="P1449" t="str">
            <v>Samuel Ekouele</v>
          </cell>
          <cell r="Q1449">
            <v>677549818</v>
          </cell>
          <cell r="R1449">
            <v>655999818</v>
          </cell>
          <cell r="S1449" t="str">
            <v>Vensa Mohammadu</v>
          </cell>
          <cell r="T1449" t="str">
            <v>GEORGES NAKHOUL</v>
          </cell>
          <cell r="U1449" t="str">
            <v>I H S</v>
          </cell>
        </row>
        <row r="1450">
          <cell r="A1450" t="str">
            <v>OST_034</v>
          </cell>
          <cell r="B1450" t="str">
            <v>IHS_BAF_050</v>
          </cell>
          <cell r="C1450" t="str">
            <v>OST_034</v>
          </cell>
          <cell r="D1450" t="str">
            <v>West</v>
          </cell>
          <cell r="E1450" t="str">
            <v>West</v>
          </cell>
          <cell r="F1450" t="str">
            <v>Batie</v>
          </cell>
          <cell r="G1450" t="str">
            <v>P4</v>
          </cell>
          <cell r="H1450" t="str">
            <v>Grid-Gen</v>
          </cell>
          <cell r="I1450" t="str">
            <v>On Air</v>
          </cell>
          <cell r="J1450" t="str">
            <v>Outdoor</v>
          </cell>
          <cell r="K1450" t="str">
            <v>AC</v>
          </cell>
          <cell r="L1450" t="str">
            <v>I-Eng</v>
          </cell>
          <cell r="M1450" t="str">
            <v>Bafoussam</v>
          </cell>
          <cell r="N1450" t="str">
            <v>HAUTS-PLATEAUX</v>
          </cell>
          <cell r="O1450" t="str">
            <v>BATIE</v>
          </cell>
          <cell r="P1450" t="str">
            <v>Samuel Ekouele</v>
          </cell>
          <cell r="Q1450">
            <v>677549818</v>
          </cell>
          <cell r="R1450">
            <v>655999818</v>
          </cell>
          <cell r="S1450" t="str">
            <v>Vensa Mohammadu</v>
          </cell>
          <cell r="T1450" t="str">
            <v>GEORGES NAKHOUL</v>
          </cell>
          <cell r="U1450" t="str">
            <v>I H S</v>
          </cell>
        </row>
        <row r="1451">
          <cell r="A1451" t="str">
            <v>OST_074</v>
          </cell>
          <cell r="B1451" t="str">
            <v>IHS_DCG_016</v>
          </cell>
          <cell r="C1451" t="str">
            <v>OST_074</v>
          </cell>
          <cell r="D1451" t="str">
            <v>West</v>
          </cell>
          <cell r="E1451" t="str">
            <v>West</v>
          </cell>
          <cell r="F1451" t="str">
            <v>Dschang-Meka</v>
          </cell>
          <cell r="G1451" t="str">
            <v>P4</v>
          </cell>
          <cell r="H1451" t="str">
            <v>Grid-Gen</v>
          </cell>
          <cell r="I1451" t="str">
            <v>On Air</v>
          </cell>
          <cell r="J1451" t="str">
            <v>Outdoor</v>
          </cell>
          <cell r="K1451" t="str">
            <v>AC</v>
          </cell>
          <cell r="L1451" t="str">
            <v>I-Eng</v>
          </cell>
          <cell r="M1451" t="str">
            <v>Dschang</v>
          </cell>
          <cell r="N1451" t="str">
            <v>MENOUA</v>
          </cell>
          <cell r="O1451" t="str">
            <v>DSCHANG</v>
          </cell>
          <cell r="P1451" t="str">
            <v>Samuel Ekouele</v>
          </cell>
          <cell r="Q1451">
            <v>677549818</v>
          </cell>
          <cell r="R1451">
            <v>655999818</v>
          </cell>
          <cell r="S1451" t="str">
            <v>Vensa Mohammadu</v>
          </cell>
          <cell r="T1451" t="str">
            <v>GEORGES NAKHOUL</v>
          </cell>
          <cell r="U1451" t="str">
            <v>I H S</v>
          </cell>
        </row>
        <row r="1452">
          <cell r="A1452" t="str">
            <v>OST_069</v>
          </cell>
          <cell r="B1452" t="str">
            <v>IHS_DCG_020</v>
          </cell>
          <cell r="C1452" t="str">
            <v>OST_069</v>
          </cell>
          <cell r="D1452" t="str">
            <v>West</v>
          </cell>
          <cell r="E1452" t="str">
            <v>West</v>
          </cell>
          <cell r="F1452" t="str">
            <v>Bafou-Zinkop</v>
          </cell>
          <cell r="G1452" t="str">
            <v>P4</v>
          </cell>
          <cell r="H1452" t="str">
            <v>Grid-Gen</v>
          </cell>
          <cell r="I1452" t="str">
            <v>On Air</v>
          </cell>
          <cell r="J1452" t="str">
            <v>Outdoor</v>
          </cell>
          <cell r="K1452" t="str">
            <v>AC</v>
          </cell>
          <cell r="L1452" t="str">
            <v>I-Eng</v>
          </cell>
          <cell r="M1452" t="str">
            <v>Dschang</v>
          </cell>
          <cell r="N1452" t="str">
            <v>MENOUA</v>
          </cell>
          <cell r="O1452" t="str">
            <v>NKONGHNI</v>
          </cell>
          <cell r="P1452" t="str">
            <v>Samuel Ekouele</v>
          </cell>
          <cell r="Q1452">
            <v>677549818</v>
          </cell>
          <cell r="R1452">
            <v>655999818</v>
          </cell>
          <cell r="S1452" t="str">
            <v>Vensa Mohammadu</v>
          </cell>
          <cell r="T1452" t="str">
            <v>GEORGES NAKHOUL</v>
          </cell>
          <cell r="U1452" t="str">
            <v>I H S</v>
          </cell>
        </row>
        <row r="1453">
          <cell r="A1453" t="str">
            <v>OST_064</v>
          </cell>
          <cell r="B1453" t="str">
            <v>IHS_BAF_021</v>
          </cell>
          <cell r="C1453" t="str">
            <v>OST_064</v>
          </cell>
          <cell r="D1453" t="str">
            <v>West</v>
          </cell>
          <cell r="E1453" t="str">
            <v>West</v>
          </cell>
          <cell r="F1453" t="str">
            <v>Bfsam-Tougang</v>
          </cell>
          <cell r="G1453" t="str">
            <v>P4</v>
          </cell>
          <cell r="H1453" t="str">
            <v>Grid-Gen</v>
          </cell>
          <cell r="I1453" t="str">
            <v>On Air</v>
          </cell>
          <cell r="J1453" t="str">
            <v>Outdoor</v>
          </cell>
          <cell r="K1453" t="str">
            <v>AC</v>
          </cell>
          <cell r="L1453" t="str">
            <v>I-Eng</v>
          </cell>
          <cell r="M1453" t="str">
            <v>Bafoussam</v>
          </cell>
          <cell r="N1453" t="str">
            <v>MIFI</v>
          </cell>
          <cell r="O1453" t="str">
            <v>BAFOUSSAM</v>
          </cell>
          <cell r="P1453" t="str">
            <v>Samuel Ekouele</v>
          </cell>
          <cell r="Q1453">
            <v>677549818</v>
          </cell>
          <cell r="R1453">
            <v>655999818</v>
          </cell>
          <cell r="S1453" t="str">
            <v>Vensa Mohammadu</v>
          </cell>
          <cell r="T1453" t="str">
            <v>GEORGES NAKHOUL</v>
          </cell>
          <cell r="U1453" t="str">
            <v>I H S</v>
          </cell>
        </row>
        <row r="1454">
          <cell r="A1454" t="str">
            <v>OST_059</v>
          </cell>
          <cell r="B1454" t="str">
            <v>IHS_DCG_028</v>
          </cell>
          <cell r="C1454" t="str">
            <v>OST_059</v>
          </cell>
          <cell r="D1454" t="str">
            <v>West</v>
          </cell>
          <cell r="E1454" t="str">
            <v>West</v>
          </cell>
          <cell r="F1454" t="str">
            <v>Fokoue</v>
          </cell>
          <cell r="G1454" t="str">
            <v>P4</v>
          </cell>
          <cell r="H1454" t="str">
            <v>Grid-Gen</v>
          </cell>
          <cell r="I1454" t="str">
            <v>On Air</v>
          </cell>
          <cell r="J1454" t="str">
            <v>Outdoor</v>
          </cell>
          <cell r="K1454" t="str">
            <v>AC</v>
          </cell>
          <cell r="L1454" t="str">
            <v>I-Eng</v>
          </cell>
          <cell r="M1454" t="str">
            <v>Dschang</v>
          </cell>
          <cell r="N1454" t="str">
            <v>MENOUA</v>
          </cell>
          <cell r="O1454" t="str">
            <v>FOKOUE</v>
          </cell>
          <cell r="P1454" t="str">
            <v>Samuel Ekouele</v>
          </cell>
          <cell r="Q1454">
            <v>677549818</v>
          </cell>
          <cell r="R1454">
            <v>655999818</v>
          </cell>
          <cell r="S1454" t="str">
            <v>Vensa Mohammadu</v>
          </cell>
          <cell r="T1454" t="str">
            <v>GEORGES NAKHOUL</v>
          </cell>
          <cell r="U1454" t="str">
            <v>I H S</v>
          </cell>
        </row>
        <row r="1455">
          <cell r="A1455" t="str">
            <v>OST_073</v>
          </cell>
          <cell r="B1455" t="str">
            <v>IHS_DCG_100</v>
          </cell>
          <cell r="C1455" t="str">
            <v>OST_073</v>
          </cell>
          <cell r="D1455" t="str">
            <v>West</v>
          </cell>
          <cell r="E1455" t="str">
            <v>West</v>
          </cell>
          <cell r="F1455" t="str">
            <v>Nkong-Zem</v>
          </cell>
          <cell r="G1455" t="str">
            <v>P4</v>
          </cell>
          <cell r="H1455" t="str">
            <v>Grid-Gen</v>
          </cell>
          <cell r="I1455" t="str">
            <v>On Air</v>
          </cell>
          <cell r="J1455" t="str">
            <v>Outdoor</v>
          </cell>
          <cell r="K1455" t="str">
            <v>AC</v>
          </cell>
          <cell r="L1455" t="str">
            <v>I-Eng</v>
          </cell>
          <cell r="M1455" t="str">
            <v>Dschang</v>
          </cell>
          <cell r="N1455" t="str">
            <v>MENOUA</v>
          </cell>
          <cell r="O1455" t="str">
            <v>NKONGHNI</v>
          </cell>
          <cell r="P1455" t="str">
            <v>Samuel Ekouele</v>
          </cell>
          <cell r="Q1455">
            <v>677549818</v>
          </cell>
          <cell r="R1455">
            <v>655999818</v>
          </cell>
          <cell r="S1455" t="str">
            <v>Vensa Mohammadu</v>
          </cell>
          <cell r="T1455" t="str">
            <v>GEORGES NAKHOUL</v>
          </cell>
          <cell r="U1455" t="str">
            <v>I H S</v>
          </cell>
        </row>
        <row r="1456">
          <cell r="A1456" t="str">
            <v>OST_060</v>
          </cell>
          <cell r="B1456" t="str">
            <v>IHS_MBD_008</v>
          </cell>
          <cell r="C1456" t="str">
            <v>OST_060</v>
          </cell>
          <cell r="D1456" t="str">
            <v>West</v>
          </cell>
          <cell r="E1456" t="str">
            <v>West</v>
          </cell>
          <cell r="F1456" t="str">
            <v>Babadjou</v>
          </cell>
          <cell r="G1456" t="str">
            <v>P4</v>
          </cell>
          <cell r="H1456" t="str">
            <v>Grid-Gen</v>
          </cell>
          <cell r="I1456" t="str">
            <v>On Air</v>
          </cell>
          <cell r="J1456" t="str">
            <v>Outdoor</v>
          </cell>
          <cell r="K1456" t="str">
            <v>AC</v>
          </cell>
          <cell r="L1456" t="str">
            <v>I-Eng</v>
          </cell>
          <cell r="M1456" t="str">
            <v>Bafoussam</v>
          </cell>
          <cell r="N1456" t="str">
            <v>BAMBOUTOUS</v>
          </cell>
          <cell r="O1456" t="str">
            <v>BABADJOU</v>
          </cell>
          <cell r="P1456" t="str">
            <v>Samuel Ekouele</v>
          </cell>
          <cell r="Q1456">
            <v>677549818</v>
          </cell>
          <cell r="R1456">
            <v>655999818</v>
          </cell>
          <cell r="S1456" t="str">
            <v>Vensa Mohammadu</v>
          </cell>
          <cell r="T1456" t="str">
            <v>GEORGES NAKHOUL</v>
          </cell>
          <cell r="U1456" t="str">
            <v>I H S</v>
          </cell>
        </row>
        <row r="1457">
          <cell r="A1457" t="str">
            <v>OST_063</v>
          </cell>
          <cell r="B1457" t="str">
            <v>IHS_BAF_027</v>
          </cell>
          <cell r="C1457" t="str">
            <v>OST_063</v>
          </cell>
          <cell r="D1457" t="str">
            <v>West</v>
          </cell>
          <cell r="E1457" t="str">
            <v>West</v>
          </cell>
          <cell r="F1457" t="str">
            <v>Bfsam-Baleng</v>
          </cell>
          <cell r="G1457" t="str">
            <v>P4</v>
          </cell>
          <cell r="H1457" t="str">
            <v>Grid-Gen</v>
          </cell>
          <cell r="I1457" t="str">
            <v>On Air</v>
          </cell>
          <cell r="J1457" t="str">
            <v>Outdoor</v>
          </cell>
          <cell r="K1457" t="str">
            <v>AC</v>
          </cell>
          <cell r="L1457" t="str">
            <v>I-Eng</v>
          </cell>
          <cell r="M1457" t="str">
            <v>Bafoussam</v>
          </cell>
          <cell r="N1457" t="str">
            <v>MIFI</v>
          </cell>
          <cell r="O1457" t="str">
            <v>BAFOUSSAM</v>
          </cell>
          <cell r="P1457" t="str">
            <v>Samuel Ekouele</v>
          </cell>
          <cell r="Q1457">
            <v>677549818</v>
          </cell>
          <cell r="R1457">
            <v>655999818</v>
          </cell>
          <cell r="S1457" t="str">
            <v>Vensa Mohammadu</v>
          </cell>
          <cell r="T1457" t="str">
            <v>GEORGES NAKHOUL</v>
          </cell>
          <cell r="U1457" t="str">
            <v>I H S</v>
          </cell>
        </row>
        <row r="1458">
          <cell r="A1458" t="str">
            <v>OST_065</v>
          </cell>
          <cell r="B1458" t="str">
            <v>IHS_BAF_006</v>
          </cell>
          <cell r="C1458" t="str">
            <v>OST_065</v>
          </cell>
          <cell r="D1458" t="str">
            <v>West</v>
          </cell>
          <cell r="E1458" t="str">
            <v>West</v>
          </cell>
          <cell r="F1458" t="str">
            <v>bfsam-Kouogouo</v>
          </cell>
          <cell r="G1458" t="str">
            <v>P4</v>
          </cell>
          <cell r="H1458" t="str">
            <v>Grid-Gen</v>
          </cell>
          <cell r="I1458" t="str">
            <v>On Air</v>
          </cell>
          <cell r="J1458" t="str">
            <v>Outdoor</v>
          </cell>
          <cell r="K1458" t="str">
            <v>AC</v>
          </cell>
          <cell r="L1458" t="str">
            <v>I-Eng</v>
          </cell>
          <cell r="M1458" t="str">
            <v>Bafoussam</v>
          </cell>
          <cell r="N1458" t="str">
            <v>MIFI</v>
          </cell>
          <cell r="O1458" t="str">
            <v>BAFOUSSAM</v>
          </cell>
          <cell r="P1458" t="str">
            <v>Samuel Ekouele</v>
          </cell>
          <cell r="Q1458">
            <v>677549818</v>
          </cell>
          <cell r="R1458">
            <v>655999818</v>
          </cell>
          <cell r="S1458" t="str">
            <v>Vensa Mohammadu</v>
          </cell>
          <cell r="T1458" t="str">
            <v>GEORGES NAKHOUL</v>
          </cell>
          <cell r="U1458" t="str">
            <v>I H S</v>
          </cell>
        </row>
        <row r="1459">
          <cell r="A1459" t="str">
            <v>OST_100</v>
          </cell>
          <cell r="B1459" t="str">
            <v>IHS_BAF_010</v>
          </cell>
          <cell r="C1459" t="str">
            <v>OST_100</v>
          </cell>
          <cell r="D1459" t="str">
            <v>West</v>
          </cell>
          <cell r="E1459" t="str">
            <v>West</v>
          </cell>
          <cell r="F1459" t="str">
            <v>Bfsam-Q-Haoussa</v>
          </cell>
          <cell r="G1459" t="str">
            <v>P4</v>
          </cell>
          <cell r="H1459" t="str">
            <v>Grid-Gen</v>
          </cell>
          <cell r="I1459" t="str">
            <v>On Air</v>
          </cell>
          <cell r="J1459" t="str">
            <v>Outdoor</v>
          </cell>
          <cell r="K1459" t="str">
            <v>AC</v>
          </cell>
          <cell r="L1459" t="str">
            <v>I-Eng</v>
          </cell>
          <cell r="M1459" t="str">
            <v>Bafoussam</v>
          </cell>
          <cell r="N1459" t="str">
            <v>MIFI</v>
          </cell>
          <cell r="O1459" t="str">
            <v>BAFOUSSAM</v>
          </cell>
          <cell r="P1459" t="str">
            <v>Samuel Ekouele</v>
          </cell>
          <cell r="Q1459">
            <v>677549818</v>
          </cell>
          <cell r="R1459">
            <v>655999818</v>
          </cell>
          <cell r="S1459" t="str">
            <v>Vensa Mohammadu</v>
          </cell>
          <cell r="T1459" t="str">
            <v>GEORGES NAKHOUL</v>
          </cell>
          <cell r="U1459" t="str">
            <v>I H S</v>
          </cell>
        </row>
        <row r="1460">
          <cell r="A1460" t="str">
            <v>OST_066</v>
          </cell>
          <cell r="B1460" t="str">
            <v>IHS_BAF_009</v>
          </cell>
          <cell r="C1460" t="str">
            <v>OST_066</v>
          </cell>
          <cell r="D1460" t="str">
            <v>West</v>
          </cell>
          <cell r="E1460" t="str">
            <v>West</v>
          </cell>
          <cell r="F1460" t="str">
            <v>Bfsam-Eveche-Carrefour</v>
          </cell>
          <cell r="G1460" t="str">
            <v>P4</v>
          </cell>
          <cell r="H1460" t="str">
            <v>Grid-Gen</v>
          </cell>
          <cell r="I1460" t="str">
            <v>On Air</v>
          </cell>
          <cell r="J1460" t="str">
            <v>Outdoor</v>
          </cell>
          <cell r="K1460" t="str">
            <v>AC</v>
          </cell>
          <cell r="L1460" t="str">
            <v>I-Eng</v>
          </cell>
          <cell r="M1460" t="str">
            <v>Bafoussam</v>
          </cell>
          <cell r="N1460" t="str">
            <v>MIFI</v>
          </cell>
          <cell r="O1460" t="str">
            <v>BAFOUSSAM</v>
          </cell>
          <cell r="P1460" t="str">
            <v>Samuel Ekouele</v>
          </cell>
          <cell r="Q1460">
            <v>677549818</v>
          </cell>
          <cell r="R1460">
            <v>655999818</v>
          </cell>
          <cell r="S1460" t="str">
            <v>Vensa Mohammadu</v>
          </cell>
          <cell r="T1460" t="str">
            <v>GEORGES NAKHOUL</v>
          </cell>
          <cell r="U1460" t="str">
            <v>I H S</v>
          </cell>
        </row>
        <row r="1461">
          <cell r="A1461" t="str">
            <v>OST_038</v>
          </cell>
          <cell r="B1461" t="str">
            <v>IHS_DCG_029</v>
          </cell>
          <cell r="C1461" t="str">
            <v>OST_038</v>
          </cell>
          <cell r="D1461" t="str">
            <v>West</v>
          </cell>
          <cell r="E1461" t="str">
            <v>West</v>
          </cell>
          <cell r="F1461" t="str">
            <v>Santchou</v>
          </cell>
          <cell r="G1461" t="str">
            <v>P4</v>
          </cell>
          <cell r="H1461" t="str">
            <v>Grid-Gen</v>
          </cell>
          <cell r="I1461" t="str">
            <v>On Air</v>
          </cell>
          <cell r="J1461" t="str">
            <v>Outdoor</v>
          </cell>
          <cell r="K1461" t="str">
            <v>AC</v>
          </cell>
          <cell r="L1461" t="str">
            <v>I-Eng</v>
          </cell>
          <cell r="M1461" t="str">
            <v>Dschang</v>
          </cell>
          <cell r="N1461" t="str">
            <v>MENOUA</v>
          </cell>
          <cell r="O1461" t="str">
            <v>SANTCHOU</v>
          </cell>
          <cell r="P1461" t="str">
            <v>Samuel Ekouele</v>
          </cell>
          <cell r="Q1461">
            <v>677549818</v>
          </cell>
          <cell r="R1461">
            <v>655999818</v>
          </cell>
          <cell r="S1461" t="str">
            <v>Vensa Mohammadu</v>
          </cell>
          <cell r="T1461" t="str">
            <v>GEORGES NAKHOUL</v>
          </cell>
          <cell r="U1461" t="str">
            <v>I H S</v>
          </cell>
        </row>
        <row r="1462">
          <cell r="A1462" t="str">
            <v>OST_071</v>
          </cell>
          <cell r="B1462" t="str">
            <v>IHS_MBD_002</v>
          </cell>
          <cell r="C1462" t="str">
            <v>OST_071</v>
          </cell>
          <cell r="D1462" t="str">
            <v>West</v>
          </cell>
          <cell r="E1462" t="str">
            <v>West</v>
          </cell>
          <cell r="F1462" t="str">
            <v>Mbouda-Lepi</v>
          </cell>
          <cell r="G1462" t="str">
            <v>P4</v>
          </cell>
          <cell r="H1462" t="str">
            <v>Grid-Gen</v>
          </cell>
          <cell r="I1462" t="str">
            <v>On Air</v>
          </cell>
          <cell r="J1462" t="str">
            <v>Outdoor</v>
          </cell>
          <cell r="K1462" t="str">
            <v>AC</v>
          </cell>
          <cell r="L1462" t="str">
            <v>I-Eng</v>
          </cell>
          <cell r="M1462" t="str">
            <v>Bafoussam</v>
          </cell>
          <cell r="N1462" t="str">
            <v>BAMBOUTOUS</v>
          </cell>
          <cell r="O1462" t="str">
            <v>MBOUDA</v>
          </cell>
          <cell r="P1462" t="str">
            <v>Samuel Ekouele</v>
          </cell>
          <cell r="Q1462">
            <v>677549818</v>
          </cell>
          <cell r="R1462">
            <v>655999818</v>
          </cell>
          <cell r="S1462" t="str">
            <v>Vensa Mohammadu</v>
          </cell>
          <cell r="T1462" t="str">
            <v>GEORGES NAKHOUL</v>
          </cell>
          <cell r="U1462" t="str">
            <v>I H S</v>
          </cell>
        </row>
        <row r="1463">
          <cell r="A1463" t="str">
            <v>OST_109</v>
          </cell>
          <cell r="B1463" t="str">
            <v>IHS_BMD_093</v>
          </cell>
          <cell r="C1463" t="str">
            <v>OST_109</v>
          </cell>
          <cell r="D1463" t="str">
            <v>West</v>
          </cell>
          <cell r="E1463" t="str">
            <v>West</v>
          </cell>
          <cell r="F1463" t="str">
            <v>Bfsam-Akwa</v>
          </cell>
          <cell r="G1463" t="str">
            <v>P4</v>
          </cell>
          <cell r="H1463" t="str">
            <v>Grid Only</v>
          </cell>
          <cell r="I1463" t="str">
            <v>On Air</v>
          </cell>
          <cell r="J1463" t="str">
            <v>Outdoor</v>
          </cell>
          <cell r="K1463" t="str">
            <v>AC</v>
          </cell>
          <cell r="L1463" t="str">
            <v>I-Eng</v>
          </cell>
          <cell r="M1463" t="str">
            <v>Bafoussam</v>
          </cell>
          <cell r="N1463" t="str">
            <v>MIFI</v>
          </cell>
          <cell r="O1463" t="str">
            <v>BAFOUSSAM</v>
          </cell>
          <cell r="P1463" t="str">
            <v>Samuel Ekouele</v>
          </cell>
          <cell r="Q1463">
            <v>677549818</v>
          </cell>
          <cell r="R1463">
            <v>655999818</v>
          </cell>
          <cell r="S1463" t="str">
            <v>Vensa Mohammadu</v>
          </cell>
          <cell r="T1463" t="str">
            <v>GEORGES NAKHOUL</v>
          </cell>
          <cell r="U1463" t="str">
            <v>I H S</v>
          </cell>
        </row>
        <row r="1464">
          <cell r="A1464" t="str">
            <v>OST_110</v>
          </cell>
          <cell r="B1464" t="str">
            <v>IHS_BAF_008</v>
          </cell>
          <cell r="C1464" t="str">
            <v>OST_110</v>
          </cell>
          <cell r="D1464" t="str">
            <v>West</v>
          </cell>
          <cell r="E1464" t="str">
            <v>West</v>
          </cell>
          <cell r="F1464" t="str">
            <v>Bfsam-Stade</v>
          </cell>
          <cell r="G1464" t="str">
            <v>P4</v>
          </cell>
          <cell r="H1464" t="str">
            <v>Grid Only</v>
          </cell>
          <cell r="I1464" t="str">
            <v>On Air</v>
          </cell>
          <cell r="J1464" t="str">
            <v>Outdoor</v>
          </cell>
          <cell r="K1464" t="str">
            <v>AC</v>
          </cell>
          <cell r="L1464" t="str">
            <v>I-Eng</v>
          </cell>
          <cell r="M1464" t="str">
            <v>Bafoussam</v>
          </cell>
          <cell r="N1464" t="str">
            <v>MIFI</v>
          </cell>
          <cell r="O1464" t="str">
            <v>BAFOUSSAM</v>
          </cell>
          <cell r="P1464" t="str">
            <v>Samuel Ekouele</v>
          </cell>
          <cell r="Q1464">
            <v>677549818</v>
          </cell>
          <cell r="R1464">
            <v>655999818</v>
          </cell>
          <cell r="S1464" t="str">
            <v>Vensa Mohammadu</v>
          </cell>
          <cell r="T1464" t="str">
            <v>GEORGES NAKHOUL</v>
          </cell>
          <cell r="U1464" t="str">
            <v>I H S</v>
          </cell>
        </row>
        <row r="1465">
          <cell r="A1465" t="str">
            <v>OST_170</v>
          </cell>
          <cell r="B1465" t="str">
            <v>IHS_BAF_310</v>
          </cell>
          <cell r="C1465" t="str">
            <v>OST_170</v>
          </cell>
          <cell r="D1465" t="str">
            <v>West</v>
          </cell>
          <cell r="E1465" t="str">
            <v>West</v>
          </cell>
          <cell r="F1465" t="str">
            <v>Bfsam Centre II</v>
          </cell>
          <cell r="G1465" t="str">
            <v>P4</v>
          </cell>
          <cell r="H1465" t="str">
            <v>Grid Only</v>
          </cell>
          <cell r="I1465" t="str">
            <v>On Air</v>
          </cell>
          <cell r="J1465" t="str">
            <v>Outdoor</v>
          </cell>
          <cell r="K1465" t="str">
            <v>AC</v>
          </cell>
          <cell r="L1465" t="str">
            <v>I-Eng</v>
          </cell>
          <cell r="M1465" t="str">
            <v>Bafoussam</v>
          </cell>
          <cell r="N1465" t="str">
            <v>MIFI</v>
          </cell>
          <cell r="O1465" t="str">
            <v>BAFOUSSAM</v>
          </cell>
          <cell r="P1465" t="str">
            <v>Samuel Ekouele</v>
          </cell>
          <cell r="Q1465">
            <v>677549818</v>
          </cell>
          <cell r="R1465">
            <v>655999818</v>
          </cell>
          <cell r="S1465" t="str">
            <v>Vensa Mohammadu</v>
          </cell>
          <cell r="T1465" t="str">
            <v>GEORGES NAKHOUL</v>
          </cell>
          <cell r="U1465" t="str">
            <v>I H S</v>
          </cell>
        </row>
        <row r="1466">
          <cell r="A1466" t="str">
            <v>OST_120</v>
          </cell>
          <cell r="B1466" t="str">
            <v>IHS_BAF_024</v>
          </cell>
          <cell r="C1466" t="str">
            <v>OST_120</v>
          </cell>
          <cell r="D1466" t="str">
            <v>West</v>
          </cell>
          <cell r="E1466" t="str">
            <v>West</v>
          </cell>
          <cell r="F1466" t="str">
            <v>Bfsam-Dienso</v>
          </cell>
          <cell r="G1466" t="str">
            <v>P4</v>
          </cell>
          <cell r="H1466" t="str">
            <v>Grid Only</v>
          </cell>
          <cell r="I1466" t="str">
            <v>On Air</v>
          </cell>
          <cell r="J1466" t="str">
            <v>Outdoor</v>
          </cell>
          <cell r="K1466" t="str">
            <v>AC</v>
          </cell>
          <cell r="L1466" t="str">
            <v>I-Eng</v>
          </cell>
          <cell r="M1466" t="str">
            <v>Bafoussam</v>
          </cell>
          <cell r="N1466" t="str">
            <v>MIFI</v>
          </cell>
          <cell r="O1466" t="str">
            <v>BAFOUSSAM</v>
          </cell>
          <cell r="P1466" t="str">
            <v>Samuel Ekouele</v>
          </cell>
          <cell r="Q1466">
            <v>677549818</v>
          </cell>
          <cell r="R1466">
            <v>655999818</v>
          </cell>
          <cell r="S1466" t="str">
            <v>Vensa Mohammadu</v>
          </cell>
          <cell r="T1466" t="str">
            <v>GEORGES NAKHOUL</v>
          </cell>
          <cell r="U1466" t="str">
            <v>I H S</v>
          </cell>
        </row>
        <row r="1467">
          <cell r="A1467" t="str">
            <v>OST_119</v>
          </cell>
          <cell r="B1467" t="str">
            <v>IHS_BAF_018</v>
          </cell>
          <cell r="C1467" t="str">
            <v>OST_119</v>
          </cell>
          <cell r="D1467" t="str">
            <v>West</v>
          </cell>
          <cell r="E1467" t="str">
            <v>West</v>
          </cell>
          <cell r="F1467" t="str">
            <v>Bfsam Ndiandam</v>
          </cell>
          <cell r="G1467" t="str">
            <v>P4</v>
          </cell>
          <cell r="H1467" t="str">
            <v>Grid Only</v>
          </cell>
          <cell r="I1467" t="str">
            <v>On Air</v>
          </cell>
          <cell r="J1467" t="str">
            <v>Outdoor</v>
          </cell>
          <cell r="K1467" t="str">
            <v>AC</v>
          </cell>
          <cell r="L1467" t="str">
            <v>I-Eng</v>
          </cell>
          <cell r="M1467" t="str">
            <v>Bafoussam</v>
          </cell>
          <cell r="N1467" t="str">
            <v>MIFI</v>
          </cell>
          <cell r="O1467" t="str">
            <v>BAFOUSSAM</v>
          </cell>
          <cell r="P1467" t="str">
            <v>Samuel Ekouele</v>
          </cell>
          <cell r="Q1467">
            <v>677549818</v>
          </cell>
          <cell r="R1467">
            <v>655999818</v>
          </cell>
          <cell r="S1467" t="str">
            <v>Vensa Mohammadu</v>
          </cell>
          <cell r="T1467" t="str">
            <v>GEORGES NAKHOUL</v>
          </cell>
          <cell r="U1467" t="str">
            <v>I H S</v>
          </cell>
        </row>
        <row r="1468">
          <cell r="A1468" t="str">
            <v>OST_002</v>
          </cell>
          <cell r="B1468" t="str">
            <v>IHS_BAF_020</v>
          </cell>
          <cell r="C1468" t="str">
            <v>OST_002</v>
          </cell>
          <cell r="D1468" t="str">
            <v>West</v>
          </cell>
          <cell r="E1468" t="str">
            <v>West</v>
          </cell>
          <cell r="F1468" t="str">
            <v>bfsam-Kamkouop</v>
          </cell>
          <cell r="G1468" t="str">
            <v>P4</v>
          </cell>
          <cell r="H1468" t="str">
            <v>Grid-Gen</v>
          </cell>
          <cell r="I1468" t="str">
            <v>On Air</v>
          </cell>
          <cell r="J1468" t="str">
            <v>Indoor</v>
          </cell>
          <cell r="K1468" t="str">
            <v>AC</v>
          </cell>
          <cell r="L1468" t="str">
            <v>I-Eng</v>
          </cell>
          <cell r="M1468" t="str">
            <v>Bafoussam</v>
          </cell>
          <cell r="N1468" t="str">
            <v>MIFI</v>
          </cell>
          <cell r="O1468" t="str">
            <v>BAFOUSSAM</v>
          </cell>
          <cell r="P1468" t="str">
            <v>Samuel Ekouele</v>
          </cell>
          <cell r="Q1468">
            <v>677549818</v>
          </cell>
          <cell r="R1468">
            <v>655999818</v>
          </cell>
          <cell r="S1468" t="str">
            <v>Vensa Mohammadu</v>
          </cell>
          <cell r="T1468" t="str">
            <v>GEORGES NAKHOUL</v>
          </cell>
          <cell r="U1468" t="str">
            <v>I H S</v>
          </cell>
        </row>
        <row r="1469">
          <cell r="A1469" t="str">
            <v>OST_107</v>
          </cell>
          <cell r="B1469" t="str">
            <v>IHS_BAF_005</v>
          </cell>
          <cell r="C1469" t="str">
            <v>OST_107</v>
          </cell>
          <cell r="D1469" t="str">
            <v>West</v>
          </cell>
          <cell r="E1469" t="str">
            <v>West</v>
          </cell>
          <cell r="F1469" t="str">
            <v>Bfsam-Nylon</v>
          </cell>
          <cell r="G1469" t="str">
            <v>P4</v>
          </cell>
          <cell r="H1469" t="str">
            <v>Grid-Gen</v>
          </cell>
          <cell r="I1469" t="str">
            <v>On Air</v>
          </cell>
          <cell r="J1469" t="str">
            <v>Outdoor</v>
          </cell>
          <cell r="K1469" t="str">
            <v>AC</v>
          </cell>
          <cell r="L1469" t="str">
            <v>I-Eng</v>
          </cell>
          <cell r="M1469" t="str">
            <v>Bafoussam</v>
          </cell>
          <cell r="N1469" t="str">
            <v>MIFI</v>
          </cell>
          <cell r="O1469" t="str">
            <v>BAFOUSSAM</v>
          </cell>
          <cell r="P1469" t="str">
            <v>Samuel Ekouele</v>
          </cell>
          <cell r="Q1469">
            <v>677549818</v>
          </cell>
          <cell r="R1469">
            <v>655999818</v>
          </cell>
          <cell r="S1469" t="str">
            <v>Vensa Mohammadu</v>
          </cell>
          <cell r="T1469" t="str">
            <v>GEORGES NAKHOUL</v>
          </cell>
          <cell r="U1469" t="str">
            <v>I H S</v>
          </cell>
        </row>
        <row r="1470">
          <cell r="A1470" t="str">
            <v>OST_134</v>
          </cell>
          <cell r="B1470" t="str">
            <v>IHS_BAF_100</v>
          </cell>
          <cell r="C1470" t="str">
            <v>OST_134</v>
          </cell>
          <cell r="D1470" t="str">
            <v>West</v>
          </cell>
          <cell r="E1470" t="str">
            <v>West</v>
          </cell>
          <cell r="F1470" t="str">
            <v>Bfsam-Gabon-Bar (Bfsam-Brasserie)</v>
          </cell>
          <cell r="G1470" t="str">
            <v>P4</v>
          </cell>
          <cell r="H1470" t="str">
            <v>Grid-Gen</v>
          </cell>
          <cell r="I1470" t="str">
            <v>On Air</v>
          </cell>
          <cell r="J1470" t="str">
            <v>Outdoor</v>
          </cell>
          <cell r="K1470" t="str">
            <v>AC</v>
          </cell>
          <cell r="L1470" t="str">
            <v>I-Eng</v>
          </cell>
          <cell r="M1470" t="str">
            <v>Bafoussam</v>
          </cell>
          <cell r="N1470" t="str">
            <v>MIFI</v>
          </cell>
          <cell r="O1470" t="str">
            <v>BAFOUSSAM</v>
          </cell>
          <cell r="P1470" t="str">
            <v>Samuel Ekouele</v>
          </cell>
          <cell r="Q1470">
            <v>677549818</v>
          </cell>
          <cell r="R1470">
            <v>655999818</v>
          </cell>
          <cell r="S1470" t="str">
            <v>Vensa Mohammadu</v>
          </cell>
          <cell r="T1470" t="str">
            <v>GEORGES NAKHOUL</v>
          </cell>
          <cell r="U1470" t="str">
            <v>I H S</v>
          </cell>
        </row>
        <row r="1471">
          <cell r="A1471" t="str">
            <v>OST_078</v>
          </cell>
          <cell r="B1471" t="str">
            <v>IHS_BAF_002</v>
          </cell>
          <cell r="C1471" t="str">
            <v>OST_078</v>
          </cell>
          <cell r="D1471" t="str">
            <v>West</v>
          </cell>
          <cell r="E1471" t="str">
            <v>West</v>
          </cell>
          <cell r="F1471" t="str">
            <v>Bfsam-Centre</v>
          </cell>
          <cell r="G1471" t="str">
            <v>P4</v>
          </cell>
          <cell r="H1471" t="str">
            <v>Grid Only</v>
          </cell>
          <cell r="I1471" t="str">
            <v>On Air</v>
          </cell>
          <cell r="J1471" t="str">
            <v>Indoor</v>
          </cell>
          <cell r="K1471" t="str">
            <v>AC</v>
          </cell>
          <cell r="L1471" t="str">
            <v>I-Eng</v>
          </cell>
          <cell r="M1471" t="str">
            <v>Bafoussam</v>
          </cell>
          <cell r="N1471" t="str">
            <v>MIFI</v>
          </cell>
          <cell r="O1471" t="str">
            <v>BAFOUSSAM</v>
          </cell>
          <cell r="P1471" t="str">
            <v>Samuel Ekouele</v>
          </cell>
          <cell r="Q1471">
            <v>677549818</v>
          </cell>
          <cell r="R1471">
            <v>655999818</v>
          </cell>
          <cell r="S1471" t="str">
            <v>Vensa Mohammadu</v>
          </cell>
          <cell r="T1471" t="str">
            <v>GEORGES NAKHOUL</v>
          </cell>
          <cell r="U1471" t="str">
            <v>I H S</v>
          </cell>
        </row>
        <row r="1472">
          <cell r="A1472" t="str">
            <v>OST_210</v>
          </cell>
          <cell r="B1472" t="str">
            <v>IHS_BAF_105</v>
          </cell>
          <cell r="C1472" t="str">
            <v>OST_210</v>
          </cell>
          <cell r="D1472" t="str">
            <v>West</v>
          </cell>
          <cell r="E1472" t="str">
            <v>West</v>
          </cell>
          <cell r="F1472" t="str">
            <v>PENKA MICHEL</v>
          </cell>
          <cell r="G1472" t="str">
            <v>P4</v>
          </cell>
          <cell r="H1472" t="str">
            <v>Grid-Gen</v>
          </cell>
          <cell r="I1472" t="str">
            <v>On Air</v>
          </cell>
          <cell r="J1472" t="str">
            <v>Outdoor</v>
          </cell>
          <cell r="K1472" t="str">
            <v>AC</v>
          </cell>
          <cell r="L1472" t="str">
            <v>I-Eng</v>
          </cell>
          <cell r="M1472" t="str">
            <v>Dschang</v>
          </cell>
          <cell r="N1472" t="str">
            <v>MENOUA</v>
          </cell>
          <cell r="O1472" t="str">
            <v>PENKA MICHEL</v>
          </cell>
          <cell r="P1472" t="str">
            <v>Samuel Ekouele</v>
          </cell>
          <cell r="Q1472">
            <v>677549818</v>
          </cell>
          <cell r="R1472">
            <v>655999818</v>
          </cell>
          <cell r="S1472" t="str">
            <v>Vensa Mohammadu</v>
          </cell>
          <cell r="T1472" t="str">
            <v>GEORGES NAKHOUL</v>
          </cell>
          <cell r="U1472" t="str">
            <v>I H S</v>
          </cell>
        </row>
        <row r="1473">
          <cell r="A1473" t="str">
            <v>NRO_087</v>
          </cell>
          <cell r="B1473" t="str">
            <v>IHS_KMB_120</v>
          </cell>
          <cell r="C1473" t="str">
            <v>NRO_087</v>
          </cell>
          <cell r="D1473" t="str">
            <v>West</v>
          </cell>
          <cell r="E1473" t="str">
            <v>West</v>
          </cell>
          <cell r="F1473" t="str">
            <v>Mendji</v>
          </cell>
          <cell r="G1473" t="str">
            <v>P4</v>
          </cell>
          <cell r="H1473" t="str">
            <v>Hybrid-Gen</v>
          </cell>
          <cell r="I1473" t="str">
            <v>On Air</v>
          </cell>
          <cell r="J1473" t="str">
            <v>Outdoor</v>
          </cell>
          <cell r="K1473" t="str">
            <v>AC</v>
          </cell>
          <cell r="L1473" t="str">
            <v>I-Eng</v>
          </cell>
          <cell r="M1473" t="str">
            <v>Dschang</v>
          </cell>
          <cell r="N1473" t="str">
            <v>LEBIALEM</v>
          </cell>
          <cell r="O1473" t="str">
            <v>MENDJI</v>
          </cell>
          <cell r="P1473" t="str">
            <v>Samuel Ekouele</v>
          </cell>
          <cell r="Q1473">
            <v>677549818</v>
          </cell>
          <cell r="R1473">
            <v>655999818</v>
          </cell>
          <cell r="S1473" t="str">
            <v>Vensa Mohammadu</v>
          </cell>
          <cell r="T1473" t="str">
            <v>GEORGES NAKHOUL</v>
          </cell>
          <cell r="U1473" t="str">
            <v>I H S</v>
          </cell>
        </row>
        <row r="1474">
          <cell r="A1474" t="str">
            <v>OST_162</v>
          </cell>
          <cell r="B1474" t="str">
            <v>IHS_BAF_042</v>
          </cell>
          <cell r="C1474" t="str">
            <v>OST_162</v>
          </cell>
          <cell r="D1474" t="str">
            <v>West</v>
          </cell>
          <cell r="E1474" t="str">
            <v>West</v>
          </cell>
          <cell r="F1474" t="str">
            <v>Bameka</v>
          </cell>
          <cell r="G1474" t="str">
            <v>P4</v>
          </cell>
          <cell r="H1474" t="str">
            <v>Grid-Gen</v>
          </cell>
          <cell r="I1474" t="str">
            <v>On Air</v>
          </cell>
          <cell r="J1474" t="str">
            <v>Outdoor</v>
          </cell>
          <cell r="K1474" t="str">
            <v>AC</v>
          </cell>
          <cell r="L1474" t="str">
            <v>I-Eng</v>
          </cell>
          <cell r="M1474" t="str">
            <v>Bafoussam</v>
          </cell>
          <cell r="N1474" t="str">
            <v>HAUTS-PLATEAUX</v>
          </cell>
          <cell r="O1474" t="str">
            <v>BAMENDJOU</v>
          </cell>
          <cell r="P1474" t="str">
            <v>Samuel Ekouele</v>
          </cell>
          <cell r="Q1474">
            <v>677549818</v>
          </cell>
          <cell r="R1474">
            <v>655999818</v>
          </cell>
          <cell r="S1474" t="str">
            <v>Vensa Mohammadu</v>
          </cell>
          <cell r="T1474" t="str">
            <v>GEORGES NAKHOUL</v>
          </cell>
          <cell r="U1474" t="str">
            <v>I H S</v>
          </cell>
        </row>
        <row r="1475">
          <cell r="A1475" t="str">
            <v>OST_267</v>
          </cell>
          <cell r="B1475" t="str">
            <v>IHS_DCG_017</v>
          </cell>
          <cell r="C1475" t="str">
            <v>OST_267</v>
          </cell>
          <cell r="D1475" t="str">
            <v>West</v>
          </cell>
          <cell r="E1475" t="str">
            <v>West</v>
          </cell>
          <cell r="F1475" t="str">
            <v>Dschang Lycee Technique-IHS</v>
          </cell>
          <cell r="G1475" t="str">
            <v>P4</v>
          </cell>
          <cell r="H1475" t="str">
            <v>Grid-Gen</v>
          </cell>
          <cell r="I1475" t="str">
            <v>On Air</v>
          </cell>
          <cell r="J1475" t="str">
            <v>Outdoor</v>
          </cell>
          <cell r="K1475" t="str">
            <v>AC</v>
          </cell>
          <cell r="L1475" t="str">
            <v>I-Eng</v>
          </cell>
          <cell r="M1475" t="str">
            <v>Dschang</v>
          </cell>
          <cell r="N1475" t="str">
            <v>MENOUA</v>
          </cell>
          <cell r="O1475" t="str">
            <v>DSCHANG</v>
          </cell>
          <cell r="P1475" t="str">
            <v>Samuel Ekouele</v>
          </cell>
          <cell r="Q1475">
            <v>677549818</v>
          </cell>
          <cell r="R1475">
            <v>655999818</v>
          </cell>
          <cell r="S1475" t="str">
            <v>Vensa Mohammadu</v>
          </cell>
          <cell r="T1475" t="str">
            <v>GEORGES NAKHOUL</v>
          </cell>
          <cell r="U1475" t="str">
            <v>I H S</v>
          </cell>
        </row>
        <row r="1476">
          <cell r="A1476" t="str">
            <v>SUO_133</v>
          </cell>
          <cell r="B1476" t="str">
            <v>IHS_KMB_072</v>
          </cell>
          <cell r="C1476" t="str">
            <v>SUO_133</v>
          </cell>
          <cell r="D1476" t="str">
            <v>West</v>
          </cell>
          <cell r="E1476" t="str">
            <v>West</v>
          </cell>
          <cell r="F1476" t="str">
            <v>Alou</v>
          </cell>
          <cell r="G1476" t="str">
            <v>P4</v>
          </cell>
          <cell r="H1476" t="str">
            <v>Grid-Gen</v>
          </cell>
          <cell r="I1476" t="str">
            <v>On Air</v>
          </cell>
          <cell r="J1476" t="str">
            <v>Indoor</v>
          </cell>
          <cell r="K1476" t="str">
            <v>AC</v>
          </cell>
          <cell r="L1476" t="str">
            <v>I-Eng</v>
          </cell>
          <cell r="M1476" t="str">
            <v>Dschang</v>
          </cell>
          <cell r="N1476" t="str">
            <v>LEBIALEM</v>
          </cell>
          <cell r="O1476" t="str">
            <v>ALOU</v>
          </cell>
          <cell r="P1476" t="str">
            <v>Samuel Ekouele</v>
          </cell>
          <cell r="Q1476">
            <v>677549818</v>
          </cell>
          <cell r="R1476">
            <v>655999818</v>
          </cell>
          <cell r="S1476" t="str">
            <v>Vensa Mohammadu</v>
          </cell>
          <cell r="T1476" t="str">
            <v>GEORGES NAKHOUL</v>
          </cell>
          <cell r="U1476" t="str">
            <v>I H S</v>
          </cell>
        </row>
        <row r="1477">
          <cell r="A1477" t="str">
            <v>OST_172</v>
          </cell>
          <cell r="B1477" t="str">
            <v>IHS_BAF_011</v>
          </cell>
          <cell r="C1477" t="str">
            <v>OST_172</v>
          </cell>
          <cell r="D1477" t="str">
            <v>West</v>
          </cell>
          <cell r="E1477" t="str">
            <v>West</v>
          </cell>
          <cell r="F1477" t="str">
            <v>Bfsam Water Tower</v>
          </cell>
          <cell r="G1477" t="str">
            <v>P4</v>
          </cell>
          <cell r="H1477" t="str">
            <v>Grid-Gen</v>
          </cell>
          <cell r="I1477" t="str">
            <v>On Air</v>
          </cell>
          <cell r="J1477" t="str">
            <v>Indoor</v>
          </cell>
          <cell r="K1477" t="str">
            <v>AC</v>
          </cell>
          <cell r="L1477" t="str">
            <v>I-Eng</v>
          </cell>
          <cell r="M1477" t="str">
            <v>Bafoussam</v>
          </cell>
          <cell r="N1477" t="str">
            <v>MIFI</v>
          </cell>
          <cell r="O1477" t="str">
            <v>BAFOUSSAM</v>
          </cell>
          <cell r="P1477" t="str">
            <v>Samuel Ekouele</v>
          </cell>
          <cell r="Q1477">
            <v>677549818</v>
          </cell>
          <cell r="R1477">
            <v>655999818</v>
          </cell>
          <cell r="S1477" t="str">
            <v>Vensa Mohammadu</v>
          </cell>
          <cell r="T1477" t="str">
            <v>GEORGES NAKHOUL</v>
          </cell>
          <cell r="U1477" t="str">
            <v>I H S</v>
          </cell>
        </row>
        <row r="1478">
          <cell r="A1478" t="str">
            <v>SUO_136</v>
          </cell>
          <cell r="B1478" t="str">
            <v>IHS_KMB_071</v>
          </cell>
          <cell r="C1478" t="str">
            <v>SUO_136</v>
          </cell>
          <cell r="D1478" t="str">
            <v>West</v>
          </cell>
          <cell r="E1478" t="str">
            <v>West</v>
          </cell>
          <cell r="F1478" t="str">
            <v>Alou Repeater</v>
          </cell>
          <cell r="G1478" t="str">
            <v>P4</v>
          </cell>
          <cell r="H1478" t="str">
            <v>Grid-Gen</v>
          </cell>
          <cell r="I1478" t="str">
            <v>On Air</v>
          </cell>
          <cell r="J1478" t="str">
            <v>Indoor</v>
          </cell>
          <cell r="K1478" t="str">
            <v>AC</v>
          </cell>
          <cell r="L1478" t="str">
            <v>I-Eng</v>
          </cell>
          <cell r="M1478" t="str">
            <v>Dschang</v>
          </cell>
          <cell r="N1478" t="str">
            <v>MENOUA</v>
          </cell>
          <cell r="O1478" t="str">
            <v>FONGO-TONGO</v>
          </cell>
          <cell r="P1478" t="str">
            <v>Samuel Ekouele</v>
          </cell>
          <cell r="Q1478">
            <v>677549818</v>
          </cell>
          <cell r="R1478">
            <v>655999818</v>
          </cell>
          <cell r="S1478" t="str">
            <v>Vensa Mohammadu</v>
          </cell>
          <cell r="T1478" t="str">
            <v>GEORGES NAKHOUL</v>
          </cell>
          <cell r="U1478" t="str">
            <v>I H S</v>
          </cell>
        </row>
        <row r="1479">
          <cell r="A1479" t="str">
            <v>OST_166</v>
          </cell>
          <cell r="B1479" t="str">
            <v>IHS_BAF_030</v>
          </cell>
          <cell r="C1479" t="str">
            <v>OST_166</v>
          </cell>
          <cell r="D1479" t="str">
            <v>West</v>
          </cell>
          <cell r="E1479" t="str">
            <v>West</v>
          </cell>
          <cell r="F1479" t="str">
            <v>Bfsam Leproserie</v>
          </cell>
          <cell r="G1479" t="str">
            <v>P4</v>
          </cell>
          <cell r="H1479" t="str">
            <v>Grid-Gen</v>
          </cell>
          <cell r="I1479" t="str">
            <v>On Air</v>
          </cell>
          <cell r="J1479" t="str">
            <v>Outdoor</v>
          </cell>
          <cell r="K1479" t="str">
            <v>AC</v>
          </cell>
          <cell r="L1479" t="str">
            <v>I-Eng</v>
          </cell>
          <cell r="M1479" t="str">
            <v>Bafoussam</v>
          </cell>
          <cell r="N1479" t="str">
            <v>MIFI</v>
          </cell>
          <cell r="O1479" t="str">
            <v>BAFOUSSAM</v>
          </cell>
          <cell r="P1479" t="str">
            <v>Samuel Ekouele</v>
          </cell>
          <cell r="Q1479">
            <v>677549818</v>
          </cell>
          <cell r="R1479">
            <v>655999818</v>
          </cell>
          <cell r="S1479" t="str">
            <v>Vensa Mohammadu</v>
          </cell>
          <cell r="T1479" t="str">
            <v>GEORGES NAKHOUL</v>
          </cell>
          <cell r="U1479" t="str">
            <v>I H S</v>
          </cell>
        </row>
        <row r="1480">
          <cell r="A1480" t="str">
            <v>OST_146</v>
          </cell>
          <cell r="B1480" t="str">
            <v>IHS_BAF_035</v>
          </cell>
          <cell r="C1480" t="str">
            <v>OST_146</v>
          </cell>
          <cell r="D1480" t="str">
            <v>West</v>
          </cell>
          <cell r="E1480" t="str">
            <v>West</v>
          </cell>
          <cell r="F1480" t="str">
            <v>Kamkop</v>
          </cell>
          <cell r="G1480" t="str">
            <v>P4</v>
          </cell>
          <cell r="H1480" t="str">
            <v>Grid-Gen</v>
          </cell>
          <cell r="I1480" t="str">
            <v>On Air</v>
          </cell>
          <cell r="J1480" t="str">
            <v>Outdoor</v>
          </cell>
          <cell r="K1480" t="str">
            <v>AC</v>
          </cell>
          <cell r="L1480" t="str">
            <v>I-Eng</v>
          </cell>
          <cell r="M1480" t="str">
            <v>Bafoussam</v>
          </cell>
          <cell r="N1480" t="str">
            <v>MIFI</v>
          </cell>
          <cell r="O1480" t="str">
            <v>BAFOUSSAM</v>
          </cell>
          <cell r="P1480" t="str">
            <v>Samuel Ekouele</v>
          </cell>
          <cell r="Q1480">
            <v>677549818</v>
          </cell>
          <cell r="R1480">
            <v>655999818</v>
          </cell>
          <cell r="S1480" t="str">
            <v>Vensa Mohammadu</v>
          </cell>
          <cell r="T1480" t="str">
            <v>GEORGES NAKHOUL</v>
          </cell>
          <cell r="U1480" t="str">
            <v>I H S</v>
          </cell>
        </row>
        <row r="1481">
          <cell r="A1481" t="str">
            <v>OST_118</v>
          </cell>
          <cell r="B1481" t="str">
            <v>IHS_BAF_016</v>
          </cell>
          <cell r="C1481" t="str">
            <v>OST_118</v>
          </cell>
          <cell r="D1481" t="str">
            <v>West</v>
          </cell>
          <cell r="E1481" t="str">
            <v>West</v>
          </cell>
          <cell r="F1481" t="str">
            <v>Bafoussam Tyo</v>
          </cell>
          <cell r="G1481" t="str">
            <v>P4</v>
          </cell>
          <cell r="H1481" t="str">
            <v>Grid-Gen</v>
          </cell>
          <cell r="I1481" t="str">
            <v>On Air</v>
          </cell>
          <cell r="J1481" t="str">
            <v>Outdoor</v>
          </cell>
          <cell r="K1481" t="str">
            <v>AC</v>
          </cell>
          <cell r="L1481" t="str">
            <v>I-Eng</v>
          </cell>
          <cell r="M1481" t="str">
            <v>Bafoussam</v>
          </cell>
          <cell r="N1481" t="str">
            <v>MIFI</v>
          </cell>
          <cell r="O1481" t="str">
            <v>BAFOUSSAM</v>
          </cell>
          <cell r="P1481" t="str">
            <v>Samuel Ekouele</v>
          </cell>
          <cell r="Q1481">
            <v>677549818</v>
          </cell>
          <cell r="R1481">
            <v>655999818</v>
          </cell>
          <cell r="S1481" t="str">
            <v>Vensa Mohammadu</v>
          </cell>
          <cell r="T1481" t="str">
            <v>GEORGES NAKHOUL</v>
          </cell>
          <cell r="U1481" t="str">
            <v>I H S</v>
          </cell>
        </row>
        <row r="1482">
          <cell r="A1482" t="str">
            <v>OST_169</v>
          </cell>
          <cell r="B1482" t="str">
            <v>IHS_BAF_026</v>
          </cell>
          <cell r="C1482" t="str">
            <v>OST_169</v>
          </cell>
          <cell r="D1482" t="str">
            <v>West</v>
          </cell>
          <cell r="E1482" t="str">
            <v>West</v>
          </cell>
          <cell r="F1482" t="str">
            <v>Bafsam Baleng</v>
          </cell>
          <cell r="G1482" t="str">
            <v>P4</v>
          </cell>
          <cell r="H1482" t="str">
            <v>Grid-Gen</v>
          </cell>
          <cell r="I1482" t="str">
            <v>On Air</v>
          </cell>
          <cell r="J1482" t="str">
            <v>Outdoor</v>
          </cell>
          <cell r="K1482" t="str">
            <v>AC</v>
          </cell>
          <cell r="L1482" t="str">
            <v>I-Eng</v>
          </cell>
          <cell r="M1482" t="str">
            <v>Bafoussam</v>
          </cell>
          <cell r="N1482" t="str">
            <v>MIFI</v>
          </cell>
          <cell r="O1482" t="str">
            <v>BAFOUSSAM</v>
          </cell>
          <cell r="P1482" t="str">
            <v>Samuel Ekouele</v>
          </cell>
          <cell r="Q1482">
            <v>677549818</v>
          </cell>
          <cell r="R1482">
            <v>655999818</v>
          </cell>
          <cell r="S1482" t="str">
            <v>Vensa Mohammadu</v>
          </cell>
          <cell r="T1482" t="str">
            <v>GEORGES NAKHOUL</v>
          </cell>
          <cell r="U1482" t="str">
            <v>I H S</v>
          </cell>
        </row>
        <row r="1483">
          <cell r="A1483" t="str">
            <v>OST_151</v>
          </cell>
          <cell r="B1483" t="str">
            <v>IHS_BAF_036</v>
          </cell>
          <cell r="C1483" t="str">
            <v>OST_151</v>
          </cell>
          <cell r="D1483" t="str">
            <v>West</v>
          </cell>
          <cell r="E1483" t="str">
            <v>West</v>
          </cell>
          <cell r="F1483" t="str">
            <v>BANSOA</v>
          </cell>
          <cell r="G1483" t="str">
            <v>P4</v>
          </cell>
          <cell r="H1483" t="str">
            <v>Grid-Gen</v>
          </cell>
          <cell r="I1483" t="str">
            <v>On Air</v>
          </cell>
          <cell r="J1483" t="str">
            <v>Outdoor</v>
          </cell>
          <cell r="K1483" t="str">
            <v>AC</v>
          </cell>
          <cell r="L1483" t="str">
            <v>I-Eng</v>
          </cell>
          <cell r="M1483" t="str">
            <v>Dschang</v>
          </cell>
          <cell r="N1483" t="str">
            <v>MENOUA</v>
          </cell>
          <cell r="O1483" t="str">
            <v>PENKA MICHEL</v>
          </cell>
          <cell r="P1483" t="str">
            <v>Samuel Ekouele</v>
          </cell>
          <cell r="Q1483">
            <v>677549818</v>
          </cell>
          <cell r="R1483">
            <v>655999818</v>
          </cell>
          <cell r="S1483" t="str">
            <v>Vensa Mohammadu</v>
          </cell>
          <cell r="T1483" t="str">
            <v>GEORGES NAKHOUL</v>
          </cell>
          <cell r="U1483" t="str">
            <v>I H S</v>
          </cell>
        </row>
        <row r="1484">
          <cell r="A1484" t="str">
            <v>OST_139</v>
          </cell>
          <cell r="B1484" t="str">
            <v>IHS_DCG_027</v>
          </cell>
          <cell r="C1484" t="str">
            <v>OST_139</v>
          </cell>
          <cell r="D1484" t="str">
            <v>West</v>
          </cell>
          <cell r="E1484" t="str">
            <v>West</v>
          </cell>
          <cell r="F1484" t="str">
            <v>FOKOUE</v>
          </cell>
          <cell r="G1484" t="str">
            <v>P4</v>
          </cell>
          <cell r="H1484" t="str">
            <v>Grid-Gen</v>
          </cell>
          <cell r="I1484" t="str">
            <v>On Air</v>
          </cell>
          <cell r="J1484" t="str">
            <v>Outdoor</v>
          </cell>
          <cell r="K1484" t="str">
            <v>AC</v>
          </cell>
          <cell r="L1484" t="str">
            <v>I-Eng</v>
          </cell>
          <cell r="M1484" t="str">
            <v>Dschang</v>
          </cell>
          <cell r="N1484" t="str">
            <v>MENOUA</v>
          </cell>
          <cell r="O1484" t="str">
            <v>FOKOUE</v>
          </cell>
          <cell r="P1484" t="str">
            <v>Samuel Ekouele</v>
          </cell>
          <cell r="Q1484">
            <v>677549818</v>
          </cell>
          <cell r="R1484">
            <v>655999818</v>
          </cell>
          <cell r="S1484" t="str">
            <v>Vensa Mohammadu</v>
          </cell>
          <cell r="T1484" t="str">
            <v>GEORGES NAKHOUL</v>
          </cell>
          <cell r="U1484" t="str">
            <v>I H S</v>
          </cell>
        </row>
        <row r="1485">
          <cell r="A1485" t="str">
            <v>OST_150</v>
          </cell>
          <cell r="B1485" t="str">
            <v>IHS_MBD_009</v>
          </cell>
          <cell r="C1485" t="str">
            <v>OST_150</v>
          </cell>
          <cell r="D1485" t="str">
            <v>West</v>
          </cell>
          <cell r="E1485" t="str">
            <v>West</v>
          </cell>
          <cell r="F1485" t="str">
            <v>Bafounda-IHS</v>
          </cell>
          <cell r="G1485" t="str">
            <v>P4</v>
          </cell>
          <cell r="H1485" t="str">
            <v>Grid-Gen</v>
          </cell>
          <cell r="I1485" t="str">
            <v>On Air</v>
          </cell>
          <cell r="J1485" t="str">
            <v>Outdoor</v>
          </cell>
          <cell r="K1485" t="str">
            <v>AC</v>
          </cell>
          <cell r="L1485" t="str">
            <v>I-Eng</v>
          </cell>
          <cell r="M1485" t="str">
            <v>Bafoussam</v>
          </cell>
          <cell r="N1485" t="str">
            <v>BAMBOUTOUS</v>
          </cell>
          <cell r="O1485" t="str">
            <v>MBOUDA</v>
          </cell>
          <cell r="P1485" t="str">
            <v>Samuel Ekouele</v>
          </cell>
          <cell r="Q1485">
            <v>677549818</v>
          </cell>
          <cell r="R1485">
            <v>655999818</v>
          </cell>
          <cell r="S1485" t="str">
            <v>Vensa Mohammadu</v>
          </cell>
          <cell r="T1485" t="str">
            <v>GEORGES NAKHOUL</v>
          </cell>
          <cell r="U1485" t="str">
            <v>I H S</v>
          </cell>
        </row>
        <row r="1486">
          <cell r="A1486" t="str">
            <v>OST_213</v>
          </cell>
          <cell r="B1486" t="str">
            <v>IHS_BAF_031</v>
          </cell>
          <cell r="C1486" t="str">
            <v>OST_213</v>
          </cell>
          <cell r="D1486" t="str">
            <v>West</v>
          </cell>
          <cell r="E1486" t="str">
            <v>West</v>
          </cell>
          <cell r="F1486" t="str">
            <v>Bafoussam Tayim</v>
          </cell>
          <cell r="G1486" t="str">
            <v>P4</v>
          </cell>
          <cell r="H1486" t="str">
            <v>Grid-Gen</v>
          </cell>
          <cell r="I1486" t="str">
            <v>On Air</v>
          </cell>
          <cell r="J1486" t="str">
            <v>Outdoor</v>
          </cell>
          <cell r="K1486" t="str">
            <v>AC</v>
          </cell>
          <cell r="L1486" t="str">
            <v>I-Eng</v>
          </cell>
          <cell r="M1486" t="str">
            <v>Bafoussam</v>
          </cell>
          <cell r="N1486" t="str">
            <v>MIFI</v>
          </cell>
          <cell r="O1486" t="str">
            <v>BAFOUSSAM</v>
          </cell>
          <cell r="P1486" t="str">
            <v>Samuel Ekouele</v>
          </cell>
          <cell r="Q1486">
            <v>677549818</v>
          </cell>
          <cell r="R1486">
            <v>655999818</v>
          </cell>
          <cell r="S1486" t="str">
            <v>Vensa Mohammadu</v>
          </cell>
          <cell r="T1486" t="str">
            <v>GEORGES NAKHOUL</v>
          </cell>
          <cell r="U1486" t="str">
            <v>I H S</v>
          </cell>
        </row>
        <row r="1487">
          <cell r="A1487" t="str">
            <v>OST_214</v>
          </cell>
          <cell r="B1487" t="str">
            <v>IHS_BAF_025</v>
          </cell>
          <cell r="C1487" t="str">
            <v>OST_214</v>
          </cell>
          <cell r="D1487" t="str">
            <v>West</v>
          </cell>
          <cell r="E1487" t="str">
            <v>West</v>
          </cell>
          <cell r="F1487" t="str">
            <v>BAFOUSSAM MARIE RURALE</v>
          </cell>
          <cell r="G1487" t="str">
            <v>P4</v>
          </cell>
          <cell r="H1487" t="str">
            <v>Grid-Gen</v>
          </cell>
          <cell r="I1487" t="str">
            <v>On Air</v>
          </cell>
          <cell r="J1487" t="str">
            <v>Outdoor</v>
          </cell>
          <cell r="K1487" t="str">
            <v>AC</v>
          </cell>
          <cell r="L1487" t="str">
            <v>I-Eng</v>
          </cell>
          <cell r="M1487" t="str">
            <v>Bafoussam</v>
          </cell>
          <cell r="N1487" t="str">
            <v>MIFI</v>
          </cell>
          <cell r="O1487" t="str">
            <v>BAFOUSSAM</v>
          </cell>
          <cell r="P1487" t="str">
            <v>Samuel Ekouele</v>
          </cell>
          <cell r="Q1487">
            <v>677549818</v>
          </cell>
          <cell r="R1487">
            <v>655999818</v>
          </cell>
          <cell r="S1487" t="str">
            <v>Vensa Mohammadu</v>
          </cell>
          <cell r="T1487" t="str">
            <v>GEORGES NAKHOUL</v>
          </cell>
          <cell r="U1487" t="str">
            <v>I H S</v>
          </cell>
        </row>
        <row r="1488">
          <cell r="A1488" t="str">
            <v>OST_108</v>
          </cell>
          <cell r="B1488" t="str">
            <v>IHS_DCG_018</v>
          </cell>
          <cell r="C1488" t="str">
            <v>OST_108</v>
          </cell>
          <cell r="D1488" t="str">
            <v>West</v>
          </cell>
          <cell r="E1488" t="str">
            <v>West</v>
          </cell>
          <cell r="F1488" t="str">
            <v>Bafou-Badzifeng</v>
          </cell>
          <cell r="G1488" t="str">
            <v>P5</v>
          </cell>
          <cell r="H1488" t="str">
            <v>Grid-Gen</v>
          </cell>
          <cell r="I1488" t="str">
            <v>On Air</v>
          </cell>
          <cell r="J1488" t="str">
            <v>Outdoor</v>
          </cell>
          <cell r="K1488" t="str">
            <v>AC</v>
          </cell>
          <cell r="L1488" t="str">
            <v>I-Eng</v>
          </cell>
          <cell r="M1488" t="str">
            <v>Dschang</v>
          </cell>
          <cell r="N1488" t="str">
            <v>MENOUA</v>
          </cell>
          <cell r="O1488" t="str">
            <v>NKONGHNI</v>
          </cell>
          <cell r="P1488" t="str">
            <v>Samuel Ekouele</v>
          </cell>
          <cell r="Q1488">
            <v>677549818</v>
          </cell>
          <cell r="R1488">
            <v>655999818</v>
          </cell>
          <cell r="S1488" t="str">
            <v>Vensa Mohammadu</v>
          </cell>
          <cell r="T1488" t="str">
            <v>GEORGES NAKHOUL</v>
          </cell>
          <cell r="U1488" t="str">
            <v>I H S</v>
          </cell>
        </row>
        <row r="1489">
          <cell r="A1489" t="str">
            <v>OST_112</v>
          </cell>
          <cell r="B1489" t="str">
            <v>IHS_DCG_008</v>
          </cell>
          <cell r="C1489" t="str">
            <v>OST_112</v>
          </cell>
          <cell r="D1489" t="str">
            <v>West</v>
          </cell>
          <cell r="E1489" t="str">
            <v>West</v>
          </cell>
          <cell r="F1489" t="str">
            <v>Dschang-Q-Admin</v>
          </cell>
          <cell r="G1489" t="str">
            <v>P5</v>
          </cell>
          <cell r="H1489" t="str">
            <v>Grid-Gen</v>
          </cell>
          <cell r="I1489" t="str">
            <v>On Air</v>
          </cell>
          <cell r="J1489" t="str">
            <v>Outdoor</v>
          </cell>
          <cell r="K1489" t="str">
            <v>AC</v>
          </cell>
          <cell r="L1489" t="str">
            <v>I-Eng</v>
          </cell>
          <cell r="M1489" t="str">
            <v>Dschang</v>
          </cell>
          <cell r="N1489" t="str">
            <v>MENOUA</v>
          </cell>
          <cell r="O1489" t="str">
            <v>DSCHANG</v>
          </cell>
          <cell r="P1489" t="str">
            <v>Samuel Ekouele</v>
          </cell>
          <cell r="Q1489">
            <v>677549818</v>
          </cell>
          <cell r="R1489">
            <v>655999818</v>
          </cell>
          <cell r="S1489" t="str">
            <v>Vensa Mohammadu</v>
          </cell>
          <cell r="T1489" t="str">
            <v>GEORGES NAKHOUL</v>
          </cell>
          <cell r="U1489" t="str">
            <v>I H S</v>
          </cell>
        </row>
        <row r="1490">
          <cell r="A1490" t="str">
            <v>OST_106</v>
          </cell>
          <cell r="B1490" t="str">
            <v>IHS_DCG_005</v>
          </cell>
          <cell r="C1490" t="str">
            <v>OST_106</v>
          </cell>
          <cell r="D1490" t="str">
            <v>West</v>
          </cell>
          <cell r="E1490" t="str">
            <v>West</v>
          </cell>
          <cell r="F1490" t="str">
            <v>Dschang-Universite</v>
          </cell>
          <cell r="G1490" t="str">
            <v>P5</v>
          </cell>
          <cell r="H1490" t="str">
            <v>Grid-Gen</v>
          </cell>
          <cell r="I1490" t="str">
            <v>On Air</v>
          </cell>
          <cell r="J1490" t="str">
            <v>Outdoor</v>
          </cell>
          <cell r="K1490" t="str">
            <v>AC</v>
          </cell>
          <cell r="L1490" t="str">
            <v>I-Eng</v>
          </cell>
          <cell r="M1490" t="str">
            <v>Dschang</v>
          </cell>
          <cell r="N1490" t="str">
            <v>MENOUA</v>
          </cell>
          <cell r="O1490" t="str">
            <v>DSCHANG</v>
          </cell>
          <cell r="P1490" t="str">
            <v>Samuel Ekouele</v>
          </cell>
          <cell r="Q1490">
            <v>677549818</v>
          </cell>
          <cell r="R1490">
            <v>655999818</v>
          </cell>
          <cell r="S1490" t="str">
            <v>Vensa Mohammadu</v>
          </cell>
          <cell r="T1490" t="str">
            <v>GEORGES NAKHOUL</v>
          </cell>
          <cell r="U1490" t="str">
            <v>I H S</v>
          </cell>
        </row>
        <row r="1491">
          <cell r="A1491" t="str">
            <v>OST_056</v>
          </cell>
          <cell r="B1491" t="str">
            <v>IHS_DCG_023</v>
          </cell>
          <cell r="C1491" t="str">
            <v>OST_056</v>
          </cell>
          <cell r="D1491" t="str">
            <v>West</v>
          </cell>
          <cell r="E1491" t="str">
            <v>West</v>
          </cell>
          <cell r="F1491" t="str">
            <v>Bamendou</v>
          </cell>
          <cell r="G1491" t="str">
            <v>P5</v>
          </cell>
          <cell r="H1491" t="str">
            <v>Grid-Gen</v>
          </cell>
          <cell r="I1491" t="str">
            <v>On Air</v>
          </cell>
          <cell r="J1491" t="str">
            <v>Outdoor</v>
          </cell>
          <cell r="K1491" t="str">
            <v>AC</v>
          </cell>
          <cell r="L1491" t="str">
            <v>I-Eng</v>
          </cell>
          <cell r="M1491" t="str">
            <v>Dschang</v>
          </cell>
          <cell r="N1491" t="str">
            <v>MENOUA</v>
          </cell>
          <cell r="O1491" t="str">
            <v>NKONGHNI</v>
          </cell>
          <cell r="P1491" t="str">
            <v>Samuel Ekouele</v>
          </cell>
          <cell r="Q1491">
            <v>677549818</v>
          </cell>
          <cell r="R1491">
            <v>655999818</v>
          </cell>
          <cell r="S1491" t="str">
            <v>Vensa Mohammadu</v>
          </cell>
          <cell r="T1491" t="str">
            <v>GEORGES NAKHOUL</v>
          </cell>
          <cell r="U1491" t="str">
            <v>I H S</v>
          </cell>
        </row>
        <row r="1492">
          <cell r="A1492" t="str">
            <v>OST_084</v>
          </cell>
          <cell r="B1492" t="str">
            <v>IHS_DCG_002</v>
          </cell>
          <cell r="C1492" t="str">
            <v>OST_084</v>
          </cell>
          <cell r="D1492" t="str">
            <v>West</v>
          </cell>
          <cell r="E1492" t="str">
            <v>West</v>
          </cell>
          <cell r="F1492" t="str">
            <v>Dschang-St-Augustin</v>
          </cell>
          <cell r="G1492" t="str">
            <v>P5</v>
          </cell>
          <cell r="H1492" t="str">
            <v>Grid-Gen</v>
          </cell>
          <cell r="I1492" t="str">
            <v>On Air</v>
          </cell>
          <cell r="J1492" t="str">
            <v>Outdoor</v>
          </cell>
          <cell r="K1492" t="str">
            <v>AC</v>
          </cell>
          <cell r="L1492" t="str">
            <v>I-Eng</v>
          </cell>
          <cell r="M1492" t="str">
            <v>Dschang</v>
          </cell>
          <cell r="N1492" t="str">
            <v>MENOUA</v>
          </cell>
          <cell r="O1492" t="str">
            <v>DSCHANG</v>
          </cell>
          <cell r="P1492" t="str">
            <v>Samuel Ekouele</v>
          </cell>
          <cell r="Q1492">
            <v>677549818</v>
          </cell>
          <cell r="R1492">
            <v>655999818</v>
          </cell>
          <cell r="S1492" t="str">
            <v>Vensa Mohammadu</v>
          </cell>
          <cell r="T1492" t="str">
            <v>GEORGES NAKHOUL</v>
          </cell>
          <cell r="U1492" t="str">
            <v>I H S</v>
          </cell>
        </row>
        <row r="1493">
          <cell r="A1493" t="str">
            <v>OST_067</v>
          </cell>
          <cell r="B1493" t="str">
            <v>IHS_BAF_039</v>
          </cell>
          <cell r="C1493" t="str">
            <v>OST_067</v>
          </cell>
          <cell r="D1493" t="str">
            <v>West</v>
          </cell>
          <cell r="E1493" t="str">
            <v>West</v>
          </cell>
          <cell r="F1493" t="str">
            <v>Bandjoun-Soung</v>
          </cell>
          <cell r="G1493" t="str">
            <v>P5</v>
          </cell>
          <cell r="H1493" t="str">
            <v>Grid-Gen</v>
          </cell>
          <cell r="I1493" t="str">
            <v>On Air</v>
          </cell>
          <cell r="J1493" t="str">
            <v>Outdoor</v>
          </cell>
          <cell r="K1493" t="str">
            <v>AC</v>
          </cell>
          <cell r="L1493" t="str">
            <v>I-Eng</v>
          </cell>
          <cell r="M1493" t="str">
            <v>Bafoussam</v>
          </cell>
          <cell r="N1493" t="str">
            <v>KOUNG-KHI</v>
          </cell>
          <cell r="O1493" t="str">
            <v>BANDJOUN</v>
          </cell>
          <cell r="P1493" t="str">
            <v>Samuel Ekouele</v>
          </cell>
          <cell r="Q1493">
            <v>677549818</v>
          </cell>
          <cell r="R1493">
            <v>655999818</v>
          </cell>
          <cell r="S1493" t="str">
            <v>Vensa Mohammadu</v>
          </cell>
          <cell r="T1493" t="str">
            <v>GEORGES NAKHOUL</v>
          </cell>
          <cell r="U1493" t="str">
            <v>I H S</v>
          </cell>
        </row>
        <row r="1494">
          <cell r="A1494" t="str">
            <v>OST_075</v>
          </cell>
          <cell r="B1494" t="str">
            <v>IHS_BAF_034</v>
          </cell>
          <cell r="C1494" t="str">
            <v>OST_075</v>
          </cell>
          <cell r="D1494" t="str">
            <v>West</v>
          </cell>
          <cell r="E1494" t="str">
            <v>West</v>
          </cell>
          <cell r="F1494" t="str">
            <v>bfsam-Ndjinga</v>
          </cell>
          <cell r="G1494" t="str">
            <v>P5</v>
          </cell>
          <cell r="H1494" t="str">
            <v>Grid-Gen</v>
          </cell>
          <cell r="I1494" t="str">
            <v>On Air</v>
          </cell>
          <cell r="J1494" t="str">
            <v>Outdoor</v>
          </cell>
          <cell r="K1494" t="str">
            <v>AC</v>
          </cell>
          <cell r="L1494" t="str">
            <v>I-Eng</v>
          </cell>
          <cell r="M1494" t="str">
            <v>Bafoussam</v>
          </cell>
          <cell r="N1494" t="str">
            <v>MIFI</v>
          </cell>
          <cell r="O1494" t="str">
            <v>BAFOUSSAM</v>
          </cell>
          <cell r="P1494" t="str">
            <v>Samuel Ekouele</v>
          </cell>
          <cell r="Q1494">
            <v>677549818</v>
          </cell>
          <cell r="R1494">
            <v>655999818</v>
          </cell>
          <cell r="S1494" t="str">
            <v>Vensa Mohammadu</v>
          </cell>
          <cell r="T1494" t="str">
            <v>GEORGES NAKHOUL</v>
          </cell>
          <cell r="U1494" t="str">
            <v>I H S</v>
          </cell>
        </row>
        <row r="1495">
          <cell r="A1495" t="str">
            <v>OST_135</v>
          </cell>
          <cell r="B1495" t="str">
            <v>IHS_BAF_101</v>
          </cell>
          <cell r="C1495" t="str">
            <v>OST_135</v>
          </cell>
          <cell r="D1495" t="str">
            <v>West</v>
          </cell>
          <cell r="E1495" t="str">
            <v>West</v>
          </cell>
          <cell r="F1495" t="str">
            <v>Bfsam-Bamendzi-II</v>
          </cell>
          <cell r="G1495" t="str">
            <v>P5</v>
          </cell>
          <cell r="H1495" t="str">
            <v>Grid Only</v>
          </cell>
          <cell r="I1495" t="str">
            <v>On Air</v>
          </cell>
          <cell r="J1495" t="str">
            <v>Outdoor</v>
          </cell>
          <cell r="K1495" t="str">
            <v>AC</v>
          </cell>
          <cell r="L1495" t="str">
            <v>I-Eng</v>
          </cell>
          <cell r="M1495" t="str">
            <v>Bafoussam</v>
          </cell>
          <cell r="N1495" t="str">
            <v>MIFI</v>
          </cell>
          <cell r="O1495" t="str">
            <v>BAFOUSSAM</v>
          </cell>
          <cell r="P1495" t="str">
            <v>Samuel Ekouele</v>
          </cell>
          <cell r="Q1495">
            <v>677549818</v>
          </cell>
          <cell r="R1495">
            <v>655999818</v>
          </cell>
          <cell r="S1495" t="str">
            <v>Vensa Mohammadu</v>
          </cell>
          <cell r="T1495" t="str">
            <v>GEORGES NAKHOUL</v>
          </cell>
          <cell r="U1495" t="str">
            <v>I H S</v>
          </cell>
        </row>
        <row r="1496">
          <cell r="A1496" t="str">
            <v>OST_123</v>
          </cell>
          <cell r="B1496" t="str">
            <v>IHS_DCG_006</v>
          </cell>
          <cell r="C1496" t="str">
            <v>OST_123</v>
          </cell>
          <cell r="D1496" t="str">
            <v>West</v>
          </cell>
          <cell r="E1496" t="str">
            <v>West</v>
          </cell>
          <cell r="F1496" t="str">
            <v>Dschang-Foto-II</v>
          </cell>
          <cell r="G1496" t="str">
            <v>P5</v>
          </cell>
          <cell r="H1496" t="str">
            <v>Grid-Gen</v>
          </cell>
          <cell r="I1496" t="str">
            <v>On Air</v>
          </cell>
          <cell r="J1496" t="str">
            <v>Outdoor</v>
          </cell>
          <cell r="K1496" t="str">
            <v>AC</v>
          </cell>
          <cell r="L1496" t="str">
            <v>I-Eng</v>
          </cell>
          <cell r="M1496" t="str">
            <v>Dschang</v>
          </cell>
          <cell r="N1496" t="str">
            <v>MENOUA</v>
          </cell>
          <cell r="O1496" t="str">
            <v>DSCHANG</v>
          </cell>
          <cell r="P1496" t="str">
            <v>Samuel Ekouele</v>
          </cell>
          <cell r="Q1496">
            <v>677549818</v>
          </cell>
          <cell r="R1496">
            <v>655999818</v>
          </cell>
          <cell r="S1496" t="str">
            <v>Vensa Mohammadu</v>
          </cell>
          <cell r="T1496" t="str">
            <v>GEORGES NAKHOUL</v>
          </cell>
          <cell r="U1496" t="str">
            <v>I H S</v>
          </cell>
        </row>
        <row r="1497">
          <cell r="A1497" t="str">
            <v>OST_122</v>
          </cell>
          <cell r="B1497" t="str">
            <v>IHS_DCG_013</v>
          </cell>
          <cell r="C1497" t="str">
            <v>OST_122</v>
          </cell>
          <cell r="D1497" t="str">
            <v>West</v>
          </cell>
          <cell r="E1497" t="str">
            <v>West</v>
          </cell>
          <cell r="F1497" t="str">
            <v>Dschang-Foreke</v>
          </cell>
          <cell r="G1497" t="str">
            <v>P5</v>
          </cell>
          <cell r="H1497" t="str">
            <v>Grid Only</v>
          </cell>
          <cell r="I1497" t="str">
            <v>On Air</v>
          </cell>
          <cell r="J1497" t="str">
            <v>Outdoor</v>
          </cell>
          <cell r="K1497" t="str">
            <v>AC</v>
          </cell>
          <cell r="L1497" t="str">
            <v>I-Eng</v>
          </cell>
          <cell r="M1497" t="str">
            <v>Dschang</v>
          </cell>
          <cell r="N1497" t="str">
            <v>MENOUA</v>
          </cell>
          <cell r="O1497" t="str">
            <v>DSCHANG</v>
          </cell>
          <cell r="P1497" t="str">
            <v>Samuel Ekouele</v>
          </cell>
          <cell r="Q1497">
            <v>677549818</v>
          </cell>
          <cell r="R1497">
            <v>655999818</v>
          </cell>
          <cell r="S1497" t="str">
            <v>Vensa Mohammadu</v>
          </cell>
          <cell r="T1497" t="str">
            <v>GEORGES NAKHOUL</v>
          </cell>
          <cell r="U1497" t="str">
            <v>I H S</v>
          </cell>
        </row>
        <row r="1498">
          <cell r="A1498" t="str">
            <v>OST_096</v>
          </cell>
          <cell r="B1498" t="str">
            <v>IHS_DCG_004</v>
          </cell>
          <cell r="C1498" t="str">
            <v>OST_096</v>
          </cell>
          <cell r="D1498" t="str">
            <v>West</v>
          </cell>
          <cell r="E1498" t="str">
            <v>West</v>
          </cell>
          <cell r="F1498" t="str">
            <v>Dschang-Vallee</v>
          </cell>
          <cell r="G1498" t="str">
            <v>P5</v>
          </cell>
          <cell r="H1498" t="str">
            <v>Grid-Gen</v>
          </cell>
          <cell r="I1498" t="str">
            <v>On Air</v>
          </cell>
          <cell r="J1498" t="str">
            <v>Outdoor</v>
          </cell>
          <cell r="K1498" t="str">
            <v>AC</v>
          </cell>
          <cell r="L1498" t="str">
            <v>I-Eng</v>
          </cell>
          <cell r="M1498" t="str">
            <v>Dschang</v>
          </cell>
          <cell r="N1498" t="str">
            <v>MENOUA</v>
          </cell>
          <cell r="O1498" t="str">
            <v>DSCHANG</v>
          </cell>
          <cell r="P1498" t="str">
            <v>Samuel Ekouele</v>
          </cell>
          <cell r="Q1498">
            <v>677549818</v>
          </cell>
          <cell r="R1498">
            <v>655999818</v>
          </cell>
          <cell r="S1498" t="str">
            <v>Vensa Mohammadu</v>
          </cell>
          <cell r="T1498" t="str">
            <v>GEORGES NAKHOUL</v>
          </cell>
          <cell r="U1498" t="str">
            <v>I H S</v>
          </cell>
        </row>
        <row r="1499">
          <cell r="A1499" t="str">
            <v>OST_153</v>
          </cell>
          <cell r="B1499" t="str">
            <v>IHS_BAF_103</v>
          </cell>
          <cell r="C1499" t="str">
            <v>OST_153</v>
          </cell>
          <cell r="D1499" t="str">
            <v>West</v>
          </cell>
          <cell r="E1499" t="str">
            <v>West</v>
          </cell>
          <cell r="F1499" t="str">
            <v>Fotouni</v>
          </cell>
          <cell r="G1499" t="str">
            <v>P5</v>
          </cell>
          <cell r="H1499" t="str">
            <v>Hybrid-Gen</v>
          </cell>
          <cell r="I1499" t="str">
            <v>On Air</v>
          </cell>
          <cell r="J1499" t="str">
            <v>Outdoor</v>
          </cell>
          <cell r="K1499" t="str">
            <v>AC</v>
          </cell>
          <cell r="L1499" t="str">
            <v>I-Eng</v>
          </cell>
          <cell r="M1499" t="str">
            <v>Bafoussam</v>
          </cell>
          <cell r="N1499" t="str">
            <v>HAUT-NKAM</v>
          </cell>
          <cell r="O1499" t="str">
            <v>BANDJA</v>
          </cell>
          <cell r="P1499" t="str">
            <v>Samuel Ekouele</v>
          </cell>
          <cell r="Q1499">
            <v>677549818</v>
          </cell>
          <cell r="R1499">
            <v>655999818</v>
          </cell>
          <cell r="S1499" t="str">
            <v>Vensa Mohammadu</v>
          </cell>
          <cell r="T1499" t="str">
            <v>GEORGES NAKHOUL</v>
          </cell>
          <cell r="U1499" t="str">
            <v>I H S</v>
          </cell>
        </row>
        <row r="1500">
          <cell r="A1500" t="str">
            <v>OST_167</v>
          </cell>
          <cell r="B1500" t="str">
            <v>IHS_BAF_102</v>
          </cell>
          <cell r="C1500" t="str">
            <v>OST_167</v>
          </cell>
          <cell r="D1500" t="str">
            <v>West</v>
          </cell>
          <cell r="E1500" t="str">
            <v>West</v>
          </cell>
          <cell r="F1500" t="str">
            <v>Baloum</v>
          </cell>
          <cell r="G1500" t="str">
            <v>P5</v>
          </cell>
          <cell r="H1500" t="str">
            <v>Gen Only</v>
          </cell>
          <cell r="I1500" t="str">
            <v>On Air</v>
          </cell>
          <cell r="J1500" t="str">
            <v>Outdoor</v>
          </cell>
          <cell r="K1500" t="str">
            <v>AC</v>
          </cell>
          <cell r="L1500" t="str">
            <v>I-Eng</v>
          </cell>
          <cell r="M1500" t="str">
            <v>Dschang</v>
          </cell>
          <cell r="N1500" t="str">
            <v>MIFI</v>
          </cell>
          <cell r="O1500" t="str">
            <v>PENKA MICHEL</v>
          </cell>
          <cell r="P1500" t="str">
            <v>Samuel Ekouele</v>
          </cell>
          <cell r="Q1500">
            <v>677549818</v>
          </cell>
          <cell r="R1500">
            <v>655999818</v>
          </cell>
          <cell r="S1500" t="str">
            <v>Vensa Mohammadu</v>
          </cell>
          <cell r="T1500" t="str">
            <v>GEORGES NAKHOUL</v>
          </cell>
          <cell r="U1500" t="str">
            <v>I H S</v>
          </cell>
        </row>
        <row r="1501">
          <cell r="A1501" t="str">
            <v>NRO_027</v>
          </cell>
          <cell r="B1501" t="str">
            <v>IHS_BMD_094</v>
          </cell>
          <cell r="C1501" t="str">
            <v>NRO_027</v>
          </cell>
          <cell r="D1501" t="str">
            <v>West</v>
          </cell>
          <cell r="E1501" t="str">
            <v>West</v>
          </cell>
          <cell r="F1501" t="str">
            <v>BALATCHI</v>
          </cell>
          <cell r="G1501" t="str">
            <v>P5</v>
          </cell>
          <cell r="H1501" t="str">
            <v>Hybrid-Gen</v>
          </cell>
          <cell r="I1501" t="str">
            <v>On Air</v>
          </cell>
          <cell r="J1501" t="str">
            <v>Outdoor</v>
          </cell>
          <cell r="K1501" t="str">
            <v>AC</v>
          </cell>
          <cell r="L1501" t="str">
            <v>I-Eng</v>
          </cell>
          <cell r="M1501" t="str">
            <v>Bafoussam</v>
          </cell>
          <cell r="N1501" t="str">
            <v>BAMBOUTOUS</v>
          </cell>
          <cell r="O1501" t="str">
            <v>BATCHAM</v>
          </cell>
          <cell r="P1501" t="str">
            <v>Samuel Ekouele</v>
          </cell>
          <cell r="Q1501">
            <v>677549818</v>
          </cell>
          <cell r="R1501">
            <v>655999818</v>
          </cell>
          <cell r="S1501" t="str">
            <v>Vensa Mohammadu</v>
          </cell>
          <cell r="T1501" t="str">
            <v>GEORGES NAKHOUL</v>
          </cell>
          <cell r="U1501" t="str">
            <v>I H S</v>
          </cell>
        </row>
        <row r="1502">
          <cell r="A1502" t="str">
            <v>OST_300</v>
          </cell>
          <cell r="B1502" t="str">
            <v>IHS_BAF_047</v>
          </cell>
          <cell r="C1502" t="str">
            <v>OST_300</v>
          </cell>
          <cell r="D1502" t="str">
            <v>West</v>
          </cell>
          <cell r="E1502" t="str">
            <v>West</v>
          </cell>
          <cell r="F1502" t="str">
            <v>Bahouan</v>
          </cell>
          <cell r="G1502" t="str">
            <v>P5</v>
          </cell>
          <cell r="H1502" t="str">
            <v>Grid-Gen</v>
          </cell>
          <cell r="I1502">
            <v>0</v>
          </cell>
          <cell r="J1502" t="str">
            <v>Outdoor</v>
          </cell>
          <cell r="K1502" t="str">
            <v>AC</v>
          </cell>
          <cell r="L1502" t="str">
            <v>I-Eng</v>
          </cell>
          <cell r="M1502" t="str">
            <v>Bafoussam</v>
          </cell>
          <cell r="N1502" t="str">
            <v>HAUTS-PLATEAUX</v>
          </cell>
          <cell r="O1502" t="str">
            <v>BAMENDJOU</v>
          </cell>
          <cell r="P1502" t="str">
            <v>Samuel Ekouele</v>
          </cell>
          <cell r="Q1502">
            <v>677549818</v>
          </cell>
          <cell r="R1502">
            <v>655999818</v>
          </cell>
          <cell r="S1502" t="str">
            <v>Vensa Mohammadu</v>
          </cell>
          <cell r="T1502" t="str">
            <v>GEORGES NAKHOUL</v>
          </cell>
          <cell r="U1502" t="str">
            <v>I H S</v>
          </cell>
        </row>
        <row r="1503">
          <cell r="A1503" t="str">
            <v>OST_211</v>
          </cell>
          <cell r="B1503" t="str">
            <v>IHS_BAF_311</v>
          </cell>
          <cell r="C1503" t="str">
            <v>OST_211</v>
          </cell>
          <cell r="D1503" t="str">
            <v>West</v>
          </cell>
          <cell r="E1503" t="str">
            <v>West</v>
          </cell>
          <cell r="F1503" t="str">
            <v>Bangam</v>
          </cell>
          <cell r="G1503" t="str">
            <v>P5</v>
          </cell>
          <cell r="H1503" t="str">
            <v>Grid-Gen</v>
          </cell>
          <cell r="I1503" t="str">
            <v>On Air</v>
          </cell>
          <cell r="J1503" t="str">
            <v>Outdoor</v>
          </cell>
          <cell r="K1503" t="str">
            <v>AC</v>
          </cell>
          <cell r="L1503" t="str">
            <v>I-Eng</v>
          </cell>
          <cell r="M1503" t="str">
            <v>Bafoussam</v>
          </cell>
          <cell r="N1503" t="str">
            <v>HAUTS-PLATEAUX</v>
          </cell>
          <cell r="O1503" t="str">
            <v>BATIE</v>
          </cell>
          <cell r="P1503" t="str">
            <v>Samuel Ekouele</v>
          </cell>
          <cell r="Q1503">
            <v>677549818</v>
          </cell>
          <cell r="R1503">
            <v>655999818</v>
          </cell>
          <cell r="S1503" t="str">
            <v>Vensa Mohammadu</v>
          </cell>
          <cell r="T1503" t="str">
            <v>GEORGES NAKHOUL</v>
          </cell>
          <cell r="U1503" t="str">
            <v>I H S</v>
          </cell>
        </row>
        <row r="1504">
          <cell r="A1504" t="str">
            <v>OST_163</v>
          </cell>
          <cell r="B1504" t="str">
            <v>IHS_BAF_033</v>
          </cell>
          <cell r="C1504" t="str">
            <v>OST_163</v>
          </cell>
          <cell r="D1504" t="str">
            <v>West</v>
          </cell>
          <cell r="E1504" t="str">
            <v>West</v>
          </cell>
          <cell r="F1504" t="str">
            <v>Bamoungoum</v>
          </cell>
          <cell r="G1504" t="str">
            <v>P5</v>
          </cell>
          <cell r="H1504" t="str">
            <v>Grid-Gen</v>
          </cell>
          <cell r="I1504" t="str">
            <v>On Air</v>
          </cell>
          <cell r="J1504" t="str">
            <v>Outdoor</v>
          </cell>
          <cell r="K1504" t="str">
            <v>AC</v>
          </cell>
          <cell r="L1504" t="str">
            <v>I-Eng</v>
          </cell>
          <cell r="M1504" t="str">
            <v>Bafoussam</v>
          </cell>
          <cell r="N1504" t="str">
            <v>MIFI</v>
          </cell>
          <cell r="O1504" t="str">
            <v>BAMOUNGOUM</v>
          </cell>
          <cell r="P1504" t="str">
            <v>Samuel Ekouele</v>
          </cell>
          <cell r="Q1504">
            <v>677549818</v>
          </cell>
          <cell r="R1504">
            <v>655999818</v>
          </cell>
          <cell r="S1504" t="str">
            <v>Vensa Mohammadu</v>
          </cell>
          <cell r="T1504" t="str">
            <v>GEORGES NAKHOUL</v>
          </cell>
          <cell r="U1504" t="str">
            <v>I H S</v>
          </cell>
        </row>
        <row r="1505">
          <cell r="A1505" t="str">
            <v>OST_256</v>
          </cell>
          <cell r="B1505" t="str">
            <v>IHS_DCG_019</v>
          </cell>
          <cell r="C1505" t="str">
            <v>OST_256</v>
          </cell>
          <cell r="D1505" t="str">
            <v>West</v>
          </cell>
          <cell r="E1505" t="str">
            <v>West</v>
          </cell>
          <cell r="F1505" t="str">
            <v>Makong-II-IHS</v>
          </cell>
          <cell r="G1505" t="str">
            <v>P5</v>
          </cell>
          <cell r="H1505" t="str">
            <v>Grid-Gen</v>
          </cell>
          <cell r="I1505" t="str">
            <v>On Air</v>
          </cell>
          <cell r="J1505" t="str">
            <v>Indoor</v>
          </cell>
          <cell r="K1505" t="str">
            <v>AC</v>
          </cell>
          <cell r="L1505" t="str">
            <v>I-Eng</v>
          </cell>
          <cell r="M1505" t="str">
            <v>Dschang</v>
          </cell>
          <cell r="N1505" t="str">
            <v>MENOUA</v>
          </cell>
          <cell r="O1505" t="str">
            <v>DSCHANG</v>
          </cell>
          <cell r="P1505" t="str">
            <v>Samuel Ekouele</v>
          </cell>
          <cell r="Q1505">
            <v>677549818</v>
          </cell>
          <cell r="R1505">
            <v>655999818</v>
          </cell>
          <cell r="S1505" t="str">
            <v>Vensa Mohammadu</v>
          </cell>
          <cell r="T1505" t="str">
            <v>GEORGES NAKHOUL</v>
          </cell>
          <cell r="U1505" t="str">
            <v>I H S</v>
          </cell>
        </row>
        <row r="1506">
          <cell r="A1506" t="str">
            <v>OST_165</v>
          </cell>
          <cell r="B1506" t="str">
            <v>IHS_BAF_040</v>
          </cell>
          <cell r="C1506" t="str">
            <v>OST_165</v>
          </cell>
          <cell r="D1506" t="str">
            <v>West</v>
          </cell>
          <cell r="E1506" t="str">
            <v>West</v>
          </cell>
          <cell r="F1506" t="str">
            <v>Djelen 2</v>
          </cell>
          <cell r="G1506" t="str">
            <v>P5</v>
          </cell>
          <cell r="H1506" t="str">
            <v>Grid-Gen</v>
          </cell>
          <cell r="I1506" t="str">
            <v>On Air</v>
          </cell>
          <cell r="J1506" t="str">
            <v>Indoor</v>
          </cell>
          <cell r="K1506" t="str">
            <v>AC</v>
          </cell>
          <cell r="L1506" t="str">
            <v>I-Eng</v>
          </cell>
          <cell r="M1506" t="str">
            <v>Bafoussam</v>
          </cell>
          <cell r="N1506" t="str">
            <v>KOUNG-KHI</v>
          </cell>
          <cell r="O1506" t="str">
            <v>BANDJOUN</v>
          </cell>
          <cell r="P1506" t="str">
            <v>Samuel Ekouele</v>
          </cell>
          <cell r="Q1506">
            <v>677549818</v>
          </cell>
          <cell r="R1506">
            <v>655999818</v>
          </cell>
          <cell r="S1506" t="str">
            <v>Vensa Mohammadu</v>
          </cell>
          <cell r="T1506" t="str">
            <v>GEORGES NAKHOUL</v>
          </cell>
          <cell r="U1506" t="str">
            <v>I H S</v>
          </cell>
        </row>
        <row r="1507">
          <cell r="A1507" t="str">
            <v>OST_142</v>
          </cell>
          <cell r="B1507" t="str">
            <v>IHS_MBD_006</v>
          </cell>
          <cell r="C1507" t="str">
            <v>OST_142</v>
          </cell>
          <cell r="D1507" t="str">
            <v>West</v>
          </cell>
          <cell r="E1507" t="str">
            <v>West</v>
          </cell>
          <cell r="F1507" t="str">
            <v>Mbouda-Batang-IHS</v>
          </cell>
          <cell r="G1507" t="str">
            <v>P5</v>
          </cell>
          <cell r="H1507" t="str">
            <v>Grid-Gen</v>
          </cell>
          <cell r="I1507" t="str">
            <v>On Air</v>
          </cell>
          <cell r="J1507" t="str">
            <v>Outdoor</v>
          </cell>
          <cell r="K1507" t="str">
            <v>AC</v>
          </cell>
          <cell r="L1507" t="str">
            <v>I-Eng</v>
          </cell>
          <cell r="M1507" t="str">
            <v>Bafoussam</v>
          </cell>
          <cell r="N1507" t="str">
            <v>BAMBOUTOUS</v>
          </cell>
          <cell r="O1507" t="str">
            <v>MBOUDA</v>
          </cell>
          <cell r="P1507" t="str">
            <v>Samuel Ekouele</v>
          </cell>
          <cell r="Q1507">
            <v>677549818</v>
          </cell>
          <cell r="R1507">
            <v>655999818</v>
          </cell>
          <cell r="S1507" t="str">
            <v>Vensa Mohammadu</v>
          </cell>
          <cell r="T1507" t="str">
            <v>GEORGES NAKHOUL</v>
          </cell>
          <cell r="U1507" t="str">
            <v>I H S</v>
          </cell>
        </row>
        <row r="1508">
          <cell r="A1508" t="str">
            <v>OST_044</v>
          </cell>
          <cell r="B1508" t="str">
            <v>IHS_BAF_043</v>
          </cell>
          <cell r="C1508" t="str">
            <v>OST_044</v>
          </cell>
          <cell r="D1508" t="str">
            <v>West</v>
          </cell>
          <cell r="E1508" t="str">
            <v>West</v>
          </cell>
          <cell r="F1508" t="str">
            <v>Bamendjou-MTN</v>
          </cell>
          <cell r="G1508" t="str">
            <v>P5</v>
          </cell>
          <cell r="H1508" t="str">
            <v>Grid-Gen</v>
          </cell>
          <cell r="I1508" t="str">
            <v>On Air</v>
          </cell>
          <cell r="J1508" t="str">
            <v>Indoor</v>
          </cell>
          <cell r="K1508" t="str">
            <v>AC</v>
          </cell>
          <cell r="L1508" t="str">
            <v>I-Eng</v>
          </cell>
          <cell r="M1508" t="str">
            <v>Bafoussam</v>
          </cell>
          <cell r="N1508" t="str">
            <v>HAUTS-PLATEAUX</v>
          </cell>
          <cell r="O1508" t="str">
            <v>BAMENDJOU</v>
          </cell>
          <cell r="P1508" t="str">
            <v>Samuel Ekouele</v>
          </cell>
          <cell r="Q1508">
            <v>677549818</v>
          </cell>
          <cell r="R1508">
            <v>655999818</v>
          </cell>
          <cell r="S1508" t="str">
            <v>Vensa Mohammadu</v>
          </cell>
          <cell r="T1508" t="str">
            <v>GEORGES NAKHOUL</v>
          </cell>
          <cell r="U1508" t="str">
            <v>I H S</v>
          </cell>
        </row>
        <row r="1509">
          <cell r="A1509" t="str">
            <v>OST_223</v>
          </cell>
          <cell r="B1509" t="str">
            <v>IHS_BAF_014</v>
          </cell>
          <cell r="C1509" t="str">
            <v>OST_223</v>
          </cell>
          <cell r="D1509" t="str">
            <v>West</v>
          </cell>
          <cell r="E1509" t="str">
            <v>West</v>
          </cell>
          <cell r="F1509" t="str">
            <v>Bafoussam Marche New</v>
          </cell>
          <cell r="G1509" t="str">
            <v>P5</v>
          </cell>
          <cell r="H1509" t="str">
            <v>Grid-Gen</v>
          </cell>
          <cell r="I1509" t="str">
            <v>On Air</v>
          </cell>
          <cell r="J1509" t="str">
            <v>Indoor</v>
          </cell>
          <cell r="K1509" t="str">
            <v>AC</v>
          </cell>
          <cell r="L1509" t="str">
            <v>I-Eng</v>
          </cell>
          <cell r="M1509" t="str">
            <v>Bafoussam</v>
          </cell>
          <cell r="N1509" t="str">
            <v>MIFI</v>
          </cell>
          <cell r="O1509" t="str">
            <v>BAFOUSSAM</v>
          </cell>
          <cell r="P1509" t="str">
            <v>Samuel Ekouele</v>
          </cell>
          <cell r="Q1509">
            <v>677549818</v>
          </cell>
          <cell r="R1509">
            <v>655999818</v>
          </cell>
          <cell r="S1509" t="str">
            <v>Vensa Mohammadu</v>
          </cell>
          <cell r="T1509" t="str">
            <v>GEORGES NAKHOUL</v>
          </cell>
          <cell r="U1509" t="str">
            <v>I H S</v>
          </cell>
        </row>
        <row r="1510">
          <cell r="A1510" t="str">
            <v>OST_140</v>
          </cell>
          <cell r="B1510" t="str">
            <v>IHS_DCG_025</v>
          </cell>
          <cell r="C1510" t="str">
            <v>OST_140</v>
          </cell>
          <cell r="D1510" t="str">
            <v>West</v>
          </cell>
          <cell r="E1510" t="str">
            <v>West</v>
          </cell>
          <cell r="F1510" t="str">
            <v>Santchou-IHS</v>
          </cell>
          <cell r="G1510" t="str">
            <v>P5</v>
          </cell>
          <cell r="H1510" t="str">
            <v>Grid-Gen</v>
          </cell>
          <cell r="I1510" t="str">
            <v>On Air</v>
          </cell>
          <cell r="J1510" t="str">
            <v>Outdoor</v>
          </cell>
          <cell r="K1510" t="str">
            <v>AC</v>
          </cell>
          <cell r="L1510" t="str">
            <v>I-Eng</v>
          </cell>
          <cell r="M1510" t="str">
            <v>Dschang</v>
          </cell>
          <cell r="N1510" t="str">
            <v>MENOUA</v>
          </cell>
          <cell r="O1510" t="str">
            <v>SANTCHOU</v>
          </cell>
          <cell r="P1510" t="str">
            <v>Samuel Ekouele</v>
          </cell>
          <cell r="Q1510">
            <v>677549818</v>
          </cell>
          <cell r="R1510">
            <v>655999818</v>
          </cell>
          <cell r="S1510" t="str">
            <v>Vensa Mohammadu</v>
          </cell>
          <cell r="T1510" t="str">
            <v>GEORGES NAKHOUL</v>
          </cell>
          <cell r="U1510" t="str">
            <v>I H S</v>
          </cell>
        </row>
        <row r="1511">
          <cell r="A1511" t="str">
            <v>OST_263</v>
          </cell>
          <cell r="B1511" t="str">
            <v>IHS_DCG_026</v>
          </cell>
          <cell r="C1511" t="str">
            <v>OST_263</v>
          </cell>
          <cell r="D1511" t="str">
            <v>West</v>
          </cell>
          <cell r="E1511" t="str">
            <v>West</v>
          </cell>
          <cell r="F1511" t="str">
            <v>Fondonera_IHS</v>
          </cell>
          <cell r="G1511" t="str">
            <v>P5</v>
          </cell>
          <cell r="H1511" t="str">
            <v>Grid-Gen</v>
          </cell>
          <cell r="I1511" t="str">
            <v>On Air</v>
          </cell>
          <cell r="J1511" t="str">
            <v>Outdoor</v>
          </cell>
          <cell r="K1511" t="str">
            <v>AC</v>
          </cell>
          <cell r="L1511" t="str">
            <v>I-Eng</v>
          </cell>
          <cell r="M1511" t="str">
            <v>Dschang</v>
          </cell>
          <cell r="N1511" t="str">
            <v>MENOUA</v>
          </cell>
          <cell r="O1511" t="str">
            <v>SANTCHOU</v>
          </cell>
          <cell r="P1511" t="str">
            <v>Samuel Ekouele</v>
          </cell>
          <cell r="Q1511">
            <v>677549818</v>
          </cell>
          <cell r="R1511">
            <v>655999818</v>
          </cell>
          <cell r="S1511" t="str">
            <v>Vensa Mohammadu</v>
          </cell>
          <cell r="T1511" t="str">
            <v>GEORGES NAKHOUL</v>
          </cell>
          <cell r="U1511" t="str">
            <v>I H S</v>
          </cell>
        </row>
        <row r="1512">
          <cell r="A1512" t="str">
            <v>OST_164</v>
          </cell>
          <cell r="B1512" t="str">
            <v>IHS_BAF_051</v>
          </cell>
          <cell r="C1512" t="str">
            <v>OST_164</v>
          </cell>
          <cell r="D1512" t="str">
            <v>West</v>
          </cell>
          <cell r="E1512" t="str">
            <v>West</v>
          </cell>
          <cell r="F1512" t="str">
            <v>Batie</v>
          </cell>
          <cell r="G1512" t="str">
            <v>P5</v>
          </cell>
          <cell r="H1512" t="str">
            <v>Grid-Gen</v>
          </cell>
          <cell r="I1512" t="str">
            <v>On Air</v>
          </cell>
          <cell r="J1512" t="str">
            <v>Outdoor</v>
          </cell>
          <cell r="K1512" t="str">
            <v>AC</v>
          </cell>
          <cell r="L1512" t="str">
            <v>I-Eng</v>
          </cell>
          <cell r="M1512" t="str">
            <v>Bafoussam</v>
          </cell>
          <cell r="N1512" t="str">
            <v>HAUTS-PLATEAUX</v>
          </cell>
          <cell r="O1512" t="str">
            <v>BATIE</v>
          </cell>
          <cell r="P1512" t="str">
            <v>Samuel Ekouele</v>
          </cell>
          <cell r="Q1512">
            <v>677549818</v>
          </cell>
          <cell r="R1512">
            <v>655999818</v>
          </cell>
          <cell r="S1512" t="str">
            <v>Vensa Mohammadu</v>
          </cell>
          <cell r="T1512" t="str">
            <v>GEORGES NAKHOUL</v>
          </cell>
          <cell r="U1512" t="str">
            <v>I H S</v>
          </cell>
        </row>
        <row r="1513">
          <cell r="A1513" t="str">
            <v>OST_097</v>
          </cell>
          <cell r="B1513" t="str">
            <v>IHS_DCG_007</v>
          </cell>
          <cell r="C1513" t="str">
            <v>OST_097</v>
          </cell>
          <cell r="D1513" t="str">
            <v>West</v>
          </cell>
          <cell r="E1513" t="str">
            <v>West</v>
          </cell>
          <cell r="F1513" t="str">
            <v>Dschang-Rectorat-MTN</v>
          </cell>
          <cell r="G1513" t="str">
            <v>P5</v>
          </cell>
          <cell r="H1513" t="str">
            <v>Grid-Gen</v>
          </cell>
          <cell r="I1513" t="str">
            <v>On Air</v>
          </cell>
          <cell r="J1513" t="str">
            <v>Indoor</v>
          </cell>
          <cell r="K1513" t="str">
            <v>AC</v>
          </cell>
          <cell r="L1513" t="str">
            <v>I-Eng</v>
          </cell>
          <cell r="M1513" t="str">
            <v>Dschang</v>
          </cell>
          <cell r="N1513" t="str">
            <v>MENOUA</v>
          </cell>
          <cell r="O1513" t="str">
            <v>DSCHANG</v>
          </cell>
          <cell r="P1513" t="str">
            <v>Samuel Ekouele</v>
          </cell>
          <cell r="Q1513">
            <v>677549818</v>
          </cell>
          <cell r="R1513">
            <v>655999818</v>
          </cell>
          <cell r="S1513" t="str">
            <v>Vensa Mohammadu</v>
          </cell>
          <cell r="T1513" t="str">
            <v>GEORGES NAKHOUL</v>
          </cell>
          <cell r="U1513" t="str">
            <v>I H S</v>
          </cell>
        </row>
        <row r="1514">
          <cell r="A1514" t="str">
            <v>OST_255</v>
          </cell>
          <cell r="B1514" t="str">
            <v>IHS_DCG_024</v>
          </cell>
          <cell r="C1514" t="str">
            <v>OST_255</v>
          </cell>
          <cell r="D1514" t="str">
            <v>West</v>
          </cell>
          <cell r="E1514" t="str">
            <v>West</v>
          </cell>
          <cell r="F1514" t="str">
            <v>Bafou-Balepe</v>
          </cell>
          <cell r="G1514" t="str">
            <v>P5</v>
          </cell>
          <cell r="H1514" t="str">
            <v>Grid-Gen</v>
          </cell>
          <cell r="I1514" t="str">
            <v>On Air</v>
          </cell>
          <cell r="J1514" t="str">
            <v>Outdoor</v>
          </cell>
          <cell r="K1514" t="str">
            <v>AC</v>
          </cell>
          <cell r="L1514" t="str">
            <v>I-Eng</v>
          </cell>
          <cell r="M1514" t="str">
            <v>Dschang</v>
          </cell>
          <cell r="N1514" t="str">
            <v>MENOUA</v>
          </cell>
          <cell r="O1514" t="str">
            <v>NKONGHNI</v>
          </cell>
          <cell r="P1514" t="str">
            <v>Samuel Ekouele</v>
          </cell>
          <cell r="Q1514">
            <v>677549818</v>
          </cell>
          <cell r="R1514">
            <v>655999818</v>
          </cell>
          <cell r="S1514" t="str">
            <v>Vensa Mohammadu</v>
          </cell>
          <cell r="T1514" t="str">
            <v>GEORGES NAKHOUL</v>
          </cell>
          <cell r="U1514" t="str">
            <v>I H S</v>
          </cell>
        </row>
        <row r="1515">
          <cell r="A1515" t="str">
            <v>OST_144</v>
          </cell>
          <cell r="B1515" t="str">
            <v>IHS_MBD_001</v>
          </cell>
          <cell r="C1515" t="str">
            <v>OST_144</v>
          </cell>
          <cell r="D1515" t="str">
            <v>West</v>
          </cell>
          <cell r="E1515" t="str">
            <v>West</v>
          </cell>
          <cell r="F1515" t="str">
            <v>Mbouda-SIK-IHS</v>
          </cell>
          <cell r="G1515" t="str">
            <v>P5</v>
          </cell>
          <cell r="H1515" t="str">
            <v>Grid-Gen</v>
          </cell>
          <cell r="I1515" t="str">
            <v>On Air</v>
          </cell>
          <cell r="J1515" t="str">
            <v>Outdoor</v>
          </cell>
          <cell r="K1515" t="str">
            <v>AC</v>
          </cell>
          <cell r="L1515" t="str">
            <v>I-Eng</v>
          </cell>
          <cell r="M1515" t="str">
            <v>Bafoussam</v>
          </cell>
          <cell r="N1515" t="str">
            <v>BAMBOUTOUS</v>
          </cell>
          <cell r="O1515" t="str">
            <v>MBOUDA</v>
          </cell>
          <cell r="P1515" t="str">
            <v>Samuel Ekouele</v>
          </cell>
          <cell r="Q1515">
            <v>677549818</v>
          </cell>
          <cell r="R1515">
            <v>655999818</v>
          </cell>
          <cell r="S1515" t="str">
            <v>Vensa Mohammadu</v>
          </cell>
          <cell r="T1515" t="str">
            <v>GEORGES NAKHOUL</v>
          </cell>
          <cell r="U1515" t="str">
            <v>I H S</v>
          </cell>
        </row>
        <row r="1516">
          <cell r="A1516" t="str">
            <v>SUO_097</v>
          </cell>
          <cell r="B1516" t="str">
            <v>IHS_KMB_102</v>
          </cell>
          <cell r="C1516" t="str">
            <v>SUO_097</v>
          </cell>
          <cell r="D1516" t="str">
            <v>South West</v>
          </cell>
          <cell r="E1516" t="str">
            <v>South West</v>
          </cell>
          <cell r="F1516" t="str">
            <v>Gamoko-Hill-C1</v>
          </cell>
          <cell r="G1516" t="str">
            <v>P2</v>
          </cell>
          <cell r="H1516" t="str">
            <v>Gen Only</v>
          </cell>
          <cell r="I1516" t="str">
            <v>No Access</v>
          </cell>
          <cell r="J1516" t="str">
            <v>Outdoor</v>
          </cell>
          <cell r="K1516" t="str">
            <v>AC</v>
          </cell>
          <cell r="L1516" t="str">
            <v>I-Eng</v>
          </cell>
          <cell r="M1516" t="str">
            <v>Kumba</v>
          </cell>
          <cell r="N1516" t="str">
            <v>Meme</v>
          </cell>
          <cell r="O1516" t="str">
            <v>Mbonge</v>
          </cell>
          <cell r="P1516" t="str">
            <v>Sani Njamo</v>
          </cell>
          <cell r="Q1516">
            <v>677549819</v>
          </cell>
          <cell r="R1516">
            <v>655999819</v>
          </cell>
          <cell r="S1516" t="str">
            <v>Stephane KETCHOUANG</v>
          </cell>
          <cell r="T1516" t="str">
            <v>GEORGES NAKHOUL</v>
          </cell>
          <cell r="U1516" t="str">
            <v>I H S</v>
          </cell>
        </row>
        <row r="1517">
          <cell r="A1517" t="str">
            <v>SUO_006</v>
          </cell>
          <cell r="B1517" t="str">
            <v>IHS_KMB_004</v>
          </cell>
          <cell r="C1517" t="str">
            <v>SUO_006</v>
          </cell>
          <cell r="D1517" t="str">
            <v>South West</v>
          </cell>
          <cell r="E1517" t="str">
            <v>South West</v>
          </cell>
          <cell r="F1517" t="str">
            <v>Kumba</v>
          </cell>
          <cell r="G1517" t="str">
            <v>P2</v>
          </cell>
          <cell r="H1517" t="str">
            <v>Grid-Gen</v>
          </cell>
          <cell r="I1517" t="str">
            <v>On Air</v>
          </cell>
          <cell r="J1517" t="str">
            <v>Indoor</v>
          </cell>
          <cell r="K1517" t="str">
            <v>AC</v>
          </cell>
          <cell r="L1517" t="str">
            <v>I-Eng</v>
          </cell>
          <cell r="M1517" t="str">
            <v>Kumba</v>
          </cell>
          <cell r="N1517" t="str">
            <v>MEME</v>
          </cell>
          <cell r="O1517" t="str">
            <v>Kumba 2</v>
          </cell>
          <cell r="P1517" t="str">
            <v>Sani Njamo</v>
          </cell>
          <cell r="Q1517">
            <v>677549819</v>
          </cell>
          <cell r="R1517">
            <v>655999819</v>
          </cell>
          <cell r="S1517" t="str">
            <v>Stephane KETCHOUANG</v>
          </cell>
          <cell r="T1517" t="str">
            <v>GEORGES NAKHOUL</v>
          </cell>
          <cell r="U1517" t="str">
            <v>I H S</v>
          </cell>
        </row>
        <row r="1518">
          <cell r="A1518" t="str">
            <v>SUO_027</v>
          </cell>
          <cell r="B1518" t="str">
            <v>IHS_KMB_017</v>
          </cell>
          <cell r="C1518" t="str">
            <v>SUO_027</v>
          </cell>
          <cell r="D1518" t="str">
            <v>South West</v>
          </cell>
          <cell r="E1518" t="str">
            <v>South West</v>
          </cell>
          <cell r="F1518" t="str">
            <v>Kumba-Mabanda</v>
          </cell>
          <cell r="G1518" t="str">
            <v>P2</v>
          </cell>
          <cell r="H1518" t="str">
            <v>Grid-Gen</v>
          </cell>
          <cell r="I1518" t="str">
            <v>On Air</v>
          </cell>
          <cell r="J1518" t="str">
            <v>Outdoor</v>
          </cell>
          <cell r="K1518" t="str">
            <v>AC</v>
          </cell>
          <cell r="L1518" t="str">
            <v>I-Eng</v>
          </cell>
          <cell r="M1518" t="str">
            <v>Kumba</v>
          </cell>
          <cell r="N1518" t="str">
            <v>MEME</v>
          </cell>
          <cell r="O1518" t="str">
            <v>Kumba 3</v>
          </cell>
          <cell r="P1518" t="str">
            <v>Sani Njamo</v>
          </cell>
          <cell r="Q1518">
            <v>677549819</v>
          </cell>
          <cell r="R1518">
            <v>655999819</v>
          </cell>
          <cell r="S1518" t="str">
            <v>Stephane KETCHOUANG</v>
          </cell>
          <cell r="T1518" t="str">
            <v>GEORGES NAKHOUL</v>
          </cell>
          <cell r="U1518" t="str">
            <v>I H S</v>
          </cell>
        </row>
        <row r="1519">
          <cell r="A1519" t="str">
            <v>SUO_020</v>
          </cell>
          <cell r="B1519" t="str">
            <v>IHS_KMB_049</v>
          </cell>
          <cell r="C1519" t="str">
            <v>SUO_020</v>
          </cell>
          <cell r="D1519" t="str">
            <v>South West</v>
          </cell>
          <cell r="E1519" t="str">
            <v>South West</v>
          </cell>
          <cell r="F1519" t="str">
            <v>Mundemba</v>
          </cell>
          <cell r="G1519" t="str">
            <v>P3</v>
          </cell>
          <cell r="H1519" t="str">
            <v>Hybrid-Gen</v>
          </cell>
          <cell r="I1519" t="str">
            <v>On Air</v>
          </cell>
          <cell r="J1519" t="str">
            <v>Outdoor</v>
          </cell>
          <cell r="K1519" t="str">
            <v>AC</v>
          </cell>
          <cell r="L1519" t="str">
            <v>I-Eng</v>
          </cell>
          <cell r="M1519" t="str">
            <v>Ekondo Titi</v>
          </cell>
          <cell r="N1519" t="str">
            <v>NDIAN</v>
          </cell>
          <cell r="O1519" t="str">
            <v>Mundemba</v>
          </cell>
          <cell r="P1519" t="str">
            <v>Sani Njamo</v>
          </cell>
          <cell r="Q1519">
            <v>677549819</v>
          </cell>
          <cell r="R1519">
            <v>655999819</v>
          </cell>
          <cell r="S1519" t="str">
            <v>Stephane KETCHOUANG</v>
          </cell>
          <cell r="T1519" t="str">
            <v>GEORGES NAKHOUL</v>
          </cell>
          <cell r="U1519" t="str">
            <v>I H S</v>
          </cell>
        </row>
        <row r="1520">
          <cell r="A1520" t="str">
            <v>SUO_019</v>
          </cell>
          <cell r="B1520" t="str">
            <v>IHS_KMB_033</v>
          </cell>
          <cell r="C1520" t="str">
            <v>SUO_019</v>
          </cell>
          <cell r="D1520" t="str">
            <v>South West</v>
          </cell>
          <cell r="E1520" t="str">
            <v>South West</v>
          </cell>
          <cell r="F1520" t="str">
            <v>Ekondo-Titi</v>
          </cell>
          <cell r="G1520" t="str">
            <v>P3</v>
          </cell>
          <cell r="H1520" t="str">
            <v>Grid-Gen</v>
          </cell>
          <cell r="I1520" t="str">
            <v>On Air</v>
          </cell>
          <cell r="J1520" t="str">
            <v>Outdoor</v>
          </cell>
          <cell r="K1520" t="str">
            <v>AC</v>
          </cell>
          <cell r="L1520" t="str">
            <v>I-Eng</v>
          </cell>
          <cell r="M1520" t="str">
            <v>Ekondo Titi</v>
          </cell>
          <cell r="N1520" t="str">
            <v>NDIAN</v>
          </cell>
          <cell r="O1520" t="str">
            <v>Ekondo titi</v>
          </cell>
          <cell r="P1520" t="str">
            <v>Sani Njamo</v>
          </cell>
          <cell r="Q1520">
            <v>677549819</v>
          </cell>
          <cell r="R1520">
            <v>655999819</v>
          </cell>
          <cell r="S1520" t="str">
            <v>Stephane KETCHOUANG</v>
          </cell>
          <cell r="T1520" t="str">
            <v>GEORGES NAKHOUL</v>
          </cell>
          <cell r="U1520" t="str">
            <v>I H S</v>
          </cell>
        </row>
        <row r="1521">
          <cell r="A1521" t="str">
            <v>SUO_007</v>
          </cell>
          <cell r="B1521" t="str">
            <v>IHS_BUA_002</v>
          </cell>
          <cell r="C1521" t="str">
            <v>SUO_007</v>
          </cell>
          <cell r="D1521" t="str">
            <v>South West</v>
          </cell>
          <cell r="E1521" t="str">
            <v>South West</v>
          </cell>
          <cell r="F1521" t="str">
            <v>Buea-Orange</v>
          </cell>
          <cell r="G1521" t="str">
            <v>P3</v>
          </cell>
          <cell r="H1521" t="str">
            <v>Grid-Gen</v>
          </cell>
          <cell r="I1521" t="str">
            <v>On Air</v>
          </cell>
          <cell r="J1521" t="str">
            <v>Indoor</v>
          </cell>
          <cell r="K1521" t="str">
            <v>AC</v>
          </cell>
          <cell r="L1521" t="str">
            <v>I-Eng</v>
          </cell>
          <cell r="M1521" t="str">
            <v>Buea</v>
          </cell>
          <cell r="N1521" t="str">
            <v>FAKO</v>
          </cell>
          <cell r="O1521" t="str">
            <v>Buea</v>
          </cell>
          <cell r="P1521" t="str">
            <v>Sani Njamo</v>
          </cell>
          <cell r="Q1521">
            <v>677549819</v>
          </cell>
          <cell r="R1521">
            <v>655999819</v>
          </cell>
          <cell r="S1521" t="str">
            <v>Stephane KETCHOUANG</v>
          </cell>
          <cell r="T1521" t="str">
            <v>GEORGES NAKHOUL</v>
          </cell>
          <cell r="U1521" t="str">
            <v>I H S</v>
          </cell>
        </row>
        <row r="1522">
          <cell r="A1522" t="str">
            <v>SUO_077</v>
          </cell>
          <cell r="B1522" t="str">
            <v>IHS_BUA_021</v>
          </cell>
          <cell r="C1522" t="str">
            <v>SUO_077</v>
          </cell>
          <cell r="D1522" t="str">
            <v>South West</v>
          </cell>
          <cell r="E1522" t="str">
            <v>South West</v>
          </cell>
          <cell r="F1522" t="str">
            <v>Buea-David-Square</v>
          </cell>
          <cell r="G1522" t="str">
            <v>P3</v>
          </cell>
          <cell r="H1522" t="str">
            <v>Grid-Gen</v>
          </cell>
          <cell r="I1522" t="str">
            <v>On Air</v>
          </cell>
          <cell r="J1522" t="str">
            <v>Outdoor</v>
          </cell>
          <cell r="K1522" t="str">
            <v>AC</v>
          </cell>
          <cell r="L1522" t="str">
            <v>I-Eng</v>
          </cell>
          <cell r="M1522" t="str">
            <v>Buea</v>
          </cell>
          <cell r="N1522" t="str">
            <v>FAKO</v>
          </cell>
          <cell r="O1522" t="str">
            <v>Buea</v>
          </cell>
          <cell r="P1522" t="str">
            <v>Sani Njamo</v>
          </cell>
          <cell r="Q1522">
            <v>677549819</v>
          </cell>
          <cell r="R1522">
            <v>655999819</v>
          </cell>
          <cell r="S1522" t="str">
            <v>Stephane KETCHOUANG</v>
          </cell>
          <cell r="T1522" t="str">
            <v>GEORGES NAKHOUL</v>
          </cell>
          <cell r="U1522" t="str">
            <v>I H S</v>
          </cell>
        </row>
        <row r="1523">
          <cell r="A1523" t="str">
            <v>SUO_062</v>
          </cell>
          <cell r="B1523" t="str">
            <v>IHS_BUA_005</v>
          </cell>
          <cell r="C1523" t="str">
            <v>SUO_062</v>
          </cell>
          <cell r="D1523" t="str">
            <v>South West</v>
          </cell>
          <cell r="E1523" t="str">
            <v>South West</v>
          </cell>
          <cell r="F1523" t="str">
            <v>Buea-Universite</v>
          </cell>
          <cell r="G1523" t="str">
            <v>P3</v>
          </cell>
          <cell r="H1523" t="str">
            <v>Grid-Gen</v>
          </cell>
          <cell r="I1523" t="str">
            <v>On Air</v>
          </cell>
          <cell r="J1523" t="str">
            <v>Outdoor</v>
          </cell>
          <cell r="K1523" t="str">
            <v>AC</v>
          </cell>
          <cell r="L1523" t="str">
            <v>I-Eng</v>
          </cell>
          <cell r="M1523" t="str">
            <v>Buea</v>
          </cell>
          <cell r="N1523" t="str">
            <v>FAKO</v>
          </cell>
          <cell r="O1523" t="str">
            <v>Buea</v>
          </cell>
          <cell r="P1523" t="str">
            <v>Sani Njamo</v>
          </cell>
          <cell r="Q1523">
            <v>677549819</v>
          </cell>
          <cell r="R1523">
            <v>655999819</v>
          </cell>
          <cell r="S1523" t="str">
            <v>Stephane KETCHOUANG</v>
          </cell>
          <cell r="T1523" t="str">
            <v>GEORGES NAKHOUL</v>
          </cell>
          <cell r="U1523" t="str">
            <v>I H S</v>
          </cell>
        </row>
        <row r="1524">
          <cell r="A1524" t="str">
            <v>SUO_063</v>
          </cell>
          <cell r="B1524" t="str">
            <v>IHS_BUA_009</v>
          </cell>
          <cell r="C1524" t="str">
            <v>SUO_063</v>
          </cell>
          <cell r="D1524" t="str">
            <v>South West</v>
          </cell>
          <cell r="E1524" t="str">
            <v>South West</v>
          </cell>
          <cell r="F1524" t="str">
            <v>Buea-Centre-Ville</v>
          </cell>
          <cell r="G1524" t="str">
            <v>P3</v>
          </cell>
          <cell r="H1524" t="str">
            <v>Grid-Gen</v>
          </cell>
          <cell r="I1524" t="str">
            <v>On Air</v>
          </cell>
          <cell r="J1524" t="str">
            <v>Outdoor</v>
          </cell>
          <cell r="K1524" t="str">
            <v>AC</v>
          </cell>
          <cell r="L1524" t="str">
            <v>I-Eng</v>
          </cell>
          <cell r="M1524" t="str">
            <v>Buea</v>
          </cell>
          <cell r="N1524" t="str">
            <v>FAKO</v>
          </cell>
          <cell r="O1524" t="str">
            <v>Buea</v>
          </cell>
          <cell r="P1524" t="str">
            <v>Sani Njamo</v>
          </cell>
          <cell r="Q1524">
            <v>677549819</v>
          </cell>
          <cell r="R1524">
            <v>655999819</v>
          </cell>
          <cell r="S1524" t="str">
            <v>Stephane KETCHOUANG</v>
          </cell>
          <cell r="T1524" t="str">
            <v>GEORGES NAKHOUL</v>
          </cell>
          <cell r="U1524" t="str">
            <v>I H S</v>
          </cell>
        </row>
        <row r="1525">
          <cell r="A1525" t="str">
            <v>SUO_052</v>
          </cell>
          <cell r="B1525" t="str">
            <v>IHS_KMB_014</v>
          </cell>
          <cell r="C1525" t="str">
            <v>SUO_052</v>
          </cell>
          <cell r="D1525" t="str">
            <v>South West</v>
          </cell>
          <cell r="E1525" t="str">
            <v>South West</v>
          </cell>
          <cell r="F1525" t="str">
            <v>Kumba-Kake</v>
          </cell>
          <cell r="G1525" t="str">
            <v>P3</v>
          </cell>
          <cell r="H1525" t="str">
            <v>Gen Only</v>
          </cell>
          <cell r="I1525" t="str">
            <v>On Air</v>
          </cell>
          <cell r="J1525" t="str">
            <v>Outdoor</v>
          </cell>
          <cell r="K1525" t="str">
            <v>AC</v>
          </cell>
          <cell r="L1525" t="str">
            <v>I-Eng</v>
          </cell>
          <cell r="M1525" t="str">
            <v>Kumba</v>
          </cell>
          <cell r="N1525" t="str">
            <v>MEME</v>
          </cell>
          <cell r="O1525" t="str">
            <v>Kumba 1</v>
          </cell>
          <cell r="P1525" t="str">
            <v>Sani Njamo</v>
          </cell>
          <cell r="Q1525">
            <v>677549819</v>
          </cell>
          <cell r="R1525">
            <v>655999819</v>
          </cell>
          <cell r="S1525" t="str">
            <v>Stephane KETCHOUANG</v>
          </cell>
          <cell r="T1525" t="str">
            <v>GEORGES NAKHOUL</v>
          </cell>
          <cell r="U1525" t="str">
            <v>I H S</v>
          </cell>
        </row>
        <row r="1526">
          <cell r="A1526" t="str">
            <v>SUO_128</v>
          </cell>
          <cell r="B1526" t="str">
            <v>IHS_BUA_034</v>
          </cell>
          <cell r="C1526" t="str">
            <v>SUO_128</v>
          </cell>
          <cell r="D1526" t="str">
            <v>South West</v>
          </cell>
          <cell r="E1526" t="str">
            <v>South West</v>
          </cell>
          <cell r="F1526" t="str">
            <v>Ekona-II-IHS</v>
          </cell>
          <cell r="G1526" t="str">
            <v>P3</v>
          </cell>
          <cell r="H1526" t="str">
            <v>Vandalized</v>
          </cell>
          <cell r="I1526" t="str">
            <v>On Air</v>
          </cell>
          <cell r="J1526" t="str">
            <v>Outdoor</v>
          </cell>
          <cell r="K1526" t="str">
            <v>AC</v>
          </cell>
          <cell r="L1526" t="str">
            <v>I-Eng</v>
          </cell>
          <cell r="M1526" t="str">
            <v>Buea</v>
          </cell>
          <cell r="N1526" t="str">
            <v>FAKO</v>
          </cell>
          <cell r="O1526" t="str">
            <v>Buea</v>
          </cell>
          <cell r="P1526" t="str">
            <v>Sani Njamo</v>
          </cell>
          <cell r="Q1526">
            <v>677549819</v>
          </cell>
          <cell r="R1526">
            <v>655999819</v>
          </cell>
          <cell r="S1526" t="str">
            <v>Stephane KETCHOUANG</v>
          </cell>
          <cell r="T1526" t="str">
            <v>GEORGES NAKHOUL</v>
          </cell>
          <cell r="U1526" t="str">
            <v>I H S</v>
          </cell>
        </row>
        <row r="1527">
          <cell r="A1527" t="str">
            <v>SUO_110</v>
          </cell>
          <cell r="B1527" t="str">
            <v>IHS_KMB_009</v>
          </cell>
          <cell r="C1527" t="str">
            <v>SUO_110</v>
          </cell>
          <cell r="D1527" t="str">
            <v>South West</v>
          </cell>
          <cell r="E1527" t="str">
            <v>South West</v>
          </cell>
          <cell r="F1527" t="str">
            <v>Kumba-Fiango-IHS</v>
          </cell>
          <cell r="G1527" t="str">
            <v>P3</v>
          </cell>
          <cell r="H1527" t="str">
            <v>Grid-Gen</v>
          </cell>
          <cell r="I1527" t="str">
            <v>On Air</v>
          </cell>
          <cell r="J1527" t="str">
            <v>Outdoor</v>
          </cell>
          <cell r="K1527" t="str">
            <v>AC</v>
          </cell>
          <cell r="L1527" t="str">
            <v>I-Eng</v>
          </cell>
          <cell r="M1527" t="str">
            <v>Kumba</v>
          </cell>
          <cell r="N1527" t="str">
            <v>MEME</v>
          </cell>
          <cell r="O1527" t="str">
            <v>Kumba 3</v>
          </cell>
          <cell r="P1527" t="str">
            <v>Sani Njamo</v>
          </cell>
          <cell r="Q1527">
            <v>677549819</v>
          </cell>
          <cell r="R1527">
            <v>655999819</v>
          </cell>
          <cell r="S1527" t="str">
            <v>Stephane KETCHOUANG</v>
          </cell>
          <cell r="T1527" t="str">
            <v>GEORGES NAKHOUL</v>
          </cell>
          <cell r="U1527" t="str">
            <v>I H S</v>
          </cell>
        </row>
        <row r="1528">
          <cell r="A1528" t="str">
            <v>SUO_134</v>
          </cell>
          <cell r="B1528" t="str">
            <v>IHS_KMB_109</v>
          </cell>
          <cell r="C1528" t="str">
            <v>SUO_134</v>
          </cell>
          <cell r="D1528" t="str">
            <v>South West</v>
          </cell>
          <cell r="E1528" t="str">
            <v>South West</v>
          </cell>
          <cell r="F1528" t="str">
            <v>Mbonge</v>
          </cell>
          <cell r="G1528" t="str">
            <v>P4</v>
          </cell>
          <cell r="H1528" t="str">
            <v>Hybrid-Gen</v>
          </cell>
          <cell r="I1528" t="str">
            <v>On Air</v>
          </cell>
          <cell r="J1528" t="str">
            <v>Outdoor</v>
          </cell>
          <cell r="K1528" t="str">
            <v>AC</v>
          </cell>
          <cell r="L1528" t="str">
            <v>I-Eng</v>
          </cell>
          <cell r="M1528" t="str">
            <v>Ekondo Titi</v>
          </cell>
          <cell r="N1528" t="str">
            <v>NDIAN</v>
          </cell>
          <cell r="O1528" t="str">
            <v>Mbonge</v>
          </cell>
          <cell r="P1528" t="str">
            <v>Sani Njamo</v>
          </cell>
          <cell r="Q1528">
            <v>677549819</v>
          </cell>
          <cell r="R1528">
            <v>655999819</v>
          </cell>
          <cell r="S1528" t="str">
            <v>Stephane KETCHOUANG</v>
          </cell>
          <cell r="T1528" t="str">
            <v>GEORGES NAKHOUL</v>
          </cell>
          <cell r="U1528" t="str">
            <v>I H S</v>
          </cell>
        </row>
        <row r="1529">
          <cell r="A1529" t="str">
            <v>SUO_025</v>
          </cell>
          <cell r="B1529" t="str">
            <v>IHS_BUA_102</v>
          </cell>
          <cell r="C1529" t="str">
            <v>SUO_025</v>
          </cell>
          <cell r="D1529" t="str">
            <v>South West</v>
          </cell>
          <cell r="E1529" t="str">
            <v>South West</v>
          </cell>
          <cell r="F1529" t="str">
            <v>Bova- Bokombo _IHS</v>
          </cell>
          <cell r="G1529" t="str">
            <v>P4</v>
          </cell>
          <cell r="H1529" t="str">
            <v>Gen Only</v>
          </cell>
          <cell r="I1529" t="str">
            <v>On Air</v>
          </cell>
          <cell r="J1529" t="str">
            <v>Outdoor</v>
          </cell>
          <cell r="K1529" t="str">
            <v>AC</v>
          </cell>
          <cell r="L1529" t="str">
            <v>I-Eng</v>
          </cell>
          <cell r="M1529" t="str">
            <v>Buea</v>
          </cell>
          <cell r="N1529" t="str">
            <v>FAKO</v>
          </cell>
          <cell r="O1529" t="str">
            <v>Muyuka</v>
          </cell>
          <cell r="P1529" t="str">
            <v>Sani Njamo</v>
          </cell>
          <cell r="Q1529">
            <v>677549819</v>
          </cell>
          <cell r="R1529">
            <v>655999819</v>
          </cell>
          <cell r="S1529" t="str">
            <v>Stephane KETCHOUANG</v>
          </cell>
          <cell r="T1529" t="str">
            <v>GEORGES NAKHOUL</v>
          </cell>
          <cell r="U1529" t="str">
            <v>I H S</v>
          </cell>
        </row>
        <row r="1530">
          <cell r="A1530" t="str">
            <v>SUO_132</v>
          </cell>
          <cell r="B1530" t="str">
            <v>IHS_BUA_154</v>
          </cell>
          <cell r="C1530" t="str">
            <v>SUO_132</v>
          </cell>
          <cell r="D1530" t="str">
            <v>South West</v>
          </cell>
          <cell r="E1530" t="str">
            <v>South West</v>
          </cell>
          <cell r="F1530" t="str">
            <v>bonakanda</v>
          </cell>
          <cell r="G1530" t="str">
            <v>P4</v>
          </cell>
          <cell r="H1530" t="str">
            <v>Grid-Gen</v>
          </cell>
          <cell r="I1530" t="str">
            <v>On Air</v>
          </cell>
          <cell r="J1530" t="str">
            <v>Outdoor</v>
          </cell>
          <cell r="K1530" t="str">
            <v>AC</v>
          </cell>
          <cell r="L1530" t="str">
            <v>I-Eng</v>
          </cell>
          <cell r="M1530" t="str">
            <v>Buea</v>
          </cell>
          <cell r="N1530" t="str">
            <v>FAKO</v>
          </cell>
          <cell r="O1530" t="str">
            <v>Buea</v>
          </cell>
          <cell r="P1530" t="str">
            <v>Sani Njamo</v>
          </cell>
          <cell r="Q1530">
            <v>677549819</v>
          </cell>
          <cell r="R1530">
            <v>655999819</v>
          </cell>
          <cell r="S1530" t="str">
            <v>Stephane KETCHOUANG</v>
          </cell>
          <cell r="T1530" t="str">
            <v>GEORGES NAKHOUL</v>
          </cell>
          <cell r="U1530" t="str">
            <v>I H S</v>
          </cell>
        </row>
        <row r="1531">
          <cell r="A1531" t="str">
            <v>SUO_012</v>
          </cell>
          <cell r="B1531" t="str">
            <v>IHS_BUA_043</v>
          </cell>
          <cell r="C1531" t="str">
            <v>SUO_012</v>
          </cell>
          <cell r="D1531" t="str">
            <v>South West</v>
          </cell>
          <cell r="E1531" t="str">
            <v>South West</v>
          </cell>
          <cell r="F1531" t="str">
            <v>Muyuka</v>
          </cell>
          <cell r="G1531" t="str">
            <v>P4</v>
          </cell>
          <cell r="H1531" t="str">
            <v>Grid-Gen</v>
          </cell>
          <cell r="I1531" t="str">
            <v>OFF Air</v>
          </cell>
          <cell r="J1531" t="str">
            <v>Indoor</v>
          </cell>
          <cell r="K1531" t="str">
            <v>AC</v>
          </cell>
          <cell r="L1531" t="str">
            <v>I-Eng</v>
          </cell>
          <cell r="M1531" t="str">
            <v>Buea</v>
          </cell>
          <cell r="N1531" t="str">
            <v>FAKO</v>
          </cell>
          <cell r="O1531" t="str">
            <v>Muyuka</v>
          </cell>
          <cell r="P1531" t="str">
            <v>Sani Njamo</v>
          </cell>
          <cell r="Q1531">
            <v>677549819</v>
          </cell>
          <cell r="R1531">
            <v>655999819</v>
          </cell>
          <cell r="S1531" t="str">
            <v>Stephane KETCHOUANG</v>
          </cell>
          <cell r="T1531" t="str">
            <v>GEORGES NAKHOUL</v>
          </cell>
          <cell r="U1531" t="str">
            <v>I H S</v>
          </cell>
        </row>
        <row r="1532">
          <cell r="A1532" t="str">
            <v>SUO_071</v>
          </cell>
          <cell r="B1532" t="str">
            <v>IHS_KMB_002</v>
          </cell>
          <cell r="C1532" t="str">
            <v>SUO_071</v>
          </cell>
          <cell r="D1532" t="str">
            <v>South West</v>
          </cell>
          <cell r="E1532" t="str">
            <v>South West</v>
          </cell>
          <cell r="F1532" t="str">
            <v>Kumba-Centre</v>
          </cell>
          <cell r="G1532" t="str">
            <v>P4</v>
          </cell>
          <cell r="H1532" t="str">
            <v>Grid-Gen</v>
          </cell>
          <cell r="I1532" t="str">
            <v>On Air</v>
          </cell>
          <cell r="J1532" t="str">
            <v>Outdoor</v>
          </cell>
          <cell r="K1532" t="str">
            <v>AC</v>
          </cell>
          <cell r="L1532" t="str">
            <v>I-Eng</v>
          </cell>
          <cell r="M1532" t="str">
            <v>Kumba</v>
          </cell>
          <cell r="N1532" t="str">
            <v>MEME</v>
          </cell>
          <cell r="O1532" t="str">
            <v>Kumba</v>
          </cell>
          <cell r="P1532" t="str">
            <v>Sani Njamo</v>
          </cell>
          <cell r="Q1532">
            <v>677549819</v>
          </cell>
          <cell r="R1532">
            <v>655999819</v>
          </cell>
          <cell r="S1532" t="str">
            <v>Stephane KETCHOUANG</v>
          </cell>
          <cell r="T1532" t="str">
            <v>GEORGES NAKHOUL</v>
          </cell>
          <cell r="U1532" t="str">
            <v>I H S</v>
          </cell>
        </row>
        <row r="1533">
          <cell r="A1533" t="str">
            <v>SUO_038</v>
          </cell>
          <cell r="B1533" t="str">
            <v>IHS_BUA_023</v>
          </cell>
          <cell r="C1533" t="str">
            <v>SUO_038</v>
          </cell>
          <cell r="D1533" t="str">
            <v>South West</v>
          </cell>
          <cell r="E1533" t="str">
            <v>South West</v>
          </cell>
          <cell r="F1533" t="str">
            <v>Muea</v>
          </cell>
          <cell r="G1533" t="str">
            <v>P4</v>
          </cell>
          <cell r="H1533" t="str">
            <v>Grid-Gen</v>
          </cell>
          <cell r="I1533" t="str">
            <v>On Air</v>
          </cell>
          <cell r="J1533" t="str">
            <v>Outdoor</v>
          </cell>
          <cell r="K1533" t="str">
            <v>AC</v>
          </cell>
          <cell r="L1533" t="str">
            <v>I-Eng</v>
          </cell>
          <cell r="M1533" t="str">
            <v>Buea</v>
          </cell>
          <cell r="N1533" t="str">
            <v>FAKO</v>
          </cell>
          <cell r="O1533" t="str">
            <v>Buea</v>
          </cell>
          <cell r="P1533" t="str">
            <v>Sani Njamo</v>
          </cell>
          <cell r="Q1533">
            <v>677549819</v>
          </cell>
          <cell r="R1533">
            <v>655999819</v>
          </cell>
          <cell r="S1533" t="str">
            <v>Stephane KETCHOUANG</v>
          </cell>
          <cell r="T1533" t="str">
            <v>GEORGES NAKHOUL</v>
          </cell>
          <cell r="U1533" t="str">
            <v>I H S</v>
          </cell>
        </row>
        <row r="1534">
          <cell r="A1534" t="str">
            <v>SUO_033</v>
          </cell>
          <cell r="B1534" t="str">
            <v>IHS_BUA_018</v>
          </cell>
          <cell r="C1534" t="str">
            <v>SUO_033</v>
          </cell>
          <cell r="D1534" t="str">
            <v>South West</v>
          </cell>
          <cell r="E1534" t="str">
            <v>South West</v>
          </cell>
          <cell r="F1534" t="str">
            <v>Buea-Entree</v>
          </cell>
          <cell r="G1534" t="str">
            <v>P4</v>
          </cell>
          <cell r="H1534" t="str">
            <v>Grid-Gen</v>
          </cell>
          <cell r="I1534" t="str">
            <v>On Air</v>
          </cell>
          <cell r="J1534" t="str">
            <v>Outdoor</v>
          </cell>
          <cell r="K1534" t="str">
            <v>AC</v>
          </cell>
          <cell r="L1534" t="str">
            <v>I-Eng</v>
          </cell>
          <cell r="M1534" t="str">
            <v>Buea</v>
          </cell>
          <cell r="N1534" t="str">
            <v>FAKO</v>
          </cell>
          <cell r="O1534" t="str">
            <v>Buea</v>
          </cell>
          <cell r="P1534" t="str">
            <v>Sani Njamo</v>
          </cell>
          <cell r="Q1534">
            <v>677549819</v>
          </cell>
          <cell r="R1534">
            <v>655999819</v>
          </cell>
          <cell r="S1534" t="str">
            <v>Stephane KETCHOUANG</v>
          </cell>
          <cell r="T1534" t="str">
            <v>GEORGES NAKHOUL</v>
          </cell>
          <cell r="U1534" t="str">
            <v>I H S</v>
          </cell>
        </row>
        <row r="1535">
          <cell r="A1535" t="str">
            <v>SUO_018</v>
          </cell>
          <cell r="B1535" t="str">
            <v>IHS_KMB_056</v>
          </cell>
          <cell r="C1535" t="str">
            <v>SUO_018</v>
          </cell>
          <cell r="D1535" t="str">
            <v>South West</v>
          </cell>
          <cell r="E1535" t="str">
            <v>South West</v>
          </cell>
          <cell r="F1535" t="str">
            <v>Bakassi</v>
          </cell>
          <cell r="G1535" t="str">
            <v>P4</v>
          </cell>
          <cell r="H1535" t="str">
            <v>Solar-Gen</v>
          </cell>
          <cell r="I1535" t="str">
            <v>No Access</v>
          </cell>
          <cell r="J1535" t="str">
            <v>Indoor</v>
          </cell>
          <cell r="K1535" t="str">
            <v>AC</v>
          </cell>
          <cell r="L1535" t="str">
            <v>I-Eng</v>
          </cell>
          <cell r="M1535" t="str">
            <v>Ekondo Titi</v>
          </cell>
          <cell r="N1535" t="str">
            <v>NDIAN</v>
          </cell>
          <cell r="O1535" t="str">
            <v>Isanguele</v>
          </cell>
          <cell r="P1535" t="str">
            <v>Sani Njamo</v>
          </cell>
          <cell r="Q1535">
            <v>677549819</v>
          </cell>
          <cell r="R1535">
            <v>655999819</v>
          </cell>
          <cell r="S1535" t="str">
            <v>Stephane KETCHOUANG</v>
          </cell>
          <cell r="T1535" t="str">
            <v>GEORGES NAKHOUL</v>
          </cell>
          <cell r="U1535" t="str">
            <v>I H S</v>
          </cell>
        </row>
        <row r="1536">
          <cell r="A1536" t="str">
            <v>SUO_152</v>
          </cell>
          <cell r="B1536" t="str">
            <v>IHS_BUA_167</v>
          </cell>
          <cell r="C1536" t="str">
            <v>SUO_152</v>
          </cell>
          <cell r="D1536" t="str">
            <v>South West</v>
          </cell>
          <cell r="E1536" t="str">
            <v>South West</v>
          </cell>
          <cell r="F1536" t="str">
            <v>Tole Tea</v>
          </cell>
          <cell r="G1536" t="str">
            <v>P4</v>
          </cell>
          <cell r="H1536" t="str">
            <v>Grid-Gen</v>
          </cell>
          <cell r="I1536" t="str">
            <v>On Air</v>
          </cell>
          <cell r="J1536" t="str">
            <v>Outdoor</v>
          </cell>
          <cell r="K1536" t="str">
            <v>AC</v>
          </cell>
          <cell r="L1536" t="str">
            <v>I-Eng</v>
          </cell>
          <cell r="M1536" t="str">
            <v>Buea</v>
          </cell>
          <cell r="N1536" t="str">
            <v>FAKO</v>
          </cell>
          <cell r="O1536" t="str">
            <v>Buea</v>
          </cell>
          <cell r="P1536" t="str">
            <v>Sani Njamo</v>
          </cell>
          <cell r="Q1536">
            <v>677549819</v>
          </cell>
          <cell r="R1536">
            <v>655999819</v>
          </cell>
          <cell r="S1536" t="str">
            <v>Stephane KETCHOUANG</v>
          </cell>
          <cell r="T1536" t="str">
            <v>GEORGES NAKHOUL</v>
          </cell>
          <cell r="U1536" t="str">
            <v>I H S</v>
          </cell>
        </row>
        <row r="1537">
          <cell r="A1537" t="str">
            <v>SUO_198</v>
          </cell>
          <cell r="B1537" t="str">
            <v>IHS_BUA_011</v>
          </cell>
          <cell r="C1537" t="str">
            <v>SUO_198</v>
          </cell>
          <cell r="D1537" t="str">
            <v>South West</v>
          </cell>
          <cell r="E1537" t="str">
            <v>South West</v>
          </cell>
          <cell r="F1537" t="str">
            <v>Tole 2</v>
          </cell>
          <cell r="G1537" t="str">
            <v>P4</v>
          </cell>
          <cell r="H1537" t="str">
            <v>Grid-Gen</v>
          </cell>
          <cell r="I1537">
            <v>0</v>
          </cell>
          <cell r="J1537" t="str">
            <v>Outdoor</v>
          </cell>
          <cell r="K1537" t="str">
            <v>AC</v>
          </cell>
          <cell r="L1537" t="str">
            <v>I-Eng</v>
          </cell>
          <cell r="M1537" t="str">
            <v>Buea</v>
          </cell>
          <cell r="N1537" t="str">
            <v>FAKO</v>
          </cell>
          <cell r="O1537" t="str">
            <v>Buea</v>
          </cell>
          <cell r="P1537" t="str">
            <v>Sani Njamo</v>
          </cell>
          <cell r="Q1537">
            <v>677549819</v>
          </cell>
          <cell r="R1537">
            <v>655999819</v>
          </cell>
          <cell r="S1537" t="str">
            <v>Stephane KETCHOUANG</v>
          </cell>
          <cell r="T1537" t="str">
            <v>GEORGES NAKHOUL</v>
          </cell>
          <cell r="U1537" t="str">
            <v>I H S</v>
          </cell>
        </row>
        <row r="1538">
          <cell r="A1538" t="str">
            <v>SUO_090</v>
          </cell>
          <cell r="B1538" t="str">
            <v>IHS_KMB_019</v>
          </cell>
          <cell r="C1538" t="str">
            <v>SUO_090</v>
          </cell>
          <cell r="D1538" t="str">
            <v>South West</v>
          </cell>
          <cell r="E1538" t="str">
            <v>South West</v>
          </cell>
          <cell r="F1538" t="str">
            <v>Small-Ekombe-IHS</v>
          </cell>
          <cell r="G1538" t="str">
            <v>P4</v>
          </cell>
          <cell r="H1538" t="str">
            <v>Hybrid-Gen</v>
          </cell>
          <cell r="I1538" t="str">
            <v>On Air</v>
          </cell>
          <cell r="J1538" t="str">
            <v>Outdoor</v>
          </cell>
          <cell r="K1538" t="str">
            <v>AC</v>
          </cell>
          <cell r="L1538" t="str">
            <v>I-Eng</v>
          </cell>
          <cell r="M1538" t="str">
            <v>Kumba</v>
          </cell>
          <cell r="N1538" t="str">
            <v>Meme</v>
          </cell>
          <cell r="O1538" t="str">
            <v>Mbonge</v>
          </cell>
          <cell r="P1538" t="str">
            <v>Sani Njamo</v>
          </cell>
          <cell r="Q1538">
            <v>677549819</v>
          </cell>
          <cell r="R1538">
            <v>655999819</v>
          </cell>
          <cell r="S1538" t="str">
            <v>Stephane KETCHOUANG</v>
          </cell>
          <cell r="T1538" t="str">
            <v>GEORGES NAKHOUL</v>
          </cell>
          <cell r="U1538" t="str">
            <v>I H S</v>
          </cell>
        </row>
        <row r="1539">
          <cell r="A1539" t="str">
            <v>SUO_098</v>
          </cell>
          <cell r="B1539" t="str">
            <v>IHS_BUA_054</v>
          </cell>
          <cell r="C1539" t="str">
            <v>SUO_098</v>
          </cell>
          <cell r="D1539" t="str">
            <v>South West</v>
          </cell>
          <cell r="E1539" t="str">
            <v>South West</v>
          </cell>
          <cell r="F1539" t="str">
            <v>Munyengue-Trouble-IHS</v>
          </cell>
          <cell r="G1539" t="str">
            <v>P4</v>
          </cell>
          <cell r="H1539" t="str">
            <v>Gen Only</v>
          </cell>
          <cell r="I1539" t="str">
            <v>On Air</v>
          </cell>
          <cell r="J1539" t="str">
            <v>Outdoor</v>
          </cell>
          <cell r="K1539" t="str">
            <v>AC</v>
          </cell>
          <cell r="L1539" t="str">
            <v>I-Eng</v>
          </cell>
          <cell r="M1539" t="str">
            <v>Buea</v>
          </cell>
          <cell r="N1539" t="str">
            <v>FAKO</v>
          </cell>
          <cell r="O1539" t="str">
            <v>Muyuka</v>
          </cell>
          <cell r="P1539" t="str">
            <v>Sani Njamo</v>
          </cell>
          <cell r="Q1539">
            <v>677549819</v>
          </cell>
          <cell r="R1539">
            <v>655999819</v>
          </cell>
          <cell r="S1539" t="str">
            <v>Stephane KETCHOUANG</v>
          </cell>
          <cell r="T1539" t="str">
            <v>GEORGES NAKHOUL</v>
          </cell>
          <cell r="U1539" t="str">
            <v>I H S</v>
          </cell>
        </row>
        <row r="1540">
          <cell r="A1540" t="str">
            <v>LIT_176</v>
          </cell>
          <cell r="B1540" t="str">
            <v>IHS_BUA_101</v>
          </cell>
          <cell r="C1540" t="str">
            <v>LIT_176</v>
          </cell>
          <cell r="D1540" t="str">
            <v>South West</v>
          </cell>
          <cell r="E1540" t="str">
            <v>South West</v>
          </cell>
          <cell r="F1540" t="str">
            <v>Muyengue-Bafia</v>
          </cell>
          <cell r="G1540" t="str">
            <v>P4</v>
          </cell>
          <cell r="H1540" t="str">
            <v>Grid-Gen</v>
          </cell>
          <cell r="I1540" t="str">
            <v>Vandalized</v>
          </cell>
          <cell r="J1540" t="str">
            <v>Outdoor</v>
          </cell>
          <cell r="K1540" t="str">
            <v>AC</v>
          </cell>
          <cell r="L1540" t="str">
            <v>I-Eng</v>
          </cell>
          <cell r="M1540" t="str">
            <v>Buea</v>
          </cell>
          <cell r="N1540" t="str">
            <v>FAKO</v>
          </cell>
          <cell r="O1540" t="str">
            <v>Muyuka</v>
          </cell>
          <cell r="P1540" t="str">
            <v>Sani Njamo</v>
          </cell>
          <cell r="Q1540">
            <v>677549819</v>
          </cell>
          <cell r="R1540">
            <v>655999819</v>
          </cell>
          <cell r="S1540" t="str">
            <v>Stephane KETCHOUANG</v>
          </cell>
          <cell r="T1540" t="str">
            <v>GEORGES NAKHOUL</v>
          </cell>
          <cell r="U1540" t="str">
            <v>I H S</v>
          </cell>
        </row>
        <row r="1541">
          <cell r="A1541" t="str">
            <v>SUO_046</v>
          </cell>
          <cell r="B1541" t="str">
            <v>IHS_KMB_045</v>
          </cell>
          <cell r="C1541" t="str">
            <v>SUO_046</v>
          </cell>
          <cell r="D1541" t="str">
            <v>South West</v>
          </cell>
          <cell r="E1541" t="str">
            <v>South West</v>
          </cell>
          <cell r="F1541" t="str">
            <v>Ilor-MTN</v>
          </cell>
          <cell r="G1541" t="str">
            <v>P4</v>
          </cell>
          <cell r="H1541" t="str">
            <v>Gen Only</v>
          </cell>
          <cell r="I1541" t="str">
            <v>Vandalized</v>
          </cell>
          <cell r="J1541" t="str">
            <v>Outdoor</v>
          </cell>
          <cell r="K1541" t="str">
            <v>AC</v>
          </cell>
          <cell r="L1541" t="str">
            <v>I-Eng</v>
          </cell>
          <cell r="M1541" t="str">
            <v>Ekondo Titi</v>
          </cell>
          <cell r="N1541" t="str">
            <v>NDIAN</v>
          </cell>
          <cell r="O1541" t="str">
            <v>Ekondo titi</v>
          </cell>
          <cell r="P1541" t="str">
            <v>Sani Njamo</v>
          </cell>
          <cell r="Q1541">
            <v>677549819</v>
          </cell>
          <cell r="R1541">
            <v>655999819</v>
          </cell>
          <cell r="S1541" t="str">
            <v>Stephane KETCHOUANG</v>
          </cell>
          <cell r="T1541" t="str">
            <v>GEORGES NAKHOUL</v>
          </cell>
          <cell r="U1541" t="str">
            <v>I H S</v>
          </cell>
        </row>
        <row r="1542">
          <cell r="A1542" t="str">
            <v>SUO_163</v>
          </cell>
          <cell r="B1542" t="str">
            <v>IHS_BUA_163</v>
          </cell>
          <cell r="C1542" t="str">
            <v>SUO_163</v>
          </cell>
          <cell r="D1542" t="str">
            <v>South West</v>
          </cell>
          <cell r="E1542" t="str">
            <v>South West</v>
          </cell>
          <cell r="F1542" t="str">
            <v>Buea Hospital</v>
          </cell>
          <cell r="G1542" t="str">
            <v>P4</v>
          </cell>
          <cell r="H1542" t="str">
            <v>Grid-Gen</v>
          </cell>
          <cell r="I1542" t="str">
            <v>On Air</v>
          </cell>
          <cell r="J1542" t="str">
            <v>Outdoor</v>
          </cell>
          <cell r="K1542" t="str">
            <v>AC</v>
          </cell>
          <cell r="L1542" t="str">
            <v>I-Eng</v>
          </cell>
          <cell r="M1542" t="str">
            <v>Buea</v>
          </cell>
          <cell r="N1542" t="str">
            <v>FAKO</v>
          </cell>
          <cell r="O1542" t="str">
            <v>Buea</v>
          </cell>
          <cell r="P1542" t="str">
            <v>Sani Njamo</v>
          </cell>
          <cell r="Q1542">
            <v>677549819</v>
          </cell>
          <cell r="R1542">
            <v>655999819</v>
          </cell>
          <cell r="S1542" t="str">
            <v>Stephane KETCHOUANG</v>
          </cell>
          <cell r="T1542" t="str">
            <v>GEORGES NAKHOUL</v>
          </cell>
          <cell r="U1542" t="str">
            <v>I H S</v>
          </cell>
        </row>
        <row r="1543">
          <cell r="A1543" t="str">
            <v> SUO_221</v>
          </cell>
          <cell r="B1543" t="str">
            <v>IHS_BUA_026</v>
          </cell>
          <cell r="C1543" t="str">
            <v> SUO_221</v>
          </cell>
          <cell r="D1543" t="str">
            <v>South West</v>
          </cell>
          <cell r="E1543" t="str">
            <v>South West</v>
          </cell>
          <cell r="F1543" t="str">
            <v>BOVA2</v>
          </cell>
          <cell r="G1543" t="str">
            <v>P4</v>
          </cell>
          <cell r="H1543" t="str">
            <v>Grid-Gen</v>
          </cell>
          <cell r="I1543">
            <v>0</v>
          </cell>
          <cell r="J1543" t="str">
            <v>Outdoor</v>
          </cell>
          <cell r="K1543" t="str">
            <v>AC</v>
          </cell>
          <cell r="L1543" t="str">
            <v>I-Eng</v>
          </cell>
          <cell r="M1543" t="str">
            <v>Buea</v>
          </cell>
          <cell r="N1543" t="str">
            <v>FAKO</v>
          </cell>
          <cell r="O1543" t="str">
            <v>Buea</v>
          </cell>
          <cell r="P1543" t="str">
            <v>Sani Njamo</v>
          </cell>
          <cell r="Q1543">
            <v>677549819</v>
          </cell>
          <cell r="R1543">
            <v>655999819</v>
          </cell>
          <cell r="S1543" t="str">
            <v>Stephane KETCHOUANG</v>
          </cell>
          <cell r="T1543" t="str">
            <v>GEORGES NAKHOUL</v>
          </cell>
          <cell r="U1543" t="str">
            <v>I H S</v>
          </cell>
        </row>
        <row r="1544">
          <cell r="A1544" t="str">
            <v>SUO_153</v>
          </cell>
          <cell r="B1544" t="str">
            <v>IHS_BUA_160</v>
          </cell>
          <cell r="C1544" t="str">
            <v>SUO_153</v>
          </cell>
          <cell r="D1544" t="str">
            <v>South West</v>
          </cell>
          <cell r="E1544" t="str">
            <v>South West</v>
          </cell>
          <cell r="F1544" t="str">
            <v>Bai Kuke</v>
          </cell>
          <cell r="G1544" t="str">
            <v>P4</v>
          </cell>
          <cell r="H1544" t="str">
            <v>Vandalized</v>
          </cell>
          <cell r="I1544" t="str">
            <v>Vandalized</v>
          </cell>
          <cell r="J1544" t="str">
            <v>Outdoor</v>
          </cell>
          <cell r="K1544" t="str">
            <v>AC</v>
          </cell>
          <cell r="L1544" t="str">
            <v>I-Eng</v>
          </cell>
          <cell r="M1544" t="str">
            <v>Ekondo Titi</v>
          </cell>
          <cell r="N1544" t="str">
            <v>FAKO</v>
          </cell>
          <cell r="O1544" t="str">
            <v>Mbonge</v>
          </cell>
          <cell r="P1544" t="str">
            <v>Sani Njamo</v>
          </cell>
          <cell r="Q1544">
            <v>677549819</v>
          </cell>
          <cell r="R1544">
            <v>655999819</v>
          </cell>
          <cell r="S1544" t="str">
            <v>Stephane KETCHOUANG</v>
          </cell>
          <cell r="T1544" t="str">
            <v>GEORGES NAKHOUL</v>
          </cell>
          <cell r="U1544" t="str">
            <v>I H S</v>
          </cell>
        </row>
        <row r="1545">
          <cell r="A1545" t="str">
            <v>SUO_217</v>
          </cell>
          <cell r="B1545" t="str">
            <v>IHS_KMB_100</v>
          </cell>
          <cell r="C1545" t="str">
            <v>SUO_217</v>
          </cell>
          <cell r="D1545" t="str">
            <v>South West</v>
          </cell>
          <cell r="E1545" t="str">
            <v>South West</v>
          </cell>
          <cell r="F1545" t="str">
            <v>Kumba Nkamlikum</v>
          </cell>
          <cell r="G1545" t="str">
            <v>P4</v>
          </cell>
          <cell r="H1545" t="str">
            <v>Grid-Gen</v>
          </cell>
          <cell r="I1545">
            <v>0</v>
          </cell>
          <cell r="J1545" t="str">
            <v>Outdoor</v>
          </cell>
          <cell r="K1545" t="str">
            <v>AC</v>
          </cell>
          <cell r="L1545" t="str">
            <v>I-Eng</v>
          </cell>
          <cell r="M1545" t="str">
            <v>Kumba</v>
          </cell>
          <cell r="N1545" t="str">
            <v>MEME</v>
          </cell>
          <cell r="O1545" t="str">
            <v>Kumba 1</v>
          </cell>
          <cell r="P1545" t="str">
            <v>Sani Njamo</v>
          </cell>
          <cell r="Q1545">
            <v>677549819</v>
          </cell>
          <cell r="R1545">
            <v>655999819</v>
          </cell>
          <cell r="S1545" t="str">
            <v>Stephane KETCHOUANG</v>
          </cell>
          <cell r="T1545" t="str">
            <v>GEORGES NAKHOUL</v>
          </cell>
          <cell r="U1545" t="str">
            <v>I H S</v>
          </cell>
        </row>
        <row r="1546">
          <cell r="A1546" t="str">
            <v>LIT_462</v>
          </cell>
          <cell r="B1546" t="str">
            <v>IHS_BUA_164</v>
          </cell>
          <cell r="C1546" t="str">
            <v>LIT_462</v>
          </cell>
          <cell r="D1546" t="str">
            <v>South West</v>
          </cell>
          <cell r="E1546" t="str">
            <v>South West</v>
          </cell>
          <cell r="F1546" t="str">
            <v>Malende</v>
          </cell>
          <cell r="G1546" t="str">
            <v>P4</v>
          </cell>
          <cell r="H1546" t="str">
            <v>Gen Only</v>
          </cell>
          <cell r="I1546">
            <v>0</v>
          </cell>
          <cell r="J1546" t="str">
            <v>Outdoor</v>
          </cell>
          <cell r="K1546" t="str">
            <v>AC</v>
          </cell>
          <cell r="L1546" t="str">
            <v>I-Eng</v>
          </cell>
          <cell r="M1546" t="str">
            <v>Kumba</v>
          </cell>
          <cell r="N1546" t="str">
            <v>FAKO</v>
          </cell>
          <cell r="O1546" t="str">
            <v>Muyuka</v>
          </cell>
          <cell r="P1546" t="str">
            <v>Sani Njamo</v>
          </cell>
          <cell r="Q1546">
            <v>677549819</v>
          </cell>
          <cell r="R1546">
            <v>655999819</v>
          </cell>
          <cell r="S1546" t="str">
            <v>Stephane KETCHOUANG</v>
          </cell>
          <cell r="T1546" t="str">
            <v>GEORGES NAKHOUL</v>
          </cell>
          <cell r="U1546" t="str">
            <v>I H S</v>
          </cell>
        </row>
        <row r="1547">
          <cell r="A1547" t="str">
            <v>SUO_087</v>
          </cell>
          <cell r="B1547" t="str">
            <v>IHS_BUA_033</v>
          </cell>
          <cell r="C1547" t="str">
            <v>SUO_087</v>
          </cell>
          <cell r="D1547" t="str">
            <v>South West</v>
          </cell>
          <cell r="E1547" t="str">
            <v>South West</v>
          </cell>
          <cell r="F1547" t="str">
            <v>Ekona-MTN</v>
          </cell>
          <cell r="G1547" t="str">
            <v>P4</v>
          </cell>
          <cell r="H1547" t="str">
            <v>Vandalized</v>
          </cell>
          <cell r="I1547" t="str">
            <v>Vandalized</v>
          </cell>
          <cell r="J1547" t="str">
            <v>Outdoor</v>
          </cell>
          <cell r="K1547" t="str">
            <v>AC</v>
          </cell>
          <cell r="L1547" t="str">
            <v>I-Eng</v>
          </cell>
          <cell r="M1547" t="str">
            <v>Buea</v>
          </cell>
          <cell r="N1547" t="str">
            <v>FAKO</v>
          </cell>
          <cell r="O1547" t="str">
            <v>Ekona</v>
          </cell>
          <cell r="P1547" t="str">
            <v>Sani Njamo</v>
          </cell>
          <cell r="Q1547">
            <v>677549819</v>
          </cell>
          <cell r="R1547">
            <v>655999819</v>
          </cell>
          <cell r="S1547" t="str">
            <v>Stephane KETCHOUANG</v>
          </cell>
          <cell r="T1547" t="str">
            <v>GEORGES NAKHOUL</v>
          </cell>
          <cell r="U1547" t="str">
            <v>I H S</v>
          </cell>
        </row>
        <row r="1548">
          <cell r="A1548" t="str">
            <v>SUO_181</v>
          </cell>
          <cell r="B1548" t="str">
            <v>IHS_BUA_006</v>
          </cell>
          <cell r="C1548" t="str">
            <v>SUO_181</v>
          </cell>
          <cell r="D1548" t="str">
            <v>South West</v>
          </cell>
          <cell r="E1548" t="str">
            <v>South West</v>
          </cell>
          <cell r="F1548" t="str">
            <v>Great Soppo</v>
          </cell>
          <cell r="G1548" t="str">
            <v>P4</v>
          </cell>
          <cell r="H1548" t="str">
            <v>Grid-Gen</v>
          </cell>
          <cell r="I1548">
            <v>0</v>
          </cell>
          <cell r="J1548" t="str">
            <v>Indoor</v>
          </cell>
          <cell r="K1548" t="str">
            <v>AC</v>
          </cell>
          <cell r="L1548" t="str">
            <v>I-Eng</v>
          </cell>
          <cell r="M1548" t="str">
            <v>Buea</v>
          </cell>
          <cell r="N1548" t="str">
            <v>FAKO</v>
          </cell>
          <cell r="O1548" t="str">
            <v>Buea</v>
          </cell>
          <cell r="P1548" t="str">
            <v>Sani Njamo</v>
          </cell>
          <cell r="Q1548">
            <v>677549819</v>
          </cell>
          <cell r="R1548">
            <v>655999819</v>
          </cell>
          <cell r="S1548" t="str">
            <v>Stephane KETCHOUANG</v>
          </cell>
          <cell r="T1548" t="str">
            <v>GEORGES NAKHOUL</v>
          </cell>
          <cell r="U1548" t="str">
            <v>I H S</v>
          </cell>
        </row>
        <row r="1549">
          <cell r="A1549" t="str">
            <v>SUO_199</v>
          </cell>
          <cell r="B1549" t="str">
            <v>IHS_YND_500</v>
          </cell>
          <cell r="C1549" t="str">
            <v>SUO_199</v>
          </cell>
          <cell r="D1549" t="str">
            <v>South West</v>
          </cell>
          <cell r="E1549" t="str">
            <v>South West</v>
          </cell>
          <cell r="F1549" t="str">
            <v>Buea Soppo University</v>
          </cell>
          <cell r="G1549" t="str">
            <v>P4</v>
          </cell>
          <cell r="H1549" t="str">
            <v>Grid-Gen</v>
          </cell>
          <cell r="I1549">
            <v>0</v>
          </cell>
          <cell r="J1549" t="str">
            <v>Outdoor</v>
          </cell>
          <cell r="K1549" t="str">
            <v>AC</v>
          </cell>
          <cell r="L1549" t="str">
            <v>I-Eng</v>
          </cell>
          <cell r="M1549" t="str">
            <v>Buea</v>
          </cell>
          <cell r="N1549" t="str">
            <v>FAKO</v>
          </cell>
          <cell r="O1549" t="str">
            <v>Buea</v>
          </cell>
          <cell r="P1549" t="str">
            <v>Sani Njamo</v>
          </cell>
          <cell r="Q1549">
            <v>677549819</v>
          </cell>
          <cell r="R1549">
            <v>655999819</v>
          </cell>
          <cell r="S1549" t="str">
            <v>Stephane KETCHOUANG</v>
          </cell>
          <cell r="T1549" t="str">
            <v>GEORGES NAKHOUL</v>
          </cell>
          <cell r="U1549" t="str">
            <v>I H S</v>
          </cell>
        </row>
        <row r="1550">
          <cell r="A1550" t="str">
            <v>SUO_045</v>
          </cell>
          <cell r="B1550" t="str">
            <v>IHS_KMB_018</v>
          </cell>
          <cell r="C1550" t="str">
            <v>SUO_045</v>
          </cell>
          <cell r="D1550" t="str">
            <v>South West</v>
          </cell>
          <cell r="E1550" t="str">
            <v>South West</v>
          </cell>
          <cell r="F1550" t="str">
            <v>Ekindi-MTN</v>
          </cell>
          <cell r="G1550" t="str">
            <v>P4</v>
          </cell>
          <cell r="H1550" t="str">
            <v>Grid-Gen</v>
          </cell>
          <cell r="I1550" t="str">
            <v>Vandalized</v>
          </cell>
          <cell r="J1550" t="str">
            <v>Outdoor</v>
          </cell>
          <cell r="K1550" t="str">
            <v>AC</v>
          </cell>
          <cell r="L1550" t="str">
            <v>I-Eng</v>
          </cell>
          <cell r="M1550" t="str">
            <v>Kumba</v>
          </cell>
          <cell r="N1550" t="str">
            <v>FAKO</v>
          </cell>
          <cell r="O1550" t="str">
            <v>Mbonge</v>
          </cell>
          <cell r="P1550" t="str">
            <v>Sani Njamo</v>
          </cell>
          <cell r="Q1550">
            <v>677549819</v>
          </cell>
          <cell r="R1550">
            <v>655999819</v>
          </cell>
          <cell r="S1550" t="str">
            <v>Stephane KETCHOUANG</v>
          </cell>
          <cell r="T1550" t="str">
            <v>GEORGES NAKHOUL</v>
          </cell>
          <cell r="U1550" t="str">
            <v>I H S</v>
          </cell>
        </row>
        <row r="1551">
          <cell r="A1551" t="str">
            <v>SUO_091</v>
          </cell>
          <cell r="B1551" t="str">
            <v>IHS_KMB_021</v>
          </cell>
          <cell r="C1551" t="str">
            <v>SUO_091</v>
          </cell>
          <cell r="D1551" t="str">
            <v>South West</v>
          </cell>
          <cell r="E1551" t="str">
            <v>South West</v>
          </cell>
          <cell r="F1551" t="str">
            <v>Ekombe-Bondji-IHS</v>
          </cell>
          <cell r="G1551" t="str">
            <v>P4</v>
          </cell>
          <cell r="H1551" t="str">
            <v>Gen Only</v>
          </cell>
          <cell r="I1551" t="str">
            <v>Vandalized</v>
          </cell>
          <cell r="J1551" t="str">
            <v>Outdoor</v>
          </cell>
          <cell r="K1551" t="str">
            <v>AC</v>
          </cell>
          <cell r="L1551" t="str">
            <v>I-Eng</v>
          </cell>
          <cell r="M1551" t="str">
            <v>Kumba</v>
          </cell>
          <cell r="N1551" t="str">
            <v>Meme</v>
          </cell>
          <cell r="O1551" t="str">
            <v>Mbonge</v>
          </cell>
          <cell r="P1551" t="str">
            <v>Sani Njamo</v>
          </cell>
          <cell r="Q1551">
            <v>677549819</v>
          </cell>
          <cell r="R1551">
            <v>655999819</v>
          </cell>
          <cell r="S1551" t="str">
            <v>Stephane KETCHOUANG</v>
          </cell>
          <cell r="T1551" t="str">
            <v>GEORGES NAKHOUL</v>
          </cell>
          <cell r="U1551" t="str">
            <v>I H S</v>
          </cell>
        </row>
        <row r="1552">
          <cell r="A1552" t="str">
            <v>SUO_066</v>
          </cell>
          <cell r="B1552" t="str">
            <v>IHS_BUA_014</v>
          </cell>
          <cell r="C1552" t="str">
            <v>SUO_066</v>
          </cell>
          <cell r="D1552" t="str">
            <v>South West</v>
          </cell>
          <cell r="E1552" t="str">
            <v>South West</v>
          </cell>
          <cell r="F1552" t="str">
            <v>Berunda-MTN</v>
          </cell>
          <cell r="G1552" t="str">
            <v>P4</v>
          </cell>
          <cell r="H1552" t="str">
            <v>Grid-Gen</v>
          </cell>
          <cell r="I1552" t="str">
            <v>On Air</v>
          </cell>
          <cell r="J1552" t="str">
            <v>Outdoor</v>
          </cell>
          <cell r="K1552" t="str">
            <v>AC</v>
          </cell>
          <cell r="L1552" t="str">
            <v>I-Eng</v>
          </cell>
          <cell r="M1552" t="str">
            <v>Buea</v>
          </cell>
          <cell r="N1552" t="str">
            <v>FAKO</v>
          </cell>
          <cell r="O1552" t="str">
            <v>Buea</v>
          </cell>
          <cell r="P1552" t="str">
            <v>Sani Njamo</v>
          </cell>
          <cell r="Q1552">
            <v>677549819</v>
          </cell>
          <cell r="R1552">
            <v>655999819</v>
          </cell>
          <cell r="S1552" t="str">
            <v>Stephane KETCHOUANG</v>
          </cell>
          <cell r="T1552" t="str">
            <v>GEORGES NAKHOUL</v>
          </cell>
          <cell r="U1552" t="str">
            <v>I H S</v>
          </cell>
        </row>
        <row r="1553">
          <cell r="A1553" t="str">
            <v>SUO_186</v>
          </cell>
          <cell r="B1553" t="str">
            <v>IHS_BUA_003</v>
          </cell>
          <cell r="C1553" t="str">
            <v>SUO_186</v>
          </cell>
          <cell r="D1553" t="str">
            <v>South West</v>
          </cell>
          <cell r="E1553" t="str">
            <v>South West</v>
          </cell>
          <cell r="F1553" t="str">
            <v>Buea Boduma</v>
          </cell>
          <cell r="G1553" t="str">
            <v>P4</v>
          </cell>
          <cell r="H1553" t="str">
            <v>Grid-Gen</v>
          </cell>
          <cell r="I1553">
            <v>0</v>
          </cell>
          <cell r="J1553" t="str">
            <v>Outdoor</v>
          </cell>
          <cell r="K1553" t="str">
            <v>AC</v>
          </cell>
          <cell r="L1553" t="str">
            <v>I-Eng</v>
          </cell>
          <cell r="M1553" t="str">
            <v>Buea</v>
          </cell>
          <cell r="N1553" t="str">
            <v>FAKO</v>
          </cell>
          <cell r="O1553" t="str">
            <v>Buea</v>
          </cell>
          <cell r="P1553" t="str">
            <v>Sani Njamo</v>
          </cell>
          <cell r="Q1553">
            <v>677549819</v>
          </cell>
          <cell r="R1553">
            <v>655999819</v>
          </cell>
          <cell r="S1553" t="str">
            <v>Stephane KETCHOUANG</v>
          </cell>
          <cell r="T1553" t="str">
            <v>GEORGES NAKHOUL</v>
          </cell>
          <cell r="U1553" t="str">
            <v>I H S</v>
          </cell>
        </row>
        <row r="1554">
          <cell r="A1554" t="str">
            <v>SUO_213</v>
          </cell>
          <cell r="B1554" t="str">
            <v>IHS_BUA_008</v>
          </cell>
          <cell r="C1554" t="str">
            <v>SUO_213</v>
          </cell>
          <cell r="D1554" t="str">
            <v>South West</v>
          </cell>
          <cell r="E1554" t="str">
            <v>South West</v>
          </cell>
          <cell r="F1554" t="str">
            <v>Moliko (Buea SC 2)</v>
          </cell>
          <cell r="G1554" t="str">
            <v>P4</v>
          </cell>
          <cell r="H1554" t="str">
            <v>Grid-Gen</v>
          </cell>
          <cell r="I1554">
            <v>0</v>
          </cell>
          <cell r="J1554" t="str">
            <v>Outdoor</v>
          </cell>
          <cell r="K1554" t="str">
            <v>AC</v>
          </cell>
          <cell r="L1554" t="str">
            <v>I-Eng</v>
          </cell>
          <cell r="M1554" t="str">
            <v>Buea</v>
          </cell>
          <cell r="N1554" t="str">
            <v>FAKO</v>
          </cell>
          <cell r="O1554" t="str">
            <v>Buea</v>
          </cell>
          <cell r="P1554" t="str">
            <v>Sani Njamo</v>
          </cell>
          <cell r="Q1554">
            <v>677549819</v>
          </cell>
          <cell r="R1554">
            <v>655999819</v>
          </cell>
          <cell r="S1554" t="str">
            <v>Stephane KETCHOUANG</v>
          </cell>
          <cell r="T1554" t="str">
            <v>GEORGES NAKHOUL</v>
          </cell>
          <cell r="U1554" t="str">
            <v>I H S</v>
          </cell>
        </row>
        <row r="1555">
          <cell r="A1555" t="str">
            <v>SUO_197</v>
          </cell>
          <cell r="B1555" t="str">
            <v>IHS_BUA_024</v>
          </cell>
          <cell r="C1555" t="str">
            <v>SUO_197</v>
          </cell>
          <cell r="D1555" t="str">
            <v>South West</v>
          </cell>
          <cell r="E1555" t="str">
            <v>South West</v>
          </cell>
          <cell r="F1555" t="str">
            <v>Bokwaï</v>
          </cell>
          <cell r="G1555" t="str">
            <v>P4</v>
          </cell>
          <cell r="H1555" t="str">
            <v>Grid-Gen</v>
          </cell>
          <cell r="I1555">
            <v>0</v>
          </cell>
          <cell r="J1555" t="str">
            <v>Outdoor</v>
          </cell>
          <cell r="K1555" t="str">
            <v>AC</v>
          </cell>
          <cell r="L1555" t="str">
            <v>I-Eng</v>
          </cell>
          <cell r="M1555" t="str">
            <v>Buea</v>
          </cell>
          <cell r="N1555" t="str">
            <v>FAKO</v>
          </cell>
          <cell r="O1555" t="str">
            <v>Buea</v>
          </cell>
          <cell r="P1555" t="str">
            <v>Sani Njamo</v>
          </cell>
          <cell r="Q1555">
            <v>677549819</v>
          </cell>
          <cell r="R1555">
            <v>655999819</v>
          </cell>
          <cell r="S1555" t="str">
            <v>Stephane KETCHOUANG</v>
          </cell>
          <cell r="T1555" t="str">
            <v>GEORGES NAKHOUL</v>
          </cell>
          <cell r="U1555" t="str">
            <v>I H S</v>
          </cell>
        </row>
        <row r="1556">
          <cell r="A1556" t="str">
            <v>SUO_216</v>
          </cell>
          <cell r="B1556" t="str">
            <v>IHS_KMB_108</v>
          </cell>
          <cell r="C1556" t="str">
            <v>SUO_216</v>
          </cell>
          <cell r="D1556" t="str">
            <v>South West</v>
          </cell>
          <cell r="E1556" t="str">
            <v>South West</v>
          </cell>
          <cell r="F1556" t="str">
            <v>Kumba Preventive</v>
          </cell>
          <cell r="G1556" t="str">
            <v>P4</v>
          </cell>
          <cell r="H1556" t="str">
            <v>Grid-Gen</v>
          </cell>
          <cell r="I1556">
            <v>0</v>
          </cell>
          <cell r="J1556" t="str">
            <v>Outdoor</v>
          </cell>
          <cell r="K1556" t="str">
            <v>AC</v>
          </cell>
          <cell r="L1556" t="str">
            <v>I-Eng</v>
          </cell>
          <cell r="M1556" t="str">
            <v>Kumba</v>
          </cell>
          <cell r="N1556" t="str">
            <v>MEME</v>
          </cell>
          <cell r="O1556" t="str">
            <v>Kumba 1</v>
          </cell>
          <cell r="P1556" t="str">
            <v>Sani Njamo</v>
          </cell>
          <cell r="Q1556">
            <v>677549819</v>
          </cell>
          <cell r="R1556">
            <v>655999819</v>
          </cell>
          <cell r="S1556" t="str">
            <v>Stephane KETCHOUANG</v>
          </cell>
          <cell r="T1556" t="str">
            <v>GEORGES NAKHOUL</v>
          </cell>
          <cell r="U1556" t="str">
            <v>I H S</v>
          </cell>
        </row>
        <row r="1557">
          <cell r="A1557" t="str">
            <v>SUO_183</v>
          </cell>
          <cell r="B1557" t="str">
            <v>IHS_BUA_004</v>
          </cell>
          <cell r="C1557" t="str">
            <v>SUO_183</v>
          </cell>
          <cell r="D1557" t="str">
            <v>South West</v>
          </cell>
          <cell r="E1557" t="str">
            <v>South West</v>
          </cell>
          <cell r="F1557" t="str">
            <v>Molyko</v>
          </cell>
          <cell r="G1557" t="str">
            <v>P4</v>
          </cell>
          <cell r="H1557" t="str">
            <v>Grid-Gen</v>
          </cell>
          <cell r="I1557">
            <v>0</v>
          </cell>
          <cell r="J1557" t="str">
            <v>Outdoor</v>
          </cell>
          <cell r="K1557" t="str">
            <v>AC</v>
          </cell>
          <cell r="L1557" t="str">
            <v>I-Eng</v>
          </cell>
          <cell r="M1557" t="str">
            <v>Buea</v>
          </cell>
          <cell r="N1557" t="str">
            <v>FAKO</v>
          </cell>
          <cell r="O1557" t="str">
            <v>Buea</v>
          </cell>
          <cell r="P1557" t="str">
            <v>Sani Njamo</v>
          </cell>
          <cell r="Q1557">
            <v>677549819</v>
          </cell>
          <cell r="R1557">
            <v>655999819</v>
          </cell>
          <cell r="S1557" t="str">
            <v>Stephane KETCHOUANG</v>
          </cell>
          <cell r="T1557" t="str">
            <v>GEORGES NAKHOUL</v>
          </cell>
          <cell r="U1557" t="str">
            <v>I H S</v>
          </cell>
        </row>
        <row r="1558">
          <cell r="A1558" t="str">
            <v>SUO_201</v>
          </cell>
          <cell r="B1558" t="str">
            <v>IHS_BUA_162</v>
          </cell>
          <cell r="C1558" t="str">
            <v>SUO_201</v>
          </cell>
          <cell r="D1558" t="str">
            <v>South West</v>
          </cell>
          <cell r="E1558" t="str">
            <v>South West</v>
          </cell>
          <cell r="F1558" t="str">
            <v>Buea Bomaka 2 (Buea Park)</v>
          </cell>
          <cell r="G1558" t="str">
            <v>P4</v>
          </cell>
          <cell r="H1558" t="str">
            <v>Grid-Gen</v>
          </cell>
          <cell r="I1558">
            <v>0</v>
          </cell>
          <cell r="J1558" t="str">
            <v>Outdoor</v>
          </cell>
          <cell r="K1558" t="str">
            <v>AC</v>
          </cell>
          <cell r="L1558" t="str">
            <v>I-Eng</v>
          </cell>
          <cell r="M1558" t="str">
            <v>Buea</v>
          </cell>
          <cell r="N1558" t="str">
            <v>FAKO</v>
          </cell>
          <cell r="O1558" t="str">
            <v>Buea</v>
          </cell>
          <cell r="P1558" t="str">
            <v>Sani Njamo</v>
          </cell>
          <cell r="Q1558">
            <v>677549819</v>
          </cell>
          <cell r="R1558">
            <v>655999819</v>
          </cell>
          <cell r="S1558" t="str">
            <v>Stephane KETCHOUANG</v>
          </cell>
          <cell r="T1558" t="str">
            <v>GEORGES NAKHOUL</v>
          </cell>
          <cell r="U1558" t="str">
            <v>I H S</v>
          </cell>
        </row>
        <row r="1559">
          <cell r="A1559" t="str">
            <v>SUO_182</v>
          </cell>
          <cell r="B1559" t="str">
            <v>IHS_BUA_007</v>
          </cell>
          <cell r="C1559" t="str">
            <v>SUO_182</v>
          </cell>
          <cell r="D1559" t="str">
            <v>South West</v>
          </cell>
          <cell r="E1559" t="str">
            <v>South West</v>
          </cell>
          <cell r="F1559" t="str">
            <v>Buea Service Center</v>
          </cell>
          <cell r="G1559" t="str">
            <v>P4</v>
          </cell>
          <cell r="H1559" t="str">
            <v>Grid-Gen</v>
          </cell>
          <cell r="I1559">
            <v>0</v>
          </cell>
          <cell r="J1559" t="str">
            <v>Outdoor</v>
          </cell>
          <cell r="K1559" t="str">
            <v>AC</v>
          </cell>
          <cell r="L1559" t="str">
            <v>I-Eng</v>
          </cell>
          <cell r="M1559" t="str">
            <v>Buea</v>
          </cell>
          <cell r="N1559" t="str">
            <v>FAKO</v>
          </cell>
          <cell r="O1559" t="str">
            <v>Buea</v>
          </cell>
          <cell r="P1559" t="str">
            <v>Sani Njamo</v>
          </cell>
          <cell r="Q1559">
            <v>677549819</v>
          </cell>
          <cell r="R1559">
            <v>655999819</v>
          </cell>
          <cell r="S1559" t="str">
            <v>Stephane KETCHOUANG</v>
          </cell>
          <cell r="T1559" t="str">
            <v>GEORGES NAKHOUL</v>
          </cell>
          <cell r="U1559" t="str">
            <v>I H S</v>
          </cell>
        </row>
        <row r="1560">
          <cell r="A1560" t="str">
            <v>SUO_184</v>
          </cell>
          <cell r="B1560" t="str">
            <v>IHS_BUA_012</v>
          </cell>
          <cell r="C1560" t="str">
            <v>SUO_184</v>
          </cell>
          <cell r="D1560" t="str">
            <v>South West</v>
          </cell>
          <cell r="E1560" t="str">
            <v>South West</v>
          </cell>
          <cell r="F1560" t="str">
            <v>GSS BUEA TOWN</v>
          </cell>
          <cell r="G1560" t="str">
            <v>P4</v>
          </cell>
          <cell r="H1560" t="str">
            <v>Grid-Gen</v>
          </cell>
          <cell r="I1560">
            <v>0</v>
          </cell>
          <cell r="J1560" t="str">
            <v>Outdoor</v>
          </cell>
          <cell r="K1560" t="str">
            <v>AC</v>
          </cell>
          <cell r="L1560" t="str">
            <v>I-Eng</v>
          </cell>
          <cell r="M1560" t="str">
            <v>Buea</v>
          </cell>
          <cell r="N1560" t="str">
            <v>FAKO</v>
          </cell>
          <cell r="O1560" t="str">
            <v>Buea</v>
          </cell>
          <cell r="P1560" t="str">
            <v>Sani Njamo</v>
          </cell>
          <cell r="Q1560">
            <v>677549819</v>
          </cell>
          <cell r="R1560">
            <v>655999819</v>
          </cell>
          <cell r="S1560" t="str">
            <v>Stephane KETCHOUANG</v>
          </cell>
          <cell r="T1560" t="str">
            <v>GEORGES NAKHOUL</v>
          </cell>
          <cell r="U1560" t="str">
            <v>I H S</v>
          </cell>
        </row>
        <row r="1561">
          <cell r="A1561" t="str">
            <v>SUO_115</v>
          </cell>
          <cell r="B1561" t="str">
            <v>IHS_KMB_008</v>
          </cell>
          <cell r="C1561" t="str">
            <v>SUO_115</v>
          </cell>
          <cell r="D1561" t="str">
            <v>South West</v>
          </cell>
          <cell r="E1561" t="str">
            <v>South West</v>
          </cell>
          <cell r="F1561" t="str">
            <v>Kumba PULLETIN</v>
          </cell>
          <cell r="G1561" t="str">
            <v>P4</v>
          </cell>
          <cell r="H1561" t="str">
            <v>Grid-Gen</v>
          </cell>
          <cell r="I1561" t="str">
            <v>On Air</v>
          </cell>
          <cell r="J1561" t="str">
            <v>Outdoor</v>
          </cell>
          <cell r="K1561" t="str">
            <v>AC</v>
          </cell>
          <cell r="L1561" t="str">
            <v>I-Eng</v>
          </cell>
          <cell r="M1561" t="str">
            <v>Kumba</v>
          </cell>
          <cell r="N1561" t="str">
            <v>MEME</v>
          </cell>
          <cell r="O1561" t="str">
            <v>Kumba 2</v>
          </cell>
          <cell r="P1561" t="str">
            <v>Sani Njamo</v>
          </cell>
          <cell r="Q1561">
            <v>677549819</v>
          </cell>
          <cell r="R1561">
            <v>655999819</v>
          </cell>
          <cell r="S1561" t="str">
            <v>Stephane KETCHOUANG</v>
          </cell>
          <cell r="T1561" t="str">
            <v>GEORGES NAKHOUL</v>
          </cell>
          <cell r="U1561" t="str">
            <v>I H S</v>
          </cell>
        </row>
        <row r="1562">
          <cell r="A1562" t="str">
            <v>SUO_112</v>
          </cell>
          <cell r="B1562" t="str">
            <v>IHS_KMB_006</v>
          </cell>
          <cell r="C1562" t="str">
            <v>SUO_112</v>
          </cell>
          <cell r="D1562" t="str">
            <v>South West</v>
          </cell>
          <cell r="E1562" t="str">
            <v>South West</v>
          </cell>
          <cell r="F1562" t="str">
            <v>Kumba Market</v>
          </cell>
          <cell r="G1562" t="str">
            <v>P4</v>
          </cell>
          <cell r="H1562" t="str">
            <v>Grid-Gen</v>
          </cell>
          <cell r="I1562" t="str">
            <v>On Air</v>
          </cell>
          <cell r="J1562" t="str">
            <v>Indoor</v>
          </cell>
          <cell r="K1562" t="str">
            <v>AC</v>
          </cell>
          <cell r="L1562" t="str">
            <v>I-Eng</v>
          </cell>
          <cell r="M1562" t="str">
            <v>Kumba</v>
          </cell>
          <cell r="N1562" t="str">
            <v>MEME</v>
          </cell>
          <cell r="O1562" t="str">
            <v>Kumba 1</v>
          </cell>
          <cell r="P1562" t="str">
            <v>Sani Njamo</v>
          </cell>
          <cell r="Q1562">
            <v>677549819</v>
          </cell>
          <cell r="R1562">
            <v>655999819</v>
          </cell>
          <cell r="S1562" t="str">
            <v>Stephane KETCHOUANG</v>
          </cell>
          <cell r="T1562" t="str">
            <v>GEORGES NAKHOUL</v>
          </cell>
          <cell r="U1562" t="str">
            <v>I H S</v>
          </cell>
        </row>
        <row r="1563">
          <cell r="A1563" t="str">
            <v>SUO_126</v>
          </cell>
          <cell r="B1563" t="str">
            <v>IHS_KMB_013</v>
          </cell>
          <cell r="C1563" t="str">
            <v>SUO_126</v>
          </cell>
          <cell r="D1563" t="str">
            <v>South West</v>
          </cell>
          <cell r="E1563" t="str">
            <v>South West</v>
          </cell>
          <cell r="F1563" t="str">
            <v>Kumba-STATION-IHS</v>
          </cell>
          <cell r="G1563" t="str">
            <v>P4</v>
          </cell>
          <cell r="H1563" t="str">
            <v>Grid-Gen</v>
          </cell>
          <cell r="I1563" t="str">
            <v>On Air</v>
          </cell>
          <cell r="J1563" t="str">
            <v>Outdoor</v>
          </cell>
          <cell r="K1563" t="str">
            <v>AC</v>
          </cell>
          <cell r="L1563" t="str">
            <v>I-Eng</v>
          </cell>
          <cell r="M1563" t="str">
            <v>Kumba</v>
          </cell>
          <cell r="N1563" t="str">
            <v>MEME</v>
          </cell>
          <cell r="O1563" t="str">
            <v>Kumba</v>
          </cell>
          <cell r="P1563" t="str">
            <v>Sani Njamo</v>
          </cell>
          <cell r="Q1563">
            <v>677549819</v>
          </cell>
          <cell r="R1563">
            <v>655999819</v>
          </cell>
          <cell r="S1563" t="str">
            <v>Stephane KETCHOUANG</v>
          </cell>
          <cell r="T1563" t="str">
            <v>GEORGES NAKHOUL</v>
          </cell>
          <cell r="U1563" t="str">
            <v>I H S</v>
          </cell>
        </row>
        <row r="1564">
          <cell r="A1564" t="str">
            <v>SUO_109</v>
          </cell>
          <cell r="B1564" t="str">
            <v>IHS_KMB_010</v>
          </cell>
          <cell r="C1564" t="str">
            <v>SUO_109</v>
          </cell>
          <cell r="D1564" t="str">
            <v>South West</v>
          </cell>
          <cell r="E1564" t="str">
            <v>South West</v>
          </cell>
          <cell r="F1564" t="str">
            <v>Kumba CCAS</v>
          </cell>
          <cell r="G1564" t="str">
            <v>P4</v>
          </cell>
          <cell r="H1564" t="str">
            <v>Grid-Gen</v>
          </cell>
          <cell r="I1564" t="str">
            <v>On Air</v>
          </cell>
          <cell r="J1564" t="str">
            <v>Outdoor</v>
          </cell>
          <cell r="K1564" t="str">
            <v>AC</v>
          </cell>
          <cell r="L1564" t="str">
            <v>I-Eng</v>
          </cell>
          <cell r="M1564" t="str">
            <v>Kumba</v>
          </cell>
          <cell r="N1564" t="str">
            <v>MEME</v>
          </cell>
          <cell r="O1564" t="str">
            <v>Kumba 3</v>
          </cell>
          <cell r="P1564" t="str">
            <v>Sani Njamo</v>
          </cell>
          <cell r="Q1564">
            <v>677549819</v>
          </cell>
          <cell r="R1564">
            <v>655999819</v>
          </cell>
          <cell r="S1564" t="str">
            <v>Stephane KETCHOUANG</v>
          </cell>
          <cell r="T1564" t="str">
            <v>GEORGES NAKHOUL</v>
          </cell>
          <cell r="U1564" t="str">
            <v>I H S</v>
          </cell>
        </row>
        <row r="1565">
          <cell r="A1565" t="str">
            <v>SUO_180</v>
          </cell>
          <cell r="B1565" t="str">
            <v>IHS_BUA_157</v>
          </cell>
          <cell r="C1565" t="str">
            <v>SUO_180</v>
          </cell>
          <cell r="D1565" t="str">
            <v>South West</v>
          </cell>
          <cell r="E1565" t="str">
            <v>South West</v>
          </cell>
          <cell r="F1565" t="str">
            <v>Buea Sandpitt</v>
          </cell>
          <cell r="G1565" t="str">
            <v>P4</v>
          </cell>
          <cell r="H1565" t="str">
            <v>Grid-Gen</v>
          </cell>
          <cell r="I1565">
            <v>0</v>
          </cell>
          <cell r="J1565" t="str">
            <v>Outdoor</v>
          </cell>
          <cell r="K1565" t="str">
            <v>AC</v>
          </cell>
          <cell r="L1565" t="str">
            <v>I-Eng</v>
          </cell>
          <cell r="M1565" t="str">
            <v>Buea</v>
          </cell>
          <cell r="N1565" t="str">
            <v>FAKO</v>
          </cell>
          <cell r="O1565" t="str">
            <v>Buea</v>
          </cell>
          <cell r="P1565" t="str">
            <v>Sani Njamo</v>
          </cell>
          <cell r="Q1565">
            <v>677549819</v>
          </cell>
          <cell r="R1565">
            <v>655999819</v>
          </cell>
          <cell r="S1565" t="str">
            <v>Stephane KETCHOUANG</v>
          </cell>
          <cell r="T1565" t="str">
            <v>GEORGES NAKHOUL</v>
          </cell>
          <cell r="U1565" t="str">
            <v>I H S</v>
          </cell>
        </row>
        <row r="1566">
          <cell r="A1566" t="str">
            <v>SUO_048</v>
          </cell>
          <cell r="B1566" t="str">
            <v>IHS_KMB_022</v>
          </cell>
          <cell r="C1566" t="str">
            <v>SUO_048</v>
          </cell>
          <cell r="D1566" t="str">
            <v>South West</v>
          </cell>
          <cell r="E1566" t="str">
            <v>South West</v>
          </cell>
          <cell r="F1566" t="str">
            <v>Ikiliwindi-MTN</v>
          </cell>
          <cell r="G1566" t="str">
            <v>P4</v>
          </cell>
          <cell r="H1566" t="str">
            <v>Gen Only</v>
          </cell>
          <cell r="I1566" t="str">
            <v>Vandalized</v>
          </cell>
          <cell r="J1566" t="str">
            <v>Outdoor</v>
          </cell>
          <cell r="K1566" t="str">
            <v>AC</v>
          </cell>
          <cell r="L1566" t="str">
            <v>I-Eng</v>
          </cell>
          <cell r="M1566" t="str">
            <v>Kumba</v>
          </cell>
          <cell r="N1566" t="str">
            <v>Meme</v>
          </cell>
          <cell r="O1566" t="str">
            <v>Konye</v>
          </cell>
          <cell r="P1566" t="str">
            <v>Sani Njamo</v>
          </cell>
          <cell r="Q1566">
            <v>677549819</v>
          </cell>
          <cell r="R1566">
            <v>655999819</v>
          </cell>
          <cell r="S1566" t="str">
            <v>Stephane KETCHOUANG</v>
          </cell>
          <cell r="T1566" t="str">
            <v>GEORGES NAKHOUL</v>
          </cell>
          <cell r="U1566" t="str">
            <v>I H S</v>
          </cell>
        </row>
        <row r="1567">
          <cell r="A1567" t="str">
            <v>SUO_054</v>
          </cell>
          <cell r="B1567" t="str">
            <v>IHS_KMB_015</v>
          </cell>
          <cell r="C1567" t="str">
            <v>SUO_054</v>
          </cell>
          <cell r="D1567" t="str">
            <v>South West</v>
          </cell>
          <cell r="E1567" t="str">
            <v>South West</v>
          </cell>
          <cell r="F1567" t="str">
            <v>Kumba-Barombi-Kang-II-IHS</v>
          </cell>
          <cell r="G1567" t="str">
            <v>P4</v>
          </cell>
          <cell r="H1567" t="str">
            <v>Grid-Gen</v>
          </cell>
          <cell r="I1567" t="str">
            <v>On Air</v>
          </cell>
          <cell r="J1567" t="str">
            <v>Outdoor</v>
          </cell>
          <cell r="K1567" t="str">
            <v>AC</v>
          </cell>
          <cell r="L1567" t="str">
            <v>I-Eng</v>
          </cell>
          <cell r="M1567" t="str">
            <v>Kumba</v>
          </cell>
          <cell r="N1567" t="str">
            <v>Meme</v>
          </cell>
          <cell r="O1567" t="str">
            <v>Kumba 3</v>
          </cell>
          <cell r="P1567" t="str">
            <v>Sani Njamo</v>
          </cell>
          <cell r="Q1567">
            <v>677549819</v>
          </cell>
          <cell r="R1567">
            <v>655999819</v>
          </cell>
          <cell r="S1567" t="str">
            <v>Stephane KETCHOUANG</v>
          </cell>
          <cell r="T1567" t="str">
            <v>GEORGES NAKHOUL</v>
          </cell>
          <cell r="U1567" t="str">
            <v>I H S</v>
          </cell>
        </row>
        <row r="1568">
          <cell r="A1568" t="str">
            <v>SUO_125</v>
          </cell>
          <cell r="B1568" t="str">
            <v>IHS_KMB_007</v>
          </cell>
          <cell r="C1568" t="str">
            <v>SUO_125</v>
          </cell>
          <cell r="D1568" t="str">
            <v>South West</v>
          </cell>
          <cell r="E1568" t="str">
            <v>South West</v>
          </cell>
          <cell r="F1568" t="str">
            <v>KUMBA KRAMA</v>
          </cell>
          <cell r="G1568" t="str">
            <v>P4</v>
          </cell>
          <cell r="H1568" t="str">
            <v>Grid-Gen</v>
          </cell>
          <cell r="I1568" t="str">
            <v>On Air</v>
          </cell>
          <cell r="J1568" t="str">
            <v>Outdoor</v>
          </cell>
          <cell r="K1568" t="str">
            <v>AC</v>
          </cell>
          <cell r="L1568" t="str">
            <v>I-Eng</v>
          </cell>
          <cell r="M1568" t="str">
            <v>Kumba</v>
          </cell>
          <cell r="N1568" t="str">
            <v>MEME</v>
          </cell>
          <cell r="O1568" t="str">
            <v>Kumba 1</v>
          </cell>
          <cell r="P1568" t="str">
            <v>Sani Njamo</v>
          </cell>
          <cell r="Q1568">
            <v>677549819</v>
          </cell>
          <cell r="R1568">
            <v>655999819</v>
          </cell>
          <cell r="S1568" t="str">
            <v>Stephane KETCHOUANG</v>
          </cell>
          <cell r="T1568" t="str">
            <v>GEORGES NAKHOUL</v>
          </cell>
          <cell r="U1568" t="str">
            <v>I H S</v>
          </cell>
        </row>
        <row r="1569">
          <cell r="A1569" t="str">
            <v>SUO_215</v>
          </cell>
          <cell r="B1569" t="str">
            <v>IHS_BUA_016</v>
          </cell>
          <cell r="C1569" t="str">
            <v>SUO_215</v>
          </cell>
          <cell r="D1569" t="str">
            <v>South West</v>
          </cell>
          <cell r="E1569" t="str">
            <v>South West</v>
          </cell>
          <cell r="F1569" t="str">
            <v>Buea Kouma</v>
          </cell>
          <cell r="G1569" t="str">
            <v>P4</v>
          </cell>
          <cell r="H1569" t="str">
            <v>Grid-Gen</v>
          </cell>
          <cell r="I1569">
            <v>0</v>
          </cell>
          <cell r="J1569" t="str">
            <v>Outdoor</v>
          </cell>
          <cell r="K1569" t="str">
            <v>AC</v>
          </cell>
          <cell r="L1569" t="str">
            <v>I-Eng</v>
          </cell>
          <cell r="M1569" t="str">
            <v>Buea</v>
          </cell>
          <cell r="N1569" t="str">
            <v>FAKO</v>
          </cell>
          <cell r="O1569" t="str">
            <v>Buea</v>
          </cell>
          <cell r="P1569" t="str">
            <v>Sani Njamo</v>
          </cell>
          <cell r="Q1569">
            <v>677549819</v>
          </cell>
          <cell r="R1569">
            <v>655999819</v>
          </cell>
          <cell r="S1569" t="str">
            <v>Stephane KETCHOUANG</v>
          </cell>
          <cell r="T1569" t="str">
            <v>GEORGES NAKHOUL</v>
          </cell>
          <cell r="U1569" t="str">
            <v>I H S</v>
          </cell>
        </row>
        <row r="1570">
          <cell r="A1570" t="str">
            <v>SUO_196</v>
          </cell>
          <cell r="B1570" t="str">
            <v>IHS_BUA_010</v>
          </cell>
          <cell r="C1570" t="str">
            <v>SUO_196</v>
          </cell>
          <cell r="D1570" t="str">
            <v>South West</v>
          </cell>
          <cell r="E1570" t="str">
            <v>South West</v>
          </cell>
          <cell r="F1570" t="str">
            <v>Tole</v>
          </cell>
          <cell r="G1570" t="str">
            <v>P4</v>
          </cell>
          <cell r="H1570" t="str">
            <v>Grid-Gen</v>
          </cell>
          <cell r="I1570">
            <v>0</v>
          </cell>
          <cell r="J1570" t="str">
            <v>Outdoor</v>
          </cell>
          <cell r="K1570" t="str">
            <v>AC</v>
          </cell>
          <cell r="L1570" t="str">
            <v>I-Eng</v>
          </cell>
          <cell r="M1570" t="str">
            <v>Buea</v>
          </cell>
          <cell r="N1570" t="str">
            <v>FAKO</v>
          </cell>
          <cell r="O1570" t="str">
            <v>Buea</v>
          </cell>
          <cell r="P1570" t="str">
            <v>Sani Njamo</v>
          </cell>
          <cell r="Q1570">
            <v>677549819</v>
          </cell>
          <cell r="R1570">
            <v>655999819</v>
          </cell>
          <cell r="S1570" t="str">
            <v>Stephane KETCHOUANG</v>
          </cell>
          <cell r="T1570" t="str">
            <v>GEORGES NAKHOUL</v>
          </cell>
          <cell r="U1570" t="str">
            <v>I H S</v>
          </cell>
        </row>
        <row r="1571">
          <cell r="A1571" t="str">
            <v>SUO_195</v>
          </cell>
          <cell r="B1571" t="str">
            <v>IHS_BUA_019</v>
          </cell>
          <cell r="C1571" t="str">
            <v>SUO_195</v>
          </cell>
          <cell r="D1571" t="str">
            <v>South West</v>
          </cell>
          <cell r="E1571" t="str">
            <v>South West</v>
          </cell>
          <cell r="F1571" t="str">
            <v>WONYA MAVIO</v>
          </cell>
          <cell r="G1571" t="str">
            <v>P4</v>
          </cell>
          <cell r="H1571" t="str">
            <v>Grid-Gen</v>
          </cell>
          <cell r="I1571">
            <v>0</v>
          </cell>
          <cell r="J1571" t="str">
            <v>Outdoor</v>
          </cell>
          <cell r="K1571" t="str">
            <v>AC</v>
          </cell>
          <cell r="L1571" t="str">
            <v>I-Eng</v>
          </cell>
          <cell r="M1571" t="str">
            <v>Buea</v>
          </cell>
          <cell r="N1571" t="str">
            <v>FAKO</v>
          </cell>
          <cell r="O1571" t="str">
            <v>Buea</v>
          </cell>
          <cell r="P1571" t="str">
            <v>Sani Njamo</v>
          </cell>
          <cell r="Q1571">
            <v>677549819</v>
          </cell>
          <cell r="R1571">
            <v>655999819</v>
          </cell>
          <cell r="S1571" t="str">
            <v>Stephane KETCHOUANG</v>
          </cell>
          <cell r="T1571" t="str">
            <v>GEORGES NAKHOUL</v>
          </cell>
          <cell r="U1571" t="str">
            <v>I H S</v>
          </cell>
        </row>
        <row r="1572">
          <cell r="A1572" t="str">
            <v>SUO_086</v>
          </cell>
          <cell r="B1572" t="str">
            <v>IHS_BUA_053</v>
          </cell>
          <cell r="C1572" t="str">
            <v>SUO_086</v>
          </cell>
          <cell r="D1572" t="str">
            <v>South West</v>
          </cell>
          <cell r="E1572" t="str">
            <v>South West</v>
          </cell>
          <cell r="F1572" t="str">
            <v>Bombe-Bakundu-MTN</v>
          </cell>
          <cell r="G1572" t="str">
            <v>P4</v>
          </cell>
          <cell r="H1572" t="str">
            <v>Vandalized</v>
          </cell>
          <cell r="I1572" t="str">
            <v>Vandalized</v>
          </cell>
          <cell r="J1572" t="str">
            <v>Outdoor</v>
          </cell>
          <cell r="K1572" t="str">
            <v>AC</v>
          </cell>
          <cell r="L1572" t="str">
            <v>I-Eng</v>
          </cell>
          <cell r="M1572" t="str">
            <v>Kumba</v>
          </cell>
          <cell r="N1572" t="str">
            <v>Meme</v>
          </cell>
          <cell r="O1572" t="str">
            <v>Mbonge</v>
          </cell>
          <cell r="P1572" t="str">
            <v>Sani Njamo</v>
          </cell>
          <cell r="Q1572">
            <v>677549819</v>
          </cell>
          <cell r="R1572">
            <v>655999819</v>
          </cell>
          <cell r="S1572" t="str">
            <v>Stephane KETCHOUANG</v>
          </cell>
          <cell r="T1572" t="str">
            <v>GEORGES NAKHOUL</v>
          </cell>
          <cell r="U1572" t="str">
            <v>I H S</v>
          </cell>
        </row>
        <row r="1573">
          <cell r="A1573" t="str">
            <v>SUO_026</v>
          </cell>
          <cell r="B1573" t="str">
            <v>IHS_BUA_051</v>
          </cell>
          <cell r="C1573" t="str">
            <v>SUO_026</v>
          </cell>
          <cell r="D1573" t="str">
            <v>South West</v>
          </cell>
          <cell r="E1573" t="str">
            <v>South West</v>
          </cell>
          <cell r="F1573" t="str">
            <v>Muyengue-II-IHS</v>
          </cell>
          <cell r="G1573" t="str">
            <v>P4</v>
          </cell>
          <cell r="H1573" t="str">
            <v>Grid-Gen</v>
          </cell>
          <cell r="I1573" t="str">
            <v>Vandalized</v>
          </cell>
          <cell r="J1573" t="str">
            <v>Outdoor</v>
          </cell>
          <cell r="K1573" t="str">
            <v>AC</v>
          </cell>
          <cell r="L1573" t="str">
            <v>I-Eng</v>
          </cell>
          <cell r="M1573" t="str">
            <v>Buea</v>
          </cell>
          <cell r="N1573" t="str">
            <v>FAKO</v>
          </cell>
          <cell r="O1573" t="str">
            <v>Muyuka</v>
          </cell>
          <cell r="P1573" t="str">
            <v>Sani Njamo</v>
          </cell>
          <cell r="Q1573">
            <v>677549819</v>
          </cell>
          <cell r="R1573">
            <v>655999819</v>
          </cell>
          <cell r="S1573" t="str">
            <v>Stephane KETCHOUANG</v>
          </cell>
          <cell r="T1573" t="str">
            <v>GEORGES NAKHOUL</v>
          </cell>
          <cell r="U1573" t="str">
            <v>I H S</v>
          </cell>
        </row>
        <row r="1574">
          <cell r="A1574" t="str">
            <v>LIT_175</v>
          </cell>
          <cell r="B1574" t="str">
            <v>IHS_BUA_052</v>
          </cell>
          <cell r="C1574" t="str">
            <v>LIT_175</v>
          </cell>
          <cell r="D1574" t="str">
            <v>South West</v>
          </cell>
          <cell r="E1574" t="str">
            <v>South West</v>
          </cell>
          <cell r="F1574" t="str">
            <v>Muyengue</v>
          </cell>
          <cell r="G1574" t="str">
            <v>P4</v>
          </cell>
          <cell r="H1574" t="str">
            <v>Grid-Gen</v>
          </cell>
          <cell r="I1574" t="str">
            <v>Vandalized</v>
          </cell>
          <cell r="J1574" t="str">
            <v>Outdoor</v>
          </cell>
          <cell r="K1574" t="str">
            <v>AC</v>
          </cell>
          <cell r="L1574" t="str">
            <v>I-Eng</v>
          </cell>
          <cell r="M1574" t="str">
            <v>Buea</v>
          </cell>
          <cell r="N1574" t="str">
            <v>FAKO</v>
          </cell>
          <cell r="O1574" t="str">
            <v>Muyuka</v>
          </cell>
          <cell r="P1574" t="str">
            <v>Sani Njamo</v>
          </cell>
          <cell r="Q1574">
            <v>677549819</v>
          </cell>
          <cell r="R1574">
            <v>655999819</v>
          </cell>
          <cell r="S1574" t="str">
            <v>Stephane KETCHOUANG</v>
          </cell>
          <cell r="T1574" t="str">
            <v>GEORGES NAKHOUL</v>
          </cell>
          <cell r="U1574" t="str">
            <v>I H S</v>
          </cell>
        </row>
        <row r="1575">
          <cell r="A1575" t="str">
            <v>SUO_047</v>
          </cell>
          <cell r="B1575" t="str">
            <v>IHS_KMB_036</v>
          </cell>
          <cell r="C1575" t="str">
            <v>SUO_047</v>
          </cell>
          <cell r="D1575" t="str">
            <v>South West</v>
          </cell>
          <cell r="E1575" t="str">
            <v>South West</v>
          </cell>
          <cell r="F1575" t="str">
            <v>Ekondo-Nege-MTN</v>
          </cell>
          <cell r="G1575" t="str">
            <v>P4</v>
          </cell>
          <cell r="H1575" t="str">
            <v>Hybrid-Gen</v>
          </cell>
          <cell r="I1575" t="str">
            <v>On Air</v>
          </cell>
          <cell r="J1575" t="str">
            <v>Outdoor</v>
          </cell>
          <cell r="K1575" t="str">
            <v>AC</v>
          </cell>
          <cell r="L1575" t="str">
            <v>I-Eng</v>
          </cell>
          <cell r="M1575" t="str">
            <v>Ekondo Titi</v>
          </cell>
          <cell r="N1575" t="str">
            <v>NDIAN</v>
          </cell>
          <cell r="O1575" t="str">
            <v>Ekondo titi</v>
          </cell>
          <cell r="P1575" t="str">
            <v>Sani Njamo</v>
          </cell>
          <cell r="Q1575">
            <v>677549819</v>
          </cell>
          <cell r="R1575">
            <v>655999819</v>
          </cell>
          <cell r="S1575" t="str">
            <v>Stephane KETCHOUANG</v>
          </cell>
          <cell r="T1575" t="str">
            <v>GEORGES NAKHOUL</v>
          </cell>
          <cell r="U1575" t="str">
            <v>I H S</v>
          </cell>
        </row>
        <row r="1576">
          <cell r="A1576" t="str">
            <v>SUO_043</v>
          </cell>
          <cell r="B1576" t="str">
            <v>IHS_KMB_041</v>
          </cell>
          <cell r="C1576" t="str">
            <v>SUO_043</v>
          </cell>
          <cell r="D1576" t="str">
            <v>South West</v>
          </cell>
          <cell r="E1576" t="str">
            <v>South West</v>
          </cell>
          <cell r="F1576" t="str">
            <v>Loe-MTN</v>
          </cell>
          <cell r="G1576" t="str">
            <v>P4</v>
          </cell>
          <cell r="H1576" t="str">
            <v>Gen Only</v>
          </cell>
          <cell r="I1576" t="str">
            <v>Vandalized</v>
          </cell>
          <cell r="J1576" t="str">
            <v>Outdoor</v>
          </cell>
          <cell r="K1576" t="str">
            <v>AC</v>
          </cell>
          <cell r="L1576" t="str">
            <v>I-Eng</v>
          </cell>
          <cell r="M1576" t="str">
            <v>Ekondo Titi</v>
          </cell>
          <cell r="N1576" t="str">
            <v>NDIAN</v>
          </cell>
          <cell r="O1576" t="str">
            <v>Ekondo titi</v>
          </cell>
          <cell r="P1576" t="str">
            <v>Sani Njamo</v>
          </cell>
          <cell r="Q1576">
            <v>677549819</v>
          </cell>
          <cell r="R1576">
            <v>655999819</v>
          </cell>
          <cell r="S1576" t="str">
            <v>Stephane KETCHOUANG</v>
          </cell>
          <cell r="T1576" t="str">
            <v>GEORGES NAKHOUL</v>
          </cell>
          <cell r="U1576" t="str">
            <v>I H S</v>
          </cell>
        </row>
        <row r="1577">
          <cell r="A1577" t="str">
            <v>SUO_088</v>
          </cell>
          <cell r="B1577" t="str">
            <v>IHS_KMB_040</v>
          </cell>
          <cell r="C1577" t="str">
            <v>SUO_088</v>
          </cell>
          <cell r="D1577" t="str">
            <v>South West</v>
          </cell>
          <cell r="E1577" t="str">
            <v>South West</v>
          </cell>
          <cell r="F1577" t="str">
            <v>Kumbe-MTN</v>
          </cell>
          <cell r="G1577" t="str">
            <v>P4</v>
          </cell>
          <cell r="H1577" t="str">
            <v>Gen Only</v>
          </cell>
          <cell r="I1577" t="str">
            <v>Vandalized</v>
          </cell>
          <cell r="J1577" t="str">
            <v>Outdoor</v>
          </cell>
          <cell r="K1577" t="str">
            <v>AC</v>
          </cell>
          <cell r="L1577" t="str">
            <v>I-Eng</v>
          </cell>
          <cell r="M1577" t="str">
            <v>Kumba</v>
          </cell>
          <cell r="N1577" t="str">
            <v>Meme</v>
          </cell>
          <cell r="O1577" t="str">
            <v>konye</v>
          </cell>
          <cell r="P1577" t="str">
            <v>Sani Njamo</v>
          </cell>
          <cell r="Q1577">
            <v>677549819</v>
          </cell>
          <cell r="R1577">
            <v>655999819</v>
          </cell>
          <cell r="S1577" t="str">
            <v>Stephane KETCHOUANG</v>
          </cell>
          <cell r="T1577" t="str">
            <v>GEORGES NAKHOUL</v>
          </cell>
          <cell r="U1577" t="str">
            <v>I H S</v>
          </cell>
        </row>
        <row r="1578">
          <cell r="A1578" t="str">
            <v>SUO_049</v>
          </cell>
          <cell r="B1578" t="str">
            <v>IHS_KMB_039</v>
          </cell>
          <cell r="C1578" t="str">
            <v>SUO_049</v>
          </cell>
          <cell r="D1578" t="str">
            <v>South West</v>
          </cell>
          <cell r="E1578" t="str">
            <v>South West</v>
          </cell>
          <cell r="F1578" t="str">
            <v>Mbakwa-Supe-MTN</v>
          </cell>
          <cell r="G1578" t="str">
            <v>P4</v>
          </cell>
          <cell r="H1578" t="str">
            <v>Vandalized</v>
          </cell>
          <cell r="I1578" t="str">
            <v>Vandalized</v>
          </cell>
          <cell r="J1578" t="str">
            <v>Outdoor</v>
          </cell>
          <cell r="K1578" t="str">
            <v>AC</v>
          </cell>
          <cell r="L1578" t="str">
            <v>I-Eng</v>
          </cell>
          <cell r="M1578" t="str">
            <v>Kumba</v>
          </cell>
          <cell r="N1578" t="str">
            <v>Meme</v>
          </cell>
          <cell r="O1578" t="str">
            <v>konye</v>
          </cell>
          <cell r="P1578" t="str">
            <v>Sani Njamo</v>
          </cell>
          <cell r="Q1578">
            <v>677549819</v>
          </cell>
          <cell r="R1578">
            <v>655999819</v>
          </cell>
          <cell r="S1578" t="str">
            <v>Stephane KETCHOUANG</v>
          </cell>
          <cell r="T1578" t="str">
            <v>GEORGES NAKHOUL</v>
          </cell>
          <cell r="U1578" t="str">
            <v>I H S</v>
          </cell>
        </row>
        <row r="1579">
          <cell r="A1579" t="str">
            <v>SUO_095</v>
          </cell>
          <cell r="B1579" t="str">
            <v>IHS_KMB_026</v>
          </cell>
          <cell r="C1579" t="str">
            <v>SUO_095</v>
          </cell>
          <cell r="D1579" t="str">
            <v>South West</v>
          </cell>
          <cell r="E1579" t="str">
            <v>South West</v>
          </cell>
          <cell r="F1579" t="str">
            <v>Bombanda-Ebulu-IHS</v>
          </cell>
          <cell r="G1579" t="str">
            <v>P4</v>
          </cell>
          <cell r="H1579" t="str">
            <v>Vandalized</v>
          </cell>
          <cell r="I1579" t="str">
            <v>Vandalized</v>
          </cell>
          <cell r="J1579" t="str">
            <v>Outdoor</v>
          </cell>
          <cell r="K1579" t="str">
            <v>AC</v>
          </cell>
          <cell r="L1579" t="str">
            <v>I-Eng</v>
          </cell>
          <cell r="M1579" t="str">
            <v>Kumba</v>
          </cell>
          <cell r="N1579" t="str">
            <v>Meme</v>
          </cell>
          <cell r="O1579" t="str">
            <v>Mbonge</v>
          </cell>
          <cell r="P1579" t="str">
            <v>Sani Njamo</v>
          </cell>
          <cell r="Q1579">
            <v>677549819</v>
          </cell>
          <cell r="R1579">
            <v>655999819</v>
          </cell>
          <cell r="S1579" t="str">
            <v>Stephane KETCHOUANG</v>
          </cell>
          <cell r="T1579" t="str">
            <v>GEORGES NAKHOUL</v>
          </cell>
          <cell r="U1579" t="str">
            <v>I H S</v>
          </cell>
        </row>
        <row r="1580">
          <cell r="A1580" t="str">
            <v>SUO_096</v>
          </cell>
          <cell r="B1580" t="str">
            <v>IHS_KMB_025</v>
          </cell>
          <cell r="C1580" t="str">
            <v>SUO_096</v>
          </cell>
          <cell r="D1580" t="str">
            <v>South West</v>
          </cell>
          <cell r="E1580" t="str">
            <v>South West</v>
          </cell>
          <cell r="F1580" t="str">
            <v>BEKONDO-IHS</v>
          </cell>
          <cell r="G1580" t="str">
            <v>P4</v>
          </cell>
          <cell r="H1580" t="str">
            <v>Hybrid-Gen</v>
          </cell>
          <cell r="I1580" t="str">
            <v>Vandalized</v>
          </cell>
          <cell r="J1580" t="str">
            <v>Outdoor</v>
          </cell>
          <cell r="K1580" t="str">
            <v>AC</v>
          </cell>
          <cell r="L1580" t="str">
            <v>I-Eng</v>
          </cell>
          <cell r="M1580" t="str">
            <v>Kumba</v>
          </cell>
          <cell r="N1580" t="str">
            <v>Meme</v>
          </cell>
          <cell r="O1580" t="str">
            <v>Mbonge</v>
          </cell>
          <cell r="P1580" t="str">
            <v>Sani Njamo</v>
          </cell>
          <cell r="Q1580">
            <v>677549819</v>
          </cell>
          <cell r="R1580">
            <v>655999819</v>
          </cell>
          <cell r="S1580" t="str">
            <v>Stephane KETCHOUANG</v>
          </cell>
          <cell r="T1580" t="str">
            <v>GEORGES NAKHOUL</v>
          </cell>
          <cell r="U1580" t="str">
            <v>I H S</v>
          </cell>
        </row>
        <row r="1581">
          <cell r="A1581" t="str">
            <v>SUO_093</v>
          </cell>
          <cell r="B1581" t="str">
            <v>IHS_KMB_028</v>
          </cell>
          <cell r="C1581" t="str">
            <v>SUO_093</v>
          </cell>
          <cell r="D1581" t="str">
            <v>South West</v>
          </cell>
          <cell r="E1581" t="str">
            <v>South West</v>
          </cell>
          <cell r="F1581" t="str">
            <v>Bai-Panya-IHS</v>
          </cell>
          <cell r="G1581" t="str">
            <v>P4</v>
          </cell>
          <cell r="H1581" t="str">
            <v>Gen Only</v>
          </cell>
          <cell r="I1581" t="str">
            <v>On Air</v>
          </cell>
          <cell r="J1581" t="str">
            <v>Outdoor</v>
          </cell>
          <cell r="K1581" t="str">
            <v>AC</v>
          </cell>
          <cell r="L1581" t="str">
            <v>I-Eng</v>
          </cell>
          <cell r="M1581" t="str">
            <v>Kumba</v>
          </cell>
          <cell r="N1581" t="str">
            <v>Meme</v>
          </cell>
          <cell r="O1581" t="str">
            <v>Mbonge</v>
          </cell>
          <cell r="P1581" t="str">
            <v>Sani Njamo</v>
          </cell>
          <cell r="Q1581">
            <v>677549819</v>
          </cell>
          <cell r="R1581">
            <v>655999819</v>
          </cell>
          <cell r="S1581" t="str">
            <v>Stephane KETCHOUANG</v>
          </cell>
          <cell r="T1581" t="str">
            <v>GEORGES NAKHOUL</v>
          </cell>
          <cell r="U1581" t="str">
            <v>I H S</v>
          </cell>
        </row>
        <row r="1582">
          <cell r="A1582" t="str">
            <v>SUO_099</v>
          </cell>
          <cell r="B1582" t="str">
            <v>IHS_KMB_042</v>
          </cell>
          <cell r="C1582" t="str">
            <v>SUO_099</v>
          </cell>
          <cell r="D1582" t="str">
            <v>South West</v>
          </cell>
          <cell r="E1582" t="str">
            <v>South West</v>
          </cell>
          <cell r="F1582" t="str">
            <v>Babensi-IHS</v>
          </cell>
          <cell r="G1582" t="str">
            <v>P4</v>
          </cell>
          <cell r="H1582" t="str">
            <v>Gen Only</v>
          </cell>
          <cell r="I1582" t="str">
            <v>Vandalized</v>
          </cell>
          <cell r="J1582" t="str">
            <v>Outdoor</v>
          </cell>
          <cell r="K1582" t="str">
            <v>AC</v>
          </cell>
          <cell r="L1582" t="str">
            <v>I-Eng</v>
          </cell>
          <cell r="M1582" t="str">
            <v>Kumba</v>
          </cell>
          <cell r="N1582" t="str">
            <v>MANYU</v>
          </cell>
          <cell r="O1582" t="str">
            <v>Nguti</v>
          </cell>
          <cell r="P1582" t="str">
            <v>Sani Njamo</v>
          </cell>
          <cell r="Q1582">
            <v>677549819</v>
          </cell>
          <cell r="R1582">
            <v>655999819</v>
          </cell>
          <cell r="S1582" t="str">
            <v>Stephane KETCHOUANG</v>
          </cell>
          <cell r="T1582" t="str">
            <v>GEORGES NAKHOUL</v>
          </cell>
          <cell r="U1582" t="str">
            <v>I H S</v>
          </cell>
        </row>
        <row r="1583">
          <cell r="A1583" t="str">
            <v>SUO_218</v>
          </cell>
          <cell r="B1583" t="str">
            <v>IHS_KMB_121</v>
          </cell>
          <cell r="C1583" t="str">
            <v>SUO_218</v>
          </cell>
          <cell r="D1583" t="str">
            <v>South West</v>
          </cell>
          <cell r="E1583" t="str">
            <v>South West</v>
          </cell>
          <cell r="F1583" t="str">
            <v>KUMBA BONAKAMA</v>
          </cell>
          <cell r="G1583" t="str">
            <v>P4</v>
          </cell>
          <cell r="H1583" t="str">
            <v>Grid-Gen</v>
          </cell>
          <cell r="I1583">
            <v>0</v>
          </cell>
          <cell r="J1583" t="str">
            <v>Outdoor</v>
          </cell>
          <cell r="K1583" t="str">
            <v>AC</v>
          </cell>
          <cell r="L1583" t="str">
            <v>I-Eng</v>
          </cell>
          <cell r="M1583" t="str">
            <v>Kumba</v>
          </cell>
          <cell r="N1583" t="str">
            <v>MEME</v>
          </cell>
          <cell r="O1583" t="str">
            <v>Kumba 1</v>
          </cell>
          <cell r="P1583" t="str">
            <v>Sani Njamo</v>
          </cell>
          <cell r="Q1583">
            <v>677549819</v>
          </cell>
          <cell r="R1583">
            <v>655999819</v>
          </cell>
          <cell r="S1583" t="str">
            <v>Stephane KETCHOUANG</v>
          </cell>
          <cell r="T1583" t="str">
            <v>GEORGES NAKHOUL</v>
          </cell>
          <cell r="U1583" t="str">
            <v>I H S</v>
          </cell>
        </row>
        <row r="1584">
          <cell r="A1584" t="str">
            <v>SUO_231</v>
          </cell>
          <cell r="B1584" t="str">
            <v>IHS_KMB_122</v>
          </cell>
          <cell r="C1584" t="str">
            <v>SUO_231</v>
          </cell>
          <cell r="D1584" t="str">
            <v>South West</v>
          </cell>
          <cell r="E1584" t="str">
            <v>South West</v>
          </cell>
          <cell r="F1584" t="str">
            <v>Kumba Bonakama2</v>
          </cell>
          <cell r="G1584" t="str">
            <v>P4</v>
          </cell>
          <cell r="H1584" t="str">
            <v>Hybrid-Gen</v>
          </cell>
          <cell r="I1584">
            <v>0</v>
          </cell>
          <cell r="J1584" t="str">
            <v>Outdoor</v>
          </cell>
          <cell r="K1584" t="str">
            <v>AC</v>
          </cell>
          <cell r="L1584" t="str">
            <v>I-Eng</v>
          </cell>
          <cell r="M1584" t="str">
            <v>Kumba</v>
          </cell>
          <cell r="N1584" t="str">
            <v>MEME</v>
          </cell>
          <cell r="O1584" t="str">
            <v>Kumba 1</v>
          </cell>
          <cell r="P1584" t="str">
            <v>Sani Njamo</v>
          </cell>
          <cell r="Q1584">
            <v>677549819</v>
          </cell>
          <cell r="R1584">
            <v>655999819</v>
          </cell>
          <cell r="S1584" t="str">
            <v>Stephane KETCHOUANG</v>
          </cell>
          <cell r="T1584" t="str">
            <v>GEORGES NAKHOUL</v>
          </cell>
          <cell r="U1584" t="str">
            <v>I H S</v>
          </cell>
        </row>
        <row r="1585">
          <cell r="A1585" t="str">
            <v>SUO_202</v>
          </cell>
          <cell r="B1585" t="str">
            <v>IHS_BUA_171</v>
          </cell>
          <cell r="C1585" t="str">
            <v>SUO_202</v>
          </cell>
          <cell r="D1585" t="str">
            <v>South West</v>
          </cell>
          <cell r="E1585" t="str">
            <v>South West</v>
          </cell>
          <cell r="F1585" t="str">
            <v>MOUNTAIN HOTEL</v>
          </cell>
          <cell r="G1585" t="str">
            <v>P4</v>
          </cell>
          <cell r="H1585" t="str">
            <v>Grid Only</v>
          </cell>
          <cell r="I1585">
            <v>0</v>
          </cell>
          <cell r="J1585" t="str">
            <v>Outdoor</v>
          </cell>
          <cell r="K1585" t="str">
            <v>AC</v>
          </cell>
          <cell r="L1585" t="str">
            <v>I-Eng</v>
          </cell>
          <cell r="M1585" t="str">
            <v>Buea</v>
          </cell>
          <cell r="N1585" t="str">
            <v>FAKO</v>
          </cell>
          <cell r="O1585" t="str">
            <v>Buea</v>
          </cell>
          <cell r="P1585" t="str">
            <v>Sani Njamo</v>
          </cell>
          <cell r="Q1585">
            <v>677549819</v>
          </cell>
          <cell r="R1585">
            <v>655999819</v>
          </cell>
          <cell r="S1585" t="str">
            <v>Stephane KETCHOUANG</v>
          </cell>
          <cell r="T1585" t="str">
            <v>GEORGES NAKHOUL</v>
          </cell>
          <cell r="U1585" t="str">
            <v>I H S</v>
          </cell>
        </row>
        <row r="1586">
          <cell r="A1586" t="str">
            <v>SUO_179</v>
          </cell>
          <cell r="B1586" t="str">
            <v>IHS_BUA_174</v>
          </cell>
          <cell r="C1586" t="str">
            <v>SUO_179</v>
          </cell>
          <cell r="D1586" t="str">
            <v>South West</v>
          </cell>
          <cell r="E1586" t="str">
            <v>South West</v>
          </cell>
          <cell r="F1586" t="str">
            <v>MOLYKO PARAMOUNT STREET</v>
          </cell>
          <cell r="G1586" t="str">
            <v>P4</v>
          </cell>
          <cell r="H1586" t="str">
            <v>Grid-Gen</v>
          </cell>
          <cell r="I1586">
            <v>0</v>
          </cell>
          <cell r="J1586" t="str">
            <v>Outdoor</v>
          </cell>
          <cell r="K1586" t="str">
            <v>AC</v>
          </cell>
          <cell r="L1586" t="str">
            <v>I-Eng</v>
          </cell>
          <cell r="M1586" t="str">
            <v>Buea</v>
          </cell>
          <cell r="N1586" t="str">
            <v>FAKO</v>
          </cell>
          <cell r="O1586" t="str">
            <v>Buea</v>
          </cell>
          <cell r="P1586" t="str">
            <v>Sani Njamo</v>
          </cell>
          <cell r="Q1586">
            <v>677549819</v>
          </cell>
          <cell r="R1586">
            <v>655999819</v>
          </cell>
          <cell r="S1586" t="str">
            <v>Stephane KETCHOUANG</v>
          </cell>
          <cell r="T1586" t="str">
            <v>GEORGES NAKHOUL</v>
          </cell>
          <cell r="U1586" t="str">
            <v>I H S</v>
          </cell>
        </row>
        <row r="1587">
          <cell r="A1587" t="str">
            <v>SUO_200</v>
          </cell>
          <cell r="B1587" t="str">
            <v>IHS_BUA_170</v>
          </cell>
          <cell r="C1587" t="str">
            <v>SUO_200</v>
          </cell>
          <cell r="D1587" t="str">
            <v>South West</v>
          </cell>
          <cell r="E1587" t="str">
            <v>South West</v>
          </cell>
          <cell r="F1587" t="str">
            <v>BUEA UB Lamp</v>
          </cell>
          <cell r="G1587" t="str">
            <v>P4</v>
          </cell>
          <cell r="H1587" t="str">
            <v>Grid-Gen</v>
          </cell>
          <cell r="I1587">
            <v>0</v>
          </cell>
          <cell r="J1587" t="str">
            <v>Outdoor</v>
          </cell>
          <cell r="K1587" t="str">
            <v>AC</v>
          </cell>
          <cell r="L1587" t="str">
            <v>I-Eng</v>
          </cell>
          <cell r="M1587" t="str">
            <v>Buea</v>
          </cell>
          <cell r="N1587" t="str">
            <v>FAKO</v>
          </cell>
          <cell r="O1587" t="str">
            <v>Buea</v>
          </cell>
          <cell r="P1587" t="str">
            <v>Sani Njamo</v>
          </cell>
          <cell r="Q1587">
            <v>677549819</v>
          </cell>
          <cell r="R1587">
            <v>655999819</v>
          </cell>
          <cell r="S1587" t="str">
            <v>Stephane KETCHOUANG</v>
          </cell>
          <cell r="T1587" t="str">
            <v>GEORGES NAKHOUL</v>
          </cell>
          <cell r="U1587" t="str">
            <v>I H S</v>
          </cell>
        </row>
        <row r="1588">
          <cell r="A1588" t="str">
            <v>SUO_185</v>
          </cell>
          <cell r="B1588" t="str">
            <v>IHS_BUA_173</v>
          </cell>
          <cell r="C1588" t="str">
            <v>SUO_185</v>
          </cell>
          <cell r="D1588" t="str">
            <v>South West</v>
          </cell>
          <cell r="E1588" t="str">
            <v>South West</v>
          </cell>
          <cell r="F1588" t="str">
            <v>BUEA WOKOKO</v>
          </cell>
          <cell r="G1588" t="str">
            <v>P4</v>
          </cell>
          <cell r="H1588" t="str">
            <v>Grid-Gen</v>
          </cell>
          <cell r="I1588">
            <v>0</v>
          </cell>
          <cell r="J1588" t="str">
            <v>Outdoor</v>
          </cell>
          <cell r="K1588" t="str">
            <v>AC</v>
          </cell>
          <cell r="L1588" t="str">
            <v>I-Eng</v>
          </cell>
          <cell r="M1588" t="str">
            <v>Buea</v>
          </cell>
          <cell r="N1588" t="str">
            <v>FAKO</v>
          </cell>
          <cell r="O1588" t="str">
            <v>Buea</v>
          </cell>
          <cell r="P1588" t="str">
            <v>Sani Njamo</v>
          </cell>
          <cell r="Q1588">
            <v>677549819</v>
          </cell>
          <cell r="R1588">
            <v>655999819</v>
          </cell>
          <cell r="S1588" t="str">
            <v>Stephane KETCHOUANG</v>
          </cell>
          <cell r="T1588" t="str">
            <v>GEORGES NAKHOUL</v>
          </cell>
          <cell r="U1588" t="str">
            <v>I H S</v>
          </cell>
        </row>
        <row r="1589">
          <cell r="A1589" t="str">
            <v>SUO_230</v>
          </cell>
          <cell r="B1589" t="str">
            <v>IHS_KMB_125</v>
          </cell>
          <cell r="C1589" t="str">
            <v>SUO_230</v>
          </cell>
          <cell r="D1589" t="str">
            <v>South West</v>
          </cell>
          <cell r="E1589" t="str">
            <v>South West</v>
          </cell>
          <cell r="F1589" t="str">
            <v>Kumba Alaska street</v>
          </cell>
          <cell r="G1589" t="str">
            <v>P4</v>
          </cell>
          <cell r="H1589" t="str">
            <v>Grid-Gen</v>
          </cell>
          <cell r="I1589">
            <v>0</v>
          </cell>
          <cell r="J1589" t="str">
            <v>Outdoor</v>
          </cell>
          <cell r="K1589" t="str">
            <v>AC</v>
          </cell>
          <cell r="L1589" t="str">
            <v>I-Eng</v>
          </cell>
          <cell r="M1589" t="str">
            <v>Kumba</v>
          </cell>
          <cell r="N1589" t="str">
            <v>MEME</v>
          </cell>
          <cell r="O1589" t="str">
            <v>Kumba 1</v>
          </cell>
          <cell r="P1589" t="str">
            <v>Sani Njamo</v>
          </cell>
          <cell r="Q1589">
            <v>677549819</v>
          </cell>
          <cell r="R1589">
            <v>655999819</v>
          </cell>
          <cell r="S1589" t="str">
            <v>Stephane KETCHOUANG</v>
          </cell>
          <cell r="T1589" t="str">
            <v>GEORGES NAKHOUL</v>
          </cell>
          <cell r="U1589" t="str">
            <v>I H S</v>
          </cell>
        </row>
        <row r="1590">
          <cell r="A1590" t="str">
            <v>SUO_070</v>
          </cell>
          <cell r="B1590" t="str">
            <v>IHS_BUA_047</v>
          </cell>
          <cell r="C1590" t="str">
            <v>SUO_070</v>
          </cell>
          <cell r="D1590" t="str">
            <v>South West</v>
          </cell>
          <cell r="E1590" t="str">
            <v>South West</v>
          </cell>
          <cell r="F1590" t="str">
            <v>Yoke</v>
          </cell>
          <cell r="G1590" t="str">
            <v>P5</v>
          </cell>
          <cell r="H1590" t="str">
            <v>Grid-Gen</v>
          </cell>
          <cell r="I1590" t="str">
            <v>On Air</v>
          </cell>
          <cell r="J1590" t="str">
            <v>Outdoor</v>
          </cell>
          <cell r="K1590" t="str">
            <v>AC</v>
          </cell>
          <cell r="L1590" t="str">
            <v>I-Eng</v>
          </cell>
          <cell r="M1590" t="str">
            <v>Buea</v>
          </cell>
          <cell r="N1590" t="str">
            <v>FAKO</v>
          </cell>
          <cell r="O1590" t="str">
            <v>Muyuka</v>
          </cell>
          <cell r="P1590" t="str">
            <v>Sani Njamo</v>
          </cell>
          <cell r="Q1590">
            <v>677549819</v>
          </cell>
          <cell r="R1590">
            <v>655999819</v>
          </cell>
          <cell r="S1590" t="str">
            <v>Stephane KETCHOUANG</v>
          </cell>
          <cell r="T1590" t="str">
            <v>GEORGES NAKHOUL</v>
          </cell>
          <cell r="U1590" t="str">
            <v>I H S</v>
          </cell>
        </row>
        <row r="1591">
          <cell r="A1591" t="str">
            <v>SUO_032</v>
          </cell>
          <cell r="B1591" t="str">
            <v>IHS_KMB_037</v>
          </cell>
          <cell r="C1591" t="str">
            <v>SUO_032</v>
          </cell>
          <cell r="D1591" t="str">
            <v>South West</v>
          </cell>
          <cell r="E1591" t="str">
            <v>South West</v>
          </cell>
          <cell r="F1591" t="str">
            <v>Konye</v>
          </cell>
          <cell r="G1591" t="str">
            <v>P5</v>
          </cell>
          <cell r="H1591" t="str">
            <v>Hybrid-Gen</v>
          </cell>
          <cell r="I1591" t="str">
            <v>No Access</v>
          </cell>
          <cell r="J1591" t="str">
            <v>Outdoor</v>
          </cell>
          <cell r="K1591" t="str">
            <v>AC</v>
          </cell>
          <cell r="L1591" t="str">
            <v>I-Eng</v>
          </cell>
          <cell r="M1591" t="str">
            <v>Kumba</v>
          </cell>
          <cell r="N1591" t="str">
            <v>Meme</v>
          </cell>
          <cell r="O1591" t="str">
            <v>Konye</v>
          </cell>
          <cell r="P1591" t="str">
            <v>Sani Njamo</v>
          </cell>
          <cell r="Q1591">
            <v>677549819</v>
          </cell>
          <cell r="R1591">
            <v>655999819</v>
          </cell>
          <cell r="S1591" t="str">
            <v>Stephane KETCHOUANG</v>
          </cell>
          <cell r="T1591" t="str">
            <v>GEORGES NAKHOUL</v>
          </cell>
          <cell r="U1591" t="str">
            <v>I H S</v>
          </cell>
        </row>
        <row r="1592">
          <cell r="A1592" t="str">
            <v>SUO_108</v>
          </cell>
          <cell r="B1592" t="str">
            <v>IHS_KMB_016</v>
          </cell>
          <cell r="C1592" t="str">
            <v>SUO_108</v>
          </cell>
          <cell r="D1592" t="str">
            <v>South West</v>
          </cell>
          <cell r="E1592" t="str">
            <v>South West</v>
          </cell>
          <cell r="F1592" t="str">
            <v>Kumba-Barombi-Kang II</v>
          </cell>
          <cell r="G1592" t="str">
            <v>P5</v>
          </cell>
          <cell r="H1592" t="str">
            <v>Grid-Gen</v>
          </cell>
          <cell r="I1592" t="str">
            <v>On Air</v>
          </cell>
          <cell r="J1592" t="str">
            <v>Outdoor</v>
          </cell>
          <cell r="K1592" t="str">
            <v>AC</v>
          </cell>
          <cell r="L1592" t="str">
            <v>I-Eng</v>
          </cell>
          <cell r="M1592" t="str">
            <v>Kumba</v>
          </cell>
          <cell r="N1592" t="str">
            <v>MEME</v>
          </cell>
          <cell r="O1592" t="str">
            <v>Kumba 3</v>
          </cell>
          <cell r="P1592" t="str">
            <v>Sani Njamo</v>
          </cell>
          <cell r="Q1592">
            <v>677549819</v>
          </cell>
          <cell r="R1592">
            <v>655999819</v>
          </cell>
          <cell r="S1592" t="str">
            <v>Stephane KETCHOUANG</v>
          </cell>
          <cell r="T1592" t="str">
            <v>GEORGES NAKHOUL</v>
          </cell>
          <cell r="U1592" t="str">
            <v>I H S</v>
          </cell>
        </row>
        <row r="1593">
          <cell r="A1593" t="str">
            <v>SUO_111</v>
          </cell>
          <cell r="B1593" t="str">
            <v>IHS_KMB_012</v>
          </cell>
          <cell r="C1593" t="str">
            <v>SUO_111</v>
          </cell>
          <cell r="D1593" t="str">
            <v>South West</v>
          </cell>
          <cell r="E1593" t="str">
            <v>South West</v>
          </cell>
          <cell r="F1593" t="str">
            <v>Kumba MAKATA</v>
          </cell>
          <cell r="G1593" t="str">
            <v>P5</v>
          </cell>
          <cell r="H1593" t="str">
            <v>Grid-Gen</v>
          </cell>
          <cell r="I1593" t="str">
            <v>On Air</v>
          </cell>
          <cell r="J1593" t="str">
            <v>Outdoor</v>
          </cell>
          <cell r="K1593" t="str">
            <v>AC</v>
          </cell>
          <cell r="L1593" t="str">
            <v>I-Eng</v>
          </cell>
          <cell r="M1593" t="str">
            <v>Kumba</v>
          </cell>
          <cell r="N1593" t="str">
            <v>MEME</v>
          </cell>
          <cell r="O1593" t="str">
            <v>Kumba 1</v>
          </cell>
          <cell r="P1593" t="str">
            <v>Sani Njamo</v>
          </cell>
          <cell r="Q1593">
            <v>677549819</v>
          </cell>
          <cell r="R1593">
            <v>655999819</v>
          </cell>
          <cell r="S1593" t="str">
            <v>Stephane KETCHOUANG</v>
          </cell>
          <cell r="T1593" t="str">
            <v>GEORGES NAKHOUL</v>
          </cell>
          <cell r="U1593" t="str">
            <v>I H S</v>
          </cell>
        </row>
        <row r="1594">
          <cell r="A1594" t="str">
            <v>SUO_079</v>
          </cell>
          <cell r="B1594" t="str">
            <v>IHS_BUA_028</v>
          </cell>
          <cell r="C1594" t="str">
            <v>SUO_079</v>
          </cell>
          <cell r="D1594" t="str">
            <v>South West</v>
          </cell>
          <cell r="E1594" t="str">
            <v>South West</v>
          </cell>
          <cell r="F1594" t="str">
            <v>Mile14-IHS</v>
          </cell>
          <cell r="G1594" t="str">
            <v>P5</v>
          </cell>
          <cell r="H1594" t="str">
            <v>Grid-Gen</v>
          </cell>
          <cell r="I1594" t="str">
            <v>On Air</v>
          </cell>
          <cell r="J1594" t="str">
            <v>Outdoor</v>
          </cell>
          <cell r="K1594" t="str">
            <v>AC</v>
          </cell>
          <cell r="L1594" t="str">
            <v>I-Eng</v>
          </cell>
          <cell r="M1594" t="str">
            <v>Buea</v>
          </cell>
          <cell r="N1594" t="str">
            <v>FAKO</v>
          </cell>
          <cell r="O1594" t="str">
            <v>Buea</v>
          </cell>
          <cell r="P1594" t="str">
            <v>Sani Njamo</v>
          </cell>
          <cell r="Q1594">
            <v>677549819</v>
          </cell>
          <cell r="R1594">
            <v>655999819</v>
          </cell>
          <cell r="S1594" t="str">
            <v>Stephane KETCHOUANG</v>
          </cell>
          <cell r="T1594" t="str">
            <v>GEORGES NAKHOUL</v>
          </cell>
          <cell r="U1594" t="str">
            <v>I H S</v>
          </cell>
        </row>
        <row r="1595">
          <cell r="A1595" t="str">
            <v>SUO_113</v>
          </cell>
          <cell r="B1595" t="str">
            <v>IHS_KMB_011</v>
          </cell>
          <cell r="C1595" t="str">
            <v>SUO_113</v>
          </cell>
          <cell r="D1595" t="str">
            <v>South West</v>
          </cell>
          <cell r="E1595" t="str">
            <v>South West</v>
          </cell>
          <cell r="F1595" t="str">
            <v>Kumba-Kossala-IHS</v>
          </cell>
          <cell r="G1595" t="str">
            <v>P5</v>
          </cell>
          <cell r="H1595" t="str">
            <v>Grid-Gen</v>
          </cell>
          <cell r="I1595" t="str">
            <v>On Air</v>
          </cell>
          <cell r="J1595" t="str">
            <v>Outdoor</v>
          </cell>
          <cell r="K1595" t="str">
            <v>AC</v>
          </cell>
          <cell r="L1595" t="str">
            <v>I-Eng</v>
          </cell>
          <cell r="M1595" t="str">
            <v>Kumba</v>
          </cell>
          <cell r="N1595" t="str">
            <v>MEME</v>
          </cell>
          <cell r="O1595" t="str">
            <v>Kumba 2</v>
          </cell>
          <cell r="P1595" t="str">
            <v>Sani Njamo</v>
          </cell>
          <cell r="Q1595">
            <v>677549819</v>
          </cell>
          <cell r="R1595">
            <v>655999819</v>
          </cell>
          <cell r="S1595" t="str">
            <v>Stephane KETCHOUANG</v>
          </cell>
          <cell r="T1595" t="str">
            <v>GEORGES NAKHOUL</v>
          </cell>
          <cell r="U1595" t="str">
            <v>I H S</v>
          </cell>
        </row>
        <row r="1596">
          <cell r="A1596" t="str">
            <v>SUO_114</v>
          </cell>
          <cell r="B1596" t="str">
            <v>IHS_KMB_003</v>
          </cell>
          <cell r="C1596" t="str">
            <v>SUO_114</v>
          </cell>
          <cell r="D1596" t="str">
            <v>South West</v>
          </cell>
          <cell r="E1596" t="str">
            <v>South West</v>
          </cell>
          <cell r="F1596" t="str">
            <v>Kumba KOSSALA II</v>
          </cell>
          <cell r="G1596" t="str">
            <v>P5</v>
          </cell>
          <cell r="H1596" t="str">
            <v>Grid-Gen</v>
          </cell>
          <cell r="I1596" t="str">
            <v>On Air</v>
          </cell>
          <cell r="J1596" t="str">
            <v>Outdoor</v>
          </cell>
          <cell r="K1596" t="str">
            <v>AC</v>
          </cell>
          <cell r="L1596" t="str">
            <v>I-Eng</v>
          </cell>
          <cell r="M1596" t="str">
            <v>Kumba</v>
          </cell>
          <cell r="N1596" t="str">
            <v>MEME</v>
          </cell>
          <cell r="O1596" t="str">
            <v>Kumba 2</v>
          </cell>
          <cell r="P1596" t="str">
            <v>Sani Njamo</v>
          </cell>
          <cell r="Q1596">
            <v>677549819</v>
          </cell>
          <cell r="R1596">
            <v>655999819</v>
          </cell>
          <cell r="S1596" t="str">
            <v>Stephane KETCHOUANG</v>
          </cell>
          <cell r="T1596" t="str">
            <v>GEORGES NAKHOUL</v>
          </cell>
          <cell r="U1596" t="str">
            <v>I H S</v>
          </cell>
        </row>
        <row r="1597">
          <cell r="A1597" t="str">
            <v>SUO_116</v>
          </cell>
          <cell r="B1597" t="str">
            <v>IHS_KMB_001</v>
          </cell>
          <cell r="C1597" t="str">
            <v>SUO_116</v>
          </cell>
          <cell r="D1597" t="str">
            <v>South West</v>
          </cell>
          <cell r="E1597" t="str">
            <v>South West</v>
          </cell>
          <cell r="F1597" t="str">
            <v>Kumba-MBO-STREET-IHS</v>
          </cell>
          <cell r="G1597" t="str">
            <v>P5</v>
          </cell>
          <cell r="H1597" t="str">
            <v>Grid-Gen</v>
          </cell>
          <cell r="I1597" t="str">
            <v>On Air</v>
          </cell>
          <cell r="J1597" t="str">
            <v>Outdoor</v>
          </cell>
          <cell r="K1597" t="str">
            <v>AC</v>
          </cell>
          <cell r="L1597" t="str">
            <v>I-Eng</v>
          </cell>
          <cell r="M1597" t="str">
            <v>Kumba</v>
          </cell>
          <cell r="N1597" t="str">
            <v>MEME</v>
          </cell>
          <cell r="O1597" t="str">
            <v>Kumba 2</v>
          </cell>
          <cell r="P1597" t="str">
            <v>Sani Njamo</v>
          </cell>
          <cell r="Q1597">
            <v>677549819</v>
          </cell>
          <cell r="R1597">
            <v>655999819</v>
          </cell>
          <cell r="S1597" t="str">
            <v>Stephane KETCHOUANG</v>
          </cell>
          <cell r="T1597" t="str">
            <v>GEORGES NAKHOUL</v>
          </cell>
          <cell r="U1597" t="str">
            <v>I H S</v>
          </cell>
        </row>
        <row r="1598">
          <cell r="A1598" t="str">
            <v> SUO_238_T</v>
          </cell>
          <cell r="B1598" t="str">
            <v>IHS_BUA_156</v>
          </cell>
          <cell r="C1598" t="str">
            <v> SUO_238_T</v>
          </cell>
          <cell r="D1598" t="str">
            <v>South West</v>
          </cell>
          <cell r="E1598" t="str">
            <v>South West</v>
          </cell>
          <cell r="F1598" t="str">
            <v>Kumba Gare Ntam I</v>
          </cell>
          <cell r="G1598" t="str">
            <v>P4</v>
          </cell>
          <cell r="H1598" t="str">
            <v>Hybrid-Gen</v>
          </cell>
          <cell r="I1598">
            <v>0</v>
          </cell>
          <cell r="J1598" t="str">
            <v>Outdoor</v>
          </cell>
          <cell r="K1598" t="str">
            <v>AC</v>
          </cell>
          <cell r="L1598" t="str">
            <v>I-Eng</v>
          </cell>
          <cell r="M1598" t="str">
            <v>Kumba</v>
          </cell>
          <cell r="N1598" t="str">
            <v>MEME</v>
          </cell>
          <cell r="O1598" t="str">
            <v>Kumba 3</v>
          </cell>
          <cell r="P1598" t="str">
            <v>Sani Njamo</v>
          </cell>
          <cell r="Q1598">
            <v>677549819</v>
          </cell>
          <cell r="R1598">
            <v>655999819</v>
          </cell>
          <cell r="S1598" t="str">
            <v>Stephane KETCHOUANG</v>
          </cell>
          <cell r="T1598" t="str">
            <v>GEORGES NAKHOUL</v>
          </cell>
          <cell r="U1598" t="str">
            <v>I H S</v>
          </cell>
        </row>
        <row r="1599">
          <cell r="A1599" t="str">
            <v> SUO_242</v>
          </cell>
          <cell r="B1599" t="str">
            <v>IHS_BUA_013</v>
          </cell>
          <cell r="C1599" t="str">
            <v> SUO_242</v>
          </cell>
          <cell r="D1599" t="str">
            <v>South West</v>
          </cell>
          <cell r="E1599" t="str">
            <v>South West</v>
          </cell>
          <cell r="F1599" t="str">
            <v>Buea G.R.A.</v>
          </cell>
          <cell r="G1599" t="str">
            <v>P4</v>
          </cell>
          <cell r="H1599" t="str">
            <v>Grid-Gen</v>
          </cell>
          <cell r="I1599">
            <v>0</v>
          </cell>
          <cell r="J1599" t="str">
            <v>Outdoor</v>
          </cell>
          <cell r="K1599" t="str">
            <v>AC</v>
          </cell>
          <cell r="L1599" t="str">
            <v>I-Eng</v>
          </cell>
          <cell r="M1599" t="str">
            <v>Buea</v>
          </cell>
          <cell r="N1599" t="str">
            <v>FAKO</v>
          </cell>
          <cell r="O1599" t="str">
            <v>Buea</v>
          </cell>
          <cell r="P1599" t="str">
            <v>Sani Njamo</v>
          </cell>
          <cell r="Q1599">
            <v>677549819</v>
          </cell>
          <cell r="R1599">
            <v>655999819</v>
          </cell>
          <cell r="S1599" t="str">
            <v>Stephane KETCHOUANG</v>
          </cell>
          <cell r="T1599" t="str">
            <v>GEORGES NAKHOUL</v>
          </cell>
          <cell r="U1599" t="str">
            <v>I H S</v>
          </cell>
        </row>
        <row r="1600">
          <cell r="A1600" t="str">
            <v> SUO_237</v>
          </cell>
          <cell r="B1600" t="str">
            <v>IHS_KMB_126</v>
          </cell>
          <cell r="C1600" t="str">
            <v> SUO_237</v>
          </cell>
          <cell r="D1600" t="str">
            <v>South West</v>
          </cell>
          <cell r="E1600" t="str">
            <v>South West</v>
          </cell>
          <cell r="F1600" t="str">
            <v>Kumba Mbongue Road</v>
          </cell>
          <cell r="G1600" t="str">
            <v>P4</v>
          </cell>
          <cell r="H1600" t="str">
            <v>Grid-Gen</v>
          </cell>
          <cell r="I1600">
            <v>0</v>
          </cell>
          <cell r="J1600" t="str">
            <v>Outdoor</v>
          </cell>
          <cell r="K1600" t="str">
            <v>AC</v>
          </cell>
          <cell r="L1600" t="str">
            <v>I-Eng</v>
          </cell>
          <cell r="M1600" t="str">
            <v>Kumba</v>
          </cell>
          <cell r="N1600" t="str">
            <v>MEME</v>
          </cell>
          <cell r="O1600" t="str">
            <v>Kumba 1</v>
          </cell>
          <cell r="P1600" t="str">
            <v>Sani Njamo</v>
          </cell>
          <cell r="Q1600">
            <v>677549819</v>
          </cell>
          <cell r="R1600">
            <v>655999819</v>
          </cell>
          <cell r="S1600" t="str">
            <v>Stephane KETCHOUANG</v>
          </cell>
          <cell r="T1600" t="str">
            <v>GEORGES NAKHOUL</v>
          </cell>
          <cell r="U1600" t="str">
            <v>I H S</v>
          </cell>
        </row>
        <row r="1601">
          <cell r="A1601" t="str">
            <v>EXN_073</v>
          </cell>
          <cell r="B1601" t="str">
            <v>IHS_MAR_049</v>
          </cell>
          <cell r="C1601" t="str">
            <v>EXN_073</v>
          </cell>
          <cell r="D1601" t="str">
            <v>North</v>
          </cell>
          <cell r="E1601" t="str">
            <v>Far North</v>
          </cell>
          <cell r="F1601" t="str">
            <v>Ndoukoula</v>
          </cell>
          <cell r="G1601" t="str">
            <v>P2</v>
          </cell>
          <cell r="H1601" t="str">
            <v>Hybrid-Gen</v>
          </cell>
          <cell r="I1601" t="str">
            <v>On Air</v>
          </cell>
          <cell r="J1601" t="str">
            <v>Outdoor</v>
          </cell>
          <cell r="K1601" t="str">
            <v>AC</v>
          </cell>
          <cell r="L1601" t="str">
            <v>I-Eng</v>
          </cell>
          <cell r="M1601" t="str">
            <v>Yagoua</v>
          </cell>
          <cell r="N1601" t="str">
            <v>Mayo-Tsanaga</v>
          </cell>
          <cell r="O1601" t="str">
            <v>Ndoukoula</v>
          </cell>
          <cell r="P1601" t="str">
            <v>Seraphin Tchoga</v>
          </cell>
          <cell r="Q1601">
            <v>677548355</v>
          </cell>
          <cell r="R1601">
            <v>655999812</v>
          </cell>
          <cell r="S1601" t="str">
            <v>Alain Etoundi</v>
          </cell>
          <cell r="T1601" t="str">
            <v>Valeur HOUELL</v>
          </cell>
          <cell r="U1601" t="str">
            <v>I H S</v>
          </cell>
        </row>
        <row r="1602">
          <cell r="A1602" t="str">
            <v>EXN_175</v>
          </cell>
          <cell r="B1602" t="str">
            <v>IHS_MAR_368</v>
          </cell>
          <cell r="C1602" t="str">
            <v>EXN_175</v>
          </cell>
          <cell r="D1602" t="str">
            <v>North</v>
          </cell>
          <cell r="E1602" t="str">
            <v>Far North</v>
          </cell>
          <cell r="F1602" t="str">
            <v>Moude</v>
          </cell>
          <cell r="G1602" t="str">
            <v>P2</v>
          </cell>
          <cell r="H1602" t="str">
            <v>Solar-Gen</v>
          </cell>
          <cell r="I1602" t="str">
            <v>On Air</v>
          </cell>
          <cell r="J1602" t="str">
            <v>Outdoor</v>
          </cell>
          <cell r="K1602" t="str">
            <v>AC</v>
          </cell>
          <cell r="L1602" t="str">
            <v>I-Eng</v>
          </cell>
          <cell r="M1602" t="str">
            <v>Yagoua</v>
          </cell>
          <cell r="N1602" t="str">
            <v>Mayo-Tsanaga</v>
          </cell>
          <cell r="O1602" t="str">
            <v>Mogode</v>
          </cell>
          <cell r="P1602" t="str">
            <v>Seraphin Tchoga</v>
          </cell>
          <cell r="Q1602">
            <v>677548355</v>
          </cell>
          <cell r="R1602">
            <v>655999812</v>
          </cell>
          <cell r="S1602" t="str">
            <v>Alain Etoundi</v>
          </cell>
          <cell r="T1602" t="str">
            <v>Valeur HOUELL</v>
          </cell>
          <cell r="U1602" t="str">
            <v>I H S</v>
          </cell>
        </row>
        <row r="1603">
          <cell r="A1603" t="str">
            <v>EXN_168</v>
          </cell>
          <cell r="B1603" t="str">
            <v>IHS_MAR_327</v>
          </cell>
          <cell r="C1603" t="str">
            <v>EXN_168</v>
          </cell>
          <cell r="D1603" t="str">
            <v>North</v>
          </cell>
          <cell r="E1603" t="str">
            <v>Far North</v>
          </cell>
          <cell r="F1603" t="str">
            <v>Kinguin OCM</v>
          </cell>
          <cell r="G1603" t="str">
            <v>P2</v>
          </cell>
          <cell r="H1603" t="str">
            <v>Grid-Gen</v>
          </cell>
          <cell r="I1603" t="str">
            <v>On Air</v>
          </cell>
          <cell r="J1603" t="str">
            <v>Outdoor</v>
          </cell>
          <cell r="K1603" t="str">
            <v>AC</v>
          </cell>
          <cell r="L1603" t="str">
            <v>I-Eng</v>
          </cell>
          <cell r="M1603" t="str">
            <v>Yagoua</v>
          </cell>
          <cell r="N1603" t="str">
            <v>Mayo-Tsanaga</v>
          </cell>
          <cell r="O1603" t="str">
            <v>Mogode</v>
          </cell>
          <cell r="P1603" t="str">
            <v>Seraphin Tchoga</v>
          </cell>
          <cell r="Q1603">
            <v>677548355</v>
          </cell>
          <cell r="R1603">
            <v>655999812</v>
          </cell>
          <cell r="S1603" t="str">
            <v>Alain Etoundi</v>
          </cell>
          <cell r="T1603" t="str">
            <v>Valeur HOUELL</v>
          </cell>
          <cell r="U1603" t="str">
            <v>I H S</v>
          </cell>
        </row>
        <row r="1604">
          <cell r="A1604" t="str">
            <v>EXN_058</v>
          </cell>
          <cell r="B1604" t="str">
            <v>IHS_MAR_072</v>
          </cell>
          <cell r="C1604" t="str">
            <v>EXN_058</v>
          </cell>
          <cell r="D1604" t="str">
            <v>North</v>
          </cell>
          <cell r="E1604" t="str">
            <v>Far North</v>
          </cell>
          <cell r="F1604" t="str">
            <v>Kalfou</v>
          </cell>
          <cell r="G1604" t="str">
            <v>P2</v>
          </cell>
          <cell r="H1604" t="str">
            <v>Grid-Gen</v>
          </cell>
          <cell r="I1604" t="str">
            <v>On Air</v>
          </cell>
          <cell r="J1604" t="str">
            <v>Outdoor</v>
          </cell>
          <cell r="K1604" t="str">
            <v>AC</v>
          </cell>
          <cell r="L1604" t="str">
            <v>I-Eng</v>
          </cell>
          <cell r="M1604" t="str">
            <v>Yagoua</v>
          </cell>
          <cell r="N1604" t="str">
            <v>Mayo-DANAY</v>
          </cell>
          <cell r="O1604" t="str">
            <v>Kalfou</v>
          </cell>
          <cell r="P1604" t="str">
            <v>Seraphin Tchoga</v>
          </cell>
          <cell r="Q1604">
            <v>677548355</v>
          </cell>
          <cell r="R1604">
            <v>655999812</v>
          </cell>
          <cell r="S1604" t="str">
            <v>Alain Etoundi</v>
          </cell>
          <cell r="T1604" t="str">
            <v>Valeur HOUELL</v>
          </cell>
          <cell r="U1604" t="str">
            <v>I H S</v>
          </cell>
        </row>
        <row r="1605">
          <cell r="A1605" t="str">
            <v>EXN_167</v>
          </cell>
          <cell r="B1605" t="str">
            <v>IHS_MAR_315</v>
          </cell>
          <cell r="C1605" t="str">
            <v>EXN_167</v>
          </cell>
          <cell r="D1605" t="str">
            <v>North</v>
          </cell>
          <cell r="E1605" t="str">
            <v>Far North</v>
          </cell>
          <cell r="F1605" t="str">
            <v>Bariki-II</v>
          </cell>
          <cell r="G1605" t="str">
            <v>P2</v>
          </cell>
          <cell r="H1605" t="str">
            <v>Solar-Gen</v>
          </cell>
          <cell r="I1605" t="str">
            <v>On Air</v>
          </cell>
          <cell r="J1605" t="str">
            <v>Outdoor</v>
          </cell>
          <cell r="K1605" t="str">
            <v>AC</v>
          </cell>
          <cell r="L1605" t="str">
            <v>I-Eng</v>
          </cell>
          <cell r="M1605" t="str">
            <v>Yagoua</v>
          </cell>
          <cell r="N1605" t="str">
            <v>Mayo-Tsanaga</v>
          </cell>
          <cell r="O1605" t="str">
            <v>Mogode</v>
          </cell>
          <cell r="P1605" t="str">
            <v>Seraphin Tchoga</v>
          </cell>
          <cell r="Q1605">
            <v>677548355</v>
          </cell>
          <cell r="R1605">
            <v>655999812</v>
          </cell>
          <cell r="S1605" t="str">
            <v>Alain Etoundi</v>
          </cell>
          <cell r="T1605" t="str">
            <v>Valeur HOUELL</v>
          </cell>
          <cell r="U1605" t="str">
            <v>I H S</v>
          </cell>
        </row>
        <row r="1606">
          <cell r="A1606" t="str">
            <v>EXN_152</v>
          </cell>
          <cell r="B1606" t="str">
            <v>IHS_MAR_357</v>
          </cell>
          <cell r="C1606" t="str">
            <v>EXN_152</v>
          </cell>
          <cell r="D1606" t="str">
            <v>North</v>
          </cell>
          <cell r="E1606" t="str">
            <v>Far North</v>
          </cell>
          <cell r="F1606" t="str">
            <v>Badjonré</v>
          </cell>
          <cell r="G1606" t="str">
            <v>P2</v>
          </cell>
          <cell r="H1606" t="str">
            <v>Solar-Gen</v>
          </cell>
          <cell r="I1606" t="str">
            <v>On Air</v>
          </cell>
          <cell r="J1606" t="str">
            <v>Outdoor</v>
          </cell>
          <cell r="K1606" t="str">
            <v>AC</v>
          </cell>
          <cell r="L1606" t="str">
            <v>I-Eng</v>
          </cell>
          <cell r="M1606" t="str">
            <v>Yagoua</v>
          </cell>
          <cell r="N1606" t="str">
            <v>Mayo-kani</v>
          </cell>
          <cell r="O1606" t="str">
            <v>Moulvouday</v>
          </cell>
          <cell r="P1606" t="str">
            <v>Seraphin Tchoga</v>
          </cell>
          <cell r="Q1606">
            <v>677548355</v>
          </cell>
          <cell r="R1606">
            <v>655999812</v>
          </cell>
          <cell r="S1606" t="str">
            <v>Alain Etoundi</v>
          </cell>
          <cell r="T1606" t="str">
            <v>Valeur HOUELL</v>
          </cell>
          <cell r="U1606" t="str">
            <v>I H S</v>
          </cell>
        </row>
        <row r="1607">
          <cell r="A1607" t="str">
            <v>EXN_155</v>
          </cell>
          <cell r="B1607" t="str">
            <v>IHS_MAR_323</v>
          </cell>
          <cell r="C1607" t="str">
            <v>EXN_155</v>
          </cell>
          <cell r="D1607" t="str">
            <v>North</v>
          </cell>
          <cell r="E1607" t="str">
            <v>Far North</v>
          </cell>
          <cell r="F1607" t="str">
            <v>Minawao IHS</v>
          </cell>
          <cell r="G1607" t="str">
            <v>P2</v>
          </cell>
          <cell r="H1607" t="str">
            <v>Solar-Gen</v>
          </cell>
          <cell r="I1607" t="str">
            <v>On Air</v>
          </cell>
          <cell r="J1607" t="str">
            <v>Outdoor</v>
          </cell>
          <cell r="K1607" t="str">
            <v>AC</v>
          </cell>
          <cell r="L1607" t="str">
            <v>I-Eng</v>
          </cell>
          <cell r="M1607" t="str">
            <v>Yagoua</v>
          </cell>
          <cell r="N1607" t="str">
            <v>Mayo-Tsanaga</v>
          </cell>
          <cell r="O1607" t="str">
            <v>Mokolo</v>
          </cell>
          <cell r="P1607" t="str">
            <v>Seraphin Tchoga</v>
          </cell>
          <cell r="Q1607">
            <v>677548355</v>
          </cell>
          <cell r="R1607">
            <v>655999812</v>
          </cell>
          <cell r="S1607" t="str">
            <v>Alain Etoundi</v>
          </cell>
          <cell r="T1607" t="str">
            <v>Valeur HOUELL</v>
          </cell>
          <cell r="U1607" t="str">
            <v>I H S</v>
          </cell>
        </row>
        <row r="1608">
          <cell r="A1608" t="str">
            <v>EXN_074</v>
          </cell>
          <cell r="B1608" t="str">
            <v>IHS_MAR_079</v>
          </cell>
          <cell r="C1608" t="str">
            <v>EXN_074</v>
          </cell>
          <cell r="D1608" t="str">
            <v>North</v>
          </cell>
          <cell r="E1608" t="str">
            <v>Far North</v>
          </cell>
          <cell r="F1608" t="str">
            <v>Dziguilao</v>
          </cell>
          <cell r="G1608" t="str">
            <v>P2</v>
          </cell>
          <cell r="H1608" t="str">
            <v>Gen-Solar AER</v>
          </cell>
          <cell r="I1608" t="str">
            <v>On Air</v>
          </cell>
          <cell r="J1608" t="str">
            <v>Outdoor</v>
          </cell>
          <cell r="K1608" t="str">
            <v>AC</v>
          </cell>
          <cell r="L1608" t="str">
            <v>I-Eng</v>
          </cell>
          <cell r="M1608" t="str">
            <v>Yagoua</v>
          </cell>
          <cell r="N1608" t="str">
            <v>Mayo-kani</v>
          </cell>
          <cell r="O1608" t="str">
            <v>Dziguilao</v>
          </cell>
          <cell r="P1608" t="str">
            <v>Seraphin Tchoga</v>
          </cell>
          <cell r="Q1608">
            <v>677548355</v>
          </cell>
          <cell r="R1608">
            <v>655999812</v>
          </cell>
          <cell r="S1608" t="str">
            <v>Alain Etoundi</v>
          </cell>
          <cell r="T1608" t="str">
            <v>Valeur HOUELL</v>
          </cell>
          <cell r="U1608" t="str">
            <v>I H S</v>
          </cell>
        </row>
        <row r="1609">
          <cell r="A1609" t="str">
            <v>EXN_018</v>
          </cell>
          <cell r="B1609" t="str">
            <v>IHS_MAR_070</v>
          </cell>
          <cell r="C1609" t="str">
            <v>EXN_018</v>
          </cell>
          <cell r="D1609" t="str">
            <v>North</v>
          </cell>
          <cell r="E1609" t="str">
            <v>Far North</v>
          </cell>
          <cell r="F1609" t="str">
            <v>Guidiguis</v>
          </cell>
          <cell r="G1609" t="str">
            <v>P2</v>
          </cell>
          <cell r="H1609" t="str">
            <v>Grid-Gen</v>
          </cell>
          <cell r="I1609" t="str">
            <v>On Air</v>
          </cell>
          <cell r="J1609" t="str">
            <v>Indoor</v>
          </cell>
          <cell r="K1609" t="str">
            <v>AC</v>
          </cell>
          <cell r="L1609" t="str">
            <v>I-Eng</v>
          </cell>
          <cell r="M1609" t="str">
            <v>Yagoua</v>
          </cell>
          <cell r="N1609" t="str">
            <v>Mayo-kani</v>
          </cell>
          <cell r="O1609" t="str">
            <v>Guidiguis</v>
          </cell>
          <cell r="P1609" t="str">
            <v>Seraphin Tchoga</v>
          </cell>
          <cell r="Q1609">
            <v>677548355</v>
          </cell>
          <cell r="R1609">
            <v>655999812</v>
          </cell>
          <cell r="S1609" t="str">
            <v>Alain Etoundi</v>
          </cell>
          <cell r="T1609" t="str">
            <v>Valeur HOUELL</v>
          </cell>
          <cell r="U1609" t="str">
            <v>I H S</v>
          </cell>
        </row>
        <row r="1610">
          <cell r="A1610" t="str">
            <v>EXN_017</v>
          </cell>
          <cell r="B1610" t="str">
            <v>IHS_MAR_077</v>
          </cell>
          <cell r="C1610" t="str">
            <v>EXN_017</v>
          </cell>
          <cell r="D1610" t="str">
            <v>North</v>
          </cell>
          <cell r="E1610" t="str">
            <v>Far North</v>
          </cell>
          <cell r="F1610" t="str">
            <v>Tchatibali</v>
          </cell>
          <cell r="G1610" t="str">
            <v>P2</v>
          </cell>
          <cell r="H1610" t="str">
            <v>Grid-Gen</v>
          </cell>
          <cell r="I1610" t="str">
            <v>On Air</v>
          </cell>
          <cell r="J1610" t="str">
            <v>Indoor</v>
          </cell>
          <cell r="K1610" t="str">
            <v>AC</v>
          </cell>
          <cell r="L1610" t="str">
            <v>I-Eng</v>
          </cell>
          <cell r="M1610" t="str">
            <v>Yagoua</v>
          </cell>
          <cell r="N1610" t="str">
            <v>Mayo-kani</v>
          </cell>
          <cell r="O1610" t="str">
            <v>Tchatibali</v>
          </cell>
          <cell r="P1610" t="str">
            <v>Seraphin Tchoga</v>
          </cell>
          <cell r="Q1610">
            <v>677548355</v>
          </cell>
          <cell r="R1610">
            <v>655999812</v>
          </cell>
          <cell r="S1610" t="str">
            <v>Alain Etoundi</v>
          </cell>
          <cell r="T1610" t="str">
            <v>Valeur HOUELL</v>
          </cell>
          <cell r="U1610" t="str">
            <v>I H S</v>
          </cell>
        </row>
        <row r="1611">
          <cell r="A1611" t="str">
            <v>EXN_011</v>
          </cell>
          <cell r="B1611" t="str">
            <v>IHS_MAR_056</v>
          </cell>
          <cell r="C1611" t="str">
            <v>EXN_011</v>
          </cell>
          <cell r="D1611" t="str">
            <v>North</v>
          </cell>
          <cell r="E1611" t="str">
            <v>Far North</v>
          </cell>
          <cell r="F1611" t="str">
            <v>Kaele</v>
          </cell>
          <cell r="G1611" t="str">
            <v>P2</v>
          </cell>
          <cell r="H1611" t="str">
            <v>Grid-Gen</v>
          </cell>
          <cell r="I1611" t="str">
            <v>On Air</v>
          </cell>
          <cell r="J1611" t="str">
            <v>Indoor</v>
          </cell>
          <cell r="K1611" t="str">
            <v>AC</v>
          </cell>
          <cell r="L1611" t="str">
            <v>I-Eng</v>
          </cell>
          <cell r="M1611" t="str">
            <v>Yagoua</v>
          </cell>
          <cell r="N1611" t="str">
            <v>Mayo-kani</v>
          </cell>
          <cell r="O1611" t="str">
            <v>Kaele</v>
          </cell>
          <cell r="P1611" t="str">
            <v>Seraphin Tchoga</v>
          </cell>
          <cell r="Q1611">
            <v>677548355</v>
          </cell>
          <cell r="R1611">
            <v>655999812</v>
          </cell>
          <cell r="S1611" t="str">
            <v>Alain Etoundi</v>
          </cell>
          <cell r="T1611" t="str">
            <v>Valeur HOUELL</v>
          </cell>
          <cell r="U1611" t="str">
            <v>I H S</v>
          </cell>
        </row>
        <row r="1612">
          <cell r="A1612" t="str">
            <v>EXN_037</v>
          </cell>
          <cell r="B1612" t="str">
            <v>IHS_MAR_043</v>
          </cell>
          <cell r="C1612" t="str">
            <v>EXN_037</v>
          </cell>
          <cell r="D1612" t="str">
            <v>North</v>
          </cell>
          <cell r="E1612" t="str">
            <v>Far North</v>
          </cell>
          <cell r="F1612" t="str">
            <v>Mindif</v>
          </cell>
          <cell r="G1612" t="str">
            <v>P2</v>
          </cell>
          <cell r="H1612" t="str">
            <v>Grid-Gen</v>
          </cell>
          <cell r="I1612" t="str">
            <v>On Air</v>
          </cell>
          <cell r="J1612" t="str">
            <v>Outdoor</v>
          </cell>
          <cell r="K1612" t="str">
            <v>AC</v>
          </cell>
          <cell r="L1612" t="str">
            <v>I-Eng</v>
          </cell>
          <cell r="M1612" t="str">
            <v>Yagoua</v>
          </cell>
          <cell r="N1612" t="str">
            <v>Mayo-kani</v>
          </cell>
          <cell r="O1612" t="str">
            <v>Mindif</v>
          </cell>
          <cell r="P1612" t="str">
            <v>Seraphin Tchoga</v>
          </cell>
          <cell r="Q1612">
            <v>677548355</v>
          </cell>
          <cell r="R1612">
            <v>655999812</v>
          </cell>
          <cell r="S1612" t="str">
            <v>Alain Etoundi</v>
          </cell>
          <cell r="T1612" t="str">
            <v>Valeur HOUELL</v>
          </cell>
          <cell r="U1612" t="str">
            <v>I H S</v>
          </cell>
        </row>
        <row r="1613">
          <cell r="A1613" t="str">
            <v>EXN_038</v>
          </cell>
          <cell r="B1613" t="str">
            <v>IHS_MAR_053</v>
          </cell>
          <cell r="C1613" t="str">
            <v>EXN_038</v>
          </cell>
          <cell r="D1613" t="str">
            <v>North</v>
          </cell>
          <cell r="E1613" t="str">
            <v>Far North</v>
          </cell>
          <cell r="F1613" t="str">
            <v>Moulvouday</v>
          </cell>
          <cell r="G1613" t="str">
            <v>P2</v>
          </cell>
          <cell r="H1613" t="str">
            <v>Solar-Gen</v>
          </cell>
          <cell r="I1613" t="str">
            <v>On Air</v>
          </cell>
          <cell r="J1613" t="str">
            <v>Outdoor</v>
          </cell>
          <cell r="K1613" t="str">
            <v>AC</v>
          </cell>
          <cell r="L1613" t="str">
            <v>I-Eng</v>
          </cell>
          <cell r="M1613" t="str">
            <v>Yagoua</v>
          </cell>
          <cell r="N1613" t="str">
            <v>Mayo-DANAY</v>
          </cell>
          <cell r="O1613" t="str">
            <v>Moulvouday</v>
          </cell>
          <cell r="P1613" t="str">
            <v>Seraphin Tchoga</v>
          </cell>
          <cell r="Q1613">
            <v>677548355</v>
          </cell>
          <cell r="R1613">
            <v>655999812</v>
          </cell>
          <cell r="S1613" t="str">
            <v>Alain Etoundi</v>
          </cell>
          <cell r="T1613" t="str">
            <v>Valeur HOUELL</v>
          </cell>
          <cell r="U1613" t="str">
            <v>I H S</v>
          </cell>
        </row>
        <row r="1614">
          <cell r="A1614" t="str">
            <v>EXN_047</v>
          </cell>
          <cell r="B1614" t="str">
            <v>IHS_MAR_058</v>
          </cell>
          <cell r="C1614" t="str">
            <v>EXN_047</v>
          </cell>
          <cell r="D1614" t="str">
            <v>North</v>
          </cell>
          <cell r="E1614" t="str">
            <v>Far North</v>
          </cell>
          <cell r="F1614" t="str">
            <v>Hina</v>
          </cell>
          <cell r="G1614" t="str">
            <v>P2</v>
          </cell>
          <cell r="H1614" t="str">
            <v>Solar-Gen</v>
          </cell>
          <cell r="I1614" t="str">
            <v>On Air</v>
          </cell>
          <cell r="J1614" t="str">
            <v>Outdoor</v>
          </cell>
          <cell r="K1614" t="str">
            <v>AC</v>
          </cell>
          <cell r="L1614" t="str">
            <v>I-Eng</v>
          </cell>
          <cell r="M1614" t="str">
            <v>Yagoua</v>
          </cell>
          <cell r="N1614" t="str">
            <v>Mayo-Tsanaga</v>
          </cell>
          <cell r="O1614" t="str">
            <v>Hina</v>
          </cell>
          <cell r="P1614" t="str">
            <v>Seraphin Tchoga</v>
          </cell>
          <cell r="Q1614">
            <v>677548355</v>
          </cell>
          <cell r="R1614">
            <v>655999812</v>
          </cell>
          <cell r="S1614" t="str">
            <v>Alain Etoundi</v>
          </cell>
          <cell r="T1614" t="str">
            <v>Valeur HOUELL</v>
          </cell>
          <cell r="U1614" t="str">
            <v>I H S</v>
          </cell>
        </row>
        <row r="1615">
          <cell r="A1615" t="str">
            <v>EXN_131</v>
          </cell>
          <cell r="B1615" t="str">
            <v>IHS_MAR_210</v>
          </cell>
          <cell r="C1615" t="str">
            <v>EXN_131</v>
          </cell>
          <cell r="D1615" t="str">
            <v>North</v>
          </cell>
          <cell r="E1615" t="str">
            <v>Far North</v>
          </cell>
          <cell r="F1615" t="str">
            <v>Zanay</v>
          </cell>
          <cell r="G1615" t="str">
            <v>P2</v>
          </cell>
          <cell r="H1615" t="str">
            <v>Grid-Gen</v>
          </cell>
          <cell r="I1615" t="str">
            <v>On Air</v>
          </cell>
          <cell r="J1615" t="str">
            <v>Outdoor</v>
          </cell>
          <cell r="K1615" t="str">
            <v>AC</v>
          </cell>
          <cell r="L1615" t="str">
            <v>I-Eng</v>
          </cell>
          <cell r="M1615" t="str">
            <v>Yagoua</v>
          </cell>
          <cell r="N1615" t="str">
            <v>Mayo-Tsanaga</v>
          </cell>
          <cell r="O1615" t="str">
            <v>Mokolo</v>
          </cell>
          <cell r="P1615" t="str">
            <v>Seraphin Tchoga</v>
          </cell>
          <cell r="Q1615">
            <v>677548355</v>
          </cell>
          <cell r="R1615">
            <v>655999812</v>
          </cell>
          <cell r="S1615" t="str">
            <v>Alain Etoundi</v>
          </cell>
          <cell r="T1615" t="str">
            <v>Valeur HOUELL</v>
          </cell>
          <cell r="U1615" t="str">
            <v>I H S</v>
          </cell>
        </row>
        <row r="1616">
          <cell r="A1616" t="str">
            <v>EXN_160</v>
          </cell>
          <cell r="B1616" t="str">
            <v>IHS_MAR_055</v>
          </cell>
          <cell r="C1616" t="str">
            <v>EXN_160</v>
          </cell>
          <cell r="D1616" t="str">
            <v>North</v>
          </cell>
          <cell r="E1616" t="str">
            <v>Far North</v>
          </cell>
          <cell r="F1616" t="str">
            <v>Kaele-MTN</v>
          </cell>
          <cell r="G1616" t="str">
            <v>P2</v>
          </cell>
          <cell r="H1616" t="str">
            <v>Grid-Gen</v>
          </cell>
          <cell r="I1616" t="str">
            <v>On Air</v>
          </cell>
          <cell r="J1616" t="str">
            <v>Indoor</v>
          </cell>
          <cell r="K1616" t="str">
            <v>AC</v>
          </cell>
          <cell r="L1616" t="str">
            <v>I-Eng</v>
          </cell>
          <cell r="M1616" t="str">
            <v>Yagoua</v>
          </cell>
          <cell r="N1616" t="str">
            <v>Mayo-kani</v>
          </cell>
          <cell r="O1616" t="str">
            <v>Kaele</v>
          </cell>
          <cell r="P1616" t="str">
            <v>Seraphin Tchoga</v>
          </cell>
          <cell r="Q1616">
            <v>677548355</v>
          </cell>
          <cell r="R1616">
            <v>655999812</v>
          </cell>
          <cell r="S1616" t="str">
            <v>Alain Etoundi</v>
          </cell>
          <cell r="T1616" t="str">
            <v>Valeur HOUELL</v>
          </cell>
          <cell r="U1616" t="str">
            <v>I H S</v>
          </cell>
        </row>
        <row r="1617">
          <cell r="A1617" t="str">
            <v>EXN_027</v>
          </cell>
          <cell r="B1617" t="str">
            <v>IHS_MAR_050</v>
          </cell>
          <cell r="C1617" t="str">
            <v>EXN_027</v>
          </cell>
          <cell r="D1617" t="str">
            <v>North</v>
          </cell>
          <cell r="E1617" t="str">
            <v>Far North</v>
          </cell>
          <cell r="F1617" t="str">
            <v>Moutourwa-MTN</v>
          </cell>
          <cell r="G1617" t="str">
            <v>P2</v>
          </cell>
          <cell r="H1617" t="str">
            <v>Grid-Gen</v>
          </cell>
          <cell r="I1617" t="str">
            <v>On Air</v>
          </cell>
          <cell r="J1617" t="str">
            <v>Indoor</v>
          </cell>
          <cell r="K1617" t="str">
            <v>AC</v>
          </cell>
          <cell r="L1617" t="str">
            <v>I-Eng</v>
          </cell>
          <cell r="M1617" t="str">
            <v>Yagoua</v>
          </cell>
          <cell r="N1617" t="str">
            <v>Mayo-kani</v>
          </cell>
          <cell r="O1617" t="str">
            <v>Moutourwa</v>
          </cell>
          <cell r="P1617" t="str">
            <v>Seraphin Tchoga</v>
          </cell>
          <cell r="Q1617">
            <v>677548355</v>
          </cell>
          <cell r="R1617">
            <v>655999812</v>
          </cell>
          <cell r="S1617" t="str">
            <v>Alain Etoundi</v>
          </cell>
          <cell r="T1617" t="str">
            <v>Valeur HOUELL</v>
          </cell>
          <cell r="U1617" t="str">
            <v>I H S</v>
          </cell>
        </row>
        <row r="1618">
          <cell r="A1618" t="str">
            <v>EXN_139</v>
          </cell>
          <cell r="B1618" t="str">
            <v>IHS_MAR_082</v>
          </cell>
          <cell r="C1618" t="str">
            <v>EXN_139</v>
          </cell>
          <cell r="D1618" t="str">
            <v>North</v>
          </cell>
          <cell r="E1618" t="str">
            <v>Far North</v>
          </cell>
          <cell r="F1618" t="str">
            <v>Rhumsiki</v>
          </cell>
          <cell r="G1618" t="str">
            <v>P2</v>
          </cell>
          <cell r="H1618" t="str">
            <v>Grid-Gen</v>
          </cell>
          <cell r="I1618" t="str">
            <v>On Air</v>
          </cell>
          <cell r="J1618" t="str">
            <v>Outdoor</v>
          </cell>
          <cell r="K1618" t="str">
            <v>AC</v>
          </cell>
          <cell r="L1618" t="str">
            <v>I-Eng</v>
          </cell>
          <cell r="M1618" t="str">
            <v>Yagoua</v>
          </cell>
          <cell r="N1618" t="str">
            <v>Mayo-Tsanaga</v>
          </cell>
          <cell r="O1618" t="str">
            <v>Mogode</v>
          </cell>
          <cell r="P1618" t="str">
            <v>Seraphin Tchoga</v>
          </cell>
          <cell r="Q1618">
            <v>677548355</v>
          </cell>
          <cell r="R1618">
            <v>655999812</v>
          </cell>
          <cell r="S1618" t="str">
            <v>Alain Etoundi</v>
          </cell>
          <cell r="T1618" t="str">
            <v>Valeur HOUELL</v>
          </cell>
          <cell r="U1618" t="str">
            <v>I H S</v>
          </cell>
        </row>
        <row r="1619">
          <cell r="A1619" t="str">
            <v>EXN_162</v>
          </cell>
          <cell r="B1619" t="str">
            <v>IHS_MAR_361</v>
          </cell>
          <cell r="C1619" t="str">
            <v>EXN_162</v>
          </cell>
          <cell r="D1619" t="str">
            <v>North</v>
          </cell>
          <cell r="E1619" t="str">
            <v>Far North</v>
          </cell>
          <cell r="F1619" t="str">
            <v>Mayo Kaba</v>
          </cell>
          <cell r="G1619" t="str">
            <v>P3</v>
          </cell>
          <cell r="H1619" t="str">
            <v>Hybrid-Gen</v>
          </cell>
          <cell r="I1619" t="str">
            <v>On Air</v>
          </cell>
          <cell r="J1619" t="str">
            <v>Outdoor</v>
          </cell>
          <cell r="K1619" t="str">
            <v>AC</v>
          </cell>
          <cell r="L1619" t="str">
            <v>I-Eng</v>
          </cell>
          <cell r="M1619" t="str">
            <v>Yagoua</v>
          </cell>
          <cell r="N1619" t="str">
            <v>Mayo-Tsanaga</v>
          </cell>
          <cell r="O1619" t="str">
            <v>Hina</v>
          </cell>
          <cell r="P1619" t="str">
            <v>Seraphin Tchoga</v>
          </cell>
          <cell r="Q1619">
            <v>677548355</v>
          </cell>
          <cell r="R1619">
            <v>655999812</v>
          </cell>
          <cell r="S1619" t="str">
            <v>Alain Etoundi</v>
          </cell>
          <cell r="T1619" t="str">
            <v>Valeur HOUELL</v>
          </cell>
          <cell r="U1619" t="str">
            <v>I H S</v>
          </cell>
        </row>
        <row r="1620">
          <cell r="A1620" t="str">
            <v>EXN_173</v>
          </cell>
          <cell r="B1620" t="str">
            <v>IHS_MAR_324</v>
          </cell>
          <cell r="C1620" t="str">
            <v>EXN_173</v>
          </cell>
          <cell r="D1620" t="str">
            <v>North</v>
          </cell>
          <cell r="E1620" t="str">
            <v>Far North</v>
          </cell>
          <cell r="F1620" t="str">
            <v>Guili Centre</v>
          </cell>
          <cell r="G1620" t="str">
            <v>P3</v>
          </cell>
          <cell r="H1620" t="str">
            <v>Grid-Gen</v>
          </cell>
          <cell r="I1620" t="str">
            <v>On Air</v>
          </cell>
          <cell r="J1620" t="str">
            <v>Outdoor</v>
          </cell>
          <cell r="K1620" t="str">
            <v>AC</v>
          </cell>
          <cell r="L1620" t="str">
            <v>I-Eng</v>
          </cell>
          <cell r="M1620" t="str">
            <v>Yagoua</v>
          </cell>
          <cell r="N1620" t="str">
            <v>Mayo-Tsanaga</v>
          </cell>
          <cell r="O1620" t="str">
            <v>BOURRHA</v>
          </cell>
          <cell r="P1620" t="str">
            <v>Seraphin Tchoga</v>
          </cell>
          <cell r="Q1620">
            <v>677548355</v>
          </cell>
          <cell r="R1620">
            <v>655999812</v>
          </cell>
          <cell r="S1620" t="str">
            <v>Alain Etoundi</v>
          </cell>
          <cell r="T1620" t="str">
            <v>Valeur HOUELL</v>
          </cell>
          <cell r="U1620" t="str">
            <v>I H S</v>
          </cell>
        </row>
        <row r="1621">
          <cell r="A1621" t="str">
            <v>EXN_069</v>
          </cell>
          <cell r="B1621" t="str">
            <v>IHS_MAR_075</v>
          </cell>
          <cell r="C1621" t="str">
            <v>EXN_069</v>
          </cell>
          <cell r="D1621" t="str">
            <v>North</v>
          </cell>
          <cell r="E1621" t="str">
            <v>Far North</v>
          </cell>
          <cell r="F1621" t="str">
            <v>Yagoua-Quinf</v>
          </cell>
          <cell r="G1621" t="str">
            <v>P3</v>
          </cell>
          <cell r="H1621" t="str">
            <v>Grid-Gen</v>
          </cell>
          <cell r="I1621" t="str">
            <v>On Air</v>
          </cell>
          <cell r="J1621" t="str">
            <v>Outdoor</v>
          </cell>
          <cell r="K1621" t="str">
            <v>AC</v>
          </cell>
          <cell r="L1621" t="str">
            <v>I-Eng</v>
          </cell>
          <cell r="M1621" t="str">
            <v>Yagoua</v>
          </cell>
          <cell r="N1621" t="str">
            <v>Mayo-DANAY</v>
          </cell>
          <cell r="O1621" t="str">
            <v>COMMUNE DE YAGOUA</v>
          </cell>
          <cell r="P1621" t="str">
            <v>Seraphin Tchoga</v>
          </cell>
          <cell r="Q1621">
            <v>677548355</v>
          </cell>
          <cell r="R1621">
            <v>655999812</v>
          </cell>
          <cell r="S1621" t="str">
            <v>Alain Etoundi</v>
          </cell>
          <cell r="T1621" t="str">
            <v>Valeur HOUELL</v>
          </cell>
          <cell r="U1621" t="str">
            <v>I H S</v>
          </cell>
        </row>
        <row r="1622">
          <cell r="A1622" t="str">
            <v>EXN_096</v>
          </cell>
          <cell r="B1622" t="str">
            <v>IHS_MAR_223</v>
          </cell>
          <cell r="C1622" t="str">
            <v>EXN_096</v>
          </cell>
          <cell r="D1622" t="str">
            <v>North</v>
          </cell>
          <cell r="E1622" t="str">
            <v>Far North</v>
          </cell>
          <cell r="F1622" t="str">
            <v>Yagoua-Ville</v>
          </cell>
          <cell r="G1622" t="str">
            <v>P3</v>
          </cell>
          <cell r="H1622" t="str">
            <v>Grid-Gen</v>
          </cell>
          <cell r="I1622" t="str">
            <v>On Air</v>
          </cell>
          <cell r="J1622" t="str">
            <v>Outdoor</v>
          </cell>
          <cell r="K1622" t="str">
            <v>AC</v>
          </cell>
          <cell r="L1622" t="str">
            <v>I-Eng</v>
          </cell>
          <cell r="M1622" t="str">
            <v>Yagoua</v>
          </cell>
          <cell r="N1622" t="str">
            <v>Mayo-DANAY</v>
          </cell>
          <cell r="O1622" t="str">
            <v>Yagoua</v>
          </cell>
          <cell r="P1622" t="str">
            <v>Seraphin Tchoga</v>
          </cell>
          <cell r="Q1622">
            <v>677548355</v>
          </cell>
          <cell r="R1622">
            <v>655999812</v>
          </cell>
          <cell r="S1622" t="str">
            <v>Alain Etoundi</v>
          </cell>
          <cell r="T1622" t="str">
            <v>Valeur HOUELL</v>
          </cell>
          <cell r="U1622" t="str">
            <v>I H S</v>
          </cell>
        </row>
        <row r="1623">
          <cell r="A1623" t="str">
            <v>EXN_052</v>
          </cell>
          <cell r="B1623" t="str">
            <v>IHS_MAR_060</v>
          </cell>
          <cell r="C1623" t="str">
            <v>EXN_052</v>
          </cell>
          <cell r="D1623" t="str">
            <v>North</v>
          </cell>
          <cell r="E1623" t="str">
            <v>Far North</v>
          </cell>
          <cell r="F1623" t="str">
            <v>Soulede</v>
          </cell>
          <cell r="G1623" t="str">
            <v>P3</v>
          </cell>
          <cell r="H1623" t="str">
            <v>Solar-Grid-Gen</v>
          </cell>
          <cell r="I1623" t="str">
            <v>On Air</v>
          </cell>
          <cell r="J1623" t="str">
            <v>Outdoor</v>
          </cell>
          <cell r="K1623" t="str">
            <v>AC</v>
          </cell>
          <cell r="L1623" t="str">
            <v>I-Eng</v>
          </cell>
          <cell r="M1623" t="str">
            <v>Yagoua</v>
          </cell>
          <cell r="N1623" t="str">
            <v>Mayo-tsanaga</v>
          </cell>
          <cell r="O1623" t="str">
            <v>Soulédé-Roua</v>
          </cell>
          <cell r="P1623" t="str">
            <v>Seraphin Tchoga</v>
          </cell>
          <cell r="Q1623">
            <v>677548355</v>
          </cell>
          <cell r="R1623">
            <v>655999812</v>
          </cell>
          <cell r="S1623" t="str">
            <v>Alain Etoundi</v>
          </cell>
          <cell r="T1623" t="str">
            <v>Valeur HOUELL</v>
          </cell>
          <cell r="U1623" t="str">
            <v>I H S</v>
          </cell>
        </row>
        <row r="1624">
          <cell r="A1624" t="str">
            <v>EXN_075</v>
          </cell>
          <cell r="B1624" t="str">
            <v>IHS_MAR_083</v>
          </cell>
          <cell r="C1624" t="str">
            <v>EXN_075</v>
          </cell>
          <cell r="D1624" t="str">
            <v>North</v>
          </cell>
          <cell r="E1624" t="str">
            <v>Far North</v>
          </cell>
          <cell r="F1624" t="str">
            <v>Datcheka</v>
          </cell>
          <cell r="G1624" t="str">
            <v>P3</v>
          </cell>
          <cell r="H1624" t="str">
            <v>Gen-Solar AER</v>
          </cell>
          <cell r="I1624" t="str">
            <v>On Air</v>
          </cell>
          <cell r="J1624" t="str">
            <v>Outdoor</v>
          </cell>
          <cell r="K1624" t="str">
            <v>AC</v>
          </cell>
          <cell r="L1624" t="str">
            <v>I-Eng</v>
          </cell>
          <cell r="M1624" t="str">
            <v>Yagoua</v>
          </cell>
          <cell r="N1624" t="str">
            <v>Mayo-DANAY</v>
          </cell>
          <cell r="O1624" t="str">
            <v>COMMUNE DE DATCHEKA</v>
          </cell>
          <cell r="P1624" t="str">
            <v>Seraphin Tchoga</v>
          </cell>
          <cell r="Q1624">
            <v>677548355</v>
          </cell>
          <cell r="R1624">
            <v>655999812</v>
          </cell>
          <cell r="S1624" t="str">
            <v>Alain Etoundi</v>
          </cell>
          <cell r="T1624" t="str">
            <v>Valeur HOUELL</v>
          </cell>
          <cell r="U1624" t="str">
            <v>I H S</v>
          </cell>
        </row>
        <row r="1625">
          <cell r="A1625" t="str">
            <v>EXN_022</v>
          </cell>
          <cell r="B1625" t="str">
            <v>IHS_MAR_078</v>
          </cell>
          <cell r="C1625" t="str">
            <v>EXN_022</v>
          </cell>
          <cell r="D1625" t="str">
            <v>North</v>
          </cell>
          <cell r="E1625" t="str">
            <v>Far North</v>
          </cell>
          <cell r="F1625" t="str">
            <v>Kar-Hay</v>
          </cell>
          <cell r="G1625" t="str">
            <v>P3</v>
          </cell>
          <cell r="H1625" t="str">
            <v>Solar-Grid-Gen</v>
          </cell>
          <cell r="I1625" t="str">
            <v>On Air</v>
          </cell>
          <cell r="J1625" t="str">
            <v>Outdoor</v>
          </cell>
          <cell r="K1625" t="str">
            <v>AC</v>
          </cell>
          <cell r="L1625" t="str">
            <v>I-Eng</v>
          </cell>
          <cell r="M1625" t="str">
            <v>Yagoua</v>
          </cell>
          <cell r="N1625" t="str">
            <v>Mayo-DANAY</v>
          </cell>
          <cell r="O1625" t="str">
            <v>Kar-hay</v>
          </cell>
          <cell r="P1625" t="str">
            <v>Seraphin Tchoga</v>
          </cell>
          <cell r="Q1625">
            <v>677548355</v>
          </cell>
          <cell r="R1625">
            <v>655999812</v>
          </cell>
          <cell r="S1625" t="str">
            <v>Alain Etoundi</v>
          </cell>
          <cell r="T1625" t="str">
            <v>Valeur HOUELL</v>
          </cell>
          <cell r="U1625" t="str">
            <v>I H S</v>
          </cell>
        </row>
        <row r="1626">
          <cell r="A1626" t="str">
            <v>EXN_208</v>
          </cell>
          <cell r="B1626" t="str">
            <v>IHS_MAR_385</v>
          </cell>
          <cell r="C1626" t="str">
            <v>EXN_208</v>
          </cell>
          <cell r="D1626" t="str">
            <v>North</v>
          </cell>
          <cell r="E1626" t="str">
            <v>Far North</v>
          </cell>
          <cell r="F1626" t="str">
            <v>Kuruda </v>
          </cell>
          <cell r="G1626" t="str">
            <v>P3</v>
          </cell>
          <cell r="H1626" t="str">
            <v>Hybrid-Gen</v>
          </cell>
          <cell r="I1626" t="str">
            <v>On Air</v>
          </cell>
          <cell r="J1626" t="str">
            <v>Outdoor</v>
          </cell>
          <cell r="K1626" t="str">
            <v>AC</v>
          </cell>
          <cell r="L1626" t="str">
            <v>I-Eng</v>
          </cell>
          <cell r="M1626" t="str">
            <v>Yagoua</v>
          </cell>
          <cell r="N1626" t="str">
            <v>Mayo-DANAY</v>
          </cell>
          <cell r="O1626" t="str">
            <v>Yagoua</v>
          </cell>
          <cell r="P1626" t="str">
            <v>Seraphin Tchoga</v>
          </cell>
          <cell r="Q1626">
            <v>677548355</v>
          </cell>
          <cell r="R1626">
            <v>655999812</v>
          </cell>
          <cell r="S1626" t="str">
            <v>Alain Etoundi</v>
          </cell>
          <cell r="T1626" t="str">
            <v>Valeur HOUELL</v>
          </cell>
          <cell r="U1626" t="str">
            <v>I H S</v>
          </cell>
        </row>
        <row r="1627">
          <cell r="A1627" t="str">
            <v>EXN_127</v>
          </cell>
          <cell r="B1627" t="str">
            <v>IHS_MAR_307</v>
          </cell>
          <cell r="C1627" t="str">
            <v>EXN_127</v>
          </cell>
          <cell r="D1627" t="str">
            <v>North</v>
          </cell>
          <cell r="E1627" t="str">
            <v>Far North</v>
          </cell>
          <cell r="F1627" t="str">
            <v>Wina</v>
          </cell>
          <cell r="G1627" t="str">
            <v>P4</v>
          </cell>
          <cell r="H1627" t="str">
            <v>Gen Only</v>
          </cell>
          <cell r="I1627" t="str">
            <v>On Air</v>
          </cell>
          <cell r="J1627" t="str">
            <v>Outdoor</v>
          </cell>
          <cell r="K1627" t="str">
            <v>AC</v>
          </cell>
          <cell r="L1627" t="str">
            <v>I-Eng</v>
          </cell>
          <cell r="M1627" t="str">
            <v>Yagoua</v>
          </cell>
          <cell r="N1627" t="str">
            <v>Mayo-DANAY</v>
          </cell>
          <cell r="O1627" t="str">
            <v>Wina</v>
          </cell>
          <cell r="P1627" t="str">
            <v>Seraphin Tchoga</v>
          </cell>
          <cell r="Q1627">
            <v>677548355</v>
          </cell>
          <cell r="R1627">
            <v>655999812</v>
          </cell>
          <cell r="S1627" t="str">
            <v>Alain Etoundi</v>
          </cell>
          <cell r="T1627" t="str">
            <v>Valeur HOUELL</v>
          </cell>
          <cell r="U1627" t="str">
            <v>I H S</v>
          </cell>
        </row>
        <row r="1628">
          <cell r="A1628" t="str">
            <v>EXN_186</v>
          </cell>
          <cell r="B1628" t="str">
            <v>IHS_MAR_342</v>
          </cell>
          <cell r="C1628" t="str">
            <v>EXN_186</v>
          </cell>
          <cell r="D1628" t="str">
            <v>North</v>
          </cell>
          <cell r="E1628" t="str">
            <v>Far North</v>
          </cell>
          <cell r="F1628" t="str">
            <v>Mouda</v>
          </cell>
          <cell r="G1628" t="str">
            <v>P4</v>
          </cell>
          <cell r="H1628" t="str">
            <v>Hybrid-Gen</v>
          </cell>
          <cell r="I1628" t="str">
            <v>On Air</v>
          </cell>
          <cell r="J1628" t="str">
            <v>Outdoor</v>
          </cell>
          <cell r="K1628" t="str">
            <v>AC</v>
          </cell>
          <cell r="L1628" t="str">
            <v>I-Eng</v>
          </cell>
          <cell r="M1628" t="str">
            <v>Yagoua</v>
          </cell>
          <cell r="N1628" t="str">
            <v>Mayo-kani</v>
          </cell>
          <cell r="O1628" t="str">
            <v>Moutourwa</v>
          </cell>
          <cell r="P1628" t="str">
            <v>Seraphin Tchoga</v>
          </cell>
          <cell r="Q1628">
            <v>677548355</v>
          </cell>
          <cell r="R1628">
            <v>655999812</v>
          </cell>
          <cell r="S1628" t="str">
            <v>Alain Etoundi</v>
          </cell>
          <cell r="T1628" t="str">
            <v>Valeur HOUELL</v>
          </cell>
          <cell r="U1628" t="str">
            <v>I H S</v>
          </cell>
        </row>
        <row r="1629">
          <cell r="A1629" t="str">
            <v>EXN_128</v>
          </cell>
          <cell r="B1629" t="str">
            <v>IHS_GAR_342</v>
          </cell>
          <cell r="C1629" t="str">
            <v>EXN_128</v>
          </cell>
          <cell r="D1629" t="str">
            <v>North</v>
          </cell>
          <cell r="E1629" t="str">
            <v>Far North</v>
          </cell>
          <cell r="F1629" t="str">
            <v>MAGADA</v>
          </cell>
          <cell r="G1629" t="str">
            <v>P4</v>
          </cell>
          <cell r="H1629" t="str">
            <v>Gen Only</v>
          </cell>
          <cell r="I1629" t="str">
            <v>On Air</v>
          </cell>
          <cell r="J1629" t="str">
            <v>Outdoor</v>
          </cell>
          <cell r="K1629" t="str">
            <v>AC</v>
          </cell>
          <cell r="L1629" t="str">
            <v>I-Eng</v>
          </cell>
          <cell r="M1629" t="str">
            <v>Yagoua</v>
          </cell>
          <cell r="N1629" t="str">
            <v>Mayo-kani</v>
          </cell>
          <cell r="O1629" t="str">
            <v>Kaele</v>
          </cell>
          <cell r="P1629" t="str">
            <v>Seraphin Tchoga</v>
          </cell>
          <cell r="Q1629">
            <v>677548355</v>
          </cell>
          <cell r="R1629">
            <v>655999812</v>
          </cell>
          <cell r="S1629" t="str">
            <v>Alain Etoundi</v>
          </cell>
          <cell r="T1629" t="str">
            <v>Valeur HOUELL</v>
          </cell>
          <cell r="U1629" t="str">
            <v>I H S</v>
          </cell>
        </row>
        <row r="1630">
          <cell r="A1630" t="str">
            <v>EXN_102</v>
          </cell>
          <cell r="B1630" t="str">
            <v>IHS_MAR_211</v>
          </cell>
          <cell r="C1630" t="str">
            <v>EXN_102</v>
          </cell>
          <cell r="D1630" t="str">
            <v>North</v>
          </cell>
          <cell r="E1630" t="str">
            <v>Far North</v>
          </cell>
          <cell r="F1630" t="str">
            <v>Lara</v>
          </cell>
          <cell r="G1630" t="str">
            <v>P4</v>
          </cell>
          <cell r="H1630" t="str">
            <v>Grid-Gen</v>
          </cell>
          <cell r="I1630" t="str">
            <v>On Air</v>
          </cell>
          <cell r="J1630" t="str">
            <v>Outdoor</v>
          </cell>
          <cell r="K1630" t="str">
            <v>AC</v>
          </cell>
          <cell r="L1630" t="str">
            <v>I-Eng</v>
          </cell>
          <cell r="M1630" t="str">
            <v>Yagoua</v>
          </cell>
          <cell r="N1630" t="str">
            <v>Mayo-kani</v>
          </cell>
          <cell r="O1630" t="str">
            <v>lara</v>
          </cell>
          <cell r="P1630" t="str">
            <v>Seraphin Tchoga</v>
          </cell>
          <cell r="Q1630">
            <v>677548355</v>
          </cell>
          <cell r="R1630">
            <v>655999812</v>
          </cell>
          <cell r="S1630" t="str">
            <v>Alain Etoundi</v>
          </cell>
          <cell r="T1630" t="str">
            <v>Valeur HOUELL</v>
          </cell>
          <cell r="U1630" t="str">
            <v>I H S</v>
          </cell>
        </row>
        <row r="1631">
          <cell r="A1631" t="str">
            <v>EXN_126</v>
          </cell>
          <cell r="B1631" t="str">
            <v>IHS_MAR_359</v>
          </cell>
          <cell r="C1631" t="str">
            <v>EXN_126</v>
          </cell>
          <cell r="D1631" t="str">
            <v>North</v>
          </cell>
          <cell r="E1631" t="str">
            <v>Far North</v>
          </cell>
          <cell r="F1631" t="str">
            <v>Guere</v>
          </cell>
          <cell r="G1631" t="str">
            <v>P4</v>
          </cell>
          <cell r="H1631" t="str">
            <v>Gen Only</v>
          </cell>
          <cell r="I1631" t="str">
            <v>On Air</v>
          </cell>
          <cell r="J1631" t="str">
            <v>Outdoor</v>
          </cell>
          <cell r="K1631" t="str">
            <v>AC</v>
          </cell>
          <cell r="L1631" t="str">
            <v>I-Eng</v>
          </cell>
          <cell r="M1631" t="str">
            <v>Yagoua</v>
          </cell>
          <cell r="N1631" t="str">
            <v>Mayo-DANAY</v>
          </cell>
          <cell r="O1631" t="str">
            <v>Guere</v>
          </cell>
          <cell r="P1631" t="str">
            <v>Seraphin Tchoga</v>
          </cell>
          <cell r="Q1631">
            <v>677548355</v>
          </cell>
          <cell r="R1631">
            <v>655999812</v>
          </cell>
          <cell r="S1631" t="str">
            <v>Alain Etoundi</v>
          </cell>
          <cell r="T1631" t="str">
            <v>Valeur HOUELL</v>
          </cell>
          <cell r="U1631" t="str">
            <v>I H S</v>
          </cell>
        </row>
        <row r="1632">
          <cell r="A1632" t="str">
            <v>EXN_163</v>
          </cell>
          <cell r="B1632" t="str">
            <v>IHS_MAR_362</v>
          </cell>
          <cell r="C1632" t="str">
            <v>EXN_163</v>
          </cell>
          <cell r="D1632" t="str">
            <v>North</v>
          </cell>
          <cell r="E1632" t="str">
            <v>Far North</v>
          </cell>
          <cell r="F1632" t="str">
            <v>Gamdougoum</v>
          </cell>
          <cell r="G1632" t="str">
            <v>P4</v>
          </cell>
          <cell r="H1632" t="str">
            <v>Solar-Gen</v>
          </cell>
          <cell r="I1632" t="str">
            <v>On Air</v>
          </cell>
          <cell r="J1632" t="str">
            <v>Outdoor</v>
          </cell>
          <cell r="K1632" t="str">
            <v>AC</v>
          </cell>
          <cell r="L1632" t="str">
            <v>I-Eng</v>
          </cell>
          <cell r="M1632" t="str">
            <v>Yagoua</v>
          </cell>
          <cell r="N1632" t="str">
            <v>Mayo-Tsanaga</v>
          </cell>
          <cell r="O1632" t="str">
            <v>Hina</v>
          </cell>
          <cell r="P1632" t="str">
            <v>Seraphin Tchoga</v>
          </cell>
          <cell r="Q1632">
            <v>677548355</v>
          </cell>
          <cell r="R1632">
            <v>655999812</v>
          </cell>
          <cell r="S1632" t="str">
            <v>Alain Etoundi</v>
          </cell>
          <cell r="T1632" t="str">
            <v>Valeur HOUELL</v>
          </cell>
          <cell r="U1632" t="str">
            <v>I H S</v>
          </cell>
        </row>
        <row r="1633">
          <cell r="A1633" t="str">
            <v>EXN_118</v>
          </cell>
          <cell r="B1633" t="str">
            <v>IHS_MAR_157</v>
          </cell>
          <cell r="C1633" t="str">
            <v>EXN_118</v>
          </cell>
          <cell r="D1633" t="str">
            <v>North</v>
          </cell>
          <cell r="E1633" t="str">
            <v>Far North</v>
          </cell>
          <cell r="F1633" t="str">
            <v>Doreissou</v>
          </cell>
          <cell r="G1633" t="str">
            <v>P4</v>
          </cell>
          <cell r="H1633" t="str">
            <v>Hybrid-Gen</v>
          </cell>
          <cell r="I1633" t="str">
            <v>On Air</v>
          </cell>
          <cell r="J1633" t="str">
            <v>Outdoor</v>
          </cell>
          <cell r="K1633" t="str">
            <v>AC</v>
          </cell>
          <cell r="L1633" t="str">
            <v>I-Eng</v>
          </cell>
          <cell r="M1633" t="str">
            <v>Yagoua</v>
          </cell>
          <cell r="N1633" t="str">
            <v>Mayo-DANAY</v>
          </cell>
          <cell r="O1633" t="str">
            <v>Vele</v>
          </cell>
          <cell r="P1633" t="str">
            <v>Seraphin Tchoga</v>
          </cell>
          <cell r="Q1633">
            <v>677548355</v>
          </cell>
          <cell r="R1633">
            <v>655999812</v>
          </cell>
          <cell r="S1633" t="str">
            <v>Alain Etoundi</v>
          </cell>
          <cell r="T1633" t="str">
            <v>Valeur HOUELL</v>
          </cell>
          <cell r="U1633" t="str">
            <v>I H S</v>
          </cell>
        </row>
        <row r="1634">
          <cell r="A1634" t="str">
            <v>EXN_135</v>
          </cell>
          <cell r="B1634" t="str">
            <v>IHS_MAR_316</v>
          </cell>
          <cell r="C1634" t="str">
            <v>EXN_135</v>
          </cell>
          <cell r="D1634" t="str">
            <v>North</v>
          </cell>
          <cell r="E1634" t="str">
            <v>Far North</v>
          </cell>
          <cell r="F1634" t="str">
            <v>BOUGOUDOUM</v>
          </cell>
          <cell r="G1634" t="str">
            <v>P4</v>
          </cell>
          <cell r="H1634" t="str">
            <v>Gen Only</v>
          </cell>
          <cell r="I1634" t="str">
            <v>On Air</v>
          </cell>
          <cell r="J1634" t="str">
            <v>Outdoor</v>
          </cell>
          <cell r="K1634" t="str">
            <v>AC</v>
          </cell>
          <cell r="L1634" t="str">
            <v>I-Eng</v>
          </cell>
          <cell r="M1634" t="str">
            <v>Yagoua</v>
          </cell>
          <cell r="N1634" t="str">
            <v>Mayo-DANAY</v>
          </cell>
          <cell r="O1634" t="str">
            <v>Gobo</v>
          </cell>
          <cell r="P1634" t="str">
            <v>Seraphin Tchoga</v>
          </cell>
          <cell r="Q1634">
            <v>677548355</v>
          </cell>
          <cell r="R1634">
            <v>655999812</v>
          </cell>
          <cell r="S1634" t="str">
            <v>Alain Etoundi</v>
          </cell>
          <cell r="T1634" t="str">
            <v>Valeur HOUELL</v>
          </cell>
          <cell r="U1634" t="str">
            <v>I H S</v>
          </cell>
        </row>
        <row r="1635">
          <cell r="A1635" t="str">
            <v>EXN_172</v>
          </cell>
          <cell r="B1635" t="str">
            <v>IHS_MAR_349</v>
          </cell>
          <cell r="C1635" t="str">
            <v>EXN_172</v>
          </cell>
          <cell r="D1635" t="str">
            <v>North</v>
          </cell>
          <cell r="E1635" t="str">
            <v>Far North</v>
          </cell>
          <cell r="F1635" t="str">
            <v>Zouvoul-IHS</v>
          </cell>
          <cell r="G1635" t="str">
            <v>P4</v>
          </cell>
          <cell r="H1635" t="str">
            <v>Hybrid-Gen</v>
          </cell>
          <cell r="I1635" t="str">
            <v>On Air</v>
          </cell>
          <cell r="J1635" t="str">
            <v>Outdoor</v>
          </cell>
          <cell r="K1635" t="str">
            <v>AC</v>
          </cell>
          <cell r="L1635" t="str">
            <v>I-Eng</v>
          </cell>
          <cell r="M1635" t="str">
            <v>Yagoua</v>
          </cell>
          <cell r="N1635" t="str">
            <v>Mayo-Tsanaga</v>
          </cell>
          <cell r="O1635" t="str">
            <v>Hina</v>
          </cell>
          <cell r="P1635" t="str">
            <v>Seraphin Tchoga</v>
          </cell>
          <cell r="Q1635">
            <v>677548355</v>
          </cell>
          <cell r="R1635">
            <v>655999812</v>
          </cell>
          <cell r="S1635" t="str">
            <v>Alain Etoundi</v>
          </cell>
          <cell r="T1635" t="str">
            <v>Valeur HOUELL</v>
          </cell>
          <cell r="U1635" t="str">
            <v>I H S</v>
          </cell>
        </row>
        <row r="1636">
          <cell r="A1636" t="str">
            <v>EXN_174</v>
          </cell>
          <cell r="B1636" t="str">
            <v>IHS_MAR_367</v>
          </cell>
          <cell r="C1636" t="str">
            <v>EXN_174</v>
          </cell>
          <cell r="D1636" t="str">
            <v>North</v>
          </cell>
          <cell r="E1636" t="str">
            <v>Far North</v>
          </cell>
          <cell r="F1636" t="str">
            <v>Zileng</v>
          </cell>
          <cell r="G1636" t="str">
            <v>P4</v>
          </cell>
          <cell r="H1636" t="str">
            <v>Grid-Gen</v>
          </cell>
          <cell r="I1636" t="str">
            <v>On Air</v>
          </cell>
          <cell r="J1636" t="str">
            <v>Outdoor</v>
          </cell>
          <cell r="K1636" t="str">
            <v>AC</v>
          </cell>
          <cell r="L1636" t="str">
            <v>I-Eng</v>
          </cell>
          <cell r="M1636" t="str">
            <v>Yagoua</v>
          </cell>
          <cell r="N1636" t="str">
            <v>Mayo-Tsanaga</v>
          </cell>
          <cell r="O1636" t="str">
            <v>Mokolo</v>
          </cell>
          <cell r="P1636" t="str">
            <v>Seraphin Tchoga</v>
          </cell>
          <cell r="Q1636">
            <v>677548355</v>
          </cell>
          <cell r="R1636">
            <v>655999812</v>
          </cell>
          <cell r="S1636" t="str">
            <v>Alain Etoundi</v>
          </cell>
          <cell r="T1636" t="str">
            <v>Valeur HOUELL</v>
          </cell>
          <cell r="U1636" t="str">
            <v>I H S</v>
          </cell>
        </row>
        <row r="1637">
          <cell r="A1637" t="str">
            <v>EXN_154</v>
          </cell>
          <cell r="B1637" t="str">
            <v>IHS_MAR_348</v>
          </cell>
          <cell r="C1637" t="str">
            <v>EXN_154</v>
          </cell>
          <cell r="D1637" t="str">
            <v>North</v>
          </cell>
          <cell r="E1637" t="str">
            <v>Far North</v>
          </cell>
          <cell r="F1637" t="str">
            <v>Zidim IHS</v>
          </cell>
          <cell r="G1637" t="str">
            <v>P4</v>
          </cell>
          <cell r="H1637" t="str">
            <v>Solar-Gen</v>
          </cell>
          <cell r="I1637" t="str">
            <v>On Air</v>
          </cell>
          <cell r="J1637" t="str">
            <v>Outdoor</v>
          </cell>
          <cell r="K1637" t="str">
            <v>AC</v>
          </cell>
          <cell r="L1637" t="str">
            <v>I-Eng</v>
          </cell>
          <cell r="M1637" t="str">
            <v>Yagoua</v>
          </cell>
          <cell r="N1637" t="str">
            <v>Mayo-Tsanaga</v>
          </cell>
          <cell r="O1637" t="str">
            <v>Mokolo</v>
          </cell>
          <cell r="P1637" t="str">
            <v>Seraphin Tchoga</v>
          </cell>
          <cell r="Q1637">
            <v>677548355</v>
          </cell>
          <cell r="R1637">
            <v>655999812</v>
          </cell>
          <cell r="S1637" t="str">
            <v>Alain Etoundi</v>
          </cell>
          <cell r="T1637" t="str">
            <v>Valeur HOUELL</v>
          </cell>
          <cell r="U1637" t="str">
            <v>I H S</v>
          </cell>
        </row>
        <row r="1638">
          <cell r="A1638" t="str">
            <v>EXN_178</v>
          </cell>
          <cell r="B1638" t="str">
            <v>IHS_MAR_346</v>
          </cell>
          <cell r="C1638" t="str">
            <v>EXN_178</v>
          </cell>
          <cell r="D1638" t="str">
            <v>North</v>
          </cell>
          <cell r="E1638" t="str">
            <v>Far North</v>
          </cell>
          <cell r="F1638" t="str">
            <v>Torock-IHS</v>
          </cell>
          <cell r="G1638" t="str">
            <v>P4</v>
          </cell>
          <cell r="H1638" t="str">
            <v>Solar-Grid-Gen</v>
          </cell>
          <cell r="I1638" t="str">
            <v>On Air</v>
          </cell>
          <cell r="J1638" t="str">
            <v>Outdoor</v>
          </cell>
          <cell r="K1638" t="str">
            <v>AC</v>
          </cell>
          <cell r="L1638" t="str">
            <v>I-Eng</v>
          </cell>
          <cell r="M1638" t="str">
            <v>Yagoua</v>
          </cell>
          <cell r="N1638" t="str">
            <v>Mayo-kani</v>
          </cell>
          <cell r="O1638" t="str">
            <v>Kaele</v>
          </cell>
          <cell r="P1638" t="str">
            <v>Seraphin Tchoga</v>
          </cell>
          <cell r="Q1638">
            <v>677548355</v>
          </cell>
          <cell r="R1638">
            <v>655999812</v>
          </cell>
          <cell r="S1638" t="str">
            <v>Alain Etoundi</v>
          </cell>
          <cell r="T1638" t="str">
            <v>Valeur HOUELL</v>
          </cell>
          <cell r="U1638" t="str">
            <v>I H S</v>
          </cell>
        </row>
        <row r="1639">
          <cell r="A1639" t="str">
            <v>EXN_165</v>
          </cell>
          <cell r="B1639" t="str">
            <v>IHS_MAR_364</v>
          </cell>
          <cell r="C1639" t="str">
            <v>EXN_165</v>
          </cell>
          <cell r="D1639" t="str">
            <v>North</v>
          </cell>
          <cell r="E1639" t="str">
            <v>Far North</v>
          </cell>
          <cell r="F1639" t="str">
            <v>Doumo-IHS</v>
          </cell>
          <cell r="G1639" t="str">
            <v>P4</v>
          </cell>
          <cell r="H1639" t="str">
            <v>Hybrid-Gen</v>
          </cell>
          <cell r="I1639" t="str">
            <v>On Air</v>
          </cell>
          <cell r="J1639" t="str">
            <v>Outdoor</v>
          </cell>
          <cell r="K1639" t="str">
            <v>AC</v>
          </cell>
          <cell r="L1639" t="str">
            <v>I-Eng</v>
          </cell>
          <cell r="M1639" t="str">
            <v>Yagoua</v>
          </cell>
          <cell r="N1639" t="str">
            <v>Mayo-Tsanaga</v>
          </cell>
          <cell r="O1639" t="str">
            <v>Hina</v>
          </cell>
          <cell r="P1639" t="str">
            <v>Seraphin Tchoga</v>
          </cell>
          <cell r="Q1639">
            <v>677548355</v>
          </cell>
          <cell r="R1639">
            <v>655999812</v>
          </cell>
          <cell r="S1639" t="str">
            <v>Alain Etoundi</v>
          </cell>
          <cell r="T1639" t="str">
            <v>Valeur HOUELL</v>
          </cell>
          <cell r="U1639" t="str">
            <v>I H S</v>
          </cell>
        </row>
        <row r="1640">
          <cell r="A1640" t="str">
            <v>EXN_108</v>
          </cell>
          <cell r="B1640" t="str">
            <v>IHS_MAR_208</v>
          </cell>
          <cell r="C1640" t="str">
            <v>EXN_108</v>
          </cell>
          <cell r="D1640" t="str">
            <v>North</v>
          </cell>
          <cell r="E1640" t="str">
            <v>Far North</v>
          </cell>
          <cell r="F1640" t="str">
            <v>Roua-C1</v>
          </cell>
          <cell r="G1640" t="str">
            <v>P4</v>
          </cell>
          <cell r="H1640" t="str">
            <v>Grid-Gen</v>
          </cell>
          <cell r="I1640" t="str">
            <v>On Air</v>
          </cell>
          <cell r="J1640" t="str">
            <v>Outdoor</v>
          </cell>
          <cell r="K1640" t="str">
            <v>AC</v>
          </cell>
          <cell r="L1640" t="str">
            <v>I-Eng</v>
          </cell>
          <cell r="M1640" t="str">
            <v>Yagoua</v>
          </cell>
          <cell r="N1640" t="str">
            <v>Mayo-Tsanaga</v>
          </cell>
          <cell r="O1640" t="str">
            <v>Soulédé-Roua</v>
          </cell>
          <cell r="P1640" t="str">
            <v>Seraphin Tchoga</v>
          </cell>
          <cell r="Q1640">
            <v>677548355</v>
          </cell>
          <cell r="R1640">
            <v>655999812</v>
          </cell>
          <cell r="S1640" t="str">
            <v>Alain Etoundi</v>
          </cell>
          <cell r="T1640" t="str">
            <v>Valeur HOUELL</v>
          </cell>
          <cell r="U1640" t="str">
            <v>I H S</v>
          </cell>
        </row>
        <row r="1641">
          <cell r="A1641" t="str">
            <v>EXN_095</v>
          </cell>
          <cell r="B1641" t="str">
            <v>IHS_MAR_212</v>
          </cell>
          <cell r="C1641" t="str">
            <v>EXN_095</v>
          </cell>
          <cell r="D1641" t="str">
            <v>North</v>
          </cell>
          <cell r="E1641" t="str">
            <v>Far North</v>
          </cell>
          <cell r="F1641" t="str">
            <v>Kaele-Guiedame</v>
          </cell>
          <cell r="G1641" t="str">
            <v>P4</v>
          </cell>
          <cell r="H1641" t="str">
            <v>Grid-Gen</v>
          </cell>
          <cell r="I1641" t="str">
            <v>On Air</v>
          </cell>
          <cell r="J1641" t="str">
            <v>Outdoor</v>
          </cell>
          <cell r="K1641" t="str">
            <v>AC</v>
          </cell>
          <cell r="L1641" t="str">
            <v>I-Eng</v>
          </cell>
          <cell r="M1641" t="str">
            <v>Yagoua</v>
          </cell>
          <cell r="N1641" t="str">
            <v>Mayo-kani</v>
          </cell>
          <cell r="O1641" t="str">
            <v>Kaele</v>
          </cell>
          <cell r="P1641" t="str">
            <v>Seraphin Tchoga</v>
          </cell>
          <cell r="Q1641">
            <v>677548355</v>
          </cell>
          <cell r="R1641">
            <v>655999812</v>
          </cell>
          <cell r="S1641" t="str">
            <v>Alain Etoundi</v>
          </cell>
          <cell r="T1641" t="str">
            <v>Valeur HOUELL</v>
          </cell>
          <cell r="U1641" t="str">
            <v>I H S</v>
          </cell>
        </row>
        <row r="1642">
          <cell r="A1642" t="str">
            <v>EXN_042</v>
          </cell>
          <cell r="B1642" t="str">
            <v>IHS_MAR_066</v>
          </cell>
          <cell r="C1642" t="str">
            <v>EXN_042</v>
          </cell>
          <cell r="D1642" t="str">
            <v>North</v>
          </cell>
          <cell r="E1642" t="str">
            <v>Far North</v>
          </cell>
          <cell r="F1642" t="str">
            <v>Mozogo</v>
          </cell>
          <cell r="G1642" t="str">
            <v>P4</v>
          </cell>
          <cell r="H1642" t="str">
            <v>Solar-Gen</v>
          </cell>
          <cell r="I1642" t="str">
            <v>On Air</v>
          </cell>
          <cell r="J1642" t="str">
            <v>Outdoor</v>
          </cell>
          <cell r="K1642" t="str">
            <v>AC</v>
          </cell>
          <cell r="L1642" t="str">
            <v>I-Eng</v>
          </cell>
          <cell r="M1642" t="str">
            <v>Yagoua</v>
          </cell>
          <cell r="N1642" t="str">
            <v>Mayo-Tsanaga</v>
          </cell>
          <cell r="O1642" t="str">
            <v>Mozogo</v>
          </cell>
          <cell r="P1642" t="str">
            <v>Seraphin Tchoga</v>
          </cell>
          <cell r="Q1642">
            <v>677548355</v>
          </cell>
          <cell r="R1642">
            <v>655999812</v>
          </cell>
          <cell r="S1642" t="str">
            <v>Alain Etoundi</v>
          </cell>
          <cell r="T1642" t="str">
            <v>Valeur HOUELL</v>
          </cell>
          <cell r="U1642" t="str">
            <v>I H S</v>
          </cell>
        </row>
        <row r="1643">
          <cell r="A1643" t="str">
            <v>EXN_024</v>
          </cell>
          <cell r="B1643" t="str">
            <v>IHS_MAR_081</v>
          </cell>
          <cell r="C1643" t="str">
            <v>EXN_024</v>
          </cell>
          <cell r="D1643" t="str">
            <v>North</v>
          </cell>
          <cell r="E1643" t="str">
            <v>Far North</v>
          </cell>
          <cell r="F1643" t="str">
            <v>Mogode</v>
          </cell>
          <cell r="G1643" t="str">
            <v>P4</v>
          </cell>
          <cell r="H1643" t="str">
            <v>Solar-Grid-Gen</v>
          </cell>
          <cell r="I1643" t="str">
            <v>On Air</v>
          </cell>
          <cell r="J1643" t="str">
            <v>Outdoor</v>
          </cell>
          <cell r="K1643" t="str">
            <v>AC</v>
          </cell>
          <cell r="L1643" t="str">
            <v>I-Eng</v>
          </cell>
          <cell r="M1643" t="str">
            <v>Yagoua</v>
          </cell>
          <cell r="N1643" t="str">
            <v>Mayo-Tsanaga</v>
          </cell>
          <cell r="O1643" t="str">
            <v>Mogode</v>
          </cell>
          <cell r="P1643" t="str">
            <v>Seraphin Tchoga</v>
          </cell>
          <cell r="Q1643">
            <v>677548355</v>
          </cell>
          <cell r="R1643">
            <v>655999812</v>
          </cell>
          <cell r="S1643" t="str">
            <v>Alain Etoundi</v>
          </cell>
          <cell r="T1643" t="str">
            <v>Valeur HOUELL</v>
          </cell>
          <cell r="U1643" t="str">
            <v>I H S</v>
          </cell>
        </row>
        <row r="1644">
          <cell r="A1644" t="str">
            <v>EXN_049</v>
          </cell>
          <cell r="B1644" t="str">
            <v>IHS_MAR_064</v>
          </cell>
          <cell r="C1644" t="str">
            <v>EXN_049</v>
          </cell>
          <cell r="D1644" t="str">
            <v>North</v>
          </cell>
          <cell r="E1644" t="str">
            <v>Far North</v>
          </cell>
          <cell r="F1644" t="str">
            <v>Gueme</v>
          </cell>
          <cell r="G1644" t="str">
            <v>P4</v>
          </cell>
          <cell r="H1644" t="str">
            <v>Solar-Gen</v>
          </cell>
          <cell r="I1644" t="str">
            <v>On Air</v>
          </cell>
          <cell r="J1644" t="str">
            <v>Outdoor</v>
          </cell>
          <cell r="K1644" t="str">
            <v>AC</v>
          </cell>
          <cell r="L1644" t="str">
            <v>I-Eng</v>
          </cell>
          <cell r="M1644" t="str">
            <v>Yagoua</v>
          </cell>
          <cell r="N1644" t="str">
            <v>Mayo-DANAY</v>
          </cell>
          <cell r="O1644" t="str">
            <v>Vele</v>
          </cell>
          <cell r="P1644" t="str">
            <v>Seraphin Tchoga</v>
          </cell>
          <cell r="Q1644">
            <v>677548355</v>
          </cell>
          <cell r="R1644">
            <v>655999812</v>
          </cell>
          <cell r="S1644" t="str">
            <v>Alain Etoundi</v>
          </cell>
          <cell r="T1644" t="str">
            <v>Valeur HOUELL</v>
          </cell>
          <cell r="U1644" t="str">
            <v>I H S</v>
          </cell>
        </row>
        <row r="1645">
          <cell r="A1645" t="str">
            <v>EXN_048</v>
          </cell>
          <cell r="B1645" t="str">
            <v>IHS_MAR_087</v>
          </cell>
          <cell r="C1645" t="str">
            <v>EXN_048</v>
          </cell>
          <cell r="D1645" t="str">
            <v>North</v>
          </cell>
          <cell r="E1645" t="str">
            <v>Far North</v>
          </cell>
          <cell r="F1645" t="str">
            <v>Gobo</v>
          </cell>
          <cell r="G1645" t="str">
            <v>P4</v>
          </cell>
          <cell r="H1645" t="str">
            <v>Solar-Gen</v>
          </cell>
          <cell r="I1645" t="str">
            <v>On Air</v>
          </cell>
          <cell r="J1645" t="str">
            <v>Outdoor</v>
          </cell>
          <cell r="K1645" t="str">
            <v>AC</v>
          </cell>
          <cell r="L1645" t="str">
            <v>I-Eng</v>
          </cell>
          <cell r="M1645" t="str">
            <v>Yagoua</v>
          </cell>
          <cell r="N1645" t="str">
            <v>Mayo-DANAY</v>
          </cell>
          <cell r="O1645" t="str">
            <v>Gobo</v>
          </cell>
          <cell r="P1645" t="str">
            <v>Seraphin Tchoga</v>
          </cell>
          <cell r="Q1645">
            <v>677548355</v>
          </cell>
          <cell r="R1645">
            <v>655999812</v>
          </cell>
          <cell r="S1645" t="str">
            <v>Alain Etoundi</v>
          </cell>
          <cell r="T1645" t="str">
            <v>Valeur HOUELL</v>
          </cell>
          <cell r="U1645" t="str">
            <v>I H S</v>
          </cell>
        </row>
        <row r="1646">
          <cell r="A1646" t="str">
            <v>EXN_210</v>
          </cell>
          <cell r="B1646" t="str">
            <v>IHS_MAR_383</v>
          </cell>
          <cell r="C1646" t="str">
            <v>EXN_210</v>
          </cell>
          <cell r="D1646" t="str">
            <v>North</v>
          </cell>
          <cell r="E1646" t="str">
            <v>Far North</v>
          </cell>
          <cell r="F1646" t="str">
            <v>Gabarairou</v>
          </cell>
          <cell r="G1646" t="str">
            <v>P4</v>
          </cell>
          <cell r="H1646" t="str">
            <v>Hybrid-Gen</v>
          </cell>
          <cell r="I1646" t="str">
            <v>On Air</v>
          </cell>
          <cell r="J1646" t="str">
            <v>Outdoor</v>
          </cell>
          <cell r="K1646" t="str">
            <v>AC</v>
          </cell>
          <cell r="L1646" t="str">
            <v>I-Eng</v>
          </cell>
          <cell r="M1646" t="str">
            <v>Yagoua</v>
          </cell>
          <cell r="N1646" t="str">
            <v>Mayo-DANAY</v>
          </cell>
          <cell r="O1646" t="str">
            <v>Moulvouday</v>
          </cell>
          <cell r="P1646" t="str">
            <v>Seraphin Tchoga</v>
          </cell>
          <cell r="Q1646">
            <v>677548355</v>
          </cell>
          <cell r="R1646">
            <v>655999812</v>
          </cell>
          <cell r="S1646" t="str">
            <v>Alain Etoundi</v>
          </cell>
          <cell r="T1646" t="str">
            <v>Valeur HOUELL</v>
          </cell>
          <cell r="U1646" t="str">
            <v>I H S</v>
          </cell>
        </row>
        <row r="1647">
          <cell r="A1647" t="str">
            <v>EXN_142</v>
          </cell>
          <cell r="B1647" t="str">
            <v>IHS_MAR_061</v>
          </cell>
          <cell r="C1647" t="str">
            <v>EXN_142</v>
          </cell>
          <cell r="D1647" t="str">
            <v>North</v>
          </cell>
          <cell r="E1647" t="str">
            <v>Far North</v>
          </cell>
          <cell r="F1647" t="str">
            <v>Mokola</v>
          </cell>
          <cell r="G1647" t="str">
            <v>P4</v>
          </cell>
          <cell r="H1647" t="str">
            <v>Grid-Gen</v>
          </cell>
          <cell r="I1647" t="str">
            <v>On Air</v>
          </cell>
          <cell r="J1647" t="str">
            <v>Indoor</v>
          </cell>
          <cell r="K1647" t="str">
            <v>AC</v>
          </cell>
          <cell r="L1647" t="str">
            <v>I-Eng</v>
          </cell>
          <cell r="M1647" t="str">
            <v>Yagoua</v>
          </cell>
          <cell r="N1647" t="str">
            <v>Mayo-Tsanaga</v>
          </cell>
          <cell r="O1647" t="str">
            <v>Mokolo</v>
          </cell>
          <cell r="P1647" t="str">
            <v>Seraphin Tchoga</v>
          </cell>
          <cell r="Q1647">
            <v>677548355</v>
          </cell>
          <cell r="R1647">
            <v>655999812</v>
          </cell>
          <cell r="S1647" t="str">
            <v>Alain Etoundi</v>
          </cell>
          <cell r="T1647" t="str">
            <v>Valeur HOUELL</v>
          </cell>
          <cell r="U1647" t="str">
            <v>I H S</v>
          </cell>
        </row>
        <row r="1648">
          <cell r="A1648" t="str">
            <v>EXN_043</v>
          </cell>
          <cell r="B1648" t="str">
            <v>IHS_MAR_065</v>
          </cell>
          <cell r="C1648" t="str">
            <v>EXN_043</v>
          </cell>
          <cell r="D1648" t="str">
            <v>North</v>
          </cell>
          <cell r="E1648" t="str">
            <v>Far North</v>
          </cell>
          <cell r="F1648" t="str">
            <v>Koza-MTN</v>
          </cell>
          <cell r="G1648" t="str">
            <v>P4</v>
          </cell>
          <cell r="H1648" t="str">
            <v>Grid-Gen</v>
          </cell>
          <cell r="I1648" t="str">
            <v>On Air</v>
          </cell>
          <cell r="J1648" t="str">
            <v>Indoor</v>
          </cell>
          <cell r="K1648" t="str">
            <v>AC</v>
          </cell>
          <cell r="L1648" t="str">
            <v>I-Eng</v>
          </cell>
          <cell r="M1648" t="str">
            <v>Yagoua</v>
          </cell>
          <cell r="N1648" t="str">
            <v>Mayo-Tsanaga</v>
          </cell>
          <cell r="O1648" t="str">
            <v>Koza</v>
          </cell>
          <cell r="P1648" t="str">
            <v>Seraphin Tchoga</v>
          </cell>
          <cell r="Q1648">
            <v>677548355</v>
          </cell>
          <cell r="R1648">
            <v>655999812</v>
          </cell>
          <cell r="S1648" t="str">
            <v>Alain Etoundi</v>
          </cell>
          <cell r="T1648" t="str">
            <v>Valeur HOUELL</v>
          </cell>
          <cell r="U1648" t="str">
            <v>I H S</v>
          </cell>
        </row>
        <row r="1649">
          <cell r="A1649" t="str">
            <v>EXN_130</v>
          </cell>
          <cell r="B1649" t="str">
            <v>IHS_MAR_039</v>
          </cell>
          <cell r="C1649" t="str">
            <v>EXN_130</v>
          </cell>
          <cell r="D1649" t="str">
            <v>North</v>
          </cell>
          <cell r="E1649" t="str">
            <v>Far North</v>
          </cell>
          <cell r="F1649" t="str">
            <v>GAZAWA</v>
          </cell>
          <cell r="G1649" t="str">
            <v>P4</v>
          </cell>
          <cell r="H1649" t="str">
            <v>Grid-Gen</v>
          </cell>
          <cell r="I1649" t="str">
            <v>On Air</v>
          </cell>
          <cell r="J1649" t="str">
            <v>Outdoor</v>
          </cell>
          <cell r="K1649" t="str">
            <v>AC</v>
          </cell>
          <cell r="L1649" t="str">
            <v>I-Eng</v>
          </cell>
          <cell r="M1649" t="str">
            <v>Yagoua</v>
          </cell>
          <cell r="N1649" t="str">
            <v>Mayo-Tsanaga</v>
          </cell>
          <cell r="O1649" t="str">
            <v>Gazawa</v>
          </cell>
          <cell r="P1649" t="str">
            <v>Seraphin Tchoga</v>
          </cell>
          <cell r="Q1649">
            <v>677548355</v>
          </cell>
          <cell r="R1649">
            <v>655999812</v>
          </cell>
          <cell r="S1649" t="str">
            <v>Alain Etoundi</v>
          </cell>
          <cell r="T1649" t="str">
            <v>Valeur HOUELL</v>
          </cell>
          <cell r="U1649" t="str">
            <v>I H S</v>
          </cell>
        </row>
        <row r="1650">
          <cell r="A1650" t="str">
            <v>EXN_144</v>
          </cell>
          <cell r="B1650" t="str">
            <v>IHS_MAR_076</v>
          </cell>
          <cell r="C1650" t="str">
            <v>EXN_144</v>
          </cell>
          <cell r="D1650" t="str">
            <v>North</v>
          </cell>
          <cell r="E1650" t="str">
            <v>Far North</v>
          </cell>
          <cell r="F1650" t="str">
            <v>Yagoua IHS</v>
          </cell>
          <cell r="G1650" t="str">
            <v>P4</v>
          </cell>
          <cell r="H1650" t="str">
            <v>Grid-Gen</v>
          </cell>
          <cell r="I1650" t="str">
            <v>On Air</v>
          </cell>
          <cell r="J1650" t="str">
            <v>Indoor</v>
          </cell>
          <cell r="K1650" t="str">
            <v>AC</v>
          </cell>
          <cell r="L1650" t="str">
            <v>I-Eng</v>
          </cell>
          <cell r="M1650" t="str">
            <v>Yagoua</v>
          </cell>
          <cell r="N1650" t="str">
            <v>Mayo-DANAY</v>
          </cell>
          <cell r="O1650" t="str">
            <v>Yagoua</v>
          </cell>
          <cell r="P1650" t="str">
            <v>Seraphin Tchoga</v>
          </cell>
          <cell r="Q1650">
            <v>677548355</v>
          </cell>
          <cell r="R1650">
            <v>655999812</v>
          </cell>
          <cell r="S1650" t="str">
            <v>Alain Etoundi</v>
          </cell>
          <cell r="T1650" t="str">
            <v>Valeur HOUELL</v>
          </cell>
          <cell r="U1650" t="str">
            <v>I H S</v>
          </cell>
        </row>
        <row r="1651">
          <cell r="A1651" t="str">
            <v>EXN_156</v>
          </cell>
          <cell r="B1651" t="str">
            <v>IHS_MAR_309</v>
          </cell>
          <cell r="C1651" t="str">
            <v>EXN_156</v>
          </cell>
          <cell r="D1651" t="str">
            <v>North</v>
          </cell>
          <cell r="E1651" t="str">
            <v>Far North</v>
          </cell>
          <cell r="F1651" t="str">
            <v>Mokolo 3</v>
          </cell>
          <cell r="G1651" t="str">
            <v>P4</v>
          </cell>
          <cell r="H1651" t="str">
            <v>Grid-Gen</v>
          </cell>
          <cell r="I1651" t="str">
            <v>On Air</v>
          </cell>
          <cell r="J1651" t="str">
            <v>Outdoor</v>
          </cell>
          <cell r="K1651" t="str">
            <v>AC</v>
          </cell>
          <cell r="L1651" t="str">
            <v>I-Eng</v>
          </cell>
          <cell r="M1651" t="str">
            <v>Yagoua</v>
          </cell>
          <cell r="N1651" t="str">
            <v>Mayo-Tsanaga</v>
          </cell>
          <cell r="O1651" t="str">
            <v>Mokolo</v>
          </cell>
          <cell r="P1651" t="str">
            <v>Seraphin Tchoga</v>
          </cell>
          <cell r="Q1651">
            <v>677548355</v>
          </cell>
          <cell r="R1651">
            <v>655999812</v>
          </cell>
          <cell r="S1651" t="str">
            <v>Alain Etoundi</v>
          </cell>
          <cell r="T1651" t="str">
            <v>Valeur HOUELL</v>
          </cell>
          <cell r="U1651" t="str">
            <v>I H S</v>
          </cell>
        </row>
        <row r="1652">
          <cell r="A1652" t="str">
            <v>EXN_050</v>
          </cell>
          <cell r="B1652" t="str">
            <v>IHS_MAR_063</v>
          </cell>
          <cell r="C1652" t="str">
            <v>EXN_050</v>
          </cell>
          <cell r="D1652" t="str">
            <v>North</v>
          </cell>
          <cell r="E1652" t="str">
            <v>Far North</v>
          </cell>
          <cell r="F1652" t="str">
            <v>Kay-Kay</v>
          </cell>
          <cell r="G1652" t="str">
            <v>P5</v>
          </cell>
          <cell r="H1652" t="str">
            <v>Solar-Gen</v>
          </cell>
          <cell r="I1652" t="str">
            <v>On Air</v>
          </cell>
          <cell r="J1652" t="str">
            <v>Outdoor</v>
          </cell>
          <cell r="K1652" t="str">
            <v>AC</v>
          </cell>
          <cell r="L1652" t="str">
            <v>I-Eng</v>
          </cell>
          <cell r="M1652" t="str">
            <v>Yagoua</v>
          </cell>
          <cell r="N1652" t="str">
            <v>Mayo-DANAY</v>
          </cell>
          <cell r="O1652" t="str">
            <v>kay kay</v>
          </cell>
          <cell r="P1652" t="str">
            <v>Seraphin Tchoga</v>
          </cell>
          <cell r="Q1652">
            <v>677548355</v>
          </cell>
          <cell r="R1652">
            <v>655999812</v>
          </cell>
          <cell r="S1652" t="str">
            <v>Alain Etoundi</v>
          </cell>
          <cell r="T1652" t="str">
            <v>Valeur HOUELL</v>
          </cell>
          <cell r="U1652" t="str">
            <v>I H S</v>
          </cell>
        </row>
        <row r="1653">
          <cell r="A1653" t="str">
            <v>EXN_200</v>
          </cell>
          <cell r="B1653" t="str">
            <v>IHS_MAR_380</v>
          </cell>
          <cell r="C1653" t="str">
            <v>EXN_200</v>
          </cell>
          <cell r="D1653" t="str">
            <v>North</v>
          </cell>
          <cell r="E1653" t="str">
            <v>Far North</v>
          </cell>
          <cell r="F1653" t="str">
            <v>Goulourgou</v>
          </cell>
          <cell r="G1653" t="str">
            <v>P5</v>
          </cell>
          <cell r="H1653" t="str">
            <v>Hybrid-Gen</v>
          </cell>
          <cell r="I1653" t="str">
            <v>On Air</v>
          </cell>
          <cell r="J1653" t="str">
            <v>Outdoor</v>
          </cell>
          <cell r="K1653" t="str">
            <v>AC</v>
          </cell>
          <cell r="L1653" t="str">
            <v>I-Eng</v>
          </cell>
          <cell r="M1653" t="str">
            <v>Yagoua</v>
          </cell>
          <cell r="N1653" t="str">
            <v>Mayo-DANAY</v>
          </cell>
          <cell r="O1653" t="str">
            <v>Kar-hay</v>
          </cell>
          <cell r="P1653" t="str">
            <v>Seraphin Tchoga</v>
          </cell>
          <cell r="Q1653">
            <v>677548355</v>
          </cell>
          <cell r="R1653">
            <v>655999812</v>
          </cell>
          <cell r="S1653" t="str">
            <v>Alain Etoundi</v>
          </cell>
          <cell r="T1653" t="str">
            <v>Valeur HOUELL</v>
          </cell>
          <cell r="U1653" t="str">
            <v>I H S</v>
          </cell>
        </row>
        <row r="1654">
          <cell r="A1654" t="str">
            <v>EXN_207</v>
          </cell>
          <cell r="B1654" t="str">
            <v>IHS_MAR_381</v>
          </cell>
          <cell r="C1654" t="str">
            <v>EXN_207</v>
          </cell>
          <cell r="D1654" t="str">
            <v>North</v>
          </cell>
          <cell r="E1654" t="str">
            <v>Far North</v>
          </cell>
          <cell r="F1654" t="str">
            <v>Matafal</v>
          </cell>
          <cell r="G1654" t="str">
            <v>P5</v>
          </cell>
          <cell r="H1654" t="str">
            <v>Hybrid-Gen</v>
          </cell>
          <cell r="I1654" t="str">
            <v>On Air</v>
          </cell>
          <cell r="J1654" t="str">
            <v>Outdoor</v>
          </cell>
          <cell r="K1654" t="str">
            <v>AC</v>
          </cell>
          <cell r="L1654" t="str">
            <v>I-Eng</v>
          </cell>
          <cell r="M1654" t="str">
            <v>Yagoua</v>
          </cell>
          <cell r="N1654" t="str">
            <v>Mayo-tsanaga</v>
          </cell>
          <cell r="O1654" t="str">
            <v>commune de matafal</v>
          </cell>
          <cell r="P1654" t="str">
            <v>Seraphin Tchoga</v>
          </cell>
          <cell r="Q1654">
            <v>677548355</v>
          </cell>
          <cell r="R1654">
            <v>655999812</v>
          </cell>
          <cell r="S1654" t="str">
            <v>Alain Etoundi</v>
          </cell>
          <cell r="T1654" t="str">
            <v>Valeur HOUELL</v>
          </cell>
          <cell r="U1654" t="str">
            <v>I H S</v>
          </cell>
        </row>
        <row r="1655">
          <cell r="A1655" t="str">
            <v>EXN_125</v>
          </cell>
          <cell r="B1655" t="str">
            <v>IHS_MAR_216</v>
          </cell>
          <cell r="C1655" t="str">
            <v>EXN_125</v>
          </cell>
          <cell r="D1655" t="str">
            <v>North</v>
          </cell>
          <cell r="E1655" t="str">
            <v>Far North</v>
          </cell>
          <cell r="F1655" t="str">
            <v>TOULOUM-IHS</v>
          </cell>
          <cell r="G1655" t="str">
            <v>P5</v>
          </cell>
          <cell r="H1655" t="str">
            <v>Grid-Gen</v>
          </cell>
          <cell r="I1655" t="str">
            <v>On Air</v>
          </cell>
          <cell r="J1655" t="str">
            <v>Outdoor</v>
          </cell>
          <cell r="K1655" t="str">
            <v>AC</v>
          </cell>
          <cell r="L1655" t="str">
            <v>I-Eng</v>
          </cell>
          <cell r="M1655" t="str">
            <v>Yagoua</v>
          </cell>
          <cell r="N1655" t="str">
            <v>Mayo-kani</v>
          </cell>
          <cell r="O1655" t="str">
            <v>Touloum</v>
          </cell>
          <cell r="P1655" t="str">
            <v>Seraphin Tchoga</v>
          </cell>
          <cell r="Q1655">
            <v>677548355</v>
          </cell>
          <cell r="R1655">
            <v>655999812</v>
          </cell>
          <cell r="S1655" t="str">
            <v>Alain Etoundi</v>
          </cell>
          <cell r="T1655" t="str">
            <v>Valeur HOUELL</v>
          </cell>
          <cell r="U1655" t="str">
            <v>I H S</v>
          </cell>
        </row>
        <row r="1656">
          <cell r="A1656" t="str">
            <v>EXN_161</v>
          </cell>
          <cell r="B1656" t="str">
            <v>IHS_MAR_044</v>
          </cell>
          <cell r="C1656" t="str">
            <v>EXN_161</v>
          </cell>
          <cell r="D1656" t="str">
            <v>North</v>
          </cell>
          <cell r="E1656" t="str">
            <v>Far North</v>
          </cell>
          <cell r="F1656" t="str">
            <v>Mokong IHS</v>
          </cell>
          <cell r="G1656" t="str">
            <v>P5</v>
          </cell>
          <cell r="H1656" t="str">
            <v>Hybrid-Gen</v>
          </cell>
          <cell r="I1656" t="str">
            <v>On Air</v>
          </cell>
          <cell r="J1656" t="str">
            <v>Outdoor</v>
          </cell>
          <cell r="K1656" t="str">
            <v>AC</v>
          </cell>
          <cell r="L1656" t="str">
            <v>I-Eng</v>
          </cell>
          <cell r="M1656" t="str">
            <v>Yagoua</v>
          </cell>
          <cell r="N1656" t="str">
            <v>Mayo-kani</v>
          </cell>
          <cell r="O1656" t="str">
            <v>Mokolo</v>
          </cell>
          <cell r="P1656" t="str">
            <v>Seraphin Tchoga</v>
          </cell>
          <cell r="Q1656">
            <v>677548355</v>
          </cell>
          <cell r="R1656">
            <v>655999812</v>
          </cell>
          <cell r="S1656" t="str">
            <v>Alain Etoundi</v>
          </cell>
          <cell r="T1656" t="str">
            <v>Valeur HOUELL</v>
          </cell>
          <cell r="U1656" t="str">
            <v>I H S</v>
          </cell>
        </row>
        <row r="1657">
          <cell r="A1657" t="str">
            <v>EXN_100</v>
          </cell>
          <cell r="B1657" t="str">
            <v>IHS_MAR_057</v>
          </cell>
          <cell r="C1657" t="str">
            <v>EXN_100</v>
          </cell>
          <cell r="D1657" t="str">
            <v>North</v>
          </cell>
          <cell r="E1657" t="str">
            <v>Far North</v>
          </cell>
          <cell r="F1657" t="str">
            <v>Gouzougoui-IHS</v>
          </cell>
          <cell r="G1657" t="str">
            <v>P5</v>
          </cell>
          <cell r="H1657" t="str">
            <v>Grid-Gen</v>
          </cell>
          <cell r="I1657" t="str">
            <v>On Air</v>
          </cell>
          <cell r="J1657" t="str">
            <v>Outdoor</v>
          </cell>
          <cell r="K1657" t="str">
            <v>AC</v>
          </cell>
          <cell r="L1657" t="str">
            <v>I-Eng</v>
          </cell>
          <cell r="M1657" t="str">
            <v>Yagoua</v>
          </cell>
          <cell r="N1657" t="str">
            <v>Mayo-kani</v>
          </cell>
          <cell r="O1657" t="str">
            <v>Kaele</v>
          </cell>
          <cell r="P1657" t="str">
            <v>Seraphin Tchoga</v>
          </cell>
          <cell r="Q1657">
            <v>677548355</v>
          </cell>
          <cell r="R1657">
            <v>655999812</v>
          </cell>
          <cell r="S1657" t="str">
            <v>Alain Etoundi</v>
          </cell>
          <cell r="T1657" t="str">
            <v>Valeur HOUELL</v>
          </cell>
          <cell r="U1657" t="str">
            <v>I H S</v>
          </cell>
        </row>
        <row r="1658">
          <cell r="A1658" t="str">
            <v>NRO_007</v>
          </cell>
          <cell r="B1658" t="str">
            <v>IHS_BMD_063</v>
          </cell>
          <cell r="C1658" t="str">
            <v>NRO_007</v>
          </cell>
          <cell r="D1658" t="str">
            <v>West</v>
          </cell>
          <cell r="E1658" t="str">
            <v>North West</v>
          </cell>
          <cell r="F1658" t="str">
            <v>Wum</v>
          </cell>
          <cell r="G1658" t="str">
            <v>P2</v>
          </cell>
          <cell r="H1658" t="str">
            <v>Grid-Gen</v>
          </cell>
          <cell r="I1658" t="str">
            <v>On Air</v>
          </cell>
          <cell r="J1658" t="str">
            <v>Indoor</v>
          </cell>
          <cell r="K1658" t="str">
            <v>AC</v>
          </cell>
          <cell r="L1658" t="str">
            <v>I-Eng</v>
          </cell>
          <cell r="M1658" t="str">
            <v>Kumbo</v>
          </cell>
          <cell r="N1658" t="str">
            <v>Menchum</v>
          </cell>
          <cell r="O1658" t="str">
            <v>Wum</v>
          </cell>
          <cell r="S1658" t="str">
            <v>Vensa Mohammadu</v>
          </cell>
          <cell r="T1658" t="str">
            <v>GEORGES NAKHOUL</v>
          </cell>
          <cell r="U1658" t="str">
            <v>I H S</v>
          </cell>
        </row>
        <row r="1659">
          <cell r="A1659" t="str">
            <v>NRO_013</v>
          </cell>
          <cell r="B1659" t="str">
            <v>IHS_BMD_081</v>
          </cell>
          <cell r="C1659" t="str">
            <v>NRO_013</v>
          </cell>
          <cell r="D1659" t="str">
            <v>West</v>
          </cell>
          <cell r="E1659" t="str">
            <v>North West</v>
          </cell>
          <cell r="F1659" t="str">
            <v>Oku</v>
          </cell>
          <cell r="G1659" t="str">
            <v>P3</v>
          </cell>
          <cell r="H1659" t="str">
            <v>Grid-Gen</v>
          </cell>
          <cell r="I1659" t="str">
            <v>On Air</v>
          </cell>
          <cell r="J1659" t="str">
            <v>Outdoor</v>
          </cell>
          <cell r="K1659" t="str">
            <v>AC</v>
          </cell>
          <cell r="L1659" t="str">
            <v>I-Eng</v>
          </cell>
          <cell r="M1659" t="str">
            <v>Kumbo</v>
          </cell>
          <cell r="N1659" t="str">
            <v>Bui</v>
          </cell>
          <cell r="O1659" t="str">
            <v>Elak Oku</v>
          </cell>
          <cell r="S1659" t="str">
            <v>Vensa Mohammadu</v>
          </cell>
          <cell r="T1659" t="str">
            <v>GEORGES NAKHOUL</v>
          </cell>
          <cell r="U1659" t="str">
            <v>I H S</v>
          </cell>
        </row>
        <row r="1660">
          <cell r="A1660" t="str">
            <v>NRO_015</v>
          </cell>
          <cell r="B1660" t="str">
            <v>IHS_BMD_073</v>
          </cell>
          <cell r="C1660" t="str">
            <v>NRO_015</v>
          </cell>
          <cell r="D1660" t="str">
            <v>West</v>
          </cell>
          <cell r="E1660" t="str">
            <v>North West</v>
          </cell>
          <cell r="F1660" t="str">
            <v>Fundong</v>
          </cell>
          <cell r="G1660" t="str">
            <v>P3</v>
          </cell>
          <cell r="H1660" t="str">
            <v>Grid-Gen</v>
          </cell>
          <cell r="I1660" t="str">
            <v>On Air</v>
          </cell>
          <cell r="J1660" t="str">
            <v>Indoor</v>
          </cell>
          <cell r="K1660" t="str">
            <v>AC</v>
          </cell>
          <cell r="L1660" t="str">
            <v>I-Eng</v>
          </cell>
          <cell r="M1660" t="str">
            <v>Kumbo</v>
          </cell>
          <cell r="N1660" t="str">
            <v>Boyo</v>
          </cell>
          <cell r="O1660" t="str">
            <v>Fundong</v>
          </cell>
          <cell r="S1660" t="str">
            <v>Vensa Mohammadu</v>
          </cell>
          <cell r="T1660" t="str">
            <v>GEORGES NAKHOUL</v>
          </cell>
          <cell r="U1660" t="str">
            <v>I H S</v>
          </cell>
        </row>
        <row r="1661">
          <cell r="A1661" t="str">
            <v>NRO_009</v>
          </cell>
          <cell r="B1661" t="str">
            <v>IHS_BMD_086</v>
          </cell>
          <cell r="C1661" t="str">
            <v>NRO_009</v>
          </cell>
          <cell r="D1661" t="str">
            <v>West</v>
          </cell>
          <cell r="E1661" t="str">
            <v>North West</v>
          </cell>
          <cell r="F1661" t="str">
            <v>Ndu</v>
          </cell>
          <cell r="G1661" t="str">
            <v>P3</v>
          </cell>
          <cell r="H1661" t="str">
            <v>Grid-Gen</v>
          </cell>
          <cell r="I1661" t="str">
            <v>On Air</v>
          </cell>
          <cell r="J1661" t="str">
            <v>Indoor</v>
          </cell>
          <cell r="K1661" t="str">
            <v>AC</v>
          </cell>
          <cell r="L1661" t="str">
            <v>I-Eng</v>
          </cell>
          <cell r="M1661" t="str">
            <v>Kumbo</v>
          </cell>
          <cell r="N1661" t="str">
            <v>Donga Mantoum</v>
          </cell>
          <cell r="O1661" t="str">
            <v>Ndu</v>
          </cell>
          <cell r="S1661" t="str">
            <v>Vensa Mohammadu</v>
          </cell>
          <cell r="T1661" t="str">
            <v>GEORGES NAKHOUL</v>
          </cell>
          <cell r="U1661" t="str">
            <v>I H S</v>
          </cell>
        </row>
        <row r="1662">
          <cell r="A1662" t="str">
            <v>SUO_092</v>
          </cell>
          <cell r="B1662" t="str">
            <v>IHS_KMB_106</v>
          </cell>
          <cell r="C1662" t="str">
            <v>SUO_092</v>
          </cell>
          <cell r="D1662" t="str">
            <v>West</v>
          </cell>
          <cell r="E1662" t="str">
            <v>North West</v>
          </cell>
          <cell r="F1662" t="str">
            <v>AKWAYA</v>
          </cell>
          <cell r="G1662" t="str">
            <v>P3</v>
          </cell>
          <cell r="H1662" t="str">
            <v>Solar-Gen</v>
          </cell>
          <cell r="I1662" t="str">
            <v>On Air</v>
          </cell>
          <cell r="J1662" t="str">
            <v>Outdoor</v>
          </cell>
          <cell r="K1662" t="str">
            <v>AC</v>
          </cell>
          <cell r="L1662" t="str">
            <v>I-Eng</v>
          </cell>
          <cell r="M1662" t="str">
            <v>Kumbo</v>
          </cell>
          <cell r="N1662" t="str">
            <v>Manyu</v>
          </cell>
          <cell r="O1662" t="str">
            <v>Akwaya</v>
          </cell>
          <cell r="S1662" t="str">
            <v>Vensa Mohammadu</v>
          </cell>
          <cell r="T1662" t="str">
            <v>GEORGES NAKHOUL</v>
          </cell>
          <cell r="U1662" t="str">
            <v>I H S</v>
          </cell>
        </row>
        <row r="1663">
          <cell r="A1663" t="str">
            <v>NRO_030</v>
          </cell>
          <cell r="B1663" t="str">
            <v>IHS_BMD_206</v>
          </cell>
          <cell r="C1663" t="str">
            <v>NRO_030</v>
          </cell>
          <cell r="D1663" t="str">
            <v>West</v>
          </cell>
          <cell r="E1663" t="str">
            <v>North West</v>
          </cell>
          <cell r="F1663" t="str">
            <v>Zhoa</v>
          </cell>
          <cell r="G1663" t="str">
            <v>P4</v>
          </cell>
          <cell r="H1663" t="str">
            <v>Hybrid-Gen</v>
          </cell>
          <cell r="I1663" t="str">
            <v>On Air</v>
          </cell>
          <cell r="J1663" t="str">
            <v>Outdoor</v>
          </cell>
          <cell r="K1663" t="str">
            <v>AC</v>
          </cell>
          <cell r="L1663" t="str">
            <v>I-Eng</v>
          </cell>
          <cell r="M1663" t="str">
            <v>Kumbo</v>
          </cell>
          <cell r="N1663" t="str">
            <v>MENCHUM</v>
          </cell>
          <cell r="O1663" t="str">
            <v>Zhoa</v>
          </cell>
          <cell r="S1663" t="str">
            <v>Vensa Mohammadu</v>
          </cell>
          <cell r="T1663" t="str">
            <v>GEORGES NAKHOUL</v>
          </cell>
          <cell r="U1663" t="str">
            <v>I H S</v>
          </cell>
        </row>
        <row r="1664">
          <cell r="A1664" t="str">
            <v>NRO_056</v>
          </cell>
          <cell r="B1664" t="str">
            <v>IHS_BMD_320</v>
          </cell>
          <cell r="C1664" t="str">
            <v>NRO_056</v>
          </cell>
          <cell r="D1664" t="str">
            <v>West</v>
          </cell>
          <cell r="E1664" t="str">
            <v>North West</v>
          </cell>
          <cell r="F1664" t="str">
            <v>NTEM</v>
          </cell>
          <cell r="G1664" t="str">
            <v>P4</v>
          </cell>
          <cell r="H1664" t="str">
            <v>Hybrid-Gen</v>
          </cell>
          <cell r="I1664" t="str">
            <v>On Air</v>
          </cell>
          <cell r="J1664" t="str">
            <v>Outdoor</v>
          </cell>
          <cell r="K1664" t="str">
            <v>AC</v>
          </cell>
          <cell r="L1664" t="str">
            <v>I-Eng</v>
          </cell>
          <cell r="M1664" t="str">
            <v>Kumbo</v>
          </cell>
          <cell r="N1664" t="str">
            <v>Donga Mantoum</v>
          </cell>
          <cell r="O1664" t="str">
            <v>Nwa</v>
          </cell>
          <cell r="S1664" t="str">
            <v>Vensa Mohammadu</v>
          </cell>
          <cell r="T1664" t="str">
            <v>GEORGES NAKHOUL</v>
          </cell>
          <cell r="U1664" t="str">
            <v>I H S</v>
          </cell>
        </row>
        <row r="1665">
          <cell r="A1665" t="str">
            <v>NRO_057</v>
          </cell>
          <cell r="B1665" t="str">
            <v>IHS_BMD_312</v>
          </cell>
          <cell r="C1665" t="str">
            <v>NRO_057</v>
          </cell>
          <cell r="D1665" t="str">
            <v>West</v>
          </cell>
          <cell r="E1665" t="str">
            <v>North West</v>
          </cell>
          <cell r="F1665" t="str">
            <v>Mbonso</v>
          </cell>
          <cell r="G1665" t="str">
            <v>P4</v>
          </cell>
          <cell r="H1665" t="str">
            <v>Gen Only</v>
          </cell>
          <cell r="I1665" t="str">
            <v>On Air</v>
          </cell>
          <cell r="J1665" t="str">
            <v>Outdoor</v>
          </cell>
          <cell r="K1665" t="str">
            <v>AC</v>
          </cell>
          <cell r="L1665" t="str">
            <v>I-Eng</v>
          </cell>
          <cell r="M1665" t="str">
            <v>Kumbo</v>
          </cell>
          <cell r="N1665" t="str">
            <v>Bui</v>
          </cell>
          <cell r="O1665" t="str">
            <v>mbiame</v>
          </cell>
          <cell r="S1665" t="str">
            <v>Vensa Mohammadu</v>
          </cell>
          <cell r="T1665" t="str">
            <v>GEORGES NAKHOUL</v>
          </cell>
          <cell r="U1665" t="str">
            <v>I H S</v>
          </cell>
        </row>
        <row r="1666">
          <cell r="A1666" t="str">
            <v>NRO_044</v>
          </cell>
          <cell r="B1666" t="str">
            <v>IHS_BMD_316</v>
          </cell>
          <cell r="C1666" t="str">
            <v>NRO_044</v>
          </cell>
          <cell r="D1666" t="str">
            <v>West</v>
          </cell>
          <cell r="E1666" t="str">
            <v>North West</v>
          </cell>
          <cell r="F1666" t="str">
            <v>Lassin</v>
          </cell>
          <cell r="G1666" t="str">
            <v>P4</v>
          </cell>
          <cell r="H1666" t="str">
            <v>Gen Only</v>
          </cell>
          <cell r="I1666" t="str">
            <v>On Air</v>
          </cell>
          <cell r="J1666" t="str">
            <v>Outdoor</v>
          </cell>
          <cell r="K1666" t="str">
            <v>AC</v>
          </cell>
          <cell r="L1666" t="str">
            <v>I-Eng</v>
          </cell>
          <cell r="M1666" t="str">
            <v>Kumbo</v>
          </cell>
          <cell r="N1666" t="str">
            <v>Bui</v>
          </cell>
          <cell r="O1666" t="str">
            <v>Nkor</v>
          </cell>
          <cell r="S1666" t="str">
            <v>Vensa Mohammadu</v>
          </cell>
          <cell r="T1666" t="str">
            <v>GEORGES NAKHOUL</v>
          </cell>
          <cell r="U1666" t="str">
            <v>I H S</v>
          </cell>
        </row>
        <row r="1667">
          <cell r="A1667" t="str">
            <v>NRO_071</v>
          </cell>
          <cell r="B1667" t="str">
            <v>IHS_BMD_2212</v>
          </cell>
          <cell r="C1667" t="str">
            <v>NRO_071</v>
          </cell>
          <cell r="D1667" t="str">
            <v>West</v>
          </cell>
          <cell r="E1667" t="str">
            <v>North West</v>
          </cell>
          <cell r="F1667" t="str">
            <v>Jikejem</v>
          </cell>
          <cell r="G1667" t="str">
            <v>P4</v>
          </cell>
          <cell r="H1667" t="str">
            <v>Hybrid-Gen</v>
          </cell>
          <cell r="I1667" t="str">
            <v>On Air</v>
          </cell>
          <cell r="J1667" t="str">
            <v>Outdoor</v>
          </cell>
          <cell r="K1667" t="str">
            <v>AC</v>
          </cell>
          <cell r="L1667" t="str">
            <v>I-Eng</v>
          </cell>
          <cell r="M1667" t="str">
            <v>Kumbo</v>
          </cell>
          <cell r="N1667" t="str">
            <v>Bui</v>
          </cell>
          <cell r="O1667" t="str">
            <v>Elak Oku</v>
          </cell>
          <cell r="S1667" t="str">
            <v>Vensa Mohammadu</v>
          </cell>
          <cell r="T1667" t="str">
            <v>GEORGES NAKHOUL</v>
          </cell>
          <cell r="U1667" t="str">
            <v>I H S</v>
          </cell>
        </row>
        <row r="1668">
          <cell r="A1668" t="str">
            <v>NRO_043</v>
          </cell>
          <cell r="B1668" t="str">
            <v>IHS_BMD_325</v>
          </cell>
          <cell r="C1668" t="str">
            <v>NRO_043</v>
          </cell>
          <cell r="D1668" t="str">
            <v>West</v>
          </cell>
          <cell r="E1668" t="str">
            <v>North West</v>
          </cell>
          <cell r="F1668" t="str">
            <v>Fonfuka</v>
          </cell>
          <cell r="G1668" t="str">
            <v>P4</v>
          </cell>
          <cell r="H1668" t="str">
            <v>Hybrid-Gen</v>
          </cell>
          <cell r="I1668" t="str">
            <v>On Air</v>
          </cell>
          <cell r="J1668" t="str">
            <v>Outdoor</v>
          </cell>
          <cell r="K1668" t="str">
            <v>AC</v>
          </cell>
          <cell r="L1668" t="str">
            <v>I-Eng</v>
          </cell>
          <cell r="M1668" t="str">
            <v>Kumbo</v>
          </cell>
          <cell r="N1668" t="str">
            <v>Boyo</v>
          </cell>
          <cell r="O1668" t="str">
            <v>Fonfuka</v>
          </cell>
          <cell r="S1668" t="str">
            <v>Vensa Mohammadu</v>
          </cell>
          <cell r="T1668" t="str">
            <v>GEORGES NAKHOUL</v>
          </cell>
          <cell r="U1668" t="str">
            <v>I H S</v>
          </cell>
        </row>
        <row r="1669">
          <cell r="A1669" t="str">
            <v>NRO_234</v>
          </cell>
          <cell r="B1669" t="str">
            <v>IHS_BMD_092</v>
          </cell>
          <cell r="C1669" t="str">
            <v>NRO_234</v>
          </cell>
          <cell r="D1669" t="str">
            <v>West</v>
          </cell>
          <cell r="E1669" t="str">
            <v>North West</v>
          </cell>
          <cell r="F1669" t="str">
            <v>Essu</v>
          </cell>
          <cell r="G1669" t="str">
            <v>P4</v>
          </cell>
          <cell r="H1669" t="str">
            <v>Gen Only</v>
          </cell>
          <cell r="I1669" t="str">
            <v>No Access</v>
          </cell>
          <cell r="J1669" t="str">
            <v>Outdoor</v>
          </cell>
          <cell r="K1669" t="str">
            <v>AC</v>
          </cell>
          <cell r="L1669" t="str">
            <v>I-Eng</v>
          </cell>
          <cell r="M1669" t="str">
            <v>Kumbo</v>
          </cell>
          <cell r="N1669" t="str">
            <v>Menchum</v>
          </cell>
          <cell r="O1669" t="str">
            <v>Zhoa</v>
          </cell>
          <cell r="S1669" t="str">
            <v>Vensa Mohammadu</v>
          </cell>
          <cell r="T1669" t="str">
            <v>GEORGES NAKHOUL</v>
          </cell>
          <cell r="U1669" t="str">
            <v>I H S</v>
          </cell>
        </row>
        <row r="1670">
          <cell r="A1670" t="str">
            <v>NRO_046</v>
          </cell>
          <cell r="B1670" t="str">
            <v>IHS_BMD_318</v>
          </cell>
          <cell r="C1670" t="str">
            <v>NRO_046</v>
          </cell>
          <cell r="D1670" t="str">
            <v>West</v>
          </cell>
          <cell r="E1670" t="str">
            <v>North West</v>
          </cell>
          <cell r="F1670" t="str">
            <v>DUMBU</v>
          </cell>
          <cell r="G1670" t="str">
            <v>P4</v>
          </cell>
          <cell r="H1670" t="str">
            <v>Hybrid-Gen</v>
          </cell>
          <cell r="I1670" t="str">
            <v>On Air</v>
          </cell>
          <cell r="J1670" t="str">
            <v>Outdoor</v>
          </cell>
          <cell r="K1670" t="str">
            <v>AC</v>
          </cell>
          <cell r="L1670" t="str">
            <v>I-Eng</v>
          </cell>
          <cell r="M1670" t="str">
            <v>Kumbo</v>
          </cell>
          <cell r="N1670" t="str">
            <v>Donga Mantoum</v>
          </cell>
          <cell r="O1670" t="str">
            <v>misaje</v>
          </cell>
          <cell r="S1670" t="str">
            <v>Vensa Mohammadu</v>
          </cell>
          <cell r="T1670" t="str">
            <v>GEORGES NAKHOUL</v>
          </cell>
          <cell r="U1670" t="str">
            <v>I H S</v>
          </cell>
        </row>
        <row r="1671">
          <cell r="A1671" t="str">
            <v>NRO_233</v>
          </cell>
          <cell r="B1671" t="str">
            <v>IHS_BMD_079</v>
          </cell>
          <cell r="C1671" t="str">
            <v>NRO_233</v>
          </cell>
          <cell r="D1671" t="str">
            <v>West</v>
          </cell>
          <cell r="E1671" t="str">
            <v>North West</v>
          </cell>
          <cell r="F1671" t="str">
            <v>Benakuma</v>
          </cell>
          <cell r="G1671" t="str">
            <v>P4</v>
          </cell>
          <cell r="H1671" t="str">
            <v>Gen Only</v>
          </cell>
          <cell r="I1671" t="str">
            <v>On Air</v>
          </cell>
          <cell r="J1671" t="str">
            <v>Outdoor</v>
          </cell>
          <cell r="K1671" t="str">
            <v>AC</v>
          </cell>
          <cell r="L1671" t="str">
            <v>I-Eng</v>
          </cell>
          <cell r="M1671" t="str">
            <v>Kumbo</v>
          </cell>
          <cell r="N1671" t="str">
            <v>Menchum</v>
          </cell>
          <cell r="O1671" t="str">
            <v>Benakuma</v>
          </cell>
          <cell r="S1671" t="str">
            <v>Vensa Mohammadu</v>
          </cell>
          <cell r="T1671" t="str">
            <v>GEORGES NAKHOUL</v>
          </cell>
          <cell r="U1671" t="str">
            <v>I H S</v>
          </cell>
        </row>
        <row r="1672">
          <cell r="A1672" t="str">
            <v>NRO_047</v>
          </cell>
          <cell r="B1672" t="str">
            <v>IHS_BMD_319</v>
          </cell>
          <cell r="C1672" t="str">
            <v>NRO_047</v>
          </cell>
          <cell r="D1672" t="str">
            <v>West</v>
          </cell>
          <cell r="E1672" t="str">
            <v>North West</v>
          </cell>
          <cell r="F1672" t="str">
            <v>BAFMENG</v>
          </cell>
          <cell r="G1672" t="str">
            <v>P4</v>
          </cell>
          <cell r="H1672" t="str">
            <v>Hybrid-Gen</v>
          </cell>
          <cell r="I1672" t="str">
            <v>On Air</v>
          </cell>
          <cell r="J1672" t="str">
            <v>Outdoor</v>
          </cell>
          <cell r="K1672" t="str">
            <v>AC</v>
          </cell>
          <cell r="L1672" t="str">
            <v>I-Eng</v>
          </cell>
          <cell r="M1672" t="str">
            <v>Kumbo</v>
          </cell>
          <cell r="N1672" t="str">
            <v>Boyo</v>
          </cell>
          <cell r="O1672" t="str">
            <v>Zhoa</v>
          </cell>
          <cell r="S1672" t="str">
            <v>Vensa Mohammadu</v>
          </cell>
          <cell r="T1672" t="str">
            <v>GEORGES NAKHOUL</v>
          </cell>
          <cell r="U1672" t="str">
            <v>I H S</v>
          </cell>
        </row>
        <row r="1673">
          <cell r="A1673" t="str">
            <v>NRO_045</v>
          </cell>
          <cell r="B1673" t="str">
            <v>IHS_BMD_317</v>
          </cell>
          <cell r="C1673" t="str">
            <v>NRO_045</v>
          </cell>
          <cell r="D1673" t="str">
            <v>West</v>
          </cell>
          <cell r="E1673" t="str">
            <v>North West</v>
          </cell>
          <cell r="F1673" t="str">
            <v>ABUENSHIE</v>
          </cell>
          <cell r="G1673" t="str">
            <v>P4</v>
          </cell>
          <cell r="H1673" t="str">
            <v>Vandalized</v>
          </cell>
          <cell r="I1673" t="str">
            <v>Vandalized</v>
          </cell>
          <cell r="J1673" t="str">
            <v>Outdoor</v>
          </cell>
          <cell r="K1673" t="str">
            <v>AC</v>
          </cell>
          <cell r="L1673" t="str">
            <v>I-Eng</v>
          </cell>
          <cell r="M1673" t="str">
            <v>Kumbo</v>
          </cell>
          <cell r="N1673" t="str">
            <v>Donga Mantoum</v>
          </cell>
          <cell r="O1673" t="str">
            <v>Ako</v>
          </cell>
          <cell r="S1673" t="str">
            <v>Vensa Mohammadu</v>
          </cell>
          <cell r="T1673" t="str">
            <v>GEORGES NAKHOUL</v>
          </cell>
          <cell r="U1673" t="str">
            <v>I H S</v>
          </cell>
        </row>
        <row r="1674">
          <cell r="A1674" t="str">
            <v>NRO_081</v>
          </cell>
          <cell r="B1674" t="str">
            <v>IHS_BMD_2229</v>
          </cell>
          <cell r="C1674" t="str">
            <v>NRO_081</v>
          </cell>
          <cell r="D1674" t="str">
            <v>West</v>
          </cell>
          <cell r="E1674" t="str">
            <v>North West</v>
          </cell>
          <cell r="F1674" t="str">
            <v>Njinikom</v>
          </cell>
          <cell r="G1674" t="str">
            <v>P4</v>
          </cell>
          <cell r="H1674" t="str">
            <v>Grid-Gen</v>
          </cell>
          <cell r="I1674" t="str">
            <v>On Air</v>
          </cell>
          <cell r="J1674" t="str">
            <v>Outdoor</v>
          </cell>
          <cell r="K1674" t="str">
            <v>AC</v>
          </cell>
          <cell r="L1674" t="str">
            <v>I-Eng</v>
          </cell>
          <cell r="M1674" t="str">
            <v>Kumbo</v>
          </cell>
          <cell r="N1674" t="str">
            <v>Boyo</v>
          </cell>
          <cell r="O1674" t="str">
            <v>Njinikom</v>
          </cell>
          <cell r="S1674" t="str">
            <v>Vensa Mohammadu</v>
          </cell>
          <cell r="T1674" t="str">
            <v>GEORGES NAKHOUL</v>
          </cell>
          <cell r="U1674" t="str">
            <v>I H S</v>
          </cell>
        </row>
        <row r="1675">
          <cell r="A1675" t="str">
            <v>NRO_096</v>
          </cell>
          <cell r="B1675" t="str">
            <v>IHS_BMD_2238</v>
          </cell>
          <cell r="C1675" t="str">
            <v>NRO_096</v>
          </cell>
          <cell r="D1675" t="str">
            <v>West</v>
          </cell>
          <cell r="E1675" t="str">
            <v>North West</v>
          </cell>
          <cell r="F1675" t="str">
            <v>Kwaja</v>
          </cell>
          <cell r="G1675" t="str">
            <v>P4</v>
          </cell>
          <cell r="H1675" t="str">
            <v>Vandalized</v>
          </cell>
          <cell r="I1675" t="str">
            <v>Vandalized</v>
          </cell>
          <cell r="J1675" t="str">
            <v>Outdoor</v>
          </cell>
          <cell r="K1675" t="str">
            <v>AC</v>
          </cell>
          <cell r="L1675" t="str">
            <v>I-Eng</v>
          </cell>
          <cell r="M1675" t="str">
            <v>Kumbo</v>
          </cell>
          <cell r="N1675" t="str">
            <v>Donga Mantoum</v>
          </cell>
          <cell r="O1675" t="str">
            <v>Nwa</v>
          </cell>
          <cell r="S1675" t="str">
            <v>Vensa Mohammadu</v>
          </cell>
          <cell r="T1675" t="str">
            <v>GEORGES NAKHOUL</v>
          </cell>
          <cell r="U1675" t="str">
            <v>I H S</v>
          </cell>
        </row>
        <row r="1676">
          <cell r="A1676" t="str">
            <v>NRO_021</v>
          </cell>
          <cell r="B1676" t="str">
            <v>IHS_BMD_083</v>
          </cell>
          <cell r="C1676" t="str">
            <v>NRO_021</v>
          </cell>
          <cell r="D1676" t="str">
            <v>West</v>
          </cell>
          <cell r="E1676" t="str">
            <v>North West</v>
          </cell>
          <cell r="F1676" t="str">
            <v>Ma</v>
          </cell>
          <cell r="G1676" t="str">
            <v>P4</v>
          </cell>
          <cell r="H1676" t="str">
            <v>Grid-Gen</v>
          </cell>
          <cell r="I1676" t="str">
            <v>On Air</v>
          </cell>
          <cell r="J1676" t="str">
            <v>Indoor</v>
          </cell>
          <cell r="K1676" t="str">
            <v>AC</v>
          </cell>
          <cell r="L1676" t="str">
            <v>I-Eng</v>
          </cell>
          <cell r="M1676" t="str">
            <v>Kumbo</v>
          </cell>
          <cell r="N1676" t="str">
            <v>Bui</v>
          </cell>
          <cell r="O1676" t="str">
            <v>Nkum</v>
          </cell>
          <cell r="S1676" t="str">
            <v>Vensa Mohammadu</v>
          </cell>
          <cell r="T1676" t="str">
            <v>GEORGES NAKHOUL</v>
          </cell>
          <cell r="U1676" t="str">
            <v>I H S</v>
          </cell>
        </row>
        <row r="1677">
          <cell r="A1677" t="str">
            <v>NRO_246</v>
          </cell>
          <cell r="B1677" t="str">
            <v>IHS_BMD_089</v>
          </cell>
          <cell r="C1677" t="str">
            <v>NRO_246</v>
          </cell>
          <cell r="D1677" t="str">
            <v>West</v>
          </cell>
          <cell r="E1677" t="str">
            <v>North West</v>
          </cell>
          <cell r="F1677" t="str">
            <v>Mbot</v>
          </cell>
          <cell r="G1677" t="str">
            <v>P4</v>
          </cell>
          <cell r="H1677" t="str">
            <v>Solar-Gen</v>
          </cell>
          <cell r="I1677" t="str">
            <v>On Air</v>
          </cell>
          <cell r="J1677" t="str">
            <v>Outdoor</v>
          </cell>
          <cell r="K1677" t="str">
            <v>AC</v>
          </cell>
          <cell r="L1677" t="str">
            <v>I-Eng</v>
          </cell>
          <cell r="M1677" t="str">
            <v>Kumbo</v>
          </cell>
          <cell r="N1677" t="str">
            <v>Donga Mantoum</v>
          </cell>
          <cell r="O1677" t="str">
            <v>Nkambe</v>
          </cell>
          <cell r="S1677" t="str">
            <v>Vensa Mohammadu</v>
          </cell>
          <cell r="T1677" t="str">
            <v>GEORGES NAKHOUL</v>
          </cell>
          <cell r="U1677" t="str">
            <v>I H S</v>
          </cell>
        </row>
        <row r="1678">
          <cell r="A1678" t="str">
            <v>NRO_012</v>
          </cell>
          <cell r="B1678" t="str">
            <v>IHS_BMD_097</v>
          </cell>
          <cell r="C1678" t="str">
            <v>NRO_012</v>
          </cell>
          <cell r="D1678" t="str">
            <v>West</v>
          </cell>
          <cell r="E1678" t="str">
            <v>North West</v>
          </cell>
          <cell r="F1678" t="str">
            <v>Nwa</v>
          </cell>
          <cell r="G1678" t="str">
            <v>P4</v>
          </cell>
          <cell r="H1678" t="str">
            <v>Solar-Gen</v>
          </cell>
          <cell r="I1678" t="str">
            <v>On Air</v>
          </cell>
          <cell r="J1678" t="str">
            <v>Indoor</v>
          </cell>
          <cell r="K1678" t="str">
            <v>AC</v>
          </cell>
          <cell r="L1678" t="str">
            <v>I-Eng</v>
          </cell>
          <cell r="M1678" t="str">
            <v>Kumbo</v>
          </cell>
          <cell r="N1678" t="str">
            <v>Donga Mantoum</v>
          </cell>
          <cell r="O1678" t="str">
            <v>Nwa</v>
          </cell>
          <cell r="S1678" t="str">
            <v>Vensa Mohammadu</v>
          </cell>
          <cell r="T1678" t="str">
            <v>GEORGES NAKHOUL</v>
          </cell>
          <cell r="U1678" t="str">
            <v>I H S</v>
          </cell>
        </row>
        <row r="1679">
          <cell r="A1679" t="str">
            <v>NRO_245</v>
          </cell>
          <cell r="B1679" t="str">
            <v>IHS_BMD_084</v>
          </cell>
          <cell r="C1679" t="str">
            <v>NRO_245</v>
          </cell>
          <cell r="D1679" t="str">
            <v>West</v>
          </cell>
          <cell r="E1679" t="str">
            <v>North West</v>
          </cell>
          <cell r="F1679" t="str">
            <v>Ntumbaw</v>
          </cell>
          <cell r="G1679" t="str">
            <v>P4</v>
          </cell>
          <cell r="H1679" t="str">
            <v>Gen Only</v>
          </cell>
          <cell r="I1679" t="str">
            <v>On Air</v>
          </cell>
          <cell r="J1679" t="str">
            <v>Outdoor</v>
          </cell>
          <cell r="K1679" t="str">
            <v>AC</v>
          </cell>
          <cell r="L1679" t="str">
            <v>I-Eng</v>
          </cell>
          <cell r="M1679" t="str">
            <v>Kumbo</v>
          </cell>
          <cell r="N1679" t="str">
            <v>Donga Mantoum</v>
          </cell>
          <cell r="O1679" t="str">
            <v>Ndu</v>
          </cell>
          <cell r="S1679" t="str">
            <v>Vensa Mohammadu</v>
          </cell>
          <cell r="T1679" t="str">
            <v>GEORGES NAKHOUL</v>
          </cell>
          <cell r="U1679" t="str">
            <v>I H S</v>
          </cell>
        </row>
        <row r="1680">
          <cell r="A1680" t="str">
            <v>NRO_073</v>
          </cell>
          <cell r="B1680" t="str">
            <v>IHS_BMD_2217</v>
          </cell>
          <cell r="C1680" t="str">
            <v>NRO_073</v>
          </cell>
          <cell r="D1680" t="str">
            <v>West</v>
          </cell>
          <cell r="E1680" t="str">
            <v>North West</v>
          </cell>
          <cell r="F1680" t="str">
            <v>Tatum</v>
          </cell>
          <cell r="G1680" t="str">
            <v>P4</v>
          </cell>
          <cell r="H1680" t="str">
            <v>Hybrid-Gen</v>
          </cell>
          <cell r="I1680" t="str">
            <v>On Air</v>
          </cell>
          <cell r="J1680" t="str">
            <v>Outdoor</v>
          </cell>
          <cell r="K1680" t="str">
            <v>AC</v>
          </cell>
          <cell r="L1680" t="str">
            <v>I-Eng</v>
          </cell>
          <cell r="M1680" t="str">
            <v>Kumbo</v>
          </cell>
          <cell r="N1680" t="str">
            <v>BUI</v>
          </cell>
          <cell r="O1680" t="str">
            <v>Nkum</v>
          </cell>
          <cell r="S1680" t="str">
            <v>Vensa Mohammadu</v>
          </cell>
          <cell r="T1680" t="str">
            <v>GEORGES NAKHOUL</v>
          </cell>
          <cell r="U1680" t="str">
            <v>I H S</v>
          </cell>
        </row>
        <row r="1681">
          <cell r="A1681" t="str">
            <v>NRO_094</v>
          </cell>
          <cell r="B1681" t="str">
            <v>IHS_BMD_2223</v>
          </cell>
          <cell r="C1681" t="str">
            <v>NRO_094</v>
          </cell>
          <cell r="D1681" t="str">
            <v>West</v>
          </cell>
          <cell r="E1681" t="str">
            <v>North West</v>
          </cell>
          <cell r="F1681" t="str">
            <v>Songkolong</v>
          </cell>
          <cell r="G1681" t="str">
            <v>P4</v>
          </cell>
          <cell r="H1681" t="str">
            <v>Gen Only</v>
          </cell>
          <cell r="I1681" t="str">
            <v>On Air</v>
          </cell>
          <cell r="J1681" t="str">
            <v>Outdoor</v>
          </cell>
          <cell r="K1681" t="str">
            <v>AC</v>
          </cell>
          <cell r="L1681" t="str">
            <v>I-Eng</v>
          </cell>
          <cell r="M1681" t="str">
            <v>Kumbo</v>
          </cell>
          <cell r="N1681" t="str">
            <v>Mayo Banyo</v>
          </cell>
          <cell r="O1681" t="str">
            <v>Bankim</v>
          </cell>
          <cell r="S1681" t="str">
            <v>Vensa Mohammadu</v>
          </cell>
          <cell r="T1681" t="str">
            <v>GEORGES NAKHOUL</v>
          </cell>
          <cell r="U1681" t="str">
            <v>I H S</v>
          </cell>
        </row>
        <row r="1682">
          <cell r="A1682" t="str">
            <v>NRO_092</v>
          </cell>
          <cell r="B1682" t="str">
            <v>IHS_BMD_2222</v>
          </cell>
          <cell r="C1682" t="str">
            <v>NRO_092</v>
          </cell>
          <cell r="D1682" t="str">
            <v>West</v>
          </cell>
          <cell r="E1682" t="str">
            <v>North West</v>
          </cell>
          <cell r="F1682" t="str">
            <v>Fundong FM</v>
          </cell>
          <cell r="G1682" t="str">
            <v>P4</v>
          </cell>
          <cell r="H1682" t="str">
            <v>Hybrid-Gen</v>
          </cell>
          <cell r="I1682" t="str">
            <v>On Air</v>
          </cell>
          <cell r="J1682" t="str">
            <v>Outdoor</v>
          </cell>
          <cell r="K1682" t="str">
            <v>AC</v>
          </cell>
          <cell r="L1682" t="str">
            <v>I-Eng</v>
          </cell>
          <cell r="M1682" t="str">
            <v>Kumbo</v>
          </cell>
          <cell r="N1682" t="str">
            <v>Boyo</v>
          </cell>
          <cell r="O1682" t="str">
            <v>Fundong</v>
          </cell>
          <cell r="S1682" t="str">
            <v>Vensa Mohammadu</v>
          </cell>
          <cell r="T1682" t="str">
            <v>GEORGES NAKHOUL</v>
          </cell>
          <cell r="U1682" t="str">
            <v>I H S</v>
          </cell>
        </row>
        <row r="1683">
          <cell r="A1683" t="str">
            <v>NRO_101</v>
          </cell>
          <cell r="B1683" t="str">
            <v>IHS_BMD_059</v>
          </cell>
          <cell r="C1683" t="str">
            <v>NRO_101</v>
          </cell>
          <cell r="D1683" t="str">
            <v>West</v>
          </cell>
          <cell r="E1683" t="str">
            <v>North West</v>
          </cell>
          <cell r="F1683" t="str">
            <v>Tholon Oku</v>
          </cell>
          <cell r="G1683" t="str">
            <v>P4</v>
          </cell>
          <cell r="H1683" t="str">
            <v>Gen Only</v>
          </cell>
          <cell r="I1683" t="str">
            <v>On Air</v>
          </cell>
          <cell r="J1683" t="str">
            <v>Outdoor</v>
          </cell>
          <cell r="K1683" t="str">
            <v>AC</v>
          </cell>
          <cell r="L1683" t="str">
            <v>I-Eng</v>
          </cell>
          <cell r="M1683" t="str">
            <v>Kumbo</v>
          </cell>
          <cell r="N1683" t="str">
            <v>Bui</v>
          </cell>
          <cell r="O1683" t="str">
            <v>Elak Oku</v>
          </cell>
          <cell r="S1683" t="str">
            <v>Vensa Mohammadu</v>
          </cell>
          <cell r="T1683" t="str">
            <v>GEORGES NAKHOUL</v>
          </cell>
          <cell r="U1683" t="str">
            <v>I H S</v>
          </cell>
        </row>
        <row r="1684">
          <cell r="A1684" t="str">
            <v>NRO_090</v>
          </cell>
          <cell r="B1684" t="str">
            <v>IHS_BMD_0054</v>
          </cell>
          <cell r="C1684" t="str">
            <v>NRO_090</v>
          </cell>
          <cell r="D1684" t="str">
            <v>West</v>
          </cell>
          <cell r="E1684" t="str">
            <v>North West</v>
          </cell>
          <cell r="F1684" t="str">
            <v>NKAMBE ENTRANCE</v>
          </cell>
          <cell r="G1684" t="str">
            <v>P4</v>
          </cell>
          <cell r="H1684" t="str">
            <v>Grid-Gen</v>
          </cell>
          <cell r="I1684" t="str">
            <v>On Air</v>
          </cell>
          <cell r="J1684" t="str">
            <v>Outdoor</v>
          </cell>
          <cell r="K1684" t="str">
            <v>AC</v>
          </cell>
          <cell r="L1684" t="str">
            <v>I-Eng</v>
          </cell>
          <cell r="M1684" t="str">
            <v>Kumbo</v>
          </cell>
          <cell r="N1684" t="str">
            <v>Donga Mantoum</v>
          </cell>
          <cell r="O1684" t="str">
            <v>Nkambe</v>
          </cell>
          <cell r="S1684" t="str">
            <v>Vensa Mohammadu</v>
          </cell>
          <cell r="T1684" t="str">
            <v>GEORGES NAKHOUL</v>
          </cell>
          <cell r="U1684" t="str">
            <v>I H S</v>
          </cell>
        </row>
        <row r="1685">
          <cell r="A1685" t="str">
            <v>NRO_089</v>
          </cell>
          <cell r="B1685" t="str">
            <v>IHS_BMD_0049</v>
          </cell>
          <cell r="C1685" t="str">
            <v>NRO_089</v>
          </cell>
          <cell r="D1685" t="str">
            <v>West</v>
          </cell>
          <cell r="E1685" t="str">
            <v>North West</v>
          </cell>
          <cell r="F1685" t="str">
            <v>Ndu Mbakfu</v>
          </cell>
          <cell r="G1685" t="str">
            <v>P4</v>
          </cell>
          <cell r="H1685" t="str">
            <v>Hybrid-Gen</v>
          </cell>
          <cell r="I1685" t="str">
            <v>On Air</v>
          </cell>
          <cell r="J1685" t="str">
            <v>Outdoor</v>
          </cell>
          <cell r="K1685" t="str">
            <v>AC</v>
          </cell>
          <cell r="L1685" t="str">
            <v>I-Eng</v>
          </cell>
          <cell r="M1685" t="str">
            <v>Kumbo</v>
          </cell>
          <cell r="N1685" t="str">
            <v>Donga Mantoum</v>
          </cell>
          <cell r="O1685" t="str">
            <v>Ndu</v>
          </cell>
          <cell r="S1685" t="str">
            <v>Vensa Mohammadu</v>
          </cell>
          <cell r="T1685" t="str">
            <v>GEORGES NAKHOUL</v>
          </cell>
          <cell r="U1685" t="str">
            <v>I H S</v>
          </cell>
        </row>
        <row r="1686">
          <cell r="A1686" t="str">
            <v>NRO_053</v>
          </cell>
          <cell r="B1686" t="str">
            <v>IHS_BMD_077</v>
          </cell>
          <cell r="C1686" t="str">
            <v>NRO_053</v>
          </cell>
          <cell r="D1686" t="str">
            <v>West</v>
          </cell>
          <cell r="E1686" t="str">
            <v>North West</v>
          </cell>
          <cell r="F1686" t="str">
            <v>Kikai</v>
          </cell>
          <cell r="G1686" t="str">
            <v>P4</v>
          </cell>
          <cell r="H1686" t="str">
            <v>Gen Only</v>
          </cell>
          <cell r="I1686" t="str">
            <v>On Air</v>
          </cell>
          <cell r="J1686" t="str">
            <v>Outdoor</v>
          </cell>
          <cell r="K1686" t="str">
            <v>AC</v>
          </cell>
          <cell r="L1686" t="str">
            <v>I-Eng</v>
          </cell>
          <cell r="M1686" t="str">
            <v>Kumbo</v>
          </cell>
          <cell r="N1686" t="str">
            <v>Bui</v>
          </cell>
          <cell r="O1686" t="str">
            <v>kumbo</v>
          </cell>
          <cell r="S1686" t="str">
            <v>Vensa Mohammadu</v>
          </cell>
          <cell r="T1686" t="str">
            <v>GEORGES NAKHOUL</v>
          </cell>
          <cell r="U1686" t="str">
            <v>I H S</v>
          </cell>
        </row>
        <row r="1687">
          <cell r="A1687" t="str">
            <v>NRO_052</v>
          </cell>
          <cell r="B1687" t="str">
            <v>IHS_BMD_074</v>
          </cell>
          <cell r="C1687" t="str">
            <v>NRO_052</v>
          </cell>
          <cell r="D1687" t="str">
            <v>West</v>
          </cell>
          <cell r="E1687" t="str">
            <v>North West</v>
          </cell>
          <cell r="F1687" t="str">
            <v>Kumbo Bangam</v>
          </cell>
          <cell r="G1687" t="str">
            <v>P4</v>
          </cell>
          <cell r="H1687" t="str">
            <v>Grid-Gen</v>
          </cell>
          <cell r="I1687" t="str">
            <v>On Air</v>
          </cell>
          <cell r="J1687" t="str">
            <v>Outdoor</v>
          </cell>
          <cell r="K1687" t="str">
            <v>AC</v>
          </cell>
          <cell r="L1687" t="str">
            <v>I-Eng</v>
          </cell>
          <cell r="M1687" t="str">
            <v>Kumbo</v>
          </cell>
          <cell r="N1687" t="str">
            <v>Bui</v>
          </cell>
          <cell r="O1687" t="str">
            <v>Kumbo</v>
          </cell>
          <cell r="S1687" t="str">
            <v>Vensa Mohammadu</v>
          </cell>
          <cell r="T1687" t="str">
            <v>GEORGES NAKHOUL</v>
          </cell>
          <cell r="U1687" t="str">
            <v>I H S</v>
          </cell>
        </row>
        <row r="1688">
          <cell r="A1688" t="str">
            <v>NRO_258</v>
          </cell>
          <cell r="B1688" t="str">
            <v>IHS_BMD_067</v>
          </cell>
          <cell r="C1688" t="str">
            <v>NRO_258</v>
          </cell>
          <cell r="D1688" t="str">
            <v>West</v>
          </cell>
          <cell r="E1688" t="str">
            <v>North West</v>
          </cell>
          <cell r="F1688" t="str">
            <v>Sop-MTN</v>
          </cell>
          <cell r="G1688" t="str">
            <v>P4</v>
          </cell>
          <cell r="H1688" t="str">
            <v>Grid-Gen</v>
          </cell>
          <cell r="I1688" t="str">
            <v>On Air</v>
          </cell>
          <cell r="J1688" t="str">
            <v>Outdoor</v>
          </cell>
          <cell r="K1688" t="str">
            <v>AC</v>
          </cell>
          <cell r="L1688" t="str">
            <v>I-Eng</v>
          </cell>
          <cell r="M1688" t="str">
            <v>Kumbo</v>
          </cell>
          <cell r="N1688" t="str">
            <v>Bui</v>
          </cell>
          <cell r="O1688" t="str">
            <v>Jakiri</v>
          </cell>
          <cell r="S1688" t="str">
            <v>Vensa Mohammadu</v>
          </cell>
          <cell r="T1688" t="str">
            <v>GEORGES NAKHOUL</v>
          </cell>
          <cell r="U1688" t="str">
            <v>I H S</v>
          </cell>
        </row>
        <row r="1689">
          <cell r="A1689" t="str">
            <v>NRO_217</v>
          </cell>
          <cell r="B1689" t="str">
            <v>IHS_BMD_070</v>
          </cell>
          <cell r="C1689" t="str">
            <v>NRO_217</v>
          </cell>
          <cell r="D1689" t="str">
            <v>West</v>
          </cell>
          <cell r="E1689" t="str">
            <v>North West</v>
          </cell>
          <cell r="F1689" t="str">
            <v>Mbingo-MTN</v>
          </cell>
          <cell r="G1689" t="str">
            <v>P4</v>
          </cell>
          <cell r="H1689" t="str">
            <v>Grid-Gen</v>
          </cell>
          <cell r="I1689" t="str">
            <v>On Air</v>
          </cell>
          <cell r="J1689" t="str">
            <v>Outdoor</v>
          </cell>
          <cell r="K1689" t="str">
            <v>AC</v>
          </cell>
          <cell r="L1689" t="str">
            <v>I-Eng</v>
          </cell>
          <cell r="M1689" t="str">
            <v>Kumbo</v>
          </cell>
          <cell r="N1689" t="str">
            <v>Boyo</v>
          </cell>
          <cell r="O1689" t="str">
            <v>Belo</v>
          </cell>
          <cell r="S1689" t="str">
            <v>Vensa Mohammadu</v>
          </cell>
          <cell r="T1689" t="str">
            <v>GEORGES NAKHOUL</v>
          </cell>
          <cell r="U1689" t="str">
            <v>I H S</v>
          </cell>
        </row>
        <row r="1690">
          <cell r="A1690" t="str">
            <v>NRO_041</v>
          </cell>
          <cell r="B1690" t="str">
            <v>IHS_BMD_072</v>
          </cell>
          <cell r="C1690" t="str">
            <v>NRO_041</v>
          </cell>
          <cell r="D1690" t="str">
            <v>West</v>
          </cell>
          <cell r="E1690" t="str">
            <v>North West</v>
          </cell>
          <cell r="F1690" t="str">
            <v>MUCHEMNI FUNDONG</v>
          </cell>
          <cell r="G1690" t="str">
            <v>P4</v>
          </cell>
          <cell r="H1690" t="str">
            <v>Grid-Gen</v>
          </cell>
          <cell r="I1690" t="str">
            <v>On Air</v>
          </cell>
          <cell r="J1690" t="str">
            <v>Indoor</v>
          </cell>
          <cell r="K1690" t="str">
            <v>AC</v>
          </cell>
          <cell r="L1690" t="str">
            <v>I-Eng</v>
          </cell>
          <cell r="M1690" t="str">
            <v>Kumbo</v>
          </cell>
          <cell r="N1690" t="str">
            <v>Boyo</v>
          </cell>
          <cell r="O1690" t="str">
            <v>Fundong</v>
          </cell>
          <cell r="S1690" t="str">
            <v>Vensa Mohammadu</v>
          </cell>
          <cell r="T1690" t="str">
            <v>GEORGES NAKHOUL</v>
          </cell>
          <cell r="U1690" t="str">
            <v>I H S</v>
          </cell>
        </row>
        <row r="1691">
          <cell r="A1691" t="str">
            <v>NRO_098</v>
          </cell>
          <cell r="B1691" t="str">
            <v>IHS_BMD_2252</v>
          </cell>
          <cell r="C1691" t="str">
            <v>NRO_098</v>
          </cell>
          <cell r="D1691" t="str">
            <v>West</v>
          </cell>
          <cell r="E1691" t="str">
            <v>North West</v>
          </cell>
          <cell r="F1691" t="str">
            <v>Djottin</v>
          </cell>
          <cell r="G1691" t="str">
            <v>P5</v>
          </cell>
          <cell r="H1691" t="str">
            <v>Gen Only</v>
          </cell>
          <cell r="I1691" t="str">
            <v>On Air</v>
          </cell>
          <cell r="J1691" t="str">
            <v>Outdoor</v>
          </cell>
          <cell r="K1691" t="str">
            <v>AC</v>
          </cell>
          <cell r="L1691" t="str">
            <v>I-Eng</v>
          </cell>
          <cell r="M1691" t="str">
            <v>Kumbo</v>
          </cell>
          <cell r="N1691" t="str">
            <v>Bui</v>
          </cell>
          <cell r="O1691" t="str">
            <v>Nkor</v>
          </cell>
          <cell r="S1691" t="str">
            <v>Vensa Mohammadu</v>
          </cell>
          <cell r="T1691" t="str">
            <v>GEORGES NAKHOUL</v>
          </cell>
          <cell r="U1691" t="str">
            <v>I H S</v>
          </cell>
        </row>
        <row r="1692">
          <cell r="A1692" t="str">
            <v>NRO_031</v>
          </cell>
          <cell r="B1692" t="str">
            <v>IHS_BMD_203</v>
          </cell>
          <cell r="C1692" t="str">
            <v>NRO_031</v>
          </cell>
          <cell r="D1692" t="str">
            <v>West</v>
          </cell>
          <cell r="E1692" t="str">
            <v>North West</v>
          </cell>
          <cell r="F1692" t="str">
            <v>Bingo-IHS</v>
          </cell>
          <cell r="G1692" t="str">
            <v>P5</v>
          </cell>
          <cell r="H1692" t="str">
            <v>Grid-Gen</v>
          </cell>
          <cell r="I1692" t="str">
            <v>On Air</v>
          </cell>
          <cell r="J1692" t="str">
            <v>Outdoor</v>
          </cell>
          <cell r="K1692" t="str">
            <v>AC</v>
          </cell>
          <cell r="L1692" t="str">
            <v>I-Eng</v>
          </cell>
          <cell r="M1692" t="str">
            <v>Kumbo</v>
          </cell>
          <cell r="N1692" t="str">
            <v>Boyo</v>
          </cell>
          <cell r="O1692" t="str">
            <v>Belo</v>
          </cell>
          <cell r="S1692" t="str">
            <v>Vensa Mohammadu</v>
          </cell>
          <cell r="T1692" t="str">
            <v>GEORGES NAKHOUL</v>
          </cell>
          <cell r="U1692" t="str">
            <v>I H S</v>
          </cell>
        </row>
        <row r="1693">
          <cell r="A1693" t="str">
            <v>NRO_032</v>
          </cell>
          <cell r="B1693" t="str">
            <v>IHS_BMD_069</v>
          </cell>
          <cell r="C1693" t="str">
            <v>NRO_032</v>
          </cell>
          <cell r="D1693" t="str">
            <v>West</v>
          </cell>
          <cell r="E1693" t="str">
            <v>North West</v>
          </cell>
          <cell r="F1693" t="str">
            <v>Belo</v>
          </cell>
          <cell r="G1693" t="str">
            <v>P5</v>
          </cell>
          <cell r="H1693" t="str">
            <v>Grid-Gen</v>
          </cell>
          <cell r="I1693" t="str">
            <v>On Air</v>
          </cell>
          <cell r="J1693" t="str">
            <v>Outdoor</v>
          </cell>
          <cell r="K1693" t="str">
            <v>AC</v>
          </cell>
          <cell r="L1693" t="str">
            <v>I-Eng</v>
          </cell>
          <cell r="M1693" t="str">
            <v>Kumbo</v>
          </cell>
          <cell r="N1693" t="str">
            <v>Boyo</v>
          </cell>
          <cell r="O1693" t="str">
            <v>belo</v>
          </cell>
          <cell r="S1693" t="str">
            <v>Vensa Mohammadu</v>
          </cell>
          <cell r="T1693" t="str">
            <v>GEORGES NAKHOUL</v>
          </cell>
          <cell r="U1693" t="str">
            <v>I H S</v>
          </cell>
        </row>
        <row r="1694">
          <cell r="A1694" t="str">
            <v>NRO_230</v>
          </cell>
          <cell r="B1694" t="str">
            <v>IHS_BMD_096</v>
          </cell>
          <cell r="C1694" t="str">
            <v>NRO_230</v>
          </cell>
          <cell r="D1694" t="str">
            <v>West</v>
          </cell>
          <cell r="E1694" t="str">
            <v>North West</v>
          </cell>
          <cell r="F1694" t="str">
            <v>Sabongari-NRO</v>
          </cell>
          <cell r="G1694" t="str">
            <v>P5</v>
          </cell>
          <cell r="H1694" t="str">
            <v>Hybrid-Gen</v>
          </cell>
          <cell r="I1694" t="str">
            <v>On Air</v>
          </cell>
          <cell r="J1694" t="str">
            <v>Outdoor</v>
          </cell>
          <cell r="K1694" t="str">
            <v>AC</v>
          </cell>
          <cell r="L1694" t="str">
            <v>I-Eng</v>
          </cell>
          <cell r="M1694" t="str">
            <v>Kumbo</v>
          </cell>
          <cell r="N1694" t="str">
            <v>Donga Mantoum</v>
          </cell>
          <cell r="O1694" t="str">
            <v>Nwa</v>
          </cell>
          <cell r="S1694" t="str">
            <v>Vensa Mohammadu</v>
          </cell>
          <cell r="T1694" t="str">
            <v>GEORGES NAKHOUL</v>
          </cell>
          <cell r="U1694" t="str">
            <v>I H S</v>
          </cell>
        </row>
        <row r="1695">
          <cell r="A1695" t="str">
            <v>NRO_237</v>
          </cell>
          <cell r="B1695" t="str">
            <v>IHS_BMD_095</v>
          </cell>
          <cell r="C1695" t="str">
            <v>NRO_237</v>
          </cell>
          <cell r="D1695" t="str">
            <v>West</v>
          </cell>
          <cell r="E1695" t="str">
            <v>North West</v>
          </cell>
          <cell r="F1695" t="str">
            <v>Misaje</v>
          </cell>
          <cell r="G1695" t="str">
            <v>P5</v>
          </cell>
          <cell r="H1695" t="str">
            <v>Solar-Gen</v>
          </cell>
          <cell r="I1695" t="str">
            <v>On Air</v>
          </cell>
          <cell r="J1695" t="str">
            <v>Outdoor</v>
          </cell>
          <cell r="K1695" t="str">
            <v>AC</v>
          </cell>
          <cell r="L1695" t="str">
            <v>I-Eng</v>
          </cell>
          <cell r="M1695" t="str">
            <v>Kumbo</v>
          </cell>
          <cell r="N1695" t="str">
            <v>Donga Mantoum</v>
          </cell>
          <cell r="O1695" t="str">
            <v>Misaje</v>
          </cell>
          <cell r="S1695" t="str">
            <v>Vensa Mohammadu</v>
          </cell>
          <cell r="T1695" t="str">
            <v>GEORGES NAKHOUL</v>
          </cell>
          <cell r="U1695" t="str">
            <v>I H S</v>
          </cell>
        </row>
        <row r="1696">
          <cell r="A1696" t="str">
            <v>NRO_023</v>
          </cell>
          <cell r="B1696" t="str">
            <v>IHS_BAF_104</v>
          </cell>
          <cell r="C1696" t="str">
            <v>NRO_023</v>
          </cell>
          <cell r="D1696" t="str">
            <v>West</v>
          </cell>
          <cell r="E1696" t="str">
            <v>North West</v>
          </cell>
          <cell r="F1696" t="str">
            <v>Binka</v>
          </cell>
          <cell r="G1696" t="str">
            <v>P5</v>
          </cell>
          <cell r="H1696" t="str">
            <v>Gen Only</v>
          </cell>
          <cell r="I1696" t="str">
            <v>On Air</v>
          </cell>
          <cell r="J1696" t="str">
            <v>Outdoor</v>
          </cell>
          <cell r="K1696" t="str">
            <v>AC</v>
          </cell>
          <cell r="L1696" t="str">
            <v>I-Eng</v>
          </cell>
          <cell r="M1696" t="str">
            <v>Kumbo</v>
          </cell>
          <cell r="N1696" t="str">
            <v>Donga Mantoum</v>
          </cell>
          <cell r="O1696" t="str">
            <v>Nkambe</v>
          </cell>
          <cell r="S1696" t="str">
            <v>Vensa Mohammadu</v>
          </cell>
          <cell r="T1696" t="str">
            <v>GEORGES NAKHOUL</v>
          </cell>
          <cell r="U1696" t="str">
            <v>I H S</v>
          </cell>
        </row>
        <row r="1697">
          <cell r="A1697" t="str">
            <v>NRO_079</v>
          </cell>
          <cell r="B1697" t="str">
            <v>IHS_BMD_2215</v>
          </cell>
          <cell r="C1697" t="str">
            <v>NRO_079</v>
          </cell>
          <cell r="D1697" t="str">
            <v>West</v>
          </cell>
          <cell r="E1697" t="str">
            <v>North West</v>
          </cell>
          <cell r="F1697" t="str">
            <v>Abuh Ngun</v>
          </cell>
          <cell r="G1697" t="str">
            <v>P5</v>
          </cell>
          <cell r="H1697" t="str">
            <v>Hybrid-Gen</v>
          </cell>
          <cell r="I1697" t="str">
            <v>On Air</v>
          </cell>
          <cell r="J1697" t="str">
            <v>Outdoor</v>
          </cell>
          <cell r="K1697" t="str">
            <v>AC</v>
          </cell>
          <cell r="L1697" t="str">
            <v>I-Eng</v>
          </cell>
          <cell r="M1697" t="str">
            <v>Kumbo</v>
          </cell>
          <cell r="N1697" t="str">
            <v>Boyo</v>
          </cell>
          <cell r="O1697" t="str">
            <v>Fundong</v>
          </cell>
          <cell r="S1697" t="str">
            <v>Vensa Mohammadu</v>
          </cell>
          <cell r="T1697" t="str">
            <v>GEORGES NAKHOUL</v>
          </cell>
          <cell r="U1697" t="str">
            <v>I H S</v>
          </cell>
        </row>
        <row r="1698">
          <cell r="A1698" t="str">
            <v>NRO_038</v>
          </cell>
          <cell r="B1698" t="str">
            <v>IHS_BMD_041</v>
          </cell>
          <cell r="C1698" t="str">
            <v>NRO_038</v>
          </cell>
          <cell r="D1698" t="str">
            <v>West</v>
          </cell>
          <cell r="E1698" t="str">
            <v>North West</v>
          </cell>
          <cell r="F1698" t="str">
            <v>Bamessing-IHS</v>
          </cell>
          <cell r="G1698" t="str">
            <v>P5</v>
          </cell>
          <cell r="H1698" t="str">
            <v>Grid-Gen</v>
          </cell>
          <cell r="I1698" t="str">
            <v>On Air</v>
          </cell>
          <cell r="J1698" t="str">
            <v>Outdoor</v>
          </cell>
          <cell r="K1698" t="str">
            <v>AC</v>
          </cell>
          <cell r="L1698" t="str">
            <v>I-Eng</v>
          </cell>
          <cell r="M1698" t="str">
            <v>Kumbo</v>
          </cell>
          <cell r="N1698" t="str">
            <v>Ngo-Ketunjia</v>
          </cell>
          <cell r="O1698" t="str">
            <v>Ndop</v>
          </cell>
          <cell r="S1698" t="str">
            <v>Vensa Mohammadu</v>
          </cell>
          <cell r="T1698" t="str">
            <v>GEORGES NAKHOUL</v>
          </cell>
          <cell r="U1698" t="str">
            <v>I H S</v>
          </cell>
        </row>
        <row r="1699">
          <cell r="A1699" t="str">
            <v>NRO_259</v>
          </cell>
          <cell r="B1699" t="str">
            <v>IHS_BMD_058</v>
          </cell>
          <cell r="C1699" t="str">
            <v>NRO_259</v>
          </cell>
          <cell r="D1699" t="str">
            <v>West</v>
          </cell>
          <cell r="E1699" t="str">
            <v>North West</v>
          </cell>
          <cell r="F1699" t="str">
            <v>Baba-MTN</v>
          </cell>
          <cell r="G1699" t="str">
            <v>P5</v>
          </cell>
          <cell r="H1699" t="str">
            <v>Grid-Gen</v>
          </cell>
          <cell r="I1699" t="str">
            <v>On Air</v>
          </cell>
          <cell r="J1699" t="str">
            <v>Outdoor</v>
          </cell>
          <cell r="K1699" t="str">
            <v>AC</v>
          </cell>
          <cell r="L1699" t="str">
            <v>I-Eng</v>
          </cell>
          <cell r="M1699" t="str">
            <v>Kumbo</v>
          </cell>
          <cell r="N1699" t="str">
            <v>Ngo-Ketunjia</v>
          </cell>
          <cell r="O1699" t="str">
            <v>Babessi</v>
          </cell>
          <cell r="S1699" t="str">
            <v>Vensa Mohammadu</v>
          </cell>
          <cell r="T1699" t="str">
            <v>GEORGES NAKHOUL</v>
          </cell>
          <cell r="U1699" t="str">
            <v>I H S</v>
          </cell>
        </row>
        <row r="1700">
          <cell r="A1700" t="str">
            <v>NRO_058</v>
          </cell>
          <cell r="B1700" t="str">
            <v>IHS_BMD_071</v>
          </cell>
          <cell r="C1700" t="str">
            <v>NRO_058</v>
          </cell>
          <cell r="D1700" t="str">
            <v>West</v>
          </cell>
          <cell r="E1700" t="str">
            <v>North West</v>
          </cell>
          <cell r="F1700" t="str">
            <v>Babanki</v>
          </cell>
          <cell r="G1700" t="str">
            <v>P5</v>
          </cell>
          <cell r="H1700" t="str">
            <v>Grid-Gen</v>
          </cell>
          <cell r="I1700" t="str">
            <v>On Air</v>
          </cell>
          <cell r="J1700" t="str">
            <v>Outdoor</v>
          </cell>
          <cell r="K1700" t="str">
            <v>AC</v>
          </cell>
          <cell r="L1700" t="str">
            <v>I-Eng</v>
          </cell>
          <cell r="M1700" t="str">
            <v>Kumbo</v>
          </cell>
          <cell r="N1700" t="str">
            <v>Boyo</v>
          </cell>
          <cell r="O1700" t="str">
            <v>Tubah</v>
          </cell>
          <cell r="S1700" t="str">
            <v>Vensa Mohammadu</v>
          </cell>
          <cell r="T1700" t="str">
            <v>GEORGES NAKHOUL</v>
          </cell>
          <cell r="U1700" t="str">
            <v>I H S</v>
          </cell>
        </row>
        <row r="1701">
          <cell r="A1701" t="str">
            <v>  NRO_136 </v>
          </cell>
          <cell r="B1701" t="str">
            <v>IHS_BMD_0048</v>
          </cell>
          <cell r="C1701" t="str">
            <v>  NRO_136 </v>
          </cell>
          <cell r="D1701" t="str">
            <v>West</v>
          </cell>
          <cell r="E1701" t="str">
            <v>North West</v>
          </cell>
          <cell r="F1701" t="str">
            <v>Ndop Catholic Church</v>
          </cell>
          <cell r="G1701" t="str">
            <v>P4</v>
          </cell>
          <cell r="H1701" t="str">
            <v>Grid-Gen</v>
          </cell>
          <cell r="I1701">
            <v>0</v>
          </cell>
          <cell r="J1701" t="str">
            <v>Outdoor</v>
          </cell>
          <cell r="K1701" t="str">
            <v>AC</v>
          </cell>
          <cell r="L1701" t="str">
            <v>I-Eng</v>
          </cell>
          <cell r="M1701" t="str">
            <v>Kumbo</v>
          </cell>
          <cell r="N1701" t="str">
            <v>Ngo-Ketunjia</v>
          </cell>
          <cell r="O1701" t="str">
            <v>Ndop</v>
          </cell>
          <cell r="S1701" t="str">
            <v>Vensa Mohammadu</v>
          </cell>
          <cell r="T1701" t="str">
            <v>GEORGES NAKHOUL</v>
          </cell>
          <cell r="U1701" t="str">
            <v>I H S</v>
          </cell>
        </row>
        <row r="1702">
          <cell r="A1702" t="str">
            <v> NRO_137</v>
          </cell>
          <cell r="B1702" t="str">
            <v>IHS_BMD_204</v>
          </cell>
          <cell r="C1702" t="str">
            <v> NRO_137</v>
          </cell>
          <cell r="D1702" t="str">
            <v>West</v>
          </cell>
          <cell r="E1702" t="str">
            <v>North West</v>
          </cell>
          <cell r="F1702" t="str">
            <v>NDOP KAKE</v>
          </cell>
          <cell r="G1702" t="str">
            <v>P3</v>
          </cell>
          <cell r="H1702" t="str">
            <v>Grid-Gen</v>
          </cell>
          <cell r="I1702">
            <v>0</v>
          </cell>
          <cell r="J1702" t="str">
            <v>Outdoor</v>
          </cell>
          <cell r="K1702" t="str">
            <v>AC</v>
          </cell>
          <cell r="L1702" t="str">
            <v>I-Eng</v>
          </cell>
          <cell r="M1702" t="str">
            <v>Kumbo</v>
          </cell>
          <cell r="N1702" t="str">
            <v>Ngo-Ketunjia</v>
          </cell>
          <cell r="O1702" t="str">
            <v>Ndop</v>
          </cell>
          <cell r="S1702" t="str">
            <v>Vensa Mohammadu</v>
          </cell>
          <cell r="T1702" t="str">
            <v>GEORGES NAKHOUL</v>
          </cell>
          <cell r="U1702" t="str">
            <v>I H S</v>
          </cell>
        </row>
        <row r="1703">
          <cell r="A1703" t="str">
            <v>NRO_142</v>
          </cell>
          <cell r="B1703" t="str">
            <v>IHS_BMD_066</v>
          </cell>
          <cell r="C1703" t="str">
            <v>NRO_142</v>
          </cell>
          <cell r="D1703" t="str">
            <v>West</v>
          </cell>
          <cell r="E1703" t="str">
            <v>North West</v>
          </cell>
          <cell r="F1703" t="str">
            <v>Nkar</v>
          </cell>
          <cell r="G1703" t="str">
            <v>P4</v>
          </cell>
          <cell r="H1703" t="str">
            <v>Hybrid-Gen</v>
          </cell>
          <cell r="I1703" t="str">
            <v>On Air</v>
          </cell>
          <cell r="J1703" t="str">
            <v>Outdoor</v>
          </cell>
          <cell r="K1703" t="str">
            <v>AC</v>
          </cell>
          <cell r="L1703" t="str">
            <v>I-Eng</v>
          </cell>
          <cell r="M1703" t="str">
            <v>Kumbo</v>
          </cell>
          <cell r="N1703" t="str">
            <v>Bui</v>
          </cell>
          <cell r="O1703" t="str">
            <v>Jakiri</v>
          </cell>
          <cell r="S1703" t="str">
            <v>Vensa Mohammadu</v>
          </cell>
          <cell r="T1703" t="str">
            <v>GEORGES NAKHOUL</v>
          </cell>
          <cell r="U1703" t="str">
            <v>I H S</v>
          </cell>
        </row>
      </sheetData>
      <sheetData sheetId="10" refreshError="1">
        <row r="1">
          <cell r="A1" t="str">
            <v>Site ID</v>
          </cell>
          <cell r="B1" t="str">
            <v>Site Name</v>
          </cell>
          <cell r="C1" t="str">
            <v>Date mise "On Air"</v>
          </cell>
          <cell r="D1" t="str">
            <v>Batch</v>
          </cell>
          <cell r="E1" t="str">
            <v>Priorité SLA</v>
          </cell>
          <cell r="F1" t="str">
            <v>Typologie cible catalogue</v>
          </cell>
          <cell r="G1" t="str">
            <v>POWERCO</v>
          </cell>
        </row>
        <row r="2">
          <cell r="A2" t="str">
            <v>CTR_650</v>
          </cell>
          <cell r="B2" t="str">
            <v>ABOM PLATEAU</v>
          </cell>
          <cell r="C2">
            <v>44300</v>
          </cell>
          <cell r="D2" t="str">
            <v>273 sites</v>
          </cell>
          <cell r="E2" t="str">
            <v>P4</v>
          </cell>
          <cell r="F2" t="str">
            <v>Good Grid + GE</v>
          </cell>
          <cell r="G2" t="str">
            <v>CAMUSAT</v>
          </cell>
        </row>
        <row r="3">
          <cell r="A3" t="str">
            <v>CTR_636</v>
          </cell>
          <cell r="B3" t="str">
            <v>BTS-Mobile-Mbandjock</v>
          </cell>
          <cell r="D3" t="str">
            <v>273 sites</v>
          </cell>
          <cell r="E3" t="str">
            <v>P4</v>
          </cell>
          <cell r="F3" t="str">
            <v>HGB</v>
          </cell>
          <cell r="G3" t="str">
            <v>CAMUSAT</v>
          </cell>
        </row>
        <row r="4">
          <cell r="A4" t="str">
            <v>LIT_609</v>
          </cell>
          <cell r="B4" t="str">
            <v>Agape</v>
          </cell>
          <cell r="C4">
            <v>44442</v>
          </cell>
          <cell r="D4" t="str">
            <v>273 sites</v>
          </cell>
          <cell r="E4" t="str">
            <v>P4</v>
          </cell>
          <cell r="F4" t="str">
            <v>Good Grid no GE - 8h</v>
          </cell>
          <cell r="G4" t="str">
            <v>CAMUSAT</v>
          </cell>
        </row>
        <row r="5">
          <cell r="A5" t="str">
            <v>CTR_872</v>
          </cell>
          <cell r="B5" t="str">
            <v>Abom-Plateau-II</v>
          </cell>
          <cell r="C5">
            <v>44800</v>
          </cell>
          <cell r="D5" t="str">
            <v>OG22</v>
          </cell>
          <cell r="E5" t="str">
            <v>P4</v>
          </cell>
          <cell r="F5" t="str">
            <v>Good Grid + GE</v>
          </cell>
          <cell r="G5" t="str">
            <v>CAMUSAT</v>
          </cell>
        </row>
        <row r="6">
          <cell r="A6" t="str">
            <v>CTR_663</v>
          </cell>
          <cell r="B6" t="str">
            <v>AKOK</v>
          </cell>
          <cell r="C6">
            <v>44372</v>
          </cell>
          <cell r="D6" t="str">
            <v>273 sites</v>
          </cell>
          <cell r="E6" t="str">
            <v>P4</v>
          </cell>
          <cell r="F6" t="str">
            <v>Good Grid + Solar + GE</v>
          </cell>
          <cell r="G6" t="str">
            <v>CAMUSAT</v>
          </cell>
        </row>
        <row r="7">
          <cell r="A7" t="str">
            <v>CTR_745</v>
          </cell>
          <cell r="B7" t="str">
            <v>Ambassade-du-Gabon</v>
          </cell>
          <cell r="C7">
            <v>44281</v>
          </cell>
          <cell r="D7" t="str">
            <v>273 sites</v>
          </cell>
          <cell r="E7" t="str">
            <v>P4</v>
          </cell>
          <cell r="F7" t="str">
            <v>Good Grid no GE - 8h</v>
          </cell>
          <cell r="G7" t="str">
            <v>CAMUSAT</v>
          </cell>
        </row>
        <row r="8">
          <cell r="A8" t="str">
            <v>CTR_651</v>
          </cell>
          <cell r="B8" t="str">
            <v>Ayene</v>
          </cell>
          <cell r="C8">
            <v>44405</v>
          </cell>
          <cell r="D8" t="str">
            <v>273 sites</v>
          </cell>
          <cell r="E8" t="str">
            <v>P4</v>
          </cell>
          <cell r="F8" t="str">
            <v>Good Grid + GE</v>
          </cell>
          <cell r="G8" t="str">
            <v>CAMUSAT</v>
          </cell>
        </row>
        <row r="9">
          <cell r="A9" t="str">
            <v>CTR_755</v>
          </cell>
          <cell r="B9" t="str">
            <v>Ba'aba</v>
          </cell>
          <cell r="C9">
            <v>44474</v>
          </cell>
          <cell r="D9" t="str">
            <v>273 sites</v>
          </cell>
          <cell r="E9" t="str">
            <v>P4</v>
          </cell>
          <cell r="F9" t="str">
            <v>Bad Grid + GE</v>
          </cell>
          <cell r="G9" t="str">
            <v>CAMUSAT</v>
          </cell>
        </row>
        <row r="10">
          <cell r="A10" t="str">
            <v>OST_257</v>
          </cell>
          <cell r="B10" t="str">
            <v>Babete</v>
          </cell>
          <cell r="C10">
            <v>44430</v>
          </cell>
          <cell r="D10" t="str">
            <v>273 sites</v>
          </cell>
          <cell r="E10" t="str">
            <v>P4</v>
          </cell>
          <cell r="F10" t="str">
            <v>Hybrid Solar - S3</v>
          </cell>
          <cell r="G10" t="str">
            <v>CAMUSAT</v>
          </cell>
        </row>
        <row r="11">
          <cell r="A11" t="str">
            <v>LIT_648</v>
          </cell>
          <cell r="B11" t="str">
            <v>Babylone-Dispensaire</v>
          </cell>
          <cell r="C11">
            <v>44322</v>
          </cell>
          <cell r="D11" t="str">
            <v>273 sites</v>
          </cell>
          <cell r="E11" t="str">
            <v>P4</v>
          </cell>
          <cell r="F11" t="str">
            <v>Good Grid no GE - 12h</v>
          </cell>
          <cell r="G11" t="str">
            <v>CAMUSAT</v>
          </cell>
        </row>
        <row r="12">
          <cell r="A12" t="str">
            <v>EST_009</v>
          </cell>
          <cell r="B12" t="str">
            <v>ABONG MBANG CRTV</v>
          </cell>
          <cell r="C12">
            <v>44527</v>
          </cell>
          <cell r="D12" t="str">
            <v>Sites tiers</v>
          </cell>
          <cell r="E12" t="str">
            <v>P3</v>
          </cell>
          <cell r="F12" t="str">
            <v>Bad Grid + Solar + GE</v>
          </cell>
          <cell r="G12" t="str">
            <v>CAMUSAT</v>
          </cell>
        </row>
        <row r="13">
          <cell r="A13" t="str">
            <v>OST_258</v>
          </cell>
          <cell r="B13" t="str">
            <v>Badenkop</v>
          </cell>
          <cell r="C13">
            <v>44492</v>
          </cell>
          <cell r="D13" t="str">
            <v>273 sites</v>
          </cell>
          <cell r="E13" t="str">
            <v>P4</v>
          </cell>
          <cell r="F13" t="str">
            <v>Good Grid + GE</v>
          </cell>
          <cell r="G13" t="str">
            <v>CAMUSAT</v>
          </cell>
        </row>
        <row r="14">
          <cell r="A14" t="str">
            <v>EXN_239</v>
          </cell>
          <cell r="B14" t="str">
            <v>Badjouma-Zagam</v>
          </cell>
          <cell r="C14">
            <v>44435</v>
          </cell>
          <cell r="D14" t="str">
            <v>273 sites</v>
          </cell>
          <cell r="E14" t="str">
            <v>P4</v>
          </cell>
          <cell r="F14" t="str">
            <v>Hybrid Solar - S3</v>
          </cell>
          <cell r="G14" t="str">
            <v>CAMUSAT</v>
          </cell>
        </row>
        <row r="15">
          <cell r="A15" t="str">
            <v>EXN_202</v>
          </cell>
          <cell r="B15" t="str">
            <v>Bagarao</v>
          </cell>
          <cell r="C15">
            <v>44465</v>
          </cell>
          <cell r="D15" t="str">
            <v>273 sites</v>
          </cell>
          <cell r="E15" t="str">
            <v>P4</v>
          </cell>
          <cell r="F15" t="str">
            <v>Hybrid Solar - S3</v>
          </cell>
          <cell r="G15" t="str">
            <v>CAMUSAT</v>
          </cell>
        </row>
        <row r="16">
          <cell r="A16" t="str">
            <v>EXN_229</v>
          </cell>
          <cell r="B16" t="str">
            <v>Balda</v>
          </cell>
          <cell r="C16">
            <v>44445</v>
          </cell>
          <cell r="D16" t="str">
            <v>273 sites</v>
          </cell>
          <cell r="E16" t="str">
            <v>P4</v>
          </cell>
          <cell r="F16" t="str">
            <v>Hybrid Solar - S3</v>
          </cell>
          <cell r="G16" t="str">
            <v>CAMUSAT</v>
          </cell>
        </row>
        <row r="17">
          <cell r="A17" t="str">
            <v>OST_260</v>
          </cell>
          <cell r="B17" t="str">
            <v>Bamena</v>
          </cell>
          <cell r="C17">
            <v>44437</v>
          </cell>
          <cell r="D17" t="str">
            <v>273 sites</v>
          </cell>
          <cell r="E17" t="str">
            <v>P4</v>
          </cell>
          <cell r="F17" t="str">
            <v>HGB</v>
          </cell>
          <cell r="G17" t="str">
            <v>CAMUSAT</v>
          </cell>
        </row>
        <row r="18">
          <cell r="A18" t="str">
            <v>OST_274</v>
          </cell>
          <cell r="B18" t="str">
            <v>Bamoungoum</v>
          </cell>
          <cell r="C18">
            <v>44267</v>
          </cell>
          <cell r="D18" t="str">
            <v>273 sites</v>
          </cell>
          <cell r="E18" t="str">
            <v>P4</v>
          </cell>
          <cell r="F18" t="str">
            <v>Good Grid + GE</v>
          </cell>
          <cell r="G18" t="str">
            <v>CAMUSAT</v>
          </cell>
        </row>
        <row r="19">
          <cell r="A19" t="str">
            <v>OST_239</v>
          </cell>
          <cell r="B19" t="str">
            <v>Bandjoun iut</v>
          </cell>
          <cell r="C19">
            <v>44194</v>
          </cell>
          <cell r="D19" t="str">
            <v>273 sites</v>
          </cell>
          <cell r="E19" t="str">
            <v>P4</v>
          </cell>
          <cell r="F19" t="str">
            <v>Bad Grid + GE</v>
          </cell>
          <cell r="G19" t="str">
            <v>CAMUSAT</v>
          </cell>
        </row>
        <row r="20">
          <cell r="A20" t="str">
            <v>CTR_761</v>
          </cell>
          <cell r="B20" t="str">
            <v>Nkolbisson-II</v>
          </cell>
          <cell r="C20">
            <v>44506</v>
          </cell>
          <cell r="D20" t="str">
            <v>25 sites</v>
          </cell>
          <cell r="E20" t="str">
            <v>P4</v>
          </cell>
          <cell r="F20" t="str">
            <v>Good Grid + GE</v>
          </cell>
          <cell r="G20" t="str">
            <v>CAMUSAT</v>
          </cell>
        </row>
        <row r="21">
          <cell r="A21" t="str">
            <v>OST_259</v>
          </cell>
          <cell r="B21" t="str">
            <v>Bapa</v>
          </cell>
          <cell r="C21">
            <v>44261</v>
          </cell>
          <cell r="D21" t="str">
            <v>273 sites</v>
          </cell>
          <cell r="E21" t="str">
            <v>P4</v>
          </cell>
          <cell r="F21" t="str">
            <v>Hybrid Solar - S1</v>
          </cell>
          <cell r="G21" t="str">
            <v>CAMUSAT</v>
          </cell>
        </row>
        <row r="22">
          <cell r="A22" t="str">
            <v>CTR_722</v>
          </cell>
          <cell r="B22" t="str">
            <v>Bastos-ART-CAMTEL</v>
          </cell>
          <cell r="C22">
            <v>44484</v>
          </cell>
          <cell r="D22" t="str">
            <v>273 sites</v>
          </cell>
          <cell r="E22" t="str">
            <v>P4</v>
          </cell>
          <cell r="F22" t="str">
            <v>Good Grid + GE</v>
          </cell>
          <cell r="G22" t="str">
            <v>CAMUSAT</v>
          </cell>
        </row>
        <row r="23">
          <cell r="A23" t="str">
            <v>EST_134</v>
          </cell>
          <cell r="B23" t="str">
            <v>Adouma</v>
          </cell>
          <cell r="C23">
            <v>44529</v>
          </cell>
          <cell r="D23" t="str">
            <v>48 sites -2021</v>
          </cell>
          <cell r="E23" t="str">
            <v>P4</v>
          </cell>
          <cell r="F23" t="str">
            <v>Hybrid Solar - S3</v>
          </cell>
          <cell r="G23" t="str">
            <v>CAMUSAT</v>
          </cell>
        </row>
        <row r="24">
          <cell r="A24" t="str">
            <v>OST_243</v>
          </cell>
          <cell r="B24" t="str">
            <v>Batcham</v>
          </cell>
          <cell r="C24">
            <v>44438</v>
          </cell>
          <cell r="D24" t="str">
            <v>273 sites</v>
          </cell>
          <cell r="E24" t="str">
            <v>P4</v>
          </cell>
          <cell r="F24" t="str">
            <v>HGB</v>
          </cell>
          <cell r="G24" t="str">
            <v>CAMUSAT</v>
          </cell>
        </row>
        <row r="25">
          <cell r="A25" t="str">
            <v>OST_273</v>
          </cell>
          <cell r="B25" t="str">
            <v>Bato</v>
          </cell>
          <cell r="C25">
            <v>44271</v>
          </cell>
          <cell r="D25" t="str">
            <v>273 sites</v>
          </cell>
          <cell r="E25" t="str">
            <v>P4</v>
          </cell>
          <cell r="F25" t="str">
            <v>Bad Grid + GE</v>
          </cell>
          <cell r="G25" t="str">
            <v>CAMUSAT</v>
          </cell>
        </row>
        <row r="26">
          <cell r="A26" t="str">
            <v>OST_277</v>
          </cell>
          <cell r="B26" t="str">
            <v>Batoufam-Chefferie</v>
          </cell>
          <cell r="C26">
            <v>44272</v>
          </cell>
          <cell r="D26" t="str">
            <v>273 sites</v>
          </cell>
          <cell r="E26" t="str">
            <v>P4</v>
          </cell>
          <cell r="F26" t="str">
            <v>Good Grid + GE</v>
          </cell>
          <cell r="G26" t="str">
            <v>CAMUSAT</v>
          </cell>
        </row>
        <row r="27">
          <cell r="A27" t="str">
            <v>NRD_174</v>
          </cell>
          <cell r="B27" t="str">
            <v>Gra-Stade-Omnisport Roumde-Adja</v>
          </cell>
          <cell r="D27" t="str">
            <v>25 sites</v>
          </cell>
          <cell r="E27" t="str">
            <v>P4</v>
          </cell>
          <cell r="F27" t="str">
            <v>Good Grid + GE</v>
          </cell>
          <cell r="G27" t="str">
            <v>CAMUSAT</v>
          </cell>
        </row>
        <row r="28">
          <cell r="A28" t="str">
            <v>LIT_645</v>
          </cell>
          <cell r="B28" t="str">
            <v>Bberi-Excellence</v>
          </cell>
          <cell r="C28">
            <v>44440</v>
          </cell>
          <cell r="D28" t="str">
            <v>273 sites</v>
          </cell>
          <cell r="E28" t="str">
            <v>P4</v>
          </cell>
          <cell r="F28" t="str">
            <v>Good Grid no GE - 8h</v>
          </cell>
          <cell r="G28" t="str">
            <v>CAMUSAT</v>
          </cell>
        </row>
        <row r="29">
          <cell r="A29" t="str">
            <v>NRD_180</v>
          </cell>
          <cell r="B29" t="str">
            <v>Tchollire-Centre</v>
          </cell>
          <cell r="C29">
            <v>44399</v>
          </cell>
          <cell r="D29" t="str">
            <v>25 sites</v>
          </cell>
          <cell r="E29" t="str">
            <v>P4</v>
          </cell>
          <cell r="F29" t="str">
            <v>HGB</v>
          </cell>
          <cell r="G29" t="str">
            <v>CAMUSAT</v>
          </cell>
        </row>
        <row r="30">
          <cell r="A30" t="str">
            <v>LIT_649</v>
          </cell>
          <cell r="B30" t="str">
            <v>Bep-Cafrad</v>
          </cell>
          <cell r="C30">
            <v>44313</v>
          </cell>
          <cell r="D30" t="str">
            <v>273 sites</v>
          </cell>
          <cell r="E30" t="str">
            <v>P4</v>
          </cell>
          <cell r="F30" t="str">
            <v>Good Grid no GE - 12h</v>
          </cell>
          <cell r="G30" t="str">
            <v>CAMUSAT</v>
          </cell>
        </row>
        <row r="31">
          <cell r="A31" t="str">
            <v>ADM_159</v>
          </cell>
          <cell r="B31" t="str">
            <v>Bere-Camtel</v>
          </cell>
          <cell r="C31">
            <v>44369</v>
          </cell>
          <cell r="D31" t="str">
            <v>273 sites</v>
          </cell>
          <cell r="E31" t="str">
            <v>P3</v>
          </cell>
          <cell r="F31" t="str">
            <v>Hybrid Solar - S3</v>
          </cell>
          <cell r="G31" t="str">
            <v>CAMUSAT</v>
          </cell>
        </row>
        <row r="32">
          <cell r="A32" t="str">
            <v>ADM_133</v>
          </cell>
          <cell r="B32" t="str">
            <v>Berem-Gop</v>
          </cell>
          <cell r="C32">
            <v>44339</v>
          </cell>
          <cell r="D32" t="str">
            <v>273 sites</v>
          </cell>
          <cell r="E32" t="str">
            <v>P4</v>
          </cell>
          <cell r="F32" t="str">
            <v>Hybrid Solar - S3</v>
          </cell>
          <cell r="G32" t="str">
            <v>CAMUSAT</v>
          </cell>
        </row>
        <row r="33">
          <cell r="A33" t="str">
            <v>EST_120</v>
          </cell>
          <cell r="B33" t="str">
            <v>BERTOUA FORCE TYRE</v>
          </cell>
          <cell r="C33">
            <v>44485</v>
          </cell>
          <cell r="D33" t="str">
            <v>273 sites</v>
          </cell>
          <cell r="E33" t="str">
            <v>P4</v>
          </cell>
          <cell r="F33" t="str">
            <v>Medium Grid + GE</v>
          </cell>
          <cell r="G33" t="str">
            <v>CAMUSAT</v>
          </cell>
        </row>
        <row r="34">
          <cell r="A34" t="str">
            <v>EST_124</v>
          </cell>
          <cell r="B34" t="str">
            <v>BERTOUA METEO II</v>
          </cell>
          <cell r="C34">
            <v>44486</v>
          </cell>
          <cell r="D34" t="str">
            <v>273 sites</v>
          </cell>
          <cell r="E34" t="str">
            <v>P4</v>
          </cell>
          <cell r="F34" t="str">
            <v>Medium Grid + GE</v>
          </cell>
          <cell r="G34" t="str">
            <v>CAMUSAT</v>
          </cell>
        </row>
        <row r="35">
          <cell r="A35" t="str">
            <v>EST_131</v>
          </cell>
          <cell r="B35" t="str">
            <v>Bertoua-Lycee-Technique</v>
          </cell>
          <cell r="C35">
            <v>44346</v>
          </cell>
          <cell r="D35" t="str">
            <v>273 sites</v>
          </cell>
          <cell r="E35" t="str">
            <v>P4</v>
          </cell>
          <cell r="F35" t="str">
            <v>Bad Grid + GE</v>
          </cell>
          <cell r="G35" t="str">
            <v>CAMUSAT</v>
          </cell>
        </row>
        <row r="36">
          <cell r="A36" t="str">
            <v>OST_268</v>
          </cell>
          <cell r="B36" t="str">
            <v>Bfsam-Toungan-Lycee</v>
          </cell>
          <cell r="C36">
            <v>44494</v>
          </cell>
          <cell r="D36" t="str">
            <v>273 sites</v>
          </cell>
          <cell r="E36" t="str">
            <v>P4</v>
          </cell>
          <cell r="F36" t="str">
            <v>Good Grid + GE</v>
          </cell>
          <cell r="G36" t="str">
            <v>CAMUSAT</v>
          </cell>
        </row>
        <row r="37">
          <cell r="A37" t="str">
            <v>CTR_556</v>
          </cell>
          <cell r="B37" t="str">
            <v>BITENG GP</v>
          </cell>
          <cell r="C37">
            <v>44313</v>
          </cell>
          <cell r="D37" t="str">
            <v>273 sites</v>
          </cell>
          <cell r="E37" t="str">
            <v>P4</v>
          </cell>
          <cell r="F37" t="str">
            <v>Good Grid no GE - 8h</v>
          </cell>
          <cell r="G37" t="str">
            <v>CAMUSAT</v>
          </cell>
        </row>
        <row r="38">
          <cell r="A38" t="str">
            <v>CTR_705</v>
          </cell>
          <cell r="B38" t="str">
            <v>Biteng-OKUI</v>
          </cell>
          <cell r="C38">
            <v>44490</v>
          </cell>
          <cell r="D38" t="str">
            <v>273 sites</v>
          </cell>
          <cell r="E38" t="str">
            <v>P4</v>
          </cell>
          <cell r="F38" t="str">
            <v>Medium Grid + GE</v>
          </cell>
          <cell r="G38" t="str">
            <v>CAMUSAT</v>
          </cell>
        </row>
        <row r="39">
          <cell r="A39" t="str">
            <v>LIT_730</v>
          </cell>
          <cell r="B39" t="str">
            <v>Makepe-Conteneur</v>
          </cell>
          <cell r="C39">
            <v>44440</v>
          </cell>
          <cell r="D39" t="str">
            <v>48 sites -2021</v>
          </cell>
          <cell r="E39" t="str">
            <v>P4</v>
          </cell>
          <cell r="F39" t="str">
            <v>Good Grid no GE - 8h</v>
          </cell>
          <cell r="G39" t="str">
            <v>CAMUSAT</v>
          </cell>
        </row>
        <row r="40">
          <cell r="A40" t="str">
            <v>LIT_568</v>
          </cell>
          <cell r="B40" t="str">
            <v>Bobongo-II</v>
          </cell>
          <cell r="C40">
            <v>44152</v>
          </cell>
          <cell r="D40" t="str">
            <v>273 sites</v>
          </cell>
          <cell r="E40" t="str">
            <v>P4</v>
          </cell>
          <cell r="F40" t="str">
            <v>Medium Grid + GE</v>
          </cell>
          <cell r="G40" t="str">
            <v>CAMUSAT</v>
          </cell>
        </row>
        <row r="41">
          <cell r="A41" t="str">
            <v>EXN_191</v>
          </cell>
          <cell r="B41" t="str">
            <v>BOGO MARCHE</v>
          </cell>
          <cell r="C41">
            <v>44441</v>
          </cell>
          <cell r="D41" t="str">
            <v>273 sites</v>
          </cell>
          <cell r="E41" t="str">
            <v>P4</v>
          </cell>
          <cell r="F41" t="str">
            <v>Bad Grid + GE</v>
          </cell>
          <cell r="G41" t="str">
            <v>CAMUSAT</v>
          </cell>
        </row>
        <row r="42">
          <cell r="A42" t="str">
            <v>LIT_564</v>
          </cell>
          <cell r="B42" t="str">
            <v>Bois-des-Singes</v>
          </cell>
          <cell r="C42">
            <v>44286</v>
          </cell>
          <cell r="D42" t="str">
            <v>273 sites</v>
          </cell>
          <cell r="E42" t="str">
            <v>P4</v>
          </cell>
          <cell r="F42" t="str">
            <v>Medium Grid + GE</v>
          </cell>
          <cell r="G42" t="str">
            <v>CAMUSAT</v>
          </cell>
        </row>
        <row r="43">
          <cell r="A43" t="str">
            <v>LIT_610</v>
          </cell>
          <cell r="B43" t="str">
            <v>Bonamoutongo-II</v>
          </cell>
          <cell r="C43">
            <v>44440</v>
          </cell>
          <cell r="D43" t="str">
            <v>273 sites</v>
          </cell>
          <cell r="E43" t="str">
            <v>P4</v>
          </cell>
          <cell r="F43" t="str">
            <v>Good Grid + GE</v>
          </cell>
          <cell r="G43" t="str">
            <v>CAMUSAT</v>
          </cell>
        </row>
        <row r="44">
          <cell r="A44" t="str">
            <v>CTR_838</v>
          </cell>
          <cell r="B44" t="str">
            <v>Afanoya II remplace Zamengoue-II</v>
          </cell>
          <cell r="C44">
            <v>44499</v>
          </cell>
          <cell r="D44" t="str">
            <v>48 sites -2021</v>
          </cell>
          <cell r="E44" t="str">
            <v>P4</v>
          </cell>
          <cell r="F44" t="str">
            <v>Medium Grid + GE</v>
          </cell>
          <cell r="G44" t="str">
            <v>CAMUSAT</v>
          </cell>
        </row>
        <row r="45">
          <cell r="A45" t="str">
            <v>LIT_641</v>
          </cell>
          <cell r="B45" t="str">
            <v>Bonendale-II</v>
          </cell>
          <cell r="C45">
            <v>44440</v>
          </cell>
          <cell r="D45" t="str">
            <v>273 sites</v>
          </cell>
          <cell r="E45" t="str">
            <v>P4</v>
          </cell>
          <cell r="F45" t="str">
            <v>Good Grid + GE</v>
          </cell>
          <cell r="G45" t="str">
            <v>CAMUSAT</v>
          </cell>
        </row>
        <row r="46">
          <cell r="A46" t="str">
            <v>LIT_615</v>
          </cell>
          <cell r="B46" t="str">
            <v>Bonewonda-III</v>
          </cell>
          <cell r="C46">
            <v>44464</v>
          </cell>
          <cell r="D46" t="str">
            <v>273 sites</v>
          </cell>
          <cell r="E46" t="str">
            <v>P4</v>
          </cell>
          <cell r="F46" t="str">
            <v>Good Grid no GE - 8h</v>
          </cell>
          <cell r="G46" t="str">
            <v>CAMUSAT</v>
          </cell>
        </row>
        <row r="47">
          <cell r="A47" t="str">
            <v>CTR_791</v>
          </cell>
          <cell r="B47" t="str">
            <v>Ayene-II</v>
          </cell>
          <cell r="C47">
            <v>44724</v>
          </cell>
          <cell r="D47" t="str">
            <v>OG22</v>
          </cell>
          <cell r="E47" t="str">
            <v>P4</v>
          </cell>
          <cell r="F47" t="str">
            <v>Good Grid no GE - 8h</v>
          </cell>
          <cell r="G47" t="str">
            <v>CAMUSAT</v>
          </cell>
        </row>
        <row r="48">
          <cell r="A48" t="str">
            <v>ADM_162</v>
          </cell>
          <cell r="B48" t="str">
            <v>Borongo</v>
          </cell>
          <cell r="C48">
            <v>44280</v>
          </cell>
          <cell r="D48" t="str">
            <v>273 sites</v>
          </cell>
          <cell r="E48" t="str">
            <v>P4</v>
          </cell>
          <cell r="F48" t="str">
            <v>Bad Grid + GE</v>
          </cell>
          <cell r="G48" t="str">
            <v>CAMUSAT</v>
          </cell>
        </row>
        <row r="49">
          <cell r="A49" t="str">
            <v>NRD_167</v>
          </cell>
          <cell r="B49" t="str">
            <v>Bouba-Ndjida-Park</v>
          </cell>
          <cell r="D49" t="str">
            <v>273 sites</v>
          </cell>
          <cell r="E49" t="str">
            <v>P4</v>
          </cell>
          <cell r="F49" t="str">
            <v>Hybrid Solar - S3</v>
          </cell>
          <cell r="G49" t="str">
            <v>CAMUSAT</v>
          </cell>
        </row>
        <row r="50">
          <cell r="A50" t="str">
            <v>LIT_643</v>
          </cell>
          <cell r="B50" t="str">
            <v>Bsadi-Lycee</v>
          </cell>
          <cell r="C50">
            <v>44222</v>
          </cell>
          <cell r="D50" t="str">
            <v>273 sites</v>
          </cell>
          <cell r="E50" t="str">
            <v>P4</v>
          </cell>
          <cell r="F50" t="str">
            <v>Good Grid no GE - 12h</v>
          </cell>
          <cell r="G50" t="str">
            <v>CAMUSAT</v>
          </cell>
        </row>
        <row r="51">
          <cell r="A51" t="str">
            <v>LIT_616</v>
          </cell>
          <cell r="B51" t="str">
            <v>Bucavoyage</v>
          </cell>
          <cell r="C51">
            <v>44461</v>
          </cell>
          <cell r="D51" t="str">
            <v>273 sites</v>
          </cell>
          <cell r="E51" t="str">
            <v>P4</v>
          </cell>
          <cell r="F51" t="str">
            <v>Good Grid no GE - 8h</v>
          </cell>
          <cell r="G51" t="str">
            <v>CAMUSAT</v>
          </cell>
        </row>
        <row r="52">
          <cell r="A52" t="str">
            <v>CTR_595</v>
          </cell>
          <cell r="B52" t="str">
            <v>CAMP SONEL</v>
          </cell>
          <cell r="C52">
            <v>44316</v>
          </cell>
          <cell r="D52" t="str">
            <v>273 sites</v>
          </cell>
          <cell r="E52" t="str">
            <v>P4</v>
          </cell>
          <cell r="F52" t="str">
            <v>Good Grid no GE - 8h</v>
          </cell>
          <cell r="G52" t="str">
            <v>CAMUSAT</v>
          </cell>
        </row>
        <row r="53">
          <cell r="A53" t="str">
            <v>SUD_085</v>
          </cell>
          <cell r="B53" t="str">
            <v>Campo-Maan</v>
          </cell>
          <cell r="C53">
            <v>44433</v>
          </cell>
          <cell r="D53" t="str">
            <v>273 sites</v>
          </cell>
          <cell r="E53" t="str">
            <v>P4</v>
          </cell>
          <cell r="F53" t="str">
            <v>Hybrid Solar - S3</v>
          </cell>
          <cell r="G53" t="str">
            <v>CAMUSAT</v>
          </cell>
        </row>
        <row r="54">
          <cell r="A54" t="str">
            <v>LIT_656</v>
          </cell>
          <cell r="B54" t="str">
            <v>Cité-Berge-EPC</v>
          </cell>
          <cell r="C54">
            <v>44453</v>
          </cell>
          <cell r="D54" t="str">
            <v>273 sites</v>
          </cell>
          <cell r="E54" t="str">
            <v>P4</v>
          </cell>
          <cell r="F54" t="str">
            <v>Medium Grid + GE</v>
          </cell>
          <cell r="G54" t="str">
            <v>CAMUSAT</v>
          </cell>
        </row>
        <row r="55">
          <cell r="A55" t="str">
            <v>CTR_879</v>
          </cell>
          <cell r="B55" t="str">
            <v>Ba'aba II remplace BIYOUHA</v>
          </cell>
          <cell r="C55">
            <v>44826</v>
          </cell>
          <cell r="D55" t="str">
            <v>OG22</v>
          </cell>
          <cell r="E55" t="str">
            <v>P4</v>
          </cell>
          <cell r="F55" t="str">
            <v>HGB</v>
          </cell>
          <cell r="G55" t="str">
            <v>CAMUSAT</v>
          </cell>
        </row>
        <row r="56">
          <cell r="A56" t="str">
            <v>CTR_579</v>
          </cell>
          <cell r="B56" t="str">
            <v>Cradat</v>
          </cell>
          <cell r="C56">
            <v>44307</v>
          </cell>
          <cell r="D56" t="str">
            <v>273 sites</v>
          </cell>
          <cell r="E56" t="str">
            <v>P4</v>
          </cell>
          <cell r="F56" t="str">
            <v>Good Grid + GE</v>
          </cell>
          <cell r="G56" t="str">
            <v>CAMUSAT</v>
          </cell>
        </row>
        <row r="57">
          <cell r="A57" t="str">
            <v>LIT_651</v>
          </cell>
          <cell r="B57" t="str">
            <v>Deido-Marche</v>
          </cell>
          <cell r="C57">
            <v>44304</v>
          </cell>
          <cell r="D57" t="str">
            <v>273 sites</v>
          </cell>
          <cell r="E57" t="str">
            <v>P4</v>
          </cell>
          <cell r="F57" t="str">
            <v>Good Grid no GE - 12h</v>
          </cell>
          <cell r="G57" t="str">
            <v>CAMUSAT</v>
          </cell>
        </row>
        <row r="58">
          <cell r="A58" t="str">
            <v>LIT_583</v>
          </cell>
          <cell r="B58" t="str">
            <v>Dibamba</v>
          </cell>
          <cell r="C58">
            <v>44232</v>
          </cell>
          <cell r="D58" t="str">
            <v>273 sites</v>
          </cell>
          <cell r="E58" t="str">
            <v>P4</v>
          </cell>
          <cell r="F58" t="str">
            <v>Good Grid + GE</v>
          </cell>
          <cell r="G58" t="str">
            <v>CAMUSAT</v>
          </cell>
        </row>
        <row r="59">
          <cell r="A59" t="str">
            <v>LIT_617</v>
          </cell>
          <cell r="B59" t="str">
            <v>Dibamba-centrale-electrique</v>
          </cell>
          <cell r="C59">
            <v>44245</v>
          </cell>
          <cell r="D59" t="str">
            <v>273 sites</v>
          </cell>
          <cell r="E59" t="str">
            <v>P4</v>
          </cell>
          <cell r="F59" t="str">
            <v>Medium Grid + GE</v>
          </cell>
          <cell r="G59" t="str">
            <v>CAMUSAT</v>
          </cell>
        </row>
        <row r="60">
          <cell r="A60" t="str">
            <v>EXN_196</v>
          </cell>
          <cell r="B60" t="str">
            <v>DIGUIRWO 2</v>
          </cell>
          <cell r="C60">
            <v>44499</v>
          </cell>
          <cell r="D60" t="str">
            <v>273 sites</v>
          </cell>
          <cell r="E60" t="str">
            <v>P4</v>
          </cell>
          <cell r="F60" t="str">
            <v>Good Grid + GE</v>
          </cell>
          <cell r="G60" t="str">
            <v>CAMUSAT</v>
          </cell>
        </row>
        <row r="61">
          <cell r="A61" t="str">
            <v>SUD_041</v>
          </cell>
          <cell r="B61" t="str">
            <v>Ebolowa-Agence-New</v>
          </cell>
          <cell r="C61">
            <v>44286</v>
          </cell>
          <cell r="D61" t="str">
            <v>273 sites</v>
          </cell>
          <cell r="E61" t="str">
            <v>P3</v>
          </cell>
          <cell r="F61" t="str">
            <v>Good Grid + GE</v>
          </cell>
          <cell r="G61" t="str">
            <v>CAMUSAT</v>
          </cell>
        </row>
        <row r="62">
          <cell r="A62" t="str">
            <v>SUD_097</v>
          </cell>
          <cell r="B62" t="str">
            <v>Ebolowa-SIM</v>
          </cell>
          <cell r="C62">
            <v>44286</v>
          </cell>
          <cell r="D62" t="str">
            <v>273 sites</v>
          </cell>
          <cell r="E62" t="str">
            <v>P4</v>
          </cell>
          <cell r="F62" t="str">
            <v>Good Grid + GE</v>
          </cell>
          <cell r="G62" t="str">
            <v>CAMUSAT</v>
          </cell>
        </row>
        <row r="63">
          <cell r="A63" t="str">
            <v>CTR_596</v>
          </cell>
          <cell r="B63" t="str">
            <v>Ebom Maetur</v>
          </cell>
          <cell r="C63">
            <v>44308</v>
          </cell>
          <cell r="D63" t="str">
            <v>273 sites</v>
          </cell>
          <cell r="E63" t="str">
            <v>P4</v>
          </cell>
          <cell r="F63" t="str">
            <v>Good Grid no GE - 8h</v>
          </cell>
          <cell r="G63" t="str">
            <v>CAMUSAT</v>
          </cell>
        </row>
        <row r="64">
          <cell r="A64" t="str">
            <v>CTR_730</v>
          </cell>
          <cell r="B64" t="str">
            <v>Edenville-Stade</v>
          </cell>
          <cell r="C64">
            <v>44440</v>
          </cell>
          <cell r="D64" t="str">
            <v>273 sites</v>
          </cell>
          <cell r="E64" t="str">
            <v>P4</v>
          </cell>
          <cell r="F64" t="str">
            <v>Good Grid + GE</v>
          </cell>
          <cell r="G64" t="str">
            <v>CAMUSAT</v>
          </cell>
        </row>
        <row r="65">
          <cell r="A65" t="str">
            <v>CTR_717</v>
          </cell>
          <cell r="B65" t="str">
            <v>Ekang-I</v>
          </cell>
          <cell r="C65">
            <v>44440</v>
          </cell>
          <cell r="D65" t="str">
            <v>273 sites</v>
          </cell>
          <cell r="E65" t="str">
            <v>P4</v>
          </cell>
          <cell r="F65" t="str">
            <v>Good Grid + GE</v>
          </cell>
          <cell r="G65" t="str">
            <v>CAMUSAT</v>
          </cell>
        </row>
        <row r="66">
          <cell r="A66" t="str">
            <v>CTR_723</v>
          </cell>
          <cell r="B66" t="str">
            <v>Ekombitie-II</v>
          </cell>
          <cell r="C66">
            <v>44405</v>
          </cell>
          <cell r="D66" t="str">
            <v>273 sites</v>
          </cell>
          <cell r="E66" t="str">
            <v>P4</v>
          </cell>
          <cell r="F66" t="str">
            <v>Good Grid + GE</v>
          </cell>
          <cell r="G66" t="str">
            <v>CAMUSAT</v>
          </cell>
        </row>
        <row r="67">
          <cell r="A67" t="str">
            <v>OST_303</v>
          </cell>
          <cell r="B67" t="str">
            <v>Badoumguia</v>
          </cell>
          <cell r="D67" t="str">
            <v>12 sites Ph-2-2021</v>
          </cell>
          <cell r="E67" t="str">
            <v>P4</v>
          </cell>
          <cell r="F67" t="str">
            <v>Hybrid Solar - S3</v>
          </cell>
          <cell r="G67" t="str">
            <v>CAMUSAT</v>
          </cell>
        </row>
        <row r="68">
          <cell r="A68" t="str">
            <v>OST_254</v>
          </cell>
          <cell r="B68" t="str">
            <v>Bafou Dzimezo</v>
          </cell>
          <cell r="D68" t="str">
            <v>OG22</v>
          </cell>
          <cell r="E68" t="str">
            <v>P4</v>
          </cell>
          <cell r="F68" t="str">
            <v>Hybrid Solar - S2</v>
          </cell>
          <cell r="G68" t="str">
            <v>CAMUSAT</v>
          </cell>
        </row>
        <row r="69">
          <cell r="A69" t="str">
            <v>CTR_665</v>
          </cell>
          <cell r="B69" t="str">
            <v>Ekoumdoum 2</v>
          </cell>
          <cell r="C69">
            <v>44203</v>
          </cell>
          <cell r="D69" t="str">
            <v>273 sites</v>
          </cell>
          <cell r="E69" t="str">
            <v>P4</v>
          </cell>
          <cell r="F69" t="str">
            <v>HGB</v>
          </cell>
          <cell r="G69" t="str">
            <v>CAMUSAT</v>
          </cell>
        </row>
        <row r="70">
          <cell r="A70" t="str">
            <v>LIT_696</v>
          </cell>
          <cell r="B70" t="str">
            <v>Ange-Raphael-II</v>
          </cell>
          <cell r="C70">
            <v>44280</v>
          </cell>
          <cell r="D70" t="str">
            <v>25 sites</v>
          </cell>
          <cell r="E70" t="str">
            <v>P4</v>
          </cell>
          <cell r="F70" t="str">
            <v>Good Grid no GE - 8h</v>
          </cell>
          <cell r="G70" t="str">
            <v>CAMUSAT</v>
          </cell>
        </row>
        <row r="71">
          <cell r="A71" t="str">
            <v>CTR_762</v>
          </cell>
          <cell r="B71" t="str">
            <v>Ekoumdoum-Chatel</v>
          </cell>
          <cell r="C71">
            <v>44440</v>
          </cell>
          <cell r="D71" t="str">
            <v>273 sites</v>
          </cell>
          <cell r="E71" t="str">
            <v>P4</v>
          </cell>
          <cell r="F71" t="str">
            <v>Good Grid + GE</v>
          </cell>
          <cell r="G71" t="str">
            <v>CAMUSAT</v>
          </cell>
        </row>
        <row r="72">
          <cell r="A72" t="str">
            <v>CTR_630</v>
          </cell>
          <cell r="B72" t="str">
            <v>Eloumdem</v>
          </cell>
          <cell r="C72">
            <v>44300</v>
          </cell>
          <cell r="D72" t="str">
            <v>273 sites</v>
          </cell>
          <cell r="E72" t="str">
            <v>P4</v>
          </cell>
          <cell r="F72" t="str">
            <v>Good Grid + GE</v>
          </cell>
          <cell r="G72" t="str">
            <v>CAMUSAT</v>
          </cell>
        </row>
        <row r="73">
          <cell r="A73" t="str">
            <v>CTR_749</v>
          </cell>
          <cell r="B73" t="str">
            <v>Essazok</v>
          </cell>
          <cell r="C73">
            <v>44362</v>
          </cell>
          <cell r="D73" t="str">
            <v>273 sites</v>
          </cell>
          <cell r="E73" t="str">
            <v>P4</v>
          </cell>
          <cell r="F73" t="str">
            <v>Hybrid Solar - S3</v>
          </cell>
          <cell r="G73" t="str">
            <v>CAMUSAT</v>
          </cell>
        </row>
        <row r="74">
          <cell r="A74" t="str">
            <v>CTR_721</v>
          </cell>
          <cell r="B74" t="str">
            <v>Etam-Bafia</v>
          </cell>
          <cell r="C74">
            <v>44284</v>
          </cell>
          <cell r="D74" t="str">
            <v>273 sites</v>
          </cell>
          <cell r="E74" t="str">
            <v>P4</v>
          </cell>
          <cell r="F74" t="str">
            <v>Good Grid no GE - 8h</v>
          </cell>
          <cell r="G74" t="str">
            <v>CAMUSAT</v>
          </cell>
        </row>
        <row r="75">
          <cell r="A75" t="str">
            <v>CTR_715</v>
          </cell>
          <cell r="B75" t="str">
            <v>Etoa-Dispensaire</v>
          </cell>
          <cell r="C75">
            <v>44304</v>
          </cell>
          <cell r="D75" t="str">
            <v>273 sites</v>
          </cell>
          <cell r="E75" t="str">
            <v>P4</v>
          </cell>
          <cell r="F75" t="str">
            <v>Bad Grid + GE</v>
          </cell>
          <cell r="G75" t="str">
            <v>CAMUSAT</v>
          </cell>
        </row>
        <row r="76">
          <cell r="A76" t="str">
            <v>OST_291</v>
          </cell>
          <cell r="B76" t="str">
            <v>Bafoussam Tayim II</v>
          </cell>
          <cell r="D76" t="str">
            <v>OG22</v>
          </cell>
          <cell r="E76" t="str">
            <v>P4</v>
          </cell>
          <cell r="F76" t="str">
            <v>Bad Grid + GE</v>
          </cell>
          <cell r="G76" t="str">
            <v>CAMUSAT</v>
          </cell>
        </row>
        <row r="77">
          <cell r="A77" t="str">
            <v>CTR_740</v>
          </cell>
          <cell r="B77" t="str">
            <v>Etoug-Ebe-II</v>
          </cell>
          <cell r="C77">
            <v>44440</v>
          </cell>
          <cell r="D77" t="str">
            <v>273 sites</v>
          </cell>
          <cell r="E77" t="str">
            <v>P4</v>
          </cell>
          <cell r="F77" t="str">
            <v>Good Grid + GE</v>
          </cell>
          <cell r="G77" t="str">
            <v>CAMUSAT</v>
          </cell>
        </row>
        <row r="78">
          <cell r="A78" t="str">
            <v>NRD_153</v>
          </cell>
          <cell r="B78" t="str">
            <v>Foubarka</v>
          </cell>
          <cell r="C78">
            <v>44232</v>
          </cell>
          <cell r="D78" t="str">
            <v>273 sites</v>
          </cell>
          <cell r="E78" t="str">
            <v>P4</v>
          </cell>
          <cell r="F78" t="str">
            <v>Hybrid Solar - S3</v>
          </cell>
          <cell r="G78" t="str">
            <v>CAMUSAT</v>
          </cell>
        </row>
        <row r="79">
          <cell r="A79" t="str">
            <v>OST_235</v>
          </cell>
          <cell r="B79" t="str">
            <v>foumban Camtel 2</v>
          </cell>
          <cell r="C79">
            <v>44441</v>
          </cell>
          <cell r="D79" t="str">
            <v>273 sites</v>
          </cell>
          <cell r="E79" t="str">
            <v>P4</v>
          </cell>
          <cell r="F79" t="str">
            <v>Good Grid + GE</v>
          </cell>
          <cell r="G79" t="str">
            <v>CAMUSAT</v>
          </cell>
        </row>
        <row r="80">
          <cell r="A80" t="str">
            <v>OST_229</v>
          </cell>
          <cell r="B80" t="str">
            <v>foumban njisse3</v>
          </cell>
          <cell r="C80">
            <v>44441</v>
          </cell>
          <cell r="D80" t="str">
            <v>273 sites</v>
          </cell>
          <cell r="E80" t="str">
            <v>P4</v>
          </cell>
          <cell r="F80" t="str">
            <v>HGB</v>
          </cell>
          <cell r="G80" t="str">
            <v>CAMUSAT</v>
          </cell>
        </row>
        <row r="81">
          <cell r="A81" t="str">
            <v>OST_228</v>
          </cell>
          <cell r="B81" t="str">
            <v>Foumbot ndoumben</v>
          </cell>
          <cell r="C81">
            <v>44339</v>
          </cell>
          <cell r="D81" t="str">
            <v>273 sites</v>
          </cell>
          <cell r="E81" t="str">
            <v>P4</v>
          </cell>
          <cell r="F81" t="str">
            <v>Hybrid Solar - S1</v>
          </cell>
          <cell r="G81" t="str">
            <v>CAMUSAT</v>
          </cell>
        </row>
        <row r="82">
          <cell r="A82" t="str">
            <v>LIT_596</v>
          </cell>
          <cell r="B82" t="str">
            <v>Franqueville-New</v>
          </cell>
          <cell r="C82">
            <v>44338</v>
          </cell>
          <cell r="D82" t="str">
            <v>273 sites</v>
          </cell>
          <cell r="E82" t="str">
            <v>P4</v>
          </cell>
          <cell r="F82" t="str">
            <v>Good Grid no GE - 8h</v>
          </cell>
          <cell r="G82" t="str">
            <v>CAMUSAT</v>
          </cell>
        </row>
        <row r="83">
          <cell r="A83" t="str">
            <v>OST_307</v>
          </cell>
          <cell r="B83" t="str">
            <v>Bafoussam-CHR</v>
          </cell>
          <cell r="C83">
            <v>44720</v>
          </cell>
          <cell r="D83" t="str">
            <v>OG22</v>
          </cell>
          <cell r="E83" t="str">
            <v>P4</v>
          </cell>
          <cell r="F83" t="str">
            <v>Medium Grid + GE</v>
          </cell>
          <cell r="G83" t="str">
            <v>CAMUSAT</v>
          </cell>
        </row>
        <row r="84">
          <cell r="A84" t="str">
            <v>OST_282</v>
          </cell>
          <cell r="B84" t="str">
            <v>BAHAM-NGOUGOUM</v>
          </cell>
          <cell r="C84">
            <v>44531</v>
          </cell>
          <cell r="D84" t="str">
            <v>48 sites -2021</v>
          </cell>
          <cell r="E84" t="str">
            <v>P4</v>
          </cell>
          <cell r="F84" t="str">
            <v>Bad Grid + GE</v>
          </cell>
          <cell r="G84" t="str">
            <v>CAMUSAT</v>
          </cell>
        </row>
        <row r="85">
          <cell r="A85" t="str">
            <v>OST_283</v>
          </cell>
          <cell r="B85" t="str">
            <v>Baligam</v>
          </cell>
          <cell r="D85" t="str">
            <v>12 sites Ph-2-2021</v>
          </cell>
          <cell r="E85" t="str">
            <v>P4</v>
          </cell>
          <cell r="F85" t="str">
            <v>Hybrid Solar - S3</v>
          </cell>
          <cell r="G85" t="str">
            <v>CAMUSAT</v>
          </cell>
        </row>
        <row r="86">
          <cell r="A86" t="str">
            <v>NRD_155</v>
          </cell>
          <cell r="B86" t="str">
            <v>Gaba</v>
          </cell>
          <cell r="C86">
            <v>44278</v>
          </cell>
          <cell r="D86" t="str">
            <v>273 sites</v>
          </cell>
          <cell r="E86" t="str">
            <v>P4</v>
          </cell>
          <cell r="F86" t="str">
            <v>Hybrid Solar - S3</v>
          </cell>
          <cell r="G86" t="str">
            <v>CAMUSAT</v>
          </cell>
        </row>
        <row r="87">
          <cell r="A87" t="str">
            <v>EXN_209</v>
          </cell>
          <cell r="B87" t="str">
            <v>Gagadje</v>
          </cell>
          <cell r="C87">
            <v>44356</v>
          </cell>
          <cell r="D87" t="str">
            <v>273 sites</v>
          </cell>
          <cell r="E87" t="str">
            <v>P4</v>
          </cell>
          <cell r="F87" t="str">
            <v>Hybrid Solar - S3</v>
          </cell>
          <cell r="G87" t="str">
            <v>CAMUSAT</v>
          </cell>
        </row>
        <row r="88">
          <cell r="A88" t="str">
            <v>NRO_008</v>
          </cell>
          <cell r="B88" t="str">
            <v>Bamenda-CRTV</v>
          </cell>
          <cell r="D88" t="str">
            <v>Sites tiers</v>
          </cell>
          <cell r="E88" t="str">
            <v>P3</v>
          </cell>
          <cell r="F88" t="str">
            <v>Good Grid + GE</v>
          </cell>
          <cell r="G88" t="str">
            <v>CAMUSAT</v>
          </cell>
        </row>
        <row r="89">
          <cell r="A89" t="str">
            <v>CTR_583</v>
          </cell>
          <cell r="B89" t="str">
            <v>GARAGE JAPONAIS</v>
          </cell>
          <cell r="C89">
            <v>44313</v>
          </cell>
          <cell r="D89" t="str">
            <v>273 sites</v>
          </cell>
          <cell r="E89" t="str">
            <v>P4</v>
          </cell>
          <cell r="F89" t="str">
            <v>Good Grid no GE - 8h</v>
          </cell>
          <cell r="G89" t="str">
            <v>CAMUSAT</v>
          </cell>
        </row>
        <row r="90">
          <cell r="A90" t="str">
            <v>NRD_163</v>
          </cell>
          <cell r="B90" t="str">
            <v>Garoua-Camp-Chinois-II</v>
          </cell>
          <cell r="C90">
            <v>44203</v>
          </cell>
          <cell r="D90" t="str">
            <v>273 sites</v>
          </cell>
          <cell r="E90" t="str">
            <v>P4</v>
          </cell>
          <cell r="F90" t="str">
            <v>Medium Grid + GE</v>
          </cell>
          <cell r="G90" t="str">
            <v>CAMUSAT</v>
          </cell>
        </row>
        <row r="91">
          <cell r="A91" t="str">
            <v>OST_298</v>
          </cell>
          <cell r="B91" t="str">
            <v>Bamendjou-II</v>
          </cell>
          <cell r="C91">
            <v>44527</v>
          </cell>
          <cell r="D91" t="str">
            <v>48 sites -2021</v>
          </cell>
          <cell r="E91" t="str">
            <v>P4</v>
          </cell>
          <cell r="F91" t="str">
            <v>Hybrid Solar - S3</v>
          </cell>
          <cell r="G91" t="str">
            <v>CAMUSAT</v>
          </cell>
        </row>
        <row r="92">
          <cell r="A92" t="str">
            <v>NRD_149</v>
          </cell>
          <cell r="B92" t="str">
            <v>Garoua-Djamboutou-II</v>
          </cell>
          <cell r="C92">
            <v>44440</v>
          </cell>
          <cell r="D92" t="str">
            <v>273 sites</v>
          </cell>
          <cell r="E92" t="str">
            <v>P4</v>
          </cell>
          <cell r="F92" t="str">
            <v>Bad Grid + GE</v>
          </cell>
          <cell r="G92" t="str">
            <v>CAMUSAT</v>
          </cell>
        </row>
        <row r="93">
          <cell r="A93" t="str">
            <v>NRD_139</v>
          </cell>
          <cell r="B93" t="str">
            <v>Garoua-Foulbere-II</v>
          </cell>
          <cell r="C93">
            <v>44472</v>
          </cell>
          <cell r="D93" t="str">
            <v>273 sites</v>
          </cell>
          <cell r="E93" t="str">
            <v>P4</v>
          </cell>
          <cell r="F93" t="str">
            <v>Good Grid + GE</v>
          </cell>
          <cell r="G93" t="str">
            <v>CAMUSAT</v>
          </cell>
        </row>
        <row r="94">
          <cell r="A94" t="str">
            <v>NRD_160</v>
          </cell>
          <cell r="B94" t="str">
            <v>Garoua-Hodango</v>
          </cell>
          <cell r="C94">
            <v>44440</v>
          </cell>
          <cell r="D94" t="str">
            <v>273 sites</v>
          </cell>
          <cell r="E94" t="str">
            <v>P4</v>
          </cell>
          <cell r="F94" t="str">
            <v>Hybrid Solar - S3</v>
          </cell>
          <cell r="G94" t="str">
            <v>CAMUSAT</v>
          </cell>
        </row>
        <row r="95">
          <cell r="A95" t="str">
            <v>OST_276</v>
          </cell>
          <cell r="B95" t="str">
            <v>Bandjoun-Marche-Hiala</v>
          </cell>
          <cell r="C95">
            <v>44516</v>
          </cell>
          <cell r="D95" t="str">
            <v>48 sites -2021</v>
          </cell>
          <cell r="E95" t="str">
            <v>P4</v>
          </cell>
          <cell r="F95" t="str">
            <v>Medium Grid + GE</v>
          </cell>
          <cell r="G95" t="str">
            <v>CAMUSAT</v>
          </cell>
        </row>
        <row r="96">
          <cell r="A96" t="str">
            <v>NRD_141</v>
          </cell>
          <cell r="B96" t="str">
            <v>Garoua-Kolbives-II</v>
          </cell>
          <cell r="C96">
            <v>44194</v>
          </cell>
          <cell r="D96" t="str">
            <v>273 sites</v>
          </cell>
          <cell r="E96" t="str">
            <v>P4</v>
          </cell>
          <cell r="F96" t="str">
            <v>Good Grid + GE</v>
          </cell>
          <cell r="G96" t="str">
            <v>CAMUSAT</v>
          </cell>
        </row>
        <row r="97">
          <cell r="A97" t="str">
            <v>NRD_145</v>
          </cell>
          <cell r="B97" t="str">
            <v>Garoua-Lainde-II</v>
          </cell>
          <cell r="C97">
            <v>44474</v>
          </cell>
          <cell r="D97" t="str">
            <v>273 sites</v>
          </cell>
          <cell r="E97" t="str">
            <v>P4</v>
          </cell>
          <cell r="F97" t="str">
            <v>Good Grid + GE</v>
          </cell>
          <cell r="G97" t="str">
            <v>CAMUSAT</v>
          </cell>
        </row>
        <row r="98">
          <cell r="A98" t="str">
            <v>NRD_142</v>
          </cell>
          <cell r="B98" t="str">
            <v>Garoua-Mairie</v>
          </cell>
          <cell r="C98">
            <v>44203</v>
          </cell>
          <cell r="D98" t="str">
            <v>273 sites</v>
          </cell>
          <cell r="E98" t="str">
            <v>P4</v>
          </cell>
          <cell r="F98" t="str">
            <v>Medium Grid + GE</v>
          </cell>
          <cell r="G98" t="str">
            <v>CAMUSAT</v>
          </cell>
        </row>
        <row r="99">
          <cell r="A99" t="str">
            <v>NRD_158</v>
          </cell>
          <cell r="B99" t="str">
            <v>Garoua-Ngalbidje-II</v>
          </cell>
          <cell r="C99">
            <v>44395</v>
          </cell>
          <cell r="D99" t="str">
            <v>273 sites</v>
          </cell>
          <cell r="E99" t="str">
            <v>P4</v>
          </cell>
          <cell r="F99" t="str">
            <v>Good Grid + Solar + GE</v>
          </cell>
          <cell r="G99" t="str">
            <v>CAMUSAT</v>
          </cell>
        </row>
        <row r="100">
          <cell r="A100" t="str">
            <v>OST_286</v>
          </cell>
          <cell r="B100" t="str">
            <v>Banka</v>
          </cell>
          <cell r="D100" t="str">
            <v>48 sites -2021</v>
          </cell>
          <cell r="E100" t="str">
            <v>P4</v>
          </cell>
          <cell r="F100" t="str">
            <v>Bad Grid + GE</v>
          </cell>
          <cell r="G100" t="str">
            <v>CAMUSAT</v>
          </cell>
        </row>
        <row r="101">
          <cell r="A101" t="str">
            <v>CTR_769</v>
          </cell>
          <cell r="B101" t="str">
            <v>Bastos-Golf</v>
          </cell>
          <cell r="C101">
            <v>44509</v>
          </cell>
          <cell r="D101" t="str">
            <v>25 sites</v>
          </cell>
          <cell r="E101" t="str">
            <v>P4</v>
          </cell>
          <cell r="F101" t="str">
            <v>Good Grid + GE</v>
          </cell>
          <cell r="G101" t="str">
            <v>CAMUSAT</v>
          </cell>
        </row>
        <row r="102">
          <cell r="A102" t="str">
            <v>NRD_146</v>
          </cell>
          <cell r="B102" t="str">
            <v>Garoua-Ouro-Lawan-II</v>
          </cell>
          <cell r="C102">
            <v>44231</v>
          </cell>
          <cell r="D102" t="str">
            <v>273 sites</v>
          </cell>
          <cell r="E102" t="str">
            <v>P4</v>
          </cell>
          <cell r="F102" t="str">
            <v>Hybrid Solar - S3</v>
          </cell>
          <cell r="G102" t="str">
            <v>CAMUSAT</v>
          </cell>
        </row>
        <row r="103">
          <cell r="A103" t="str">
            <v>NRD_138</v>
          </cell>
          <cell r="B103" t="str">
            <v>Garoua-Roumde-Adja-II</v>
          </cell>
          <cell r="C103">
            <v>44203</v>
          </cell>
          <cell r="D103" t="str">
            <v>273 sites</v>
          </cell>
          <cell r="E103" t="str">
            <v>P4</v>
          </cell>
          <cell r="F103" t="str">
            <v>Good Grid + GE</v>
          </cell>
          <cell r="G103" t="str">
            <v>CAMUSAT</v>
          </cell>
        </row>
        <row r="104">
          <cell r="A104" t="str">
            <v>NRD_159</v>
          </cell>
          <cell r="B104" t="str">
            <v>Garoua-Rte-Gashiga</v>
          </cell>
          <cell r="C104">
            <v>44210</v>
          </cell>
          <cell r="D104" t="str">
            <v>273 sites</v>
          </cell>
          <cell r="E104" t="str">
            <v>P4</v>
          </cell>
          <cell r="F104" t="str">
            <v>Bad Grid + Solar + GE</v>
          </cell>
          <cell r="G104" t="str">
            <v>CAMUSAT</v>
          </cell>
        </row>
        <row r="105">
          <cell r="A105" t="str">
            <v>NRD_162</v>
          </cell>
          <cell r="B105" t="str">
            <v>Garoua-Sonayo</v>
          </cell>
          <cell r="C105">
            <v>44206</v>
          </cell>
          <cell r="D105" t="str">
            <v>273 sites</v>
          </cell>
          <cell r="E105" t="str">
            <v>P4</v>
          </cell>
          <cell r="F105" t="str">
            <v>Medium Grid + GE</v>
          </cell>
          <cell r="G105" t="str">
            <v>CAMUSAT</v>
          </cell>
        </row>
        <row r="106">
          <cell r="A106" t="str">
            <v>NRD_143</v>
          </cell>
          <cell r="B106" t="str">
            <v>Garoua-Stade</v>
          </cell>
          <cell r="C106">
            <v>44440</v>
          </cell>
          <cell r="D106" t="str">
            <v>273 sites</v>
          </cell>
          <cell r="E106" t="str">
            <v>P4</v>
          </cell>
          <cell r="F106" t="str">
            <v>Good Grid + GE</v>
          </cell>
          <cell r="G106" t="str">
            <v>CAMUSAT</v>
          </cell>
        </row>
        <row r="107">
          <cell r="A107" t="str">
            <v>EXN_232</v>
          </cell>
          <cell r="B107" t="str">
            <v>Gossi</v>
          </cell>
          <cell r="D107" t="str">
            <v>273 sites</v>
          </cell>
          <cell r="E107" t="str">
            <v>P4</v>
          </cell>
          <cell r="F107" t="str">
            <v>Hybrid Solar - S3</v>
          </cell>
          <cell r="G107" t="str">
            <v>CAMUSAT</v>
          </cell>
        </row>
        <row r="108">
          <cell r="A108" t="str">
            <v>NRD_134</v>
          </cell>
          <cell r="B108" t="str">
            <v>Guider-Sanguere</v>
          </cell>
          <cell r="C108">
            <v>44481</v>
          </cell>
          <cell r="D108" t="str">
            <v>273 sites</v>
          </cell>
          <cell r="E108" t="str">
            <v>P4</v>
          </cell>
          <cell r="F108" t="str">
            <v>Good Grid + GE</v>
          </cell>
          <cell r="G108" t="str">
            <v>CAMUSAT</v>
          </cell>
        </row>
        <row r="109">
          <cell r="A109" t="str">
            <v>NRD_144</v>
          </cell>
          <cell r="B109" t="str">
            <v>GUIDIGUIS VILLE</v>
          </cell>
          <cell r="C109">
            <v>44500</v>
          </cell>
          <cell r="D109" t="str">
            <v>273 sites</v>
          </cell>
          <cell r="E109" t="str">
            <v>P4</v>
          </cell>
          <cell r="F109" t="str">
            <v>Good Grid + GE</v>
          </cell>
          <cell r="G109" t="str">
            <v>CAMUSAT</v>
          </cell>
        </row>
        <row r="110">
          <cell r="A110" t="str">
            <v>LIT_697</v>
          </cell>
          <cell r="B110" t="str">
            <v>Crf-Patrick-Mboma</v>
          </cell>
          <cell r="C110">
            <v>44504</v>
          </cell>
          <cell r="D110" t="str">
            <v>25 sites</v>
          </cell>
          <cell r="E110" t="str">
            <v>P4</v>
          </cell>
          <cell r="F110" t="str">
            <v>Good Grid no GE - 8h</v>
          </cell>
          <cell r="G110" t="str">
            <v>CAMUSAT</v>
          </cell>
        </row>
        <row r="111">
          <cell r="A111" t="str">
            <v>EST_123</v>
          </cell>
          <cell r="B111" t="str">
            <v>GUIWA YANGAMO</v>
          </cell>
          <cell r="C111">
            <v>44431</v>
          </cell>
          <cell r="D111" t="str">
            <v>273 sites</v>
          </cell>
          <cell r="E111" t="str">
            <v>P4</v>
          </cell>
          <cell r="F111" t="str">
            <v>Hybrid Solar - S2</v>
          </cell>
          <cell r="G111" t="str">
            <v>CAMUSAT</v>
          </cell>
        </row>
        <row r="112">
          <cell r="A112" t="str">
            <v>OST_299</v>
          </cell>
          <cell r="B112" t="str">
            <v>Bansoa-II</v>
          </cell>
          <cell r="D112" t="str">
            <v>48 sites -2021</v>
          </cell>
          <cell r="E112" t="str">
            <v>P4</v>
          </cell>
          <cell r="F112" t="str">
            <v>Hybrid Solar - S3</v>
          </cell>
          <cell r="G112" t="str">
            <v>CAMUSAT</v>
          </cell>
        </row>
        <row r="113">
          <cell r="A113" t="str">
            <v>EXN_245</v>
          </cell>
          <cell r="B113" t="str">
            <v>Hougno</v>
          </cell>
          <cell r="C113">
            <v>44464</v>
          </cell>
          <cell r="D113" t="str">
            <v>273 sites</v>
          </cell>
          <cell r="E113" t="str">
            <v>P4</v>
          </cell>
          <cell r="F113" t="str">
            <v>HGB</v>
          </cell>
          <cell r="G113" t="str">
            <v>CAMUSAT</v>
          </cell>
        </row>
        <row r="114">
          <cell r="A114" t="str">
            <v>ADM_006</v>
          </cell>
          <cell r="B114" t="str">
            <v>Banyo</v>
          </cell>
          <cell r="D114" t="str">
            <v>Sites tiers</v>
          </cell>
          <cell r="E114" t="str">
            <v>P3</v>
          </cell>
          <cell r="F114" t="str">
            <v>Bad Grid + GE</v>
          </cell>
          <cell r="G114" t="str">
            <v>CAMUSAT</v>
          </cell>
        </row>
        <row r="115">
          <cell r="A115" t="str">
            <v>EXN_192</v>
          </cell>
          <cell r="B115" t="str">
            <v>KARHAY VILLE</v>
          </cell>
          <cell r="C115">
            <v>44446</v>
          </cell>
          <cell r="D115" t="str">
            <v>273 sites</v>
          </cell>
          <cell r="E115" t="str">
            <v>P4</v>
          </cell>
          <cell r="F115" t="str">
            <v>Bad Grid + GE</v>
          </cell>
          <cell r="G115" t="str">
            <v>CAMUSAT</v>
          </cell>
        </row>
        <row r="116">
          <cell r="A116" t="str">
            <v>EXN_235</v>
          </cell>
          <cell r="B116" t="str">
            <v>Kodek Djarengol</v>
          </cell>
          <cell r="C116">
            <v>44477</v>
          </cell>
          <cell r="D116" t="str">
            <v>273 sites</v>
          </cell>
          <cell r="E116" t="str">
            <v>P4</v>
          </cell>
          <cell r="F116" t="str">
            <v>Bad Grid + GE</v>
          </cell>
          <cell r="G116" t="str">
            <v>CAMUSAT</v>
          </cell>
        </row>
        <row r="117">
          <cell r="A117" t="str">
            <v>ADM_130</v>
          </cell>
          <cell r="B117" t="str">
            <v>Kontcha</v>
          </cell>
          <cell r="C117">
            <v>44344</v>
          </cell>
          <cell r="D117" t="str">
            <v>273 sites</v>
          </cell>
          <cell r="E117" t="str">
            <v>P4</v>
          </cell>
          <cell r="F117" t="str">
            <v>Hybrid Solar - S3</v>
          </cell>
          <cell r="G117" t="str">
            <v>CAMUSAT</v>
          </cell>
        </row>
        <row r="118">
          <cell r="A118" t="str">
            <v>EXN_244</v>
          </cell>
          <cell r="B118" t="str">
            <v>Kosseoua</v>
          </cell>
          <cell r="C118">
            <v>44499</v>
          </cell>
          <cell r="D118" t="str">
            <v>273 sites</v>
          </cell>
          <cell r="E118" t="str">
            <v>P4</v>
          </cell>
          <cell r="F118" t="str">
            <v>HGB</v>
          </cell>
          <cell r="G118" t="str">
            <v>CAMUSAT</v>
          </cell>
        </row>
        <row r="119">
          <cell r="A119" t="str">
            <v>LIT_611</v>
          </cell>
          <cell r="B119" t="str">
            <v>Kotto-Bloc-II</v>
          </cell>
          <cell r="C119">
            <v>44315</v>
          </cell>
          <cell r="D119" t="str">
            <v>273 sites</v>
          </cell>
          <cell r="E119" t="str">
            <v>P4</v>
          </cell>
          <cell r="F119" t="str">
            <v>Good Grid no GE - 8h</v>
          </cell>
          <cell r="G119" t="str">
            <v>CAMUSAT</v>
          </cell>
        </row>
        <row r="120">
          <cell r="A120" t="str">
            <v>EXN_194</v>
          </cell>
          <cell r="B120" t="str">
            <v>KOUSSERI 2</v>
          </cell>
          <cell r="C120">
            <v>44449</v>
          </cell>
          <cell r="D120" t="str">
            <v>273 sites</v>
          </cell>
          <cell r="E120" t="str">
            <v>P4</v>
          </cell>
          <cell r="F120" t="str">
            <v>Bad Grid + GE</v>
          </cell>
          <cell r="G120" t="str">
            <v>CAMUSAT</v>
          </cell>
        </row>
        <row r="121">
          <cell r="A121" t="str">
            <v>EST_005</v>
          </cell>
          <cell r="B121" t="str">
            <v>Batouri</v>
          </cell>
          <cell r="D121" t="str">
            <v>Sites tiers</v>
          </cell>
          <cell r="E121" t="str">
            <v>P3</v>
          </cell>
          <cell r="F121" t="str">
            <v>Bad Grid + Solar + GE</v>
          </cell>
          <cell r="G121" t="str">
            <v>CAMUSAT</v>
          </cell>
        </row>
        <row r="122">
          <cell r="A122" t="str">
            <v>SUD_093</v>
          </cell>
          <cell r="B122" t="str">
            <v>Kribi-Bwambe-II</v>
          </cell>
          <cell r="C122">
            <v>44440</v>
          </cell>
          <cell r="D122" t="str">
            <v>273 sites</v>
          </cell>
          <cell r="E122" t="str">
            <v>P4</v>
          </cell>
          <cell r="F122" t="str">
            <v>Medium Grid + GE</v>
          </cell>
          <cell r="G122" t="str">
            <v>CAMUSAT</v>
          </cell>
        </row>
        <row r="123">
          <cell r="A123" t="str">
            <v>SUD_095</v>
          </cell>
          <cell r="B123" t="str">
            <v>Kribi-Makao</v>
          </cell>
          <cell r="C123">
            <v>44440</v>
          </cell>
          <cell r="D123" t="str">
            <v>273 sites</v>
          </cell>
          <cell r="E123" t="str">
            <v>P4</v>
          </cell>
          <cell r="F123" t="str">
            <v>Good Grid + GE</v>
          </cell>
          <cell r="G123" t="str">
            <v>CAMUSAT</v>
          </cell>
        </row>
        <row r="124">
          <cell r="A124" t="str">
            <v>EST_139</v>
          </cell>
          <cell r="B124" t="str">
            <v>Batouri-Sambo</v>
          </cell>
          <cell r="D124" t="str">
            <v>48 sites -2021</v>
          </cell>
          <cell r="E124" t="str">
            <v>P4</v>
          </cell>
          <cell r="F124" t="str">
            <v>Hybrid Solar - S3</v>
          </cell>
          <cell r="G124" t="str">
            <v>CAMUSAT</v>
          </cell>
        </row>
        <row r="125">
          <cell r="A125" t="str">
            <v>SUD_081</v>
          </cell>
          <cell r="B125" t="str">
            <v>Kribi-Ndjibo</v>
          </cell>
          <cell r="C125">
            <v>44407</v>
          </cell>
          <cell r="D125" t="str">
            <v>273 sites</v>
          </cell>
          <cell r="E125" t="str">
            <v>P4</v>
          </cell>
          <cell r="F125" t="str">
            <v>Good Grid + Solar + GE</v>
          </cell>
          <cell r="G125" t="str">
            <v>CAMUSAT</v>
          </cell>
        </row>
        <row r="126">
          <cell r="A126" t="str">
            <v>SUD_096</v>
          </cell>
          <cell r="B126" t="str">
            <v>Kribi-Ndombe-II</v>
          </cell>
          <cell r="C126">
            <v>44407</v>
          </cell>
          <cell r="D126" t="str">
            <v>273 sites</v>
          </cell>
          <cell r="E126" t="str">
            <v>P4</v>
          </cell>
          <cell r="F126" t="str">
            <v>Good Grid + Solar + GE</v>
          </cell>
          <cell r="G126" t="str">
            <v>CAMUSAT</v>
          </cell>
        </row>
        <row r="127">
          <cell r="A127" t="str">
            <v>SUD_073</v>
          </cell>
          <cell r="B127" t="str">
            <v>KYE-OSSI</v>
          </cell>
          <cell r="C127">
            <v>44430</v>
          </cell>
          <cell r="D127" t="str">
            <v>273 sites</v>
          </cell>
          <cell r="E127" t="str">
            <v>P4</v>
          </cell>
          <cell r="F127" t="str">
            <v>HGB</v>
          </cell>
          <cell r="G127" t="str">
            <v>CAMUSAT</v>
          </cell>
        </row>
        <row r="128">
          <cell r="A128" t="str">
            <v>CTR_667</v>
          </cell>
          <cell r="B128" t="str">
            <v>LADA</v>
          </cell>
          <cell r="C128">
            <v>44407</v>
          </cell>
          <cell r="D128" t="str">
            <v>273 sites</v>
          </cell>
          <cell r="E128" t="str">
            <v>P4</v>
          </cell>
          <cell r="F128" t="str">
            <v>Medium Grid + Solar + GE</v>
          </cell>
          <cell r="G128" t="str">
            <v>CAMUSAT</v>
          </cell>
        </row>
        <row r="129">
          <cell r="A129" t="str">
            <v>LIT_650</v>
          </cell>
          <cell r="B129" t="str">
            <v>Logpom-bylingual-school</v>
          </cell>
          <cell r="C129">
            <v>44280</v>
          </cell>
          <cell r="D129" t="str">
            <v>25 sites</v>
          </cell>
          <cell r="E129" t="str">
            <v>P4</v>
          </cell>
          <cell r="F129" t="str">
            <v>Good Grid no GE - 8h</v>
          </cell>
          <cell r="G129" t="str">
            <v>CAMUSAT</v>
          </cell>
        </row>
        <row r="130">
          <cell r="A130" t="str">
            <v>LIT_695</v>
          </cell>
          <cell r="B130" t="str">
            <v>Mabanda-CIMAF</v>
          </cell>
          <cell r="C130">
            <v>44280</v>
          </cell>
          <cell r="D130" t="str">
            <v>25 sites</v>
          </cell>
          <cell r="E130" t="str">
            <v>P4</v>
          </cell>
          <cell r="F130" t="str">
            <v>Good Grid no GE - 8h</v>
          </cell>
          <cell r="G130" t="str">
            <v>CAMUSAT</v>
          </cell>
        </row>
        <row r="131">
          <cell r="A131" t="str">
            <v>NRD_131</v>
          </cell>
          <cell r="B131" t="str">
            <v>Lagdo-Ville</v>
          </cell>
          <cell r="C131">
            <v>44223</v>
          </cell>
          <cell r="D131" t="str">
            <v>273 sites</v>
          </cell>
          <cell r="E131" t="str">
            <v>P4</v>
          </cell>
          <cell r="F131" t="str">
            <v>Good Grid + GE</v>
          </cell>
          <cell r="G131" t="str">
            <v>CAMUSAT</v>
          </cell>
        </row>
        <row r="132">
          <cell r="A132" t="str">
            <v>LIT_644</v>
          </cell>
          <cell r="B132" t="str">
            <v>Laquintinie-Camtel</v>
          </cell>
          <cell r="C132">
            <v>44222</v>
          </cell>
          <cell r="D132" t="str">
            <v>273 sites</v>
          </cell>
          <cell r="E132" t="str">
            <v>P4</v>
          </cell>
          <cell r="F132" t="str">
            <v>Good Grid no GE - 8h</v>
          </cell>
          <cell r="G132" t="str">
            <v>CAMUSAT</v>
          </cell>
        </row>
        <row r="133">
          <cell r="A133" t="str">
            <v>OST_261</v>
          </cell>
          <cell r="B133" t="str">
            <v>Lemla</v>
          </cell>
          <cell r="C133">
            <v>44432</v>
          </cell>
          <cell r="D133" t="str">
            <v>273 sites</v>
          </cell>
          <cell r="E133" t="str">
            <v>P4</v>
          </cell>
          <cell r="F133" t="str">
            <v>Hybrid Solar - S3</v>
          </cell>
          <cell r="G133" t="str">
            <v>CAMUSAT</v>
          </cell>
        </row>
        <row r="134">
          <cell r="A134" t="str">
            <v>SUD_086</v>
          </cell>
          <cell r="B134" t="str">
            <v>Lende-Kribi</v>
          </cell>
          <cell r="C134">
            <v>44373</v>
          </cell>
          <cell r="D134" t="str">
            <v>273 sites</v>
          </cell>
          <cell r="E134" t="str">
            <v>P4</v>
          </cell>
          <cell r="F134" t="str">
            <v>HGB</v>
          </cell>
          <cell r="G134" t="str">
            <v>CAMUSAT</v>
          </cell>
        </row>
        <row r="135">
          <cell r="A135" t="str">
            <v>LIT_582</v>
          </cell>
          <cell r="B135" t="str">
            <v>Lendi-II</v>
          </cell>
          <cell r="C135">
            <v>44440</v>
          </cell>
          <cell r="D135" t="str">
            <v>273 sites</v>
          </cell>
          <cell r="E135" t="str">
            <v>P4</v>
          </cell>
          <cell r="F135" t="str">
            <v>Good Grid + GE</v>
          </cell>
          <cell r="G135" t="str">
            <v>CAMUSAT</v>
          </cell>
        </row>
        <row r="136">
          <cell r="A136" t="str">
            <v>ADM_149</v>
          </cell>
          <cell r="B136" t="str">
            <v>Libong</v>
          </cell>
          <cell r="C136">
            <v>44342</v>
          </cell>
          <cell r="D136" t="str">
            <v>273 sites</v>
          </cell>
          <cell r="E136" t="str">
            <v>P4</v>
          </cell>
          <cell r="F136" t="str">
            <v>Hybrid Solar - S3</v>
          </cell>
          <cell r="G136" t="str">
            <v>CAMUSAT</v>
          </cell>
        </row>
        <row r="137">
          <cell r="A137" t="str">
            <v>OST_290</v>
          </cell>
          <cell r="B137" t="str">
            <v>Batsa'a</v>
          </cell>
          <cell r="D137" t="str">
            <v>48 sites -2021</v>
          </cell>
          <cell r="E137" t="str">
            <v>P4</v>
          </cell>
          <cell r="F137" t="str">
            <v>Hybrid Solar - S3</v>
          </cell>
          <cell r="G137" t="str">
            <v>CAMUSAT</v>
          </cell>
        </row>
        <row r="138">
          <cell r="A138" t="str">
            <v>LIT_669</v>
          </cell>
          <cell r="B138" t="str">
            <v>Logbessou-II</v>
          </cell>
          <cell r="C138">
            <v>44224</v>
          </cell>
          <cell r="D138" t="str">
            <v>273 sites</v>
          </cell>
          <cell r="E138" t="str">
            <v>P4</v>
          </cell>
          <cell r="F138" t="str">
            <v>Bad Grid + GE</v>
          </cell>
          <cell r="G138" t="str">
            <v>CAMUSAT</v>
          </cell>
        </row>
        <row r="139">
          <cell r="A139" t="str">
            <v>LIT_618</v>
          </cell>
          <cell r="B139" t="str">
            <v>Logpom-Akanji-Immeuble</v>
          </cell>
          <cell r="C139">
            <v>44465</v>
          </cell>
          <cell r="D139" t="str">
            <v>273 sites</v>
          </cell>
          <cell r="E139" t="str">
            <v>P4</v>
          </cell>
          <cell r="F139" t="str">
            <v>Good Grid no GE - 8h</v>
          </cell>
          <cell r="G139" t="str">
            <v>CAMUSAT</v>
          </cell>
        </row>
        <row r="140">
          <cell r="A140" t="str">
            <v>LIT_593</v>
          </cell>
          <cell r="B140" t="str">
            <v>Loum-PHP</v>
          </cell>
          <cell r="C140">
            <v>44482</v>
          </cell>
          <cell r="D140" t="str">
            <v>273 sites</v>
          </cell>
          <cell r="E140" t="str">
            <v>P4</v>
          </cell>
          <cell r="F140" t="str">
            <v>Good Grid + GE</v>
          </cell>
          <cell r="G140" t="str">
            <v>CAMUSAT</v>
          </cell>
        </row>
        <row r="141">
          <cell r="A141" t="str">
            <v>SUD_090</v>
          </cell>
          <cell r="B141" t="str">
            <v>Mabenanga-Kribi</v>
          </cell>
          <cell r="C141">
            <v>44374</v>
          </cell>
          <cell r="D141" t="str">
            <v>273 sites</v>
          </cell>
          <cell r="E141" t="str">
            <v>P4</v>
          </cell>
          <cell r="F141" t="str">
            <v>HGB</v>
          </cell>
          <cell r="G141" t="str">
            <v>CAMUSAT</v>
          </cell>
        </row>
        <row r="142">
          <cell r="A142" t="str">
            <v>NRD_135</v>
          </cell>
          <cell r="B142" t="str">
            <v>MAGA LYCEE</v>
          </cell>
          <cell r="C142">
            <v>44376</v>
          </cell>
          <cell r="D142" t="str">
            <v>273 sites</v>
          </cell>
          <cell r="E142" t="str">
            <v>P4</v>
          </cell>
          <cell r="F142" t="str">
            <v>Bad Grid + Solar + GE</v>
          </cell>
          <cell r="G142" t="str">
            <v>CAMUSAT</v>
          </cell>
        </row>
        <row r="143">
          <cell r="A143" t="str">
            <v>LIT_693</v>
          </cell>
          <cell r="B143" t="str">
            <v>Ndogp-Ecole-Publique</v>
          </cell>
          <cell r="C143">
            <v>44280</v>
          </cell>
          <cell r="D143" t="str">
            <v>25 sites</v>
          </cell>
          <cell r="E143" t="str">
            <v>P4</v>
          </cell>
          <cell r="F143" t="str">
            <v>Good Grid no GE - 8h</v>
          </cell>
          <cell r="G143" t="str">
            <v>CAMUSAT</v>
          </cell>
        </row>
        <row r="144">
          <cell r="A144" t="str">
            <v>EXN_237</v>
          </cell>
          <cell r="B144" t="str">
            <v>Maroua Boulore</v>
          </cell>
          <cell r="C144">
            <v>44377</v>
          </cell>
          <cell r="D144" t="str">
            <v>273 sites</v>
          </cell>
          <cell r="E144" t="str">
            <v>P4</v>
          </cell>
          <cell r="F144" t="str">
            <v>Good Grid + GE</v>
          </cell>
          <cell r="G144" t="str">
            <v>CAMUSAT</v>
          </cell>
        </row>
        <row r="145">
          <cell r="A145" t="str">
            <v>EXN_212</v>
          </cell>
          <cell r="B145" t="str">
            <v>Maroua Douggoy 2</v>
          </cell>
          <cell r="C145">
            <v>44440</v>
          </cell>
          <cell r="D145" t="str">
            <v>273 sites</v>
          </cell>
          <cell r="E145" t="str">
            <v>P4</v>
          </cell>
          <cell r="F145" t="str">
            <v>Medium Grid + GE</v>
          </cell>
          <cell r="G145" t="str">
            <v>CAMUSAT</v>
          </cell>
        </row>
        <row r="146">
          <cell r="A146" t="str">
            <v>EXN_234</v>
          </cell>
          <cell r="B146" t="str">
            <v>Maroua Makabaye</v>
          </cell>
          <cell r="C146">
            <v>44440</v>
          </cell>
          <cell r="D146" t="str">
            <v>273 sites</v>
          </cell>
          <cell r="E146" t="str">
            <v>P4</v>
          </cell>
          <cell r="F146" t="str">
            <v>Bad Grid + GE</v>
          </cell>
          <cell r="G146" t="str">
            <v>CAMUSAT</v>
          </cell>
        </row>
        <row r="147">
          <cell r="A147" t="str">
            <v>CTR_771</v>
          </cell>
          <cell r="B147" t="str">
            <v>Nkolmesseng-H-Pyramides</v>
          </cell>
          <cell r="D147" t="str">
            <v>25 sites</v>
          </cell>
          <cell r="E147" t="str">
            <v>P4</v>
          </cell>
          <cell r="F147" t="str">
            <v>Good Grid no GE - 8h</v>
          </cell>
          <cell r="G147" t="str">
            <v>CAMUSAT</v>
          </cell>
        </row>
        <row r="148">
          <cell r="A148" t="str">
            <v>EXN_233</v>
          </cell>
          <cell r="B148" t="str">
            <v>Maroua Meskine</v>
          </cell>
          <cell r="C148">
            <v>44377</v>
          </cell>
          <cell r="D148" t="str">
            <v>273 sites</v>
          </cell>
          <cell r="E148" t="str">
            <v>P4</v>
          </cell>
          <cell r="F148" t="str">
            <v>Bad Grid + GE</v>
          </cell>
          <cell r="G148" t="str">
            <v>CAMUSAT</v>
          </cell>
        </row>
        <row r="149">
          <cell r="A149" t="str">
            <v>EXN_215</v>
          </cell>
          <cell r="B149" t="str">
            <v>Mazavou</v>
          </cell>
          <cell r="D149" t="str">
            <v>273 sites</v>
          </cell>
          <cell r="E149" t="str">
            <v>P4</v>
          </cell>
          <cell r="F149" t="str">
            <v>Hybrid Solar - S3</v>
          </cell>
          <cell r="G149" t="str">
            <v>CAMUSAT</v>
          </cell>
        </row>
        <row r="150">
          <cell r="A150" t="str">
            <v>ADM_161</v>
          </cell>
          <cell r="B150" t="str">
            <v>Mbaka</v>
          </cell>
          <cell r="C150">
            <v>44463</v>
          </cell>
          <cell r="D150" t="str">
            <v>273 sites</v>
          </cell>
          <cell r="E150" t="str">
            <v>P4</v>
          </cell>
          <cell r="F150" t="str">
            <v>Hybrid Solar - S3</v>
          </cell>
          <cell r="G150" t="str">
            <v>CAMUSAT</v>
          </cell>
        </row>
        <row r="151">
          <cell r="A151" t="str">
            <v>ADM_163</v>
          </cell>
          <cell r="B151" t="str">
            <v>Mbamti-Katarko</v>
          </cell>
          <cell r="C151">
            <v>44436</v>
          </cell>
          <cell r="D151" t="str">
            <v>273 sites</v>
          </cell>
          <cell r="E151" t="str">
            <v>P4</v>
          </cell>
          <cell r="F151" t="str">
            <v>HGB</v>
          </cell>
          <cell r="G151" t="str">
            <v>CAMUSAT</v>
          </cell>
        </row>
        <row r="152">
          <cell r="A152" t="str">
            <v>CTR_680</v>
          </cell>
          <cell r="B152" t="str">
            <v>MBANKOLO CAMTEL II</v>
          </cell>
          <cell r="C152">
            <v>44195</v>
          </cell>
          <cell r="D152" t="str">
            <v>273 sites</v>
          </cell>
          <cell r="E152" t="str">
            <v>P4</v>
          </cell>
          <cell r="F152" t="str">
            <v>Good Grid + GE</v>
          </cell>
          <cell r="G152" t="str">
            <v>CAMUSAT</v>
          </cell>
        </row>
        <row r="153">
          <cell r="A153" t="str">
            <v>CTR_710</v>
          </cell>
          <cell r="B153" t="str">
            <v>Mbankomo-Dajoll</v>
          </cell>
          <cell r="C153">
            <v>44282</v>
          </cell>
          <cell r="D153" t="str">
            <v>273 sites</v>
          </cell>
          <cell r="E153" t="str">
            <v>P4</v>
          </cell>
          <cell r="F153" t="str">
            <v>Good Grid + GE</v>
          </cell>
          <cell r="G153" t="str">
            <v>CAMUSAT</v>
          </cell>
        </row>
        <row r="154">
          <cell r="A154" t="str">
            <v>OST_238</v>
          </cell>
          <cell r="B154" t="str">
            <v>Megom</v>
          </cell>
          <cell r="C154">
            <v>44203</v>
          </cell>
          <cell r="D154" t="str">
            <v>273 sites</v>
          </cell>
          <cell r="E154" t="str">
            <v>P4</v>
          </cell>
          <cell r="F154" t="str">
            <v>Good Grid no GE - 8h</v>
          </cell>
          <cell r="G154" t="str">
            <v>CAMUSAT</v>
          </cell>
        </row>
        <row r="155">
          <cell r="A155" t="str">
            <v>CTR_763</v>
          </cell>
          <cell r="B155" t="str">
            <v>Mehandan</v>
          </cell>
          <cell r="C155">
            <v>44480</v>
          </cell>
          <cell r="D155" t="str">
            <v>273 sites</v>
          </cell>
          <cell r="E155" t="str">
            <v>P4</v>
          </cell>
          <cell r="F155" t="str">
            <v>Good Grid + GE</v>
          </cell>
          <cell r="G155" t="str">
            <v>CAMUSAT</v>
          </cell>
        </row>
        <row r="156">
          <cell r="A156" t="str">
            <v>CTR_713</v>
          </cell>
          <cell r="B156" t="str">
            <v>Mendong-Village</v>
          </cell>
          <cell r="C156">
            <v>44440</v>
          </cell>
          <cell r="D156" t="str">
            <v>273 sites</v>
          </cell>
          <cell r="E156" t="str">
            <v>P4</v>
          </cell>
          <cell r="F156" t="str">
            <v>Good Grid + GE</v>
          </cell>
          <cell r="G156" t="str">
            <v>CAMUSAT</v>
          </cell>
        </row>
        <row r="157">
          <cell r="A157" t="str">
            <v>CTR_878_</v>
          </cell>
          <cell r="B157" t="str">
            <v>BEAC-indoor</v>
          </cell>
          <cell r="D157" t="str">
            <v>OG22</v>
          </cell>
          <cell r="E157" t="str">
            <v>P4</v>
          </cell>
          <cell r="F157" t="str">
            <v>Good Grid no GE - 8h</v>
          </cell>
          <cell r="G157" t="str">
            <v>CAMUSAT</v>
          </cell>
        </row>
        <row r="158">
          <cell r="A158" t="str">
            <v>CTR_878</v>
          </cell>
          <cell r="B158" t="str">
            <v>BEAC-outdoor</v>
          </cell>
          <cell r="D158" t="str">
            <v>OG22</v>
          </cell>
          <cell r="E158" t="str">
            <v>P4</v>
          </cell>
          <cell r="F158" t="str">
            <v>Good Grid no GE - 8h</v>
          </cell>
          <cell r="G158" t="str">
            <v>CAMUSAT</v>
          </cell>
        </row>
        <row r="159">
          <cell r="A159" t="str">
            <v>ADM_172</v>
          </cell>
          <cell r="B159" t="str">
            <v>Beka-Hossere-II</v>
          </cell>
          <cell r="D159" t="str">
            <v>48 sites -2021</v>
          </cell>
          <cell r="E159" t="str">
            <v>P4</v>
          </cell>
          <cell r="F159" t="str">
            <v>Hybrid Solar - S3</v>
          </cell>
          <cell r="G159" t="str">
            <v>CAMUSAT</v>
          </cell>
        </row>
        <row r="160">
          <cell r="A160" t="str">
            <v>CTR_653</v>
          </cell>
          <cell r="B160" t="str">
            <v>Mfou-Entree</v>
          </cell>
          <cell r="C160">
            <v>44406</v>
          </cell>
          <cell r="D160" t="str">
            <v>273 sites</v>
          </cell>
          <cell r="E160" t="str">
            <v>P4</v>
          </cell>
          <cell r="F160" t="str">
            <v>Hybrid Solar - S1</v>
          </cell>
          <cell r="G160" t="str">
            <v>CAMUSAT</v>
          </cell>
        </row>
        <row r="161">
          <cell r="A161" t="str">
            <v>SUD_099</v>
          </cell>
          <cell r="B161" t="str">
            <v>Mimbo</v>
          </cell>
          <cell r="C161">
            <v>44438</v>
          </cell>
          <cell r="D161" t="str">
            <v>273 sites</v>
          </cell>
          <cell r="E161" t="str">
            <v>P4</v>
          </cell>
          <cell r="F161" t="str">
            <v>HGB</v>
          </cell>
          <cell r="G161" t="str">
            <v>CAMUSAT</v>
          </cell>
        </row>
        <row r="162">
          <cell r="A162" t="str">
            <v>CTR_654</v>
          </cell>
          <cell r="B162" t="str">
            <v>MIMBOMAN DON BOSCO</v>
          </cell>
          <cell r="C162">
            <v>44321</v>
          </cell>
          <cell r="D162" t="str">
            <v>273 sites</v>
          </cell>
          <cell r="E162" t="str">
            <v>P4</v>
          </cell>
          <cell r="F162" t="str">
            <v>Good Grid no GE - 8h</v>
          </cell>
          <cell r="G162" t="str">
            <v>CAMUSAT</v>
          </cell>
        </row>
        <row r="163">
          <cell r="A163" t="str">
            <v>CTR_772</v>
          </cell>
          <cell r="B163" t="str">
            <v>Mimboman-Chapelle</v>
          </cell>
          <cell r="C163">
            <v>44279</v>
          </cell>
          <cell r="D163" t="str">
            <v>273 sites</v>
          </cell>
          <cell r="E163" t="str">
            <v>P4</v>
          </cell>
          <cell r="F163" t="str">
            <v>Good Grid no GE - 8h</v>
          </cell>
          <cell r="G163" t="str">
            <v>CAMUSAT</v>
          </cell>
        </row>
        <row r="164">
          <cell r="A164" t="str">
            <v>EST_004</v>
          </cell>
          <cell r="B164" t="str">
            <v>BERTOUA CRTV</v>
          </cell>
          <cell r="C164">
            <v>44519</v>
          </cell>
          <cell r="D164" t="str">
            <v>Sites tiers</v>
          </cell>
          <cell r="E164" t="str">
            <v>P4</v>
          </cell>
          <cell r="F164" t="str">
            <v>Medium Grid + GE</v>
          </cell>
          <cell r="G164" t="str">
            <v>CAMUSAT</v>
          </cell>
        </row>
        <row r="165">
          <cell r="A165" t="str">
            <v>CTR_646</v>
          </cell>
          <cell r="B165" t="str">
            <v>Minkan-Nord</v>
          </cell>
          <cell r="C165">
            <v>44440</v>
          </cell>
          <cell r="D165" t="str">
            <v>273 sites</v>
          </cell>
          <cell r="E165" t="str">
            <v>P4</v>
          </cell>
          <cell r="F165" t="str">
            <v>Good Grid + GE</v>
          </cell>
          <cell r="G165" t="str">
            <v>CAMUSAT</v>
          </cell>
        </row>
        <row r="166">
          <cell r="A166" t="str">
            <v>EXN_238</v>
          </cell>
          <cell r="B166" t="str">
            <v>Mora Kourgui</v>
          </cell>
          <cell r="C166">
            <v>44377</v>
          </cell>
          <cell r="D166" t="str">
            <v>273 sites</v>
          </cell>
          <cell r="E166" t="str">
            <v>P4</v>
          </cell>
          <cell r="F166" t="str">
            <v>Bad Grid + Solar + GE</v>
          </cell>
          <cell r="G166" t="str">
            <v>CAMUSAT</v>
          </cell>
        </row>
        <row r="167">
          <cell r="A167" t="str">
            <v>CTR_668</v>
          </cell>
          <cell r="B167" t="str">
            <v>MVOG EBANDA</v>
          </cell>
          <cell r="C167">
            <v>44375</v>
          </cell>
          <cell r="D167" t="str">
            <v>273 sites</v>
          </cell>
          <cell r="E167" t="str">
            <v>P4</v>
          </cell>
          <cell r="F167" t="str">
            <v>Good Grid + Solar + GE</v>
          </cell>
          <cell r="G167" t="str">
            <v>CAMUSAT</v>
          </cell>
        </row>
        <row r="168">
          <cell r="A168" t="str">
            <v>CTR_453</v>
          </cell>
          <cell r="B168" t="str">
            <v>Binguela</v>
          </cell>
          <cell r="D168" t="str">
            <v>Sites tiers</v>
          </cell>
          <cell r="E168" t="str">
            <v>P4</v>
          </cell>
          <cell r="F168" t="str">
            <v>Hybrid Solar - S1</v>
          </cell>
          <cell r="G168" t="str">
            <v>CAMUSAT</v>
          </cell>
        </row>
        <row r="169">
          <cell r="A169" t="str">
            <v>CTR_794</v>
          </cell>
          <cell r="B169" t="str">
            <v>Bitotol-Ecole-publique</v>
          </cell>
          <cell r="D169" t="str">
            <v>OG22</v>
          </cell>
          <cell r="E169" t="str">
            <v>P4</v>
          </cell>
          <cell r="F169" t="str">
            <v>Good Grid no GE - 8h</v>
          </cell>
          <cell r="G169" t="str">
            <v>CAMUSAT</v>
          </cell>
        </row>
        <row r="170">
          <cell r="A170" t="str">
            <v>CTR_738</v>
          </cell>
          <cell r="B170" t="str">
            <v>Mvog-Awae</v>
          </cell>
          <cell r="C170">
            <v>44440</v>
          </cell>
          <cell r="D170" t="str">
            <v>273 sites</v>
          </cell>
          <cell r="E170" t="str">
            <v>P4</v>
          </cell>
          <cell r="F170" t="str">
            <v>Good Grid + GE</v>
          </cell>
          <cell r="G170" t="str">
            <v>CAMUSAT</v>
          </cell>
        </row>
        <row r="171">
          <cell r="A171" t="str">
            <v>CTR_669</v>
          </cell>
          <cell r="B171" t="str">
            <v>Mvog-Manga 2</v>
          </cell>
          <cell r="C171">
            <v>44308</v>
          </cell>
          <cell r="D171" t="str">
            <v>273 sites</v>
          </cell>
          <cell r="E171" t="str">
            <v>P4</v>
          </cell>
          <cell r="F171" t="str">
            <v>Good Grid no GE - 12h</v>
          </cell>
          <cell r="G171" t="str">
            <v>CAMUSAT</v>
          </cell>
        </row>
        <row r="172">
          <cell r="A172" t="str">
            <v>CTR_739</v>
          </cell>
          <cell r="B172" t="str">
            <v>Mvog-Manga-III</v>
          </cell>
          <cell r="C172">
            <v>44377</v>
          </cell>
          <cell r="D172" t="str">
            <v>273 sites</v>
          </cell>
          <cell r="E172" t="str">
            <v>P4</v>
          </cell>
          <cell r="F172" t="str">
            <v>Medium Grid + GE</v>
          </cell>
          <cell r="G172" t="str">
            <v>CAMUSAT</v>
          </cell>
        </row>
        <row r="173">
          <cell r="A173" t="str">
            <v>NRD_157</v>
          </cell>
          <cell r="B173" t="str">
            <v>Nakong</v>
          </cell>
          <cell r="C173">
            <v>44212</v>
          </cell>
          <cell r="D173" t="str">
            <v>273 sites</v>
          </cell>
          <cell r="E173" t="str">
            <v>P4</v>
          </cell>
          <cell r="F173" t="str">
            <v>Bad Grid + Solar + GE</v>
          </cell>
          <cell r="G173" t="str">
            <v>CAMUSAT</v>
          </cell>
        </row>
        <row r="174">
          <cell r="A174" t="str">
            <v>CTR_181</v>
          </cell>
          <cell r="B174" t="str">
            <v>NANGA EBOKO CRTV</v>
          </cell>
          <cell r="C174">
            <v>44518</v>
          </cell>
          <cell r="D174" t="str">
            <v>273 sites</v>
          </cell>
          <cell r="E174" t="str">
            <v>P3</v>
          </cell>
          <cell r="F174" t="str">
            <v>Bad Grid + GE</v>
          </cell>
          <cell r="G174" t="str">
            <v>CAMUSAT</v>
          </cell>
        </row>
        <row r="175">
          <cell r="A175" t="str">
            <v>NRD_147</v>
          </cell>
          <cell r="B175" t="str">
            <v>Nassarao-II</v>
          </cell>
          <cell r="C175">
            <v>44467</v>
          </cell>
          <cell r="D175" t="str">
            <v>273 sites</v>
          </cell>
          <cell r="E175" t="str">
            <v>P4</v>
          </cell>
          <cell r="F175" t="str">
            <v>Good Grid + GE</v>
          </cell>
          <cell r="G175" t="str">
            <v>CAMUSAT</v>
          </cell>
        </row>
        <row r="176">
          <cell r="A176" t="str">
            <v>NRD_154</v>
          </cell>
          <cell r="B176" t="str">
            <v>Ndiam-badji</v>
          </cell>
          <cell r="C176">
            <v>44261</v>
          </cell>
          <cell r="D176" t="str">
            <v>273 sites</v>
          </cell>
          <cell r="E176" t="str">
            <v>P4</v>
          </cell>
          <cell r="F176" t="str">
            <v>Hybrid Solar - S3</v>
          </cell>
          <cell r="G176" t="str">
            <v>CAMUSAT</v>
          </cell>
        </row>
        <row r="177">
          <cell r="A177" t="str">
            <v>LIT_671</v>
          </cell>
          <cell r="B177" t="str">
            <v>Ndogbong Bifaka</v>
          </cell>
          <cell r="C177">
            <v>44345</v>
          </cell>
          <cell r="D177" t="str">
            <v>273 sites</v>
          </cell>
          <cell r="E177" t="str">
            <v>P4</v>
          </cell>
          <cell r="F177" t="str">
            <v>Good Grid no GE - 8h</v>
          </cell>
          <cell r="G177" t="str">
            <v>CAMUSAT</v>
          </cell>
        </row>
        <row r="178">
          <cell r="A178" t="str">
            <v>EST_143</v>
          </cell>
          <cell r="B178" t="str">
            <v>Bertoua-Camtel</v>
          </cell>
          <cell r="C178">
            <v>44527</v>
          </cell>
          <cell r="D178" t="str">
            <v>25 sites</v>
          </cell>
          <cell r="E178" t="str">
            <v>P4</v>
          </cell>
          <cell r="F178" t="str">
            <v>Medium Grid + GE</v>
          </cell>
          <cell r="G178" t="str">
            <v>CAMUSAT</v>
          </cell>
        </row>
        <row r="179">
          <cell r="A179" t="str">
            <v>LIT_718</v>
          </cell>
          <cell r="B179" t="str">
            <v>Bonamoutongo-III</v>
          </cell>
          <cell r="D179" t="str">
            <v>48 sites -2021</v>
          </cell>
          <cell r="E179" t="str">
            <v>P4</v>
          </cell>
          <cell r="F179" t="str">
            <v>Good Grid no GE - 8h</v>
          </cell>
          <cell r="G179" t="str">
            <v>CAMUSAT</v>
          </cell>
        </row>
        <row r="180">
          <cell r="A180" t="str">
            <v>ADM_151</v>
          </cell>
          <cell r="B180" t="str">
            <v>Ngd-Bamyangal-Rural</v>
          </cell>
          <cell r="C180">
            <v>44438</v>
          </cell>
          <cell r="D180" t="str">
            <v>273 sites</v>
          </cell>
          <cell r="E180" t="str">
            <v>P4</v>
          </cell>
          <cell r="F180" t="str">
            <v>Good Grid + Solar + GE</v>
          </cell>
          <cell r="G180" t="str">
            <v>CAMUSAT</v>
          </cell>
        </row>
        <row r="181">
          <cell r="A181" t="str">
            <v>CTR_774</v>
          </cell>
          <cell r="B181" t="str">
            <v>Bong-assi</v>
          </cell>
          <cell r="C181">
            <v>44526</v>
          </cell>
          <cell r="D181" t="str">
            <v>48 sites -2021</v>
          </cell>
          <cell r="E181" t="str">
            <v>P4</v>
          </cell>
          <cell r="F181" t="str">
            <v>Hybrid Solar - S3</v>
          </cell>
          <cell r="G181" t="str">
            <v>CAMUSAT</v>
          </cell>
        </row>
        <row r="182">
          <cell r="A182" t="str">
            <v>ADM_147</v>
          </cell>
          <cell r="B182" t="str">
            <v>Ngd-Burkina-Rural</v>
          </cell>
          <cell r="C182">
            <v>44425</v>
          </cell>
          <cell r="D182" t="str">
            <v>273 sites</v>
          </cell>
          <cell r="E182" t="str">
            <v>P4</v>
          </cell>
          <cell r="F182" t="str">
            <v>Hybrid Solar - S3</v>
          </cell>
          <cell r="G182" t="str">
            <v>CAMUSAT</v>
          </cell>
        </row>
        <row r="183">
          <cell r="A183" t="str">
            <v>OST_306</v>
          </cell>
          <cell r="B183" t="str">
            <v>BTS mobile Tagidor</v>
          </cell>
          <cell r="D183" t="str">
            <v>OG22</v>
          </cell>
          <cell r="E183" t="str">
            <v>P4</v>
          </cell>
          <cell r="F183" t="str">
            <v>Medium Grid + GE</v>
          </cell>
          <cell r="G183" t="str">
            <v>CAMUSAT</v>
          </cell>
        </row>
        <row r="184">
          <cell r="A184" t="str">
            <v>ADM_165</v>
          </cell>
          <cell r="B184" t="str">
            <v>Ngd-Mballam</v>
          </cell>
          <cell r="C184">
            <v>44427</v>
          </cell>
          <cell r="D184" t="str">
            <v>273 sites</v>
          </cell>
          <cell r="E184" t="str">
            <v>P4</v>
          </cell>
          <cell r="F184" t="str">
            <v>Hybrid Solar - S1</v>
          </cell>
          <cell r="G184" t="str">
            <v>CAMUSAT</v>
          </cell>
        </row>
        <row r="185">
          <cell r="A185" t="str">
            <v>ADM_166</v>
          </cell>
          <cell r="B185" t="str">
            <v>Ngd-Mbiassoro</v>
          </cell>
          <cell r="C185">
            <v>44337</v>
          </cell>
          <cell r="D185" t="str">
            <v>273 sites</v>
          </cell>
          <cell r="E185" t="str">
            <v>P4</v>
          </cell>
          <cell r="F185" t="str">
            <v>Hybrid Solar - S3</v>
          </cell>
          <cell r="G185" t="str">
            <v>CAMUSAT</v>
          </cell>
        </row>
        <row r="186">
          <cell r="A186" t="str">
            <v>LIT_626</v>
          </cell>
          <cell r="B186" t="str">
            <v>Ngodi-Cité</v>
          </cell>
          <cell r="C186">
            <v>44308</v>
          </cell>
          <cell r="D186" t="str">
            <v>273 sites</v>
          </cell>
          <cell r="E186" t="str">
            <v>P4</v>
          </cell>
          <cell r="F186" t="str">
            <v>Good Grid no GE - 8h</v>
          </cell>
          <cell r="G186" t="str">
            <v>CAMUSAT</v>
          </cell>
        </row>
        <row r="187">
          <cell r="A187" t="str">
            <v>CTR_709</v>
          </cell>
          <cell r="B187" t="str">
            <v>Ngona-II</v>
          </cell>
          <cell r="C187">
            <v>44405</v>
          </cell>
          <cell r="D187" t="str">
            <v>273 sites</v>
          </cell>
          <cell r="E187" t="str">
            <v>P4</v>
          </cell>
          <cell r="F187" t="str">
            <v>Good Grid + GE</v>
          </cell>
          <cell r="G187" t="str">
            <v>CAMUSAT</v>
          </cell>
        </row>
        <row r="188">
          <cell r="A188" t="str">
            <v>NRD_132</v>
          </cell>
          <cell r="B188" t="str">
            <v>Ngong-Marche</v>
          </cell>
          <cell r="C188">
            <v>44479</v>
          </cell>
          <cell r="D188" t="str">
            <v>273 sites</v>
          </cell>
          <cell r="E188" t="str">
            <v>P4</v>
          </cell>
          <cell r="F188" t="str">
            <v>Good Grid + GE</v>
          </cell>
          <cell r="G188" t="str">
            <v>CAMUSAT</v>
          </cell>
        </row>
        <row r="189">
          <cell r="A189" t="str">
            <v>LIT_585</v>
          </cell>
          <cell r="B189" t="str">
            <v>NGO-NJO-II</v>
          </cell>
          <cell r="C189">
            <v>44307</v>
          </cell>
          <cell r="D189" t="str">
            <v>273 sites</v>
          </cell>
          <cell r="E189" t="str">
            <v>P4</v>
          </cell>
          <cell r="F189" t="str">
            <v>Good Grid + GE</v>
          </cell>
          <cell r="G189" t="str">
            <v>CAMUSAT</v>
          </cell>
        </row>
        <row r="190">
          <cell r="A190" t="str">
            <v>CTR_577</v>
          </cell>
          <cell r="B190" t="str">
            <v>Ngoumou 1</v>
          </cell>
          <cell r="C190">
            <v>44331</v>
          </cell>
          <cell r="D190" t="str">
            <v>273 sites</v>
          </cell>
          <cell r="E190" t="str">
            <v>P4</v>
          </cell>
          <cell r="F190" t="str">
            <v>Bad Grid + GE</v>
          </cell>
          <cell r="G190" t="str">
            <v>CAMUSAT</v>
          </cell>
        </row>
        <row r="191">
          <cell r="A191" t="str">
            <v>CTR_567</v>
          </cell>
          <cell r="B191" t="str">
            <v>NGOUSSO MAETUR</v>
          </cell>
          <cell r="C191">
            <v>44366</v>
          </cell>
          <cell r="D191" t="str">
            <v>273 sites</v>
          </cell>
          <cell r="E191" t="str">
            <v>P4</v>
          </cell>
          <cell r="F191" t="str">
            <v>Good Grid no GE - 8h</v>
          </cell>
          <cell r="G191" t="str">
            <v>CAMUSAT</v>
          </cell>
        </row>
        <row r="192">
          <cell r="A192" t="str">
            <v>LIT_658</v>
          </cell>
          <cell r="B192" t="str">
            <v>Nkeng-Likok II</v>
          </cell>
          <cell r="C192">
            <v>44407</v>
          </cell>
          <cell r="D192" t="str">
            <v>273 sites</v>
          </cell>
          <cell r="E192" t="str">
            <v>P4</v>
          </cell>
          <cell r="F192" t="str">
            <v>Hybrid Solar - S3</v>
          </cell>
          <cell r="G192" t="str">
            <v>CAMUSAT</v>
          </cell>
        </row>
        <row r="193">
          <cell r="A193" t="str">
            <v>CTR_708</v>
          </cell>
          <cell r="B193" t="str">
            <v>Nkoabang_Nord</v>
          </cell>
          <cell r="C193">
            <v>44404</v>
          </cell>
          <cell r="D193" t="str">
            <v>273 sites</v>
          </cell>
          <cell r="E193" t="str">
            <v>P4</v>
          </cell>
          <cell r="F193" t="str">
            <v>Bad Grid + GE</v>
          </cell>
          <cell r="G193" t="str">
            <v>CAMUSAT</v>
          </cell>
        </row>
        <row r="194">
          <cell r="A194" t="str">
            <v>CTR_670</v>
          </cell>
          <cell r="B194" t="str">
            <v>Nkolagaa 2</v>
          </cell>
          <cell r="C194">
            <v>44404</v>
          </cell>
          <cell r="D194" t="str">
            <v>273 sites</v>
          </cell>
          <cell r="E194" t="str">
            <v>P4</v>
          </cell>
          <cell r="F194" t="str">
            <v>Good Grid + GE</v>
          </cell>
          <cell r="G194" t="str">
            <v>CAMUSAT</v>
          </cell>
        </row>
        <row r="195">
          <cell r="A195" t="str">
            <v>CTR_657</v>
          </cell>
          <cell r="B195" t="str">
            <v>Nkolbisson-Ayene-Bar</v>
          </cell>
          <cell r="C195">
            <v>44440</v>
          </cell>
          <cell r="D195" t="str">
            <v>273 sites</v>
          </cell>
          <cell r="E195" t="str">
            <v>P4</v>
          </cell>
          <cell r="F195" t="str">
            <v>Good Grid + GE</v>
          </cell>
          <cell r="G195" t="str">
            <v>CAMUSAT</v>
          </cell>
        </row>
        <row r="196">
          <cell r="A196" t="str">
            <v>LIT_680</v>
          </cell>
          <cell r="B196" t="str">
            <v>Logbessou-OCM</v>
          </cell>
          <cell r="C196">
            <v>44280</v>
          </cell>
          <cell r="D196" t="str">
            <v>25 sites</v>
          </cell>
          <cell r="E196" t="str">
            <v>P4</v>
          </cell>
          <cell r="F196" t="str">
            <v>Good Grid + GE</v>
          </cell>
          <cell r="G196" t="str">
            <v>CAMUSAT</v>
          </cell>
        </row>
        <row r="197">
          <cell r="A197" t="str">
            <v>CTR_658</v>
          </cell>
          <cell r="B197" t="str">
            <v>Nkolbong-II</v>
          </cell>
          <cell r="C197">
            <v>44440</v>
          </cell>
          <cell r="D197" t="str">
            <v>273 sites</v>
          </cell>
          <cell r="E197" t="str">
            <v>P4</v>
          </cell>
          <cell r="F197" t="str">
            <v>Good Grid + GE</v>
          </cell>
          <cell r="G197" t="str">
            <v>CAMUSAT</v>
          </cell>
        </row>
        <row r="198">
          <cell r="A198" t="str">
            <v>CTR_671</v>
          </cell>
          <cell r="B198" t="str">
            <v>NKOLFOULOU</v>
          </cell>
          <cell r="C198">
            <v>44313</v>
          </cell>
          <cell r="D198" t="str">
            <v>273 sites</v>
          </cell>
          <cell r="E198" t="str">
            <v>P4</v>
          </cell>
          <cell r="F198" t="str">
            <v>Good Grid + GE</v>
          </cell>
          <cell r="G198" t="str">
            <v>CAMUSAT</v>
          </cell>
        </row>
        <row r="199">
          <cell r="A199" t="str">
            <v>LIT_756</v>
          </cell>
          <cell r="B199" t="str">
            <v>BTS-Mobile-Krystal-Palace</v>
          </cell>
          <cell r="C199">
            <v>44805</v>
          </cell>
          <cell r="D199" t="str">
            <v>OG22</v>
          </cell>
          <cell r="E199" t="str">
            <v>P4</v>
          </cell>
          <cell r="F199" t="str">
            <v>Good Grid + GE</v>
          </cell>
          <cell r="G199" t="str">
            <v>CAMUSAT</v>
          </cell>
        </row>
        <row r="200">
          <cell r="A200" t="str">
            <v>CTR_712</v>
          </cell>
          <cell r="B200" t="str">
            <v>Nkolfoulou-CSD</v>
          </cell>
          <cell r="C200">
            <v>44313</v>
          </cell>
          <cell r="D200" t="str">
            <v>273 sites</v>
          </cell>
          <cell r="E200" t="str">
            <v>P4</v>
          </cell>
          <cell r="F200" t="str">
            <v>Good Grid + GE</v>
          </cell>
          <cell r="G200" t="str">
            <v>CAMUSAT</v>
          </cell>
        </row>
        <row r="201">
          <cell r="A201" t="str">
            <v>CTR_559</v>
          </cell>
          <cell r="B201" t="str">
            <v>NKOLMESSENG CRF SAFARI</v>
          </cell>
          <cell r="C201">
            <v>44304</v>
          </cell>
          <cell r="D201" t="str">
            <v>273 sites</v>
          </cell>
          <cell r="E201" t="str">
            <v>P4</v>
          </cell>
          <cell r="F201" t="str">
            <v>Good Grid no GE - 8h</v>
          </cell>
          <cell r="G201" t="str">
            <v>CAMUSAT</v>
          </cell>
        </row>
        <row r="202">
          <cell r="A202" t="str">
            <v>CTR_564</v>
          </cell>
          <cell r="B202" t="str">
            <v>NKOLMESSENG EBAMA EWOULOU</v>
          </cell>
          <cell r="C202">
            <v>44308</v>
          </cell>
          <cell r="D202" t="str">
            <v>273 sites</v>
          </cell>
          <cell r="E202" t="str">
            <v>P4</v>
          </cell>
          <cell r="F202" t="str">
            <v>Good Grid no GE - 8h</v>
          </cell>
          <cell r="G202" t="str">
            <v>CAMUSAT</v>
          </cell>
        </row>
        <row r="203">
          <cell r="A203" t="str">
            <v>CTR_711</v>
          </cell>
          <cell r="B203" t="str">
            <v>Nkolmesseng-Abom</v>
          </cell>
          <cell r="C203">
            <v>44406</v>
          </cell>
          <cell r="D203" t="str">
            <v>273 sites</v>
          </cell>
          <cell r="E203" t="str">
            <v>P4</v>
          </cell>
          <cell r="F203" t="str">
            <v>Good Grid + GE</v>
          </cell>
          <cell r="G203" t="str">
            <v>CAMUSAT</v>
          </cell>
        </row>
        <row r="204">
          <cell r="A204" t="str">
            <v>LIT_539</v>
          </cell>
          <cell r="B204" t="str">
            <v>Nkolmintag</v>
          </cell>
          <cell r="C204">
            <v>44307</v>
          </cell>
          <cell r="D204" t="str">
            <v>273 sites</v>
          </cell>
          <cell r="E204" t="str">
            <v>P4</v>
          </cell>
          <cell r="F204" t="str">
            <v>Good Grid no GE - 12h</v>
          </cell>
          <cell r="G204" t="str">
            <v>CAMUSAT</v>
          </cell>
        </row>
        <row r="205">
          <cell r="A205" t="str">
            <v>LIT_763</v>
          </cell>
          <cell r="B205" t="str">
            <v>BTS-Mobile-Marche-Central</v>
          </cell>
          <cell r="C205">
            <v>44805</v>
          </cell>
          <cell r="D205" t="str">
            <v>OG22</v>
          </cell>
          <cell r="E205" t="str">
            <v>P4</v>
          </cell>
          <cell r="F205" t="str">
            <v>Good Grid + GE</v>
          </cell>
          <cell r="G205" t="str">
            <v>CAMUSAT</v>
          </cell>
        </row>
        <row r="206">
          <cell r="A206" t="str">
            <v>LIT_670</v>
          </cell>
          <cell r="B206" t="str">
            <v>Moulanga</v>
          </cell>
          <cell r="C206">
            <v>44280</v>
          </cell>
          <cell r="D206" t="str">
            <v>25 sites</v>
          </cell>
          <cell r="E206" t="str">
            <v>P4</v>
          </cell>
          <cell r="F206" t="str">
            <v>Good Grid + GE</v>
          </cell>
          <cell r="G206" t="str">
            <v>CAMUSAT</v>
          </cell>
        </row>
        <row r="207">
          <cell r="A207" t="str">
            <v>LIT_548</v>
          </cell>
          <cell r="B207" t="str">
            <v>Nkololoun-Marche</v>
          </cell>
          <cell r="C207">
            <v>44304</v>
          </cell>
          <cell r="D207" t="str">
            <v>273 sites</v>
          </cell>
          <cell r="E207" t="str">
            <v>P4</v>
          </cell>
          <cell r="F207" t="str">
            <v>Good Grid no GE - 8h</v>
          </cell>
          <cell r="G207" t="str">
            <v>CAMUSAT</v>
          </cell>
        </row>
        <row r="208">
          <cell r="A208" t="str">
            <v>CTR_597</v>
          </cell>
          <cell r="B208" t="str">
            <v>Nkomeda</v>
          </cell>
          <cell r="C208">
            <v>44440</v>
          </cell>
          <cell r="D208" t="str">
            <v>273 sites</v>
          </cell>
          <cell r="E208" t="str">
            <v>P4</v>
          </cell>
          <cell r="F208" t="str">
            <v>Bad Grid + GE</v>
          </cell>
          <cell r="G208" t="str">
            <v>CAMUSAT</v>
          </cell>
        </row>
        <row r="209">
          <cell r="A209" t="str">
            <v>CTR_750</v>
          </cell>
          <cell r="B209" t="str">
            <v>Nkometou-2</v>
          </cell>
          <cell r="D209" t="str">
            <v>273 sites</v>
          </cell>
          <cell r="E209" t="str">
            <v>P4</v>
          </cell>
          <cell r="F209" t="str">
            <v>Hybrid Solar - S1</v>
          </cell>
          <cell r="G209" t="str">
            <v>CAMUSAT</v>
          </cell>
        </row>
        <row r="210">
          <cell r="A210" t="str">
            <v>SUD_088</v>
          </cell>
          <cell r="B210" t="str">
            <v>Nkomezap-Camtel</v>
          </cell>
          <cell r="C210">
            <v>44407</v>
          </cell>
          <cell r="D210" t="str">
            <v>273 sites</v>
          </cell>
          <cell r="E210" t="str">
            <v>P4</v>
          </cell>
          <cell r="F210" t="str">
            <v>Good Grid + GE</v>
          </cell>
          <cell r="G210" t="str">
            <v>CAMUSAT</v>
          </cell>
        </row>
        <row r="211">
          <cell r="A211" t="str">
            <v>CTR_629</v>
          </cell>
          <cell r="B211" t="str">
            <v>Nkongoa</v>
          </cell>
          <cell r="C211">
            <v>44304</v>
          </cell>
          <cell r="D211" t="str">
            <v>273 sites</v>
          </cell>
          <cell r="E211" t="str">
            <v>P4</v>
          </cell>
          <cell r="F211" t="str">
            <v>Good Grid + GE</v>
          </cell>
          <cell r="G211" t="str">
            <v>CAMUSAT</v>
          </cell>
        </row>
        <row r="212">
          <cell r="A212" t="str">
            <v>CTR_659</v>
          </cell>
          <cell r="B212" t="str">
            <v>Nkoulou</v>
          </cell>
          <cell r="C212">
            <v>44377</v>
          </cell>
          <cell r="D212" t="str">
            <v>273 sites</v>
          </cell>
          <cell r="E212" t="str">
            <v>P4</v>
          </cell>
          <cell r="F212" t="str">
            <v>Good Grid + GE</v>
          </cell>
          <cell r="G212" t="str">
            <v>CAMUSAT</v>
          </cell>
        </row>
        <row r="213">
          <cell r="A213" t="str">
            <v>CTR_631</v>
          </cell>
          <cell r="B213" t="str">
            <v>NLOBISSON</v>
          </cell>
          <cell r="C213">
            <v>44407</v>
          </cell>
          <cell r="D213" t="str">
            <v>273 sites</v>
          </cell>
          <cell r="E213" t="str">
            <v>P4</v>
          </cell>
          <cell r="F213" t="str">
            <v>Good Grid + Solar + GE</v>
          </cell>
          <cell r="G213" t="str">
            <v>CAMUSAT</v>
          </cell>
        </row>
        <row r="214">
          <cell r="A214" t="str">
            <v>LIT_620</v>
          </cell>
          <cell r="B214" t="str">
            <v>Notre-Dame-de-Yassa</v>
          </cell>
          <cell r="C214">
            <v>44233</v>
          </cell>
          <cell r="D214" t="str">
            <v>273 sites</v>
          </cell>
          <cell r="E214" t="str">
            <v>P4</v>
          </cell>
          <cell r="F214" t="str">
            <v>Good Grid + GE</v>
          </cell>
          <cell r="G214" t="str">
            <v>CAMUSAT</v>
          </cell>
        </row>
        <row r="215">
          <cell r="A215" t="str">
            <v>EST_133</v>
          </cell>
          <cell r="B215" t="str">
            <v>NYABI</v>
          </cell>
          <cell r="C215">
            <v>44431</v>
          </cell>
          <cell r="D215" t="str">
            <v>273 sites</v>
          </cell>
          <cell r="E215" t="str">
            <v>P4</v>
          </cell>
          <cell r="F215" t="str">
            <v>HGB</v>
          </cell>
          <cell r="G215" t="str">
            <v>CAMUSAT</v>
          </cell>
        </row>
        <row r="216">
          <cell r="A216" t="str">
            <v>LIT_655</v>
          </cell>
          <cell r="B216" t="str">
            <v>Nyalla-Marche</v>
          </cell>
          <cell r="C216">
            <v>44440</v>
          </cell>
          <cell r="D216" t="str">
            <v>273 sites</v>
          </cell>
          <cell r="E216" t="str">
            <v>P4</v>
          </cell>
          <cell r="F216" t="str">
            <v>Medium Grid + GE</v>
          </cell>
          <cell r="G216" t="str">
            <v>CAMUSAT</v>
          </cell>
        </row>
        <row r="217">
          <cell r="A217" t="str">
            <v>CTR_551</v>
          </cell>
          <cell r="B217" t="str">
            <v>NYOM CAMTEL</v>
          </cell>
          <cell r="C217">
            <v>44405</v>
          </cell>
          <cell r="D217" t="str">
            <v>273 sites</v>
          </cell>
          <cell r="E217" t="str">
            <v>P4</v>
          </cell>
          <cell r="F217" t="str">
            <v>HGB</v>
          </cell>
          <cell r="G217" t="str">
            <v>CAMUSAT</v>
          </cell>
        </row>
        <row r="218">
          <cell r="A218" t="str">
            <v>CTR_707</v>
          </cell>
          <cell r="B218" t="str">
            <v>Nyom-Sud</v>
          </cell>
          <cell r="C218">
            <v>44405</v>
          </cell>
          <cell r="D218" t="str">
            <v>273 sites</v>
          </cell>
          <cell r="E218" t="str">
            <v>P4</v>
          </cell>
          <cell r="F218" t="str">
            <v>Bad Grid + GE</v>
          </cell>
          <cell r="G218" t="str">
            <v>CAMUSAT</v>
          </cell>
        </row>
        <row r="219">
          <cell r="A219" t="str">
            <v>SUO_226</v>
          </cell>
          <cell r="B219" t="str">
            <v>Buea-CAMTEL</v>
          </cell>
          <cell r="D219" t="str">
            <v>12 sites Ph-2-2021</v>
          </cell>
          <cell r="E219" t="str">
            <v>P4</v>
          </cell>
          <cell r="F219" t="str">
            <v>Good Grid no GE - 8h</v>
          </cell>
          <cell r="G219" t="str">
            <v>CAMUSAT</v>
          </cell>
        </row>
        <row r="220">
          <cell r="A220" t="str">
            <v>OST_294</v>
          </cell>
          <cell r="B220" t="str">
            <v>Bangoua-Nouveau-CAMTEL</v>
          </cell>
          <cell r="C220">
            <v>44441</v>
          </cell>
          <cell r="D220" t="str">
            <v>25 sites</v>
          </cell>
          <cell r="E220" t="str">
            <v>P4</v>
          </cell>
          <cell r="F220" t="str">
            <v>Hybrid Solar - S1</v>
          </cell>
          <cell r="G220" t="str">
            <v>CAMUSAT</v>
          </cell>
        </row>
        <row r="221">
          <cell r="A221" t="str">
            <v>CTR_841</v>
          </cell>
          <cell r="B221" t="str">
            <v>Carrefour-Diderot</v>
          </cell>
          <cell r="D221" t="str">
            <v>12 sites Ph-2-2021</v>
          </cell>
          <cell r="E221" t="str">
            <v>P4</v>
          </cell>
          <cell r="F221" t="str">
            <v>Good Grid no GE - 8h</v>
          </cell>
          <cell r="G221" t="str">
            <v>CAMUSAT</v>
          </cell>
        </row>
        <row r="222">
          <cell r="A222" t="str">
            <v>CTR_835</v>
          </cell>
          <cell r="B222" t="str">
            <v>Carrefour-Elat</v>
          </cell>
          <cell r="C222">
            <v>44792</v>
          </cell>
          <cell r="D222" t="str">
            <v>OG22</v>
          </cell>
          <cell r="E222" t="str">
            <v>P4</v>
          </cell>
          <cell r="F222" t="str">
            <v>Good Grid + GE</v>
          </cell>
          <cell r="G222" t="str">
            <v>CAMUSAT</v>
          </cell>
        </row>
        <row r="223">
          <cell r="A223" t="str">
            <v>CTR_598</v>
          </cell>
          <cell r="B223" t="str">
            <v>Obobogo-Paloma</v>
          </cell>
          <cell r="C223">
            <v>44344</v>
          </cell>
          <cell r="D223" t="str">
            <v>273 sites</v>
          </cell>
          <cell r="E223" t="str">
            <v>P4</v>
          </cell>
          <cell r="F223" t="str">
            <v>Good Grid no GE - 8h</v>
          </cell>
          <cell r="G223" t="str">
            <v>CAMUSAT</v>
          </cell>
        </row>
        <row r="224">
          <cell r="A224" t="str">
            <v>CTR_821</v>
          </cell>
          <cell r="B224" t="str">
            <v>CBC-Radio-New2</v>
          </cell>
          <cell r="D224" t="str">
            <v>48 sites -2021</v>
          </cell>
          <cell r="E224" t="str">
            <v>P4</v>
          </cell>
          <cell r="F224" t="str">
            <v>Good Grid no GE - 8h</v>
          </cell>
          <cell r="G224" t="str">
            <v>CAMUSAT</v>
          </cell>
        </row>
        <row r="225">
          <cell r="A225" t="str">
            <v>CTR_839</v>
          </cell>
          <cell r="B225" t="str">
            <v>CNPS Kennedy Nodal</v>
          </cell>
          <cell r="C225">
            <v>44501</v>
          </cell>
          <cell r="D225" t="str">
            <v>Site BSC</v>
          </cell>
          <cell r="E225" t="str">
            <v>P2</v>
          </cell>
          <cell r="F225" t="str">
            <v>Good Grid + GE</v>
          </cell>
          <cell r="G225" t="str">
            <v>CAMUSAT</v>
          </cell>
        </row>
        <row r="226">
          <cell r="A226" t="str">
            <v>OST_272</v>
          </cell>
          <cell r="B226" t="str">
            <v>Mamegnam</v>
          </cell>
          <cell r="C226">
            <v>44437</v>
          </cell>
          <cell r="D226" t="str">
            <v>25 sites</v>
          </cell>
          <cell r="E226" t="str">
            <v>P4</v>
          </cell>
          <cell r="F226" t="str">
            <v>Hybrid Solar - S3</v>
          </cell>
          <cell r="G226" t="str">
            <v>CAMUSAT</v>
          </cell>
        </row>
        <row r="227">
          <cell r="A227" t="str">
            <v>CTR_566</v>
          </cell>
          <cell r="B227" t="str">
            <v>OMNISPORT QTR YAMBASSA</v>
          </cell>
          <cell r="C227">
            <v>44316</v>
          </cell>
          <cell r="D227" t="str">
            <v>273 sites</v>
          </cell>
          <cell r="E227" t="str">
            <v>P4</v>
          </cell>
          <cell r="F227" t="str">
            <v>Good Grid no GE - 8h</v>
          </cell>
          <cell r="G227" t="str">
            <v>CAMUSAT</v>
          </cell>
        </row>
        <row r="228">
          <cell r="A228" t="str">
            <v>LIT_385</v>
          </cell>
          <cell r="B228" t="str">
            <v>Dibamba-Camrail</v>
          </cell>
          <cell r="D228" t="str">
            <v>Sites tiers</v>
          </cell>
          <cell r="E228" t="str">
            <v>P4</v>
          </cell>
          <cell r="F228" t="str">
            <v>Hybrid Solar - S3</v>
          </cell>
          <cell r="G228" t="str">
            <v>CAMUSAT</v>
          </cell>
        </row>
        <row r="229">
          <cell r="A229" t="str">
            <v>SUD_014</v>
          </cell>
          <cell r="B229" t="str">
            <v>Djoum</v>
          </cell>
          <cell r="D229" t="str">
            <v>Sites tiers</v>
          </cell>
          <cell r="E229" t="str">
            <v>P4</v>
          </cell>
          <cell r="F229" t="str">
            <v>Bad Grid + Solar + GE</v>
          </cell>
          <cell r="G229" t="str">
            <v>CAMUSAT</v>
          </cell>
        </row>
        <row r="230">
          <cell r="A230" t="str">
            <v>SUD_009</v>
          </cell>
          <cell r="B230" t="str">
            <v>EBANGA EWOULOU</v>
          </cell>
          <cell r="D230" t="str">
            <v>Sites tiers</v>
          </cell>
          <cell r="E230" t="str">
            <v>P4</v>
          </cell>
          <cell r="F230" t="str">
            <v>Medium Grid + GE</v>
          </cell>
          <cell r="G230" t="str">
            <v>CAMUSAT</v>
          </cell>
        </row>
        <row r="231">
          <cell r="A231" t="str">
            <v>ADM_148</v>
          </cell>
          <cell r="B231" t="str">
            <v>Ouro-Dara</v>
          </cell>
          <cell r="C231">
            <v>44340</v>
          </cell>
          <cell r="D231" t="str">
            <v>273 sites</v>
          </cell>
          <cell r="E231" t="str">
            <v>P4</v>
          </cell>
          <cell r="F231" t="str">
            <v>Hybrid Solar - S3</v>
          </cell>
          <cell r="G231" t="str">
            <v>CAMUSAT</v>
          </cell>
        </row>
        <row r="232">
          <cell r="A232" t="str">
            <v>CTR_718</v>
          </cell>
          <cell r="B232" t="str">
            <v>Oyomabang-marche</v>
          </cell>
          <cell r="C232">
            <v>44281</v>
          </cell>
          <cell r="D232" t="str">
            <v>273 sites</v>
          </cell>
          <cell r="E232" t="str">
            <v>P4</v>
          </cell>
          <cell r="F232" t="str">
            <v>Good Grid no GE - 8h</v>
          </cell>
          <cell r="G232" t="str">
            <v>CAMUSAT</v>
          </cell>
        </row>
        <row r="233">
          <cell r="A233" t="str">
            <v>CTR_560</v>
          </cell>
          <cell r="B233" t="str">
            <v>Oyomambang</v>
          </cell>
          <cell r="C233">
            <v>44308</v>
          </cell>
          <cell r="D233" t="str">
            <v>273 sites</v>
          </cell>
          <cell r="E233" t="str">
            <v>P4</v>
          </cell>
          <cell r="F233" t="str">
            <v>Good Grid + GE</v>
          </cell>
          <cell r="G233" t="str">
            <v>CAMUSAT</v>
          </cell>
        </row>
        <row r="234">
          <cell r="A234" t="str">
            <v>LIT_682</v>
          </cell>
          <cell r="B234" t="str">
            <v>Boadibo</v>
          </cell>
          <cell r="C234">
            <v>44280</v>
          </cell>
          <cell r="D234" t="str">
            <v>25 sites</v>
          </cell>
          <cell r="E234" t="str">
            <v>P4</v>
          </cell>
          <cell r="F234" t="str">
            <v>Good Grid + GE</v>
          </cell>
          <cell r="G234" t="str">
            <v>CAMUSAT</v>
          </cell>
        </row>
        <row r="235">
          <cell r="A235" t="str">
            <v>SUD_019</v>
          </cell>
          <cell r="B235" t="str">
            <v>EBANGA EWOULOU NEW</v>
          </cell>
          <cell r="C235">
            <v>44509</v>
          </cell>
          <cell r="D235" t="str">
            <v>Sites tiers</v>
          </cell>
          <cell r="E235" t="str">
            <v>P2</v>
          </cell>
          <cell r="F235" t="str">
            <v>Medium Grid + GE</v>
          </cell>
          <cell r="G235" t="str">
            <v>CAMUSAT</v>
          </cell>
        </row>
        <row r="236">
          <cell r="A236" t="str">
            <v>CTR_743</v>
          </cell>
          <cell r="B236" t="str">
            <v>OZOM-I</v>
          </cell>
          <cell r="D236" t="str">
            <v>273 sites</v>
          </cell>
          <cell r="E236" t="str">
            <v>P4</v>
          </cell>
          <cell r="F236" t="str">
            <v>Hybrid Solar - S1</v>
          </cell>
          <cell r="G236" t="str">
            <v>CAMUSAT</v>
          </cell>
        </row>
        <row r="237">
          <cell r="A237" t="str">
            <v>EXN_247</v>
          </cell>
          <cell r="B237" t="str">
            <v>Domayo-II</v>
          </cell>
          <cell r="D237" t="str">
            <v>25 sites</v>
          </cell>
          <cell r="E237" t="str">
            <v>P4</v>
          </cell>
          <cell r="F237" t="str">
            <v>Medium Grid + GE</v>
          </cell>
          <cell r="G237" t="str">
            <v>CAMUSAT</v>
          </cell>
        </row>
        <row r="238">
          <cell r="A238" t="str">
            <v>SUD_100</v>
          </cell>
          <cell r="B238" t="str">
            <v>Ebolowa-Elat-II</v>
          </cell>
          <cell r="D238" t="str">
            <v>25 sites</v>
          </cell>
          <cell r="E238" t="str">
            <v>P4</v>
          </cell>
          <cell r="F238" t="str">
            <v>Good Grid + GE</v>
          </cell>
          <cell r="G238" t="str">
            <v>CAMUSAT</v>
          </cell>
        </row>
        <row r="239">
          <cell r="A239" t="str">
            <v>NRD_175</v>
          </cell>
          <cell r="B239" t="str">
            <v>Garoua-H-Plateau</v>
          </cell>
          <cell r="D239" t="str">
            <v>25 sites</v>
          </cell>
          <cell r="E239" t="str">
            <v>P4</v>
          </cell>
          <cell r="F239" t="str">
            <v>Good Grid + GE</v>
          </cell>
          <cell r="G239" t="str">
            <v>CAMUSAT</v>
          </cell>
        </row>
        <row r="240">
          <cell r="A240" t="str">
            <v>ADM_160</v>
          </cell>
          <cell r="B240" t="str">
            <v>Phacochere</v>
          </cell>
          <cell r="D240" t="str">
            <v>273 sites</v>
          </cell>
          <cell r="E240" t="str">
            <v>P4</v>
          </cell>
          <cell r="F240" t="str">
            <v>Hybrid Solar - S3</v>
          </cell>
          <cell r="G240" t="str">
            <v>CAMUSAT</v>
          </cell>
        </row>
        <row r="241">
          <cell r="A241" t="str">
            <v>NRD_171</v>
          </cell>
          <cell r="B241" t="str">
            <v>Pitchoumba</v>
          </cell>
          <cell r="C241">
            <v>44344</v>
          </cell>
          <cell r="D241" t="str">
            <v>273 sites</v>
          </cell>
          <cell r="E241" t="str">
            <v>P4</v>
          </cell>
          <cell r="F241" t="str">
            <v>Hybrid Solar - S3</v>
          </cell>
          <cell r="G241" t="str">
            <v>CAMUSAT</v>
          </cell>
        </row>
        <row r="242">
          <cell r="A242" t="str">
            <v>NRD_133</v>
          </cell>
          <cell r="B242" t="str">
            <v>Pitoa-Entree</v>
          </cell>
          <cell r="C242">
            <v>44394</v>
          </cell>
          <cell r="D242" t="str">
            <v>273 sites</v>
          </cell>
          <cell r="E242" t="str">
            <v>P4</v>
          </cell>
          <cell r="F242" t="str">
            <v>Medium Grid + Solar + GE</v>
          </cell>
          <cell r="G242" t="str">
            <v>CAMUSAT</v>
          </cell>
        </row>
        <row r="243">
          <cell r="A243" t="str">
            <v>LIT_667</v>
          </cell>
          <cell r="B243" t="str">
            <v>PK13-Sitabac-New</v>
          </cell>
          <cell r="D243" t="str">
            <v>273 sites</v>
          </cell>
          <cell r="E243" t="str">
            <v>P4</v>
          </cell>
          <cell r="F243" t="str">
            <v>Medium Grid + GE</v>
          </cell>
          <cell r="G243" t="str">
            <v>CAMUSAT</v>
          </cell>
        </row>
        <row r="244">
          <cell r="A244" t="str">
            <v>LIT_584</v>
          </cell>
          <cell r="B244" t="str">
            <v>PK19</v>
          </cell>
          <cell r="C244">
            <v>44440</v>
          </cell>
          <cell r="D244" t="str">
            <v>273 sites</v>
          </cell>
          <cell r="E244" t="str">
            <v>P4</v>
          </cell>
          <cell r="F244" t="str">
            <v>Medium Grid + GE</v>
          </cell>
          <cell r="G244" t="str">
            <v>CAMUSAT</v>
          </cell>
        </row>
        <row r="245">
          <cell r="A245" t="str">
            <v>SUD_094</v>
          </cell>
          <cell r="B245" t="str">
            <v>Kribi-gd-Batanga2</v>
          </cell>
          <cell r="C245">
            <v>44286</v>
          </cell>
          <cell r="D245" t="str">
            <v>25 sites</v>
          </cell>
          <cell r="E245" t="str">
            <v>P4</v>
          </cell>
          <cell r="F245" t="str">
            <v>Medium Grid + GE</v>
          </cell>
          <cell r="G245" t="str">
            <v>CAMUSAT</v>
          </cell>
        </row>
        <row r="246">
          <cell r="A246" t="str">
            <v>LIT_690</v>
          </cell>
          <cell r="B246" t="str">
            <v>Bodjongo</v>
          </cell>
          <cell r="C246">
            <v>44280</v>
          </cell>
          <cell r="D246" t="str">
            <v>25 sites</v>
          </cell>
          <cell r="E246" t="str">
            <v>P4</v>
          </cell>
          <cell r="F246" t="str">
            <v>Bad Grid + GE</v>
          </cell>
          <cell r="G246" t="str">
            <v>CAMUSAT</v>
          </cell>
        </row>
        <row r="247">
          <cell r="A247" t="str">
            <v>NRD_148</v>
          </cell>
          <cell r="B247" t="str">
            <v>Poumpoumrey-II</v>
          </cell>
          <cell r="C247">
            <v>44479</v>
          </cell>
          <cell r="D247" t="str">
            <v>273 sites</v>
          </cell>
          <cell r="E247" t="str">
            <v>P4</v>
          </cell>
          <cell r="F247" t="str">
            <v>Good Grid + GE</v>
          </cell>
          <cell r="G247" t="str">
            <v>CAMUSAT</v>
          </cell>
        </row>
        <row r="248">
          <cell r="A248" t="str">
            <v>NRD_136</v>
          </cell>
          <cell r="B248" t="str">
            <v>POUSS 2</v>
          </cell>
          <cell r="C248">
            <v>44347</v>
          </cell>
          <cell r="D248" t="str">
            <v>273 sites</v>
          </cell>
          <cell r="E248" t="str">
            <v>P4</v>
          </cell>
          <cell r="F248" t="str">
            <v>Hybrid Solar - S3</v>
          </cell>
          <cell r="G248" t="str">
            <v>CAMUSAT</v>
          </cell>
        </row>
        <row r="249">
          <cell r="A249" t="str">
            <v>EXN_250</v>
          </cell>
          <cell r="B249" t="str">
            <v>Maroua-Entree</v>
          </cell>
          <cell r="C249">
            <v>44286</v>
          </cell>
          <cell r="D249" t="str">
            <v>25 sites</v>
          </cell>
          <cell r="E249" t="str">
            <v>P4</v>
          </cell>
          <cell r="F249" t="str">
            <v>Bad Grid + GE</v>
          </cell>
          <cell r="G249" t="str">
            <v>CAMUSAT</v>
          </cell>
        </row>
        <row r="250">
          <cell r="A250" t="str">
            <v>NRD_168</v>
          </cell>
          <cell r="B250" t="str">
            <v>Reserve-Benoue</v>
          </cell>
          <cell r="C250">
            <v>44316</v>
          </cell>
          <cell r="D250" t="str">
            <v>273 sites</v>
          </cell>
          <cell r="E250" t="str">
            <v>P4</v>
          </cell>
          <cell r="F250" t="str">
            <v>Hybrid Solar - S3</v>
          </cell>
          <cell r="G250" t="str">
            <v>CAMUSAT</v>
          </cell>
        </row>
        <row r="251">
          <cell r="A251" t="str">
            <v>NRD_172</v>
          </cell>
          <cell r="B251" t="str">
            <v>Sakdje</v>
          </cell>
          <cell r="C251">
            <v>44315</v>
          </cell>
          <cell r="D251" t="str">
            <v>273 sites</v>
          </cell>
          <cell r="E251" t="str">
            <v>P4</v>
          </cell>
          <cell r="F251" t="str">
            <v>Hybrid Solar - S3</v>
          </cell>
          <cell r="G251" t="str">
            <v>CAMUSAT</v>
          </cell>
        </row>
        <row r="252">
          <cell r="A252" t="str">
            <v>LIT_654</v>
          </cell>
          <cell r="B252" t="str">
            <v>SIC-CACAOS</v>
          </cell>
          <cell r="C252">
            <v>44316</v>
          </cell>
          <cell r="D252" t="str">
            <v>273 sites</v>
          </cell>
          <cell r="E252" t="str">
            <v>P4</v>
          </cell>
          <cell r="F252" t="str">
            <v>Good Grid no GE - 12h</v>
          </cell>
          <cell r="G252" t="str">
            <v>CAMUSAT</v>
          </cell>
        </row>
        <row r="253">
          <cell r="A253" t="str">
            <v>CTR_748</v>
          </cell>
          <cell r="B253" t="str">
            <v>SIM-Barriere</v>
          </cell>
          <cell r="C253">
            <v>44440</v>
          </cell>
          <cell r="D253" t="str">
            <v>273 sites</v>
          </cell>
          <cell r="E253" t="str">
            <v>P4</v>
          </cell>
          <cell r="F253" t="str">
            <v>Bad Grid + GE</v>
          </cell>
          <cell r="G253" t="str">
            <v>CAMUSAT</v>
          </cell>
        </row>
        <row r="254">
          <cell r="A254" t="str">
            <v>CTR_716</v>
          </cell>
          <cell r="B254" t="str">
            <v>Simbock-II</v>
          </cell>
          <cell r="C254">
            <v>44463</v>
          </cell>
          <cell r="D254" t="str">
            <v>273 sites</v>
          </cell>
          <cell r="E254" t="str">
            <v>P4</v>
          </cell>
          <cell r="F254" t="str">
            <v>Good Grid + GE</v>
          </cell>
          <cell r="G254" t="str">
            <v>CAMUSAT</v>
          </cell>
        </row>
        <row r="255">
          <cell r="A255" t="str">
            <v>CTR_714</v>
          </cell>
          <cell r="B255" t="str">
            <v>SOA-Vallee</v>
          </cell>
          <cell r="C255">
            <v>44315</v>
          </cell>
          <cell r="D255" t="str">
            <v>273 sites</v>
          </cell>
          <cell r="E255" t="str">
            <v>P4</v>
          </cell>
          <cell r="F255" t="str">
            <v>Good Grid + GE</v>
          </cell>
          <cell r="G255" t="str">
            <v>CAMUSAT</v>
          </cell>
        </row>
        <row r="256">
          <cell r="A256" t="str">
            <v>CTR_867</v>
          </cell>
          <cell r="B256" t="str">
            <v>Ebogo-II remplace NSEM</v>
          </cell>
          <cell r="D256" t="str">
            <v>OG22</v>
          </cell>
          <cell r="E256" t="str">
            <v>P4</v>
          </cell>
          <cell r="F256" t="str">
            <v>HGB</v>
          </cell>
          <cell r="G256" t="str">
            <v>CAMUSAT</v>
          </cell>
        </row>
        <row r="257">
          <cell r="A257" t="str">
            <v>CTR_795</v>
          </cell>
          <cell r="B257" t="str">
            <v>Edzendouan</v>
          </cell>
          <cell r="C257">
            <v>44795</v>
          </cell>
          <cell r="D257" t="str">
            <v>OG22</v>
          </cell>
          <cell r="E257" t="str">
            <v>P4</v>
          </cell>
          <cell r="F257" t="str">
            <v>HGB</v>
          </cell>
          <cell r="G257" t="str">
            <v>CAMUSAT</v>
          </cell>
        </row>
        <row r="258">
          <cell r="A258" t="str">
            <v>CTR_773</v>
          </cell>
          <cell r="B258" t="str">
            <v>Efoulan-Pont</v>
          </cell>
          <cell r="C258">
            <v>44512</v>
          </cell>
          <cell r="D258" t="str">
            <v>48 sites -2021</v>
          </cell>
          <cell r="E258" t="str">
            <v>P4</v>
          </cell>
          <cell r="F258" t="str">
            <v>Good Grid no GE - 8h</v>
          </cell>
          <cell r="G258" t="str">
            <v>CAMUSAT</v>
          </cell>
        </row>
        <row r="259">
          <cell r="A259" t="str">
            <v>OST_233</v>
          </cell>
          <cell r="B259" t="str">
            <v>Foumban-Kounga-II</v>
          </cell>
          <cell r="C259">
            <v>44712</v>
          </cell>
          <cell r="D259" t="str">
            <v>OG22</v>
          </cell>
          <cell r="E259" t="str">
            <v>P4</v>
          </cell>
          <cell r="F259" t="str">
            <v>Medium Grid + GE</v>
          </cell>
          <cell r="G259" t="str">
            <v>CAMUSAT</v>
          </cell>
        </row>
        <row r="260">
          <cell r="A260" t="str">
            <v>CTR_561</v>
          </cell>
          <cell r="B260" t="str">
            <v>Superette-Biyemassi</v>
          </cell>
          <cell r="C260">
            <v>44313</v>
          </cell>
          <cell r="D260" t="str">
            <v>273 sites</v>
          </cell>
          <cell r="E260" t="str">
            <v>P4</v>
          </cell>
          <cell r="F260" t="str">
            <v>Good Grid no GE - 12h</v>
          </cell>
          <cell r="G260" t="str">
            <v>CAMUSAT</v>
          </cell>
        </row>
        <row r="261">
          <cell r="A261" t="str">
            <v>EXN_230</v>
          </cell>
          <cell r="B261" t="str">
            <v>Tekele</v>
          </cell>
          <cell r="C261">
            <v>44530</v>
          </cell>
          <cell r="D261" t="str">
            <v>273 sites</v>
          </cell>
          <cell r="E261" t="str">
            <v>P4</v>
          </cell>
          <cell r="F261" t="str">
            <v>Hybrid Solar - S3</v>
          </cell>
          <cell r="G261" t="str">
            <v>CAMUSAT</v>
          </cell>
        </row>
        <row r="262">
          <cell r="A262" t="str">
            <v>NRD_137</v>
          </cell>
          <cell r="B262" t="str">
            <v>Touboro-Ville</v>
          </cell>
          <cell r="C262">
            <v>44464</v>
          </cell>
          <cell r="D262" t="str">
            <v>273 sites</v>
          </cell>
          <cell r="E262" t="str">
            <v>P4</v>
          </cell>
          <cell r="F262" t="str">
            <v>Bad Grid + GE</v>
          </cell>
          <cell r="G262" t="str">
            <v>CAMUSAT</v>
          </cell>
        </row>
        <row r="263">
          <cell r="A263" t="str">
            <v>OST_231</v>
          </cell>
          <cell r="B263" t="str">
            <v>toungang 2</v>
          </cell>
          <cell r="C263">
            <v>44493</v>
          </cell>
          <cell r="D263" t="str">
            <v>273 sites</v>
          </cell>
          <cell r="E263" t="str">
            <v>P4</v>
          </cell>
          <cell r="F263" t="str">
            <v>Good Grid + GE</v>
          </cell>
          <cell r="G263" t="str">
            <v>CAMUSAT</v>
          </cell>
        </row>
        <row r="264">
          <cell r="A264" t="str">
            <v>EXN_231</v>
          </cell>
          <cell r="B264" t="str">
            <v>Tourou</v>
          </cell>
          <cell r="D264" t="str">
            <v>273 sites</v>
          </cell>
          <cell r="E264" t="str">
            <v>P4</v>
          </cell>
          <cell r="F264" t="str">
            <v>Hybrid Solar - S3</v>
          </cell>
          <cell r="G264" t="str">
            <v>CAMUSAT</v>
          </cell>
        </row>
        <row r="265">
          <cell r="A265" t="str">
            <v>CTR_849</v>
          </cell>
          <cell r="B265" t="str">
            <v>Fraternite_Adama (Ekombitie III)</v>
          </cell>
          <cell r="D265" t="str">
            <v>12 sites Ph-2-2021</v>
          </cell>
          <cell r="E265" t="str">
            <v>P4</v>
          </cell>
          <cell r="F265" t="str">
            <v>Good Grid no GE - 8h</v>
          </cell>
          <cell r="G265" t="str">
            <v>CAMUSAT</v>
          </cell>
        </row>
        <row r="266">
          <cell r="A266" t="str">
            <v>EXN_249</v>
          </cell>
          <cell r="B266" t="str">
            <v>Maroua-Tchadeo-III</v>
          </cell>
          <cell r="C266">
            <v>44286</v>
          </cell>
          <cell r="D266" t="str">
            <v>25 sites</v>
          </cell>
          <cell r="E266" t="str">
            <v>P4</v>
          </cell>
          <cell r="F266" t="str">
            <v>Good Grid + GE</v>
          </cell>
          <cell r="G266" t="str">
            <v>CAMUSAT</v>
          </cell>
        </row>
        <row r="267">
          <cell r="A267" t="str">
            <v>NRD_186</v>
          </cell>
          <cell r="B267" t="str">
            <v>Garoua-Bockle-II</v>
          </cell>
          <cell r="C267">
            <v>44720</v>
          </cell>
          <cell r="D267" t="str">
            <v>OG22</v>
          </cell>
          <cell r="E267" t="str">
            <v>P4</v>
          </cell>
          <cell r="F267" t="str">
            <v>Medium Grid + GE</v>
          </cell>
          <cell r="G267" t="str">
            <v>CAMUSAT</v>
          </cell>
        </row>
        <row r="268">
          <cell r="A268" t="str">
            <v>CTR_563</v>
          </cell>
          <cell r="B268" t="str">
            <v>Tsomo-Assi</v>
          </cell>
          <cell r="C268">
            <v>44313</v>
          </cell>
          <cell r="D268" t="str">
            <v>273 sites</v>
          </cell>
          <cell r="E268" t="str">
            <v>P4</v>
          </cell>
          <cell r="F268" t="str">
            <v>Good Grid no GE - 8h</v>
          </cell>
          <cell r="G268" t="str">
            <v>CAMUSAT</v>
          </cell>
        </row>
        <row r="269">
          <cell r="A269" t="str">
            <v>EST_144</v>
          </cell>
          <cell r="B269" t="str">
            <v>Garoua-Boulai-Entrance</v>
          </cell>
          <cell r="D269" t="str">
            <v>48 sites -2021</v>
          </cell>
          <cell r="E269" t="str">
            <v>P4</v>
          </cell>
          <cell r="F269" t="str">
            <v>Hybrid Solar - S3</v>
          </cell>
          <cell r="G269" t="str">
            <v>CAMUSAT</v>
          </cell>
        </row>
        <row r="270">
          <cell r="A270" t="str">
            <v>OST_232</v>
          </cell>
          <cell r="B270" t="str">
            <v>Tyo2</v>
          </cell>
          <cell r="C270">
            <v>44492</v>
          </cell>
          <cell r="D270" t="str">
            <v>273 sites</v>
          </cell>
          <cell r="E270" t="str">
            <v>P4</v>
          </cell>
          <cell r="F270" t="str">
            <v>Good Grid + GE</v>
          </cell>
          <cell r="G270" t="str">
            <v>CAMUSAT</v>
          </cell>
        </row>
        <row r="271">
          <cell r="A271" t="str">
            <v>LIT_586</v>
          </cell>
          <cell r="B271" t="str">
            <v>Yabassi-Greenfill</v>
          </cell>
          <cell r="C271">
            <v>44326</v>
          </cell>
          <cell r="D271" t="str">
            <v>273 sites</v>
          </cell>
          <cell r="E271" t="str">
            <v>P4</v>
          </cell>
          <cell r="F271" t="str">
            <v>Hybrid Solar - S3</v>
          </cell>
          <cell r="G271" t="str">
            <v>CAMUSAT</v>
          </cell>
        </row>
        <row r="272">
          <cell r="A272" t="str">
            <v>EXN_205</v>
          </cell>
          <cell r="B272" t="str">
            <v>Guendjen</v>
          </cell>
          <cell r="C272">
            <v>44712</v>
          </cell>
          <cell r="D272" t="str">
            <v>OG22</v>
          </cell>
          <cell r="E272" t="str">
            <v>P4</v>
          </cell>
          <cell r="F272" t="str">
            <v>Hybrid Solar - S3</v>
          </cell>
          <cell r="G272" t="str">
            <v>CAMUSAT</v>
          </cell>
        </row>
        <row r="273">
          <cell r="A273" t="str">
            <v>EXN_236</v>
          </cell>
          <cell r="B273" t="str">
            <v>Yagoua Quinf 2</v>
          </cell>
          <cell r="C273">
            <v>44376</v>
          </cell>
          <cell r="D273" t="str">
            <v>273 sites</v>
          </cell>
          <cell r="E273" t="str">
            <v>P4</v>
          </cell>
          <cell r="F273" t="str">
            <v>Medium Grid + GE</v>
          </cell>
          <cell r="G273" t="str">
            <v>CAMUSAT</v>
          </cell>
        </row>
        <row r="274">
          <cell r="A274" t="str">
            <v>LIT_639</v>
          </cell>
          <cell r="B274" t="str">
            <v>Yassa-dispensaire</v>
          </cell>
          <cell r="C274">
            <v>44465</v>
          </cell>
          <cell r="D274" t="str">
            <v>273 sites</v>
          </cell>
          <cell r="E274" t="str">
            <v>P4</v>
          </cell>
          <cell r="F274" t="str">
            <v>Good Grid + GE</v>
          </cell>
          <cell r="G274" t="str">
            <v>CAMUSAT</v>
          </cell>
        </row>
        <row r="275">
          <cell r="A275" t="str">
            <v>LIT_642</v>
          </cell>
          <cell r="B275" t="str">
            <v>Yassa-II</v>
          </cell>
          <cell r="C275">
            <v>44440</v>
          </cell>
          <cell r="D275" t="str">
            <v>273 sites</v>
          </cell>
          <cell r="E275" t="str">
            <v>P4</v>
          </cell>
          <cell r="F275" t="str">
            <v>Good Grid + GE</v>
          </cell>
          <cell r="G275" t="str">
            <v>CAMUSAT</v>
          </cell>
        </row>
        <row r="276">
          <cell r="A276" t="str">
            <v>SUD_243</v>
          </cell>
          <cell r="B276" t="str">
            <v>Yembon</v>
          </cell>
          <cell r="C276">
            <v>44483</v>
          </cell>
          <cell r="D276" t="str">
            <v>273 sites</v>
          </cell>
          <cell r="E276" t="str">
            <v>P4</v>
          </cell>
          <cell r="F276" t="str">
            <v>HGB</v>
          </cell>
          <cell r="G276" t="str">
            <v>CAMUSAT</v>
          </cell>
        </row>
        <row r="277">
          <cell r="A277" t="str">
            <v>OST_262</v>
          </cell>
          <cell r="B277" t="str">
            <v>zemda</v>
          </cell>
          <cell r="C277">
            <v>44377</v>
          </cell>
          <cell r="D277" t="str">
            <v>273 sites</v>
          </cell>
          <cell r="E277" t="str">
            <v>P4</v>
          </cell>
          <cell r="F277" t="str">
            <v>Hybrid Solar - S3</v>
          </cell>
          <cell r="G277" t="str">
            <v>CAMUSAT</v>
          </cell>
        </row>
        <row r="278">
          <cell r="A278" t="str">
            <v>EXN_204</v>
          </cell>
          <cell r="B278" t="str">
            <v>ZOKOK PALAR 2</v>
          </cell>
          <cell r="C278">
            <v>44440</v>
          </cell>
          <cell r="D278" t="str">
            <v>273 sites</v>
          </cell>
          <cell r="E278" t="str">
            <v>P4</v>
          </cell>
          <cell r="F278" t="str">
            <v>Medium Grid + GE</v>
          </cell>
          <cell r="G278" t="str">
            <v>CAMUSAT</v>
          </cell>
        </row>
        <row r="279">
          <cell r="A279" t="str">
            <v>EXN_242</v>
          </cell>
          <cell r="B279" t="str">
            <v>Zouhaye</v>
          </cell>
          <cell r="C279">
            <v>44372</v>
          </cell>
          <cell r="D279" t="str">
            <v>273 sites</v>
          </cell>
          <cell r="E279" t="str">
            <v>P4</v>
          </cell>
          <cell r="F279" t="str">
            <v>Hybrid Solar - S3</v>
          </cell>
          <cell r="G279" t="str">
            <v>CAMUSAT</v>
          </cell>
        </row>
        <row r="280">
          <cell r="A280" t="str">
            <v>NRD_178</v>
          </cell>
          <cell r="B280" t="str">
            <v>Guider-Djamboutou</v>
          </cell>
          <cell r="D280" t="str">
            <v>48 sites -2021</v>
          </cell>
          <cell r="E280" t="str">
            <v>P4</v>
          </cell>
          <cell r="F280" t="str">
            <v>Hybrid Solar - S3</v>
          </cell>
          <cell r="G280" t="str">
            <v>CAMUSAT</v>
          </cell>
        </row>
        <row r="281">
          <cell r="A281" t="str">
            <v>LIT_637</v>
          </cell>
          <cell r="B281" t="str">
            <v>Bberi-Enem</v>
          </cell>
          <cell r="C281">
            <v>44440</v>
          </cell>
          <cell r="D281" t="str">
            <v>273 sites</v>
          </cell>
          <cell r="E281" t="str">
            <v>P4</v>
          </cell>
          <cell r="F281" t="str">
            <v>Medium Grid + GE</v>
          </cell>
          <cell r="G281" t="str">
            <v>CAMUSAT</v>
          </cell>
        </row>
        <row r="282">
          <cell r="A282" t="str">
            <v>CTR_662</v>
          </cell>
          <cell r="B282" t="str">
            <v>Abomé 2</v>
          </cell>
          <cell r="C282">
            <v>44461</v>
          </cell>
          <cell r="D282" t="str">
            <v>273 sites</v>
          </cell>
          <cell r="E282" t="str">
            <v>P4</v>
          </cell>
          <cell r="F282" t="str">
            <v>Good Grid no GE - 12h</v>
          </cell>
          <cell r="G282" t="str">
            <v>CAMUSAT</v>
          </cell>
        </row>
        <row r="283">
          <cell r="A283" t="str">
            <v>LIT_653</v>
          </cell>
          <cell r="B283" t="str">
            <v>Ancien-Troisieme</v>
          </cell>
          <cell r="C283">
            <v>44465</v>
          </cell>
          <cell r="D283" t="str">
            <v>273 sites</v>
          </cell>
          <cell r="E283" t="str">
            <v>P4</v>
          </cell>
          <cell r="F283" t="str">
            <v>Good Grid no GE - 8h</v>
          </cell>
          <cell r="G283" t="str">
            <v>CAMUSAT</v>
          </cell>
        </row>
        <row r="284">
          <cell r="A284" t="str">
            <v>CTR_664</v>
          </cell>
          <cell r="B284" t="str">
            <v>Avenue-Biyem-Assi</v>
          </cell>
          <cell r="C284">
            <v>44464</v>
          </cell>
          <cell r="D284" t="str">
            <v>273 sites</v>
          </cell>
          <cell r="E284" t="str">
            <v>P4</v>
          </cell>
          <cell r="F284" t="str">
            <v>Good Grid no GE - 12h</v>
          </cell>
          <cell r="G284" t="str">
            <v>CAMUSAT</v>
          </cell>
        </row>
        <row r="285">
          <cell r="A285" t="str">
            <v>LIT_681</v>
          </cell>
          <cell r="B285" t="str">
            <v>BBeri-Dikolo-Centre-Equestre</v>
          </cell>
          <cell r="C285">
            <v>44259</v>
          </cell>
          <cell r="D285" t="str">
            <v>273 sites</v>
          </cell>
          <cell r="E285" t="str">
            <v>P4</v>
          </cell>
          <cell r="F285" t="str">
            <v>Good Grid no GE - 8h</v>
          </cell>
          <cell r="G285" t="str">
            <v>CAMUSAT</v>
          </cell>
        </row>
        <row r="286">
          <cell r="A286" t="str">
            <v>NRO_016</v>
          </cell>
          <cell r="B286" t="str">
            <v>Bda-Agence</v>
          </cell>
          <cell r="C286">
            <v>44343</v>
          </cell>
          <cell r="D286" t="str">
            <v>273 sites</v>
          </cell>
          <cell r="E286" t="str">
            <v>P4</v>
          </cell>
          <cell r="F286" t="str">
            <v>Bad Grid + GE</v>
          </cell>
          <cell r="G286" t="str">
            <v>CAMUSAT</v>
          </cell>
        </row>
        <row r="287">
          <cell r="A287" t="str">
            <v>LIT_687</v>
          </cell>
          <cell r="B287" t="str">
            <v>Bepanda-Ambiance</v>
          </cell>
          <cell r="C287">
            <v>44254</v>
          </cell>
          <cell r="D287" t="str">
            <v>273 sites</v>
          </cell>
          <cell r="E287" t="str">
            <v>P4</v>
          </cell>
          <cell r="F287" t="str">
            <v>Good Grid no GE - 8h</v>
          </cell>
          <cell r="G287" t="str">
            <v>CAMUSAT</v>
          </cell>
        </row>
        <row r="288">
          <cell r="A288" t="str">
            <v>OST_270</v>
          </cell>
          <cell r="B288" t="str">
            <v>Bfsam-Ndiandam-School</v>
          </cell>
          <cell r="C288">
            <v>44498</v>
          </cell>
          <cell r="D288" t="str">
            <v>273 sites</v>
          </cell>
          <cell r="E288" t="str">
            <v>P4</v>
          </cell>
          <cell r="F288" t="str">
            <v>Good Grid no GE - 8h</v>
          </cell>
          <cell r="G288" t="str">
            <v>CAMUSAT</v>
          </cell>
        </row>
        <row r="289">
          <cell r="A289" t="str">
            <v>LIT_402</v>
          </cell>
          <cell r="B289" t="str">
            <v>HIKOA-MALEP</v>
          </cell>
          <cell r="D289" t="str">
            <v>Sites tiers</v>
          </cell>
          <cell r="E289" t="str">
            <v>P4</v>
          </cell>
          <cell r="F289" t="str">
            <v>Hybrid Solar - S3</v>
          </cell>
          <cell r="G289" t="str">
            <v>CAMUSAT</v>
          </cell>
        </row>
        <row r="290">
          <cell r="A290" t="str">
            <v>LIT_675</v>
          </cell>
          <cell r="B290" t="str">
            <v>Bpriso-Croissanterie</v>
          </cell>
          <cell r="C290">
            <v>44440</v>
          </cell>
          <cell r="D290" t="str">
            <v>273 sites</v>
          </cell>
          <cell r="E290" t="str">
            <v>P4</v>
          </cell>
          <cell r="F290" t="str">
            <v>Good Grid + GE</v>
          </cell>
          <cell r="G290" t="str">
            <v>CAMUSAT</v>
          </cell>
        </row>
        <row r="291">
          <cell r="A291" t="str">
            <v>LIT_676</v>
          </cell>
          <cell r="B291" t="str">
            <v>Bpriso-Hydrocarbure</v>
          </cell>
          <cell r="C291">
            <v>44253</v>
          </cell>
          <cell r="D291" t="str">
            <v>273 sites</v>
          </cell>
          <cell r="E291" t="str">
            <v>P4</v>
          </cell>
          <cell r="F291" t="str">
            <v>Good Grid no GE - 8h</v>
          </cell>
          <cell r="G291" t="str">
            <v>CAMUSAT</v>
          </cell>
        </row>
        <row r="292">
          <cell r="A292" t="str">
            <v>LIT_694</v>
          </cell>
          <cell r="B292" t="str">
            <v>Brazzaville-II</v>
          </cell>
          <cell r="C292">
            <v>44464</v>
          </cell>
          <cell r="D292" t="str">
            <v>273 sites</v>
          </cell>
          <cell r="E292" t="str">
            <v>P4</v>
          </cell>
          <cell r="F292" t="str">
            <v>Good Grid no GE - 8h</v>
          </cell>
          <cell r="G292" t="str">
            <v>CAMUSAT</v>
          </cell>
        </row>
        <row r="293">
          <cell r="A293" t="str">
            <v>LIT_686</v>
          </cell>
          <cell r="B293" t="str">
            <v>Bsadi-IPPB</v>
          </cell>
          <cell r="C293">
            <v>44440</v>
          </cell>
          <cell r="D293" t="str">
            <v>273 sites</v>
          </cell>
          <cell r="E293" t="str">
            <v>P4</v>
          </cell>
          <cell r="F293" t="str">
            <v>Good Grid no GE - 8h</v>
          </cell>
          <cell r="G293" t="str">
            <v>CAMUSAT</v>
          </cell>
        </row>
        <row r="294">
          <cell r="A294" t="str">
            <v>CTR_767</v>
          </cell>
          <cell r="B294" t="str">
            <v>Camp-Sic-Mendong</v>
          </cell>
          <cell r="C294">
            <v>44465</v>
          </cell>
          <cell r="D294" t="str">
            <v>273 sites</v>
          </cell>
          <cell r="E294" t="str">
            <v>P4</v>
          </cell>
          <cell r="F294" t="str">
            <v>Good Grid no GE - 8h</v>
          </cell>
          <cell r="G294" t="str">
            <v>CAMUSAT</v>
          </cell>
        </row>
        <row r="295">
          <cell r="A295" t="str">
            <v>CTR_720</v>
          </cell>
          <cell r="B295" t="str">
            <v>Carriere</v>
          </cell>
          <cell r="C295">
            <v>44279</v>
          </cell>
          <cell r="D295" t="str">
            <v>273 sites</v>
          </cell>
          <cell r="E295" t="str">
            <v>P4</v>
          </cell>
          <cell r="F295" t="str">
            <v>Good Grid no GE - 8h</v>
          </cell>
          <cell r="G295" t="str">
            <v>CAMUSAT</v>
          </cell>
        </row>
        <row r="296">
          <cell r="A296" t="str">
            <v>CTR_557</v>
          </cell>
          <cell r="B296" t="str">
            <v>Crf-Ecole-Maternelle-Carriere</v>
          </cell>
          <cell r="C296">
            <v>44461</v>
          </cell>
          <cell r="D296" t="str">
            <v>273 sites</v>
          </cell>
          <cell r="E296" t="str">
            <v>P4</v>
          </cell>
          <cell r="F296" t="str">
            <v>Good Grid no GE - 8h</v>
          </cell>
          <cell r="G296" t="str">
            <v>CAMUSAT</v>
          </cell>
        </row>
        <row r="297">
          <cell r="A297" t="str">
            <v>CTR_719</v>
          </cell>
          <cell r="B297" t="str">
            <v>Ekounou-II</v>
          </cell>
          <cell r="C297">
            <v>44481</v>
          </cell>
          <cell r="D297" t="str">
            <v>273 sites</v>
          </cell>
          <cell r="E297" t="str">
            <v>P4</v>
          </cell>
          <cell r="F297" t="str">
            <v>Good Grid no GE - 8h</v>
          </cell>
          <cell r="G297" t="str">
            <v>CAMUSAT</v>
          </cell>
        </row>
        <row r="298">
          <cell r="A298" t="str">
            <v>CTR_558</v>
          </cell>
          <cell r="B298" t="str">
            <v>EMOMBO 2eme CRF</v>
          </cell>
          <cell r="D298" t="str">
            <v>273 sites</v>
          </cell>
          <cell r="E298" t="str">
            <v>P4</v>
          </cell>
          <cell r="F298" t="str">
            <v>Good Grid no GE - 8h</v>
          </cell>
          <cell r="G298" t="str">
            <v>CAMUSAT</v>
          </cell>
        </row>
        <row r="299">
          <cell r="A299" t="str">
            <v>CTR_682</v>
          </cell>
          <cell r="B299" t="str">
            <v>Etoa-Meki-II </v>
          </cell>
          <cell r="C299">
            <v>44460</v>
          </cell>
          <cell r="D299" t="str">
            <v>273 sites</v>
          </cell>
          <cell r="E299" t="str">
            <v>P4</v>
          </cell>
          <cell r="F299" t="str">
            <v>Good Grid no GE - 8h</v>
          </cell>
          <cell r="G299" t="str">
            <v>CAMUSAT</v>
          </cell>
        </row>
        <row r="300">
          <cell r="A300" t="str">
            <v>LIT_689</v>
          </cell>
          <cell r="B300" t="str">
            <v>FAYADOR-AKWA</v>
          </cell>
          <cell r="C300">
            <v>44261</v>
          </cell>
          <cell r="D300" t="str">
            <v>273 sites</v>
          </cell>
          <cell r="E300" t="str">
            <v>P4</v>
          </cell>
          <cell r="F300" t="str">
            <v>Good Grid no GE - 8h</v>
          </cell>
          <cell r="G300" t="str">
            <v>CAMUSAT</v>
          </cell>
        </row>
        <row r="301">
          <cell r="A301" t="str">
            <v>CTR_652</v>
          </cell>
          <cell r="B301" t="str">
            <v>HOPITAL DE LA CASSE</v>
          </cell>
          <cell r="C301">
            <v>44377</v>
          </cell>
          <cell r="D301" t="str">
            <v>273 sites</v>
          </cell>
          <cell r="E301" t="str">
            <v>P4</v>
          </cell>
          <cell r="F301" t="str">
            <v>Good Grid no GE - 8h</v>
          </cell>
          <cell r="G301" t="str">
            <v>CAMUSAT</v>
          </cell>
        </row>
        <row r="302">
          <cell r="A302" t="str">
            <v>LIT_657</v>
          </cell>
          <cell r="B302" t="str">
            <v>Kotto-Denver</v>
          </cell>
          <cell r="C302">
            <v>44464</v>
          </cell>
          <cell r="D302" t="str">
            <v>273 sites</v>
          </cell>
          <cell r="E302" t="str">
            <v>P4</v>
          </cell>
          <cell r="F302" t="str">
            <v>Good Grid no GE - 12h</v>
          </cell>
          <cell r="G302" t="str">
            <v>CAMUSAT</v>
          </cell>
        </row>
        <row r="303">
          <cell r="A303" t="str">
            <v>LIT_612</v>
          </cell>
          <cell r="B303" t="str">
            <v>Kotto-Logpom</v>
          </cell>
          <cell r="C303">
            <v>44253</v>
          </cell>
          <cell r="D303" t="str">
            <v>273 sites</v>
          </cell>
          <cell r="E303" t="str">
            <v>P4</v>
          </cell>
          <cell r="F303" t="str">
            <v>Good Grid no GE - 8h</v>
          </cell>
          <cell r="G303" t="str">
            <v>CAMUSAT</v>
          </cell>
        </row>
        <row r="304">
          <cell r="A304" t="str">
            <v>CTR_258</v>
          </cell>
          <cell r="B304" t="str">
            <v>Kowet City</v>
          </cell>
          <cell r="C304">
            <v>44440</v>
          </cell>
          <cell r="D304" t="str">
            <v>273 sites</v>
          </cell>
          <cell r="E304" t="str">
            <v>P4</v>
          </cell>
          <cell r="F304" t="str">
            <v>Good Grid + GE</v>
          </cell>
          <cell r="G304" t="str">
            <v>CAMUSAT</v>
          </cell>
        </row>
        <row r="305">
          <cell r="A305" t="str">
            <v>SUD_071</v>
          </cell>
          <cell r="B305" t="str">
            <v>Kribi-Bassiki</v>
          </cell>
          <cell r="C305">
            <v>44475</v>
          </cell>
          <cell r="D305" t="str">
            <v>273 sites</v>
          </cell>
          <cell r="E305" t="str">
            <v>P4</v>
          </cell>
          <cell r="F305" t="str">
            <v>Good Grid no GE - 8h</v>
          </cell>
          <cell r="G305" t="str">
            <v>CAMUSAT</v>
          </cell>
        </row>
        <row r="306">
          <cell r="A306" t="str">
            <v>LIT_638</v>
          </cell>
          <cell r="B306" t="str">
            <v>Logbessou-Sunshine-City</v>
          </cell>
          <cell r="C306">
            <v>44440</v>
          </cell>
          <cell r="D306" t="str">
            <v>273 sites</v>
          </cell>
          <cell r="E306" t="str">
            <v>P4</v>
          </cell>
          <cell r="F306" t="str">
            <v>Medium Grid + GE</v>
          </cell>
          <cell r="G306" t="str">
            <v>CAMUSAT</v>
          </cell>
        </row>
        <row r="307">
          <cell r="A307" t="str">
            <v>LIT_613</v>
          </cell>
          <cell r="B307" t="str">
            <v>Makepe_BlocE</v>
          </cell>
          <cell r="C307">
            <v>44465</v>
          </cell>
          <cell r="D307" t="str">
            <v>273 sites</v>
          </cell>
          <cell r="E307" t="str">
            <v>P4</v>
          </cell>
          <cell r="F307" t="str">
            <v>Good Grid no GE - 8h</v>
          </cell>
          <cell r="G307" t="str">
            <v>CAMUSAT</v>
          </cell>
        </row>
        <row r="308">
          <cell r="A308" t="str">
            <v>LIT_547</v>
          </cell>
          <cell r="B308" t="str">
            <v>Marche-Congo</v>
          </cell>
          <cell r="C308">
            <v>44300</v>
          </cell>
          <cell r="D308" t="str">
            <v>273 sites</v>
          </cell>
          <cell r="E308" t="str">
            <v>P4</v>
          </cell>
          <cell r="F308" t="str">
            <v>Good Grid no GE - 8h</v>
          </cell>
          <cell r="G308" t="str">
            <v>CAMUSAT</v>
          </cell>
        </row>
        <row r="309">
          <cell r="A309" t="str">
            <v>EXN_044</v>
          </cell>
          <cell r="B309" t="str">
            <v>Maroua-Orange</v>
          </cell>
          <cell r="C309">
            <v>44497</v>
          </cell>
          <cell r="D309" t="str">
            <v>273 sites</v>
          </cell>
          <cell r="E309" t="str">
            <v>P4</v>
          </cell>
          <cell r="F309" t="str">
            <v>Medium Grid + GE</v>
          </cell>
          <cell r="G309" t="str">
            <v>CAMUSAT</v>
          </cell>
        </row>
        <row r="310">
          <cell r="A310" t="str">
            <v>CTR_655</v>
          </cell>
          <cell r="B310" t="str">
            <v>MIMBOMAN LIBERTE</v>
          </cell>
          <cell r="C310">
            <v>44464</v>
          </cell>
          <cell r="D310" t="str">
            <v>273 sites</v>
          </cell>
          <cell r="E310" t="str">
            <v>P4</v>
          </cell>
          <cell r="F310" t="str">
            <v>Good Grid no GE - 8h</v>
          </cell>
          <cell r="G310" t="str">
            <v>CAMUSAT</v>
          </cell>
        </row>
        <row r="311">
          <cell r="A311" t="str">
            <v>CTR_728</v>
          </cell>
          <cell r="B311" t="str">
            <v>Mvog-Atangana-Mballa</v>
          </cell>
          <cell r="C311">
            <v>44465</v>
          </cell>
          <cell r="D311" t="str">
            <v>273 sites</v>
          </cell>
          <cell r="E311" t="str">
            <v>P4</v>
          </cell>
          <cell r="F311" t="str">
            <v>Good Grid no GE - 8h</v>
          </cell>
          <cell r="G311" t="str">
            <v>CAMUSAT</v>
          </cell>
        </row>
        <row r="312">
          <cell r="A312" t="str">
            <v>LIT_619</v>
          </cell>
          <cell r="B312" t="str">
            <v>Ndogbong-Hotel-Pacifique</v>
          </cell>
          <cell r="C312">
            <v>44464</v>
          </cell>
          <cell r="D312" t="str">
            <v>273 sites</v>
          </cell>
          <cell r="E312" t="str">
            <v>P4</v>
          </cell>
          <cell r="F312" t="str">
            <v>Good Grid no GE - 12h</v>
          </cell>
          <cell r="G312" t="str">
            <v>CAMUSAT</v>
          </cell>
        </row>
        <row r="313">
          <cell r="A313" t="str">
            <v>LIT_652</v>
          </cell>
          <cell r="B313" t="str">
            <v>Ndogbong-Seven</v>
          </cell>
          <cell r="C313">
            <v>44450</v>
          </cell>
          <cell r="D313" t="str">
            <v>273 sites</v>
          </cell>
          <cell r="E313" t="str">
            <v>P4</v>
          </cell>
          <cell r="F313" t="str">
            <v>Good Grid no GE - 8h</v>
          </cell>
          <cell r="G313" t="str">
            <v>CAMUSAT</v>
          </cell>
        </row>
        <row r="314">
          <cell r="A314" t="str">
            <v>LIT_554</v>
          </cell>
          <cell r="B314" t="str">
            <v>Ndpssi-Vallee-de-la-Paix</v>
          </cell>
          <cell r="C314">
            <v>44153</v>
          </cell>
          <cell r="D314" t="str">
            <v>273 sites</v>
          </cell>
          <cell r="E314" t="str">
            <v>P4</v>
          </cell>
          <cell r="F314" t="str">
            <v>Good Grid no GE - 12h</v>
          </cell>
          <cell r="G314" t="str">
            <v>CAMUSAT</v>
          </cell>
        </row>
        <row r="315">
          <cell r="A315" t="str">
            <v>CTR_672</v>
          </cell>
          <cell r="B315" t="str">
            <v>Nkolzié 2</v>
          </cell>
          <cell r="C315">
            <v>44465</v>
          </cell>
          <cell r="D315" t="str">
            <v>273 sites</v>
          </cell>
          <cell r="E315" t="str">
            <v>P4</v>
          </cell>
          <cell r="F315" t="str">
            <v>Medium Grid + GE</v>
          </cell>
          <cell r="G315" t="str">
            <v>CAMUSAT</v>
          </cell>
        </row>
        <row r="316">
          <cell r="A316" t="str">
            <v>CTR_565</v>
          </cell>
          <cell r="B316" t="str">
            <v>NR CARROSSEL</v>
          </cell>
          <cell r="C316">
            <v>44465</v>
          </cell>
          <cell r="D316" t="str">
            <v>273 sites</v>
          </cell>
          <cell r="E316" t="str">
            <v>P4</v>
          </cell>
          <cell r="F316" t="str">
            <v>Good Grid no GE - 8h</v>
          </cell>
          <cell r="G316" t="str">
            <v>CAMUSAT</v>
          </cell>
        </row>
        <row r="317">
          <cell r="A317" t="str">
            <v>CTR_660</v>
          </cell>
          <cell r="B317" t="str">
            <v>Nsimeyong-Chefferie</v>
          </cell>
          <cell r="C317">
            <v>44462</v>
          </cell>
          <cell r="D317" t="str">
            <v>273 sites</v>
          </cell>
          <cell r="E317" t="str">
            <v>P4</v>
          </cell>
          <cell r="F317" t="str">
            <v>Good Grid no GE - 12h</v>
          </cell>
          <cell r="G317" t="str">
            <v>CAMUSAT</v>
          </cell>
        </row>
        <row r="318">
          <cell r="A318" t="str">
            <v>LIT_765</v>
          </cell>
          <cell r="B318" t="str">
            <v>Oyack-II</v>
          </cell>
          <cell r="C318">
            <v>44459</v>
          </cell>
          <cell r="D318" t="str">
            <v>273 sites</v>
          </cell>
          <cell r="E318" t="str">
            <v>P4</v>
          </cell>
          <cell r="F318" t="str">
            <v>Good Grid no GE - 8h</v>
          </cell>
          <cell r="G318" t="str">
            <v>CAMUSAT</v>
          </cell>
        </row>
        <row r="319">
          <cell r="A319" t="str">
            <v>LIT_666</v>
          </cell>
          <cell r="B319" t="str">
            <v>Parcours-Vita</v>
          </cell>
          <cell r="C319">
            <v>44254</v>
          </cell>
          <cell r="D319" t="str">
            <v>273 sites</v>
          </cell>
          <cell r="E319" t="str">
            <v>P4</v>
          </cell>
          <cell r="F319" t="str">
            <v>Good Grid no GE - 12h</v>
          </cell>
          <cell r="G319" t="str">
            <v>CAMUSAT</v>
          </cell>
        </row>
        <row r="320">
          <cell r="A320" t="str">
            <v>LIT_647</v>
          </cell>
          <cell r="B320" t="str">
            <v>PK5-Auberge</v>
          </cell>
          <cell r="C320">
            <v>44253</v>
          </cell>
          <cell r="D320" t="str">
            <v>273 sites</v>
          </cell>
          <cell r="E320" t="str">
            <v>P4</v>
          </cell>
          <cell r="F320" t="str">
            <v>Good Grid no GE - 12h</v>
          </cell>
          <cell r="G320" t="str">
            <v>CAMUSAT</v>
          </cell>
        </row>
        <row r="321">
          <cell r="A321" t="str">
            <v>CTR_766</v>
          </cell>
          <cell r="B321" t="str">
            <v>Rain-forest-school</v>
          </cell>
          <cell r="C321">
            <v>44279</v>
          </cell>
          <cell r="D321" t="str">
            <v>273 sites</v>
          </cell>
          <cell r="E321" t="str">
            <v>P4</v>
          </cell>
          <cell r="F321" t="str">
            <v>Good Grid no GE - 8h</v>
          </cell>
          <cell r="G321" t="str">
            <v>CAMUSAT</v>
          </cell>
        </row>
        <row r="322">
          <cell r="A322" t="str">
            <v>CTR_759</v>
          </cell>
          <cell r="B322" t="str">
            <v>Red_Cross_Yde</v>
          </cell>
          <cell r="C322">
            <v>44465</v>
          </cell>
          <cell r="D322" t="str">
            <v>273 sites</v>
          </cell>
          <cell r="E322" t="str">
            <v>P4</v>
          </cell>
          <cell r="F322" t="str">
            <v>Good Grid no GE - 8h</v>
          </cell>
          <cell r="G322" t="str">
            <v>CAMUSAT</v>
          </cell>
        </row>
        <row r="323">
          <cell r="A323" t="str">
            <v>CTR_758</v>
          </cell>
          <cell r="B323" t="str">
            <v>Vallee-Omnisport</v>
          </cell>
          <cell r="C323">
            <v>44460</v>
          </cell>
          <cell r="D323" t="str">
            <v>273 sites</v>
          </cell>
          <cell r="E323" t="str">
            <v>P4</v>
          </cell>
          <cell r="F323" t="str">
            <v>Good Grid no GE - 8h</v>
          </cell>
          <cell r="G323" t="str">
            <v>CAMUSAT</v>
          </cell>
        </row>
        <row r="324">
          <cell r="A324" t="str">
            <v>LIT_630</v>
          </cell>
          <cell r="B324" t="str">
            <v>PK8-ESG-ISTA</v>
          </cell>
          <cell r="D324" t="str">
            <v>273 sites</v>
          </cell>
          <cell r="E324" t="str">
            <v>P4</v>
          </cell>
          <cell r="F324" t="str">
            <v>Good Grid no GE - 8h</v>
          </cell>
          <cell r="G324" t="str">
            <v>CAMUSAT</v>
          </cell>
        </row>
        <row r="325">
          <cell r="A325" t="str">
            <v>CTR_689</v>
          </cell>
          <cell r="B325" t="str">
            <v>SS  Soa (Minisite-SOA)</v>
          </cell>
          <cell r="D325" t="str">
            <v>273 sites</v>
          </cell>
          <cell r="E325" t="str">
            <v>P4</v>
          </cell>
          <cell r="F325" t="str">
            <v>Good Grid no GE - 8h</v>
          </cell>
          <cell r="G325" t="str">
            <v>CAMUSAT</v>
          </cell>
        </row>
        <row r="326">
          <cell r="A326" t="str">
            <v>CTR_684</v>
          </cell>
          <cell r="B326" t="str">
            <v>SS Elig-Edzoa</v>
          </cell>
          <cell r="D326" t="str">
            <v>273 sites</v>
          </cell>
          <cell r="E326" t="str">
            <v>P4</v>
          </cell>
          <cell r="F326" t="str">
            <v>Good Grid no GE - 8h</v>
          </cell>
          <cell r="G326" t="str">
            <v>CAMUSAT</v>
          </cell>
        </row>
        <row r="327">
          <cell r="A327" t="str">
            <v>LIT_663</v>
          </cell>
          <cell r="B327" t="str">
            <v>SS Tradex village</v>
          </cell>
          <cell r="D327" t="str">
            <v>273 sites</v>
          </cell>
          <cell r="E327" t="str">
            <v>P4</v>
          </cell>
          <cell r="F327" t="str">
            <v>Good Grid no GE - 8h</v>
          </cell>
          <cell r="G327" t="str">
            <v>CAMUSAT</v>
          </cell>
        </row>
        <row r="328">
          <cell r="A328" t="str">
            <v>CTR_690</v>
          </cell>
          <cell r="B328" t="str">
            <v>SS Tsinga</v>
          </cell>
          <cell r="D328" t="str">
            <v>273 sites</v>
          </cell>
          <cell r="E328" t="str">
            <v>P4</v>
          </cell>
          <cell r="F328" t="str">
            <v>Good Grid no GE - 8h</v>
          </cell>
          <cell r="G328" t="str">
            <v>CAMUSAT</v>
          </cell>
        </row>
        <row r="329">
          <cell r="A329" t="str">
            <v>OST_296</v>
          </cell>
          <cell r="B329" t="str">
            <v>Hopital-Mbouo</v>
          </cell>
          <cell r="C329">
            <v>44523</v>
          </cell>
          <cell r="D329" t="str">
            <v>48 sites -2021</v>
          </cell>
          <cell r="E329" t="str">
            <v>P4</v>
          </cell>
          <cell r="F329" t="str">
            <v>Good Grid + GE</v>
          </cell>
          <cell r="G329" t="str">
            <v>CAMUSAT</v>
          </cell>
        </row>
        <row r="330">
          <cell r="A330" t="str">
            <v>CTR_868</v>
          </cell>
          <cell r="B330" t="str">
            <v>Institut Samba remplace Dschang-Foreke</v>
          </cell>
          <cell r="C330">
            <v>44725</v>
          </cell>
          <cell r="D330" t="str">
            <v>48 sites -2021</v>
          </cell>
          <cell r="E330" t="str">
            <v>P4</v>
          </cell>
          <cell r="F330" t="str">
            <v>Good Grid no GE - 8h</v>
          </cell>
          <cell r="G330" t="str">
            <v>CAMUSAT</v>
          </cell>
        </row>
        <row r="331">
          <cell r="A331" t="str">
            <v>LIT_725</v>
          </cell>
          <cell r="B331" t="str">
            <v>Japoma-I </v>
          </cell>
          <cell r="D331" t="str">
            <v>OG22</v>
          </cell>
          <cell r="E331" t="str">
            <v>P4</v>
          </cell>
          <cell r="F331" t="str">
            <v>Bad Grid + GE</v>
          </cell>
          <cell r="G331" t="str">
            <v>CAMUSAT</v>
          </cell>
        </row>
        <row r="332">
          <cell r="A332" t="str">
            <v>LIT_733</v>
          </cell>
          <cell r="B332" t="str">
            <v>Japoma-Stade-Camtel</v>
          </cell>
          <cell r="C332">
            <v>44511</v>
          </cell>
          <cell r="D332" t="str">
            <v>Sites CAN-21</v>
          </cell>
          <cell r="E332" t="str">
            <v>P4</v>
          </cell>
          <cell r="F332" t="str">
            <v>Good Grid no GE - 8h</v>
          </cell>
          <cell r="G332" t="str">
            <v>CAMUSAT</v>
          </cell>
        </row>
        <row r="333">
          <cell r="A333" t="str">
            <v>LIT_713</v>
          </cell>
          <cell r="B333" t="str">
            <v>Kotto-Baden-Baden</v>
          </cell>
          <cell r="C333">
            <v>44531</v>
          </cell>
          <cell r="D333" t="str">
            <v>48 sites -2021</v>
          </cell>
          <cell r="E333" t="str">
            <v>P4</v>
          </cell>
          <cell r="F333" t="str">
            <v>Good Grid no GE - 8h</v>
          </cell>
          <cell r="G333" t="str">
            <v>CAMUSAT</v>
          </cell>
        </row>
        <row r="334">
          <cell r="A334" t="str">
            <v>CTR_866</v>
          </cell>
          <cell r="B334" t="str">
            <v>Mehanda-III</v>
          </cell>
          <cell r="C334">
            <v>44767</v>
          </cell>
          <cell r="D334" t="str">
            <v>OG22</v>
          </cell>
          <cell r="E334" t="str">
            <v>P4</v>
          </cell>
          <cell r="F334" t="str">
            <v>Good Grid + GE</v>
          </cell>
          <cell r="G334" t="str">
            <v>CAMUSAT</v>
          </cell>
        </row>
        <row r="335">
          <cell r="A335" t="str">
            <v>LIT_712</v>
          </cell>
          <cell r="B335" t="str">
            <v>Kotto-Mbangue-II</v>
          </cell>
          <cell r="C335">
            <v>44531</v>
          </cell>
          <cell r="D335" t="str">
            <v>12 sites Ph-2-2021</v>
          </cell>
          <cell r="E335" t="str">
            <v>P4</v>
          </cell>
          <cell r="F335" t="str">
            <v>Good Grid no GE - 8h</v>
          </cell>
          <cell r="G335" t="str">
            <v>CAMUSAT</v>
          </cell>
        </row>
        <row r="336">
          <cell r="A336" t="str">
            <v>LIT_726</v>
          </cell>
          <cell r="B336" t="str">
            <v>Kotto-Village</v>
          </cell>
          <cell r="D336" t="str">
            <v>48 sites -2021</v>
          </cell>
          <cell r="E336" t="str">
            <v>P4</v>
          </cell>
          <cell r="F336" t="str">
            <v>Good Grid no GE - 8h</v>
          </cell>
          <cell r="G336" t="str">
            <v>CAMUSAT</v>
          </cell>
        </row>
        <row r="337">
          <cell r="A337" t="str">
            <v>CTR_823</v>
          </cell>
          <cell r="B337" t="str">
            <v>Koundou</v>
          </cell>
          <cell r="C337">
            <v>44793</v>
          </cell>
          <cell r="D337" t="str">
            <v>OG22</v>
          </cell>
          <cell r="E337" t="str">
            <v>P4</v>
          </cell>
          <cell r="F337" t="str">
            <v>HGB</v>
          </cell>
          <cell r="G337" t="str">
            <v>CAMUSAT</v>
          </cell>
        </row>
        <row r="338">
          <cell r="A338" t="str">
            <v>SUD_010</v>
          </cell>
          <cell r="B338" t="str">
            <v>Kribi-Crtv</v>
          </cell>
          <cell r="C338">
            <v>44517</v>
          </cell>
          <cell r="D338" t="str">
            <v>Sites tiers</v>
          </cell>
          <cell r="E338" t="str">
            <v>P3</v>
          </cell>
          <cell r="F338" t="str">
            <v>Good Grid + GE</v>
          </cell>
          <cell r="G338" t="str">
            <v>CAMUSAT</v>
          </cell>
        </row>
        <row r="339">
          <cell r="A339" t="str">
            <v>SUO_227</v>
          </cell>
          <cell r="B339" t="str">
            <v>Limbe-Batoke</v>
          </cell>
          <cell r="D339" t="str">
            <v>12 sites Ph-2-2021</v>
          </cell>
          <cell r="E339" t="str">
            <v>P4</v>
          </cell>
          <cell r="F339" t="str">
            <v>Good Grid no GE - 8h</v>
          </cell>
          <cell r="G339" t="str">
            <v>CAMUSAT</v>
          </cell>
        </row>
        <row r="340">
          <cell r="A340" t="str">
            <v>CTR_822</v>
          </cell>
          <cell r="B340" t="str">
            <v>Ebebda</v>
          </cell>
          <cell r="C340">
            <v>44781</v>
          </cell>
          <cell r="D340" t="str">
            <v>OG22</v>
          </cell>
          <cell r="E340" t="str">
            <v>P4</v>
          </cell>
          <cell r="F340" t="str">
            <v>Hybrid Solar - S3</v>
          </cell>
          <cell r="G340" t="str">
            <v>CAMUSAT</v>
          </cell>
        </row>
        <row r="341">
          <cell r="A341" t="str">
            <v>LIT_737</v>
          </cell>
          <cell r="B341" t="str">
            <v>Logpom</v>
          </cell>
          <cell r="C341">
            <v>44511</v>
          </cell>
          <cell r="D341" t="str">
            <v>48 sites -2021</v>
          </cell>
          <cell r="E341" t="str">
            <v>P4</v>
          </cell>
          <cell r="F341" t="str">
            <v>Good Grid no GE - 8h</v>
          </cell>
          <cell r="G341" t="str">
            <v>CAMUSAT</v>
          </cell>
        </row>
        <row r="342">
          <cell r="A342" t="str">
            <v>OST_251</v>
          </cell>
          <cell r="B342" t="str">
            <v>FOREKE</v>
          </cell>
          <cell r="D342" t="str">
            <v>OG22</v>
          </cell>
          <cell r="E342" t="str">
            <v>P4</v>
          </cell>
          <cell r="F342" t="str">
            <v>Medium Grid + GE</v>
          </cell>
          <cell r="G342" t="str">
            <v>CAMUSAT</v>
          </cell>
        </row>
        <row r="343">
          <cell r="A343" t="str">
            <v>LIT_389</v>
          </cell>
          <cell r="B343" t="str">
            <v>LOUNGAHE</v>
          </cell>
          <cell r="C343">
            <v>44374</v>
          </cell>
          <cell r="D343" t="str">
            <v>Sites tiers</v>
          </cell>
          <cell r="E343" t="str">
            <v>P4</v>
          </cell>
          <cell r="F343" t="str">
            <v>Pure Solar</v>
          </cell>
          <cell r="G343" t="str">
            <v>CAMUSAT</v>
          </cell>
        </row>
        <row r="344">
          <cell r="A344" t="str">
            <v>CTR_144</v>
          </cell>
          <cell r="B344" t="str">
            <v>Makak</v>
          </cell>
          <cell r="D344" t="str">
            <v>Sites tiers</v>
          </cell>
          <cell r="E344" t="str">
            <v>P4</v>
          </cell>
          <cell r="F344" t="str">
            <v>Good Grid + GE</v>
          </cell>
          <cell r="G344" t="str">
            <v>CAMUSAT</v>
          </cell>
        </row>
        <row r="345">
          <cell r="A345" t="str">
            <v>LIT_114</v>
          </cell>
          <cell r="B345" t="str">
            <v>Makondo</v>
          </cell>
          <cell r="C345">
            <v>44521</v>
          </cell>
          <cell r="D345" t="str">
            <v>Sites tiers</v>
          </cell>
          <cell r="E345" t="str">
            <v>P4</v>
          </cell>
          <cell r="F345" t="str">
            <v>Medium Grid + Solar + GE</v>
          </cell>
          <cell r="G345" t="str">
            <v>CAMUSAT</v>
          </cell>
        </row>
        <row r="346">
          <cell r="A346" t="str">
            <v>OST_275</v>
          </cell>
          <cell r="B346" t="str">
            <v>MALANDEN</v>
          </cell>
          <cell r="C346">
            <v>44530</v>
          </cell>
          <cell r="D346" t="str">
            <v>48 sites -2021</v>
          </cell>
          <cell r="E346" t="str">
            <v>P4</v>
          </cell>
          <cell r="F346" t="str">
            <v>Hybrid Solar - S3</v>
          </cell>
          <cell r="G346" t="str">
            <v>CAMUSAT</v>
          </cell>
        </row>
        <row r="347">
          <cell r="A347" t="str">
            <v>SUO_009</v>
          </cell>
          <cell r="B347" t="str">
            <v>Mamfe</v>
          </cell>
          <cell r="D347" t="str">
            <v>Sites tiers</v>
          </cell>
          <cell r="E347" t="str">
            <v>P3</v>
          </cell>
          <cell r="F347" t="str">
            <v>Bad Grid + GE</v>
          </cell>
          <cell r="G347" t="str">
            <v>CAMUSAT</v>
          </cell>
        </row>
        <row r="348">
          <cell r="A348" t="str">
            <v>OST_245</v>
          </cell>
          <cell r="B348" t="str">
            <v>Mankouotmbou</v>
          </cell>
          <cell r="D348" t="str">
            <v>OG22</v>
          </cell>
          <cell r="E348" t="str">
            <v>P4</v>
          </cell>
          <cell r="F348" t="str">
            <v>Hybrid Solar - S3</v>
          </cell>
          <cell r="G348" t="str">
            <v>CAMUSAT</v>
          </cell>
        </row>
        <row r="349">
          <cell r="A349" t="str">
            <v>OST_293</v>
          </cell>
          <cell r="B349" t="str">
            <v>Mansouen</v>
          </cell>
          <cell r="C349">
            <v>44531</v>
          </cell>
          <cell r="D349" t="str">
            <v>48 sites -2021</v>
          </cell>
          <cell r="E349" t="str">
            <v>P4</v>
          </cell>
          <cell r="F349" t="str">
            <v>Hybrid Solar - S3</v>
          </cell>
          <cell r="G349" t="str">
            <v>CAMUSAT</v>
          </cell>
        </row>
        <row r="350">
          <cell r="A350" t="str">
            <v>LIT_740</v>
          </cell>
          <cell r="B350" t="str">
            <v>Marche-Central-Bonewon New</v>
          </cell>
          <cell r="D350" t="str">
            <v>OG22</v>
          </cell>
          <cell r="E350" t="str">
            <v>P4</v>
          </cell>
          <cell r="F350" t="str">
            <v>Good Grid no GE - 8h</v>
          </cell>
          <cell r="G350" t="str">
            <v>CAMUSAT</v>
          </cell>
        </row>
        <row r="351">
          <cell r="A351" t="str">
            <v>CTR_831</v>
          </cell>
          <cell r="B351" t="str">
            <v>Mbalgong Carrefour</v>
          </cell>
          <cell r="C351">
            <v>44506</v>
          </cell>
          <cell r="D351" t="str">
            <v>48 sites -2021</v>
          </cell>
          <cell r="E351" t="str">
            <v>P4</v>
          </cell>
          <cell r="F351" t="str">
            <v>Good Grid no GE - 8h</v>
          </cell>
          <cell r="G351" t="str">
            <v>CAMUSAT</v>
          </cell>
        </row>
        <row r="352">
          <cell r="A352" t="str">
            <v>CTR_824</v>
          </cell>
          <cell r="B352" t="str">
            <v>Mballa II</v>
          </cell>
          <cell r="D352" t="str">
            <v>48 sites -2021</v>
          </cell>
          <cell r="E352" t="str">
            <v>P4</v>
          </cell>
          <cell r="F352" t="str">
            <v>Good Grid no GE - 8h</v>
          </cell>
          <cell r="G352" t="str">
            <v>CAMUSAT</v>
          </cell>
        </row>
        <row r="353">
          <cell r="A353" t="str">
            <v>LIT_736</v>
          </cell>
          <cell r="B353" t="str">
            <v>Mboppi</v>
          </cell>
          <cell r="C353">
            <v>44498</v>
          </cell>
          <cell r="D353" t="str">
            <v>48 sites -2021</v>
          </cell>
          <cell r="E353" t="str">
            <v>p4</v>
          </cell>
          <cell r="F353" t="str">
            <v>Good Grid no GE - 8h</v>
          </cell>
          <cell r="G353" t="str">
            <v>CAMUSAT</v>
          </cell>
        </row>
        <row r="354">
          <cell r="A354" t="str">
            <v>OST_297</v>
          </cell>
          <cell r="B354" t="str">
            <v>Mbouda-Marche-Ignames</v>
          </cell>
          <cell r="C354">
            <v>44531</v>
          </cell>
          <cell r="D354" t="str">
            <v>48 sites -2021</v>
          </cell>
          <cell r="E354" t="str">
            <v>P4</v>
          </cell>
          <cell r="F354" t="str">
            <v>Medium Grid + Solar + GE</v>
          </cell>
          <cell r="G354" t="str">
            <v>CAMUSAT</v>
          </cell>
        </row>
        <row r="355">
          <cell r="A355" t="str">
            <v>NRD_140</v>
          </cell>
          <cell r="B355" t="str">
            <v>Garoua-Nigeriare-II</v>
          </cell>
          <cell r="D355" t="str">
            <v>OG22</v>
          </cell>
          <cell r="E355" t="str">
            <v>P4</v>
          </cell>
          <cell r="F355" t="str">
            <v>Medium Grid + GE</v>
          </cell>
          <cell r="G355" t="str">
            <v>CAMUSAT</v>
          </cell>
        </row>
        <row r="356">
          <cell r="A356" t="str">
            <v>CTR_407</v>
          </cell>
          <cell r="B356" t="str">
            <v>MEBA CAMTEL</v>
          </cell>
          <cell r="D356" t="str">
            <v>Sites tiers</v>
          </cell>
          <cell r="E356" t="str">
            <v>P4</v>
          </cell>
          <cell r="F356" t="str">
            <v>Hybrid Solar - S3</v>
          </cell>
          <cell r="G356" t="str">
            <v>CAMUSAT</v>
          </cell>
        </row>
        <row r="357">
          <cell r="A357" t="str">
            <v>ADM_004</v>
          </cell>
          <cell r="B357" t="str">
            <v>Meiganga-Crtv</v>
          </cell>
          <cell r="D357" t="str">
            <v>Sites tiers</v>
          </cell>
          <cell r="E357" t="str">
            <v>P4</v>
          </cell>
          <cell r="F357" t="str">
            <v>Bad Grid + Solar + GE</v>
          </cell>
          <cell r="G357" t="str">
            <v>CAMUSAT</v>
          </cell>
        </row>
        <row r="358">
          <cell r="A358" t="str">
            <v>ADM_171</v>
          </cell>
          <cell r="B358" t="str">
            <v>MEIGANGA-UNIVERSITE</v>
          </cell>
          <cell r="D358" t="str">
            <v>48 sites -2021</v>
          </cell>
          <cell r="E358" t="str">
            <v>P4</v>
          </cell>
          <cell r="F358" t="str">
            <v>Hybrid Solar - S3</v>
          </cell>
          <cell r="G358" t="str">
            <v>CAMUSAT</v>
          </cell>
        </row>
        <row r="359">
          <cell r="A359" t="str">
            <v>CTR_434</v>
          </cell>
          <cell r="B359" t="str">
            <v>Mékin</v>
          </cell>
          <cell r="D359" t="str">
            <v>Sites tiers</v>
          </cell>
          <cell r="E359" t="str">
            <v>P4</v>
          </cell>
          <cell r="F359" t="str">
            <v>Hybrid Solar - S3</v>
          </cell>
          <cell r="G359" t="str">
            <v>CAMUSAT</v>
          </cell>
        </row>
        <row r="360">
          <cell r="A360" t="str">
            <v>OST_240</v>
          </cell>
          <cell r="B360" t="str">
            <v>Bfsam-Ndiandam-II</v>
          </cell>
          <cell r="D360" t="str">
            <v>OG22</v>
          </cell>
          <cell r="E360" t="str">
            <v>P4</v>
          </cell>
          <cell r="F360" t="str">
            <v>Bad Grid + GE</v>
          </cell>
          <cell r="G360" t="str">
            <v>CAMUSAT</v>
          </cell>
        </row>
        <row r="361">
          <cell r="A361" t="str">
            <v>OST_227</v>
          </cell>
          <cell r="B361" t="str">
            <v>Foumbot-Centre-Ville-II</v>
          </cell>
          <cell r="D361" t="str">
            <v>OG22</v>
          </cell>
          <cell r="E361" t="str">
            <v>P4</v>
          </cell>
          <cell r="F361" t="str">
            <v>Bad Grid + GE</v>
          </cell>
          <cell r="G361" t="str">
            <v>CAMUSAT</v>
          </cell>
        </row>
        <row r="362">
          <cell r="A362" t="str">
            <v>EXN_243</v>
          </cell>
          <cell r="B362" t="str">
            <v>Kossehone</v>
          </cell>
          <cell r="D362" t="str">
            <v>273 sites</v>
          </cell>
          <cell r="E362" t="str">
            <v>P4</v>
          </cell>
          <cell r="F362" t="str">
            <v>Bad Grid + GE</v>
          </cell>
          <cell r="G362" t="str">
            <v>CAMUSAT</v>
          </cell>
        </row>
        <row r="363">
          <cell r="A363" t="str">
            <v>SUD_257</v>
          </cell>
          <cell r="B363" t="str">
            <v>MEMVE ELE CAMTEL</v>
          </cell>
          <cell r="D363" t="str">
            <v>Sites tiers</v>
          </cell>
          <cell r="E363" t="str">
            <v>P4</v>
          </cell>
          <cell r="F363" t="str">
            <v>Hybrid Solar - S3</v>
          </cell>
          <cell r="G363" t="str">
            <v>CAMUSAT</v>
          </cell>
        </row>
        <row r="364">
          <cell r="A364" t="str">
            <v>CTR_142</v>
          </cell>
          <cell r="B364" t="str">
            <v>MENGAME CAMTEL</v>
          </cell>
          <cell r="D364" t="str">
            <v>Sites tiers</v>
          </cell>
          <cell r="E364" t="str">
            <v>P4</v>
          </cell>
          <cell r="F364" t="str">
            <v>Bad Grid + GE</v>
          </cell>
          <cell r="G364" t="str">
            <v>CAMUSAT</v>
          </cell>
        </row>
        <row r="365">
          <cell r="A365" t="str">
            <v>EXN_197</v>
          </cell>
          <cell r="B365" t="str">
            <v>Doualare-II</v>
          </cell>
          <cell r="D365" t="str">
            <v>OG22</v>
          </cell>
          <cell r="E365" t="str">
            <v>P4</v>
          </cell>
          <cell r="F365" t="str">
            <v>Medium Grid + GE</v>
          </cell>
          <cell r="G365" t="str">
            <v>CAMUSAT</v>
          </cell>
        </row>
        <row r="366">
          <cell r="A366" t="str">
            <v>EXN_217</v>
          </cell>
          <cell r="B366" t="str">
            <v>Douggoy-Lopere-II</v>
          </cell>
          <cell r="D366" t="str">
            <v>OG22</v>
          </cell>
          <cell r="E366" t="str">
            <v>P4</v>
          </cell>
          <cell r="F366" t="str">
            <v>Medium Grid + GE</v>
          </cell>
          <cell r="G366" t="str">
            <v>CAMUSAT</v>
          </cell>
        </row>
        <row r="367">
          <cell r="A367" t="str">
            <v>CTR_451</v>
          </cell>
          <cell r="B367" t="str">
            <v>Menloh Maloumé</v>
          </cell>
          <cell r="D367" t="str">
            <v>Sites tiers</v>
          </cell>
          <cell r="E367" t="str">
            <v>P4</v>
          </cell>
          <cell r="F367" t="str">
            <v>Hybrid Solar - S3</v>
          </cell>
          <cell r="G367" t="str">
            <v>CAMUSAT</v>
          </cell>
        </row>
        <row r="368">
          <cell r="A368" t="str">
            <v>SUD_106</v>
          </cell>
          <cell r="B368" t="str">
            <v>Messok</v>
          </cell>
          <cell r="D368" t="str">
            <v>OG22</v>
          </cell>
          <cell r="E368" t="str">
            <v>P4</v>
          </cell>
          <cell r="F368" t="str">
            <v>Hybrid Solar - S3</v>
          </cell>
          <cell r="G368" t="str">
            <v>CAMUSAT</v>
          </cell>
        </row>
        <row r="369">
          <cell r="A369" t="str">
            <v>LIT_134</v>
          </cell>
          <cell r="B369" t="str">
            <v>MESSONDO</v>
          </cell>
          <cell r="D369" t="str">
            <v>Sites tiers</v>
          </cell>
          <cell r="E369" t="str">
            <v>P4</v>
          </cell>
          <cell r="F369" t="str">
            <v>HGB</v>
          </cell>
          <cell r="G369" t="str">
            <v>CAMUSAT</v>
          </cell>
        </row>
        <row r="370">
          <cell r="A370" t="str">
            <v>CTR_850</v>
          </cell>
          <cell r="B370" t="str">
            <v>Meyo-II</v>
          </cell>
          <cell r="D370" t="str">
            <v>12 sites Ph-2-2021</v>
          </cell>
          <cell r="E370" t="str">
            <v>P4</v>
          </cell>
          <cell r="F370" t="str">
            <v>Bad Grid + GE</v>
          </cell>
          <cell r="G370" t="str">
            <v>CAMUSAT</v>
          </cell>
        </row>
        <row r="371">
          <cell r="A371" t="str">
            <v>LIT_674</v>
          </cell>
          <cell r="B371" t="str">
            <v>Mini_SS_CanalOlympia_1</v>
          </cell>
          <cell r="D371" t="str">
            <v>New mini-sites</v>
          </cell>
          <cell r="E371" t="str">
            <v>P4</v>
          </cell>
          <cell r="F371" t="str">
            <v>Good Grid no GE - 8h</v>
          </cell>
          <cell r="G371" t="str">
            <v>CAMUSAT</v>
          </cell>
        </row>
        <row r="372">
          <cell r="A372" t="str">
            <v>LIT_732</v>
          </cell>
          <cell r="B372" t="str">
            <v>Missoke-Chefferie</v>
          </cell>
          <cell r="C372">
            <v>44509</v>
          </cell>
          <cell r="D372" t="str">
            <v>48 sites -2021</v>
          </cell>
          <cell r="E372" t="str">
            <v>P4</v>
          </cell>
          <cell r="F372" t="str">
            <v>Good Grid no GE - 8h</v>
          </cell>
          <cell r="G372" t="str">
            <v>CAMUSAT</v>
          </cell>
        </row>
        <row r="373">
          <cell r="A373" t="str">
            <v>EXN_005</v>
          </cell>
          <cell r="B373" t="str">
            <v>MORA COLINE</v>
          </cell>
          <cell r="D373" t="str">
            <v>Sites tiers</v>
          </cell>
          <cell r="E373" t="str">
            <v>P3</v>
          </cell>
          <cell r="F373" t="str">
            <v>Bad Grid + Solar + GE</v>
          </cell>
          <cell r="G373" t="str">
            <v>CAMUSAT</v>
          </cell>
        </row>
        <row r="374">
          <cell r="A374" t="str">
            <v>SUO_164</v>
          </cell>
          <cell r="B374" t="str">
            <v>Mutenguene-E-Police</v>
          </cell>
          <cell r="C374">
            <v>44522</v>
          </cell>
          <cell r="D374" t="str">
            <v>48 sites -2021</v>
          </cell>
          <cell r="E374" t="str">
            <v>P4</v>
          </cell>
          <cell r="F374" t="str">
            <v>Hybrid Solar - S1</v>
          </cell>
          <cell r="G374" t="str">
            <v>CAMUSAT</v>
          </cell>
        </row>
        <row r="375">
          <cell r="A375" t="str">
            <v>LIT_662</v>
          </cell>
          <cell r="B375" t="str">
            <v>SS-Dubai</v>
          </cell>
          <cell r="D375" t="str">
            <v>OG22</v>
          </cell>
          <cell r="E375" t="str">
            <v>P4</v>
          </cell>
          <cell r="F375" t="str">
            <v>Good Grid no GE - 8h</v>
          </cell>
          <cell r="G375" t="str">
            <v>CAMUSAT</v>
          </cell>
        </row>
        <row r="376">
          <cell r="A376" t="str">
            <v>LIT_752</v>
          </cell>
          <cell r="B376" t="str">
            <v>NEW-BELL-CAMTEL</v>
          </cell>
          <cell r="C376">
            <v>44697</v>
          </cell>
          <cell r="D376" t="str">
            <v>12 sites Ph-2-2021</v>
          </cell>
          <cell r="E376" t="str">
            <v>P4</v>
          </cell>
          <cell r="F376" t="str">
            <v>Bad Grid + GE</v>
          </cell>
          <cell r="G376" t="str">
            <v>CAMUSAT</v>
          </cell>
        </row>
        <row r="377">
          <cell r="A377" t="str">
            <v>CTR_858</v>
          </cell>
          <cell r="B377" t="str">
            <v>NGUIBASSAL</v>
          </cell>
          <cell r="C377">
            <v>44829</v>
          </cell>
          <cell r="D377" t="str">
            <v>OG22</v>
          </cell>
          <cell r="E377" t="str">
            <v>P4</v>
          </cell>
          <cell r="F377" t="str">
            <v>HGB</v>
          </cell>
          <cell r="G377" t="str">
            <v>CAMUSAT</v>
          </cell>
        </row>
        <row r="378">
          <cell r="A378" t="str">
            <v>SUO_171</v>
          </cell>
          <cell r="B378" t="str">
            <v>SONARA</v>
          </cell>
          <cell r="C378">
            <v>44743</v>
          </cell>
          <cell r="D378" t="str">
            <v>12 sites Ph-2-2021</v>
          </cell>
          <cell r="E378" t="str">
            <v>P4</v>
          </cell>
          <cell r="F378" t="str">
            <v>Medium Grid + GE</v>
          </cell>
          <cell r="G378" t="str">
            <v>CAMUSAT</v>
          </cell>
        </row>
        <row r="379">
          <cell r="A379" t="str">
            <v>CTR_139</v>
          </cell>
          <cell r="B379" t="str">
            <v>NJIE CAMTEL</v>
          </cell>
          <cell r="D379" t="str">
            <v>Sites tiers</v>
          </cell>
          <cell r="E379" t="str">
            <v>P4</v>
          </cell>
          <cell r="F379" t="str">
            <v>Hybrid Solar - S3</v>
          </cell>
          <cell r="G379" t="str">
            <v>CAMUSAT</v>
          </cell>
        </row>
        <row r="380">
          <cell r="A380" t="str">
            <v>NRO_005</v>
          </cell>
          <cell r="B380" t="str">
            <v>Nkambe</v>
          </cell>
          <cell r="D380" t="str">
            <v>Sites tiers</v>
          </cell>
          <cell r="E380" t="str">
            <v>P4</v>
          </cell>
          <cell r="F380" t="str">
            <v>HGB</v>
          </cell>
          <cell r="G380" t="str">
            <v>CAMUSAT</v>
          </cell>
        </row>
        <row r="381">
          <cell r="A381" t="str">
            <v>CTR_780</v>
          </cell>
          <cell r="B381" t="str">
            <v>Nkolafamba</v>
          </cell>
          <cell r="C381">
            <v>44510</v>
          </cell>
          <cell r="D381" t="str">
            <v>48 sites -2021</v>
          </cell>
          <cell r="E381" t="str">
            <v>P4</v>
          </cell>
          <cell r="F381" t="str">
            <v>HGB</v>
          </cell>
          <cell r="G381" t="str">
            <v>CAMUSAT</v>
          </cell>
        </row>
        <row r="382">
          <cell r="A382" t="str">
            <v>CTR_776</v>
          </cell>
          <cell r="B382" t="str">
            <v>Nkolda-II</v>
          </cell>
          <cell r="C382">
            <v>44511</v>
          </cell>
          <cell r="D382" t="str">
            <v>48 sites -2021</v>
          </cell>
          <cell r="E382" t="str">
            <v>P4</v>
          </cell>
          <cell r="F382" t="str">
            <v>Good Grid no GE - 8h</v>
          </cell>
          <cell r="G382" t="str">
            <v>CAMUSAT</v>
          </cell>
        </row>
        <row r="383">
          <cell r="A383" t="str">
            <v>CTR_875</v>
          </cell>
          <cell r="B383" t="str">
            <v>Nkolmessing-Abom-II</v>
          </cell>
          <cell r="C383">
            <v>44792</v>
          </cell>
          <cell r="D383" t="str">
            <v>OG22</v>
          </cell>
          <cell r="E383" t="str">
            <v>P4</v>
          </cell>
          <cell r="F383" t="str">
            <v>Good Grid + GE</v>
          </cell>
          <cell r="G383" t="str">
            <v>CAMUSAT</v>
          </cell>
        </row>
        <row r="384">
          <cell r="A384" t="str">
            <v>CTR_825</v>
          </cell>
          <cell r="B384" t="str">
            <v>Nkometou-Razel</v>
          </cell>
          <cell r="C384">
            <v>44531</v>
          </cell>
          <cell r="D384" t="str">
            <v>48 sites -2021</v>
          </cell>
          <cell r="E384" t="str">
            <v>P4</v>
          </cell>
          <cell r="F384" t="str">
            <v>Hybrid Solar - S3</v>
          </cell>
          <cell r="G384" t="str">
            <v>CAMUSAT</v>
          </cell>
        </row>
        <row r="385">
          <cell r="A385" t="str">
            <v>EST_147</v>
          </cell>
          <cell r="B385" t="str">
            <v>GADJI</v>
          </cell>
          <cell r="D385" t="str">
            <v>OG22</v>
          </cell>
          <cell r="E385" t="str">
            <v>P4</v>
          </cell>
          <cell r="F385" t="str">
            <v>Hybrid Solar - S3</v>
          </cell>
          <cell r="G385" t="str">
            <v>CAMUSAT</v>
          </cell>
        </row>
        <row r="386">
          <cell r="A386" t="str">
            <v>LIT_757</v>
          </cell>
          <cell r="B386" t="str">
            <v>Yatchika-II</v>
          </cell>
          <cell r="C386">
            <v>44763</v>
          </cell>
          <cell r="D386" t="str">
            <v>OG22</v>
          </cell>
          <cell r="E386" t="str">
            <v>P4</v>
          </cell>
          <cell r="F386" t="str">
            <v>Good Grid + GE</v>
          </cell>
          <cell r="G386" t="str">
            <v>CAMUSAT</v>
          </cell>
        </row>
        <row r="387">
          <cell r="A387" t="str">
            <v>LIT_705</v>
          </cell>
          <cell r="B387" t="str">
            <v>Akwa-Palace-Micro</v>
          </cell>
          <cell r="C387">
            <v>44463</v>
          </cell>
          <cell r="D387" t="str">
            <v>273 sites</v>
          </cell>
          <cell r="E387" t="str">
            <v>P4</v>
          </cell>
          <cell r="F387" t="str">
            <v>Good Grid no GE - 8h</v>
          </cell>
          <cell r="G387" t="str">
            <v>CAMUSAT</v>
          </cell>
        </row>
        <row r="388">
          <cell r="A388" t="str">
            <v>LIT_XXX</v>
          </cell>
          <cell r="B388" t="str">
            <v>CNPS</v>
          </cell>
          <cell r="C388">
            <v>44463</v>
          </cell>
          <cell r="D388" t="str">
            <v>273 sites</v>
          </cell>
          <cell r="E388" t="str">
            <v>P4</v>
          </cell>
          <cell r="F388" t="str">
            <v>Good Grid no GE - 8h</v>
          </cell>
          <cell r="G388" t="str">
            <v>CAMUSAT</v>
          </cell>
        </row>
        <row r="389">
          <cell r="A389" t="str">
            <v>LIT_708</v>
          </cell>
          <cell r="B389" t="str">
            <v>CNPS-Indoor</v>
          </cell>
          <cell r="C389">
            <v>44463</v>
          </cell>
          <cell r="D389" t="str">
            <v>273 sites</v>
          </cell>
          <cell r="E389" t="str">
            <v>P4</v>
          </cell>
          <cell r="F389" t="str">
            <v>Good Grid no GE - 8h</v>
          </cell>
          <cell r="G389" t="str">
            <v>CAMUSAT</v>
          </cell>
        </row>
        <row r="390">
          <cell r="A390" t="str">
            <v>LIT_116</v>
          </cell>
          <cell r="B390" t="str">
            <v>Nkong-CRTV</v>
          </cell>
          <cell r="C390">
            <v>44518</v>
          </cell>
          <cell r="D390" t="str">
            <v>Sites tiers</v>
          </cell>
          <cell r="E390" t="str">
            <v>P4</v>
          </cell>
          <cell r="F390" t="str">
            <v>Good Grid + GE</v>
          </cell>
          <cell r="G390" t="str">
            <v>CAMUSAT</v>
          </cell>
        </row>
        <row r="391">
          <cell r="A391" t="str">
            <v>CTR_777</v>
          </cell>
          <cell r="B391" t="str">
            <v>Nkoulou-II</v>
          </cell>
          <cell r="C391">
            <v>44722</v>
          </cell>
          <cell r="D391" t="str">
            <v>OG22</v>
          </cell>
          <cell r="E391" t="str">
            <v>P4</v>
          </cell>
          <cell r="F391" t="str">
            <v>Bad Grid + GE</v>
          </cell>
          <cell r="G391" t="str">
            <v>CAMUSAT</v>
          </cell>
        </row>
        <row r="392">
          <cell r="A392" t="str">
            <v>CTR_826</v>
          </cell>
          <cell r="B392" t="str">
            <v>Ntui-Ecole-Publique</v>
          </cell>
          <cell r="D392" t="str">
            <v>48 sites -2021</v>
          </cell>
          <cell r="E392" t="str">
            <v>P4</v>
          </cell>
          <cell r="F392" t="str">
            <v>HGB</v>
          </cell>
          <cell r="G392" t="str">
            <v>CAMUSAT</v>
          </cell>
        </row>
        <row r="393">
          <cell r="A393" t="str">
            <v>CTR_628</v>
          </cell>
          <cell r="B393" t="str">
            <v>Odza 3</v>
          </cell>
          <cell r="C393">
            <v>44477</v>
          </cell>
          <cell r="D393" t="str">
            <v>273 sites</v>
          </cell>
          <cell r="E393" t="str">
            <v>P4</v>
          </cell>
          <cell r="F393" t="str">
            <v>Bad Grid + GE</v>
          </cell>
          <cell r="G393" t="str">
            <v>CAMUSAT</v>
          </cell>
        </row>
        <row r="394">
          <cell r="A394" t="str">
            <v>LIT_729</v>
          </cell>
          <cell r="B394" t="str">
            <v>ZI-Bassa-II</v>
          </cell>
          <cell r="C394">
            <v>44507</v>
          </cell>
          <cell r="D394" t="str">
            <v>48 sites -2021</v>
          </cell>
          <cell r="E394" t="str">
            <v>P4</v>
          </cell>
          <cell r="F394" t="str">
            <v>Good Grid + GE</v>
          </cell>
          <cell r="G394" t="str">
            <v>CAMUSAT</v>
          </cell>
        </row>
        <row r="395">
          <cell r="A395" t="str">
            <v>LIT_751</v>
          </cell>
          <cell r="B395" t="str">
            <v>Nyalla III (Yambong-II)</v>
          </cell>
          <cell r="D395" t="str">
            <v>12 sites Ph-2-2021</v>
          </cell>
          <cell r="E395" t="str">
            <v>P4</v>
          </cell>
          <cell r="F395" t="str">
            <v>Good Grid no GE - 8h</v>
          </cell>
          <cell r="G395" t="str">
            <v>CAMUSAT</v>
          </cell>
        </row>
        <row r="396">
          <cell r="A396" t="str">
            <v>SUD_079</v>
          </cell>
          <cell r="B396" t="str">
            <v>Kribi-Londji</v>
          </cell>
          <cell r="C396">
            <v>44407</v>
          </cell>
          <cell r="D396" t="str">
            <v>273 sites</v>
          </cell>
          <cell r="E396" t="str">
            <v>P4</v>
          </cell>
          <cell r="F396" t="str">
            <v>Medium Grid + Solar + GE</v>
          </cell>
          <cell r="G396" t="str">
            <v>CAMUSAT</v>
          </cell>
        </row>
        <row r="397">
          <cell r="A397" t="str">
            <v>CTR_853</v>
          </cell>
          <cell r="B397" t="str">
            <v>Olembe-Camtel</v>
          </cell>
          <cell r="C397">
            <v>44531</v>
          </cell>
          <cell r="D397" t="str">
            <v>Sites CAN-21</v>
          </cell>
          <cell r="E397" t="str">
            <v>P4</v>
          </cell>
          <cell r="F397" t="str">
            <v>Good Grid no GE - 8h</v>
          </cell>
          <cell r="G397" t="str">
            <v>CAMUSAT</v>
          </cell>
        </row>
        <row r="398">
          <cell r="A398" t="str">
            <v>OST_145</v>
          </cell>
          <cell r="B398" t="str">
            <v>Bangou-crtv</v>
          </cell>
          <cell r="C398">
            <v>44502</v>
          </cell>
          <cell r="D398" t="str">
            <v>273 sites</v>
          </cell>
          <cell r="E398" t="str">
            <v>P4</v>
          </cell>
          <cell r="F398" t="str">
            <v>Good Grid + GE</v>
          </cell>
          <cell r="G398" t="str">
            <v>CAMUSAT</v>
          </cell>
        </row>
        <row r="399">
          <cell r="A399" t="str">
            <v>CTR_735</v>
          </cell>
          <cell r="B399" t="str">
            <v>BIR-GP (GP ETOUDI)</v>
          </cell>
          <cell r="C399">
            <v>44225</v>
          </cell>
          <cell r="D399" t="str">
            <v>273 sites</v>
          </cell>
          <cell r="E399" t="str">
            <v>P4</v>
          </cell>
          <cell r="F399" t="str">
            <v>Good Grid no GE - 12h</v>
          </cell>
          <cell r="G399" t="str">
            <v>CAMUSAT</v>
          </cell>
        </row>
        <row r="400">
          <cell r="A400" t="str">
            <v>CTR_865</v>
          </cell>
          <cell r="B400" t="str">
            <v>Oyomabang-II remplace Bitoto-II</v>
          </cell>
          <cell r="C400">
            <v>44772</v>
          </cell>
          <cell r="D400" t="str">
            <v>OG22</v>
          </cell>
          <cell r="E400" t="str">
            <v>P4</v>
          </cell>
          <cell r="F400" t="str">
            <v>Good Grid + GE</v>
          </cell>
          <cell r="G400" t="str">
            <v>CAMUSAT</v>
          </cell>
        </row>
        <row r="401">
          <cell r="A401" t="str">
            <v>LIT_591</v>
          </cell>
          <cell r="B401" t="str">
            <v>Dehane-PHP</v>
          </cell>
          <cell r="C401">
            <v>44445</v>
          </cell>
          <cell r="D401" t="str">
            <v>273 sites</v>
          </cell>
          <cell r="E401" t="str">
            <v>P4</v>
          </cell>
          <cell r="F401" t="str">
            <v>Good Grid no GE - 8h</v>
          </cell>
          <cell r="G401" t="str">
            <v>CAMUSAT</v>
          </cell>
        </row>
        <row r="402">
          <cell r="A402" t="str">
            <v>SUD_098</v>
          </cell>
          <cell r="B402" t="str">
            <v>Dikoum-CAMTEL</v>
          </cell>
          <cell r="C402">
            <v>44286</v>
          </cell>
          <cell r="D402" t="str">
            <v>273 sites</v>
          </cell>
          <cell r="E402" t="str">
            <v>P4</v>
          </cell>
          <cell r="F402" t="str">
            <v>Good Grid no GE - 12h</v>
          </cell>
          <cell r="G402" t="str">
            <v>CAMUSAT</v>
          </cell>
        </row>
        <row r="403">
          <cell r="A403" t="str">
            <v>ADM_038</v>
          </cell>
          <cell r="B403" t="str">
            <v>Pang-Camtel</v>
          </cell>
          <cell r="D403" t="str">
            <v>Sites tiers</v>
          </cell>
          <cell r="E403" t="str">
            <v>P3</v>
          </cell>
          <cell r="F403" t="str">
            <v>Hybrid Solar - S3</v>
          </cell>
          <cell r="G403" t="str">
            <v>CAMUSAT</v>
          </cell>
        </row>
        <row r="404">
          <cell r="A404" t="str">
            <v>NRD_183</v>
          </cell>
          <cell r="B404" t="str">
            <v>PITOA-II</v>
          </cell>
          <cell r="D404" t="str">
            <v>12 sites Ph-2-2021</v>
          </cell>
          <cell r="E404" t="str">
            <v>P4</v>
          </cell>
          <cell r="F404" t="str">
            <v>Hybrid Solar - S1</v>
          </cell>
          <cell r="G404" t="str">
            <v>CAMUSAT</v>
          </cell>
        </row>
        <row r="405">
          <cell r="A405" t="str">
            <v>LIT_592</v>
          </cell>
          <cell r="B405" t="str">
            <v>Manjo-PHP</v>
          </cell>
          <cell r="C405">
            <v>44308</v>
          </cell>
          <cell r="D405" t="str">
            <v>273 sites</v>
          </cell>
          <cell r="E405" t="str">
            <v>P4</v>
          </cell>
          <cell r="F405" t="str">
            <v>Good Grid no GE - 8h</v>
          </cell>
          <cell r="G405" t="str">
            <v>CAMUSAT</v>
          </cell>
        </row>
        <row r="406">
          <cell r="A406" t="str">
            <v>CTR_510</v>
          </cell>
          <cell r="B406" t="str">
            <v>MBANDJOCK II</v>
          </cell>
          <cell r="C406">
            <v>44523</v>
          </cell>
          <cell r="D406" t="str">
            <v>273 sites</v>
          </cell>
          <cell r="E406" t="str">
            <v>P4</v>
          </cell>
          <cell r="F406" t="str">
            <v>Good Grid no GE - 8h</v>
          </cell>
          <cell r="G406" t="str">
            <v>CAMUSAT</v>
          </cell>
        </row>
        <row r="407">
          <cell r="A407" t="str">
            <v>LIT_728</v>
          </cell>
          <cell r="B407" t="str">
            <v>Pk15-Auberge</v>
          </cell>
          <cell r="D407" t="str">
            <v>48 sites -2021</v>
          </cell>
          <cell r="E407" t="str">
            <v>P4</v>
          </cell>
          <cell r="F407" t="str">
            <v>Good Grid no GE - 8h</v>
          </cell>
          <cell r="G407" t="str">
            <v>CAMUSAT</v>
          </cell>
        </row>
        <row r="408">
          <cell r="A408" t="str">
            <v>SUD_078</v>
          </cell>
          <cell r="B408" t="str">
            <v>Mengbwa</v>
          </cell>
          <cell r="C408">
            <v>44435</v>
          </cell>
          <cell r="D408" t="str">
            <v>273 sites</v>
          </cell>
          <cell r="E408" t="str">
            <v>P3</v>
          </cell>
          <cell r="F408" t="str">
            <v>Bad Grid + GE</v>
          </cell>
          <cell r="G408" t="str">
            <v>CAMUSAT</v>
          </cell>
        </row>
        <row r="409">
          <cell r="A409" t="str">
            <v>LIT_731</v>
          </cell>
          <cell r="B409" t="str">
            <v>PK18</v>
          </cell>
          <cell r="C409">
            <v>44515</v>
          </cell>
          <cell r="D409" t="str">
            <v>48 sites -2021</v>
          </cell>
          <cell r="E409" t="str">
            <v>P4</v>
          </cell>
          <cell r="F409" t="str">
            <v>Good Grid + GE</v>
          </cell>
          <cell r="G409" t="str">
            <v>CAMUSAT</v>
          </cell>
        </row>
        <row r="410">
          <cell r="A410" t="str">
            <v>LIT_590</v>
          </cell>
          <cell r="B410" t="str">
            <v>Njombe-PHP</v>
          </cell>
          <cell r="C410">
            <v>44286</v>
          </cell>
          <cell r="D410" t="str">
            <v>273 sites</v>
          </cell>
          <cell r="E410" t="str">
            <v>P4</v>
          </cell>
          <cell r="F410" t="str">
            <v>Good Grid no GE - 8h</v>
          </cell>
          <cell r="G410" t="str">
            <v>CAMUSAT</v>
          </cell>
        </row>
        <row r="411">
          <cell r="A411" t="str">
            <v>CTR_702</v>
          </cell>
          <cell r="B411" t="str">
            <v>Hilton-Macro</v>
          </cell>
          <cell r="C411">
            <v>44506</v>
          </cell>
          <cell r="D411" t="str">
            <v>25 sites</v>
          </cell>
          <cell r="E411" t="str">
            <v>P4</v>
          </cell>
          <cell r="F411" t="str">
            <v>Good Grid no GE - 8h</v>
          </cell>
          <cell r="G411" t="str">
            <v>CAMUSAT</v>
          </cell>
        </row>
        <row r="412">
          <cell r="A412" t="str">
            <v>SUD_092</v>
          </cell>
          <cell r="B412" t="str">
            <v>Port_Autonome_Kribi</v>
          </cell>
          <cell r="D412" t="str">
            <v>New mini-sites</v>
          </cell>
          <cell r="E412" t="str">
            <v>P4</v>
          </cell>
          <cell r="F412" t="str">
            <v>Good Grid no GE - 8h</v>
          </cell>
          <cell r="G412" t="str">
            <v>CAMUSAT</v>
          </cell>
        </row>
        <row r="413">
          <cell r="A413" t="str">
            <v>LIT_594</v>
          </cell>
          <cell r="B413" t="str">
            <v>Penja-PHP</v>
          </cell>
          <cell r="C413">
            <v>44440</v>
          </cell>
          <cell r="D413" t="str">
            <v>273 sites</v>
          </cell>
          <cell r="E413" t="str">
            <v>P4</v>
          </cell>
          <cell r="F413" t="str">
            <v>Good Grid + GE</v>
          </cell>
          <cell r="G413" t="str">
            <v>CAMUSAT</v>
          </cell>
        </row>
        <row r="414">
          <cell r="A414" t="str">
            <v>SUD_260</v>
          </cell>
          <cell r="B414" t="str">
            <v>Sangmelima Château</v>
          </cell>
          <cell r="D414" t="str">
            <v>Sites tiers</v>
          </cell>
          <cell r="E414" t="str">
            <v>P4</v>
          </cell>
          <cell r="F414" t="str">
            <v>Good Grid + GE</v>
          </cell>
          <cell r="G414" t="str">
            <v>CAMUSAT</v>
          </cell>
        </row>
        <row r="415">
          <cell r="A415" t="str">
            <v>SUD_055</v>
          </cell>
          <cell r="B415" t="str">
            <v>Sud Hévéa</v>
          </cell>
          <cell r="C415">
            <v>44484</v>
          </cell>
          <cell r="D415" t="str">
            <v>273 sites</v>
          </cell>
          <cell r="E415" t="str">
            <v>P3</v>
          </cell>
          <cell r="F415" t="str">
            <v>Good Grid no GE - 8h</v>
          </cell>
          <cell r="G415" t="str">
            <v>CAMUSAT</v>
          </cell>
        </row>
        <row r="416">
          <cell r="A416" t="str">
            <v>SUO_173</v>
          </cell>
          <cell r="B416" t="str">
            <v>Jabane</v>
          </cell>
          <cell r="C416">
            <v>44515</v>
          </cell>
          <cell r="D416" t="str">
            <v>25 sites</v>
          </cell>
          <cell r="E416" t="str">
            <v>P4</v>
          </cell>
          <cell r="F416" t="str">
            <v>Good Grid no GE - 8h</v>
          </cell>
          <cell r="G416" t="str">
            <v>CAMUSAT</v>
          </cell>
        </row>
        <row r="417">
          <cell r="A417" t="str">
            <v>SUD_103</v>
          </cell>
          <cell r="B417" t="str">
            <v>Sangmelima-Stade-Municipal</v>
          </cell>
          <cell r="C417">
            <v>44512</v>
          </cell>
          <cell r="D417" t="str">
            <v>48 sites -2021</v>
          </cell>
          <cell r="E417" t="str">
            <v>P4</v>
          </cell>
          <cell r="F417" t="str">
            <v>Good Grid + GE</v>
          </cell>
          <cell r="G417" t="str">
            <v>CAMUSAT</v>
          </cell>
        </row>
        <row r="418">
          <cell r="A418" t="str">
            <v>LIT_739</v>
          </cell>
          <cell r="B418" t="str">
            <v>SCDP</v>
          </cell>
          <cell r="C418">
            <v>44499</v>
          </cell>
          <cell r="D418" t="str">
            <v>48 sites -2021</v>
          </cell>
          <cell r="E418" t="str">
            <v>P4</v>
          </cell>
          <cell r="F418" t="str">
            <v>Good Grid no GE - 8h</v>
          </cell>
          <cell r="G418" t="str">
            <v>CAMUSAT</v>
          </cell>
        </row>
        <row r="419">
          <cell r="A419" t="str">
            <v>LIT_742</v>
          </cell>
          <cell r="B419" t="str">
            <v>SGC-Bonanjo</v>
          </cell>
          <cell r="D419" t="str">
            <v>01 site</v>
          </cell>
          <cell r="E419" t="str">
            <v>P4</v>
          </cell>
          <cell r="F419" t="str">
            <v>Good Grid no GE - 8h</v>
          </cell>
          <cell r="G419" t="str">
            <v>CAMUSAT</v>
          </cell>
        </row>
        <row r="420">
          <cell r="A420" t="str">
            <v>LIT_700</v>
          </cell>
          <cell r="B420" t="str">
            <v>BICEC-Indoor</v>
          </cell>
          <cell r="C420">
            <v>44462</v>
          </cell>
          <cell r="D420" t="str">
            <v>273 sites</v>
          </cell>
          <cell r="E420" t="str">
            <v>P4</v>
          </cell>
          <cell r="F420" t="str">
            <v>Good Grid no GE - 8h</v>
          </cell>
          <cell r="G420" t="str">
            <v>CAMUSAT</v>
          </cell>
        </row>
        <row r="421">
          <cell r="A421" t="str">
            <v>CTR_737</v>
          </cell>
          <cell r="B421" t="str">
            <v>Mini_SS_AFD</v>
          </cell>
          <cell r="D421" t="str">
            <v>273 sites</v>
          </cell>
          <cell r="E421" t="str">
            <v>P4</v>
          </cell>
          <cell r="F421" t="str">
            <v>Good Grid no GE - 8h</v>
          </cell>
          <cell r="G421" t="str">
            <v>CAMUSAT</v>
          </cell>
        </row>
        <row r="422">
          <cell r="A422" t="str">
            <v>CTR_729</v>
          </cell>
          <cell r="B422" t="str">
            <v>Mont-Febe</v>
          </cell>
          <cell r="C422">
            <v>44461</v>
          </cell>
          <cell r="D422" t="str">
            <v>273 sites</v>
          </cell>
          <cell r="E422" t="str">
            <v>P4</v>
          </cell>
          <cell r="F422" t="str">
            <v>Good Grid no GE - 8h</v>
          </cell>
          <cell r="G422" t="str">
            <v>CAMUSAT</v>
          </cell>
        </row>
        <row r="423">
          <cell r="A423" t="str">
            <v>CTR_702_</v>
          </cell>
          <cell r="B423" t="str">
            <v>Hilton-Micro (indoor)</v>
          </cell>
          <cell r="D423" t="str">
            <v>OG22</v>
          </cell>
          <cell r="E423" t="str">
            <v>P4</v>
          </cell>
          <cell r="F423" t="str">
            <v>Good Grid no GE - 8h</v>
          </cell>
          <cell r="G423" t="str">
            <v>CAMUSAT</v>
          </cell>
        </row>
        <row r="424">
          <cell r="A424" t="str">
            <v>SUD_091</v>
          </cell>
          <cell r="B424" t="str">
            <v>SS Kribi-Laigon (SS hotel laigon)</v>
          </cell>
          <cell r="C424">
            <v>44501</v>
          </cell>
          <cell r="D424" t="str">
            <v>273 sites</v>
          </cell>
          <cell r="E424" t="str">
            <v>P4</v>
          </cell>
          <cell r="F424" t="str">
            <v>Good Grid no GE - 8h</v>
          </cell>
          <cell r="G424" t="str">
            <v>CAMUSAT</v>
          </cell>
        </row>
        <row r="425">
          <cell r="A425" t="str">
            <v>NRD_810</v>
          </cell>
          <cell r="B425" t="str">
            <v>Tchollire-CRTV</v>
          </cell>
          <cell r="D425" t="str">
            <v>Sites tiers</v>
          </cell>
          <cell r="E425" t="str">
            <v>P3</v>
          </cell>
          <cell r="F425" t="str">
            <v>Pure Solar</v>
          </cell>
          <cell r="G425" t="str">
            <v>CAMUSAT</v>
          </cell>
        </row>
        <row r="426">
          <cell r="A426" t="str">
            <v>CTR_833</v>
          </cell>
          <cell r="B426" t="str">
            <v>Tropicana-New</v>
          </cell>
          <cell r="D426" t="str">
            <v>48 sites -2021</v>
          </cell>
          <cell r="E426" t="str">
            <v>P4</v>
          </cell>
          <cell r="F426" t="str">
            <v>Bad Grid + GE</v>
          </cell>
          <cell r="G426" t="str">
            <v>CAMUSAT</v>
          </cell>
        </row>
        <row r="427">
          <cell r="A427" t="str">
            <v>LIT_758</v>
          </cell>
          <cell r="B427" t="str">
            <v>Ucac-Icam</v>
          </cell>
          <cell r="C427">
            <v>44779</v>
          </cell>
          <cell r="D427" t="str">
            <v>OG22</v>
          </cell>
          <cell r="E427" t="str">
            <v>P4</v>
          </cell>
          <cell r="F427" t="str">
            <v>Medium Grid + GE</v>
          </cell>
          <cell r="G427" t="str">
            <v>CAMUSAT</v>
          </cell>
        </row>
        <row r="428">
          <cell r="A428" t="str">
            <v>EXN_004</v>
          </cell>
          <cell r="B428" t="str">
            <v>Yagoua CRTV</v>
          </cell>
          <cell r="D428" t="str">
            <v>Sites tiers</v>
          </cell>
          <cell r="E428" t="str">
            <v>P3</v>
          </cell>
          <cell r="F428" t="str">
            <v>Medium Grid + Solar + GE</v>
          </cell>
          <cell r="G428" t="str">
            <v>CAMUSAT</v>
          </cell>
        </row>
        <row r="429">
          <cell r="A429" t="str">
            <v>LIT_766</v>
          </cell>
          <cell r="B429" t="str">
            <v>Yassa-Village-Camtel</v>
          </cell>
          <cell r="C429">
            <v>44440</v>
          </cell>
          <cell r="D429" t="str">
            <v>01 site</v>
          </cell>
          <cell r="E429" t="str">
            <v>P4</v>
          </cell>
          <cell r="F429" t="str">
            <v>Good Grid no GE - 8h</v>
          </cell>
          <cell r="G429" t="str">
            <v>CAMUSAT</v>
          </cell>
        </row>
        <row r="430">
          <cell r="A430" t="str">
            <v>CTR_770</v>
          </cell>
          <cell r="B430" t="str">
            <v>Yegeassi</v>
          </cell>
          <cell r="C430">
            <v>44511</v>
          </cell>
          <cell r="D430" t="str">
            <v>48 sites -2021</v>
          </cell>
          <cell r="E430" t="str">
            <v>P4</v>
          </cell>
          <cell r="F430" t="str">
            <v>Hybrid Solar - S1</v>
          </cell>
          <cell r="G430" t="str">
            <v>CAMUSAT</v>
          </cell>
        </row>
        <row r="431">
          <cell r="A431" t="str">
            <v>EST_013</v>
          </cell>
          <cell r="B431" t="str">
            <v>YOKADOUMA</v>
          </cell>
          <cell r="D431" t="str">
            <v>Sites tiers</v>
          </cell>
          <cell r="E431" t="str">
            <v>P4</v>
          </cell>
          <cell r="F431" t="str">
            <v>Medium Grid + Solar + GE</v>
          </cell>
          <cell r="G431" t="str">
            <v>CAMUSAT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Teleinfra"/>
      <sheetName val="I-Eng"/>
      <sheetName val="FME"/>
      <sheetName val="H.Teli"/>
      <sheetName val="Overall"/>
      <sheetName val="Sheet1"/>
      <sheetName val="Power "/>
      <sheetName val="Codification"/>
      <sheetName val="ExportedAlarms021024 17H"/>
      <sheetName val="ExportedAlarms 21112024 9h"/>
      <sheetName val="cells down 13042026 8h14"/>
      <sheetName val="cells down 13042026 12h31"/>
      <sheetName val="cells down 13042026 16h33 "/>
      <sheetName val="cells down 14042026 8h29"/>
      <sheetName val="cells down 14042026 12h07"/>
      <sheetName val="cells down 14042026 16h32"/>
      <sheetName val="cells down 15042026 8h31"/>
      <sheetName val="cells down 15042026 14h41"/>
      <sheetName val="cells down 15042026 17h25"/>
      <sheetName val="cells down 16042026 8h23"/>
      <sheetName val="cells down 16042026 12h03"/>
      <sheetName val="cells down 16042026 16h58"/>
      <sheetName val="cells down 16042026 16h58 (2)"/>
      <sheetName val="Rapport  "/>
      <sheetName val="Breackdown-Global "/>
      <sheetName val="New"/>
      <sheetName val="cells down 16042026 09H"/>
      <sheetName val="Sheet2"/>
      <sheetName val="UP"/>
      <sheetName val="TREND ZTE Cel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Codesite</v>
          </cell>
          <cell r="B1" t="str">
            <v>Nomdusite</v>
          </cell>
          <cell r="C1" t="str">
            <v>Region</v>
          </cell>
          <cell r="D1" t="str">
            <v>SBC</v>
          </cell>
        </row>
        <row r="2">
          <cell r="A2" t="str">
            <v>CTR_009</v>
          </cell>
          <cell r="B2" t="str">
            <v>CTN YAOUNDE</v>
          </cell>
          <cell r="C2" t="str">
            <v>CTR</v>
          </cell>
          <cell r="D2" t="str">
            <v>TELEINFRA CENTRE</v>
          </cell>
        </row>
        <row r="3">
          <cell r="A3" t="str">
            <v>SUD_044</v>
          </cell>
          <cell r="B3" t="str">
            <v>Abang-Minko-IHS</v>
          </cell>
          <cell r="C3" t="str">
            <v>SUD</v>
          </cell>
          <cell r="D3" t="str">
            <v>TELEINFRA CENTRE</v>
          </cell>
        </row>
        <row r="4">
          <cell r="A4" t="str">
            <v>CTR_462</v>
          </cell>
          <cell r="B4" t="str">
            <v>Abang-MTN-IHS</v>
          </cell>
          <cell r="C4" t="str">
            <v>CTR</v>
          </cell>
          <cell r="D4" t="str">
            <v>TELEINFRA CENTRE</v>
          </cell>
        </row>
        <row r="5">
          <cell r="A5" t="str">
            <v>CTR_104</v>
          </cell>
          <cell r="B5" t="str">
            <v>Abattoir</v>
          </cell>
          <cell r="C5" t="str">
            <v>CTR</v>
          </cell>
          <cell r="D5" t="str">
            <v>TELEINFRA CENTRE</v>
          </cell>
        </row>
        <row r="6">
          <cell r="A6" t="str">
            <v>CTR_263</v>
          </cell>
          <cell r="B6" t="str">
            <v>Abom</v>
          </cell>
          <cell r="C6" t="str">
            <v>CTR</v>
          </cell>
          <cell r="D6" t="str">
            <v>TELEINFRA CENTRE</v>
          </cell>
        </row>
        <row r="7">
          <cell r="A7" t="str">
            <v>CTR_662</v>
          </cell>
          <cell r="B7" t="str">
            <v>Abome-II</v>
          </cell>
          <cell r="C7" t="str">
            <v>CTR</v>
          </cell>
          <cell r="D7" t="str">
            <v>TELEINFRA CENTRE</v>
          </cell>
        </row>
        <row r="8">
          <cell r="A8" t="str">
            <v>CTR_549</v>
          </cell>
          <cell r="B8" t="str">
            <v>Abome-New</v>
          </cell>
          <cell r="C8" t="str">
            <v>CTR</v>
          </cell>
          <cell r="D8" t="str">
            <v>TELEINFRA CENTRE</v>
          </cell>
        </row>
        <row r="9">
          <cell r="A9" t="str">
            <v>CTR_650</v>
          </cell>
          <cell r="B9" t="str">
            <v>Abom-plateau</v>
          </cell>
          <cell r="C9" t="str">
            <v>CTR</v>
          </cell>
          <cell r="D9" t="str">
            <v>TELEINFRA CENTRE</v>
          </cell>
        </row>
        <row r="10">
          <cell r="A10" t="str">
            <v>CTR_872</v>
          </cell>
          <cell r="B10" t="str">
            <v>Abom-Plateau-II</v>
          </cell>
          <cell r="C10" t="str">
            <v>CTR</v>
          </cell>
          <cell r="D10" t="str">
            <v>TELEINFRA CENTRE</v>
          </cell>
        </row>
        <row r="11">
          <cell r="A11" t="str">
            <v>EST_009</v>
          </cell>
          <cell r="B11" t="str">
            <v>Abong-Mbang</v>
          </cell>
          <cell r="C11" t="str">
            <v>EST</v>
          </cell>
          <cell r="D11" t="str">
            <v>TELEINFRA CENTRE</v>
          </cell>
        </row>
        <row r="12">
          <cell r="A12" t="str">
            <v>EST_036</v>
          </cell>
          <cell r="B12" t="str">
            <v>Abong-Mbang-II</v>
          </cell>
          <cell r="C12" t="str">
            <v>EST</v>
          </cell>
          <cell r="D12" t="str">
            <v>TELEINFRA CENTRE</v>
          </cell>
        </row>
        <row r="13">
          <cell r="A13" t="str">
            <v>SUD_238</v>
          </cell>
          <cell r="B13" t="str">
            <v>Abouta-MTN</v>
          </cell>
          <cell r="C13" t="str">
            <v>SUD</v>
          </cell>
          <cell r="D13" t="str">
            <v>TELEINFRA CENTRE</v>
          </cell>
        </row>
        <row r="14">
          <cell r="A14" t="str">
            <v>CTR_482</v>
          </cell>
          <cell r="B14" t="str">
            <v>Accacia-New</v>
          </cell>
          <cell r="C14" t="str">
            <v>CTR</v>
          </cell>
          <cell r="D14" t="str">
            <v>TELEINFRA CENTRE</v>
          </cell>
        </row>
        <row r="15">
          <cell r="A15" t="str">
            <v>CTR_129</v>
          </cell>
          <cell r="B15" t="str">
            <v>Acropole-IHS</v>
          </cell>
          <cell r="C15" t="str">
            <v>CTR</v>
          </cell>
          <cell r="D15" t="str">
            <v>TELEINFRA CENTRE</v>
          </cell>
        </row>
        <row r="16">
          <cell r="A16" t="str">
            <v>SUD_070</v>
          </cell>
          <cell r="B16" t="str">
            <v>Adjap-IHS</v>
          </cell>
          <cell r="C16" t="str">
            <v>SUD</v>
          </cell>
          <cell r="D16" t="str">
            <v>TELEINFRA CENTRE</v>
          </cell>
        </row>
        <row r="17">
          <cell r="A17" t="str">
            <v>EST_134</v>
          </cell>
          <cell r="B17" t="str">
            <v>Adouma</v>
          </cell>
          <cell r="C17" t="str">
            <v>EST</v>
          </cell>
          <cell r="D17" t="str">
            <v>TELEINFRA CENTRE</v>
          </cell>
        </row>
        <row r="18">
          <cell r="A18" t="str">
            <v>NRD_078</v>
          </cell>
          <cell r="B18" t="str">
            <v>Adoumre-IHS</v>
          </cell>
          <cell r="C18" t="str">
            <v>NRD</v>
          </cell>
          <cell r="D18" t="str">
            <v>TELEINFRA NORD</v>
          </cell>
        </row>
        <row r="19">
          <cell r="A19" t="str">
            <v>NRD_126</v>
          </cell>
          <cell r="B19" t="str">
            <v>Adoumri-Houla-IHS</v>
          </cell>
          <cell r="C19" t="str">
            <v>NRD</v>
          </cell>
          <cell r="D19" t="str">
            <v>TELEINFRA NORD</v>
          </cell>
        </row>
        <row r="20">
          <cell r="A20" t="str">
            <v>CTR_365</v>
          </cell>
          <cell r="B20" t="str">
            <v>Afambassi-MTN</v>
          </cell>
          <cell r="C20" t="str">
            <v>CTR</v>
          </cell>
          <cell r="D20" t="str">
            <v>TELEINFRA CENTRE</v>
          </cell>
        </row>
        <row r="21">
          <cell r="A21" t="str">
            <v>CTR_838</v>
          </cell>
          <cell r="B21" t="str">
            <v>Afanoya-II</v>
          </cell>
          <cell r="C21" t="str">
            <v>CTR</v>
          </cell>
          <cell r="D21" t="str">
            <v>TELEINFRA CENTRE</v>
          </cell>
        </row>
        <row r="22">
          <cell r="A22" t="str">
            <v>CTR_463</v>
          </cell>
          <cell r="B22" t="str">
            <v>Afanoya-MTN-IHS</v>
          </cell>
          <cell r="C22" t="str">
            <v>CTR</v>
          </cell>
          <cell r="D22" t="str">
            <v>TELEINFRA CENTRE</v>
          </cell>
        </row>
        <row r="23">
          <cell r="A23" t="str">
            <v>CTR_591</v>
          </cell>
          <cell r="B23" t="str">
            <v>Afeme-Nord</v>
          </cell>
          <cell r="C23" t="str">
            <v>CTR</v>
          </cell>
          <cell r="D23" t="str">
            <v>TELEINFRA CENTRE</v>
          </cell>
        </row>
        <row r="24">
          <cell r="A24" t="str">
            <v>CTR_195</v>
          </cell>
          <cell r="B24" t="str">
            <v>Ahala</v>
          </cell>
          <cell r="C24" t="str">
            <v>CTR</v>
          </cell>
          <cell r="D24" t="str">
            <v>TELEINFRA CENTRE</v>
          </cell>
        </row>
        <row r="25">
          <cell r="A25" t="str">
            <v>CTR_164</v>
          </cell>
          <cell r="B25" t="str">
            <v>Ahala-IHS</v>
          </cell>
          <cell r="C25" t="str">
            <v>CTR</v>
          </cell>
          <cell r="D25" t="str">
            <v>TELEINFRA CENTRE</v>
          </cell>
        </row>
        <row r="26">
          <cell r="A26" t="str">
            <v>CTR_513</v>
          </cell>
          <cell r="B26" t="str">
            <v>Akak-IHS</v>
          </cell>
          <cell r="C26" t="str">
            <v>CTR</v>
          </cell>
          <cell r="D26" t="str">
            <v>TELEINFRA CENTRE</v>
          </cell>
        </row>
        <row r="27">
          <cell r="A27" t="str">
            <v>CTR_529</v>
          </cell>
          <cell r="B27" t="str">
            <v>AKAK-Nkozoa-MTN-IHS</v>
          </cell>
          <cell r="C27" t="str">
            <v>CTR</v>
          </cell>
          <cell r="D27" t="str">
            <v>TELEINFRA CENTRE</v>
          </cell>
        </row>
        <row r="28">
          <cell r="A28" t="str">
            <v>CTR_517</v>
          </cell>
          <cell r="B28" t="str">
            <v>Akoeman</v>
          </cell>
          <cell r="C28" t="str">
            <v>CTR</v>
          </cell>
          <cell r="D28" t="str">
            <v>TELEINFRA CENTRE</v>
          </cell>
        </row>
        <row r="29">
          <cell r="A29" t="str">
            <v>CTR_663</v>
          </cell>
          <cell r="B29" t="str">
            <v>Akok</v>
          </cell>
          <cell r="C29" t="str">
            <v>CTR</v>
          </cell>
          <cell r="D29" t="str">
            <v>TELEINFRA CENTRE</v>
          </cell>
        </row>
        <row r="30">
          <cell r="A30" t="str">
            <v>SUD_054</v>
          </cell>
          <cell r="B30" t="str">
            <v>Akom-II-IHS</v>
          </cell>
          <cell r="C30" t="str">
            <v>SUD</v>
          </cell>
          <cell r="D30" t="str">
            <v>TELEINFRA CENTRE</v>
          </cell>
        </row>
        <row r="31">
          <cell r="A31" t="str">
            <v>CTR_436</v>
          </cell>
          <cell r="B31" t="str">
            <v>Akongo-IHS</v>
          </cell>
          <cell r="C31" t="str">
            <v>CTR</v>
          </cell>
          <cell r="D31" t="str">
            <v>TELEINFRA CENTRE</v>
          </cell>
        </row>
        <row r="32">
          <cell r="A32" t="str">
            <v>CTR_063</v>
          </cell>
          <cell r="B32" t="str">
            <v>Akono</v>
          </cell>
          <cell r="C32" t="str">
            <v>CTR</v>
          </cell>
          <cell r="D32" t="str">
            <v>TELEINFRA CENTRE</v>
          </cell>
        </row>
        <row r="33">
          <cell r="A33" t="str">
            <v>CTR_057</v>
          </cell>
          <cell r="B33" t="str">
            <v>Akonolinga</v>
          </cell>
          <cell r="C33" t="str">
            <v>CTR</v>
          </cell>
          <cell r="D33" t="str">
            <v>TELEINFRA CENTRE</v>
          </cell>
        </row>
        <row r="34">
          <cell r="A34" t="str">
            <v>CTR_784</v>
          </cell>
          <cell r="B34" t="str">
            <v>Akonolinga-Town-IHS</v>
          </cell>
          <cell r="C34" t="str">
            <v>CTR</v>
          </cell>
          <cell r="D34" t="str">
            <v>TELEINFRA CENTRE</v>
          </cell>
        </row>
        <row r="35">
          <cell r="A35" t="str">
            <v>CTR_394</v>
          </cell>
          <cell r="B35" t="str">
            <v>Ambam</v>
          </cell>
          <cell r="C35" t="str">
            <v>CTR</v>
          </cell>
          <cell r="D35" t="str">
            <v>TELEINFRA CENTRE</v>
          </cell>
        </row>
        <row r="36">
          <cell r="A36" t="str">
            <v>SUD_020</v>
          </cell>
          <cell r="B36" t="str">
            <v>Ambam-FH</v>
          </cell>
          <cell r="C36" t="str">
            <v>SUD</v>
          </cell>
          <cell r="D36" t="str">
            <v>TELEINFRA CENTRE</v>
          </cell>
        </row>
        <row r="37">
          <cell r="A37" t="str">
            <v>CTR_745</v>
          </cell>
          <cell r="B37" t="str">
            <v>Ambassade-Gabon</v>
          </cell>
          <cell r="C37" t="str">
            <v>CTR</v>
          </cell>
          <cell r="D37" t="str">
            <v>TELEINFRA CENTRE</v>
          </cell>
        </row>
        <row r="38">
          <cell r="A38" t="str">
            <v>EXN_007</v>
          </cell>
          <cell r="B38" t="str">
            <v>Amchide</v>
          </cell>
          <cell r="C38" t="str">
            <v>EXN</v>
          </cell>
          <cell r="D38" t="str">
            <v>TELEINFRA NORD</v>
          </cell>
        </row>
        <row r="39">
          <cell r="A39" t="str">
            <v>CTR_305</v>
          </cell>
          <cell r="B39" t="str">
            <v>Andom-MTN</v>
          </cell>
          <cell r="C39" t="str">
            <v>CTR</v>
          </cell>
          <cell r="D39" t="str">
            <v>TELEINFRA CENTRE</v>
          </cell>
        </row>
        <row r="40">
          <cell r="A40" t="str">
            <v>CTR_358</v>
          </cell>
          <cell r="B40" t="str">
            <v>Angongo</v>
          </cell>
          <cell r="C40" t="str">
            <v>CTR</v>
          </cell>
          <cell r="D40" t="str">
            <v>TELEINFRA CENTRE</v>
          </cell>
        </row>
        <row r="41">
          <cell r="A41" t="str">
            <v>CTR_478</v>
          </cell>
          <cell r="B41" t="str">
            <v>Anguissa-New</v>
          </cell>
          <cell r="C41" t="str">
            <v>CTR</v>
          </cell>
          <cell r="D41" t="str">
            <v>TELEINFRA CENTRE</v>
          </cell>
        </row>
        <row r="42">
          <cell r="A42" t="str">
            <v>CTR_372</v>
          </cell>
          <cell r="B42" t="str">
            <v>An-Marche-Melen</v>
          </cell>
          <cell r="C42" t="str">
            <v>CTR</v>
          </cell>
          <cell r="D42" t="str">
            <v>TELEINFRA CENTRE</v>
          </cell>
        </row>
        <row r="43">
          <cell r="A43" t="str">
            <v>CTR_124</v>
          </cell>
          <cell r="B43" t="str">
            <v>ARMP</v>
          </cell>
          <cell r="C43" t="str">
            <v>CTR</v>
          </cell>
          <cell r="D43" t="str">
            <v>TELEINFRA CENTRE</v>
          </cell>
        </row>
        <row r="44">
          <cell r="A44" t="str">
            <v>EST_017</v>
          </cell>
          <cell r="B44" t="str">
            <v>Atok</v>
          </cell>
          <cell r="C44" t="str">
            <v>EST</v>
          </cell>
          <cell r="D44" t="str">
            <v>TELEINFRA CENTRE</v>
          </cell>
        </row>
        <row r="45">
          <cell r="A45" t="str">
            <v>SUD_236</v>
          </cell>
          <cell r="B45" t="str">
            <v>Avebe-MTN</v>
          </cell>
          <cell r="C45" t="str">
            <v>SUD</v>
          </cell>
          <cell r="D45" t="str">
            <v>TELEINFRA CENTRE</v>
          </cell>
        </row>
        <row r="46">
          <cell r="A46" t="str">
            <v>CTR_664</v>
          </cell>
          <cell r="B46" t="str">
            <v>Avenue-Biyemassi</v>
          </cell>
          <cell r="C46" t="str">
            <v>CTR</v>
          </cell>
          <cell r="D46" t="str">
            <v>TELEINFRA CENTRE</v>
          </cell>
        </row>
        <row r="47">
          <cell r="A47" t="str">
            <v>CTR_090</v>
          </cell>
          <cell r="B47" t="str">
            <v>Av-Germaine</v>
          </cell>
          <cell r="C47" t="str">
            <v>CTR</v>
          </cell>
          <cell r="D47" t="str">
            <v>TELEINFRA CENTRE</v>
          </cell>
        </row>
        <row r="48">
          <cell r="A48" t="str">
            <v>SUD_244</v>
          </cell>
          <cell r="B48" t="str">
            <v>Avobengon</v>
          </cell>
          <cell r="C48" t="str">
            <v>SUD</v>
          </cell>
          <cell r="D48" t="str">
            <v>TELEINFRA CENTRE</v>
          </cell>
        </row>
        <row r="49">
          <cell r="A49" t="str">
            <v>CTR_112</v>
          </cell>
          <cell r="B49" t="str">
            <v>Awae</v>
          </cell>
          <cell r="C49" t="str">
            <v>CTR</v>
          </cell>
          <cell r="D49" t="str">
            <v>TELEINFRA CENTRE</v>
          </cell>
        </row>
        <row r="50">
          <cell r="A50" t="str">
            <v>CTR_168</v>
          </cell>
          <cell r="B50" t="str">
            <v>Awae-Escalier-IHS</v>
          </cell>
          <cell r="C50" t="str">
            <v>CTR</v>
          </cell>
          <cell r="D50" t="str">
            <v>TELEINFRA CENTRE</v>
          </cell>
        </row>
        <row r="51">
          <cell r="A51" t="str">
            <v>CTR_187</v>
          </cell>
          <cell r="B51" t="str">
            <v>Awae-MTN-IHS</v>
          </cell>
          <cell r="C51" t="str">
            <v>CTR</v>
          </cell>
          <cell r="D51" t="str">
            <v>TELEINFRA CENTRE</v>
          </cell>
        </row>
        <row r="52">
          <cell r="A52" t="str">
            <v>CTR_374</v>
          </cell>
          <cell r="B52" t="str">
            <v>Awae-Nkomo</v>
          </cell>
          <cell r="C52" t="str">
            <v>CTR</v>
          </cell>
          <cell r="D52" t="str">
            <v>TELEINFRA CENTRE</v>
          </cell>
        </row>
        <row r="53">
          <cell r="A53" t="str">
            <v>CTR_236</v>
          </cell>
          <cell r="B53" t="str">
            <v>Awae-Yde</v>
          </cell>
          <cell r="C53" t="str">
            <v>CTR</v>
          </cell>
          <cell r="D53" t="str">
            <v>TELEINFRA CENTRE</v>
          </cell>
        </row>
        <row r="54">
          <cell r="A54" t="str">
            <v>CTR_651</v>
          </cell>
          <cell r="B54" t="str">
            <v>Ayene</v>
          </cell>
          <cell r="C54" t="str">
            <v>CTR</v>
          </cell>
          <cell r="D54" t="str">
            <v>TELEINFRA CENTRE</v>
          </cell>
        </row>
        <row r="55">
          <cell r="A55" t="str">
            <v>CTR_791</v>
          </cell>
          <cell r="B55" t="str">
            <v>Ayene-II</v>
          </cell>
          <cell r="C55" t="str">
            <v>CTR</v>
          </cell>
          <cell r="D55" t="str">
            <v>TELEINFRA CENTRE</v>
          </cell>
        </row>
        <row r="56">
          <cell r="A56" t="str">
            <v>EST_018</v>
          </cell>
          <cell r="B56" t="str">
            <v>Ayos</v>
          </cell>
          <cell r="C56" t="str">
            <v>EST</v>
          </cell>
          <cell r="D56" t="str">
            <v>TELEINFRA CENTRE</v>
          </cell>
        </row>
        <row r="57">
          <cell r="A57" t="str">
            <v>CTR_349</v>
          </cell>
          <cell r="B57" t="str">
            <v>Ayoumgong-MTN</v>
          </cell>
          <cell r="C57" t="str">
            <v>CTR</v>
          </cell>
          <cell r="D57" t="str">
            <v>TELEINFRA CENTRE</v>
          </cell>
        </row>
        <row r="58">
          <cell r="A58" t="str">
            <v>SUD_060</v>
          </cell>
          <cell r="B58" t="str">
            <v>Azem-IHS</v>
          </cell>
          <cell r="C58" t="str">
            <v>SUD</v>
          </cell>
          <cell r="D58" t="str">
            <v>TELEINFRA CENTRE</v>
          </cell>
        </row>
        <row r="59">
          <cell r="A59" t="str">
            <v>CTR_755</v>
          </cell>
          <cell r="B59" t="str">
            <v>Ba-aba</v>
          </cell>
          <cell r="C59" t="str">
            <v>CTR</v>
          </cell>
          <cell r="D59" t="str">
            <v>TELEINFRA CENTRE</v>
          </cell>
        </row>
        <row r="60">
          <cell r="A60" t="str">
            <v>CTR_879</v>
          </cell>
          <cell r="B60" t="str">
            <v>Ba'aba II remplace BIYOUHA</v>
          </cell>
          <cell r="C60" t="str">
            <v>CTR</v>
          </cell>
          <cell r="D60" t="str">
            <v>TELEINFRA CENTRE</v>
          </cell>
        </row>
        <row r="61">
          <cell r="A61" t="str">
            <v>NRD_107</v>
          </cell>
          <cell r="B61" t="str">
            <v>Badankali-IHS</v>
          </cell>
          <cell r="C61" t="str">
            <v>NRD</v>
          </cell>
          <cell r="D61" t="str">
            <v>TELEINFRA NORD</v>
          </cell>
        </row>
        <row r="62">
          <cell r="A62" t="str">
            <v>EXN_152</v>
          </cell>
          <cell r="B62" t="str">
            <v>Badjonre-IHS</v>
          </cell>
          <cell r="C62" t="str">
            <v>EXN</v>
          </cell>
          <cell r="D62" t="str">
            <v>TELEINFRA NORD</v>
          </cell>
        </row>
        <row r="63">
          <cell r="A63" t="str">
            <v>NRD_026</v>
          </cell>
          <cell r="B63" t="str">
            <v>Badjouma</v>
          </cell>
          <cell r="C63" t="str">
            <v>NRD</v>
          </cell>
          <cell r="D63" t="str">
            <v>TELEINFRA NORD</v>
          </cell>
        </row>
        <row r="64">
          <cell r="A64" t="str">
            <v>EXN_239</v>
          </cell>
          <cell r="B64" t="str">
            <v>Badjouma-Zagam</v>
          </cell>
          <cell r="C64" t="str">
            <v>EXN</v>
          </cell>
          <cell r="D64" t="str">
            <v>TELEINFRA NORD</v>
          </cell>
        </row>
        <row r="65">
          <cell r="A65" t="str">
            <v>EST_089</v>
          </cell>
          <cell r="B65" t="str">
            <v>Badongoue-MTN-IHS</v>
          </cell>
          <cell r="C65" t="str">
            <v>EST</v>
          </cell>
          <cell r="D65" t="str">
            <v>TELEINFRA CENTRE</v>
          </cell>
        </row>
        <row r="66">
          <cell r="A66" t="str">
            <v>EXN_202</v>
          </cell>
          <cell r="B66" t="str">
            <v>Bagarao</v>
          </cell>
          <cell r="C66" t="str">
            <v>EXN</v>
          </cell>
          <cell r="D66" t="str">
            <v>TELEINFRA NORD</v>
          </cell>
        </row>
        <row r="67">
          <cell r="A67" t="str">
            <v>ADM_052</v>
          </cell>
          <cell r="B67" t="str">
            <v>Bagodo</v>
          </cell>
          <cell r="C67" t="str">
            <v>ADM</v>
          </cell>
          <cell r="D67" t="str">
            <v>TELEINFRA NORD</v>
          </cell>
        </row>
        <row r="68">
          <cell r="A68" t="str">
            <v>EST_082</v>
          </cell>
          <cell r="B68" t="str">
            <v>Bagofit</v>
          </cell>
          <cell r="C68" t="str">
            <v>EST</v>
          </cell>
          <cell r="D68" t="str">
            <v>TELEINFRA CENTRE</v>
          </cell>
        </row>
        <row r="69">
          <cell r="A69" t="str">
            <v>ADM_008</v>
          </cell>
          <cell r="B69" t="str">
            <v>Baiboum</v>
          </cell>
          <cell r="C69" t="str">
            <v>ADM</v>
          </cell>
          <cell r="D69" t="str">
            <v>TELEINFRA NORD</v>
          </cell>
        </row>
        <row r="70">
          <cell r="A70" t="str">
            <v>NRD_056</v>
          </cell>
          <cell r="B70" t="str">
            <v>Baikwa-Bere</v>
          </cell>
          <cell r="C70" t="str">
            <v>NRD</v>
          </cell>
          <cell r="D70" t="str">
            <v>TELEINFRA NORD</v>
          </cell>
        </row>
        <row r="71">
          <cell r="A71" t="str">
            <v>EXN_036</v>
          </cell>
          <cell r="B71" t="str">
            <v>Balaza</v>
          </cell>
          <cell r="C71" t="str">
            <v>EXN</v>
          </cell>
          <cell r="D71" t="str">
            <v>TELEINFRA NORD</v>
          </cell>
        </row>
        <row r="72">
          <cell r="A72" t="str">
            <v>EXN_229</v>
          </cell>
          <cell r="B72" t="str">
            <v>Balda</v>
          </cell>
          <cell r="C72" t="str">
            <v>EXN</v>
          </cell>
          <cell r="D72" t="str">
            <v>TELEINFRA NORD</v>
          </cell>
        </row>
        <row r="73">
          <cell r="A73" t="str">
            <v>CTR_170</v>
          </cell>
          <cell r="B73" t="str">
            <v>Balissa-MTN-IHS</v>
          </cell>
          <cell r="C73" t="str">
            <v>CTR</v>
          </cell>
          <cell r="D73" t="str">
            <v>TELEINFRA CENTRE</v>
          </cell>
        </row>
        <row r="74">
          <cell r="A74" t="str">
            <v>NRD_029</v>
          </cell>
          <cell r="B74" t="str">
            <v>Banda</v>
          </cell>
          <cell r="C74" t="str">
            <v>NRD</v>
          </cell>
          <cell r="D74" t="str">
            <v>TELEINFRA NORD</v>
          </cell>
        </row>
        <row r="75">
          <cell r="A75" t="str">
            <v>NRD_110</v>
          </cell>
          <cell r="B75" t="str">
            <v>Bardake-IHS</v>
          </cell>
          <cell r="C75" t="str">
            <v>NRD</v>
          </cell>
          <cell r="D75" t="str">
            <v>TELEINFRA NORD</v>
          </cell>
        </row>
        <row r="76">
          <cell r="A76" t="str">
            <v>EXN_167</v>
          </cell>
          <cell r="B76" t="str">
            <v>Bariki-IHS</v>
          </cell>
          <cell r="C76" t="str">
            <v>EXN</v>
          </cell>
          <cell r="D76" t="str">
            <v>TELEINFRA NORD</v>
          </cell>
        </row>
        <row r="77">
          <cell r="A77" t="str">
            <v>CTR_237</v>
          </cell>
          <cell r="B77" t="str">
            <v>Barriere</v>
          </cell>
          <cell r="C77" t="str">
            <v>CTR</v>
          </cell>
          <cell r="D77" t="str">
            <v>TELEINFRA CENTRE</v>
          </cell>
        </row>
        <row r="78">
          <cell r="A78" t="str">
            <v>CTR_526</v>
          </cell>
          <cell r="B78" t="str">
            <v>Barriere-IHS</v>
          </cell>
          <cell r="C78" t="str">
            <v>CTR</v>
          </cell>
          <cell r="D78" t="str">
            <v>TELEINFRA CENTRE</v>
          </cell>
        </row>
        <row r="79">
          <cell r="A79" t="str">
            <v>NRD_015</v>
          </cell>
          <cell r="B79" t="str">
            <v>Bascheo-IHS</v>
          </cell>
          <cell r="C79" t="str">
            <v>NRD</v>
          </cell>
          <cell r="D79" t="str">
            <v>TELEINFRA NORD</v>
          </cell>
        </row>
        <row r="80">
          <cell r="A80" t="str">
            <v>CTR_722</v>
          </cell>
          <cell r="B80" t="str">
            <v>Bastos-ART</v>
          </cell>
          <cell r="C80" t="str">
            <v>CTR</v>
          </cell>
          <cell r="D80" t="str">
            <v>TELEINFRA CENTRE</v>
          </cell>
        </row>
        <row r="81">
          <cell r="A81" t="str">
            <v>CTR_200</v>
          </cell>
          <cell r="B81" t="str">
            <v>Bastos-BAT</v>
          </cell>
          <cell r="C81" t="str">
            <v>CTR</v>
          </cell>
          <cell r="D81" t="str">
            <v>TELEINFRA CENTRE</v>
          </cell>
        </row>
        <row r="82">
          <cell r="A82" t="str">
            <v>CTR_474</v>
          </cell>
          <cell r="B82" t="str">
            <v>Bastos-Bethesda</v>
          </cell>
          <cell r="C82" t="str">
            <v>CTR</v>
          </cell>
          <cell r="D82" t="str">
            <v>TELEINFRA CENTRE</v>
          </cell>
        </row>
        <row r="83">
          <cell r="A83" t="str">
            <v>CTR_640</v>
          </cell>
          <cell r="B83" t="str">
            <v>Bastos-Bir-IHS</v>
          </cell>
          <cell r="C83" t="str">
            <v>CTR</v>
          </cell>
          <cell r="D83" t="str">
            <v>TELEINFRA CENTRE</v>
          </cell>
        </row>
        <row r="84">
          <cell r="A84" t="str">
            <v>CTR_769</v>
          </cell>
          <cell r="B84" t="str">
            <v>Bastos-Golf</v>
          </cell>
          <cell r="C84" t="str">
            <v>CTR</v>
          </cell>
          <cell r="D84" t="str">
            <v>TELEINFRA CENTRE</v>
          </cell>
        </row>
        <row r="85">
          <cell r="A85" t="str">
            <v>CTR_198</v>
          </cell>
          <cell r="B85" t="str">
            <v>Bastos-Nylon</v>
          </cell>
          <cell r="C85" t="str">
            <v>CTR</v>
          </cell>
          <cell r="D85" t="str">
            <v>TELEINFRA CENTRE</v>
          </cell>
        </row>
        <row r="86">
          <cell r="A86" t="str">
            <v>ADM_027</v>
          </cell>
          <cell r="B86" t="str">
            <v>Bata</v>
          </cell>
          <cell r="C86" t="str">
            <v>ADM</v>
          </cell>
          <cell r="D86" t="str">
            <v>TELEINFRA NORD</v>
          </cell>
        </row>
        <row r="87">
          <cell r="A87" t="str">
            <v>CTR_409</v>
          </cell>
          <cell r="B87" t="str">
            <v>BATA-Mokolo</v>
          </cell>
          <cell r="C87" t="str">
            <v>CTR</v>
          </cell>
          <cell r="D87" t="str">
            <v>TELEINFRA CENTRE</v>
          </cell>
        </row>
        <row r="88">
          <cell r="A88" t="str">
            <v>CTR_032</v>
          </cell>
          <cell r="B88" t="str">
            <v>Batchenga</v>
          </cell>
          <cell r="C88" t="str">
            <v>CTR</v>
          </cell>
          <cell r="D88" t="str">
            <v>TELEINFRA CENTRE</v>
          </cell>
        </row>
        <row r="89">
          <cell r="A89" t="str">
            <v>CTR_180</v>
          </cell>
          <cell r="B89" t="str">
            <v>Batchenga-MTN-IHS</v>
          </cell>
          <cell r="C89" t="str">
            <v>CTR</v>
          </cell>
          <cell r="D89" t="str">
            <v>TELEINFRA CENTRE</v>
          </cell>
        </row>
        <row r="90">
          <cell r="A90" t="str">
            <v>CTR_699</v>
          </cell>
          <cell r="B90" t="str">
            <v>Batchenga-Nachtigal-IHS</v>
          </cell>
          <cell r="C90" t="str">
            <v>CTR</v>
          </cell>
          <cell r="D90" t="str">
            <v>TELEINFRA CENTRE</v>
          </cell>
        </row>
        <row r="91">
          <cell r="A91" t="str">
            <v>ADM_141</v>
          </cell>
          <cell r="B91" t="str">
            <v>Batoua-Godole-IHS</v>
          </cell>
          <cell r="C91" t="str">
            <v>ADM</v>
          </cell>
          <cell r="D91" t="str">
            <v>TELEINFRA NORD</v>
          </cell>
        </row>
        <row r="92">
          <cell r="A92" t="str">
            <v>EST_005</v>
          </cell>
          <cell r="B92" t="str">
            <v>Batouri</v>
          </cell>
          <cell r="C92" t="str">
            <v>EST</v>
          </cell>
          <cell r="D92" t="str">
            <v>TELEINFRA CENTRE</v>
          </cell>
        </row>
        <row r="93">
          <cell r="A93" t="str">
            <v>EST_070</v>
          </cell>
          <cell r="B93" t="str">
            <v>Batouri-Kako-MTN</v>
          </cell>
          <cell r="C93" t="str">
            <v>EST</v>
          </cell>
          <cell r="D93" t="str">
            <v>TELEINFRA CENTRE</v>
          </cell>
        </row>
        <row r="94">
          <cell r="A94" t="str">
            <v>EST_139</v>
          </cell>
          <cell r="B94" t="str">
            <v>Batouri-Sambo</v>
          </cell>
          <cell r="C94" t="str">
            <v>EST</v>
          </cell>
          <cell r="D94" t="str">
            <v>TELEINFRA CENTRE</v>
          </cell>
        </row>
        <row r="95">
          <cell r="A95" t="str">
            <v>ADM_014</v>
          </cell>
          <cell r="B95" t="str">
            <v>Bawa</v>
          </cell>
          <cell r="C95" t="str">
            <v>ADM</v>
          </cell>
          <cell r="D95" t="str">
            <v>TELEINFRA NORD</v>
          </cell>
        </row>
        <row r="96">
          <cell r="A96" t="str">
            <v>ADM_143</v>
          </cell>
          <cell r="B96" t="str">
            <v>Bawa-IHS</v>
          </cell>
          <cell r="C96" t="str">
            <v>ADM</v>
          </cell>
          <cell r="D96" t="str">
            <v>TELEINFRA NORD</v>
          </cell>
        </row>
        <row r="97">
          <cell r="A97" t="str">
            <v>NRD_020</v>
          </cell>
          <cell r="B97" t="str">
            <v>Beka</v>
          </cell>
          <cell r="C97" t="str">
            <v>NRD</v>
          </cell>
          <cell r="D97" t="str">
            <v>TELEINFRA NORD</v>
          </cell>
        </row>
        <row r="98">
          <cell r="A98" t="str">
            <v>ADM_172</v>
          </cell>
          <cell r="B98" t="str">
            <v>Beka-Hossere-II</v>
          </cell>
          <cell r="C98" t="str">
            <v>ADM</v>
          </cell>
          <cell r="D98" t="str">
            <v>TELEINFRA NORD</v>
          </cell>
        </row>
        <row r="99">
          <cell r="A99" t="str">
            <v>ADM_132</v>
          </cell>
          <cell r="B99" t="str">
            <v>Beka-Hossere-MTN-IHS</v>
          </cell>
          <cell r="C99" t="str">
            <v>ADM</v>
          </cell>
          <cell r="D99" t="str">
            <v>TELEINFRA NORD</v>
          </cell>
        </row>
        <row r="100">
          <cell r="A100" t="str">
            <v>EST_002</v>
          </cell>
          <cell r="B100" t="str">
            <v>Belabo</v>
          </cell>
          <cell r="C100" t="str">
            <v>EST</v>
          </cell>
          <cell r="D100" t="str">
            <v>TELEINFRA CENTRE</v>
          </cell>
        </row>
        <row r="101">
          <cell r="A101" t="str">
            <v>ADM_096</v>
          </cell>
          <cell r="B101" t="str">
            <v>Belel-MTN-IHS</v>
          </cell>
          <cell r="C101" t="str">
            <v>ADM</v>
          </cell>
          <cell r="D101" t="str">
            <v>TELEINFRA NORD</v>
          </cell>
        </row>
        <row r="102">
          <cell r="A102" t="str">
            <v>EXN_046</v>
          </cell>
          <cell r="B102" t="str">
            <v>Bellare</v>
          </cell>
          <cell r="C102" t="str">
            <v>EXN</v>
          </cell>
          <cell r="D102" t="str">
            <v>TELEINFRA NORD</v>
          </cell>
        </row>
        <row r="103">
          <cell r="A103" t="str">
            <v>NRD_813</v>
          </cell>
          <cell r="B103" t="str">
            <v>Bemboyo</v>
          </cell>
          <cell r="C103" t="str">
            <v>NRD</v>
          </cell>
          <cell r="D103" t="str">
            <v>TELEINFRA NORD</v>
          </cell>
        </row>
        <row r="104">
          <cell r="A104" t="str">
            <v>SUD_052</v>
          </cell>
          <cell r="B104" t="str">
            <v>Bengbis-MTN-IHS</v>
          </cell>
          <cell r="C104" t="str">
            <v>SUD</v>
          </cell>
          <cell r="D104" t="str">
            <v>TELEINFRA CENTRE</v>
          </cell>
        </row>
        <row r="105">
          <cell r="A105" t="str">
            <v>ADM_159</v>
          </cell>
          <cell r="B105" t="str">
            <v>Bere-Camtel</v>
          </cell>
          <cell r="C105" t="str">
            <v>LIT</v>
          </cell>
          <cell r="D105" t="str">
            <v>TELEINFRA NORD</v>
          </cell>
        </row>
        <row r="106">
          <cell r="A106" t="str">
            <v>EST_001</v>
          </cell>
          <cell r="B106" t="str">
            <v>Bertoua</v>
          </cell>
          <cell r="C106" t="str">
            <v>EST</v>
          </cell>
          <cell r="D106" t="str">
            <v>TELEINFRA CENTRE</v>
          </cell>
        </row>
        <row r="107">
          <cell r="A107" t="str">
            <v>EST_088</v>
          </cell>
          <cell r="B107" t="str">
            <v>Bertoua-Agence-New</v>
          </cell>
          <cell r="C107" t="str">
            <v>EST</v>
          </cell>
          <cell r="D107" t="str">
            <v>TELEINFRA CENTRE</v>
          </cell>
        </row>
        <row r="108">
          <cell r="A108" t="str">
            <v>EST_127</v>
          </cell>
          <cell r="B108" t="str">
            <v>Bertoua-Bindia-IHS</v>
          </cell>
          <cell r="C108" t="str">
            <v>EST</v>
          </cell>
          <cell r="D108" t="str">
            <v>TELEINFRA CENTRE</v>
          </cell>
        </row>
        <row r="109">
          <cell r="A109" t="str">
            <v>EST_128</v>
          </cell>
          <cell r="B109" t="str">
            <v>Bertoua-Birpondo-IHS</v>
          </cell>
          <cell r="C109" t="str">
            <v>EST</v>
          </cell>
          <cell r="D109" t="str">
            <v>TELEINFRA CENTRE</v>
          </cell>
        </row>
        <row r="110">
          <cell r="A110" t="str">
            <v>EST_052</v>
          </cell>
          <cell r="B110" t="str">
            <v>Bertoua-Bonis-MTN</v>
          </cell>
          <cell r="C110" t="str">
            <v>EST</v>
          </cell>
          <cell r="D110" t="str">
            <v>TELEINFRA CENTRE</v>
          </cell>
        </row>
        <row r="111">
          <cell r="A111" t="str">
            <v>EST_025</v>
          </cell>
          <cell r="B111" t="str">
            <v>Bertoua-Camp-SIC-IHS</v>
          </cell>
          <cell r="C111" t="str">
            <v>EST</v>
          </cell>
          <cell r="D111" t="str">
            <v>TELEINFRA CENTRE</v>
          </cell>
        </row>
        <row r="112">
          <cell r="A112" t="str">
            <v>EST_143</v>
          </cell>
          <cell r="B112" t="str">
            <v>Bertoua-Camtel</v>
          </cell>
          <cell r="C112" t="str">
            <v>EST</v>
          </cell>
          <cell r="D112" t="str">
            <v>TELEINFRA CENTRE</v>
          </cell>
        </row>
        <row r="113">
          <cell r="A113" t="str">
            <v>EST_004</v>
          </cell>
          <cell r="B113" t="str">
            <v>Bertoua-Crtv</v>
          </cell>
          <cell r="C113" t="str">
            <v>EST</v>
          </cell>
          <cell r="D113" t="str">
            <v>TELEINFRA CENTRE</v>
          </cell>
        </row>
        <row r="114">
          <cell r="A114" t="str">
            <v>EST_087</v>
          </cell>
          <cell r="B114" t="str">
            <v>Bertoua-Dabadi</v>
          </cell>
          <cell r="C114" t="str">
            <v>EST</v>
          </cell>
          <cell r="D114" t="str">
            <v>TELEINFRA CENTRE</v>
          </cell>
        </row>
        <row r="115">
          <cell r="A115" t="str">
            <v>EST_069</v>
          </cell>
          <cell r="B115" t="str">
            <v>Bertoua-ENIA-MTN</v>
          </cell>
          <cell r="C115" t="str">
            <v>EST</v>
          </cell>
          <cell r="D115" t="str">
            <v>TELEINFRA CENTRE</v>
          </cell>
        </row>
        <row r="116">
          <cell r="A116" t="str">
            <v>EST_120</v>
          </cell>
          <cell r="B116" t="str">
            <v>Bertoua-Force-Tyre</v>
          </cell>
          <cell r="C116" t="str">
            <v>EST</v>
          </cell>
          <cell r="D116" t="str">
            <v>TELEINFRA CENTRE</v>
          </cell>
        </row>
        <row r="117">
          <cell r="A117" t="str">
            <v>EST_032</v>
          </cell>
          <cell r="B117" t="str">
            <v>Bertoua-Kano</v>
          </cell>
          <cell r="C117" t="str">
            <v>EST</v>
          </cell>
          <cell r="D117" t="str">
            <v>TELEINFRA CENTRE</v>
          </cell>
        </row>
        <row r="118">
          <cell r="A118" t="str">
            <v>EST_131</v>
          </cell>
          <cell r="B118" t="str">
            <v>Bertoua-Lycee-Technique</v>
          </cell>
          <cell r="C118" t="str">
            <v>EST</v>
          </cell>
          <cell r="D118" t="str">
            <v>TELEINFRA CENTRE</v>
          </cell>
        </row>
        <row r="119">
          <cell r="A119" t="str">
            <v>EST_107</v>
          </cell>
          <cell r="B119" t="str">
            <v>Bertoua-Meteo</v>
          </cell>
          <cell r="C119" t="str">
            <v>EST</v>
          </cell>
          <cell r="D119" t="str">
            <v>TELEINFRA CENTRE</v>
          </cell>
        </row>
        <row r="120">
          <cell r="A120" t="str">
            <v>EST_124</v>
          </cell>
          <cell r="B120" t="str">
            <v>Bertoua-Meteo-II</v>
          </cell>
          <cell r="C120" t="str">
            <v>EST</v>
          </cell>
          <cell r="D120" t="str">
            <v>TELEINFRA CENTRE</v>
          </cell>
        </row>
        <row r="121">
          <cell r="A121" t="str">
            <v>EST_060</v>
          </cell>
          <cell r="B121" t="str">
            <v>Bertoua-Mokolo</v>
          </cell>
          <cell r="C121" t="str">
            <v>EST</v>
          </cell>
          <cell r="D121" t="str">
            <v>TELEINFRA CENTRE</v>
          </cell>
        </row>
        <row r="122">
          <cell r="A122" t="str">
            <v>EST_051</v>
          </cell>
          <cell r="B122" t="str">
            <v>Bertoua-Ngaikada</v>
          </cell>
          <cell r="C122" t="str">
            <v>EST</v>
          </cell>
          <cell r="D122" t="str">
            <v>TELEINFRA CENTRE</v>
          </cell>
        </row>
        <row r="123">
          <cell r="A123" t="str">
            <v>EST_108</v>
          </cell>
          <cell r="B123" t="str">
            <v>Bertoua-Q-Admin</v>
          </cell>
          <cell r="C123" t="str">
            <v>EST</v>
          </cell>
          <cell r="D123" t="str">
            <v>TELEINFRA CENTRE</v>
          </cell>
        </row>
        <row r="124">
          <cell r="A124" t="str">
            <v>EST_079</v>
          </cell>
          <cell r="B124" t="str">
            <v>Bertoua-Tigaza</v>
          </cell>
          <cell r="C124" t="str">
            <v>EST</v>
          </cell>
          <cell r="D124" t="str">
            <v>TELEINFRA CENTRE</v>
          </cell>
        </row>
        <row r="125">
          <cell r="A125" t="str">
            <v>EST_014</v>
          </cell>
          <cell r="B125" t="str">
            <v>Betare-Oya</v>
          </cell>
          <cell r="C125" t="str">
            <v>EST</v>
          </cell>
          <cell r="D125" t="str">
            <v>TELEINFRA CENTRE</v>
          </cell>
        </row>
        <row r="126">
          <cell r="A126" t="str">
            <v>CTR_304</v>
          </cell>
          <cell r="B126" t="str">
            <v>Biba-MTN</v>
          </cell>
          <cell r="C126" t="str">
            <v>CTR</v>
          </cell>
          <cell r="D126" t="str">
            <v>TELEINFRA CENTRE</v>
          </cell>
        </row>
        <row r="127">
          <cell r="A127" t="str">
            <v>NRD_021</v>
          </cell>
          <cell r="B127" t="str">
            <v>Bibemi</v>
          </cell>
          <cell r="C127" t="str">
            <v>NRD</v>
          </cell>
          <cell r="D127" t="str">
            <v>TELEINFRA NORD</v>
          </cell>
        </row>
        <row r="128">
          <cell r="A128" t="str">
            <v>NRD_039</v>
          </cell>
          <cell r="B128" t="str">
            <v>Bibemire</v>
          </cell>
          <cell r="C128" t="str">
            <v>NRD</v>
          </cell>
          <cell r="D128" t="str">
            <v>TELEINFRA NORD</v>
          </cell>
        </row>
        <row r="129">
          <cell r="A129" t="str">
            <v>NRD_027</v>
          </cell>
          <cell r="B129" t="str">
            <v>Bidzar-MTN</v>
          </cell>
          <cell r="C129" t="str">
            <v>NRD</v>
          </cell>
          <cell r="D129" t="str">
            <v>TELEINFRA NORD</v>
          </cell>
        </row>
        <row r="130">
          <cell r="A130" t="str">
            <v>EST_029</v>
          </cell>
          <cell r="B130" t="str">
            <v>Bigoens-IHS</v>
          </cell>
          <cell r="C130" t="str">
            <v>EST</v>
          </cell>
          <cell r="D130" t="str">
            <v>TELEINFRA CENTRE</v>
          </cell>
        </row>
        <row r="131">
          <cell r="A131" t="str">
            <v>CTR_260</v>
          </cell>
          <cell r="B131" t="str">
            <v>Bikok</v>
          </cell>
          <cell r="C131" t="str">
            <v>CTR</v>
          </cell>
          <cell r="D131" t="str">
            <v>TELEINFRA CENTRE</v>
          </cell>
        </row>
        <row r="132">
          <cell r="A132" t="str">
            <v>SUD_232</v>
          </cell>
          <cell r="B132" t="str">
            <v>Bikoula-MTN</v>
          </cell>
          <cell r="C132" t="str">
            <v>SUD</v>
          </cell>
          <cell r="D132" t="str">
            <v>TELEINFRA CENTRE</v>
          </cell>
        </row>
        <row r="133">
          <cell r="A133" t="str">
            <v>CTR_453</v>
          </cell>
          <cell r="B133" t="str">
            <v>Binguela-Camrail</v>
          </cell>
          <cell r="C133" t="str">
            <v>CTR</v>
          </cell>
          <cell r="D133" t="str">
            <v>TELEINFRA CENTRE</v>
          </cell>
        </row>
        <row r="134">
          <cell r="A134" t="str">
            <v>SUD_040</v>
          </cell>
          <cell r="B134" t="str">
            <v>Bipindi-IHS</v>
          </cell>
          <cell r="C134" t="str">
            <v>SUD</v>
          </cell>
          <cell r="D134" t="str">
            <v>TELEINFRA CENTRE</v>
          </cell>
        </row>
        <row r="135">
          <cell r="A135" t="str">
            <v>CTR_157</v>
          </cell>
          <cell r="B135" t="str">
            <v>Biscuiterie-IHS</v>
          </cell>
          <cell r="C135" t="str">
            <v>CTR</v>
          </cell>
          <cell r="D135" t="str">
            <v>TELEINFRA CENTRE</v>
          </cell>
        </row>
        <row r="136">
          <cell r="A136" t="str">
            <v>CTR_211</v>
          </cell>
          <cell r="B136" t="str">
            <v>Biteng</v>
          </cell>
          <cell r="C136" t="str">
            <v>CTR</v>
          </cell>
          <cell r="D136" t="str">
            <v>TELEINFRA CENTRE</v>
          </cell>
        </row>
        <row r="137">
          <cell r="A137" t="str">
            <v>CTR_556</v>
          </cell>
          <cell r="B137" t="str">
            <v>Biteng-GP</v>
          </cell>
          <cell r="C137" t="str">
            <v>CTR</v>
          </cell>
          <cell r="D137" t="str">
            <v>TELEINFRA CENTRE</v>
          </cell>
        </row>
        <row r="138">
          <cell r="A138" t="str">
            <v>CTR_395</v>
          </cell>
          <cell r="B138" t="str">
            <v>Biteng-Maetur</v>
          </cell>
          <cell r="C138" t="str">
            <v>CTR</v>
          </cell>
          <cell r="D138" t="str">
            <v>TELEINFRA CENTRE</v>
          </cell>
        </row>
        <row r="139">
          <cell r="A139" t="str">
            <v>CTR_705</v>
          </cell>
          <cell r="B139" t="str">
            <v>Biteng-OKUI</v>
          </cell>
          <cell r="C139" t="str">
            <v>CTR</v>
          </cell>
          <cell r="D139" t="str">
            <v>TELEINFRA CENTRE</v>
          </cell>
        </row>
        <row r="140">
          <cell r="A140" t="str">
            <v>CTR_315</v>
          </cell>
          <cell r="B140" t="str">
            <v>Bitoto</v>
          </cell>
          <cell r="C140" t="str">
            <v>CTR</v>
          </cell>
          <cell r="D140" t="str">
            <v>TELEINFRA CENTRE</v>
          </cell>
        </row>
        <row r="141">
          <cell r="A141" t="str">
            <v>CTR_794</v>
          </cell>
          <cell r="B141" t="str">
            <v>Bitotol-Ecole-Publique</v>
          </cell>
          <cell r="C141" t="str">
            <v>CTR</v>
          </cell>
          <cell r="D141" t="str">
            <v>TELEINFRA CENTRE</v>
          </cell>
        </row>
        <row r="142">
          <cell r="A142" t="str">
            <v>CTR_489</v>
          </cell>
          <cell r="B142" t="str">
            <v>Biyem-assi-stade</v>
          </cell>
          <cell r="C142" t="str">
            <v>CTR</v>
          </cell>
          <cell r="D142" t="str">
            <v>TELEINFRA CENTRE</v>
          </cell>
        </row>
        <row r="143">
          <cell r="A143" t="str">
            <v>EXN_041</v>
          </cell>
          <cell r="B143" t="str">
            <v>Blangoua</v>
          </cell>
          <cell r="C143" t="str">
            <v>EXN</v>
          </cell>
          <cell r="D143" t="str">
            <v>TELEINFRA NORD</v>
          </cell>
        </row>
        <row r="144">
          <cell r="A144" t="str">
            <v>EXN_006</v>
          </cell>
          <cell r="B144" t="str">
            <v>Bogo</v>
          </cell>
          <cell r="C144" t="str">
            <v>EXN</v>
          </cell>
          <cell r="D144" t="str">
            <v>TELEINFRA NORD</v>
          </cell>
        </row>
        <row r="145">
          <cell r="A145" t="str">
            <v>EXN_191</v>
          </cell>
          <cell r="B145" t="str">
            <v>Bogo-Marche</v>
          </cell>
          <cell r="C145" t="str">
            <v>EXN</v>
          </cell>
          <cell r="D145" t="str">
            <v>TELEINFRA NORD</v>
          </cell>
        </row>
        <row r="146">
          <cell r="A146" t="str">
            <v>EXN_097</v>
          </cell>
          <cell r="B146" t="str">
            <v>Bogo-MTN</v>
          </cell>
          <cell r="C146" t="str">
            <v>EXN</v>
          </cell>
          <cell r="D146" t="str">
            <v>TELEINFRA NORD</v>
          </cell>
        </row>
        <row r="147">
          <cell r="A147" t="str">
            <v>CTR_524</v>
          </cell>
          <cell r="B147" t="str">
            <v>Bonas-Yde-MTN-IHS</v>
          </cell>
          <cell r="C147" t="str">
            <v>CTR</v>
          </cell>
          <cell r="D147" t="str">
            <v>TELEINFRA CENTRE</v>
          </cell>
        </row>
        <row r="148">
          <cell r="A148" t="str">
            <v>CTR_205</v>
          </cell>
          <cell r="B148" t="str">
            <v>Bondjock</v>
          </cell>
          <cell r="C148" t="str">
            <v>CTR</v>
          </cell>
          <cell r="D148" t="str">
            <v>TELEINFRA CENTRE</v>
          </cell>
        </row>
        <row r="149">
          <cell r="A149" t="str">
            <v>EST_073</v>
          </cell>
          <cell r="B149" t="str">
            <v>Bonga</v>
          </cell>
          <cell r="C149" t="str">
            <v>EST</v>
          </cell>
          <cell r="D149" t="str">
            <v>TELEINFRA CENTRE</v>
          </cell>
        </row>
        <row r="150">
          <cell r="A150" t="str">
            <v>CTR_774</v>
          </cell>
          <cell r="B150" t="str">
            <v>Bong-assi</v>
          </cell>
          <cell r="C150" t="str">
            <v>CTR</v>
          </cell>
          <cell r="D150" t="str">
            <v>TELEINFRA CENTRE</v>
          </cell>
        </row>
        <row r="151">
          <cell r="A151" t="str">
            <v>ADM_162</v>
          </cell>
          <cell r="B151" t="str">
            <v>Borongo</v>
          </cell>
          <cell r="C151" t="str">
            <v>ADM</v>
          </cell>
          <cell r="D151" t="str">
            <v>TELEINFRA NORD</v>
          </cell>
        </row>
        <row r="152">
          <cell r="A152" t="str">
            <v>EST_130</v>
          </cell>
          <cell r="B152" t="str">
            <v>Borongoue-IHS</v>
          </cell>
          <cell r="C152" t="str">
            <v>EST</v>
          </cell>
          <cell r="D152" t="str">
            <v>TELEINFRA CENTRE</v>
          </cell>
        </row>
        <row r="153">
          <cell r="A153" t="str">
            <v>CTR_189</v>
          </cell>
          <cell r="B153" t="str">
            <v>Botmakak</v>
          </cell>
          <cell r="C153" t="str">
            <v>CTR</v>
          </cell>
          <cell r="D153" t="str">
            <v>TELEINFRA CENTRE</v>
          </cell>
        </row>
        <row r="154">
          <cell r="A154" t="str">
            <v>EST_003</v>
          </cell>
          <cell r="B154" t="str">
            <v>Bouam</v>
          </cell>
          <cell r="C154" t="str">
            <v>EST</v>
          </cell>
          <cell r="D154" t="str">
            <v>TELEINFRA CENTRE</v>
          </cell>
        </row>
        <row r="155">
          <cell r="A155" t="str">
            <v>NRD_167</v>
          </cell>
          <cell r="B155" t="str">
            <v>Bouba-Ndjida-Park</v>
          </cell>
          <cell r="C155" t="str">
            <v>NRD</v>
          </cell>
          <cell r="D155" t="str">
            <v>TELEINFRA NORD</v>
          </cell>
        </row>
        <row r="156">
          <cell r="A156" t="str">
            <v>EST_096</v>
          </cell>
          <cell r="B156" t="str">
            <v>Boubara-IHS</v>
          </cell>
          <cell r="C156" t="str">
            <v>EST</v>
          </cell>
          <cell r="D156" t="str">
            <v>TELEINFRA CENTRE</v>
          </cell>
        </row>
        <row r="157">
          <cell r="A157" t="str">
            <v>NRD_092</v>
          </cell>
          <cell r="B157" t="str">
            <v>Boudva-IHS</v>
          </cell>
          <cell r="C157" t="str">
            <v>NRD</v>
          </cell>
          <cell r="D157" t="str">
            <v>TELEINFRA NORD</v>
          </cell>
        </row>
        <row r="158">
          <cell r="A158" t="str">
            <v>EXN_135</v>
          </cell>
          <cell r="B158" t="str">
            <v>Bougoudoum-IHS</v>
          </cell>
          <cell r="C158" t="str">
            <v>EXN</v>
          </cell>
          <cell r="D158" t="str">
            <v>TELEINFRA NORD</v>
          </cell>
        </row>
        <row r="159">
          <cell r="A159" t="str">
            <v>NRD_014</v>
          </cell>
          <cell r="B159" t="str">
            <v>Boukoula-IHS</v>
          </cell>
          <cell r="C159" t="str">
            <v>NRD</v>
          </cell>
          <cell r="D159" t="str">
            <v>TELEINFRA NORD</v>
          </cell>
        </row>
        <row r="160">
          <cell r="A160" t="str">
            <v>NRD_105</v>
          </cell>
          <cell r="B160" t="str">
            <v>Boula-Ibi-IHS</v>
          </cell>
          <cell r="C160" t="str">
            <v>NRD</v>
          </cell>
          <cell r="D160" t="str">
            <v>TELEINFRA NORD</v>
          </cell>
        </row>
        <row r="161">
          <cell r="A161" t="str">
            <v>SUD_233</v>
          </cell>
          <cell r="B161" t="str">
            <v>Boulou-MTN</v>
          </cell>
          <cell r="C161" t="str">
            <v>SUD</v>
          </cell>
          <cell r="D161" t="str">
            <v>TELEINFRA CENTRE</v>
          </cell>
        </row>
        <row r="162">
          <cell r="A162" t="str">
            <v>CTR_058</v>
          </cell>
          <cell r="B162" t="str">
            <v>Boumnyebel</v>
          </cell>
          <cell r="C162" t="str">
            <v>CTR</v>
          </cell>
          <cell r="D162" t="str">
            <v>TELEINFRA CENTRE</v>
          </cell>
        </row>
        <row r="163">
          <cell r="A163" t="str">
            <v>CTR_286</v>
          </cell>
          <cell r="B163" t="str">
            <v>Boumnyebel-MTN</v>
          </cell>
          <cell r="C163" t="str">
            <v>CTR</v>
          </cell>
          <cell r="D163" t="str">
            <v>TELEINFRA CENTRE</v>
          </cell>
        </row>
        <row r="164">
          <cell r="A164" t="str">
            <v>EXN_019</v>
          </cell>
          <cell r="B164" t="str">
            <v>Bourha</v>
          </cell>
          <cell r="C164" t="str">
            <v>EXN</v>
          </cell>
          <cell r="D164" t="str">
            <v>TELEINFRA NORD</v>
          </cell>
        </row>
        <row r="165">
          <cell r="A165" t="str">
            <v>NRD_129</v>
          </cell>
          <cell r="B165" t="str">
            <v>Boussa-IHS</v>
          </cell>
          <cell r="C165" t="str">
            <v>NRD</v>
          </cell>
          <cell r="D165" t="str">
            <v>TELEINFRA NORD</v>
          </cell>
        </row>
        <row r="166">
          <cell r="A166" t="str">
            <v>EST_056</v>
          </cell>
          <cell r="B166" t="str">
            <v>Brigaya</v>
          </cell>
          <cell r="C166" t="str">
            <v>EST</v>
          </cell>
          <cell r="D166" t="str">
            <v>TELEINFRA CENTRE</v>
          </cell>
        </row>
        <row r="167">
          <cell r="A167" t="str">
            <v>CTR_321</v>
          </cell>
          <cell r="B167" t="str">
            <v>Briqueterie</v>
          </cell>
          <cell r="C167" t="str">
            <v>CTR</v>
          </cell>
          <cell r="D167" t="str">
            <v>TELEINFRA CENTRE</v>
          </cell>
        </row>
        <row r="168">
          <cell r="A168" t="str">
            <v>CTR_636</v>
          </cell>
          <cell r="B168" t="str">
            <v>BTS-Mobile-Mbandjock</v>
          </cell>
          <cell r="C168" t="str">
            <v>CTR</v>
          </cell>
          <cell r="D168" t="str">
            <v>TELEINFRA CENTRE</v>
          </cell>
        </row>
        <row r="169">
          <cell r="A169" t="str">
            <v>CTR_767</v>
          </cell>
          <cell r="B169" t="str">
            <v>Camp-Sic-Mendong</v>
          </cell>
          <cell r="C169" t="str">
            <v>CTR</v>
          </cell>
          <cell r="D169" t="str">
            <v>TELEINFRA CENTRE</v>
          </cell>
        </row>
        <row r="170">
          <cell r="A170" t="str">
            <v>CTR_375</v>
          </cell>
          <cell r="B170" t="str">
            <v>Camp-SIC-Tsinga</v>
          </cell>
          <cell r="C170" t="str">
            <v>CTR</v>
          </cell>
          <cell r="D170" t="str">
            <v>TELEINFRA CENTRE</v>
          </cell>
        </row>
        <row r="171">
          <cell r="A171" t="str">
            <v>CTR_595</v>
          </cell>
          <cell r="B171" t="str">
            <v>Camp-Sonel</v>
          </cell>
          <cell r="C171" t="str">
            <v>CTR</v>
          </cell>
          <cell r="D171" t="str">
            <v>TELEINFRA CENTRE</v>
          </cell>
        </row>
        <row r="172">
          <cell r="A172" t="str">
            <v>CTR_070</v>
          </cell>
          <cell r="B172" t="str">
            <v>Carington</v>
          </cell>
          <cell r="C172" t="str">
            <v>CTR</v>
          </cell>
          <cell r="D172" t="str">
            <v>TELEINFRA CENTRE</v>
          </cell>
        </row>
        <row r="173">
          <cell r="A173" t="str">
            <v>CTR_841</v>
          </cell>
          <cell r="B173" t="str">
            <v>Carrefour-Diderot</v>
          </cell>
          <cell r="C173" t="str">
            <v>CTR</v>
          </cell>
          <cell r="D173" t="str">
            <v>TELEINFRA CENTRE</v>
          </cell>
        </row>
        <row r="174">
          <cell r="A174" t="str">
            <v>CTR_835</v>
          </cell>
          <cell r="B174" t="str">
            <v>Carrefour-Elat</v>
          </cell>
          <cell r="C174" t="str">
            <v>CTR</v>
          </cell>
          <cell r="D174" t="str">
            <v>TELEINFRA CENTRE</v>
          </cell>
        </row>
        <row r="175">
          <cell r="A175" t="str">
            <v>CTR_720</v>
          </cell>
          <cell r="B175" t="str">
            <v>Carriere</v>
          </cell>
          <cell r="C175" t="str">
            <v>CTR</v>
          </cell>
          <cell r="D175" t="str">
            <v>TELEINFRA CENTRE</v>
          </cell>
        </row>
        <row r="176">
          <cell r="A176" t="str">
            <v>CTR_805</v>
          </cell>
          <cell r="B176" t="str">
            <v>CBC</v>
          </cell>
          <cell r="C176" t="str">
            <v>CTR</v>
          </cell>
          <cell r="D176" t="str">
            <v>TELEINFRA CENTRE</v>
          </cell>
        </row>
        <row r="177">
          <cell r="A177" t="str">
            <v>CTR_821</v>
          </cell>
          <cell r="B177" t="str">
            <v>CBC-Radio-II</v>
          </cell>
          <cell r="C177" t="str">
            <v>CTR</v>
          </cell>
          <cell r="D177" t="str">
            <v>TELEINFRA CENTRE</v>
          </cell>
        </row>
        <row r="178">
          <cell r="A178" t="str">
            <v>NRD_055</v>
          </cell>
          <cell r="B178" t="str">
            <v>Chamber-Wangai</v>
          </cell>
          <cell r="C178" t="str">
            <v>NRD</v>
          </cell>
          <cell r="D178" t="str">
            <v>TELEINFRA NORD</v>
          </cell>
        </row>
        <row r="179">
          <cell r="A179" t="str">
            <v>CTR_207</v>
          </cell>
          <cell r="B179" t="str">
            <v>Chapelle-Essos</v>
          </cell>
          <cell r="C179" t="str">
            <v>CTR</v>
          </cell>
          <cell r="D179" t="str">
            <v>TELEINFRA CENTRE</v>
          </cell>
        </row>
        <row r="180">
          <cell r="A180" t="str">
            <v>CTR_446</v>
          </cell>
          <cell r="B180" t="str">
            <v>Chapelle-Manguier-IHS</v>
          </cell>
          <cell r="C180" t="str">
            <v>CTR</v>
          </cell>
          <cell r="D180" t="str">
            <v>TELEINFRA CENTRE</v>
          </cell>
        </row>
        <row r="181">
          <cell r="A181" t="str">
            <v>CTR_238</v>
          </cell>
          <cell r="B181" t="str">
            <v>Chapelle-Nsimeyong</v>
          </cell>
          <cell r="C181" t="str">
            <v>CTR</v>
          </cell>
          <cell r="D181" t="str">
            <v>TELEINFRA CENTRE</v>
          </cell>
        </row>
        <row r="182">
          <cell r="A182" t="str">
            <v>CTR_339</v>
          </cell>
          <cell r="B182" t="str">
            <v>Chapelle-Obili</v>
          </cell>
          <cell r="C182" t="str">
            <v>CTR</v>
          </cell>
          <cell r="D182" t="str">
            <v>TELEINFRA CENTRE</v>
          </cell>
        </row>
        <row r="183">
          <cell r="A183" t="str">
            <v>CTR_197</v>
          </cell>
          <cell r="B183" t="str">
            <v>Charles-Atangana</v>
          </cell>
          <cell r="C183" t="str">
            <v>CTR</v>
          </cell>
          <cell r="D183" t="str">
            <v>TELEINFRA CENTRE</v>
          </cell>
        </row>
        <row r="184">
          <cell r="A184" t="str">
            <v>CTR_414</v>
          </cell>
          <cell r="B184" t="str">
            <v>Cite-Verte</v>
          </cell>
          <cell r="C184" t="str">
            <v>CTR</v>
          </cell>
          <cell r="D184" t="str">
            <v>TELEINFRA CENTRE</v>
          </cell>
        </row>
        <row r="185">
          <cell r="A185" t="str">
            <v>CTR_331</v>
          </cell>
          <cell r="B185" t="str">
            <v>Clge-Advantiste</v>
          </cell>
          <cell r="C185" t="str">
            <v>CTR</v>
          </cell>
          <cell r="D185" t="str">
            <v>TELEINFRA CENTRE</v>
          </cell>
        </row>
        <row r="186">
          <cell r="A186" t="str">
            <v>CTR_046</v>
          </cell>
          <cell r="B186" t="str">
            <v>CNDH</v>
          </cell>
          <cell r="C186" t="str">
            <v>CTR</v>
          </cell>
          <cell r="D186" t="str">
            <v>TELEINFRA CENTRE</v>
          </cell>
        </row>
        <row r="187">
          <cell r="A187" t="str">
            <v>CTR_839</v>
          </cell>
          <cell r="B187" t="str">
            <v>CNPS Kennedy Nodal</v>
          </cell>
          <cell r="C187" t="str">
            <v>CTR</v>
          </cell>
          <cell r="D187" t="str">
            <v>TELEINFRA CENTRE</v>
          </cell>
        </row>
        <row r="188">
          <cell r="A188" t="str">
            <v>CTR_002</v>
          </cell>
          <cell r="B188" t="str">
            <v>CNR</v>
          </cell>
          <cell r="C188" t="str">
            <v>CTR</v>
          </cell>
          <cell r="D188" t="str">
            <v>TELEINFRA CENTRE</v>
          </cell>
        </row>
        <row r="189">
          <cell r="A189" t="str">
            <v>CTR_196</v>
          </cell>
          <cell r="B189" t="str">
            <v>Complexe-BEAC</v>
          </cell>
          <cell r="C189" t="str">
            <v>CTR</v>
          </cell>
          <cell r="D189" t="str">
            <v>TELEINFRA CENTRE</v>
          </cell>
        </row>
        <row r="190">
          <cell r="A190" t="str">
            <v>CTR_579</v>
          </cell>
          <cell r="B190" t="str">
            <v>Cradat</v>
          </cell>
          <cell r="C190" t="str">
            <v>CTR</v>
          </cell>
          <cell r="D190" t="str">
            <v>TELEINFRA CENTRE</v>
          </cell>
        </row>
        <row r="191">
          <cell r="A191" t="str">
            <v>CTR_477</v>
          </cell>
          <cell r="B191" t="str">
            <v>Crf-Cornier</v>
          </cell>
          <cell r="C191" t="str">
            <v>CTR</v>
          </cell>
          <cell r="D191" t="str">
            <v>TELEINFRA CENTRE</v>
          </cell>
        </row>
        <row r="192">
          <cell r="A192" t="str">
            <v>NRD_074</v>
          </cell>
          <cell r="B192" t="str">
            <v>Crf-Figuil</v>
          </cell>
          <cell r="C192" t="str">
            <v>NRD</v>
          </cell>
          <cell r="D192" t="str">
            <v>TELEINFRA NORD</v>
          </cell>
        </row>
        <row r="193">
          <cell r="A193" t="str">
            <v>CTR_637</v>
          </cell>
          <cell r="B193" t="str">
            <v>Crf-Mbankolo</v>
          </cell>
          <cell r="C193" t="str">
            <v>CTR</v>
          </cell>
          <cell r="D193" t="str">
            <v>TELEINFRA CENTRE</v>
          </cell>
        </row>
        <row r="194">
          <cell r="A194" t="str">
            <v>CTR_256</v>
          </cell>
          <cell r="B194" t="str">
            <v>Crf-Nkolbisson</v>
          </cell>
          <cell r="C194" t="str">
            <v>CTR</v>
          </cell>
          <cell r="D194" t="str">
            <v>TELEINFRA CENTRE</v>
          </cell>
        </row>
        <row r="195">
          <cell r="A195" t="str">
            <v>CTR_554</v>
          </cell>
          <cell r="B195" t="str">
            <v>Crf-Nkomo-IHS</v>
          </cell>
          <cell r="C195" t="str">
            <v>CTR</v>
          </cell>
          <cell r="D195" t="str">
            <v>TELEINFRA CENTRE</v>
          </cell>
        </row>
        <row r="196">
          <cell r="A196" t="str">
            <v>CTR_159</v>
          </cell>
          <cell r="B196" t="str">
            <v>Crf-Nsam-IHS</v>
          </cell>
          <cell r="C196" t="str">
            <v>CTR</v>
          </cell>
          <cell r="D196" t="str">
            <v>TELEINFRA CENTRE</v>
          </cell>
        </row>
        <row r="197">
          <cell r="A197" t="str">
            <v>CTR_557</v>
          </cell>
          <cell r="B197" t="str">
            <v>Crfr-Ecole-Maternelle-Carriere</v>
          </cell>
          <cell r="C197" t="str">
            <v>CTR</v>
          </cell>
          <cell r="D197" t="str">
            <v>TELEINFRA CENTRE</v>
          </cell>
        </row>
        <row r="198">
          <cell r="A198" t="str">
            <v>CTR_265</v>
          </cell>
          <cell r="B198" t="str">
            <v>CRH-Etoug-Ebe</v>
          </cell>
          <cell r="C198" t="str">
            <v>CTR</v>
          </cell>
          <cell r="D198" t="str">
            <v>TELEINFRA CENTRE</v>
          </cell>
        </row>
        <row r="199">
          <cell r="A199" t="str">
            <v>CTR_759</v>
          </cell>
          <cell r="B199" t="str">
            <v>Croix-Rouge</v>
          </cell>
          <cell r="C199" t="str">
            <v>CTR</v>
          </cell>
          <cell r="D199" t="str">
            <v>TELEINFRA CENTRE</v>
          </cell>
        </row>
        <row r="200">
          <cell r="A200" t="str">
            <v>CTR_842</v>
          </cell>
          <cell r="B200" t="str">
            <v>CRTV_Yaounde_Mballa_II</v>
          </cell>
          <cell r="C200" t="str">
            <v>CTR</v>
          </cell>
          <cell r="D200" t="str">
            <v>TELEINFRA CENTRE</v>
          </cell>
        </row>
        <row r="201">
          <cell r="A201" t="str">
            <v>CTR_240</v>
          </cell>
          <cell r="B201" t="str">
            <v>C-Supreme</v>
          </cell>
          <cell r="C201" t="str">
            <v>CTR</v>
          </cell>
          <cell r="D201" t="str">
            <v>TELEINFRA CENTRE</v>
          </cell>
        </row>
        <row r="202">
          <cell r="A202" t="str">
            <v>EXN_807</v>
          </cell>
          <cell r="B202" t="str">
            <v>Dabanga</v>
          </cell>
          <cell r="C202" t="str">
            <v>EXN</v>
          </cell>
          <cell r="D202" t="str">
            <v>TELEINFRA NORD</v>
          </cell>
        </row>
        <row r="203">
          <cell r="A203" t="str">
            <v>CTR_255</v>
          </cell>
          <cell r="B203" t="str">
            <v>Dagobert</v>
          </cell>
          <cell r="C203" t="str">
            <v>CTR</v>
          </cell>
          <cell r="D203" t="str">
            <v>TELEINFRA CENTRE</v>
          </cell>
        </row>
        <row r="204">
          <cell r="A204" t="str">
            <v>EXN_211</v>
          </cell>
          <cell r="B204" t="str">
            <v>Dakana</v>
          </cell>
          <cell r="C204" t="str">
            <v>EXN</v>
          </cell>
          <cell r="D204" t="str">
            <v>TELEINFRA NORD</v>
          </cell>
        </row>
        <row r="205">
          <cell r="A205" t="str">
            <v>CTR_074</v>
          </cell>
          <cell r="B205" t="str">
            <v>Damas</v>
          </cell>
          <cell r="C205" t="str">
            <v>CTR</v>
          </cell>
          <cell r="D205" t="str">
            <v>TELEINFRA CENTRE</v>
          </cell>
        </row>
        <row r="206">
          <cell r="A206" t="str">
            <v>CTR_472</v>
          </cell>
          <cell r="B206" t="str">
            <v>Damas-II</v>
          </cell>
          <cell r="C206" t="str">
            <v>CTR</v>
          </cell>
          <cell r="D206" t="str">
            <v>TELEINFRA CENTRE</v>
          </cell>
        </row>
        <row r="207">
          <cell r="A207" t="str">
            <v>ADM_122</v>
          </cell>
          <cell r="B207" t="str">
            <v>Danfili-MTN-IHS</v>
          </cell>
          <cell r="C207" t="str">
            <v>ADM</v>
          </cell>
          <cell r="D207" t="str">
            <v>TELEINFRA NORD</v>
          </cell>
        </row>
        <row r="208">
          <cell r="A208" t="str">
            <v>ADM_153</v>
          </cell>
          <cell r="B208" t="str">
            <v>Darassalam-IHS</v>
          </cell>
          <cell r="C208" t="str">
            <v>ADM</v>
          </cell>
          <cell r="D208" t="str">
            <v>TELEINFRA NORD</v>
          </cell>
        </row>
        <row r="209">
          <cell r="A209" t="str">
            <v>EXN_190</v>
          </cell>
          <cell r="B209" t="str">
            <v>Dargala-New</v>
          </cell>
          <cell r="C209" t="str">
            <v>EXN</v>
          </cell>
          <cell r="D209" t="str">
            <v>TELEINFRA NORD</v>
          </cell>
        </row>
        <row r="210">
          <cell r="A210" t="str">
            <v>EXN_133</v>
          </cell>
          <cell r="B210" t="str">
            <v>Darrack-MTN-IHS</v>
          </cell>
          <cell r="C210" t="str">
            <v>EXN</v>
          </cell>
          <cell r="D210" t="str">
            <v>TELEINFRA NORD</v>
          </cell>
        </row>
        <row r="211">
          <cell r="A211" t="str">
            <v>EXN_075</v>
          </cell>
          <cell r="B211" t="str">
            <v>Datcheka</v>
          </cell>
          <cell r="C211" t="str">
            <v>EXN</v>
          </cell>
          <cell r="D211" t="str">
            <v>TELEINFRA NORD</v>
          </cell>
        </row>
        <row r="212">
          <cell r="A212" t="str">
            <v>ADM_082</v>
          </cell>
          <cell r="B212" t="str">
            <v>DEENA-IHS</v>
          </cell>
          <cell r="C212" t="str">
            <v>ADM</v>
          </cell>
          <cell r="D212" t="str">
            <v>TELEINFRA NORD</v>
          </cell>
        </row>
        <row r="213">
          <cell r="A213" t="str">
            <v>NRD_024</v>
          </cell>
          <cell r="B213" t="str">
            <v>Dembo</v>
          </cell>
          <cell r="C213" t="str">
            <v>NRD</v>
          </cell>
          <cell r="D213" t="str">
            <v>TELEINFRA NORD</v>
          </cell>
        </row>
        <row r="214">
          <cell r="A214" t="str">
            <v>EST_093</v>
          </cell>
          <cell r="B214" t="str">
            <v>Deng-Deng-IHS</v>
          </cell>
          <cell r="C214" t="str">
            <v>EST</v>
          </cell>
          <cell r="D214" t="str">
            <v>TELEINFRA CENTRE</v>
          </cell>
        </row>
        <row r="215">
          <cell r="A215" t="str">
            <v>ADM_111</v>
          </cell>
          <cell r="B215" t="str">
            <v>Deone-IHS</v>
          </cell>
          <cell r="C215" t="str">
            <v>ADM</v>
          </cell>
          <cell r="D215" t="str">
            <v>TELEINFRA NORD</v>
          </cell>
        </row>
        <row r="216">
          <cell r="A216" t="str">
            <v>EST_076</v>
          </cell>
          <cell r="B216" t="str">
            <v>Diang-MTN</v>
          </cell>
          <cell r="C216" t="str">
            <v>EST</v>
          </cell>
          <cell r="D216" t="str">
            <v>TELEINFRA CENTRE</v>
          </cell>
        </row>
        <row r="217">
          <cell r="A217" t="str">
            <v>ADM_032</v>
          </cell>
          <cell r="B217" t="str">
            <v>Dibi-MTN</v>
          </cell>
          <cell r="C217" t="str">
            <v>ADM</v>
          </cell>
          <cell r="D217" t="str">
            <v>TELEINFRA NORD</v>
          </cell>
        </row>
        <row r="218">
          <cell r="A218" t="str">
            <v>SUD_098</v>
          </cell>
          <cell r="B218" t="str">
            <v>Dikoum-Camtel</v>
          </cell>
          <cell r="C218" t="str">
            <v>SUD</v>
          </cell>
          <cell r="D218" t="str">
            <v>TELEINFRA CENTRE</v>
          </cell>
        </row>
        <row r="219">
          <cell r="A219" t="str">
            <v>EST_019</v>
          </cell>
          <cell r="B219" t="str">
            <v>Dimako</v>
          </cell>
          <cell r="C219" t="str">
            <v>EST</v>
          </cell>
          <cell r="D219" t="str">
            <v>TELEINFRA CENTRE</v>
          </cell>
        </row>
        <row r="220">
          <cell r="A220" t="str">
            <v>ADM_021</v>
          </cell>
          <cell r="B220" t="str">
            <v>Dir</v>
          </cell>
          <cell r="C220" t="str">
            <v>ADM</v>
          </cell>
          <cell r="D220" t="str">
            <v>TELEINFRA NORD</v>
          </cell>
        </row>
        <row r="221">
          <cell r="A221" t="str">
            <v>NRD_128</v>
          </cell>
          <cell r="B221" t="str">
            <v>Djaba-IHS</v>
          </cell>
          <cell r="C221" t="str">
            <v>NRD</v>
          </cell>
          <cell r="D221" t="str">
            <v>TELEINFRA NORD</v>
          </cell>
        </row>
        <row r="222">
          <cell r="A222" t="str">
            <v>NRD_069</v>
          </cell>
          <cell r="B222" t="str">
            <v>DJABI-IHS</v>
          </cell>
          <cell r="C222" t="str">
            <v>NRD</v>
          </cell>
          <cell r="D222" t="str">
            <v>TELEINFRA NORD</v>
          </cell>
        </row>
        <row r="223">
          <cell r="A223" t="str">
            <v>NRD_003</v>
          </cell>
          <cell r="B223" t="str">
            <v>Djamboutou</v>
          </cell>
          <cell r="C223" t="str">
            <v>NRD</v>
          </cell>
          <cell r="D223" t="str">
            <v>TELEINFRA NORD</v>
          </cell>
        </row>
        <row r="224">
          <cell r="A224" t="str">
            <v>NRD_118</v>
          </cell>
          <cell r="B224" t="str">
            <v>Djamboutou-MTN-IHS</v>
          </cell>
          <cell r="C224" t="str">
            <v>NRD</v>
          </cell>
          <cell r="D224" t="str">
            <v>TELEINFRA NORD</v>
          </cell>
        </row>
        <row r="225">
          <cell r="A225" t="str">
            <v>EST_008</v>
          </cell>
          <cell r="B225" t="str">
            <v>Djangane</v>
          </cell>
          <cell r="C225" t="str">
            <v>EST</v>
          </cell>
          <cell r="D225" t="str">
            <v>TELEINFRA CENTRE</v>
          </cell>
        </row>
        <row r="226">
          <cell r="A226" t="str">
            <v>NRD_030</v>
          </cell>
          <cell r="B226" t="str">
            <v>Djarako</v>
          </cell>
          <cell r="C226" t="str">
            <v>NRD</v>
          </cell>
          <cell r="D226" t="str">
            <v>TELEINFRA NORD</v>
          </cell>
        </row>
        <row r="227">
          <cell r="A227" t="str">
            <v>NRD_812</v>
          </cell>
          <cell r="B227" t="str">
            <v xml:space="preserve">Djarako MTN </v>
          </cell>
          <cell r="C227" t="str">
            <v>NRD</v>
          </cell>
          <cell r="D227" t="str">
            <v>TELEINFRA NORD</v>
          </cell>
        </row>
        <row r="228">
          <cell r="A228" t="str">
            <v>EXN_101</v>
          </cell>
          <cell r="B228" t="str">
            <v>Djarengol-Delegue-IHS</v>
          </cell>
          <cell r="C228" t="str">
            <v>EXN</v>
          </cell>
          <cell r="D228" t="str">
            <v>TELEINFRA NORD</v>
          </cell>
        </row>
        <row r="229">
          <cell r="A229" t="str">
            <v>ADM_095</v>
          </cell>
          <cell r="B229" t="str">
            <v>Djerkoka-MTN-IHS</v>
          </cell>
          <cell r="C229" t="str">
            <v>ADM</v>
          </cell>
          <cell r="D229" t="str">
            <v>TELEINFRA NORD</v>
          </cell>
        </row>
        <row r="230">
          <cell r="A230" t="str">
            <v>ADM_022</v>
          </cell>
          <cell r="B230" t="str">
            <v>Djohong</v>
          </cell>
          <cell r="C230" t="str">
            <v>ADM</v>
          </cell>
          <cell r="D230" t="str">
            <v>TELEINFRA NORD</v>
          </cell>
        </row>
        <row r="231">
          <cell r="A231" t="str">
            <v>SUD_014</v>
          </cell>
          <cell r="B231" t="str">
            <v>Djoum</v>
          </cell>
          <cell r="C231" t="str">
            <v>SUD</v>
          </cell>
          <cell r="D231" t="str">
            <v>TELEINFRA CENTRE</v>
          </cell>
        </row>
        <row r="232">
          <cell r="A232" t="str">
            <v>SUD_252</v>
          </cell>
          <cell r="B232" t="str">
            <v>Djoum-CAMINEX</v>
          </cell>
          <cell r="C232" t="str">
            <v>SUD</v>
          </cell>
          <cell r="D232" t="str">
            <v>TELEINFRA CENTRE</v>
          </cell>
        </row>
        <row r="233">
          <cell r="A233" t="str">
            <v>SUD_231</v>
          </cell>
          <cell r="B233" t="str">
            <v>Djoum-CIFAN</v>
          </cell>
          <cell r="C233" t="str">
            <v>SUD</v>
          </cell>
          <cell r="D233" t="str">
            <v>TELEINFRA CENTRE</v>
          </cell>
        </row>
        <row r="234">
          <cell r="A234" t="str">
            <v>SUD_064</v>
          </cell>
          <cell r="B234" t="str">
            <v>Djoum-Ville-IHS</v>
          </cell>
          <cell r="C234" t="str">
            <v>SUD</v>
          </cell>
          <cell r="D234" t="str">
            <v>TELEINFRA CENTRE</v>
          </cell>
        </row>
        <row r="235">
          <cell r="A235" t="str">
            <v>CTR_029</v>
          </cell>
          <cell r="B235" t="str">
            <v>Djoungolo</v>
          </cell>
          <cell r="C235" t="str">
            <v>CTR</v>
          </cell>
          <cell r="D235" t="str">
            <v>TELEINFRA CENTRE</v>
          </cell>
        </row>
        <row r="236">
          <cell r="A236" t="str">
            <v>ADM_045</v>
          </cell>
          <cell r="B236" t="str">
            <v>Dobiri-MTN</v>
          </cell>
          <cell r="C236" t="str">
            <v>ADM</v>
          </cell>
          <cell r="D236" t="str">
            <v>TELEINFRA NORD</v>
          </cell>
        </row>
        <row r="237">
          <cell r="A237" t="str">
            <v>EXN_171</v>
          </cell>
          <cell r="B237" t="str">
            <v>Dogba-IHS</v>
          </cell>
          <cell r="C237" t="str">
            <v>EXN</v>
          </cell>
          <cell r="D237" t="str">
            <v>TELEINFRA NORD</v>
          </cell>
        </row>
        <row r="238">
          <cell r="A238" t="str">
            <v>ADM_128</v>
          </cell>
          <cell r="B238" t="str">
            <v>Dogba-Ngd-IHS</v>
          </cell>
          <cell r="C238" t="str">
            <v>ADM</v>
          </cell>
          <cell r="D238" t="str">
            <v>TELEINFRA NORD</v>
          </cell>
        </row>
        <row r="239">
          <cell r="A239" t="str">
            <v>EXN_054</v>
          </cell>
          <cell r="B239" t="str">
            <v>Domayo</v>
          </cell>
          <cell r="C239" t="str">
            <v>EXN</v>
          </cell>
          <cell r="D239" t="str">
            <v>TELEINFRA NORD</v>
          </cell>
        </row>
        <row r="240">
          <cell r="A240" t="str">
            <v>EXN_247</v>
          </cell>
          <cell r="B240" t="str">
            <v>Domayo-II</v>
          </cell>
          <cell r="C240" t="str">
            <v>EXN</v>
          </cell>
          <cell r="D240" t="str">
            <v>TELEINFRA NORD</v>
          </cell>
        </row>
        <row r="241">
          <cell r="A241" t="str">
            <v>EXN_118</v>
          </cell>
          <cell r="B241" t="str">
            <v>Doreissou-IHS</v>
          </cell>
          <cell r="C241" t="str">
            <v>EXN</v>
          </cell>
          <cell r="D241" t="str">
            <v>TELEINFRA NORD</v>
          </cell>
        </row>
        <row r="242">
          <cell r="A242" t="str">
            <v>EXN_030</v>
          </cell>
          <cell r="B242" t="str">
            <v>Doualare</v>
          </cell>
          <cell r="C242" t="str">
            <v>EXN</v>
          </cell>
          <cell r="D242" t="str">
            <v>TELEINFRA NORD</v>
          </cell>
        </row>
        <row r="243">
          <cell r="A243" t="str">
            <v>EXN_197</v>
          </cell>
          <cell r="B243" t="str">
            <v>Doualare-II</v>
          </cell>
          <cell r="C243" t="str">
            <v>EXN</v>
          </cell>
          <cell r="D243" t="str">
            <v>TELEINFRA NORD</v>
          </cell>
        </row>
        <row r="244">
          <cell r="A244" t="str">
            <v>ADM_067</v>
          </cell>
          <cell r="B244" t="str">
            <v>Doualayel-MTN</v>
          </cell>
          <cell r="C244" t="str">
            <v>ADM</v>
          </cell>
          <cell r="D244" t="str">
            <v>TELEINFRA NORD</v>
          </cell>
        </row>
        <row r="245">
          <cell r="A245" t="str">
            <v>EXN_109</v>
          </cell>
          <cell r="B245" t="str">
            <v>DOUBLE-IHS</v>
          </cell>
          <cell r="C245" t="str">
            <v>EXN</v>
          </cell>
          <cell r="D245" t="str">
            <v>TELEINFRA NORD</v>
          </cell>
        </row>
        <row r="246">
          <cell r="A246" t="str">
            <v>EXN_002</v>
          </cell>
          <cell r="B246" t="str">
            <v>Douggoy</v>
          </cell>
          <cell r="C246" t="str">
            <v>EXN</v>
          </cell>
          <cell r="D246" t="str">
            <v>TELEINFRA NORD</v>
          </cell>
        </row>
        <row r="247">
          <cell r="A247" t="str">
            <v>EXN_217</v>
          </cell>
          <cell r="B247" t="str">
            <v>Douggoy-Lopere-II</v>
          </cell>
          <cell r="C247" t="str">
            <v>EXN</v>
          </cell>
          <cell r="D247" t="str">
            <v>TELEINFRA NORD</v>
          </cell>
        </row>
        <row r="248">
          <cell r="A248" t="str">
            <v>EST_020</v>
          </cell>
          <cell r="B248" t="str">
            <v>Doume</v>
          </cell>
          <cell r="C248" t="str">
            <v>EST</v>
          </cell>
          <cell r="D248" t="str">
            <v>TELEINFRA CENTRE</v>
          </cell>
        </row>
        <row r="249">
          <cell r="A249" t="str">
            <v>CTR_302</v>
          </cell>
          <cell r="B249" t="str">
            <v>Doume-Centre</v>
          </cell>
          <cell r="C249" t="str">
            <v>CTR</v>
          </cell>
          <cell r="D249" t="str">
            <v>TELEINFRA CENTRE</v>
          </cell>
        </row>
        <row r="250">
          <cell r="A250" t="str">
            <v>EST_092</v>
          </cell>
          <cell r="B250" t="str">
            <v>Doume-MTN-IHS</v>
          </cell>
          <cell r="C250" t="str">
            <v>EST</v>
          </cell>
          <cell r="D250" t="str">
            <v>TELEINFRA CENTRE</v>
          </cell>
        </row>
        <row r="251">
          <cell r="A251" t="str">
            <v>EXN_165</v>
          </cell>
          <cell r="B251" t="str">
            <v>Doumo-IHS</v>
          </cell>
          <cell r="C251" t="str">
            <v>EXN</v>
          </cell>
          <cell r="D251" t="str">
            <v>TELEINFRA NORD</v>
          </cell>
        </row>
        <row r="252">
          <cell r="A252" t="str">
            <v>NRD_152</v>
          </cell>
          <cell r="B252" t="str">
            <v>Doumo-IHS-VSAT</v>
          </cell>
          <cell r="C252" t="str">
            <v>NRD</v>
          </cell>
          <cell r="D252" t="str">
            <v>TELEINFRA NORD</v>
          </cell>
        </row>
        <row r="253">
          <cell r="A253" t="str">
            <v>NRD_057</v>
          </cell>
          <cell r="B253" t="str">
            <v>Dourbeye</v>
          </cell>
          <cell r="C253" t="str">
            <v>NRD</v>
          </cell>
          <cell r="D253" t="str">
            <v>TELEINFRA NORD</v>
          </cell>
        </row>
        <row r="254">
          <cell r="A254" t="str">
            <v>NRD_122</v>
          </cell>
          <cell r="B254" t="str">
            <v>Douroum-IHS</v>
          </cell>
          <cell r="C254" t="str">
            <v>NRD</v>
          </cell>
          <cell r="D254" t="str">
            <v>TELEINFRA NORD</v>
          </cell>
        </row>
        <row r="255">
          <cell r="A255" t="str">
            <v>CTR_344</v>
          </cell>
          <cell r="B255" t="str">
            <v>Dragage</v>
          </cell>
          <cell r="C255" t="str">
            <v>CTR</v>
          </cell>
          <cell r="D255" t="str">
            <v>TELEINFRA CENTRE</v>
          </cell>
        </row>
        <row r="256">
          <cell r="A256" t="str">
            <v>EXN_074</v>
          </cell>
          <cell r="B256" t="str">
            <v>Dziguilao</v>
          </cell>
          <cell r="C256" t="str">
            <v>EXN</v>
          </cell>
          <cell r="D256" t="str">
            <v>TELEINFRA NORD</v>
          </cell>
        </row>
        <row r="257">
          <cell r="A257" t="str">
            <v>SUD_009</v>
          </cell>
          <cell r="B257" t="str">
            <v>EBANGA Ngoulou</v>
          </cell>
          <cell r="C257" t="str">
            <v>SUD</v>
          </cell>
          <cell r="D257" t="str">
            <v>TELEINFRA CENTRE</v>
          </cell>
        </row>
        <row r="258">
          <cell r="A258" t="str">
            <v>SUD_019</v>
          </cell>
          <cell r="B258" t="str">
            <v>Ebanga-Ngoulou-New</v>
          </cell>
          <cell r="C258" t="str">
            <v>SUD</v>
          </cell>
          <cell r="D258" t="str">
            <v>TELEINFRA CENTRE</v>
          </cell>
        </row>
        <row r="259">
          <cell r="A259" t="str">
            <v>CTR_116</v>
          </cell>
          <cell r="B259" t="str">
            <v>Ebeba</v>
          </cell>
          <cell r="C259" t="str">
            <v>CTR</v>
          </cell>
          <cell r="D259" t="str">
            <v>TELEINFRA CENTRE</v>
          </cell>
        </row>
        <row r="260">
          <cell r="A260" t="str">
            <v>CTR_313</v>
          </cell>
          <cell r="B260" t="str">
            <v>Ebogo</v>
          </cell>
          <cell r="C260" t="str">
            <v>CTR</v>
          </cell>
          <cell r="D260" t="str">
            <v>TELEINFRA CENTRE</v>
          </cell>
        </row>
        <row r="261">
          <cell r="A261" t="str">
            <v>SUD_007</v>
          </cell>
          <cell r="B261" t="str">
            <v>Ebolowa</v>
          </cell>
          <cell r="C261" t="str">
            <v>SUD</v>
          </cell>
          <cell r="D261" t="str">
            <v>TELEINFRA CENTRE</v>
          </cell>
        </row>
        <row r="262">
          <cell r="A262" t="str">
            <v>SUD_041</v>
          </cell>
          <cell r="B262" t="str">
            <v>Ebolowa-Agence-New</v>
          </cell>
          <cell r="C262" t="str">
            <v>SUD</v>
          </cell>
          <cell r="D262" t="str">
            <v>TELEINFRA CENTRE</v>
          </cell>
        </row>
        <row r="263">
          <cell r="A263" t="str">
            <v>SUD_264</v>
          </cell>
          <cell r="B263" t="str">
            <v>Ebolowa-Angale</v>
          </cell>
          <cell r="C263" t="str">
            <v>SUD</v>
          </cell>
          <cell r="D263" t="str">
            <v>TELEINFRA CENTRE</v>
          </cell>
        </row>
        <row r="264">
          <cell r="A264" t="str">
            <v>SUD_217</v>
          </cell>
          <cell r="B264" t="str">
            <v>Ebolowa-Elat</v>
          </cell>
          <cell r="C264" t="str">
            <v>SUD</v>
          </cell>
          <cell r="D264" t="str">
            <v>TELEINFRA CENTRE</v>
          </cell>
        </row>
        <row r="265">
          <cell r="A265" t="str">
            <v>SUD_100</v>
          </cell>
          <cell r="B265" t="str">
            <v>Ebolowa-Elat-II</v>
          </cell>
          <cell r="C265" t="str">
            <v>SUD</v>
          </cell>
          <cell r="D265" t="str">
            <v>TELEINFRA CENTRE</v>
          </cell>
        </row>
        <row r="266">
          <cell r="A266" t="str">
            <v>SUD_082</v>
          </cell>
          <cell r="B266" t="str">
            <v>Ebolowa-Makalat-IHS</v>
          </cell>
          <cell r="C266" t="str">
            <v>SUD</v>
          </cell>
          <cell r="D266" t="str">
            <v>TELEINFRA CENTRE</v>
          </cell>
        </row>
        <row r="267">
          <cell r="A267" t="str">
            <v>SUD_223</v>
          </cell>
          <cell r="B267" t="str">
            <v>Ebolowa-Mekalat</v>
          </cell>
          <cell r="C267" t="str">
            <v>SUD</v>
          </cell>
          <cell r="D267" t="str">
            <v>TELEINFRA CENTRE</v>
          </cell>
        </row>
        <row r="268">
          <cell r="A268" t="str">
            <v>SUD_262</v>
          </cell>
          <cell r="B268" t="str">
            <v>Ebolowa-NewBell</v>
          </cell>
          <cell r="C268" t="str">
            <v>SUD</v>
          </cell>
          <cell r="D268" t="str">
            <v>TELEINFRA CENTRE</v>
          </cell>
        </row>
        <row r="269">
          <cell r="A269" t="str">
            <v>SUD_227</v>
          </cell>
          <cell r="B269" t="str">
            <v>Ebolowa-Si</v>
          </cell>
          <cell r="C269" t="str">
            <v>SUD</v>
          </cell>
          <cell r="D269" t="str">
            <v>TELEINFRA CENTRE</v>
          </cell>
        </row>
        <row r="270">
          <cell r="A270" t="str">
            <v>SUD_097</v>
          </cell>
          <cell r="B270" t="str">
            <v>Ebolowa-SIM</v>
          </cell>
          <cell r="C270" t="str">
            <v>SUD</v>
          </cell>
          <cell r="D270" t="str">
            <v>TELEINFRA CENTRE</v>
          </cell>
        </row>
        <row r="271">
          <cell r="A271" t="str">
            <v>SUD_263</v>
          </cell>
          <cell r="B271" t="str">
            <v>Ebolowa-Si-MTN</v>
          </cell>
          <cell r="C271" t="str">
            <v>SUD</v>
          </cell>
          <cell r="D271" t="str">
            <v>TELEINFRA CENTRE</v>
          </cell>
        </row>
        <row r="272">
          <cell r="A272" t="str">
            <v>CTR_392</v>
          </cell>
          <cell r="B272" t="str">
            <v>Ebolowa-Ville</v>
          </cell>
          <cell r="C272" t="str">
            <v>CTR</v>
          </cell>
          <cell r="D272" t="str">
            <v>TELEINFRA CENTRE</v>
          </cell>
        </row>
        <row r="273">
          <cell r="A273" t="str">
            <v>CTR_596</v>
          </cell>
          <cell r="B273" t="str">
            <v>Ebom-Maetur</v>
          </cell>
          <cell r="C273" t="str">
            <v>CTR</v>
          </cell>
          <cell r="D273" t="str">
            <v>TELEINFRA CENTRE</v>
          </cell>
        </row>
        <row r="274">
          <cell r="A274" t="str">
            <v>CTR_730</v>
          </cell>
          <cell r="B274" t="str">
            <v>Edenville-Stade</v>
          </cell>
          <cell r="C274" t="str">
            <v>CTR</v>
          </cell>
          <cell r="D274" t="str">
            <v>TELEINFRA CENTRE</v>
          </cell>
        </row>
        <row r="275">
          <cell r="A275" t="str">
            <v>CTR_795</v>
          </cell>
          <cell r="B275" t="str">
            <v>EDZENDOUAN</v>
          </cell>
          <cell r="C275" t="str">
            <v>CTR</v>
          </cell>
          <cell r="D275" t="str">
            <v>TELEINFRA CENTRE</v>
          </cell>
        </row>
        <row r="276">
          <cell r="A276" t="str">
            <v>CTR_221</v>
          </cell>
          <cell r="B276" t="str">
            <v>Efok</v>
          </cell>
          <cell r="C276" t="str">
            <v>CTR</v>
          </cell>
          <cell r="D276" t="str">
            <v>TELEINFRA CENTRE</v>
          </cell>
        </row>
        <row r="277">
          <cell r="A277" t="str">
            <v>CTR_209</v>
          </cell>
          <cell r="B277" t="str">
            <v>Efoulan</v>
          </cell>
          <cell r="C277" t="str">
            <v>CTR</v>
          </cell>
          <cell r="D277" t="str">
            <v>TELEINFRA CENTRE</v>
          </cell>
        </row>
        <row r="278">
          <cell r="A278" t="str">
            <v>CTR_773</v>
          </cell>
          <cell r="B278" t="str">
            <v>Efoulan-Pont</v>
          </cell>
          <cell r="C278" t="str">
            <v>CTR</v>
          </cell>
          <cell r="D278" t="str">
            <v>TELEINFRA CENTRE</v>
          </cell>
        </row>
        <row r="279">
          <cell r="A279" t="str">
            <v>CTR_437</v>
          </cell>
          <cell r="B279" t="str">
            <v>Ekabita-Essele</v>
          </cell>
          <cell r="C279" t="str">
            <v>CTR</v>
          </cell>
          <cell r="D279" t="str">
            <v>TELEINFRA CENTRE</v>
          </cell>
        </row>
        <row r="280">
          <cell r="A280" t="str">
            <v>CTR_309</v>
          </cell>
          <cell r="B280" t="str">
            <v>Ekali-MTN</v>
          </cell>
          <cell r="C280" t="str">
            <v>CTR</v>
          </cell>
          <cell r="D280" t="str">
            <v>TELEINFRA CENTRE</v>
          </cell>
        </row>
        <row r="281">
          <cell r="A281" t="str">
            <v>CTR_717</v>
          </cell>
          <cell r="B281" t="str">
            <v>Ekang-I</v>
          </cell>
          <cell r="C281" t="str">
            <v>CTR</v>
          </cell>
          <cell r="D281" t="str">
            <v>TELEINFRA CENTRE</v>
          </cell>
        </row>
        <row r="282">
          <cell r="A282" t="str">
            <v>CTR_694</v>
          </cell>
          <cell r="B282" t="str">
            <v>Ekekam-MTN-IHS</v>
          </cell>
          <cell r="C282" t="str">
            <v>CTR</v>
          </cell>
          <cell r="D282" t="str">
            <v>TELEINFRA CENTRE</v>
          </cell>
        </row>
        <row r="283">
          <cell r="A283" t="str">
            <v>CTR_285</v>
          </cell>
          <cell r="B283" t="str">
            <v>Ekie-Elegance</v>
          </cell>
          <cell r="C283" t="str">
            <v>CTR</v>
          </cell>
          <cell r="D283" t="str">
            <v>TELEINFRA CENTRE</v>
          </cell>
        </row>
        <row r="284">
          <cell r="A284" t="str">
            <v>CTR_575</v>
          </cell>
          <cell r="B284" t="str">
            <v>Ekie-Nodal</v>
          </cell>
          <cell r="C284" t="str">
            <v>CTR</v>
          </cell>
          <cell r="D284" t="str">
            <v>TELEINFRA CENTRE</v>
          </cell>
        </row>
        <row r="285">
          <cell r="A285" t="str">
            <v>CTR_647</v>
          </cell>
          <cell r="B285" t="str">
            <v>Ekie-Sud-IHS</v>
          </cell>
          <cell r="C285" t="str">
            <v>CTR</v>
          </cell>
          <cell r="D285" t="str">
            <v>TELEINFRA CENTRE</v>
          </cell>
        </row>
        <row r="286">
          <cell r="A286" t="str">
            <v>CTR_387</v>
          </cell>
          <cell r="B286" t="str">
            <v>Ekombitie</v>
          </cell>
          <cell r="C286" t="str">
            <v>CTR</v>
          </cell>
          <cell r="D286" t="str">
            <v>TELEINFRA CENTRE</v>
          </cell>
        </row>
        <row r="287">
          <cell r="A287" t="str">
            <v>CTR_723</v>
          </cell>
          <cell r="B287" t="str">
            <v>Ekombitie-II</v>
          </cell>
          <cell r="C287" t="str">
            <v>CTR</v>
          </cell>
          <cell r="D287" t="str">
            <v>TELEINFRA CENTRE</v>
          </cell>
        </row>
        <row r="288">
          <cell r="A288" t="str">
            <v>CTR_539</v>
          </cell>
          <cell r="B288" t="str">
            <v>Ekoudou-New</v>
          </cell>
          <cell r="C288" t="str">
            <v>CTR</v>
          </cell>
          <cell r="D288" t="str">
            <v>TELEINFRA CENTRE</v>
          </cell>
        </row>
        <row r="289">
          <cell r="A289" t="str">
            <v>CTR_259</v>
          </cell>
          <cell r="B289" t="str">
            <v>Ekoumdoum</v>
          </cell>
          <cell r="C289" t="str">
            <v>CTR</v>
          </cell>
          <cell r="D289" t="str">
            <v>TELEINFRA CENTRE</v>
          </cell>
        </row>
        <row r="290">
          <cell r="A290" t="str">
            <v>CTR_762</v>
          </cell>
          <cell r="B290" t="str">
            <v>Ekoumdoum-Chatel</v>
          </cell>
          <cell r="C290" t="str">
            <v>CTR</v>
          </cell>
          <cell r="D290" t="str">
            <v>TELEINFRA CENTRE</v>
          </cell>
        </row>
        <row r="291">
          <cell r="A291" t="str">
            <v>CTR_665</v>
          </cell>
          <cell r="B291" t="str">
            <v>Ekoumdoum-II</v>
          </cell>
          <cell r="C291" t="str">
            <v>CTR</v>
          </cell>
          <cell r="D291" t="str">
            <v>TELEINFRA CENTRE</v>
          </cell>
        </row>
        <row r="292">
          <cell r="A292" t="str">
            <v>CTR_465</v>
          </cell>
          <cell r="B292" t="str">
            <v>Ekoumdoum-MTN-IHS</v>
          </cell>
          <cell r="C292" t="str">
            <v>CTR</v>
          </cell>
          <cell r="D292" t="str">
            <v>TELEINFRA CENTRE</v>
          </cell>
        </row>
        <row r="293">
          <cell r="A293" t="str">
            <v>CTR_719</v>
          </cell>
          <cell r="B293" t="str">
            <v>Ekounou-II</v>
          </cell>
          <cell r="C293" t="str">
            <v>CTR</v>
          </cell>
          <cell r="D293" t="str">
            <v>TELEINFRA CENTRE</v>
          </cell>
        </row>
        <row r="294">
          <cell r="A294" t="str">
            <v>CTR_726</v>
          </cell>
          <cell r="B294" t="str">
            <v>Ekounou-Lycee-MTN</v>
          </cell>
          <cell r="C294" t="str">
            <v>CTR</v>
          </cell>
          <cell r="D294" t="str">
            <v>TELEINFRA CENTRE</v>
          </cell>
        </row>
        <row r="295">
          <cell r="A295" t="str">
            <v>CTR_269</v>
          </cell>
          <cell r="B295" t="str">
            <v>Ekounou-PJ</v>
          </cell>
          <cell r="C295" t="str">
            <v>CTR</v>
          </cell>
          <cell r="D295" t="str">
            <v>TELEINFRA CENTRE</v>
          </cell>
        </row>
        <row r="296">
          <cell r="A296" t="str">
            <v>CTR_254</v>
          </cell>
          <cell r="B296" t="str">
            <v>Eleveur</v>
          </cell>
          <cell r="C296" t="str">
            <v>CTR</v>
          </cell>
          <cell r="D296" t="str">
            <v>TELEINFRA CENTRE</v>
          </cell>
        </row>
        <row r="297">
          <cell r="A297" t="str">
            <v>CTR_075</v>
          </cell>
          <cell r="B297" t="str">
            <v>Elig-Edzoa</v>
          </cell>
          <cell r="C297" t="str">
            <v>CTR</v>
          </cell>
          <cell r="D297" t="str">
            <v>TELEINFRA CENTRE</v>
          </cell>
        </row>
        <row r="298">
          <cell r="A298" t="str">
            <v>CTR_131</v>
          </cell>
          <cell r="B298" t="str">
            <v>Elig-Edzoa-IHS</v>
          </cell>
          <cell r="C298" t="str">
            <v>CTR</v>
          </cell>
          <cell r="D298" t="str">
            <v>TELEINFRA CENTRE</v>
          </cell>
        </row>
        <row r="299">
          <cell r="A299" t="str">
            <v>CTR_047</v>
          </cell>
          <cell r="B299" t="str">
            <v>Elig-Essono</v>
          </cell>
          <cell r="C299" t="str">
            <v>CTR</v>
          </cell>
          <cell r="D299" t="str">
            <v>TELEINFRA CENTRE</v>
          </cell>
        </row>
        <row r="300">
          <cell r="A300" t="str">
            <v>CTR_547</v>
          </cell>
          <cell r="B300" t="str">
            <v>Elig-Mfomo-New</v>
          </cell>
          <cell r="C300" t="str">
            <v>CTR</v>
          </cell>
          <cell r="D300" t="str">
            <v>TELEINFRA CENTRE</v>
          </cell>
        </row>
        <row r="301">
          <cell r="A301" t="str">
            <v>CTR_470</v>
          </cell>
          <cell r="B301" t="str">
            <v>Elobi-Mokolo-MTN-IHS</v>
          </cell>
          <cell r="C301" t="str">
            <v>CTR</v>
          </cell>
          <cell r="D301" t="str">
            <v>TELEINFRA CENTRE</v>
          </cell>
        </row>
        <row r="302">
          <cell r="A302" t="str">
            <v>CTR_630</v>
          </cell>
          <cell r="B302" t="str">
            <v>Eloumdem</v>
          </cell>
          <cell r="C302" t="str">
            <v>CTR</v>
          </cell>
          <cell r="D302" t="str">
            <v>TELEINFRA CENTRE</v>
          </cell>
        </row>
        <row r="303">
          <cell r="A303" t="str">
            <v>CTR_623</v>
          </cell>
          <cell r="B303" t="str">
            <v>Elum-Ndem-IHS</v>
          </cell>
          <cell r="C303" t="str">
            <v>CTR</v>
          </cell>
          <cell r="D303" t="str">
            <v>TELEINFRA CENTRE</v>
          </cell>
        </row>
        <row r="304">
          <cell r="A304" t="str">
            <v>CTR_023</v>
          </cell>
          <cell r="B304" t="str">
            <v>Emana</v>
          </cell>
          <cell r="C304" t="str">
            <v>CTR</v>
          </cell>
          <cell r="D304" t="str">
            <v>TELEINFRA CENTRE</v>
          </cell>
        </row>
        <row r="305">
          <cell r="A305" t="str">
            <v>CTR_160</v>
          </cell>
          <cell r="B305" t="str">
            <v>Emana-Bilick-IHS</v>
          </cell>
          <cell r="C305" t="str">
            <v>CTR</v>
          </cell>
          <cell r="D305" t="str">
            <v>TELEINFRA CENTRE</v>
          </cell>
        </row>
        <row r="306">
          <cell r="A306" t="str">
            <v>CTR_518</v>
          </cell>
          <cell r="B306" t="str">
            <v>Emana-Lycee2-MTN-IHS</v>
          </cell>
          <cell r="C306" t="str">
            <v>CTR</v>
          </cell>
          <cell r="D306" t="str">
            <v>TELEINFRA CENTRE</v>
          </cell>
        </row>
        <row r="307">
          <cell r="A307" t="str">
            <v>CTR_370</v>
          </cell>
          <cell r="B307" t="str">
            <v>Emana-MTN</v>
          </cell>
          <cell r="C307" t="str">
            <v>CTR</v>
          </cell>
          <cell r="D307" t="str">
            <v>TELEINFRA CENTRE</v>
          </cell>
        </row>
        <row r="308">
          <cell r="A308" t="str">
            <v>CTR_599</v>
          </cell>
          <cell r="B308" t="str">
            <v>Emana-Pont-IHS</v>
          </cell>
          <cell r="C308" t="str">
            <v>CTR</v>
          </cell>
          <cell r="D308" t="str">
            <v>TELEINFRA CENTRE</v>
          </cell>
        </row>
        <row r="309">
          <cell r="A309" t="str">
            <v>CTR_323</v>
          </cell>
          <cell r="B309" t="str">
            <v>Emia</v>
          </cell>
          <cell r="C309" t="str">
            <v>CTR</v>
          </cell>
          <cell r="D309" t="str">
            <v>TELEINFRA CENTRE</v>
          </cell>
        </row>
        <row r="310">
          <cell r="A310" t="str">
            <v>SUD_107</v>
          </cell>
          <cell r="B310" t="str">
            <v>EMINEMVOM-IHS</v>
          </cell>
          <cell r="C310" t="str">
            <v>SUD</v>
          </cell>
          <cell r="D310" t="str">
            <v>TELEINFRA CENTRE</v>
          </cell>
        </row>
        <row r="311">
          <cell r="A311" t="str">
            <v>CTR_212</v>
          </cell>
          <cell r="B311" t="str">
            <v>Emombo</v>
          </cell>
          <cell r="C311" t="str">
            <v>CTR</v>
          </cell>
          <cell r="D311" t="str">
            <v>TELEINFRA CENTRE</v>
          </cell>
        </row>
        <row r="312">
          <cell r="A312" t="str">
            <v>CTR_376</v>
          </cell>
          <cell r="B312" t="str">
            <v>Emombo-1er-Crf-MTN</v>
          </cell>
          <cell r="C312" t="str">
            <v>CTR</v>
          </cell>
          <cell r="D312" t="str">
            <v>TELEINFRA CENTRE</v>
          </cell>
        </row>
        <row r="313">
          <cell r="A313" t="str">
            <v>CTR_558</v>
          </cell>
          <cell r="B313" t="str">
            <v>Emombo-2eme-Crf</v>
          </cell>
          <cell r="C313" t="str">
            <v>CTR</v>
          </cell>
          <cell r="D313" t="str">
            <v>TELEINFRA CENTRE</v>
          </cell>
        </row>
        <row r="314">
          <cell r="A314" t="str">
            <v>CTR_417</v>
          </cell>
          <cell r="B314" t="str">
            <v>Emombo-Tchad</v>
          </cell>
          <cell r="C314" t="str">
            <v>CTR</v>
          </cell>
          <cell r="D314" t="str">
            <v>TELEINFRA CENTRE</v>
          </cell>
        </row>
        <row r="315">
          <cell r="A315" t="str">
            <v>CTR_127</v>
          </cell>
          <cell r="B315" t="str">
            <v>Enam-IHS</v>
          </cell>
          <cell r="C315" t="str">
            <v>CTR</v>
          </cell>
          <cell r="D315" t="str">
            <v>TELEINFRA CENTRE</v>
          </cell>
        </row>
        <row r="316">
          <cell r="A316" t="str">
            <v>CTR_225</v>
          </cell>
          <cell r="B316" t="str">
            <v>Endom</v>
          </cell>
          <cell r="C316" t="str">
            <v>CTR</v>
          </cell>
          <cell r="D316" t="str">
            <v>TELEINFRA CENTRE</v>
          </cell>
        </row>
        <row r="317">
          <cell r="A317" t="str">
            <v>CTR_143</v>
          </cell>
          <cell r="B317" t="str">
            <v>Enganme-IHS</v>
          </cell>
          <cell r="C317" t="str">
            <v>CTR</v>
          </cell>
          <cell r="D317" t="str">
            <v>TELEINFRA CENTRE</v>
          </cell>
        </row>
        <row r="318">
          <cell r="A318" t="str">
            <v>CTR_519</v>
          </cell>
          <cell r="B318" t="str">
            <v>Entree-Cite-Verte-IHS</v>
          </cell>
          <cell r="C318" t="str">
            <v>CTR</v>
          </cell>
          <cell r="D318" t="str">
            <v>TELEINFRA CENTRE</v>
          </cell>
        </row>
        <row r="319">
          <cell r="A319" t="str">
            <v>CTR_076</v>
          </cell>
          <cell r="B319" t="str">
            <v>E-Police</v>
          </cell>
          <cell r="C319" t="str">
            <v>CTR</v>
          </cell>
          <cell r="D319" t="str">
            <v>TELEINFRA CENTRE</v>
          </cell>
        </row>
        <row r="320">
          <cell r="A320" t="str">
            <v>CTR_242</v>
          </cell>
          <cell r="B320" t="str">
            <v>E-Poste</v>
          </cell>
          <cell r="C320" t="str">
            <v>CTR</v>
          </cell>
          <cell r="D320" t="str">
            <v>TELEINFRA CENTRE</v>
          </cell>
        </row>
        <row r="321">
          <cell r="A321" t="str">
            <v>CTR_067</v>
          </cell>
          <cell r="B321" t="str">
            <v>Eseka</v>
          </cell>
          <cell r="C321" t="str">
            <v>CTR</v>
          </cell>
          <cell r="D321" t="str">
            <v>TELEINFRA CENTRE</v>
          </cell>
        </row>
        <row r="322">
          <cell r="A322" t="str">
            <v>CTR_185</v>
          </cell>
          <cell r="B322" t="str">
            <v>Eseka-Town-MTN-IHS</v>
          </cell>
          <cell r="C322" t="str">
            <v>CTR</v>
          </cell>
          <cell r="D322" t="str">
            <v>TELEINFRA CENTRE</v>
          </cell>
        </row>
        <row r="323">
          <cell r="A323" t="str">
            <v>CTR_147</v>
          </cell>
          <cell r="B323" t="str">
            <v>Essa-Mintsang-IHS</v>
          </cell>
          <cell r="C323" t="str">
            <v>CTR</v>
          </cell>
          <cell r="D323" t="str">
            <v>TELEINFRA CENTRE</v>
          </cell>
        </row>
        <row r="324">
          <cell r="A324" t="str">
            <v>SUD_251</v>
          </cell>
          <cell r="B324" t="str">
            <v>Essang-Mvout-MTN</v>
          </cell>
          <cell r="C324" t="str">
            <v>SUD</v>
          </cell>
          <cell r="D324" t="str">
            <v>TELEINFRA CENTRE</v>
          </cell>
        </row>
        <row r="325">
          <cell r="A325" t="str">
            <v>CTR_749</v>
          </cell>
          <cell r="B325" t="str">
            <v>Essazok</v>
          </cell>
          <cell r="C325" t="str">
            <v>CTR</v>
          </cell>
          <cell r="D325" t="str">
            <v>TELEINFRA CENTRE</v>
          </cell>
        </row>
        <row r="326">
          <cell r="A326" t="str">
            <v>CTR_134</v>
          </cell>
          <cell r="B326" t="str">
            <v>Esse-IHS</v>
          </cell>
          <cell r="C326" t="str">
            <v>CTR</v>
          </cell>
          <cell r="D326" t="str">
            <v>TELEINFRA CENTRE</v>
          </cell>
        </row>
        <row r="327">
          <cell r="A327" t="str">
            <v>CTR_348</v>
          </cell>
          <cell r="B327" t="str">
            <v>Essiezik</v>
          </cell>
          <cell r="C327" t="str">
            <v>CTR</v>
          </cell>
          <cell r="D327" t="str">
            <v>TELEINFRA CENTRE</v>
          </cell>
        </row>
        <row r="328">
          <cell r="A328" t="str">
            <v>CTR_266</v>
          </cell>
          <cell r="B328" t="str">
            <v>Essomba</v>
          </cell>
          <cell r="C328" t="str">
            <v>CTR</v>
          </cell>
          <cell r="D328" t="str">
            <v>TELEINFRA CENTRE</v>
          </cell>
        </row>
        <row r="329">
          <cell r="A329" t="str">
            <v>CTR_721</v>
          </cell>
          <cell r="B329" t="str">
            <v>Etam-Bafia</v>
          </cell>
          <cell r="C329" t="str">
            <v>CTR</v>
          </cell>
          <cell r="D329" t="str">
            <v>TELEINFRA CENTRE</v>
          </cell>
        </row>
        <row r="330">
          <cell r="A330" t="str">
            <v>CTR_715</v>
          </cell>
          <cell r="B330" t="str">
            <v>Etoa-Dispensaire</v>
          </cell>
          <cell r="C330" t="str">
            <v>CTR</v>
          </cell>
          <cell r="D330" t="str">
            <v>TELEINFRA CENTRE</v>
          </cell>
        </row>
        <row r="331">
          <cell r="A331" t="str">
            <v>CTR_064</v>
          </cell>
          <cell r="B331" t="str">
            <v>Etoa-Meki</v>
          </cell>
          <cell r="C331" t="str">
            <v>CTR</v>
          </cell>
          <cell r="D331" t="str">
            <v>TELEINFRA CENTRE</v>
          </cell>
        </row>
        <row r="332">
          <cell r="A332" t="str">
            <v>CTR_682</v>
          </cell>
          <cell r="B332" t="str">
            <v>Etoa-Meki-II</v>
          </cell>
          <cell r="C332" t="str">
            <v>CTR</v>
          </cell>
          <cell r="D332" t="str">
            <v>TELEINFRA CENTRE</v>
          </cell>
        </row>
        <row r="333">
          <cell r="A333" t="str">
            <v>CTR_086</v>
          </cell>
          <cell r="B333" t="str">
            <v>Etoudi</v>
          </cell>
          <cell r="C333" t="str">
            <v>CTR</v>
          </cell>
          <cell r="D333" t="str">
            <v>TELEINFRA CENTRE</v>
          </cell>
        </row>
        <row r="334">
          <cell r="A334" t="str">
            <v>CTR_520</v>
          </cell>
          <cell r="B334" t="str">
            <v>Etoudi-Chapelle-IHS</v>
          </cell>
          <cell r="C334" t="str">
            <v>CTR</v>
          </cell>
          <cell r="D334" t="str">
            <v>TELEINFRA CENTRE</v>
          </cell>
        </row>
        <row r="335">
          <cell r="A335" t="str">
            <v>CTR_633</v>
          </cell>
          <cell r="B335" t="str">
            <v>Etoudi-II-IHS</v>
          </cell>
          <cell r="C335" t="str">
            <v>CTR</v>
          </cell>
          <cell r="D335" t="str">
            <v>TELEINFRA CENTRE</v>
          </cell>
        </row>
        <row r="336">
          <cell r="A336" t="str">
            <v>CTR_740</v>
          </cell>
          <cell r="B336" t="str">
            <v>Etoug-Ebe-II</v>
          </cell>
          <cell r="C336" t="str">
            <v>CTR</v>
          </cell>
          <cell r="D336" t="str">
            <v>TELEINFRA CENTRE</v>
          </cell>
        </row>
        <row r="337">
          <cell r="A337" t="str">
            <v>CTR_419</v>
          </cell>
          <cell r="B337" t="str">
            <v>Etougebe-Lycee-MTN</v>
          </cell>
          <cell r="C337" t="str">
            <v>CTR</v>
          </cell>
          <cell r="D337" t="str">
            <v>TELEINFRA CENTRE</v>
          </cell>
        </row>
        <row r="338">
          <cell r="A338" t="str">
            <v>CTR_228</v>
          </cell>
          <cell r="B338" t="str">
            <v>Evodoula</v>
          </cell>
          <cell r="C338" t="str">
            <v>CTR</v>
          </cell>
          <cell r="D338" t="str">
            <v>TELEINFRA CENTRE</v>
          </cell>
        </row>
        <row r="339">
          <cell r="A339" t="str">
            <v>ADM_063</v>
          </cell>
          <cell r="B339" t="str">
            <v>Febadi-MTN</v>
          </cell>
          <cell r="C339" t="str">
            <v>ADM</v>
          </cell>
          <cell r="D339" t="str">
            <v>TELEINFRA NORD</v>
          </cell>
        </row>
        <row r="340">
          <cell r="A340" t="str">
            <v>CTR_692</v>
          </cell>
          <cell r="B340" t="str">
            <v>Febe-Village-IHS</v>
          </cell>
          <cell r="C340" t="str">
            <v>CTR</v>
          </cell>
          <cell r="D340" t="str">
            <v>TELEINFRA CENTRE</v>
          </cell>
        </row>
        <row r="341">
          <cell r="A341" t="str">
            <v>NRD_005</v>
          </cell>
          <cell r="B341" t="str">
            <v>Figuil</v>
          </cell>
          <cell r="C341" t="str">
            <v>NRD</v>
          </cell>
          <cell r="D341" t="str">
            <v>TELEINFRA NORD</v>
          </cell>
        </row>
        <row r="342">
          <cell r="A342" t="str">
            <v>EST_084</v>
          </cell>
          <cell r="B342" t="str">
            <v>Fio-MTN</v>
          </cell>
          <cell r="C342" t="str">
            <v>EST</v>
          </cell>
          <cell r="D342" t="str">
            <v>TELEINFRA CENTRE</v>
          </cell>
        </row>
        <row r="343">
          <cell r="A343" t="str">
            <v>EXN_013</v>
          </cell>
          <cell r="B343" t="str">
            <v>Fotokol</v>
          </cell>
          <cell r="C343" t="str">
            <v>EXN</v>
          </cell>
          <cell r="D343" t="str">
            <v>TELEINFRA NORD</v>
          </cell>
        </row>
        <row r="344">
          <cell r="A344" t="str">
            <v>EXN_259</v>
          </cell>
          <cell r="B344" t="str">
            <v>Fotokol-Town-IHS</v>
          </cell>
          <cell r="C344" t="str">
            <v>EXN</v>
          </cell>
          <cell r="D344" t="str">
            <v>TELEINFRA NORD</v>
          </cell>
        </row>
        <row r="345">
          <cell r="A345" t="str">
            <v>NRD_153</v>
          </cell>
          <cell r="B345" t="str">
            <v>Foubarka</v>
          </cell>
          <cell r="C345" t="str">
            <v>NRD</v>
          </cell>
          <cell r="D345" t="str">
            <v>TELEINFRA NORD</v>
          </cell>
        </row>
        <row r="346">
          <cell r="A346" t="str">
            <v>CTR_327</v>
          </cell>
          <cell r="B346" t="str">
            <v>Fouda-New</v>
          </cell>
          <cell r="C346" t="str">
            <v>CTR</v>
          </cell>
          <cell r="D346" t="str">
            <v>TELEINFRA CENTRE</v>
          </cell>
        </row>
        <row r="347">
          <cell r="A347" t="str">
            <v>CTR_473</v>
          </cell>
          <cell r="B347" t="str">
            <v>Fougerole-MTN-IHS</v>
          </cell>
          <cell r="C347" t="str">
            <v>CTR</v>
          </cell>
          <cell r="D347" t="str">
            <v>TELEINFRA CENTRE</v>
          </cell>
        </row>
        <row r="348">
          <cell r="A348" t="str">
            <v>CTR_849</v>
          </cell>
          <cell r="B348" t="str">
            <v>Fraternité-Adama</v>
          </cell>
          <cell r="C348" t="str">
            <v>CTR</v>
          </cell>
          <cell r="D348" t="str">
            <v>TELEINFRA CENTRE</v>
          </cell>
        </row>
        <row r="349">
          <cell r="A349" t="str">
            <v>NRD_155</v>
          </cell>
          <cell r="B349" t="str">
            <v>Gaba</v>
          </cell>
          <cell r="C349" t="str">
            <v>NRD</v>
          </cell>
          <cell r="D349" t="str">
            <v>TELEINFRA NORD</v>
          </cell>
        </row>
        <row r="350">
          <cell r="A350" t="str">
            <v>EXN_210</v>
          </cell>
          <cell r="B350" t="str">
            <v>Gabarairou</v>
          </cell>
          <cell r="C350" t="str">
            <v>EXN</v>
          </cell>
          <cell r="D350" t="str">
            <v>TELEINFRA NORD</v>
          </cell>
        </row>
        <row r="351">
          <cell r="A351" t="str">
            <v>ADM_170</v>
          </cell>
          <cell r="B351" t="str">
            <v>GADJI</v>
          </cell>
          <cell r="C351" t="str">
            <v>ADM</v>
          </cell>
          <cell r="D351" t="str">
            <v>TELEINFRA NORD</v>
          </cell>
        </row>
        <row r="352">
          <cell r="A352" t="str">
            <v>EST_055</v>
          </cell>
          <cell r="B352" t="str">
            <v>Gado-Badzere</v>
          </cell>
          <cell r="C352" t="str">
            <v>EST</v>
          </cell>
          <cell r="D352" t="str">
            <v>TELEINFRA CENTRE</v>
          </cell>
        </row>
        <row r="353">
          <cell r="A353" t="str">
            <v>EXN_209</v>
          </cell>
          <cell r="B353" t="str">
            <v>Gagadje</v>
          </cell>
          <cell r="C353" t="str">
            <v>EXN</v>
          </cell>
          <cell r="D353" t="str">
            <v>TELEINFRA NORD</v>
          </cell>
        </row>
        <row r="354">
          <cell r="A354" t="str">
            <v>ADM_031</v>
          </cell>
          <cell r="B354" t="str">
            <v>Galdi</v>
          </cell>
          <cell r="C354" t="str">
            <v>ADM</v>
          </cell>
          <cell r="D354" t="str">
            <v>TELEINFRA NORD</v>
          </cell>
        </row>
        <row r="355">
          <cell r="A355" t="str">
            <v>ADM_024</v>
          </cell>
          <cell r="B355" t="str">
            <v>Galim-Tignere</v>
          </cell>
          <cell r="C355" t="str">
            <v>ADM</v>
          </cell>
          <cell r="D355" t="str">
            <v>TELEINFRA NORD</v>
          </cell>
        </row>
        <row r="356">
          <cell r="A356" t="str">
            <v>ADM_028</v>
          </cell>
          <cell r="B356" t="str">
            <v>Galle</v>
          </cell>
          <cell r="C356" t="str">
            <v>ADM</v>
          </cell>
          <cell r="D356" t="str">
            <v>TELEINFRA NORD</v>
          </cell>
        </row>
        <row r="357">
          <cell r="A357" t="str">
            <v>NRD_059</v>
          </cell>
          <cell r="B357" t="str">
            <v>Gamba-MTN</v>
          </cell>
          <cell r="C357" t="str">
            <v>NRD</v>
          </cell>
          <cell r="D357" t="str">
            <v>TELEINFRA NORD</v>
          </cell>
        </row>
        <row r="358">
          <cell r="A358" t="str">
            <v>EXN_163</v>
          </cell>
          <cell r="B358" t="str">
            <v>Gamdougoum-IHS</v>
          </cell>
          <cell r="C358" t="str">
            <v>EXN</v>
          </cell>
          <cell r="D358" t="str">
            <v>TELEINFRA NORD</v>
          </cell>
        </row>
        <row r="359">
          <cell r="A359" t="str">
            <v>CTR_583</v>
          </cell>
          <cell r="B359" t="str">
            <v>Garage-Japonais</v>
          </cell>
          <cell r="C359" t="str">
            <v>CTR</v>
          </cell>
          <cell r="D359" t="str">
            <v>TELEINFRA CENTRE</v>
          </cell>
        </row>
        <row r="360">
          <cell r="A360" t="str">
            <v>NRD_115</v>
          </cell>
          <cell r="B360" t="str">
            <v>Gara-Guider-IHS</v>
          </cell>
          <cell r="C360" t="str">
            <v>NRD</v>
          </cell>
          <cell r="D360" t="str">
            <v>TELEINFRA NORD</v>
          </cell>
        </row>
        <row r="361">
          <cell r="A361" t="str">
            <v>EST_064</v>
          </cell>
          <cell r="B361" t="str">
            <v>Garga-Salari-MTN</v>
          </cell>
          <cell r="C361" t="str">
            <v>EST</v>
          </cell>
          <cell r="D361" t="str">
            <v>TELEINFRA CENTRE</v>
          </cell>
        </row>
        <row r="362">
          <cell r="A362" t="str">
            <v>EST_048</v>
          </cell>
          <cell r="B362" t="str">
            <v>Gari-Gombo</v>
          </cell>
          <cell r="C362" t="str">
            <v>EST</v>
          </cell>
          <cell r="D362" t="str">
            <v>TELEINFRA CENTRE</v>
          </cell>
        </row>
        <row r="363">
          <cell r="A363" t="str">
            <v>NRD_094</v>
          </cell>
          <cell r="B363" t="str">
            <v>Garoua-Bockle-IHS</v>
          </cell>
          <cell r="C363" t="str">
            <v>NRD</v>
          </cell>
          <cell r="D363" t="str">
            <v>TELEINFRA NORD</v>
          </cell>
        </row>
        <row r="364">
          <cell r="A364" t="str">
            <v>NRD_186</v>
          </cell>
          <cell r="B364" t="str">
            <v>Garoua-Bockle-II</v>
          </cell>
          <cell r="C364" t="str">
            <v>NRD</v>
          </cell>
          <cell r="D364" t="str">
            <v>TELEINFRA NORD</v>
          </cell>
        </row>
        <row r="365">
          <cell r="A365" t="str">
            <v>EST_144</v>
          </cell>
          <cell r="B365" t="str">
            <v>Garoua-Boulai-Entrance</v>
          </cell>
          <cell r="C365" t="str">
            <v>EST</v>
          </cell>
          <cell r="D365" t="str">
            <v>TELEINFRA CENTRE</v>
          </cell>
        </row>
        <row r="366">
          <cell r="A366" t="str">
            <v>EST_080</v>
          </cell>
          <cell r="B366" t="str">
            <v>Garoua-Boulai-Frontiere</v>
          </cell>
          <cell r="C366" t="str">
            <v>EST</v>
          </cell>
          <cell r="D366" t="str">
            <v>TELEINFRA CENTRE</v>
          </cell>
        </row>
        <row r="367">
          <cell r="A367" t="str">
            <v>ADM_156</v>
          </cell>
          <cell r="B367" t="str">
            <v>GAROUA-BOULAI-II-IHS</v>
          </cell>
          <cell r="C367" t="str">
            <v>EST</v>
          </cell>
          <cell r="D367" t="str">
            <v>TELEINFRA CENTRE</v>
          </cell>
        </row>
        <row r="368">
          <cell r="A368" t="str">
            <v>EST_118</v>
          </cell>
          <cell r="B368" t="str">
            <v>Garoua-Boulai-New</v>
          </cell>
          <cell r="C368" t="str">
            <v>EST</v>
          </cell>
          <cell r="D368" t="str">
            <v>TELEINFRA CENTRE</v>
          </cell>
        </row>
        <row r="369">
          <cell r="A369" t="str">
            <v>NRD_073</v>
          </cell>
          <cell r="B369" t="str">
            <v>Garoua-Camp-Chinois-IHS</v>
          </cell>
          <cell r="C369" t="str">
            <v>NRD</v>
          </cell>
          <cell r="D369" t="str">
            <v>TELEINFRA NORD</v>
          </cell>
        </row>
        <row r="370">
          <cell r="A370" t="str">
            <v>NRD_163</v>
          </cell>
          <cell r="B370" t="str">
            <v>Garoua-Camp-Chinois-II</v>
          </cell>
          <cell r="C370" t="str">
            <v>NRD</v>
          </cell>
          <cell r="D370" t="str">
            <v>TELEINFRA NORD</v>
          </cell>
        </row>
        <row r="371">
          <cell r="A371" t="str">
            <v>NRD_018</v>
          </cell>
          <cell r="B371" t="str">
            <v>Garoua-Chateau</v>
          </cell>
          <cell r="C371" t="str">
            <v>NRD</v>
          </cell>
          <cell r="D371" t="str">
            <v>TELEINFRA NORD</v>
          </cell>
        </row>
        <row r="372">
          <cell r="A372" t="str">
            <v>NRD_095</v>
          </cell>
          <cell r="B372" t="str">
            <v>Garoua-Djalingo-IHS</v>
          </cell>
          <cell r="C372" t="str">
            <v>NRD</v>
          </cell>
          <cell r="D372" t="str">
            <v>TELEINFRA NORD</v>
          </cell>
        </row>
        <row r="373">
          <cell r="A373" t="str">
            <v>NRD_047</v>
          </cell>
          <cell r="B373" t="str">
            <v>Garoua-Djamboutou-CICAM</v>
          </cell>
          <cell r="C373" t="str">
            <v>NRD</v>
          </cell>
          <cell r="D373" t="str">
            <v>TELEINFRA NORD</v>
          </cell>
        </row>
        <row r="374">
          <cell r="A374" t="str">
            <v>NRD_149</v>
          </cell>
          <cell r="B374" t="str">
            <v>Garoua-Djamboutou-II</v>
          </cell>
          <cell r="C374" t="str">
            <v>NRD</v>
          </cell>
          <cell r="D374" t="str">
            <v>TELEINFRA NORD</v>
          </cell>
        </row>
        <row r="375">
          <cell r="A375" t="str">
            <v>NRD_060</v>
          </cell>
          <cell r="B375" t="str">
            <v>Garoua-Djamboutou-Village</v>
          </cell>
          <cell r="C375" t="str">
            <v>NRD</v>
          </cell>
          <cell r="D375" t="str">
            <v>TELEINFRA NORD</v>
          </cell>
        </row>
        <row r="376">
          <cell r="A376" t="str">
            <v>NRD_086</v>
          </cell>
          <cell r="B376" t="str">
            <v>Garoua-Djamboutou-Village-IHS</v>
          </cell>
          <cell r="C376" t="str">
            <v>NRD</v>
          </cell>
          <cell r="D376" t="str">
            <v>TELEINFRA NORD</v>
          </cell>
        </row>
        <row r="377">
          <cell r="A377" t="str">
            <v>NRD_045</v>
          </cell>
          <cell r="B377" t="str">
            <v>Garoua-Foulbere</v>
          </cell>
          <cell r="C377" t="str">
            <v>NRD</v>
          </cell>
          <cell r="D377" t="str">
            <v>TELEINFRA NORD</v>
          </cell>
        </row>
        <row r="378">
          <cell r="A378" t="str">
            <v>NRD_139</v>
          </cell>
          <cell r="B378" t="str">
            <v>Garoua-Foulbere-II</v>
          </cell>
          <cell r="C378" t="str">
            <v>NRD</v>
          </cell>
          <cell r="D378" t="str">
            <v>TELEINFRA NORD</v>
          </cell>
        </row>
        <row r="379">
          <cell r="A379" t="str">
            <v>NRD_067</v>
          </cell>
          <cell r="B379" t="str">
            <v>Garoua-Foulbere-IV</v>
          </cell>
          <cell r="C379" t="str">
            <v>NRD</v>
          </cell>
          <cell r="D379" t="str">
            <v>TELEINFRA NORD</v>
          </cell>
        </row>
        <row r="380">
          <cell r="A380" t="str">
            <v>NRD_160</v>
          </cell>
          <cell r="B380" t="str">
            <v>Garoua-Hodango</v>
          </cell>
          <cell r="C380" t="str">
            <v>NRD</v>
          </cell>
          <cell r="D380" t="str">
            <v>TELEINFRA NORD</v>
          </cell>
        </row>
        <row r="381">
          <cell r="A381" t="str">
            <v>NRD_175</v>
          </cell>
          <cell r="B381" t="str">
            <v>Garoua-H-Plateau</v>
          </cell>
          <cell r="C381" t="str">
            <v>NRD</v>
          </cell>
          <cell r="D381" t="str">
            <v>TELEINFRA NORD</v>
          </cell>
        </row>
        <row r="382">
          <cell r="A382" t="str">
            <v>NRD_116</v>
          </cell>
          <cell r="B382" t="str">
            <v>Garoua-Katasko-MTN-IHS</v>
          </cell>
          <cell r="C382" t="str">
            <v>NRD</v>
          </cell>
          <cell r="D382" t="str">
            <v>TELEINFRA NORD</v>
          </cell>
        </row>
        <row r="383">
          <cell r="A383" t="str">
            <v>NRD_049</v>
          </cell>
          <cell r="B383" t="str">
            <v>Garoua-Kolbives</v>
          </cell>
          <cell r="C383" t="str">
            <v>NRD</v>
          </cell>
          <cell r="D383" t="str">
            <v>TELEINFRA NORD</v>
          </cell>
        </row>
        <row r="384">
          <cell r="A384" t="str">
            <v>NRD_141</v>
          </cell>
          <cell r="B384" t="str">
            <v>Garoua-Kolbives-II</v>
          </cell>
          <cell r="C384" t="str">
            <v>NRD</v>
          </cell>
          <cell r="D384" t="str">
            <v>TELEINFRA NORD</v>
          </cell>
        </row>
        <row r="385">
          <cell r="A385" t="str">
            <v>NRD_009</v>
          </cell>
          <cell r="B385" t="str">
            <v>Garoua-Lainde</v>
          </cell>
          <cell r="C385" t="str">
            <v>NRD</v>
          </cell>
          <cell r="D385" t="str">
            <v>TELEINFRA NORD</v>
          </cell>
        </row>
        <row r="386">
          <cell r="A386" t="str">
            <v>NRD_145</v>
          </cell>
          <cell r="B386" t="str">
            <v>Garoua-Lainde-II</v>
          </cell>
          <cell r="C386" t="str">
            <v>NRD</v>
          </cell>
          <cell r="D386" t="str">
            <v>TELEINFRA NORD</v>
          </cell>
        </row>
        <row r="387">
          <cell r="A387" t="str">
            <v>NRD_075</v>
          </cell>
          <cell r="B387" t="str">
            <v>Garoua-Lidire</v>
          </cell>
          <cell r="C387" t="str">
            <v>NRD</v>
          </cell>
          <cell r="D387" t="str">
            <v>TELEINFRA NORD</v>
          </cell>
        </row>
        <row r="388">
          <cell r="A388" t="str">
            <v>NRD_063</v>
          </cell>
          <cell r="B388" t="str">
            <v>Garoua-Lycee-Technique-MTN</v>
          </cell>
          <cell r="C388" t="str">
            <v>NRD</v>
          </cell>
          <cell r="D388" t="str">
            <v>TELEINFRA NORD</v>
          </cell>
        </row>
        <row r="389">
          <cell r="A389" t="str">
            <v>NRD_142</v>
          </cell>
          <cell r="B389" t="str">
            <v>Garoua-Mairie</v>
          </cell>
          <cell r="C389" t="str">
            <v>NRD</v>
          </cell>
          <cell r="D389" t="str">
            <v>TELEINFRA NORD</v>
          </cell>
        </row>
        <row r="390">
          <cell r="A390" t="str">
            <v>NRD_085</v>
          </cell>
          <cell r="B390" t="str">
            <v>Garoua-Ngalbidje-IHS</v>
          </cell>
          <cell r="C390" t="str">
            <v>NRD</v>
          </cell>
          <cell r="D390" t="str">
            <v>TELEINFRA NORD</v>
          </cell>
        </row>
        <row r="391">
          <cell r="A391" t="str">
            <v>NRD_158</v>
          </cell>
          <cell r="B391" t="str">
            <v>Garoua-Ngalbidje-II</v>
          </cell>
          <cell r="C391" t="str">
            <v>NRD</v>
          </cell>
          <cell r="D391" t="str">
            <v>TELEINFRA NORD</v>
          </cell>
        </row>
        <row r="392">
          <cell r="A392" t="str">
            <v>NRD_140</v>
          </cell>
          <cell r="B392" t="str">
            <v>Garoua-Nigeriare-II</v>
          </cell>
          <cell r="C392" t="str">
            <v>NRD</v>
          </cell>
          <cell r="D392" t="str">
            <v>TELEINFRA NORD</v>
          </cell>
        </row>
        <row r="393">
          <cell r="A393" t="str">
            <v>NRD_001</v>
          </cell>
          <cell r="B393" t="str">
            <v>Garoua-Orange</v>
          </cell>
          <cell r="C393" t="str">
            <v>NRD</v>
          </cell>
          <cell r="D393" t="str">
            <v>TELEINFRA NORD</v>
          </cell>
        </row>
        <row r="394">
          <cell r="A394" t="str">
            <v>NRD_054</v>
          </cell>
          <cell r="B394" t="str">
            <v>Garoua-Ouro-Lawan</v>
          </cell>
          <cell r="C394" t="str">
            <v>NRD</v>
          </cell>
          <cell r="D394" t="str">
            <v>TELEINFRA NORD</v>
          </cell>
        </row>
        <row r="395">
          <cell r="A395" t="str">
            <v>NRD_146</v>
          </cell>
          <cell r="B395" t="str">
            <v>Garoua-Ouro-Lawan-II</v>
          </cell>
          <cell r="C395" t="str">
            <v>NRD</v>
          </cell>
          <cell r="D395" t="str">
            <v>TELEINFRA NORD</v>
          </cell>
        </row>
        <row r="396">
          <cell r="A396" t="str">
            <v>NRD_053</v>
          </cell>
          <cell r="B396" t="str">
            <v>Garoua-Plage</v>
          </cell>
          <cell r="C396" t="str">
            <v>NRD</v>
          </cell>
          <cell r="D396" t="str">
            <v>TELEINFRA NORD</v>
          </cell>
        </row>
        <row r="397">
          <cell r="A397" t="str">
            <v>NRD_062</v>
          </cell>
          <cell r="B397" t="str">
            <v>Garoua-Ray-Re</v>
          </cell>
          <cell r="C397" t="str">
            <v>NRD</v>
          </cell>
          <cell r="D397" t="str">
            <v>TELEINFRA NORD</v>
          </cell>
        </row>
        <row r="398">
          <cell r="A398" t="str">
            <v>NRD_084</v>
          </cell>
          <cell r="B398" t="str">
            <v>Garoua-Roum-Adja-Camp-Sic</v>
          </cell>
          <cell r="C398" t="str">
            <v>NRD</v>
          </cell>
          <cell r="D398" t="str">
            <v>TELEINFRA NORD</v>
          </cell>
        </row>
        <row r="399">
          <cell r="A399" t="str">
            <v>NRD_065</v>
          </cell>
          <cell r="B399" t="str">
            <v>Garoua-Roumde-Adja</v>
          </cell>
          <cell r="C399" t="str">
            <v>NRD</v>
          </cell>
          <cell r="D399" t="str">
            <v>TELEINFRA NORD</v>
          </cell>
        </row>
        <row r="400">
          <cell r="A400" t="str">
            <v>NRD_138</v>
          </cell>
          <cell r="B400" t="str">
            <v>Garoua-Roumde-Adja-II</v>
          </cell>
          <cell r="C400" t="str">
            <v>NRD</v>
          </cell>
          <cell r="D400" t="str">
            <v>TELEINFRA NORD</v>
          </cell>
        </row>
        <row r="401">
          <cell r="A401" t="str">
            <v>NRD_159</v>
          </cell>
          <cell r="B401" t="str">
            <v>Garoua-Rte-Gashiga</v>
          </cell>
          <cell r="C401" t="str">
            <v>NRD</v>
          </cell>
          <cell r="D401" t="str">
            <v>TELEINFRA NORD</v>
          </cell>
        </row>
        <row r="402">
          <cell r="A402" t="str">
            <v>NRD_083</v>
          </cell>
          <cell r="B402" t="str">
            <v>Garoua-Sabongari-Lainde-IHS</v>
          </cell>
          <cell r="C402" t="str">
            <v>NRD</v>
          </cell>
          <cell r="D402" t="str">
            <v>TELEINFRA NORD</v>
          </cell>
        </row>
        <row r="403">
          <cell r="A403" t="str">
            <v>NRD_162</v>
          </cell>
          <cell r="B403" t="str">
            <v>Garoua-Sonayo</v>
          </cell>
          <cell r="C403" t="str">
            <v>NRD</v>
          </cell>
          <cell r="D403" t="str">
            <v>TELEINFRA NORD</v>
          </cell>
        </row>
        <row r="404">
          <cell r="A404" t="str">
            <v>NRD_143</v>
          </cell>
          <cell r="B404" t="str">
            <v>Garoua-Stade</v>
          </cell>
          <cell r="C404" t="str">
            <v>NRD</v>
          </cell>
          <cell r="D404" t="str">
            <v>TELEINFRA NORD</v>
          </cell>
        </row>
        <row r="405">
          <cell r="A405" t="str">
            <v>NRD_082</v>
          </cell>
          <cell r="B405" t="str">
            <v>Garoua-Yelwa-Orange-IHS</v>
          </cell>
          <cell r="C405" t="str">
            <v>NRD</v>
          </cell>
          <cell r="D405" t="str">
            <v>TELEINFRA NORD</v>
          </cell>
        </row>
        <row r="406">
          <cell r="A406" t="str">
            <v>NRD_022</v>
          </cell>
          <cell r="B406" t="str">
            <v>Gashiga</v>
          </cell>
          <cell r="C406" t="str">
            <v>NRD</v>
          </cell>
          <cell r="D406" t="str">
            <v>TELEINFRA NORD</v>
          </cell>
        </row>
        <row r="407">
          <cell r="A407" t="str">
            <v>EXN_130</v>
          </cell>
          <cell r="B407" t="str">
            <v>Gazawa-MTN-IHS</v>
          </cell>
          <cell r="C407" t="str">
            <v>EXN</v>
          </cell>
          <cell r="D407" t="str">
            <v>TELEINFRA NORD</v>
          </cell>
        </row>
        <row r="408">
          <cell r="A408" t="str">
            <v>EST_101</v>
          </cell>
          <cell r="B408" t="str">
            <v>Gbiti-IHS</v>
          </cell>
          <cell r="C408" t="str">
            <v>EST</v>
          </cell>
          <cell r="D408" t="str">
            <v>TELEINFRA CENTRE</v>
          </cell>
        </row>
        <row r="409">
          <cell r="A409" t="str">
            <v>EXN_048</v>
          </cell>
          <cell r="B409" t="str">
            <v>Gobo</v>
          </cell>
          <cell r="C409" t="str">
            <v>EXN</v>
          </cell>
          <cell r="D409" t="str">
            <v>TELEINFRA NORD</v>
          </cell>
        </row>
        <row r="410">
          <cell r="A410" t="str">
            <v>EXN_028</v>
          </cell>
          <cell r="B410" t="str">
            <v>Godola-MTN</v>
          </cell>
          <cell r="C410" t="str">
            <v>EXN</v>
          </cell>
          <cell r="D410" t="str">
            <v>TELEINFRA NORD</v>
          </cell>
        </row>
        <row r="411">
          <cell r="A411" t="str">
            <v>CTR_834</v>
          </cell>
          <cell r="B411" t="str">
            <v>Golf-Quater-IHS</v>
          </cell>
          <cell r="C411" t="str">
            <v>CTR</v>
          </cell>
          <cell r="D411" t="str">
            <v>TELEINFRA CENTRE</v>
          </cell>
        </row>
        <row r="412">
          <cell r="A412" t="str">
            <v>EST_126</v>
          </cell>
          <cell r="B412" t="str">
            <v>Gomala-IHS</v>
          </cell>
          <cell r="C412" t="str">
            <v>EST</v>
          </cell>
          <cell r="D412" t="str">
            <v>TELEINFRA CENTRE</v>
          </cell>
        </row>
        <row r="413">
          <cell r="A413" t="str">
            <v>NRD_091</v>
          </cell>
          <cell r="B413" t="str">
            <v>Gor-IHS</v>
          </cell>
          <cell r="C413" t="str">
            <v>NRD</v>
          </cell>
          <cell r="D413" t="str">
            <v>TELEINFRA NORD</v>
          </cell>
        </row>
        <row r="414">
          <cell r="A414" t="str">
            <v>ADM_138</v>
          </cell>
          <cell r="B414" t="str">
            <v>Goro-IHS</v>
          </cell>
          <cell r="C414" t="str">
            <v>ADM</v>
          </cell>
          <cell r="D414" t="str">
            <v>TELEINFRA NORD</v>
          </cell>
        </row>
        <row r="415">
          <cell r="A415" t="str">
            <v>EXN_232</v>
          </cell>
          <cell r="B415" t="str">
            <v>Gossi-IHS</v>
          </cell>
          <cell r="C415" t="str">
            <v>EXN</v>
          </cell>
          <cell r="D415" t="str">
            <v>TELEINFRA NORD</v>
          </cell>
        </row>
        <row r="416">
          <cell r="A416" t="str">
            <v>EXN_021</v>
          </cell>
          <cell r="B416" t="str">
            <v>Goulfey</v>
          </cell>
          <cell r="C416" t="str">
            <v>EXN</v>
          </cell>
          <cell r="D416" t="str">
            <v>TELEINFRA NORD</v>
          </cell>
        </row>
        <row r="417">
          <cell r="A417" t="str">
            <v>EXN_200</v>
          </cell>
          <cell r="B417" t="str">
            <v>Goulourgou</v>
          </cell>
          <cell r="C417" t="str">
            <v>EXN</v>
          </cell>
          <cell r="D417" t="str">
            <v>TELEINFRA NORD</v>
          </cell>
        </row>
        <row r="418">
          <cell r="A418" t="str">
            <v>NRD_031</v>
          </cell>
          <cell r="B418" t="str">
            <v>Gouna</v>
          </cell>
          <cell r="C418" t="str">
            <v>NRD</v>
          </cell>
          <cell r="D418" t="str">
            <v>TELEINFRA NORD</v>
          </cell>
        </row>
        <row r="419">
          <cell r="A419" t="str">
            <v>EXN_100</v>
          </cell>
          <cell r="B419" t="str">
            <v>GOUZOUGOUI-IHS</v>
          </cell>
          <cell r="C419" t="str">
            <v>EXN</v>
          </cell>
          <cell r="D419" t="str">
            <v>TELEINFRA NORD</v>
          </cell>
        </row>
        <row r="420">
          <cell r="A420" t="str">
            <v>EST_023</v>
          </cell>
          <cell r="B420" t="str">
            <v>Goyoum</v>
          </cell>
          <cell r="C420" t="str">
            <v>EST</v>
          </cell>
          <cell r="D420" t="str">
            <v>TELEINFRA CENTRE</v>
          </cell>
        </row>
        <row r="421">
          <cell r="A421" t="str">
            <v>CTR_735</v>
          </cell>
          <cell r="B421" t="str">
            <v>GP-Etoudi</v>
          </cell>
          <cell r="C421" t="str">
            <v>CTR</v>
          </cell>
          <cell r="D421" t="str">
            <v>TELEINFRA CENTRE</v>
          </cell>
        </row>
        <row r="422">
          <cell r="A422" t="str">
            <v>NRD_101</v>
          </cell>
          <cell r="B422" t="str">
            <v>Gra-Foulbere-Moussa-yaya</v>
          </cell>
          <cell r="C422" t="str">
            <v>NRD</v>
          </cell>
          <cell r="D422" t="str">
            <v>TELEINFRA NORD</v>
          </cell>
        </row>
        <row r="423">
          <cell r="A423" t="str">
            <v>NRD_035</v>
          </cell>
          <cell r="B423" t="str">
            <v>Gra-Plateau-MTN</v>
          </cell>
          <cell r="C423" t="str">
            <v>NRD</v>
          </cell>
          <cell r="D423" t="str">
            <v>TELEINFRA NORD</v>
          </cell>
        </row>
        <row r="424">
          <cell r="A424" t="str">
            <v>NRD_072</v>
          </cell>
          <cell r="B424" t="str">
            <v>Gra-Yelwa-II</v>
          </cell>
          <cell r="C424" t="str">
            <v>NRD</v>
          </cell>
          <cell r="D424" t="str">
            <v>TELEINFRA NORD</v>
          </cell>
        </row>
        <row r="425">
          <cell r="A425" t="str">
            <v>CTR_389</v>
          </cell>
          <cell r="B425" t="str">
            <v>GSO</v>
          </cell>
          <cell r="C425" t="str">
            <v>CTR</v>
          </cell>
          <cell r="D425" t="str">
            <v>TELEINFRA CENTRE</v>
          </cell>
        </row>
        <row r="426">
          <cell r="A426" t="str">
            <v>EXN_049</v>
          </cell>
          <cell r="B426" t="str">
            <v>Gueme</v>
          </cell>
          <cell r="C426" t="str">
            <v>EXN</v>
          </cell>
          <cell r="D426" t="str">
            <v>TELEINFRA NORD</v>
          </cell>
        </row>
        <row r="427">
          <cell r="A427" t="str">
            <v>EXN_205</v>
          </cell>
          <cell r="B427" t="str">
            <v>Guendjen</v>
          </cell>
          <cell r="C427" t="str">
            <v>EXN</v>
          </cell>
          <cell r="D427" t="str">
            <v>TELEINFRA NORD</v>
          </cell>
        </row>
        <row r="428">
          <cell r="A428" t="str">
            <v>EXN_126</v>
          </cell>
          <cell r="B428" t="str">
            <v>Guere-IHS</v>
          </cell>
          <cell r="C428" t="str">
            <v>EXN</v>
          </cell>
          <cell r="D428" t="str">
            <v>TELEINFRA NORD</v>
          </cell>
        </row>
        <row r="429">
          <cell r="A429" t="str">
            <v>NRD_006</v>
          </cell>
          <cell r="B429" t="str">
            <v>Guider</v>
          </cell>
          <cell r="C429" t="str">
            <v>NRD</v>
          </cell>
          <cell r="D429" t="str">
            <v>TELEINFRA NORD</v>
          </cell>
        </row>
        <row r="430">
          <cell r="A430" t="str">
            <v>NRD_100</v>
          </cell>
          <cell r="B430" t="str">
            <v>Guider-CRTV</v>
          </cell>
          <cell r="C430" t="str">
            <v>NRD</v>
          </cell>
          <cell r="D430" t="str">
            <v>TELEINFRA NORD</v>
          </cell>
        </row>
        <row r="431">
          <cell r="A431" t="str">
            <v>NRD_178</v>
          </cell>
          <cell r="B431" t="str">
            <v>Guider-Djamboutou</v>
          </cell>
          <cell r="C431" t="str">
            <v>NRD</v>
          </cell>
          <cell r="D431" t="str">
            <v>TELEINFRA NORD</v>
          </cell>
        </row>
        <row r="432">
          <cell r="A432" t="str">
            <v>NRD_134</v>
          </cell>
          <cell r="B432" t="str">
            <v>Guider-Sanguere</v>
          </cell>
          <cell r="C432" t="str">
            <v>NRD</v>
          </cell>
          <cell r="D432" t="str">
            <v>TELEINFRA NORD</v>
          </cell>
        </row>
        <row r="433">
          <cell r="A433" t="str">
            <v>NRD_076</v>
          </cell>
          <cell r="B433" t="str">
            <v>Guider-Ville</v>
          </cell>
          <cell r="C433" t="str">
            <v>NRD</v>
          </cell>
          <cell r="D433" t="str">
            <v>TELEINFRA NORD</v>
          </cell>
        </row>
        <row r="434">
          <cell r="A434" t="str">
            <v>EXN_018</v>
          </cell>
          <cell r="B434" t="str">
            <v>Guidiguis</v>
          </cell>
          <cell r="C434" t="str">
            <v>EXN</v>
          </cell>
          <cell r="D434" t="str">
            <v>TELEINFRA NORD</v>
          </cell>
        </row>
        <row r="435">
          <cell r="A435" t="str">
            <v>NRD_144</v>
          </cell>
          <cell r="B435" t="str">
            <v>Guidiguis-Ville</v>
          </cell>
          <cell r="C435" t="str">
            <v>NRD</v>
          </cell>
          <cell r="D435" t="str">
            <v>TELEINFRA NORD</v>
          </cell>
        </row>
        <row r="436">
          <cell r="A436" t="str">
            <v>NRD_058</v>
          </cell>
          <cell r="B436" t="str">
            <v>Guidjiba-MTN</v>
          </cell>
          <cell r="C436" t="str">
            <v>NRD</v>
          </cell>
          <cell r="D436" t="str">
            <v>TELEINFRA NORD</v>
          </cell>
        </row>
        <row r="437">
          <cell r="A437" t="str">
            <v>EXN_173</v>
          </cell>
          <cell r="B437" t="str">
            <v>Guili-Centre-IHS</v>
          </cell>
          <cell r="C437" t="str">
            <v>EXN</v>
          </cell>
          <cell r="D437" t="str">
            <v>TELEINFRA NORD</v>
          </cell>
        </row>
        <row r="438">
          <cell r="A438" t="str">
            <v>EXN_098</v>
          </cell>
          <cell r="B438" t="str">
            <v>Guirvidig</v>
          </cell>
          <cell r="C438" t="str">
            <v>EXN</v>
          </cell>
          <cell r="D438" t="str">
            <v>TELEINFRA NORD</v>
          </cell>
        </row>
        <row r="439">
          <cell r="A439" t="str">
            <v>EST_123</v>
          </cell>
          <cell r="B439" t="str">
            <v>Guiwa-Yangamo</v>
          </cell>
          <cell r="C439" t="str">
            <v>EST</v>
          </cell>
          <cell r="D439" t="str">
            <v>TELEINFRA CENTRE</v>
          </cell>
        </row>
        <row r="440">
          <cell r="A440" t="str">
            <v>NRD_111</v>
          </cell>
          <cell r="B440" t="str">
            <v>Hamalade-IHS</v>
          </cell>
          <cell r="C440" t="str">
            <v>NRD</v>
          </cell>
          <cell r="D440" t="str">
            <v>TELEINFRA NORD</v>
          </cell>
        </row>
        <row r="441">
          <cell r="A441" t="str">
            <v>CTR_110</v>
          </cell>
          <cell r="B441" t="str">
            <v>H-Central</v>
          </cell>
          <cell r="C441" t="str">
            <v>CTR</v>
          </cell>
          <cell r="D441" t="str">
            <v>TELEINFRA CENTRE</v>
          </cell>
        </row>
        <row r="442">
          <cell r="A442" t="str">
            <v>CTR_578</v>
          </cell>
          <cell r="B442" t="str">
            <v>H-Deputes</v>
          </cell>
          <cell r="C442" t="str">
            <v>CTR</v>
          </cell>
          <cell r="D442" t="str">
            <v>TELEINFRA CENTRE</v>
          </cell>
        </row>
        <row r="443">
          <cell r="A443" t="str">
            <v>CTR_102</v>
          </cell>
          <cell r="B443" t="str">
            <v>H-Franco</v>
          </cell>
          <cell r="C443" t="str">
            <v>CTR</v>
          </cell>
          <cell r="D443" t="str">
            <v>TELEINFRA CENTRE</v>
          </cell>
        </row>
        <row r="444">
          <cell r="A444" t="str">
            <v>CTR_336</v>
          </cell>
          <cell r="B444" t="str">
            <v>H-General-Yde</v>
          </cell>
          <cell r="C444" t="str">
            <v>CTR</v>
          </cell>
          <cell r="D444" t="str">
            <v>TELEINFRA CENTRE</v>
          </cell>
        </row>
        <row r="445">
          <cell r="A445" t="str">
            <v>LIT_402</v>
          </cell>
          <cell r="B445" t="str">
            <v>Hikoa-Malep-Camrail</v>
          </cell>
          <cell r="C445" t="str">
            <v>LIT</v>
          </cell>
          <cell r="D445" t="str">
            <v>TELEINFRA CENTRE</v>
          </cell>
        </row>
        <row r="446">
          <cell r="A446" t="str">
            <v>EXN_224</v>
          </cell>
          <cell r="B446" t="str">
            <v>Hile-Alifa-IHS</v>
          </cell>
          <cell r="C446" t="str">
            <v>EXN</v>
          </cell>
          <cell r="D446" t="str">
            <v>TELEINFRA NORD</v>
          </cell>
        </row>
        <row r="447">
          <cell r="A447" t="str">
            <v>CTR_702</v>
          </cell>
          <cell r="B447" t="str">
            <v>Hilton</v>
          </cell>
          <cell r="C447" t="str">
            <v>CTR</v>
          </cell>
          <cell r="D447" t="str">
            <v>TELEINFRA CENTRE</v>
          </cell>
        </row>
        <row r="448">
          <cell r="A448" t="str">
            <v>CTR_702_</v>
          </cell>
          <cell r="B448" t="str">
            <v>Hilton-Micro (indoor)</v>
          </cell>
          <cell r="C448" t="str">
            <v>CTR</v>
          </cell>
          <cell r="D448" t="str">
            <v>TELEINFRA CENTRE</v>
          </cell>
        </row>
        <row r="449">
          <cell r="A449" t="str">
            <v>EXN_047</v>
          </cell>
          <cell r="B449" t="str">
            <v>Hina</v>
          </cell>
          <cell r="C449" t="str">
            <v>EXN</v>
          </cell>
          <cell r="D449" t="str">
            <v>TELEINFRA NORD</v>
          </cell>
        </row>
        <row r="450">
          <cell r="A450" t="str">
            <v>ADM_112</v>
          </cell>
          <cell r="B450" t="str">
            <v>Home-IHS</v>
          </cell>
          <cell r="C450" t="str">
            <v>ADM</v>
          </cell>
          <cell r="D450" t="str">
            <v>TELEINFRA NORD</v>
          </cell>
        </row>
        <row r="451">
          <cell r="A451" t="str">
            <v>CTR_652</v>
          </cell>
          <cell r="B451" t="str">
            <v>Hopital-de-La-Cass</v>
          </cell>
          <cell r="C451" t="str">
            <v>CTR</v>
          </cell>
          <cell r="D451" t="str">
            <v>TELEINFRA CENTRE</v>
          </cell>
        </row>
        <row r="452">
          <cell r="A452" t="str">
            <v>EXN_245</v>
          </cell>
          <cell r="B452" t="str">
            <v>Hougno</v>
          </cell>
          <cell r="C452" t="str">
            <v>EXN</v>
          </cell>
          <cell r="D452" t="str">
            <v>TELEINFRA NORD</v>
          </cell>
        </row>
        <row r="453">
          <cell r="A453" t="str">
            <v>CTR_093</v>
          </cell>
          <cell r="B453" t="str">
            <v>H-Paradis</v>
          </cell>
          <cell r="C453" t="str">
            <v>CTR</v>
          </cell>
          <cell r="D453" t="str">
            <v>TELEINFRA CENTRE</v>
          </cell>
        </row>
        <row r="454">
          <cell r="A454" t="str">
            <v>CTR_484</v>
          </cell>
          <cell r="B454" t="str">
            <v>H-Plateau-New</v>
          </cell>
          <cell r="C454" t="str">
            <v>CTR</v>
          </cell>
          <cell r="D454" t="str">
            <v>TELEINFRA CENTRE</v>
          </cell>
        </row>
        <row r="455">
          <cell r="A455" t="str">
            <v>CTR_044</v>
          </cell>
          <cell r="B455" t="str">
            <v>H-Princes</v>
          </cell>
          <cell r="C455" t="str">
            <v>CTR</v>
          </cell>
          <cell r="D455" t="str">
            <v>TELEINFRA CENTRE</v>
          </cell>
        </row>
        <row r="456">
          <cell r="A456" t="str">
            <v>CTR_017</v>
          </cell>
          <cell r="B456" t="str">
            <v>H-Progres</v>
          </cell>
          <cell r="C456" t="str">
            <v>CTR</v>
          </cell>
          <cell r="D456" t="str">
            <v>TELEINFRA CENTRE</v>
          </cell>
        </row>
        <row r="457">
          <cell r="A457" t="str">
            <v>CTR_077</v>
          </cell>
          <cell r="B457" t="str">
            <v>H-ville</v>
          </cell>
          <cell r="C457" t="str">
            <v>CTR</v>
          </cell>
          <cell r="D457" t="str">
            <v>TELEINFRA CENTRE</v>
          </cell>
        </row>
        <row r="458">
          <cell r="A458" t="str">
            <v>CTR_369</v>
          </cell>
          <cell r="B458" t="str">
            <v>H-ville-MTN</v>
          </cell>
          <cell r="C458" t="str">
            <v>CTR</v>
          </cell>
          <cell r="D458" t="str">
            <v>TELEINFRA CENTRE</v>
          </cell>
        </row>
        <row r="459">
          <cell r="A459" t="str">
            <v>CTR_874</v>
          </cell>
          <cell r="B459" t="str">
            <v>IHS- china embassy yde</v>
          </cell>
          <cell r="C459" t="str">
            <v>CTR</v>
          </cell>
          <cell r="D459" t="str">
            <v>TELEINFRA CENTRE</v>
          </cell>
        </row>
        <row r="460">
          <cell r="A460" t="str">
            <v>CTR_377</v>
          </cell>
          <cell r="B460" t="str">
            <v>Imm-Olympique</v>
          </cell>
          <cell r="C460" t="str">
            <v>CTR</v>
          </cell>
          <cell r="D460" t="str">
            <v>TELEINFRA CENTRE</v>
          </cell>
        </row>
        <row r="461">
          <cell r="A461" t="str">
            <v>CTR_882</v>
          </cell>
          <cell r="B461" t="str">
            <v>Indoor-Orange-shop-PlaYce</v>
          </cell>
          <cell r="C461" t="str">
            <v>CTR</v>
          </cell>
          <cell r="D461" t="str">
            <v>TELEINFRA CENTRE</v>
          </cell>
        </row>
        <row r="462">
          <cell r="A462" t="str">
            <v>CTR_641</v>
          </cell>
          <cell r="B462" t="str">
            <v>Institute-Samba-IHS</v>
          </cell>
          <cell r="C462" t="str">
            <v>CTR</v>
          </cell>
          <cell r="D462" t="str">
            <v>TELEINFRA CENTRE</v>
          </cell>
        </row>
        <row r="463">
          <cell r="A463" t="str">
            <v>CTR_868</v>
          </cell>
          <cell r="B463" t="str">
            <v>Institute-Samba-New</v>
          </cell>
          <cell r="C463" t="str">
            <v>CTR</v>
          </cell>
          <cell r="D463" t="str">
            <v>TELEINFRA CENTRE</v>
          </cell>
        </row>
        <row r="464">
          <cell r="A464" t="str">
            <v>CTR_525</v>
          </cell>
          <cell r="B464" t="str">
            <v>Jean-Vespa2-MTN-IHS</v>
          </cell>
          <cell r="C464" t="str">
            <v>CTR</v>
          </cell>
          <cell r="D464" t="str">
            <v>TELEINFRA CENTRE</v>
          </cell>
        </row>
        <row r="465">
          <cell r="A465" t="str">
            <v>CTR_088</v>
          </cell>
          <cell r="B465" t="str">
            <v>J-Vespa</v>
          </cell>
          <cell r="C465" t="str">
            <v>CTR</v>
          </cell>
          <cell r="D465" t="str">
            <v>TELEINFRA CENTRE</v>
          </cell>
        </row>
        <row r="466">
          <cell r="A466" t="str">
            <v>EXN_011</v>
          </cell>
          <cell r="B466" t="str">
            <v>Kaele</v>
          </cell>
          <cell r="C466" t="str">
            <v>EXN</v>
          </cell>
          <cell r="D466" t="str">
            <v>TELEINFRA NORD</v>
          </cell>
        </row>
        <row r="467">
          <cell r="A467" t="str">
            <v>EXN_095</v>
          </cell>
          <cell r="B467" t="str">
            <v>Kaele-Guiedame</v>
          </cell>
          <cell r="C467" t="str">
            <v>EXN</v>
          </cell>
          <cell r="D467" t="str">
            <v>TELEINFRA NORD</v>
          </cell>
        </row>
        <row r="468">
          <cell r="A468" t="str">
            <v>EXN_160</v>
          </cell>
          <cell r="B468" t="str">
            <v>Kaele-MTN-IHS</v>
          </cell>
          <cell r="C468" t="str">
            <v>EXN</v>
          </cell>
          <cell r="D468" t="str">
            <v>TELEINFRA NORD</v>
          </cell>
        </row>
        <row r="469">
          <cell r="A469" t="str">
            <v>ADM_100</v>
          </cell>
          <cell r="B469" t="str">
            <v>Kaladi-MTN-IHS</v>
          </cell>
          <cell r="C469" t="str">
            <v>ADM</v>
          </cell>
          <cell r="D469" t="str">
            <v>TELEINFRA NORD</v>
          </cell>
        </row>
        <row r="470">
          <cell r="A470" t="str">
            <v>EXN_058</v>
          </cell>
          <cell r="B470" t="str">
            <v>Kalfou</v>
          </cell>
          <cell r="C470" t="str">
            <v>EXN</v>
          </cell>
          <cell r="D470" t="str">
            <v>TELEINFRA NORD</v>
          </cell>
        </row>
        <row r="471">
          <cell r="A471" t="str">
            <v>EST_028</v>
          </cell>
          <cell r="B471" t="str">
            <v>Kambolepi-IHS</v>
          </cell>
          <cell r="C471" t="str">
            <v>EST</v>
          </cell>
          <cell r="D471" t="str">
            <v>TELEINFRA CENTRE</v>
          </cell>
        </row>
        <row r="472">
          <cell r="A472" t="str">
            <v>ADM_041</v>
          </cell>
          <cell r="B472" t="str">
            <v>Kanje-I</v>
          </cell>
          <cell r="C472" t="str">
            <v>ADM</v>
          </cell>
          <cell r="D472" t="str">
            <v>TELEINFRA NORD</v>
          </cell>
        </row>
        <row r="473">
          <cell r="A473" t="str">
            <v>NRD_109</v>
          </cell>
          <cell r="B473" t="str">
            <v>Kapanyaye-IHS</v>
          </cell>
          <cell r="C473" t="str">
            <v>NRD</v>
          </cell>
          <cell r="D473" t="str">
            <v>TELEINFRA NORD</v>
          </cell>
        </row>
        <row r="474">
          <cell r="A474" t="str">
            <v>EXN_022</v>
          </cell>
          <cell r="B474" t="str">
            <v>Kar-Hay</v>
          </cell>
          <cell r="C474" t="str">
            <v>EXN</v>
          </cell>
          <cell r="D474" t="str">
            <v>TELEINFRA NORD</v>
          </cell>
        </row>
        <row r="475">
          <cell r="A475" t="str">
            <v>EXN_192</v>
          </cell>
          <cell r="B475" t="str">
            <v>Kar-Hay-Ville</v>
          </cell>
          <cell r="C475" t="str">
            <v>EXN</v>
          </cell>
          <cell r="D475" t="str">
            <v>TELEINFRA NORD</v>
          </cell>
        </row>
        <row r="476">
          <cell r="A476" t="str">
            <v>EXN_026</v>
          </cell>
          <cell r="B476" t="str">
            <v>Katoual-MTN</v>
          </cell>
          <cell r="C476" t="str">
            <v>EXN</v>
          </cell>
          <cell r="D476" t="str">
            <v>TELEINFRA NORD</v>
          </cell>
        </row>
        <row r="477">
          <cell r="A477" t="str">
            <v>EXN_050</v>
          </cell>
          <cell r="B477" t="str">
            <v>Kay-Kay</v>
          </cell>
          <cell r="C477" t="str">
            <v>EXN</v>
          </cell>
          <cell r="D477" t="str">
            <v>TELEINFRA NORD</v>
          </cell>
        </row>
        <row r="478">
          <cell r="A478" t="str">
            <v>SUD_255</v>
          </cell>
          <cell r="B478" t="str">
            <v>Ke-Eke-MTN</v>
          </cell>
          <cell r="C478" t="str">
            <v>SUD</v>
          </cell>
          <cell r="D478" t="str">
            <v>TELEINFRA CENTRE</v>
          </cell>
        </row>
        <row r="479">
          <cell r="A479" t="str">
            <v>EST_016</v>
          </cell>
          <cell r="B479" t="str">
            <v>Kenzou</v>
          </cell>
          <cell r="C479" t="str">
            <v>EST</v>
          </cell>
          <cell r="D479" t="str">
            <v>TELEINFRA CENTRE</v>
          </cell>
        </row>
        <row r="480">
          <cell r="A480" t="str">
            <v>EST_045</v>
          </cell>
          <cell r="B480" t="str">
            <v>Kette</v>
          </cell>
          <cell r="C480" t="str">
            <v>EST</v>
          </cell>
          <cell r="D480" t="str">
            <v>TELEINFRA CENTRE</v>
          </cell>
        </row>
        <row r="481">
          <cell r="A481" t="str">
            <v>EST_115</v>
          </cell>
          <cell r="B481" t="str">
            <v>Kika-IHS</v>
          </cell>
          <cell r="C481" t="str">
            <v>EST</v>
          </cell>
          <cell r="D481" t="str">
            <v>TELEINFRA CENTRE</v>
          </cell>
        </row>
        <row r="482">
          <cell r="A482" t="str">
            <v>EXN_168</v>
          </cell>
          <cell r="B482" t="str">
            <v>Kinguin-IHS</v>
          </cell>
          <cell r="C482" t="str">
            <v>EXN</v>
          </cell>
          <cell r="D482" t="str">
            <v>TELEINFRA NORD</v>
          </cell>
        </row>
        <row r="483">
          <cell r="A483" t="str">
            <v>ADM_064</v>
          </cell>
          <cell r="B483" t="str">
            <v>Koba-MTN</v>
          </cell>
          <cell r="C483" t="str">
            <v>ADM</v>
          </cell>
          <cell r="D483" t="str">
            <v>TELEINFRA NORD</v>
          </cell>
        </row>
        <row r="484">
          <cell r="A484" t="str">
            <v>EST_057</v>
          </cell>
          <cell r="B484" t="str">
            <v>Kobdombo</v>
          </cell>
          <cell r="C484" t="str">
            <v>EST</v>
          </cell>
          <cell r="D484" t="str">
            <v>TELEINFRA CENTRE</v>
          </cell>
        </row>
        <row r="485">
          <cell r="A485" t="str">
            <v>EXN_053</v>
          </cell>
          <cell r="B485" t="str">
            <v>Kodek-Djarengol</v>
          </cell>
          <cell r="C485" t="str">
            <v>EXN</v>
          </cell>
          <cell r="D485" t="str">
            <v>TELEINFRA NORD</v>
          </cell>
        </row>
        <row r="486">
          <cell r="A486" t="str">
            <v>EXN_104</v>
          </cell>
          <cell r="B486" t="str">
            <v>Kolofata</v>
          </cell>
          <cell r="C486" t="str">
            <v>EXN</v>
          </cell>
          <cell r="D486" t="str">
            <v>TELEINFRA NORD</v>
          </cell>
        </row>
        <row r="487">
          <cell r="A487" t="str">
            <v>EST_125</v>
          </cell>
          <cell r="B487" t="str">
            <v>Kolomine-IHS</v>
          </cell>
          <cell r="C487" t="str">
            <v>EST</v>
          </cell>
          <cell r="D487" t="str">
            <v>TELEINFRA CENTRE</v>
          </cell>
        </row>
        <row r="488">
          <cell r="A488" t="str">
            <v>CTR_040</v>
          </cell>
          <cell r="B488" t="str">
            <v>Kondengui</v>
          </cell>
          <cell r="C488" t="str">
            <v>CTR</v>
          </cell>
          <cell r="D488" t="str">
            <v>TELEINFRA CENTRE</v>
          </cell>
        </row>
        <row r="489">
          <cell r="A489" t="str">
            <v>NRD_070</v>
          </cell>
          <cell r="B489" t="str">
            <v>Kong-Kong-IHS</v>
          </cell>
          <cell r="C489" t="str">
            <v>NRD</v>
          </cell>
          <cell r="D489" t="str">
            <v>TELEINFRA NORD</v>
          </cell>
        </row>
        <row r="490">
          <cell r="A490" t="str">
            <v>EXN_113</v>
          </cell>
          <cell r="B490" t="str">
            <v>Kongola-IHS</v>
          </cell>
          <cell r="C490" t="str">
            <v>EXN</v>
          </cell>
          <cell r="D490" t="str">
            <v>TELEINFRA NORD</v>
          </cell>
        </row>
        <row r="491">
          <cell r="A491" t="str">
            <v>ADM_130</v>
          </cell>
          <cell r="B491" t="str">
            <v>Kontcha</v>
          </cell>
          <cell r="C491" t="str">
            <v>ADM</v>
          </cell>
          <cell r="D491" t="str">
            <v>TELEINFRA NORD</v>
          </cell>
        </row>
        <row r="492">
          <cell r="A492" t="str">
            <v>EXN_235</v>
          </cell>
          <cell r="B492" t="str">
            <v>Korek-Djarengol-II</v>
          </cell>
          <cell r="C492" t="str">
            <v>EXN</v>
          </cell>
          <cell r="D492" t="str">
            <v>TELEINFRA NORD</v>
          </cell>
        </row>
        <row r="493">
          <cell r="A493" t="str">
            <v>EXN_243</v>
          </cell>
          <cell r="B493" t="str">
            <v>Kossehone</v>
          </cell>
          <cell r="C493" t="str">
            <v>EXN</v>
          </cell>
          <cell r="D493" t="str">
            <v>TELEINFRA NORD</v>
          </cell>
        </row>
        <row r="494">
          <cell r="A494" t="str">
            <v>EXN_244</v>
          </cell>
          <cell r="B494" t="str">
            <v>Kosseoua</v>
          </cell>
          <cell r="C494" t="str">
            <v>EXN</v>
          </cell>
          <cell r="D494" t="str">
            <v>TELEINFRA NORD</v>
          </cell>
        </row>
        <row r="495">
          <cell r="A495" t="str">
            <v>EST_094</v>
          </cell>
          <cell r="B495" t="str">
            <v>Kouba-MTN-IHS</v>
          </cell>
          <cell r="C495" t="str">
            <v>EST</v>
          </cell>
          <cell r="D495" t="str">
            <v>TELEINFRA CENTRE</v>
          </cell>
        </row>
        <row r="496">
          <cell r="A496" t="str">
            <v>EST_071</v>
          </cell>
          <cell r="B496" t="str">
            <v>Kouen</v>
          </cell>
          <cell r="C496" t="str">
            <v>EST</v>
          </cell>
          <cell r="D496" t="str">
            <v>TELEINFRA CENTRE</v>
          </cell>
        </row>
        <row r="497">
          <cell r="A497" t="str">
            <v>CTR_823</v>
          </cell>
          <cell r="B497" t="str">
            <v>Koundou-MTN</v>
          </cell>
          <cell r="C497" t="str">
            <v>CTR</v>
          </cell>
          <cell r="D497" t="str">
            <v>TELEINFRA CENTRE</v>
          </cell>
        </row>
        <row r="498">
          <cell r="A498" t="str">
            <v>SUD_248</v>
          </cell>
          <cell r="B498" t="str">
            <v>Koungoulou-MTN</v>
          </cell>
          <cell r="C498" t="str">
            <v>SUD</v>
          </cell>
          <cell r="D498" t="str">
            <v>TELEINFRA CENTRE</v>
          </cell>
        </row>
        <row r="499">
          <cell r="A499" t="str">
            <v>EXN_003</v>
          </cell>
          <cell r="B499" t="str">
            <v>Kousseri</v>
          </cell>
          <cell r="C499" t="str">
            <v>EXN</v>
          </cell>
          <cell r="D499" t="str">
            <v>TELEINFRA NORD</v>
          </cell>
        </row>
        <row r="500">
          <cell r="A500" t="str">
            <v>EXN_181</v>
          </cell>
          <cell r="B500" t="str">
            <v>Kousseri-Arazai-MTN-IHS</v>
          </cell>
          <cell r="C500" t="str">
            <v>EXN</v>
          </cell>
          <cell r="D500" t="str">
            <v>TELEINFRA NORD</v>
          </cell>
        </row>
        <row r="501">
          <cell r="A501" t="str">
            <v>EXN_031</v>
          </cell>
          <cell r="B501" t="str">
            <v>Kousseri-CRTV</v>
          </cell>
          <cell r="C501" t="str">
            <v>EXN</v>
          </cell>
          <cell r="D501" t="str">
            <v>TELEINFRA NORD</v>
          </cell>
        </row>
        <row r="502">
          <cell r="A502" t="str">
            <v>EXN_246</v>
          </cell>
          <cell r="B502" t="str">
            <v>Kousseri-Douane-MTN</v>
          </cell>
          <cell r="C502" t="str">
            <v>EXN</v>
          </cell>
          <cell r="D502" t="str">
            <v>TELEINFRA NORD</v>
          </cell>
        </row>
        <row r="503">
          <cell r="A503" t="str">
            <v>EXN_194</v>
          </cell>
          <cell r="B503" t="str">
            <v>Kousseri-II</v>
          </cell>
          <cell r="C503" t="str">
            <v>EXN</v>
          </cell>
          <cell r="D503" t="str">
            <v>TELEINFRA NORD</v>
          </cell>
        </row>
        <row r="504">
          <cell r="A504" t="str">
            <v>EXN_094</v>
          </cell>
          <cell r="B504" t="str">
            <v>Kousseri-Lacka</v>
          </cell>
          <cell r="C504" t="str">
            <v>EXN</v>
          </cell>
          <cell r="D504" t="str">
            <v>TELEINFRA NORD</v>
          </cell>
        </row>
        <row r="505">
          <cell r="A505" t="str">
            <v>EXN_180</v>
          </cell>
          <cell r="B505" t="str">
            <v>Kousseri-Market-MTN-IHS</v>
          </cell>
          <cell r="C505" t="str">
            <v>EXN</v>
          </cell>
          <cell r="D505" t="str">
            <v>TELEINFRA NORD</v>
          </cell>
        </row>
        <row r="506">
          <cell r="A506" t="str">
            <v>EXN_182</v>
          </cell>
          <cell r="B506" t="str">
            <v>Kousseri-Michedire-MTN-IHS</v>
          </cell>
          <cell r="C506" t="str">
            <v>EXN</v>
          </cell>
          <cell r="D506" t="str">
            <v>TELEINFRA NORD</v>
          </cell>
        </row>
        <row r="507">
          <cell r="A507" t="str">
            <v>EXN_138</v>
          </cell>
          <cell r="B507" t="str">
            <v>Kousseri-MTN-IHS</v>
          </cell>
          <cell r="C507" t="str">
            <v>EXN</v>
          </cell>
          <cell r="D507" t="str">
            <v>TELEINFRA NORD</v>
          </cell>
        </row>
        <row r="508">
          <cell r="A508" t="str">
            <v>EXN_141</v>
          </cell>
          <cell r="B508" t="str">
            <v>Kousseri-Ngueli-MTN-IHS</v>
          </cell>
          <cell r="C508" t="str">
            <v>EXN</v>
          </cell>
          <cell r="D508" t="str">
            <v>TELEINFRA NORD</v>
          </cell>
        </row>
        <row r="509">
          <cell r="A509" t="str">
            <v>EXN_188</v>
          </cell>
          <cell r="B509" t="str">
            <v>Kousseri-Papar-IHS</v>
          </cell>
          <cell r="C509" t="str">
            <v>EXN</v>
          </cell>
          <cell r="D509" t="str">
            <v>TELEINFRA NORD</v>
          </cell>
        </row>
        <row r="510">
          <cell r="A510" t="str">
            <v>EXN_010</v>
          </cell>
          <cell r="B510" t="str">
            <v>Kousseri-Sarra</v>
          </cell>
          <cell r="C510" t="str">
            <v>EXN</v>
          </cell>
          <cell r="D510" t="str">
            <v>TELEINFRA NORD</v>
          </cell>
        </row>
        <row r="511">
          <cell r="A511" t="str">
            <v>EXN_064</v>
          </cell>
          <cell r="B511" t="str">
            <v>Kousseri-Ville</v>
          </cell>
          <cell r="C511" t="str">
            <v>EXN</v>
          </cell>
          <cell r="D511" t="str">
            <v>TELEINFRA NORD</v>
          </cell>
        </row>
        <row r="512">
          <cell r="A512" t="str">
            <v>CTR_258</v>
          </cell>
          <cell r="B512" t="str">
            <v>Koweit-City</v>
          </cell>
          <cell r="C512" t="str">
            <v>CTR</v>
          </cell>
          <cell r="D512" t="str">
            <v>TELEINFRA CENTRE</v>
          </cell>
        </row>
        <row r="513">
          <cell r="A513" t="str">
            <v>CTR_604</v>
          </cell>
          <cell r="B513" t="str">
            <v>Koweit-City-II-IHS</v>
          </cell>
          <cell r="C513" t="str">
            <v>CTR</v>
          </cell>
          <cell r="D513" t="str">
            <v>TELEINFRA CENTRE</v>
          </cell>
        </row>
        <row r="514">
          <cell r="A514" t="str">
            <v>EXN_043</v>
          </cell>
          <cell r="B514" t="str">
            <v>Koza-MTN</v>
          </cell>
          <cell r="C514" t="str">
            <v>EXN</v>
          </cell>
          <cell r="D514" t="str">
            <v>TELEINFRA NORD</v>
          </cell>
        </row>
        <row r="515">
          <cell r="A515" t="str">
            <v>SUD_239</v>
          </cell>
          <cell r="B515" t="str">
            <v>Kpwang-MTN</v>
          </cell>
          <cell r="C515" t="str">
            <v>SUD</v>
          </cell>
          <cell r="D515" t="str">
            <v>TELEINFRA CENTRE</v>
          </cell>
        </row>
        <row r="516">
          <cell r="A516" t="str">
            <v>EXN_208</v>
          </cell>
          <cell r="B516" t="str">
            <v>Kuruda</v>
          </cell>
          <cell r="C516" t="str">
            <v>EXN</v>
          </cell>
          <cell r="D516" t="str">
            <v>TELEINFRA NORD</v>
          </cell>
        </row>
        <row r="517">
          <cell r="A517" t="str">
            <v>SUD_015</v>
          </cell>
          <cell r="B517" t="str">
            <v>Kye-Ossi</v>
          </cell>
          <cell r="C517" t="str">
            <v>SUD</v>
          </cell>
          <cell r="D517" t="str">
            <v>TELEINFRA CENTRE</v>
          </cell>
        </row>
        <row r="518">
          <cell r="A518" t="str">
            <v>SUD_073</v>
          </cell>
          <cell r="B518" t="str">
            <v>Kye-Ossi-II</v>
          </cell>
          <cell r="C518" t="str">
            <v>SUD</v>
          </cell>
          <cell r="D518" t="str">
            <v>TELEINFRA CENTRE</v>
          </cell>
        </row>
        <row r="519">
          <cell r="A519" t="str">
            <v>SUD_026</v>
          </cell>
          <cell r="B519" t="str">
            <v>Kye-Ossi-MTN-IHS</v>
          </cell>
          <cell r="C519" t="str">
            <v>SUD</v>
          </cell>
          <cell r="D519" t="str">
            <v>TELEINFRA CENTRE</v>
          </cell>
        </row>
        <row r="520">
          <cell r="A520" t="str">
            <v>CTR_015</v>
          </cell>
          <cell r="B520" t="str">
            <v>Labogenie</v>
          </cell>
          <cell r="C520" t="str">
            <v>CTR</v>
          </cell>
          <cell r="D520" t="str">
            <v>TELEINFRA CENTRE</v>
          </cell>
        </row>
        <row r="521">
          <cell r="A521" t="str">
            <v>CTR_548</v>
          </cell>
          <cell r="B521" t="str">
            <v>LAC-New-New</v>
          </cell>
          <cell r="C521" t="str">
            <v>CTR</v>
          </cell>
          <cell r="D521" t="str">
            <v>TELEINFRA CENTRE</v>
          </cell>
        </row>
        <row r="522">
          <cell r="A522" t="str">
            <v>CTR_667</v>
          </cell>
          <cell r="B522" t="str">
            <v>Lada</v>
          </cell>
          <cell r="C522" t="str">
            <v>CTR</v>
          </cell>
          <cell r="D522" t="str">
            <v>TELEINFRA CENTRE</v>
          </cell>
        </row>
        <row r="523">
          <cell r="A523" t="str">
            <v>EXN_107</v>
          </cell>
          <cell r="B523" t="str">
            <v>LAF-CAMTEL</v>
          </cell>
          <cell r="C523" t="str">
            <v>EXN</v>
          </cell>
          <cell r="D523" t="str">
            <v>TELEINFRA NORD</v>
          </cell>
        </row>
        <row r="524">
          <cell r="A524" t="str">
            <v>CTR_019</v>
          </cell>
          <cell r="B524" t="str">
            <v>La-Gare</v>
          </cell>
          <cell r="C524" t="str">
            <v>CTR</v>
          </cell>
          <cell r="D524" t="str">
            <v>TELEINFRA CENTRE</v>
          </cell>
        </row>
        <row r="525">
          <cell r="A525" t="str">
            <v>NRD_012</v>
          </cell>
          <cell r="B525" t="str">
            <v>Lagdo</v>
          </cell>
          <cell r="C525" t="str">
            <v>NRD</v>
          </cell>
          <cell r="D525" t="str">
            <v>TELEINFRA NORD</v>
          </cell>
        </row>
        <row r="526">
          <cell r="A526" t="str">
            <v>NRD_077</v>
          </cell>
          <cell r="B526" t="str">
            <v>Lagdo-Marche</v>
          </cell>
          <cell r="C526" t="str">
            <v>NRD</v>
          </cell>
          <cell r="D526" t="str">
            <v>TELEINFRA NORD</v>
          </cell>
        </row>
        <row r="527">
          <cell r="A527" t="str">
            <v>NRD_090</v>
          </cell>
          <cell r="B527" t="str">
            <v>Lagdo-MTN-IHS</v>
          </cell>
          <cell r="C527" t="str">
            <v>NRD</v>
          </cell>
          <cell r="D527" t="str">
            <v>TELEINFRA NORD</v>
          </cell>
        </row>
        <row r="528">
          <cell r="A528" t="str">
            <v>NRD_131</v>
          </cell>
          <cell r="B528" t="str">
            <v>Lagdo-Ville</v>
          </cell>
          <cell r="C528" t="str">
            <v>NRD</v>
          </cell>
          <cell r="D528" t="str">
            <v>TELEINFRA NORD</v>
          </cell>
        </row>
        <row r="529">
          <cell r="A529" t="str">
            <v>ADM_093</v>
          </cell>
          <cell r="B529" t="str">
            <v>Laore-MTN-IHS</v>
          </cell>
          <cell r="C529" t="str">
            <v>ADM</v>
          </cell>
          <cell r="D529" t="str">
            <v>TELEINFRA NORD</v>
          </cell>
        </row>
        <row r="530">
          <cell r="A530" t="str">
            <v>EXN_102</v>
          </cell>
          <cell r="B530" t="str">
            <v>Lara</v>
          </cell>
          <cell r="C530" t="str">
            <v>EXN</v>
          </cell>
          <cell r="D530" t="str">
            <v>TELEINFRA NORD</v>
          </cell>
        </row>
        <row r="531">
          <cell r="A531" t="str">
            <v>CTR_593</v>
          </cell>
          <cell r="B531" t="str">
            <v>Leboudi</v>
          </cell>
          <cell r="C531" t="str">
            <v>CTR</v>
          </cell>
          <cell r="D531" t="str">
            <v>TELEINFRA CENTRE</v>
          </cell>
        </row>
        <row r="532">
          <cell r="A532" t="str">
            <v>CTR_533</v>
          </cell>
          <cell r="B532" t="str">
            <v>Lengom-IHS</v>
          </cell>
          <cell r="C532" t="str">
            <v>CTR</v>
          </cell>
          <cell r="D532" t="str">
            <v>TELEINFRA CENTRE</v>
          </cell>
        </row>
        <row r="533">
          <cell r="A533" t="str">
            <v>EST_063</v>
          </cell>
          <cell r="B533" t="str">
            <v>Letta-MTN</v>
          </cell>
          <cell r="C533" t="str">
            <v>EST</v>
          </cell>
          <cell r="D533" t="str">
            <v>TELEINFRA CENTRE</v>
          </cell>
        </row>
        <row r="534">
          <cell r="A534" t="str">
            <v>ADM_066</v>
          </cell>
          <cell r="B534" t="str">
            <v>Lewa-MTN</v>
          </cell>
          <cell r="C534" t="str">
            <v>ADM</v>
          </cell>
          <cell r="D534" t="str">
            <v>TELEINFRA NORD</v>
          </cell>
        </row>
        <row r="535">
          <cell r="A535" t="str">
            <v>ADM_149</v>
          </cell>
          <cell r="B535" t="str">
            <v>Libong</v>
          </cell>
          <cell r="C535" t="str">
            <v>ADM</v>
          </cell>
          <cell r="D535" t="str">
            <v>TELEINFRA NORD</v>
          </cell>
        </row>
        <row r="536">
          <cell r="A536" t="str">
            <v>ADM_065</v>
          </cell>
          <cell r="B536" t="str">
            <v>Likok-MTN</v>
          </cell>
          <cell r="C536" t="str">
            <v>ADM</v>
          </cell>
          <cell r="D536" t="str">
            <v>TELEINFRA NORD</v>
          </cell>
        </row>
        <row r="537">
          <cell r="A537" t="str">
            <v>ADM_080</v>
          </cell>
          <cell r="B537" t="str">
            <v>Limbon-IHS</v>
          </cell>
          <cell r="C537" t="str">
            <v>ADM</v>
          </cell>
          <cell r="D537" t="str">
            <v>TELEINFRA NORD</v>
          </cell>
        </row>
        <row r="538">
          <cell r="A538" t="str">
            <v>CTR_227</v>
          </cell>
          <cell r="B538" t="str">
            <v>Lobo</v>
          </cell>
          <cell r="C538" t="str">
            <v>CTR</v>
          </cell>
          <cell r="D538" t="str">
            <v>TELEINFRA CENTRE</v>
          </cell>
        </row>
        <row r="539">
          <cell r="A539" t="str">
            <v>EXN_051</v>
          </cell>
          <cell r="B539" t="str">
            <v>Logone-Birni</v>
          </cell>
          <cell r="C539" t="str">
            <v>EXN</v>
          </cell>
          <cell r="D539" t="str">
            <v>TELEINFRA NORD</v>
          </cell>
        </row>
        <row r="540">
          <cell r="A540" t="str">
            <v>EST_042</v>
          </cell>
          <cell r="B540" t="str">
            <v>Lokomo-MTN</v>
          </cell>
          <cell r="C540" t="str">
            <v>EST</v>
          </cell>
          <cell r="D540" t="str">
            <v>TELEINFRA CENTRE</v>
          </cell>
        </row>
        <row r="541">
          <cell r="A541" t="str">
            <v>ADM_051</v>
          </cell>
          <cell r="B541" t="str">
            <v>Lokoti</v>
          </cell>
          <cell r="C541" t="str">
            <v>ADM</v>
          </cell>
          <cell r="D541" t="str">
            <v>TELEINFRA NORD</v>
          </cell>
        </row>
        <row r="542">
          <cell r="A542" t="str">
            <v>SUD_024</v>
          </cell>
          <cell r="B542" t="str">
            <v>Lolodorf</v>
          </cell>
          <cell r="C542" t="str">
            <v>SUD</v>
          </cell>
          <cell r="D542" t="str">
            <v>TELEINFRA CENTRE</v>
          </cell>
        </row>
        <row r="543">
          <cell r="A543" t="str">
            <v>SUD_800</v>
          </cell>
          <cell r="B543" t="str">
            <v>Lolodorf</v>
          </cell>
          <cell r="C543" t="str">
            <v>SUD</v>
          </cell>
          <cell r="D543" t="str">
            <v>TELEINFRA CENTRE</v>
          </cell>
        </row>
        <row r="544">
          <cell r="A544" t="str">
            <v>EST_010</v>
          </cell>
          <cell r="B544" t="str">
            <v>Lomie</v>
          </cell>
          <cell r="C544" t="str">
            <v>EST</v>
          </cell>
          <cell r="D544" t="str">
            <v>TELEINFRA CENTRE</v>
          </cell>
        </row>
        <row r="545">
          <cell r="A545" t="str">
            <v>EST_083</v>
          </cell>
          <cell r="B545" t="str">
            <v>Lom-Pangar-MTN</v>
          </cell>
          <cell r="C545" t="str">
            <v>EST</v>
          </cell>
          <cell r="D545" t="str">
            <v>TELEINFRA CENTRE</v>
          </cell>
        </row>
        <row r="546">
          <cell r="A546" t="str">
            <v>EST_072</v>
          </cell>
          <cell r="B546" t="str">
            <v>Longtimbi</v>
          </cell>
          <cell r="C546" t="str">
            <v>EST</v>
          </cell>
          <cell r="D546" t="str">
            <v>TELEINFRA CENTRE</v>
          </cell>
        </row>
        <row r="547">
          <cell r="A547" t="str">
            <v>CTR_401</v>
          </cell>
          <cell r="B547" t="str">
            <v>Lycee-Leclerc-MTN</v>
          </cell>
          <cell r="C547" t="str">
            <v>CTR</v>
          </cell>
          <cell r="D547" t="str">
            <v>TELEINFRA CENTRE</v>
          </cell>
        </row>
        <row r="548">
          <cell r="A548" t="str">
            <v>ADM_098</v>
          </cell>
          <cell r="B548" t="str">
            <v>Maakola-MTN-IHS</v>
          </cell>
          <cell r="C548" t="str">
            <v>ADM</v>
          </cell>
          <cell r="D548" t="str">
            <v>TELEINFRA NORD</v>
          </cell>
        </row>
        <row r="549">
          <cell r="A549" t="str">
            <v>SUD_037</v>
          </cell>
          <cell r="B549" t="str">
            <v>Maan-IHS</v>
          </cell>
          <cell r="C549" t="str">
            <v>SUD</v>
          </cell>
          <cell r="D549" t="str">
            <v>TELEINFRA CENTRE</v>
          </cell>
        </row>
        <row r="550">
          <cell r="A550" t="str">
            <v>CTR_217</v>
          </cell>
          <cell r="B550" t="str">
            <v>Madagascar-Yde-New</v>
          </cell>
          <cell r="C550" t="str">
            <v>CTR</v>
          </cell>
          <cell r="D550" t="str">
            <v>TELEINFRA CENTRE</v>
          </cell>
        </row>
        <row r="551">
          <cell r="A551" t="str">
            <v>EXN_223</v>
          </cell>
          <cell r="B551" t="str">
            <v>Mada-IHS</v>
          </cell>
          <cell r="C551" t="str">
            <v>EXN</v>
          </cell>
          <cell r="D551" t="str">
            <v>TELEINFRA NORD</v>
          </cell>
        </row>
        <row r="552">
          <cell r="A552" t="str">
            <v>NRD_036</v>
          </cell>
          <cell r="B552" t="str">
            <v>Madingring</v>
          </cell>
          <cell r="C552" t="str">
            <v>NRD</v>
          </cell>
          <cell r="D552" t="str">
            <v>TELEINFRA NORD</v>
          </cell>
        </row>
        <row r="553">
          <cell r="A553" t="str">
            <v>CTR_071</v>
          </cell>
          <cell r="B553" t="str">
            <v>Madison</v>
          </cell>
          <cell r="C553" t="str">
            <v>CTR</v>
          </cell>
          <cell r="D553" t="str">
            <v>TELEINFRA CENTRE</v>
          </cell>
        </row>
        <row r="554">
          <cell r="A554" t="str">
            <v>EXN_014</v>
          </cell>
          <cell r="B554" t="str">
            <v>Maga</v>
          </cell>
          <cell r="C554" t="str">
            <v>EXN</v>
          </cell>
          <cell r="D554" t="str">
            <v>TELEINFRA NORD</v>
          </cell>
        </row>
        <row r="555">
          <cell r="A555" t="str">
            <v>EXN_128</v>
          </cell>
          <cell r="B555" t="str">
            <v>Magada-IHS</v>
          </cell>
          <cell r="C555" t="str">
            <v>EXN</v>
          </cell>
          <cell r="D555" t="str">
            <v>TELEINFRA NORD</v>
          </cell>
        </row>
        <row r="556">
          <cell r="A556" t="str">
            <v>NRD_135</v>
          </cell>
          <cell r="B556" t="str">
            <v>Maga-Lycee</v>
          </cell>
          <cell r="C556" t="str">
            <v>NRD</v>
          </cell>
          <cell r="D556" t="str">
            <v>TELEINFRA NORD</v>
          </cell>
        </row>
        <row r="557">
          <cell r="A557" t="str">
            <v>EXN_110</v>
          </cell>
          <cell r="B557" t="str">
            <v>Maga-Ville</v>
          </cell>
          <cell r="C557" t="str">
            <v>EXN</v>
          </cell>
          <cell r="D557" t="str">
            <v>TELEINFRA NORD</v>
          </cell>
        </row>
        <row r="558">
          <cell r="A558" t="str">
            <v>CTR_123</v>
          </cell>
          <cell r="B558" t="str">
            <v>Maison-Blanche-IHS</v>
          </cell>
          <cell r="C558" t="str">
            <v>CTR</v>
          </cell>
          <cell r="D558" t="str">
            <v>TELEINFRA CENTRE</v>
          </cell>
        </row>
        <row r="559">
          <cell r="A559" t="str">
            <v>CTR_144</v>
          </cell>
          <cell r="B559" t="str">
            <v>Makak-Camrail</v>
          </cell>
          <cell r="C559" t="str">
            <v>CTR</v>
          </cell>
          <cell r="D559" t="str">
            <v>TELEINFRA CENTRE</v>
          </cell>
        </row>
        <row r="560">
          <cell r="A560" t="str">
            <v>EXN_029</v>
          </cell>
          <cell r="B560" t="str">
            <v>Makalingai-MTN</v>
          </cell>
          <cell r="C560" t="str">
            <v>EXN</v>
          </cell>
          <cell r="D560" t="str">
            <v>TELEINFRA NORD</v>
          </cell>
        </row>
        <row r="561">
          <cell r="A561" t="str">
            <v>EXN_020</v>
          </cell>
          <cell r="B561" t="str">
            <v>Makary</v>
          </cell>
          <cell r="C561" t="str">
            <v>EXN</v>
          </cell>
          <cell r="D561" t="str">
            <v>TELEINFRA NORD</v>
          </cell>
        </row>
        <row r="562">
          <cell r="A562" t="str">
            <v>CTR_360</v>
          </cell>
          <cell r="B562" t="str">
            <v>Makoda-MTN</v>
          </cell>
          <cell r="C562" t="str">
            <v>CTR</v>
          </cell>
          <cell r="D562" t="str">
            <v>TELEINFRA CENTRE</v>
          </cell>
        </row>
        <row r="563">
          <cell r="A563" t="str">
            <v>ADM_015</v>
          </cell>
          <cell r="B563" t="str">
            <v>Makor</v>
          </cell>
          <cell r="C563" t="str">
            <v>ADM</v>
          </cell>
          <cell r="D563" t="str">
            <v>TELEINFRA NORD</v>
          </cell>
        </row>
        <row r="564">
          <cell r="A564" t="str">
            <v>EXN_035</v>
          </cell>
          <cell r="B564" t="str">
            <v>Maltam</v>
          </cell>
          <cell r="C564" t="str">
            <v>EXN</v>
          </cell>
          <cell r="D564" t="str">
            <v>TELEINFRA NORD</v>
          </cell>
        </row>
        <row r="565">
          <cell r="A565" t="str">
            <v>CTR_356</v>
          </cell>
          <cell r="B565" t="str">
            <v>Mamb</v>
          </cell>
          <cell r="C565" t="str">
            <v>CTR</v>
          </cell>
          <cell r="D565" t="str">
            <v>TELEINFRA CENTRE</v>
          </cell>
        </row>
        <row r="566">
          <cell r="A566" t="str">
            <v>CTR_097</v>
          </cell>
          <cell r="B566" t="str">
            <v>Mambine</v>
          </cell>
          <cell r="C566" t="str">
            <v>CTR</v>
          </cell>
          <cell r="D566" t="str">
            <v>TELEINFRA CENTRE</v>
          </cell>
        </row>
        <row r="567">
          <cell r="A567" t="str">
            <v>NRD_123</v>
          </cell>
          <cell r="B567" t="str">
            <v>Mandama-IHS</v>
          </cell>
          <cell r="C567" t="str">
            <v>NRD</v>
          </cell>
          <cell r="D567" t="str">
            <v>TELEINFRA NORD</v>
          </cell>
        </row>
        <row r="568">
          <cell r="A568" t="str">
            <v>EST_112</v>
          </cell>
          <cell r="B568" t="str">
            <v>Mandjou-MTN-IHS</v>
          </cell>
          <cell r="C568" t="str">
            <v>EST</v>
          </cell>
          <cell r="D568" t="str">
            <v>TELEINFRA CENTRE</v>
          </cell>
        </row>
        <row r="569">
          <cell r="A569" t="str">
            <v>CTR_066</v>
          </cell>
          <cell r="B569" t="str">
            <v>Mandoumba</v>
          </cell>
          <cell r="C569" t="str">
            <v>CTR</v>
          </cell>
          <cell r="D569" t="str">
            <v>TELEINFRA CENTRE</v>
          </cell>
        </row>
        <row r="570">
          <cell r="A570" t="str">
            <v>CTR_049</v>
          </cell>
          <cell r="B570" t="str">
            <v>Manguier</v>
          </cell>
          <cell r="C570" t="str">
            <v>CTR</v>
          </cell>
          <cell r="D570" t="str">
            <v>TELEINFRA CENTRE</v>
          </cell>
        </row>
        <row r="571">
          <cell r="A571" t="str">
            <v>CTR_817</v>
          </cell>
          <cell r="B571" t="str">
            <v>Manguier Nodal</v>
          </cell>
          <cell r="C571" t="str">
            <v>CTR</v>
          </cell>
          <cell r="D571" t="str">
            <v>TELEINFRA CENTRE</v>
          </cell>
        </row>
        <row r="572">
          <cell r="A572" t="str">
            <v>CTR_117</v>
          </cell>
          <cell r="B572" t="str">
            <v>Manmenye</v>
          </cell>
          <cell r="C572" t="str">
            <v>CTR</v>
          </cell>
          <cell r="D572" t="str">
            <v>TELEINFRA CENTRE</v>
          </cell>
        </row>
        <row r="573">
          <cell r="A573" t="str">
            <v>CTR_479</v>
          </cell>
          <cell r="B573" t="str">
            <v>Marche-Odza</v>
          </cell>
          <cell r="C573" t="str">
            <v>CTR</v>
          </cell>
          <cell r="D573" t="str">
            <v>TELEINFRA CENTRE</v>
          </cell>
        </row>
        <row r="574">
          <cell r="A574" t="str">
            <v>EXN_089</v>
          </cell>
          <cell r="B574" t="str">
            <v>Maroua-Barmare</v>
          </cell>
          <cell r="C574" t="str">
            <v>EXN</v>
          </cell>
          <cell r="D574" t="str">
            <v>TELEINFRA NORD</v>
          </cell>
        </row>
        <row r="575">
          <cell r="A575" t="str">
            <v>EXN_237</v>
          </cell>
          <cell r="B575" t="str">
            <v>Maroua-Boulore</v>
          </cell>
          <cell r="C575" t="str">
            <v>EXN</v>
          </cell>
          <cell r="D575" t="str">
            <v>TELEINFRA NORD</v>
          </cell>
        </row>
        <row r="576">
          <cell r="A576" t="str">
            <v>EXN_071</v>
          </cell>
          <cell r="B576" t="str">
            <v>Maroua-Camp-SIC</v>
          </cell>
          <cell r="C576" t="str">
            <v>EXN</v>
          </cell>
          <cell r="D576" t="str">
            <v>TELEINFRA NORD</v>
          </cell>
        </row>
        <row r="577">
          <cell r="A577" t="str">
            <v>EXN_045</v>
          </cell>
          <cell r="B577" t="str">
            <v>Maroua-CRTV</v>
          </cell>
          <cell r="C577" t="str">
            <v>EXN</v>
          </cell>
          <cell r="D577" t="str">
            <v>TELEINFRA NORD</v>
          </cell>
        </row>
        <row r="578">
          <cell r="A578" t="str">
            <v>EXN_088</v>
          </cell>
          <cell r="B578" t="str">
            <v>Maroua-Diarenga</v>
          </cell>
          <cell r="C578" t="str">
            <v>EXN</v>
          </cell>
          <cell r="D578" t="str">
            <v>TELEINFRA NORD</v>
          </cell>
        </row>
        <row r="579">
          <cell r="A579" t="str">
            <v>EXN_114</v>
          </cell>
          <cell r="B579" t="str">
            <v>Maroua-Diguirwo-IHS</v>
          </cell>
          <cell r="C579" t="str">
            <v>EXN</v>
          </cell>
          <cell r="D579" t="str">
            <v>TELEINFRA NORD</v>
          </cell>
        </row>
        <row r="580">
          <cell r="A580" t="str">
            <v>EXN_196</v>
          </cell>
          <cell r="B580" t="str">
            <v>Maroua-Diguirwo-II</v>
          </cell>
          <cell r="C580" t="str">
            <v>EXN</v>
          </cell>
          <cell r="D580" t="str">
            <v>TELEINFRA NORD</v>
          </cell>
        </row>
        <row r="581">
          <cell r="A581" t="str">
            <v>EXN_143</v>
          </cell>
          <cell r="B581" t="str">
            <v>Maroua-Djarengol-II</v>
          </cell>
          <cell r="C581" t="str">
            <v>EXN</v>
          </cell>
          <cell r="D581" t="str">
            <v>TELEINFRA NORD</v>
          </cell>
        </row>
        <row r="582">
          <cell r="A582" t="str">
            <v>EXN_090</v>
          </cell>
          <cell r="B582" t="str">
            <v>Maroua-Djoudandou</v>
          </cell>
          <cell r="C582" t="str">
            <v>EXN</v>
          </cell>
          <cell r="D582" t="str">
            <v>TELEINFRA NORD</v>
          </cell>
        </row>
        <row r="583">
          <cell r="A583" t="str">
            <v>EXN_241</v>
          </cell>
          <cell r="B583" t="str">
            <v>Maroua-Domayo-IHS</v>
          </cell>
          <cell r="C583" t="str">
            <v>EXN</v>
          </cell>
          <cell r="D583" t="str">
            <v>TELEINFRA NORD</v>
          </cell>
        </row>
        <row r="584">
          <cell r="A584" t="str">
            <v>EXN_111</v>
          </cell>
          <cell r="B584" t="str">
            <v>Maroua-Doualare-II</v>
          </cell>
          <cell r="C584" t="str">
            <v>EXN</v>
          </cell>
          <cell r="D584" t="str">
            <v>TELEINFRA NORD</v>
          </cell>
        </row>
        <row r="585">
          <cell r="A585" t="str">
            <v>EXN_016</v>
          </cell>
          <cell r="B585" t="str">
            <v>Maroua-Douggoy</v>
          </cell>
          <cell r="C585" t="str">
            <v>EXN</v>
          </cell>
          <cell r="D585" t="str">
            <v>TELEINFRA NORD</v>
          </cell>
        </row>
        <row r="586">
          <cell r="A586" t="str">
            <v>EXN_212</v>
          </cell>
          <cell r="B586" t="str">
            <v>Maroua-Douggoy-II</v>
          </cell>
          <cell r="C586" t="str">
            <v>EXN</v>
          </cell>
          <cell r="D586" t="str">
            <v>TELEINFRA NORD</v>
          </cell>
        </row>
        <row r="587">
          <cell r="A587" t="str">
            <v>EXN_115</v>
          </cell>
          <cell r="B587" t="str">
            <v>Maroua-Douggoy-Lopere-IHS</v>
          </cell>
          <cell r="C587" t="str">
            <v>EXN</v>
          </cell>
          <cell r="D587" t="str">
            <v>TELEINFRA NORD</v>
          </cell>
        </row>
        <row r="588">
          <cell r="A588" t="str">
            <v>EXN_067</v>
          </cell>
          <cell r="B588" t="str">
            <v>Maroua-Doursogo</v>
          </cell>
          <cell r="C588" t="str">
            <v>EXN</v>
          </cell>
          <cell r="D588" t="str">
            <v>TELEINFRA NORD</v>
          </cell>
        </row>
        <row r="589">
          <cell r="A589" t="str">
            <v>EXN_250</v>
          </cell>
          <cell r="B589" t="str">
            <v>Maroua-Entree</v>
          </cell>
          <cell r="C589" t="str">
            <v>EXN</v>
          </cell>
          <cell r="D589" t="str">
            <v>TELEINFRA NORD</v>
          </cell>
        </row>
        <row r="590">
          <cell r="A590" t="str">
            <v>EXN_091</v>
          </cell>
          <cell r="B590" t="str">
            <v>Maroua-Harde</v>
          </cell>
          <cell r="C590" t="str">
            <v>EXN</v>
          </cell>
          <cell r="D590" t="str">
            <v>TELEINFRA NORD</v>
          </cell>
        </row>
        <row r="591">
          <cell r="A591" t="str">
            <v>EXN_082</v>
          </cell>
          <cell r="B591" t="str">
            <v>Maroua-Loperey</v>
          </cell>
          <cell r="C591" t="str">
            <v>EXN</v>
          </cell>
          <cell r="D591" t="str">
            <v>TELEINFRA NORD</v>
          </cell>
        </row>
        <row r="592">
          <cell r="A592" t="str">
            <v>EXN_146</v>
          </cell>
          <cell r="B592" t="str">
            <v>Maroua-Loperey-II-IHS</v>
          </cell>
          <cell r="C592" t="str">
            <v>EXN</v>
          </cell>
          <cell r="D592" t="str">
            <v>TELEINFRA NORD</v>
          </cell>
        </row>
        <row r="593">
          <cell r="A593" t="str">
            <v>EXN_084</v>
          </cell>
          <cell r="B593" t="str">
            <v>Maroua-Lougol</v>
          </cell>
          <cell r="C593" t="str">
            <v>EXN</v>
          </cell>
          <cell r="D593" t="str">
            <v>TELEINFRA NORD</v>
          </cell>
        </row>
        <row r="594">
          <cell r="A594" t="str">
            <v>EXN_234</v>
          </cell>
          <cell r="B594" t="str">
            <v>Maroua-Makabaye</v>
          </cell>
          <cell r="C594" t="str">
            <v>EXN</v>
          </cell>
          <cell r="D594" t="str">
            <v>TELEINFRA NORD</v>
          </cell>
        </row>
        <row r="595">
          <cell r="A595" t="str">
            <v>EXN_085</v>
          </cell>
          <cell r="B595" t="str">
            <v>Maroua-Marche-Abattoir</v>
          </cell>
          <cell r="C595" t="str">
            <v>EXN</v>
          </cell>
          <cell r="D595" t="str">
            <v>TELEINFRA NORD</v>
          </cell>
        </row>
        <row r="596">
          <cell r="A596" t="str">
            <v>EXN_087</v>
          </cell>
          <cell r="B596" t="str">
            <v>Maroua-Massalare</v>
          </cell>
          <cell r="C596" t="str">
            <v>EXN</v>
          </cell>
          <cell r="D596" t="str">
            <v>TELEINFRA NORD</v>
          </cell>
        </row>
        <row r="597">
          <cell r="A597" t="str">
            <v>EXN_233</v>
          </cell>
          <cell r="B597" t="str">
            <v>Maroua-Meskin</v>
          </cell>
          <cell r="C597" t="str">
            <v>EXN</v>
          </cell>
          <cell r="D597" t="str">
            <v>TELEINFRA NORD</v>
          </cell>
        </row>
        <row r="598">
          <cell r="A598" t="str">
            <v>EXN_044</v>
          </cell>
          <cell r="B598" t="str">
            <v>Maroua-Orange</v>
          </cell>
          <cell r="C598" t="str">
            <v>EXN</v>
          </cell>
          <cell r="D598" t="str">
            <v>TELEINFRA NORD</v>
          </cell>
        </row>
        <row r="599">
          <cell r="A599" t="str">
            <v>EXN_083</v>
          </cell>
          <cell r="B599" t="str">
            <v>Maroua-Ouro-Bah</v>
          </cell>
          <cell r="C599" t="str">
            <v>EXN</v>
          </cell>
          <cell r="D599" t="str">
            <v>TELEINFRA NORD</v>
          </cell>
        </row>
        <row r="600">
          <cell r="A600" t="str">
            <v>EXN_184</v>
          </cell>
          <cell r="B600" t="str">
            <v>Maroua-Ouro-Bah-II-IHS</v>
          </cell>
          <cell r="C600" t="str">
            <v>EXN</v>
          </cell>
          <cell r="D600" t="str">
            <v>TELEINFRA NORD</v>
          </cell>
        </row>
        <row r="601">
          <cell r="A601" t="str">
            <v>EXN_092</v>
          </cell>
          <cell r="B601" t="str">
            <v>Maroua-Ouro-Tchede</v>
          </cell>
          <cell r="C601" t="str">
            <v>EXN</v>
          </cell>
          <cell r="D601" t="str">
            <v>TELEINFRA NORD</v>
          </cell>
        </row>
        <row r="602">
          <cell r="A602" t="str">
            <v>EXN_145</v>
          </cell>
          <cell r="B602" t="str">
            <v>Maroua-Pitouare-IHS</v>
          </cell>
          <cell r="C602" t="str">
            <v>EXN</v>
          </cell>
          <cell r="D602" t="str">
            <v>TELEINFRA NORD</v>
          </cell>
        </row>
        <row r="603">
          <cell r="A603" t="str">
            <v>NRD_130</v>
          </cell>
          <cell r="B603" t="str">
            <v>Marouare-New</v>
          </cell>
          <cell r="C603" t="str">
            <v>NRD</v>
          </cell>
          <cell r="D603" t="str">
            <v>TELEINFRA NORD</v>
          </cell>
        </row>
        <row r="604">
          <cell r="A604" t="str">
            <v>EXN_066</v>
          </cell>
          <cell r="B604" t="str">
            <v>Maroua-Stade</v>
          </cell>
          <cell r="C604" t="str">
            <v>EXN</v>
          </cell>
          <cell r="D604" t="str">
            <v>TELEINFRA NORD</v>
          </cell>
        </row>
        <row r="605">
          <cell r="A605" t="str">
            <v>EXN_249</v>
          </cell>
          <cell r="B605" t="str">
            <v>Maroua-Tchadeo-III</v>
          </cell>
          <cell r="C605" t="str">
            <v>EXN</v>
          </cell>
          <cell r="D605" t="str">
            <v>TELEINFRA NORD</v>
          </cell>
        </row>
        <row r="606">
          <cell r="A606" t="str">
            <v>EXN_086</v>
          </cell>
          <cell r="B606" t="str">
            <v>Maroua-Titouare-II</v>
          </cell>
          <cell r="C606" t="str">
            <v>EXN</v>
          </cell>
          <cell r="D606" t="str">
            <v>TELEINFRA NORD</v>
          </cell>
        </row>
        <row r="607">
          <cell r="A607" t="str">
            <v>EXN_158</v>
          </cell>
          <cell r="B607" t="str">
            <v>Maroua-Total-Domayo-MTN-IHS</v>
          </cell>
          <cell r="C607" t="str">
            <v>EXN</v>
          </cell>
          <cell r="D607" t="str">
            <v>TELEINFRA NORD</v>
          </cell>
        </row>
        <row r="608">
          <cell r="A608" t="str">
            <v>EXN_117</v>
          </cell>
          <cell r="B608" t="str">
            <v>Maroua-University-IHS</v>
          </cell>
          <cell r="C608" t="str">
            <v>EXN</v>
          </cell>
          <cell r="D608" t="str">
            <v>TELEINFRA NORD</v>
          </cell>
        </row>
        <row r="609">
          <cell r="A609" t="str">
            <v>EXN_147</v>
          </cell>
          <cell r="B609" t="str">
            <v>Maroua-Zikirou-IHS</v>
          </cell>
          <cell r="C609" t="str">
            <v>EXN</v>
          </cell>
          <cell r="D609" t="str">
            <v>TELEINFRA NORD</v>
          </cell>
        </row>
        <row r="610">
          <cell r="A610" t="str">
            <v>EXN_170</v>
          </cell>
          <cell r="B610" t="str">
            <v>Maroua-Zokok-Laddeo-IHS</v>
          </cell>
          <cell r="C610" t="str">
            <v>EXN</v>
          </cell>
          <cell r="D610" t="str">
            <v>TELEINFRA NORD</v>
          </cell>
        </row>
        <row r="611">
          <cell r="A611" t="str">
            <v>EXN_116</v>
          </cell>
          <cell r="B611" t="str">
            <v>Maroua-Zokok-Palar-IHS</v>
          </cell>
          <cell r="C611" t="str">
            <v>EXN</v>
          </cell>
          <cell r="D611" t="str">
            <v>TELEINFRA NORD</v>
          </cell>
        </row>
        <row r="612">
          <cell r="A612" t="str">
            <v>EXN_204</v>
          </cell>
          <cell r="B612" t="str">
            <v>Maroua-Zokok-Palar-II</v>
          </cell>
          <cell r="C612" t="str">
            <v>EXN</v>
          </cell>
          <cell r="D612" t="str">
            <v>TELEINFRA NORD</v>
          </cell>
        </row>
        <row r="613">
          <cell r="A613" t="str">
            <v>ADM_060</v>
          </cell>
          <cell r="B613" t="str">
            <v>Martap</v>
          </cell>
          <cell r="C613" t="str">
            <v>ADM</v>
          </cell>
          <cell r="D613" t="str">
            <v>TELEINFRA NORD</v>
          </cell>
        </row>
        <row r="614">
          <cell r="A614" t="str">
            <v>CTR_020</v>
          </cell>
          <cell r="B614" t="str">
            <v>Masque</v>
          </cell>
          <cell r="C614" t="str">
            <v>CTR</v>
          </cell>
          <cell r="D614" t="str">
            <v>TELEINFRA CENTRE</v>
          </cell>
        </row>
        <row r="615">
          <cell r="A615" t="str">
            <v>EXN_207</v>
          </cell>
          <cell r="B615" t="str">
            <v>Matafal</v>
          </cell>
          <cell r="C615" t="str">
            <v>EXN</v>
          </cell>
          <cell r="D615" t="str">
            <v>TELEINFRA NORD</v>
          </cell>
        </row>
        <row r="616">
          <cell r="A616" t="str">
            <v>CTR_005</v>
          </cell>
          <cell r="B616" t="str">
            <v>Matomb</v>
          </cell>
          <cell r="C616" t="str">
            <v>CTR</v>
          </cell>
          <cell r="D616" t="str">
            <v>TELEINFRA CENTRE</v>
          </cell>
        </row>
        <row r="617">
          <cell r="A617" t="str">
            <v>ADM_075</v>
          </cell>
          <cell r="B617" t="str">
            <v>Mayo-Baleo-IHS</v>
          </cell>
          <cell r="C617" t="str">
            <v>ADM</v>
          </cell>
          <cell r="D617" t="str">
            <v>TELEINFRA NORD</v>
          </cell>
        </row>
        <row r="618">
          <cell r="A618" t="str">
            <v>EXN_162</v>
          </cell>
          <cell r="B618" t="str">
            <v>Mayo-kaba-IHS</v>
          </cell>
          <cell r="C618" t="str">
            <v>EXN</v>
          </cell>
          <cell r="D618" t="str">
            <v>TELEINFRA NORD</v>
          </cell>
        </row>
        <row r="619">
          <cell r="A619" t="str">
            <v>NRD_106</v>
          </cell>
          <cell r="B619" t="str">
            <v>Mayo-Nonde-IHS</v>
          </cell>
          <cell r="C619" t="str">
            <v>NRD</v>
          </cell>
          <cell r="D619" t="str">
            <v>TELEINFRA NORD</v>
          </cell>
        </row>
        <row r="620">
          <cell r="A620" t="str">
            <v>NRD_010</v>
          </cell>
          <cell r="B620" t="str">
            <v>Mayo-Oulo</v>
          </cell>
          <cell r="C620" t="str">
            <v>NRD</v>
          </cell>
          <cell r="D620" t="str">
            <v>TELEINFRA NORD</v>
          </cell>
        </row>
        <row r="621">
          <cell r="A621" t="str">
            <v>ADM_043</v>
          </cell>
          <cell r="B621" t="str">
            <v>Mayo-Tolere-I</v>
          </cell>
          <cell r="C621" t="str">
            <v>ADM</v>
          </cell>
          <cell r="D621" t="str">
            <v>TELEINFRA NORD</v>
          </cell>
        </row>
        <row r="622">
          <cell r="A622" t="str">
            <v>EST_074</v>
          </cell>
          <cell r="B622" t="str">
            <v>Mazabe</v>
          </cell>
          <cell r="C622" t="str">
            <v>EST</v>
          </cell>
          <cell r="D622" t="str">
            <v>TELEINFRA CENTRE</v>
          </cell>
        </row>
        <row r="623">
          <cell r="A623" t="str">
            <v>EXN_215</v>
          </cell>
          <cell r="B623" t="str">
            <v>Mazavou</v>
          </cell>
          <cell r="C623" t="str">
            <v>EXN</v>
          </cell>
          <cell r="D623" t="str">
            <v>TELEINFRA NORD</v>
          </cell>
        </row>
        <row r="624">
          <cell r="A624" t="str">
            <v>EXN_226</v>
          </cell>
          <cell r="B624" t="str">
            <v>Mazera-IHS</v>
          </cell>
          <cell r="C624" t="str">
            <v>EXN</v>
          </cell>
          <cell r="D624" t="str">
            <v>TELEINFRA NORD</v>
          </cell>
        </row>
        <row r="625">
          <cell r="A625" t="str">
            <v>ADM_161</v>
          </cell>
          <cell r="B625" t="str">
            <v>Mbaka</v>
          </cell>
          <cell r="C625" t="str">
            <v>ADM</v>
          </cell>
          <cell r="D625" t="str">
            <v>TELEINFRA NORD</v>
          </cell>
        </row>
        <row r="626">
          <cell r="A626" t="str">
            <v>ADM_109</v>
          </cell>
          <cell r="B626" t="str">
            <v>Mbakaou-MTN-IHS</v>
          </cell>
          <cell r="C626" t="str">
            <v>ADM</v>
          </cell>
          <cell r="D626" t="str">
            <v>TELEINFRA NORD</v>
          </cell>
        </row>
        <row r="627">
          <cell r="A627" t="str">
            <v>SUD_222</v>
          </cell>
          <cell r="B627" t="str">
            <v>Mbalam</v>
          </cell>
          <cell r="C627" t="str">
            <v>SUD</v>
          </cell>
          <cell r="D627" t="str">
            <v>TELEINFRA CENTRE</v>
          </cell>
        </row>
        <row r="628">
          <cell r="A628" t="str">
            <v>CTR_831</v>
          </cell>
          <cell r="B628" t="str">
            <v>Mbalgong-Carrefour</v>
          </cell>
          <cell r="C628" t="str">
            <v>CTR</v>
          </cell>
          <cell r="D628" t="str">
            <v>TELEINFRA CENTRE</v>
          </cell>
        </row>
        <row r="629">
          <cell r="A629" t="str">
            <v>CTR_824</v>
          </cell>
          <cell r="B629" t="str">
            <v>Mballa-II</v>
          </cell>
          <cell r="C629" t="str">
            <v>CTR</v>
          </cell>
          <cell r="D629" t="str">
            <v>TELEINFRA CENTRE</v>
          </cell>
        </row>
        <row r="630">
          <cell r="A630" t="str">
            <v>CTR_021</v>
          </cell>
          <cell r="B630" t="str">
            <v>Mbalmayo</v>
          </cell>
          <cell r="C630" t="str">
            <v>CTR</v>
          </cell>
          <cell r="D630" t="str">
            <v>TELEINFRA CENTRE</v>
          </cell>
        </row>
        <row r="631">
          <cell r="A631" t="str">
            <v>CTR_393</v>
          </cell>
          <cell r="B631" t="str">
            <v>Mbalmayo-Haoussa</v>
          </cell>
          <cell r="C631" t="str">
            <v>CTR</v>
          </cell>
          <cell r="D631" t="str">
            <v>TELEINFRA CENTRE</v>
          </cell>
        </row>
        <row r="632">
          <cell r="A632" t="str">
            <v>CTR_136</v>
          </cell>
          <cell r="B632" t="str">
            <v>Mbalmayo-Mbokoulo-IHS</v>
          </cell>
          <cell r="C632" t="str">
            <v>CTR</v>
          </cell>
          <cell r="D632" t="str">
            <v>TELEINFRA CENTRE</v>
          </cell>
        </row>
        <row r="633">
          <cell r="A633" t="str">
            <v>CTR_252</v>
          </cell>
          <cell r="B633" t="str">
            <v>Mbalmayo-Ngalan</v>
          </cell>
          <cell r="C633" t="str">
            <v>CTR</v>
          </cell>
          <cell r="D633" t="str">
            <v>TELEINFRA CENTRE</v>
          </cell>
        </row>
        <row r="634">
          <cell r="A634" t="str">
            <v>CTR_493</v>
          </cell>
          <cell r="B634" t="str">
            <v>Mbalmayo-Oyack</v>
          </cell>
          <cell r="C634" t="str">
            <v>CTR</v>
          </cell>
          <cell r="D634" t="str">
            <v>TELEINFRA CENTRE</v>
          </cell>
        </row>
        <row r="635">
          <cell r="A635" t="str">
            <v>CTR_303</v>
          </cell>
          <cell r="B635" t="str">
            <v>Mbam</v>
          </cell>
          <cell r="C635" t="str">
            <v>CTR</v>
          </cell>
          <cell r="D635" t="str">
            <v>TELEINFRA CENTRE</v>
          </cell>
        </row>
        <row r="636">
          <cell r="A636" t="str">
            <v>CTR_030</v>
          </cell>
          <cell r="B636" t="str">
            <v>Mbandjock</v>
          </cell>
          <cell r="C636" t="str">
            <v>CTR</v>
          </cell>
          <cell r="D636" t="str">
            <v>TELEINFRA CENTRE</v>
          </cell>
        </row>
        <row r="637">
          <cell r="A637" t="str">
            <v>CTR_510</v>
          </cell>
          <cell r="B637" t="str">
            <v>Mbandjock-II</v>
          </cell>
          <cell r="C637" t="str">
            <v>CTR</v>
          </cell>
          <cell r="D637" t="str">
            <v>TELEINFRA CENTRE</v>
          </cell>
        </row>
        <row r="638">
          <cell r="A638" t="str">
            <v>EST_011</v>
          </cell>
          <cell r="B638" t="str">
            <v>Mbang</v>
          </cell>
          <cell r="C638" t="str">
            <v>EST</v>
          </cell>
          <cell r="D638" t="str">
            <v>TELEINFRA CENTRE</v>
          </cell>
        </row>
        <row r="639">
          <cell r="A639" t="str">
            <v>CTR_006</v>
          </cell>
          <cell r="B639" t="str">
            <v>Mbankolo</v>
          </cell>
          <cell r="C639" t="str">
            <v>CTR</v>
          </cell>
          <cell r="D639" t="str">
            <v>TELEINFRA CENTRE</v>
          </cell>
        </row>
        <row r="640">
          <cell r="A640" t="str">
            <v>CTR_680</v>
          </cell>
          <cell r="B640" t="str">
            <v>Mbankolo-Camtel-II</v>
          </cell>
          <cell r="C640" t="str">
            <v>CTR</v>
          </cell>
          <cell r="D640" t="str">
            <v>TELEINFRA CENTRE</v>
          </cell>
        </row>
        <row r="641">
          <cell r="A641" t="str">
            <v>CTR_710</v>
          </cell>
          <cell r="B641" t="str">
            <v>Mbankomo-Dajoll</v>
          </cell>
          <cell r="C641" t="str">
            <v>CTR</v>
          </cell>
          <cell r="D641" t="str">
            <v>TELEINFRA CENTRE</v>
          </cell>
        </row>
        <row r="642">
          <cell r="A642" t="str">
            <v>CTR_528</v>
          </cell>
          <cell r="B642" t="str">
            <v>Mbankomo-IHS</v>
          </cell>
          <cell r="C642" t="str">
            <v>CTR</v>
          </cell>
          <cell r="D642" t="str">
            <v>TELEINFRA CENTRE</v>
          </cell>
        </row>
        <row r="643">
          <cell r="A643" t="str">
            <v>CTR_222</v>
          </cell>
          <cell r="B643" t="str">
            <v>Mbankomo-MTN</v>
          </cell>
          <cell r="C643" t="str">
            <v>CTR</v>
          </cell>
          <cell r="D643" t="str">
            <v>TELEINFRA CENTRE</v>
          </cell>
        </row>
        <row r="644">
          <cell r="A644" t="str">
            <v>CTR_541</v>
          </cell>
          <cell r="B644" t="str">
            <v>Mbankomo-Okoa-Maria</v>
          </cell>
          <cell r="C644" t="str">
            <v>CTR</v>
          </cell>
          <cell r="D644" t="str">
            <v>TELEINFRA CENTRE</v>
          </cell>
        </row>
        <row r="645">
          <cell r="A645" t="str">
            <v>ADM_055</v>
          </cell>
          <cell r="B645" t="str">
            <v>Mbantinbang-FH</v>
          </cell>
          <cell r="C645" t="str">
            <v>ADM</v>
          </cell>
          <cell r="D645" t="str">
            <v>TELEINFRA NORD</v>
          </cell>
        </row>
        <row r="646">
          <cell r="A646" t="str">
            <v>CTR_289</v>
          </cell>
          <cell r="B646" t="str">
            <v>Mbargué</v>
          </cell>
          <cell r="C646" t="str">
            <v>CTR</v>
          </cell>
          <cell r="D646" t="str">
            <v>TELEINFRA CENTRE</v>
          </cell>
        </row>
        <row r="647">
          <cell r="A647" t="str">
            <v>ADM_092</v>
          </cell>
          <cell r="B647" t="str">
            <v>Mbe-IHS</v>
          </cell>
          <cell r="C647" t="str">
            <v>ADM</v>
          </cell>
          <cell r="D647" t="str">
            <v>TELEINFRA NORD</v>
          </cell>
        </row>
        <row r="648">
          <cell r="A648" t="str">
            <v>EST_053</v>
          </cell>
          <cell r="B648" t="str">
            <v>Mbele-Mbeke</v>
          </cell>
          <cell r="C648" t="str">
            <v>EST</v>
          </cell>
          <cell r="D648" t="str">
            <v>TELEINFRA CENTRE</v>
          </cell>
        </row>
        <row r="649">
          <cell r="A649" t="str">
            <v>CTR_385</v>
          </cell>
          <cell r="B649" t="str">
            <v>Mbeng</v>
          </cell>
          <cell r="C649" t="str">
            <v>CTR</v>
          </cell>
          <cell r="D649" t="str">
            <v>TELEINFRA CENTRE</v>
          </cell>
        </row>
        <row r="650">
          <cell r="A650" t="str">
            <v>ADM_133</v>
          </cell>
          <cell r="B650" t="str">
            <v>Mberem-Ngop</v>
          </cell>
          <cell r="C650" t="str">
            <v>ADM</v>
          </cell>
          <cell r="D650" t="str">
            <v>TELEINFRA NORD</v>
          </cell>
        </row>
        <row r="651">
          <cell r="A651" t="str">
            <v>ADM_079</v>
          </cell>
          <cell r="B651" t="str">
            <v>Mbidou-IHS</v>
          </cell>
          <cell r="C651" t="str">
            <v>ADM</v>
          </cell>
          <cell r="D651" t="str">
            <v>TELEINFRA NORD</v>
          </cell>
        </row>
        <row r="652">
          <cell r="A652" t="str">
            <v>SUD_069</v>
          </cell>
          <cell r="B652" t="str">
            <v>Mbile-IHS</v>
          </cell>
          <cell r="C652" t="str">
            <v>SUD</v>
          </cell>
          <cell r="D652" t="str">
            <v>TELEINFRA CENTRE</v>
          </cell>
        </row>
        <row r="653">
          <cell r="A653" t="str">
            <v>EST_105</v>
          </cell>
          <cell r="B653" t="str">
            <v>Mbitom-camrail</v>
          </cell>
          <cell r="C653" t="str">
            <v>EST</v>
          </cell>
          <cell r="D653" t="str">
            <v>TELEINFRA CENTRE</v>
          </cell>
        </row>
        <row r="654">
          <cell r="A654" t="str">
            <v>SUD_105</v>
          </cell>
          <cell r="B654" t="str">
            <v>Mbomela-IHS</v>
          </cell>
          <cell r="C654" t="str">
            <v>SUD</v>
          </cell>
          <cell r="D654" t="str">
            <v>TELEINFRA CENTRE</v>
          </cell>
        </row>
        <row r="655">
          <cell r="A655" t="str">
            <v>ADM_042</v>
          </cell>
          <cell r="B655" t="str">
            <v>Mbong</v>
          </cell>
          <cell r="C655" t="str">
            <v>ADM</v>
          </cell>
          <cell r="D655" t="str">
            <v>TELEINFRA NORD</v>
          </cell>
        </row>
        <row r="656">
          <cell r="A656" t="str">
            <v>ADM_029</v>
          </cell>
          <cell r="B656" t="str">
            <v>Mboulai-MTN</v>
          </cell>
          <cell r="C656" t="str">
            <v>ADM</v>
          </cell>
          <cell r="D656" t="str">
            <v>TELEINFRA NORD</v>
          </cell>
        </row>
        <row r="657">
          <cell r="A657" t="str">
            <v>CTR_407</v>
          </cell>
          <cell r="B657" t="str">
            <v>Meba-CAMTEL</v>
          </cell>
          <cell r="C657" t="str">
            <v>CTR</v>
          </cell>
          <cell r="D657" t="str">
            <v>TELEINFRA CENTRE</v>
          </cell>
        </row>
        <row r="658">
          <cell r="A658" t="str">
            <v>CTR_253</v>
          </cell>
          <cell r="B658" t="str">
            <v>Mefou-Assi</v>
          </cell>
          <cell r="C658" t="str">
            <v>CTR</v>
          </cell>
          <cell r="D658" t="str">
            <v>TELEINFRA CENTRE</v>
          </cell>
        </row>
        <row r="659">
          <cell r="A659" t="str">
            <v>CTR_642</v>
          </cell>
          <cell r="B659" t="str">
            <v>Mefou-Assi-IHS</v>
          </cell>
          <cell r="C659" t="str">
            <v>CTR</v>
          </cell>
          <cell r="D659" t="str">
            <v>TELEINFRA CENTRE</v>
          </cell>
        </row>
        <row r="660">
          <cell r="A660" t="str">
            <v>CTR_635</v>
          </cell>
          <cell r="B660" t="str">
            <v>Mehanda</v>
          </cell>
          <cell r="C660" t="str">
            <v>CTR</v>
          </cell>
          <cell r="D660" t="str">
            <v>TELEINFRA CENTRE</v>
          </cell>
        </row>
        <row r="661">
          <cell r="A661" t="str">
            <v>CTR_763</v>
          </cell>
          <cell r="B661" t="str">
            <v>Mehanda-II</v>
          </cell>
          <cell r="C661" t="str">
            <v>CTR</v>
          </cell>
          <cell r="D661" t="str">
            <v>TELEINFRA CENTRE</v>
          </cell>
        </row>
        <row r="662">
          <cell r="A662" t="str">
            <v>CTR_866</v>
          </cell>
          <cell r="B662" t="str">
            <v>Mehanda-III</v>
          </cell>
          <cell r="C662" t="str">
            <v>CTR</v>
          </cell>
          <cell r="D662" t="str">
            <v>TELEINFRA CENTRE</v>
          </cell>
        </row>
        <row r="663">
          <cell r="A663" t="str">
            <v>ADM_054</v>
          </cell>
          <cell r="B663" t="str">
            <v>Meidjamba-MTN</v>
          </cell>
          <cell r="C663" t="str">
            <v>ADM</v>
          </cell>
          <cell r="D663" t="str">
            <v>TELEINFRA NORD</v>
          </cell>
        </row>
        <row r="664">
          <cell r="A664" t="str">
            <v>ADM_062</v>
          </cell>
          <cell r="B664" t="str">
            <v>Meidougou-MTN</v>
          </cell>
          <cell r="C664" t="str">
            <v>ADM</v>
          </cell>
          <cell r="D664" t="str">
            <v>TELEINFRA NORD</v>
          </cell>
        </row>
        <row r="665">
          <cell r="A665" t="str">
            <v>ADM_004</v>
          </cell>
          <cell r="B665" t="str">
            <v>Meiganga CRTV</v>
          </cell>
          <cell r="C665" t="str">
            <v>ADM</v>
          </cell>
          <cell r="D665" t="str">
            <v>TELEINFRA NORD</v>
          </cell>
        </row>
        <row r="666">
          <cell r="A666" t="str">
            <v>ADM_106</v>
          </cell>
          <cell r="B666" t="str">
            <v>Meiganga-EELC-MTN-IHS</v>
          </cell>
          <cell r="C666" t="str">
            <v>ADM</v>
          </cell>
          <cell r="D666" t="str">
            <v>TELEINFRA NORD</v>
          </cell>
        </row>
        <row r="667">
          <cell r="A667" t="str">
            <v>ADM_107</v>
          </cell>
          <cell r="B667" t="str">
            <v>Meiganga-Markt-MTN-IHS</v>
          </cell>
          <cell r="C667" t="str">
            <v>ADM</v>
          </cell>
          <cell r="D667" t="str">
            <v>TELEINFRA NORD</v>
          </cell>
        </row>
        <row r="668">
          <cell r="A668" t="str">
            <v>ADM_171</v>
          </cell>
          <cell r="B668" t="str">
            <v>Meiganga-Universite</v>
          </cell>
          <cell r="C668" t="str">
            <v>ADM</v>
          </cell>
          <cell r="D668" t="str">
            <v>TELEINFRA NORD</v>
          </cell>
        </row>
        <row r="669">
          <cell r="A669" t="str">
            <v>CTR_434</v>
          </cell>
          <cell r="B669" t="str">
            <v>Mekin-CAMTEL</v>
          </cell>
          <cell r="C669" t="str">
            <v>CTR</v>
          </cell>
          <cell r="D669" t="str">
            <v>TELEINFRA CENTRE</v>
          </cell>
        </row>
        <row r="670">
          <cell r="A670" t="str">
            <v>CTR_146</v>
          </cell>
          <cell r="B670" t="str">
            <v>Mekouda</v>
          </cell>
          <cell r="C670" t="str">
            <v>CTR</v>
          </cell>
          <cell r="D670" t="str">
            <v>TELEINFRA CENTRE</v>
          </cell>
        </row>
        <row r="671">
          <cell r="A671" t="str">
            <v>SUD_256</v>
          </cell>
          <cell r="B671" t="str">
            <v>Melane</v>
          </cell>
          <cell r="C671" t="str">
            <v>SUD</v>
          </cell>
          <cell r="D671" t="str">
            <v>TELEINFRA CENTRE</v>
          </cell>
        </row>
        <row r="672">
          <cell r="A672" t="str">
            <v>CTR_594</v>
          </cell>
          <cell r="B672" t="str">
            <v>Melen-Ba'aba</v>
          </cell>
          <cell r="C672" t="str">
            <v>CTR</v>
          </cell>
          <cell r="D672" t="str">
            <v>TELEINFRA CENTRE</v>
          </cell>
        </row>
        <row r="673">
          <cell r="A673" t="str">
            <v>EXN_169</v>
          </cell>
          <cell r="B673" t="str">
            <v>Meme-II-IHS</v>
          </cell>
          <cell r="C673" t="str">
            <v>EXN</v>
          </cell>
          <cell r="D673" t="str">
            <v>TELEINFRA NORD</v>
          </cell>
        </row>
        <row r="674">
          <cell r="A674" t="str">
            <v>SUD_235</v>
          </cell>
          <cell r="B674" t="str">
            <v>Memiam-MTN</v>
          </cell>
          <cell r="C674" t="str">
            <v>SUD</v>
          </cell>
          <cell r="D674" t="str">
            <v>TELEINFRA CENTRE</v>
          </cell>
        </row>
        <row r="675">
          <cell r="A675" t="str">
            <v>SUD_257</v>
          </cell>
          <cell r="B675" t="str">
            <v>Memve-ele-CAMTEL</v>
          </cell>
          <cell r="C675" t="str">
            <v>SUD</v>
          </cell>
          <cell r="D675" t="str">
            <v>TELEINFRA CENTRE</v>
          </cell>
        </row>
        <row r="676">
          <cell r="A676" t="str">
            <v>SUD_056</v>
          </cell>
          <cell r="B676" t="str">
            <v>Memve-Ele-IHS</v>
          </cell>
          <cell r="C676" t="str">
            <v>SUD</v>
          </cell>
          <cell r="D676" t="str">
            <v>TELEINFRA CENTRE</v>
          </cell>
        </row>
        <row r="677">
          <cell r="A677" t="str">
            <v>CTR_025</v>
          </cell>
          <cell r="B677" t="str">
            <v>Mendong</v>
          </cell>
          <cell r="C677" t="str">
            <v>CTR</v>
          </cell>
          <cell r="D677" t="str">
            <v>TELEINFRA CENTRE</v>
          </cell>
        </row>
        <row r="678">
          <cell r="A678" t="str">
            <v>CTR_476</v>
          </cell>
          <cell r="B678" t="str">
            <v>Mendong-II</v>
          </cell>
          <cell r="C678" t="str">
            <v>CTR</v>
          </cell>
          <cell r="D678" t="str">
            <v>TELEINFRA CENTRE</v>
          </cell>
        </row>
        <row r="679">
          <cell r="A679" t="str">
            <v>CTR_746</v>
          </cell>
          <cell r="B679" t="str">
            <v>Mendong-IV-MTN</v>
          </cell>
          <cell r="C679" t="str">
            <v>CTR</v>
          </cell>
          <cell r="D679" t="str">
            <v>TELEINFRA CENTRE</v>
          </cell>
        </row>
        <row r="680">
          <cell r="A680" t="str">
            <v>CTR_486</v>
          </cell>
          <cell r="B680" t="str">
            <v>Mendong-Maetur-IHS</v>
          </cell>
          <cell r="C680" t="str">
            <v>CTR</v>
          </cell>
          <cell r="D680" t="str">
            <v>TELEINFRA CENTRE</v>
          </cell>
        </row>
        <row r="681">
          <cell r="A681" t="str">
            <v>CTR_521</v>
          </cell>
          <cell r="B681" t="str">
            <v>Mendong-Vallee2-MTN-IHS</v>
          </cell>
          <cell r="C681" t="str">
            <v>CTR</v>
          </cell>
          <cell r="D681" t="str">
            <v>TELEINFRA CENTRE</v>
          </cell>
        </row>
        <row r="682">
          <cell r="A682" t="str">
            <v>CTR_713</v>
          </cell>
          <cell r="B682" t="str">
            <v>Mendong-Village</v>
          </cell>
          <cell r="C682" t="str">
            <v>CTR</v>
          </cell>
          <cell r="D682" t="str">
            <v>TELEINFRA CENTRE</v>
          </cell>
        </row>
        <row r="683">
          <cell r="A683" t="str">
            <v>CTR_306</v>
          </cell>
          <cell r="B683" t="str">
            <v>Mengang-MTN</v>
          </cell>
          <cell r="C683" t="str">
            <v>CTR</v>
          </cell>
          <cell r="D683" t="str">
            <v>TELEINFRA CENTRE</v>
          </cell>
        </row>
        <row r="684">
          <cell r="A684" t="str">
            <v>CTR_142</v>
          </cell>
          <cell r="B684" t="str">
            <v>Menganme-Camtel</v>
          </cell>
          <cell r="C684" t="str">
            <v>CTR</v>
          </cell>
          <cell r="D684" t="str">
            <v>TELEINFRA CENTRE</v>
          </cell>
        </row>
        <row r="685">
          <cell r="A685" t="str">
            <v>SUD_078</v>
          </cell>
          <cell r="B685" t="str">
            <v>Mengbwa-Camtel</v>
          </cell>
          <cell r="C685" t="str">
            <v>SUD</v>
          </cell>
          <cell r="D685" t="str">
            <v>TELEINFRA CENTRE</v>
          </cell>
        </row>
        <row r="686">
          <cell r="A686" t="str">
            <v>SUD_017</v>
          </cell>
          <cell r="B686" t="str">
            <v>Mengong</v>
          </cell>
          <cell r="C686" t="str">
            <v>SUD</v>
          </cell>
          <cell r="D686" t="str">
            <v>TELEINFRA CENTRE</v>
          </cell>
        </row>
        <row r="687">
          <cell r="A687" t="str">
            <v>CTR_455</v>
          </cell>
          <cell r="B687" t="str">
            <v>Mengue-Bibey-Camrail</v>
          </cell>
          <cell r="C687" t="str">
            <v>CTR</v>
          </cell>
          <cell r="D687" t="str">
            <v>TELEINFRA CENTRE</v>
          </cell>
        </row>
        <row r="688">
          <cell r="A688" t="str">
            <v>CTR_870</v>
          </cell>
          <cell r="B688" t="str">
            <v>MENGUE-BIBEY-IHS</v>
          </cell>
          <cell r="C688" t="str">
            <v>CTR</v>
          </cell>
          <cell r="D688" t="str">
            <v>TELEINFRA CENTRE</v>
          </cell>
        </row>
        <row r="689">
          <cell r="A689" t="str">
            <v>CTR_354</v>
          </cell>
          <cell r="B689" t="str">
            <v>Mengueme</v>
          </cell>
          <cell r="C689" t="str">
            <v>CTR</v>
          </cell>
          <cell r="D689" t="str">
            <v>TELEINFRA CENTRE</v>
          </cell>
        </row>
        <row r="690">
          <cell r="A690" t="str">
            <v>CTR_451</v>
          </cell>
          <cell r="B690" t="str">
            <v>Menloh-Maloume-Camrail</v>
          </cell>
          <cell r="C690" t="str">
            <v>CTR</v>
          </cell>
          <cell r="D690" t="str">
            <v>TELEINFRA CENTRE</v>
          </cell>
        </row>
        <row r="691">
          <cell r="A691" t="str">
            <v>CTR_014</v>
          </cell>
          <cell r="B691" t="str">
            <v>Mercure</v>
          </cell>
          <cell r="C691" t="str">
            <v>CTR</v>
          </cell>
          <cell r="D691" t="str">
            <v>TELEINFRA CENTRE</v>
          </cell>
        </row>
        <row r="692">
          <cell r="A692" t="str">
            <v>EXN_023</v>
          </cell>
          <cell r="B692" t="str">
            <v>Meri</v>
          </cell>
          <cell r="C692" t="str">
            <v>EXN</v>
          </cell>
          <cell r="D692" t="str">
            <v>TELEINFRA NORD</v>
          </cell>
        </row>
        <row r="693">
          <cell r="A693" t="str">
            <v>EXN_157</v>
          </cell>
          <cell r="B693" t="str">
            <v>Meskin-MTN-IHS</v>
          </cell>
          <cell r="C693" t="str">
            <v>EXN</v>
          </cell>
          <cell r="D693" t="str">
            <v>TELEINFRA NORD</v>
          </cell>
        </row>
        <row r="694">
          <cell r="A694" t="str">
            <v>CTR_382</v>
          </cell>
          <cell r="B694" t="str">
            <v>Messa-Carriere</v>
          </cell>
          <cell r="C694" t="str">
            <v>CTR</v>
          </cell>
          <cell r="D694" t="str">
            <v>TELEINFRA CENTRE</v>
          </cell>
        </row>
        <row r="695">
          <cell r="A695" t="str">
            <v>EST_046</v>
          </cell>
          <cell r="B695" t="str">
            <v>Messamena</v>
          </cell>
          <cell r="C695" t="str">
            <v>EST</v>
          </cell>
          <cell r="D695" t="str">
            <v>TELEINFRA CENTRE</v>
          </cell>
        </row>
        <row r="696">
          <cell r="A696" t="str">
            <v>CTR_007</v>
          </cell>
          <cell r="B696" t="str">
            <v>Messamendongo</v>
          </cell>
          <cell r="C696" t="str">
            <v>CTR</v>
          </cell>
          <cell r="D696" t="str">
            <v>TELEINFRA CENTRE</v>
          </cell>
        </row>
        <row r="697">
          <cell r="A697" t="str">
            <v>SUD_247</v>
          </cell>
          <cell r="B697" t="str">
            <v>Messam-MTN</v>
          </cell>
          <cell r="C697" t="str">
            <v>SUD</v>
          </cell>
          <cell r="D697" t="str">
            <v>TELEINFRA CENTRE</v>
          </cell>
        </row>
        <row r="698">
          <cell r="A698" t="str">
            <v>CTR_337</v>
          </cell>
          <cell r="B698" t="str">
            <v>Messassi</v>
          </cell>
          <cell r="C698" t="str">
            <v>CTR</v>
          </cell>
          <cell r="D698" t="str">
            <v>TELEINFRA CENTRE</v>
          </cell>
        </row>
        <row r="699">
          <cell r="A699" t="str">
            <v>CTR_468</v>
          </cell>
          <cell r="B699" t="str">
            <v>Messassi-MTN-IHS</v>
          </cell>
          <cell r="C699" t="str">
            <v>CTR</v>
          </cell>
          <cell r="D699" t="str">
            <v>TELEINFRA CENTRE</v>
          </cell>
        </row>
        <row r="700">
          <cell r="A700" t="str">
            <v>SUD_106</v>
          </cell>
          <cell r="B700" t="str">
            <v>Messok</v>
          </cell>
          <cell r="C700" t="str">
            <v>CTR</v>
          </cell>
          <cell r="D700" t="str">
            <v>TELEINFRA CENTRE</v>
          </cell>
        </row>
        <row r="701">
          <cell r="A701" t="str">
            <v>CTR_053</v>
          </cell>
          <cell r="B701" t="str">
            <v>Metet</v>
          </cell>
          <cell r="C701" t="str">
            <v>CTR</v>
          </cell>
          <cell r="D701" t="str">
            <v>TELEINFRA CENTRE</v>
          </cell>
        </row>
        <row r="702">
          <cell r="A702" t="str">
            <v>CTR_846</v>
          </cell>
          <cell r="B702" t="str">
            <v>Mewoulo-II-MTN</v>
          </cell>
          <cell r="C702" t="str">
            <v>CTR</v>
          </cell>
          <cell r="D702" t="str">
            <v>TELEINFRA CENTRE</v>
          </cell>
        </row>
        <row r="703">
          <cell r="A703" t="str">
            <v>CTR_320</v>
          </cell>
          <cell r="B703" t="str">
            <v>Meyo</v>
          </cell>
          <cell r="C703" t="str">
            <v>CTR</v>
          </cell>
          <cell r="D703" t="str">
            <v>TELEINFRA CENTRE</v>
          </cell>
        </row>
        <row r="704">
          <cell r="A704" t="str">
            <v>CTR_145</v>
          </cell>
          <cell r="B704" t="str">
            <v>Meyo-Centre</v>
          </cell>
          <cell r="C704" t="str">
            <v>CTR</v>
          </cell>
          <cell r="D704" t="str">
            <v>TELEINFRA CENTRE</v>
          </cell>
        </row>
        <row r="705">
          <cell r="A705" t="str">
            <v>CTR_850</v>
          </cell>
          <cell r="B705" t="str">
            <v>Meyo-II</v>
          </cell>
          <cell r="C705" t="str">
            <v>CTR</v>
          </cell>
          <cell r="D705" t="str">
            <v>TELEINFRA CENTRE</v>
          </cell>
        </row>
        <row r="706">
          <cell r="A706" t="str">
            <v>SUD_003</v>
          </cell>
          <cell r="B706" t="str">
            <v>Meyomessala</v>
          </cell>
          <cell r="C706" t="str">
            <v>SUD</v>
          </cell>
          <cell r="D706" t="str">
            <v>TELEINFRA CENTRE</v>
          </cell>
        </row>
        <row r="707">
          <cell r="A707" t="str">
            <v>CTR_122</v>
          </cell>
          <cell r="B707" t="str">
            <v>Meyong-Meyeme</v>
          </cell>
          <cell r="C707" t="str">
            <v>CTR</v>
          </cell>
          <cell r="D707" t="str">
            <v>TELEINFRA CENTRE</v>
          </cell>
        </row>
        <row r="708">
          <cell r="A708" t="str">
            <v>CTR_643</v>
          </cell>
          <cell r="B708" t="str">
            <v>Mfandena-IHS</v>
          </cell>
          <cell r="C708" t="str">
            <v>CTR</v>
          </cell>
          <cell r="D708" t="str">
            <v>TELEINFRA CENTRE</v>
          </cell>
        </row>
        <row r="709">
          <cell r="A709" t="str">
            <v>CTR_570</v>
          </cell>
          <cell r="B709" t="str">
            <v>Mfandena-New</v>
          </cell>
          <cell r="C709" t="str">
            <v>CTR</v>
          </cell>
          <cell r="D709" t="str">
            <v>TELEINFRA CENTRE</v>
          </cell>
        </row>
        <row r="710">
          <cell r="A710" t="str">
            <v>CTR_036</v>
          </cell>
          <cell r="B710" t="str">
            <v>Mfou</v>
          </cell>
          <cell r="C710" t="str">
            <v>CTR</v>
          </cell>
          <cell r="D710" t="str">
            <v>TELEINFRA CENTRE</v>
          </cell>
        </row>
        <row r="711">
          <cell r="A711" t="str">
            <v>CTR_653</v>
          </cell>
          <cell r="B711" t="str">
            <v>Mfou-Entree</v>
          </cell>
          <cell r="C711" t="str">
            <v>CTR</v>
          </cell>
          <cell r="D711" t="str">
            <v>TELEINFRA CENTRE</v>
          </cell>
        </row>
        <row r="712">
          <cell r="A712" t="str">
            <v>CTR_464</v>
          </cell>
          <cell r="B712" t="str">
            <v>Mfou-EPC-MTN-IHS</v>
          </cell>
          <cell r="C712" t="str">
            <v>CTR</v>
          </cell>
          <cell r="D712" t="str">
            <v>TELEINFRA CENTRE</v>
          </cell>
        </row>
        <row r="713">
          <cell r="A713" t="str">
            <v>CTR_843</v>
          </cell>
          <cell r="B713" t="str">
            <v>Micro_SNH</v>
          </cell>
          <cell r="C713" t="str">
            <v>CTR</v>
          </cell>
          <cell r="D713" t="str">
            <v>TELEINFRA CENTRE</v>
          </cell>
        </row>
        <row r="714">
          <cell r="A714" t="str">
            <v>CTR_307</v>
          </cell>
          <cell r="B714" t="str">
            <v>Miende-MTN</v>
          </cell>
          <cell r="C714" t="str">
            <v>CTR</v>
          </cell>
          <cell r="D714" t="str">
            <v>TELEINFRA CENTRE</v>
          </cell>
        </row>
        <row r="715">
          <cell r="A715" t="str">
            <v>SUD_099</v>
          </cell>
          <cell r="B715" t="str">
            <v>Mimbo</v>
          </cell>
          <cell r="C715" t="str">
            <v>SUD</v>
          </cell>
          <cell r="D715" t="str">
            <v>TELEINFRA CENTRE</v>
          </cell>
        </row>
        <row r="716">
          <cell r="A716" t="str">
            <v>CTR_625</v>
          </cell>
          <cell r="B716" t="str">
            <v>Mimboman3-IHS</v>
          </cell>
          <cell r="C716" t="str">
            <v>CTR</v>
          </cell>
          <cell r="D716" t="str">
            <v>TELEINFRA CENTRE</v>
          </cell>
        </row>
        <row r="717">
          <cell r="A717" t="str">
            <v>CTR_772</v>
          </cell>
          <cell r="B717" t="str">
            <v>Mimboman-Chapelle</v>
          </cell>
          <cell r="C717" t="str">
            <v>CTR</v>
          </cell>
          <cell r="D717" t="str">
            <v>TELEINFRA CENTRE</v>
          </cell>
        </row>
        <row r="718">
          <cell r="A718" t="str">
            <v>CTR_654</v>
          </cell>
          <cell r="B718" t="str">
            <v>Mimboman-Don-Bosco</v>
          </cell>
          <cell r="C718" t="str">
            <v>CTR</v>
          </cell>
          <cell r="D718" t="str">
            <v>TELEINFRA CENTRE</v>
          </cell>
        </row>
        <row r="719">
          <cell r="A719" t="str">
            <v>CTR_422</v>
          </cell>
          <cell r="B719" t="str">
            <v>Mimboman-Ecole</v>
          </cell>
          <cell r="C719" t="str">
            <v>CTR</v>
          </cell>
          <cell r="D719" t="str">
            <v>TELEINFRA CENTRE</v>
          </cell>
        </row>
        <row r="720">
          <cell r="A720" t="str">
            <v>CTR_552</v>
          </cell>
          <cell r="B720" t="str">
            <v>Mimboman-Liberte-IHS</v>
          </cell>
          <cell r="C720" t="str">
            <v>CTR</v>
          </cell>
          <cell r="D720" t="str">
            <v>TELEINFRA CENTRE</v>
          </cell>
        </row>
        <row r="721">
          <cell r="A721" t="str">
            <v>CTR_655</v>
          </cell>
          <cell r="B721" t="str">
            <v>Mimboman-Liberte-II</v>
          </cell>
          <cell r="C721" t="str">
            <v>CTR</v>
          </cell>
          <cell r="D721" t="str">
            <v>TELEINFRA CENTRE</v>
          </cell>
        </row>
        <row r="722">
          <cell r="A722" t="str">
            <v>CTR_351</v>
          </cell>
          <cell r="B722" t="str">
            <v>Mimboman-Nodal</v>
          </cell>
          <cell r="C722" t="str">
            <v>CTR</v>
          </cell>
          <cell r="D722" t="str">
            <v>TELEINFRA CENTRE</v>
          </cell>
        </row>
        <row r="723">
          <cell r="A723" t="str">
            <v>CTR_245</v>
          </cell>
          <cell r="B723" t="str">
            <v>Mimboman-Village</v>
          </cell>
          <cell r="C723" t="str">
            <v>CTR</v>
          </cell>
          <cell r="D723" t="str">
            <v>TELEINFRA CENTRE</v>
          </cell>
        </row>
        <row r="724">
          <cell r="A724" t="str">
            <v>EXN_155</v>
          </cell>
          <cell r="B724" t="str">
            <v>Minawao-IHS</v>
          </cell>
          <cell r="C724" t="str">
            <v>EXN</v>
          </cell>
          <cell r="D724" t="str">
            <v>TELEINFRA NORD</v>
          </cell>
        </row>
        <row r="725">
          <cell r="A725" t="str">
            <v>EXN_037</v>
          </cell>
          <cell r="B725" t="str">
            <v>Mindif</v>
          </cell>
          <cell r="C725" t="str">
            <v>EXN</v>
          </cell>
          <cell r="D725" t="str">
            <v>TELEINFRA NORD</v>
          </cell>
        </row>
        <row r="726">
          <cell r="A726" t="str">
            <v>EST_012</v>
          </cell>
          <cell r="B726" t="str">
            <v>Mindourou</v>
          </cell>
          <cell r="C726" t="str">
            <v>EST</v>
          </cell>
          <cell r="D726" t="str">
            <v>TELEINFRA CENTRE</v>
          </cell>
        </row>
        <row r="727">
          <cell r="A727" t="str">
            <v>EST_122</v>
          </cell>
          <cell r="B727" t="str">
            <v>Mindourou-Grumcam-IHS</v>
          </cell>
          <cell r="C727" t="str">
            <v>EST</v>
          </cell>
          <cell r="D727" t="str">
            <v>TELEINFRA CENTRE</v>
          </cell>
        </row>
        <row r="728">
          <cell r="A728" t="str">
            <v>CTR_737</v>
          </cell>
          <cell r="B728" t="str">
            <v>Mini_SS_AFD</v>
          </cell>
          <cell r="C728" t="str">
            <v>CTR</v>
          </cell>
          <cell r="D728" t="str">
            <v>TELEINFRA CENTRE</v>
          </cell>
        </row>
        <row r="729">
          <cell r="A729" t="str">
            <v>CTR_050</v>
          </cell>
          <cell r="B729" t="str">
            <v>Mini-Ferme</v>
          </cell>
          <cell r="C729" t="str">
            <v>CTR</v>
          </cell>
          <cell r="D729" t="str">
            <v>TELEINFRA CENTRE</v>
          </cell>
        </row>
        <row r="730">
          <cell r="A730" t="str">
            <v>CTR_684</v>
          </cell>
          <cell r="B730" t="str">
            <v>Minisite-Elig-Edzoa</v>
          </cell>
          <cell r="C730" t="str">
            <v>CTR</v>
          </cell>
          <cell r="D730" t="str">
            <v>TELEINFRA CENTRE</v>
          </cell>
        </row>
        <row r="731">
          <cell r="A731" t="str">
            <v>CTR_689</v>
          </cell>
          <cell r="B731" t="str">
            <v>Minisite-SOA</v>
          </cell>
          <cell r="C731" t="str">
            <v>CTR</v>
          </cell>
          <cell r="D731" t="str">
            <v>TELEINFRA CENTRE</v>
          </cell>
        </row>
        <row r="732">
          <cell r="A732" t="str">
            <v>CTR_690</v>
          </cell>
          <cell r="B732" t="str">
            <v>Minisite-Tsinga</v>
          </cell>
          <cell r="C732" t="str">
            <v>CTR</v>
          </cell>
          <cell r="D732" t="str">
            <v>TELEINFRA CENTRE</v>
          </cell>
        </row>
        <row r="733">
          <cell r="A733" t="str">
            <v>CTR_186</v>
          </cell>
          <cell r="B733" t="str">
            <v>Minka-MTN-IHS</v>
          </cell>
          <cell r="C733" t="str">
            <v>CTR</v>
          </cell>
          <cell r="D733" t="str">
            <v>TELEINFRA CENTRE</v>
          </cell>
        </row>
        <row r="734">
          <cell r="A734" t="str">
            <v>CTR_646</v>
          </cell>
          <cell r="B734" t="str">
            <v>Minkan-Nord</v>
          </cell>
          <cell r="C734" t="str">
            <v>CTR</v>
          </cell>
          <cell r="D734" t="str">
            <v>TELEINFRA CENTRE</v>
          </cell>
        </row>
        <row r="735">
          <cell r="A735" t="str">
            <v>CTR_233</v>
          </cell>
          <cell r="B735" t="str">
            <v>Minta</v>
          </cell>
          <cell r="C735" t="str">
            <v>CTR</v>
          </cell>
          <cell r="D735" t="str">
            <v>TELEINFRA CENTRE</v>
          </cell>
        </row>
        <row r="736">
          <cell r="A736" t="str">
            <v>SUD_246</v>
          </cell>
          <cell r="B736" t="str">
            <v>Mintom-MTN</v>
          </cell>
          <cell r="C736" t="str">
            <v>SUD</v>
          </cell>
          <cell r="D736" t="str">
            <v>TELEINFRA CENTRE</v>
          </cell>
        </row>
        <row r="737">
          <cell r="A737" t="str">
            <v>CTR_068</v>
          </cell>
          <cell r="B737" t="str">
            <v>Mobil-Essos</v>
          </cell>
          <cell r="C737" t="str">
            <v>CTR</v>
          </cell>
          <cell r="D737" t="str">
            <v>TELEINFRA CENTRE</v>
          </cell>
        </row>
        <row r="738">
          <cell r="A738" t="str">
            <v>CTR_125</v>
          </cell>
          <cell r="B738" t="str">
            <v>Mobil-Kondengui</v>
          </cell>
          <cell r="C738" t="str">
            <v>CTR</v>
          </cell>
          <cell r="D738" t="str">
            <v>TELEINFRA CENTRE</v>
          </cell>
        </row>
        <row r="739">
          <cell r="A739" t="str">
            <v>EXN_024</v>
          </cell>
          <cell r="B739" t="str">
            <v>Mogode</v>
          </cell>
          <cell r="C739" t="str">
            <v>EXN</v>
          </cell>
          <cell r="D739" t="str">
            <v>TELEINFRA NORD</v>
          </cell>
        </row>
        <row r="740">
          <cell r="A740" t="str">
            <v>EXN_142</v>
          </cell>
          <cell r="B740" t="str">
            <v>Mokola-MTN</v>
          </cell>
          <cell r="C740" t="str">
            <v>EXN</v>
          </cell>
          <cell r="D740" t="str">
            <v>TELEINFRA NORD</v>
          </cell>
        </row>
        <row r="741">
          <cell r="A741" t="str">
            <v>EXN_012</v>
          </cell>
          <cell r="B741" t="str">
            <v>Mokolo</v>
          </cell>
          <cell r="C741" t="str">
            <v>EXN</v>
          </cell>
          <cell r="D741" t="str">
            <v>TELEINFRA NORD</v>
          </cell>
        </row>
        <row r="742">
          <cell r="A742" t="str">
            <v>EXN_156</v>
          </cell>
          <cell r="B742" t="str">
            <v>Mokolo3-IHS</v>
          </cell>
          <cell r="C742" t="str">
            <v>EXN</v>
          </cell>
          <cell r="D742" t="str">
            <v>TELEINFRA NORD</v>
          </cell>
        </row>
        <row r="743">
          <cell r="A743" t="str">
            <v>EXN_161</v>
          </cell>
          <cell r="B743" t="str">
            <v>Mokong-MTN-IHS</v>
          </cell>
          <cell r="C743" t="str">
            <v>EXN</v>
          </cell>
          <cell r="D743" t="str">
            <v>TELEINFRA NORD</v>
          </cell>
        </row>
        <row r="744">
          <cell r="A744" t="str">
            <v>EST_015</v>
          </cell>
          <cell r="B744" t="str">
            <v>Moloundou</v>
          </cell>
          <cell r="C744" t="str">
            <v>EST</v>
          </cell>
          <cell r="D744" t="str">
            <v>TELEINFRA CENTRE</v>
          </cell>
        </row>
        <row r="745">
          <cell r="A745" t="str">
            <v>CTR_202</v>
          </cell>
          <cell r="B745" t="str">
            <v>Mom</v>
          </cell>
          <cell r="C745" t="str">
            <v>CTR</v>
          </cell>
          <cell r="D745" t="str">
            <v>TELEINFRA CENTRE</v>
          </cell>
        </row>
        <row r="746">
          <cell r="A746" t="str">
            <v>EST_061</v>
          </cell>
          <cell r="B746" t="str">
            <v>Mombal-MTN</v>
          </cell>
          <cell r="C746" t="str">
            <v>EST</v>
          </cell>
          <cell r="D746" t="str">
            <v>TELEINFRA CENTRE</v>
          </cell>
        </row>
        <row r="747">
          <cell r="A747" t="str">
            <v>CTR_373</v>
          </cell>
          <cell r="B747" t="str">
            <v>Montee-Anne-Rouge</v>
          </cell>
          <cell r="C747" t="str">
            <v>CTR</v>
          </cell>
          <cell r="D747" t="str">
            <v>TELEINFRA CENTRE</v>
          </cell>
        </row>
        <row r="748">
          <cell r="A748" t="str">
            <v>CTR_149</v>
          </cell>
          <cell r="B748" t="str">
            <v>Montee-Des-Soeurs-IHS</v>
          </cell>
          <cell r="C748" t="str">
            <v>CTR</v>
          </cell>
          <cell r="D748" t="str">
            <v>TELEINFRA CENTRE</v>
          </cell>
        </row>
        <row r="749">
          <cell r="A749" t="str">
            <v>CTR_326</v>
          </cell>
          <cell r="B749" t="str">
            <v>Montee-Jouvence</v>
          </cell>
          <cell r="C749" t="str">
            <v>CTR</v>
          </cell>
          <cell r="D749" t="str">
            <v>TELEINFRA CENTRE</v>
          </cell>
        </row>
        <row r="750">
          <cell r="A750" t="str">
            <v>CTR_154</v>
          </cell>
          <cell r="B750" t="str">
            <v>Montee-Jouvence-II-IHS</v>
          </cell>
          <cell r="C750" t="str">
            <v>CTR</v>
          </cell>
          <cell r="D750" t="str">
            <v>TELEINFRA CENTRE</v>
          </cell>
        </row>
        <row r="751">
          <cell r="A751" t="str">
            <v>CTR_535</v>
          </cell>
          <cell r="B751" t="str">
            <v>Montee-Kondengui-MTN-IHS</v>
          </cell>
          <cell r="C751" t="str">
            <v>CTR</v>
          </cell>
          <cell r="D751" t="str">
            <v>TELEINFRA CENTRE</v>
          </cell>
        </row>
        <row r="752">
          <cell r="A752" t="str">
            <v>CTR_270</v>
          </cell>
          <cell r="B752" t="str">
            <v>Montesquieux</v>
          </cell>
          <cell r="C752" t="str">
            <v>CTR</v>
          </cell>
          <cell r="D752" t="str">
            <v>TELEINFRA CENTRE</v>
          </cell>
        </row>
        <row r="753">
          <cell r="A753" t="str">
            <v>CTR_729</v>
          </cell>
          <cell r="B753" t="str">
            <v>Mont-Febe</v>
          </cell>
          <cell r="C753" t="str">
            <v>CTR</v>
          </cell>
          <cell r="D753" t="str">
            <v>TELEINFRA CENTRE</v>
          </cell>
        </row>
        <row r="754">
          <cell r="A754" t="str">
            <v>EXN_005</v>
          </cell>
          <cell r="B754" t="str">
            <v>Mora</v>
          </cell>
          <cell r="C754" t="str">
            <v>EXN</v>
          </cell>
          <cell r="D754" t="str">
            <v>TELEINFRA NORD</v>
          </cell>
        </row>
        <row r="755">
          <cell r="A755" t="str">
            <v>EXN_258</v>
          </cell>
          <cell r="B755" t="str">
            <v>Mora4-IHS</v>
          </cell>
          <cell r="C755" t="str">
            <v>EXN</v>
          </cell>
          <cell r="D755" t="str">
            <v>TELEINFRA NORD</v>
          </cell>
        </row>
        <row r="756">
          <cell r="A756" t="str">
            <v>EXN_106</v>
          </cell>
          <cell r="B756" t="str">
            <v>Mora-IHS</v>
          </cell>
          <cell r="C756" t="str">
            <v>EXN</v>
          </cell>
          <cell r="D756" t="str">
            <v>TELEINFRA NORD</v>
          </cell>
        </row>
        <row r="757">
          <cell r="A757" t="str">
            <v>EXN_032</v>
          </cell>
          <cell r="B757" t="str">
            <v>Mora-II</v>
          </cell>
          <cell r="C757" t="str">
            <v>EXN</v>
          </cell>
          <cell r="D757" t="str">
            <v>TELEINFRA NORD</v>
          </cell>
        </row>
        <row r="758">
          <cell r="A758" t="str">
            <v>EXN_238</v>
          </cell>
          <cell r="B758" t="str">
            <v>Mora-Kourgui</v>
          </cell>
          <cell r="C758" t="str">
            <v>EXN</v>
          </cell>
          <cell r="D758" t="str">
            <v>TELEINFRA NORD</v>
          </cell>
        </row>
        <row r="759">
          <cell r="A759" t="str">
            <v>EXN_134</v>
          </cell>
          <cell r="B759" t="str">
            <v>Mora-Technical-School-MTN-IHS</v>
          </cell>
          <cell r="C759" t="str">
            <v>EXN</v>
          </cell>
          <cell r="D759" t="str">
            <v>TELEINFRA NORD</v>
          </cell>
        </row>
        <row r="760">
          <cell r="A760" t="str">
            <v>EST_062</v>
          </cell>
          <cell r="B760" t="str">
            <v>Motcheboum</v>
          </cell>
          <cell r="C760" t="str">
            <v>EST</v>
          </cell>
          <cell r="D760" t="str">
            <v>TELEINFRA CENTRE</v>
          </cell>
        </row>
        <row r="761">
          <cell r="A761" t="str">
            <v>EXN_186</v>
          </cell>
          <cell r="B761" t="str">
            <v>Mouda-IHS</v>
          </cell>
          <cell r="C761" t="str">
            <v>EXN</v>
          </cell>
          <cell r="D761" t="str">
            <v>TELEINFRA NORD</v>
          </cell>
        </row>
        <row r="762">
          <cell r="A762" t="str">
            <v>EXN_185</v>
          </cell>
          <cell r="B762" t="str">
            <v>Moude-IHS</v>
          </cell>
          <cell r="C762" t="str">
            <v>EXN</v>
          </cell>
          <cell r="D762" t="str">
            <v>TELEINFRA NORD</v>
          </cell>
        </row>
        <row r="763">
          <cell r="A763" t="str">
            <v>EXN_038</v>
          </cell>
          <cell r="B763" t="str">
            <v>Moulvouday</v>
          </cell>
          <cell r="C763" t="str">
            <v>EXN</v>
          </cell>
          <cell r="D763" t="str">
            <v>TELEINFRA NORD</v>
          </cell>
        </row>
        <row r="764">
          <cell r="A764" t="str">
            <v>EXN_136</v>
          </cell>
          <cell r="B764" t="str">
            <v>Mousgoy-IHS</v>
          </cell>
          <cell r="C764" t="str">
            <v>EXN</v>
          </cell>
          <cell r="D764" t="str">
            <v>TELEINFRA NORD</v>
          </cell>
        </row>
        <row r="765">
          <cell r="A765" t="str">
            <v>EXN_027</v>
          </cell>
          <cell r="B765" t="str">
            <v>Moutourwa-MTN</v>
          </cell>
          <cell r="C765" t="str">
            <v>EXN</v>
          </cell>
          <cell r="D765" t="str">
            <v>TELEINFRA NORD</v>
          </cell>
        </row>
        <row r="766">
          <cell r="A766" t="str">
            <v>EXN_042</v>
          </cell>
          <cell r="B766" t="str">
            <v>Mozogo</v>
          </cell>
          <cell r="C766" t="str">
            <v>EXN</v>
          </cell>
          <cell r="D766" t="str">
            <v>TELEINFRA NORD</v>
          </cell>
        </row>
        <row r="767">
          <cell r="A767" t="str">
            <v>SUD_066</v>
          </cell>
          <cell r="B767" t="str">
            <v>Mvangan-IHS</v>
          </cell>
          <cell r="C767" t="str">
            <v>SUD</v>
          </cell>
          <cell r="D767" t="str">
            <v>TELEINFRA CENTRE</v>
          </cell>
        </row>
        <row r="768">
          <cell r="A768" t="str">
            <v>CTR_639</v>
          </cell>
          <cell r="B768" t="str">
            <v>Mvan-IHS</v>
          </cell>
          <cell r="C768" t="str">
            <v>CTR</v>
          </cell>
          <cell r="D768" t="str">
            <v>TELEINFRA CENTRE</v>
          </cell>
        </row>
        <row r="769">
          <cell r="A769" t="str">
            <v>CTR_487</v>
          </cell>
          <cell r="B769" t="str">
            <v>Mvan-MRS</v>
          </cell>
          <cell r="C769" t="str">
            <v>CTR</v>
          </cell>
          <cell r="D769" t="str">
            <v>TELEINFRA CENTRE</v>
          </cell>
        </row>
        <row r="770">
          <cell r="A770" t="str">
            <v>SUD_226</v>
          </cell>
          <cell r="B770" t="str">
            <v>Mvengue</v>
          </cell>
          <cell r="C770" t="str">
            <v>SUD</v>
          </cell>
          <cell r="D770" t="str">
            <v>TELEINFRA CENTRE</v>
          </cell>
        </row>
        <row r="771">
          <cell r="A771" t="str">
            <v>CTR_347</v>
          </cell>
          <cell r="B771" t="str">
            <v>Mvog-Ada-New</v>
          </cell>
          <cell r="C771" t="str">
            <v>CTR</v>
          </cell>
          <cell r="D771" t="str">
            <v>TELEINFRA CENTRE</v>
          </cell>
        </row>
        <row r="772">
          <cell r="A772" t="str">
            <v>CTR_096</v>
          </cell>
          <cell r="B772" t="str">
            <v>Mvog-Ada-TKC</v>
          </cell>
          <cell r="C772" t="str">
            <v>CTR</v>
          </cell>
          <cell r="D772" t="str">
            <v>TELEINFRA CENTRE</v>
          </cell>
        </row>
        <row r="773">
          <cell r="A773" t="str">
            <v>CTR_728</v>
          </cell>
          <cell r="B773" t="str">
            <v>Mvog-Atangana-Mballa</v>
          </cell>
          <cell r="C773" t="str">
            <v>CTR</v>
          </cell>
          <cell r="D773" t="str">
            <v>TELEINFRA CENTRE</v>
          </cell>
        </row>
        <row r="774">
          <cell r="A774" t="str">
            <v>CTR_738</v>
          </cell>
          <cell r="B774" t="str">
            <v>Mvog-Awae</v>
          </cell>
          <cell r="C774" t="str">
            <v>CTR</v>
          </cell>
          <cell r="D774" t="str">
            <v>TELEINFRA CENTRE</v>
          </cell>
        </row>
        <row r="775">
          <cell r="A775" t="str">
            <v>CTR_016</v>
          </cell>
          <cell r="B775" t="str">
            <v>Mvog-Betsi</v>
          </cell>
          <cell r="C775" t="str">
            <v>CTR</v>
          </cell>
          <cell r="D775" t="str">
            <v>TELEINFRA CENTRE</v>
          </cell>
        </row>
        <row r="776">
          <cell r="A776" t="str">
            <v>CTR_341</v>
          </cell>
          <cell r="B776" t="str">
            <v>Mvog-Ebanda</v>
          </cell>
          <cell r="C776" t="str">
            <v>CTR</v>
          </cell>
          <cell r="D776" t="str">
            <v>TELEINFRA CENTRE</v>
          </cell>
        </row>
        <row r="777">
          <cell r="A777" t="str">
            <v>CTR_668</v>
          </cell>
          <cell r="B777" t="str">
            <v>Mvog-Ebanda-II</v>
          </cell>
          <cell r="C777" t="str">
            <v>CTR</v>
          </cell>
          <cell r="D777" t="str">
            <v>TELEINFRA CENTRE</v>
          </cell>
        </row>
        <row r="778">
          <cell r="A778" t="str">
            <v>CTR_378</v>
          </cell>
          <cell r="B778" t="str">
            <v>Mvog-Manga</v>
          </cell>
          <cell r="C778" t="str">
            <v>CTR</v>
          </cell>
          <cell r="D778" t="str">
            <v>TELEINFRA CENTRE</v>
          </cell>
        </row>
        <row r="779">
          <cell r="A779" t="str">
            <v>CTR_669</v>
          </cell>
          <cell r="B779" t="str">
            <v>Mvog-Mangaa-II</v>
          </cell>
          <cell r="C779" t="str">
            <v>CTR</v>
          </cell>
          <cell r="D779" t="str">
            <v>TELEINFRA CENTRE</v>
          </cell>
        </row>
        <row r="780">
          <cell r="A780" t="str">
            <v>CTR_739</v>
          </cell>
          <cell r="B780" t="str">
            <v>Mvog-Manga-III</v>
          </cell>
          <cell r="C780" t="str">
            <v>CTR</v>
          </cell>
          <cell r="D780" t="str">
            <v>TELEINFRA CENTRE</v>
          </cell>
        </row>
        <row r="781">
          <cell r="A781" t="str">
            <v>CTR_483</v>
          </cell>
          <cell r="B781" t="str">
            <v>Mvogmbi-New</v>
          </cell>
          <cell r="C781" t="str">
            <v>CTR</v>
          </cell>
          <cell r="D781" t="str">
            <v>TELEINFRA CENTRE</v>
          </cell>
        </row>
        <row r="782">
          <cell r="A782" t="str">
            <v>CTR_310</v>
          </cell>
          <cell r="B782" t="str">
            <v>Mvolye-New</v>
          </cell>
          <cell r="C782" t="str">
            <v>CTR</v>
          </cell>
          <cell r="D782" t="str">
            <v>TELEINFRA CENTRE</v>
          </cell>
        </row>
        <row r="783">
          <cell r="A783" t="str">
            <v>SUD_245</v>
          </cell>
          <cell r="B783" t="str">
            <v>Mvoula</v>
          </cell>
          <cell r="C783" t="str">
            <v>SUD</v>
          </cell>
          <cell r="D783" t="str">
            <v>TELEINFRA CENTRE</v>
          </cell>
        </row>
        <row r="784">
          <cell r="A784" t="str">
            <v>SUD_237</v>
          </cell>
          <cell r="B784" t="str">
            <v>Mvoutessi-MTN</v>
          </cell>
          <cell r="C784" t="str">
            <v>SUD</v>
          </cell>
          <cell r="D784" t="str">
            <v>TELEINFRA CENTRE</v>
          </cell>
        </row>
        <row r="785">
          <cell r="A785" t="str">
            <v>NRD_157</v>
          </cell>
          <cell r="B785" t="str">
            <v>Nakong</v>
          </cell>
          <cell r="C785" t="str">
            <v>NRD</v>
          </cell>
          <cell r="D785" t="str">
            <v>TELEINFRA NORD</v>
          </cell>
        </row>
        <row r="786">
          <cell r="A786" t="str">
            <v>CTR_033</v>
          </cell>
          <cell r="B786" t="str">
            <v>Nanga-Eboko</v>
          </cell>
          <cell r="C786" t="str">
            <v>CTR</v>
          </cell>
          <cell r="D786" t="str">
            <v>TELEINFRA CENTRE</v>
          </cell>
        </row>
        <row r="787">
          <cell r="A787" t="str">
            <v>CTR_181</v>
          </cell>
          <cell r="B787" t="str">
            <v>Nanga-Eboko-CRTV</v>
          </cell>
          <cell r="C787" t="str">
            <v>CTR</v>
          </cell>
          <cell r="D787" t="str">
            <v>TELEINFRA CENTRE</v>
          </cell>
        </row>
        <row r="788">
          <cell r="A788" t="str">
            <v>CTR_138</v>
          </cell>
          <cell r="B788" t="str">
            <v>Nanga-Eboko-IHS</v>
          </cell>
          <cell r="C788" t="str">
            <v>CTR</v>
          </cell>
          <cell r="D788" t="str">
            <v>TELEINFRA CENTRE</v>
          </cell>
        </row>
        <row r="789">
          <cell r="A789" t="str">
            <v>NRD_037</v>
          </cell>
          <cell r="B789" t="str">
            <v>Nassarao</v>
          </cell>
          <cell r="C789" t="str">
            <v>NRD</v>
          </cell>
          <cell r="D789" t="str">
            <v>TELEINFRA NORD</v>
          </cell>
        </row>
        <row r="790">
          <cell r="A790" t="str">
            <v>NRD_147</v>
          </cell>
          <cell r="B790" t="str">
            <v>Nassarao-II</v>
          </cell>
          <cell r="C790" t="str">
            <v>NRD</v>
          </cell>
          <cell r="D790" t="str">
            <v>TELEINFRA NORD</v>
          </cell>
        </row>
        <row r="791">
          <cell r="A791" t="str">
            <v>CTR_141</v>
          </cell>
          <cell r="B791" t="str">
            <v>Ndandouck-IHS</v>
          </cell>
          <cell r="C791" t="str">
            <v>CTR</v>
          </cell>
          <cell r="D791" t="str">
            <v>TELEINFRA CENTRE</v>
          </cell>
        </row>
        <row r="792">
          <cell r="A792" t="str">
            <v>EST_041</v>
          </cell>
          <cell r="B792" t="str">
            <v>Ndelele-MTN</v>
          </cell>
          <cell r="C792" t="str">
            <v>EST</v>
          </cell>
          <cell r="D792" t="str">
            <v>TELEINFRA CENTRE</v>
          </cell>
        </row>
        <row r="793">
          <cell r="A793" t="str">
            <v>EST_075</v>
          </cell>
          <cell r="B793" t="str">
            <v>Ndemba</v>
          </cell>
          <cell r="C793" t="str">
            <v>EST</v>
          </cell>
          <cell r="D793" t="str">
            <v>TELEINFRA CENTRE</v>
          </cell>
        </row>
        <row r="794">
          <cell r="A794" t="str">
            <v>NRD_154</v>
          </cell>
          <cell r="B794" t="str">
            <v>Ndiam-badji</v>
          </cell>
          <cell r="C794" t="str">
            <v>NRD</v>
          </cell>
          <cell r="D794" t="str">
            <v>TELEINFRA NORD</v>
          </cell>
        </row>
        <row r="795">
          <cell r="A795" t="str">
            <v>CTR_008</v>
          </cell>
          <cell r="B795" t="str">
            <v>Ndisamba</v>
          </cell>
          <cell r="C795" t="str">
            <v>CTR</v>
          </cell>
          <cell r="D795" t="str">
            <v>TELEINFRA CENTRE</v>
          </cell>
        </row>
        <row r="796">
          <cell r="A796" t="str">
            <v>CTR_363</v>
          </cell>
          <cell r="B796" t="str">
            <v>Ndjore-Luxe-MTN</v>
          </cell>
          <cell r="C796" t="str">
            <v>CTR</v>
          </cell>
          <cell r="D796" t="str">
            <v>TELEINFRA CENTRE</v>
          </cell>
        </row>
        <row r="797">
          <cell r="A797" t="str">
            <v>LIT_499</v>
          </cell>
          <cell r="B797" t="str">
            <v>Ndogbessol-IHS</v>
          </cell>
          <cell r="C797" t="str">
            <v>LIT</v>
          </cell>
          <cell r="D797" t="str">
            <v>TELEINFRA CENTRE</v>
          </cell>
        </row>
        <row r="798">
          <cell r="A798" t="str">
            <v>EST_054</v>
          </cell>
          <cell r="B798" t="str">
            <v>Ndokayo</v>
          </cell>
          <cell r="C798" t="str">
            <v>EST</v>
          </cell>
          <cell r="D798" t="str">
            <v>TELEINFRA CENTRE</v>
          </cell>
        </row>
        <row r="799">
          <cell r="A799" t="str">
            <v>CTR_757</v>
          </cell>
          <cell r="B799" t="str">
            <v>Ndokoa-IHS</v>
          </cell>
          <cell r="C799" t="str">
            <v>CTR</v>
          </cell>
          <cell r="D799" t="str">
            <v>TELEINFRA CENTRE</v>
          </cell>
        </row>
        <row r="800">
          <cell r="A800" t="str">
            <v>SUD_062</v>
          </cell>
          <cell r="B800" t="str">
            <v>Ndonkol-MTN-IHS</v>
          </cell>
          <cell r="C800" t="str">
            <v>SUD</v>
          </cell>
          <cell r="D800" t="str">
            <v>TELEINFRA CENTRE</v>
          </cell>
        </row>
        <row r="801">
          <cell r="A801" t="str">
            <v>EXN_073</v>
          </cell>
          <cell r="B801" t="str">
            <v>Ndoukoula</v>
          </cell>
          <cell r="C801" t="str">
            <v>EXN</v>
          </cell>
          <cell r="D801" t="str">
            <v>TELEINFRA NORD</v>
          </cell>
        </row>
        <row r="802">
          <cell r="A802" t="str">
            <v>CTR_425</v>
          </cell>
          <cell r="B802" t="str">
            <v>New-Marche-Melen</v>
          </cell>
          <cell r="C802" t="str">
            <v>CTR</v>
          </cell>
          <cell r="D802" t="str">
            <v>TELEINFRA CENTRE</v>
          </cell>
        </row>
        <row r="803">
          <cell r="A803" t="str">
            <v>NRD_117</v>
          </cell>
          <cell r="B803" t="str">
            <v>Ngalbidje-MTN-IHS</v>
          </cell>
          <cell r="C803" t="str">
            <v>NRD</v>
          </cell>
          <cell r="D803" t="str">
            <v>TELEINFRA NORD</v>
          </cell>
        </row>
        <row r="804">
          <cell r="A804" t="str">
            <v>ADM_023</v>
          </cell>
          <cell r="B804" t="str">
            <v>Ngam</v>
          </cell>
          <cell r="C804" t="str">
            <v>ADM</v>
          </cell>
          <cell r="D804" t="str">
            <v>TELEINFRA NORD</v>
          </cell>
        </row>
        <row r="805">
          <cell r="A805" t="str">
            <v>ADM_137</v>
          </cell>
          <cell r="B805" t="str">
            <v>Nganha-IHS</v>
          </cell>
          <cell r="C805" t="str">
            <v>ADM</v>
          </cell>
          <cell r="D805" t="str">
            <v>TELEINFRA NORD</v>
          </cell>
        </row>
        <row r="806">
          <cell r="A806" t="str">
            <v>ADM_037</v>
          </cell>
          <cell r="B806" t="str">
            <v>Ngaoui</v>
          </cell>
          <cell r="C806" t="str">
            <v>ADM</v>
          </cell>
          <cell r="D806" t="str">
            <v>TELEINFRA NORD</v>
          </cell>
        </row>
        <row r="807">
          <cell r="A807" t="str">
            <v>ADM_801</v>
          </cell>
          <cell r="B807" t="str">
            <v>Ngaoundal Camrail</v>
          </cell>
          <cell r="C807" t="str">
            <v>ADM</v>
          </cell>
          <cell r="D807" t="str">
            <v>TELEINFRA NORD</v>
          </cell>
        </row>
        <row r="808">
          <cell r="A808" t="str">
            <v>ADM_010</v>
          </cell>
          <cell r="B808" t="str">
            <v>Ngaoundal PDH</v>
          </cell>
          <cell r="C808" t="str">
            <v>ADM</v>
          </cell>
          <cell r="D808" t="str">
            <v>TELEINFRA NORD</v>
          </cell>
        </row>
        <row r="809">
          <cell r="A809" t="str">
            <v>ADM_119</v>
          </cell>
          <cell r="B809" t="str">
            <v>Ngaoundal3-IHS</v>
          </cell>
          <cell r="C809" t="str">
            <v>ADM</v>
          </cell>
          <cell r="D809" t="str">
            <v>TELEINFRA NORD</v>
          </cell>
        </row>
        <row r="810">
          <cell r="A810" t="str">
            <v>ADM_120</v>
          </cell>
          <cell r="B810" t="str">
            <v>Ngaoundere-Cifan-MTN-IHS</v>
          </cell>
          <cell r="C810" t="str">
            <v>ADM</v>
          </cell>
          <cell r="D810" t="str">
            <v>TELEINFRA NORD</v>
          </cell>
        </row>
        <row r="811">
          <cell r="A811" t="str">
            <v>ADM_076</v>
          </cell>
          <cell r="B811" t="str">
            <v>Ngaoundere-University-IHS</v>
          </cell>
          <cell r="C811" t="str">
            <v>ADM</v>
          </cell>
          <cell r="D811" t="str">
            <v>TELEINFRA NORD</v>
          </cell>
        </row>
        <row r="812">
          <cell r="A812" t="str">
            <v>ADM_081</v>
          </cell>
          <cell r="B812" t="str">
            <v>Ngaouyanga-IHS</v>
          </cell>
          <cell r="C812" t="str">
            <v>ADM</v>
          </cell>
          <cell r="D812" t="str">
            <v>TELEINFRA NORD</v>
          </cell>
        </row>
        <row r="813">
          <cell r="A813" t="str">
            <v>ADM_026</v>
          </cell>
          <cell r="B813" t="str">
            <v>Ngd-Agence</v>
          </cell>
          <cell r="C813" t="str">
            <v>ADM</v>
          </cell>
          <cell r="D813" t="str">
            <v>TELEINFRA NORD</v>
          </cell>
        </row>
        <row r="814">
          <cell r="A814" t="str">
            <v>ADM_115</v>
          </cell>
          <cell r="B814" t="str">
            <v>Ngd-Aoudi-IHS</v>
          </cell>
          <cell r="C814" t="str">
            <v>ADM</v>
          </cell>
          <cell r="D814" t="str">
            <v>TELEINFRA NORD</v>
          </cell>
        </row>
        <row r="815">
          <cell r="A815" t="str">
            <v>ADM_035</v>
          </cell>
          <cell r="B815" t="str">
            <v>Ngd-Baladji</v>
          </cell>
          <cell r="C815" t="str">
            <v>ADM</v>
          </cell>
          <cell r="D815" t="str">
            <v>TELEINFRA NORD</v>
          </cell>
        </row>
        <row r="816">
          <cell r="A816" t="str">
            <v>ADM_158</v>
          </cell>
          <cell r="B816" t="str">
            <v>Ngd-Baladji-II-IHS</v>
          </cell>
          <cell r="C816" t="str">
            <v>ADM</v>
          </cell>
          <cell r="D816" t="str">
            <v>TELEINFRA NORD</v>
          </cell>
        </row>
        <row r="817">
          <cell r="A817" t="str">
            <v>ADM_165</v>
          </cell>
          <cell r="B817" t="str">
            <v>Ngd-Balam</v>
          </cell>
          <cell r="C817" t="str">
            <v>ADM</v>
          </cell>
          <cell r="D817" t="str">
            <v>TELEINFRA NORD</v>
          </cell>
        </row>
        <row r="818">
          <cell r="A818" t="str">
            <v>ADM_136</v>
          </cell>
          <cell r="B818" t="str">
            <v>Ngd-Bamyanga2-IHS</v>
          </cell>
          <cell r="C818" t="str">
            <v>ADM</v>
          </cell>
          <cell r="D818" t="str">
            <v>TELEINFRA NORD</v>
          </cell>
        </row>
        <row r="819">
          <cell r="A819" t="str">
            <v>ADM_164</v>
          </cell>
          <cell r="B819" t="str">
            <v>Ngd-Bamyanga-Hossere-MTN</v>
          </cell>
          <cell r="C819" t="str">
            <v>ADM</v>
          </cell>
          <cell r="D819" t="str">
            <v>TELEINFRA NORD</v>
          </cell>
        </row>
        <row r="820">
          <cell r="A820" t="str">
            <v>ADM_085</v>
          </cell>
          <cell r="B820" t="str">
            <v>Ngd-Bamyangal-II-IHS</v>
          </cell>
          <cell r="C820" t="str">
            <v>ADM</v>
          </cell>
          <cell r="D820" t="str">
            <v>TELEINFRA NORD</v>
          </cell>
        </row>
        <row r="821">
          <cell r="A821" t="str">
            <v>ADM_131</v>
          </cell>
          <cell r="B821" t="str">
            <v>Ngd-Bamyangal-New</v>
          </cell>
          <cell r="C821" t="str">
            <v>ADM</v>
          </cell>
          <cell r="D821" t="str">
            <v>TELEINFRA NORD</v>
          </cell>
        </row>
        <row r="822">
          <cell r="A822" t="str">
            <v>ADM_151</v>
          </cell>
          <cell r="B822" t="str">
            <v>Ngd-Bamyangal-rural</v>
          </cell>
          <cell r="C822" t="str">
            <v>ADM</v>
          </cell>
          <cell r="D822" t="str">
            <v>TELEINFRA NORD</v>
          </cell>
        </row>
        <row r="823">
          <cell r="A823" t="str">
            <v>ADM_069</v>
          </cell>
          <cell r="B823" t="str">
            <v>Ngd-Bini</v>
          </cell>
          <cell r="C823" t="str">
            <v>ADM</v>
          </cell>
          <cell r="D823" t="str">
            <v>TELEINFRA NORD</v>
          </cell>
        </row>
        <row r="824">
          <cell r="A824" t="str">
            <v>ADM_036</v>
          </cell>
          <cell r="B824" t="str">
            <v>Ngd-Burkina</v>
          </cell>
          <cell r="C824" t="str">
            <v>ADM</v>
          </cell>
          <cell r="D824" t="str">
            <v>TELEINFRA NORD</v>
          </cell>
        </row>
        <row r="825">
          <cell r="A825" t="str">
            <v>ADM_101</v>
          </cell>
          <cell r="B825" t="str">
            <v>Ngd-Burkina-II-IHS</v>
          </cell>
          <cell r="C825" t="str">
            <v>ADM</v>
          </cell>
          <cell r="D825" t="str">
            <v>TELEINFRA NORD</v>
          </cell>
        </row>
        <row r="826">
          <cell r="A826" t="str">
            <v>ADM_147</v>
          </cell>
          <cell r="B826" t="str">
            <v>Ngd-burkina-rural</v>
          </cell>
          <cell r="C826" t="str">
            <v>ADM</v>
          </cell>
          <cell r="D826" t="str">
            <v>TELEINFRA NORD</v>
          </cell>
        </row>
        <row r="827">
          <cell r="A827" t="str">
            <v>ADM_001</v>
          </cell>
          <cell r="B827" t="str">
            <v>Ngd-Chateau</v>
          </cell>
          <cell r="C827" t="str">
            <v>ADM</v>
          </cell>
          <cell r="D827" t="str">
            <v>TELEINFRA NORD</v>
          </cell>
        </row>
        <row r="828">
          <cell r="A828" t="str">
            <v>ADM_071</v>
          </cell>
          <cell r="B828" t="str">
            <v>Ngd-Crf-Texaco</v>
          </cell>
          <cell r="C828" t="str">
            <v>ADM</v>
          </cell>
          <cell r="D828" t="str">
            <v>TELEINFRA NORD</v>
          </cell>
        </row>
        <row r="829">
          <cell r="A829" t="str">
            <v>ADM_007</v>
          </cell>
          <cell r="B829" t="str">
            <v>Ngd-CRTV</v>
          </cell>
          <cell r="C829" t="str">
            <v>ADM</v>
          </cell>
          <cell r="D829" t="str">
            <v>TELEINFRA NORD</v>
          </cell>
        </row>
        <row r="830">
          <cell r="A830" t="str">
            <v>ADM_017</v>
          </cell>
          <cell r="B830" t="str">
            <v>Ngd-Dang</v>
          </cell>
          <cell r="C830" t="str">
            <v>ADM</v>
          </cell>
          <cell r="D830" t="str">
            <v>TELEINFRA NORD</v>
          </cell>
        </row>
        <row r="831">
          <cell r="A831" t="str">
            <v>ADM_083</v>
          </cell>
          <cell r="B831" t="str">
            <v>Ngd-Dang-MTN-IHS</v>
          </cell>
          <cell r="C831" t="str">
            <v>ADM</v>
          </cell>
          <cell r="D831" t="str">
            <v>TELEINFRA NORD</v>
          </cell>
        </row>
        <row r="832">
          <cell r="A832" t="str">
            <v>ADM_077</v>
          </cell>
          <cell r="B832" t="str">
            <v>Ngd-EPC-IHS</v>
          </cell>
          <cell r="C832" t="str">
            <v>ADM</v>
          </cell>
          <cell r="D832" t="str">
            <v>TELEINFRA NORD</v>
          </cell>
        </row>
        <row r="833">
          <cell r="A833" t="str">
            <v>ADM_087</v>
          </cell>
          <cell r="B833" t="str">
            <v>Ngd-Gadamadanga</v>
          </cell>
          <cell r="C833" t="str">
            <v>ADM</v>
          </cell>
          <cell r="D833" t="str">
            <v>TELEINFRA NORD</v>
          </cell>
        </row>
        <row r="834">
          <cell r="A834" t="str">
            <v>ADM_002</v>
          </cell>
          <cell r="B834" t="str">
            <v>Ngd-La-Gare</v>
          </cell>
          <cell r="C834" t="str">
            <v>ADM</v>
          </cell>
          <cell r="D834" t="str">
            <v>TELEINFRA NORD</v>
          </cell>
        </row>
        <row r="835">
          <cell r="A835" t="str">
            <v>ADM_072</v>
          </cell>
          <cell r="B835" t="str">
            <v>Ngd-Lamidat-IHS</v>
          </cell>
          <cell r="C835" t="str">
            <v>ADM</v>
          </cell>
          <cell r="D835" t="str">
            <v>TELEINFRA NORD</v>
          </cell>
        </row>
        <row r="836">
          <cell r="A836" t="str">
            <v>ADM_135</v>
          </cell>
          <cell r="B836" t="str">
            <v>Ngd-Madagascar</v>
          </cell>
          <cell r="C836" t="str">
            <v>ADM</v>
          </cell>
          <cell r="D836" t="str">
            <v>TELEINFRA NORD</v>
          </cell>
        </row>
        <row r="837">
          <cell r="A837" t="str">
            <v>ADM_084</v>
          </cell>
          <cell r="B837" t="str">
            <v>Ngd-Madagascar-MTN-IHS</v>
          </cell>
          <cell r="C837" t="str">
            <v>ADM</v>
          </cell>
          <cell r="D837" t="str">
            <v>TELEINFRA NORD</v>
          </cell>
        </row>
        <row r="838">
          <cell r="A838" t="str">
            <v>ADM_167</v>
          </cell>
          <cell r="B838" t="str">
            <v>Ngd-Maraba-MTN</v>
          </cell>
          <cell r="C838" t="str">
            <v>ADM</v>
          </cell>
          <cell r="D838" t="str">
            <v>TELEINFRA NORD</v>
          </cell>
        </row>
        <row r="839">
          <cell r="A839" t="str">
            <v>ADM_166</v>
          </cell>
          <cell r="B839" t="str">
            <v>Ngd-Mbiassoro</v>
          </cell>
          <cell r="C839" t="str">
            <v>ADM</v>
          </cell>
          <cell r="D839" t="str">
            <v>TELEINFRA NORD</v>
          </cell>
        </row>
        <row r="840">
          <cell r="A840" t="str">
            <v>ADM_157</v>
          </cell>
          <cell r="B840" t="str">
            <v>Ngd-Mbideng-IHS</v>
          </cell>
          <cell r="C840" t="str">
            <v>ADM</v>
          </cell>
          <cell r="D840" t="str">
            <v>TELEINFRA NORD</v>
          </cell>
        </row>
        <row r="841">
          <cell r="A841" t="str">
            <v>ADM_034</v>
          </cell>
          <cell r="B841" t="str">
            <v>Ngd-Projet-Laitier</v>
          </cell>
          <cell r="C841" t="str">
            <v>ADM</v>
          </cell>
          <cell r="D841" t="str">
            <v>TELEINFRA NORD</v>
          </cell>
        </row>
        <row r="842">
          <cell r="A842" t="str">
            <v>ADM_048</v>
          </cell>
          <cell r="B842" t="str">
            <v>Ngd-Q-Haoussa</v>
          </cell>
          <cell r="C842" t="str">
            <v>ADM</v>
          </cell>
          <cell r="D842" t="str">
            <v>TELEINFRA NORD</v>
          </cell>
        </row>
        <row r="843">
          <cell r="A843" t="str">
            <v>ADM_155</v>
          </cell>
          <cell r="B843" t="str">
            <v>Ngd-Sabonbari-America-IHS</v>
          </cell>
          <cell r="C843" t="str">
            <v>ADM</v>
          </cell>
          <cell r="D843" t="str">
            <v>TELEINFRA NORD</v>
          </cell>
        </row>
        <row r="844">
          <cell r="A844" t="str">
            <v>ADM_057</v>
          </cell>
          <cell r="B844" t="str">
            <v>Ngd-Stade</v>
          </cell>
          <cell r="C844" t="str">
            <v>ADM</v>
          </cell>
          <cell r="D844" t="str">
            <v>TELEINFRA NORD</v>
          </cell>
        </row>
        <row r="845">
          <cell r="A845" t="str">
            <v>ADM_058</v>
          </cell>
          <cell r="B845" t="str">
            <v>Ngd-Trouamala</v>
          </cell>
          <cell r="C845" t="str">
            <v>ADM</v>
          </cell>
          <cell r="D845" t="str">
            <v>TELEINFRA NORD</v>
          </cell>
        </row>
        <row r="846">
          <cell r="A846" t="str">
            <v>ADM_074</v>
          </cell>
          <cell r="B846" t="str">
            <v>Ngd-Troua-Mala-II</v>
          </cell>
          <cell r="C846" t="str">
            <v>ADM</v>
          </cell>
          <cell r="D846" t="str">
            <v>TELEINFRA NORD</v>
          </cell>
        </row>
        <row r="847">
          <cell r="A847" t="str">
            <v>ADM_003</v>
          </cell>
          <cell r="B847" t="str">
            <v>Ngd-Universite</v>
          </cell>
          <cell r="C847" t="str">
            <v>ADM</v>
          </cell>
          <cell r="D847" t="str">
            <v>TELEINFRA NORD</v>
          </cell>
        </row>
        <row r="848">
          <cell r="A848" t="str">
            <v>ADM_127</v>
          </cell>
          <cell r="B848" t="str">
            <v>Ngd-University-II-IHS</v>
          </cell>
          <cell r="C848" t="str">
            <v>ADM</v>
          </cell>
          <cell r="D848" t="str">
            <v>TELEINFRA NORD</v>
          </cell>
        </row>
        <row r="849">
          <cell r="A849" t="str">
            <v>ADM_018</v>
          </cell>
          <cell r="B849" t="str">
            <v>Ngd-Ville</v>
          </cell>
          <cell r="C849" t="str">
            <v>ADM</v>
          </cell>
          <cell r="D849" t="str">
            <v>TELEINFRA NORD</v>
          </cell>
        </row>
        <row r="850">
          <cell r="A850" t="str">
            <v>ADM_073</v>
          </cell>
          <cell r="B850" t="str">
            <v>Ngd-Yarban</v>
          </cell>
          <cell r="C850" t="str">
            <v>ADM</v>
          </cell>
          <cell r="D850" t="str">
            <v>TELEINFRA NORD</v>
          </cell>
        </row>
        <row r="851">
          <cell r="A851" t="str">
            <v>ADM_033</v>
          </cell>
          <cell r="B851" t="str">
            <v>Ngd-ZI</v>
          </cell>
          <cell r="C851" t="str">
            <v>ADM</v>
          </cell>
          <cell r="D851" t="str">
            <v>TELEINFRA NORD</v>
          </cell>
        </row>
        <row r="852">
          <cell r="A852" t="str">
            <v>CTR_194</v>
          </cell>
          <cell r="B852" t="str">
            <v>Ngoa-Ekelle-New</v>
          </cell>
          <cell r="C852" t="str">
            <v>CTR</v>
          </cell>
          <cell r="D852" t="str">
            <v>TELEINFRA CENTRE</v>
          </cell>
        </row>
        <row r="853">
          <cell r="A853" t="str">
            <v>CTR_546</v>
          </cell>
          <cell r="B853" t="str">
            <v>Ngog-Mapubi-New</v>
          </cell>
          <cell r="C853" t="str">
            <v>CTR</v>
          </cell>
          <cell r="D853" t="str">
            <v>TELEINFRA CENTRE</v>
          </cell>
        </row>
        <row r="854">
          <cell r="A854" t="str">
            <v>EST_043</v>
          </cell>
          <cell r="B854" t="str">
            <v>Ngola-MTN</v>
          </cell>
          <cell r="C854" t="str">
            <v>EST</v>
          </cell>
          <cell r="D854" t="str">
            <v>TELEINFRA CENTRE</v>
          </cell>
        </row>
        <row r="855">
          <cell r="A855" t="str">
            <v>CTR_188</v>
          </cell>
          <cell r="B855" t="str">
            <v>Ngomedzap</v>
          </cell>
          <cell r="C855" t="str">
            <v>CTR</v>
          </cell>
          <cell r="D855" t="str">
            <v>TELEINFRA CENTRE</v>
          </cell>
        </row>
        <row r="856">
          <cell r="A856" t="str">
            <v>CTR_532</v>
          </cell>
          <cell r="B856" t="str">
            <v>Ngomedzap-MTN</v>
          </cell>
          <cell r="C856" t="str">
            <v>CTR</v>
          </cell>
          <cell r="D856" t="str">
            <v>TELEINFRA CENTRE</v>
          </cell>
        </row>
        <row r="857">
          <cell r="A857" t="str">
            <v>CTR_590</v>
          </cell>
          <cell r="B857" t="str">
            <v>Ngona</v>
          </cell>
          <cell r="C857" t="str">
            <v>CTR</v>
          </cell>
          <cell r="D857" t="str">
            <v>TELEINFRA CENTRE</v>
          </cell>
        </row>
        <row r="858">
          <cell r="A858" t="str">
            <v>CTR_709</v>
          </cell>
          <cell r="B858" t="str">
            <v>Ngona-II</v>
          </cell>
          <cell r="C858" t="str">
            <v>CTR</v>
          </cell>
          <cell r="D858" t="str">
            <v>TELEINFRA CENTRE</v>
          </cell>
        </row>
        <row r="859">
          <cell r="A859" t="str">
            <v>NRD_032</v>
          </cell>
          <cell r="B859" t="str">
            <v>Ngong-II</v>
          </cell>
          <cell r="C859" t="str">
            <v>NRD</v>
          </cell>
          <cell r="D859" t="str">
            <v>TELEINFRA NORD</v>
          </cell>
        </row>
        <row r="860">
          <cell r="A860" t="str">
            <v>NRD_132</v>
          </cell>
          <cell r="B860" t="str">
            <v>Ngong-Marche</v>
          </cell>
          <cell r="C860" t="str">
            <v>NRD</v>
          </cell>
          <cell r="D860" t="str">
            <v>TELEINFRA NORD</v>
          </cell>
        </row>
        <row r="861">
          <cell r="A861" t="str">
            <v>NRD_088</v>
          </cell>
          <cell r="B861" t="str">
            <v>Ngong-Town-IHS</v>
          </cell>
          <cell r="C861" t="str">
            <v>NRD</v>
          </cell>
          <cell r="D861" t="str">
            <v>TELEINFRA NORD</v>
          </cell>
        </row>
        <row r="862">
          <cell r="A862" t="str">
            <v>EST_067</v>
          </cell>
          <cell r="B862" t="str">
            <v>Ngoulemakong-MTN</v>
          </cell>
          <cell r="C862" t="str">
            <v>EST</v>
          </cell>
          <cell r="D862" t="str">
            <v>TELEINFRA CENTRE</v>
          </cell>
        </row>
        <row r="863">
          <cell r="A863" t="str">
            <v>CTR_379</v>
          </cell>
          <cell r="B863" t="str">
            <v>Ngoulmekong-Nord</v>
          </cell>
          <cell r="C863" t="str">
            <v>CTR</v>
          </cell>
          <cell r="D863" t="str">
            <v>TELEINFRA CENTRE</v>
          </cell>
        </row>
        <row r="864">
          <cell r="A864" t="str">
            <v>CTR_098</v>
          </cell>
          <cell r="B864" t="str">
            <v>Ngoumou-Camrail</v>
          </cell>
          <cell r="C864" t="str">
            <v>CTR</v>
          </cell>
          <cell r="D864" t="str">
            <v>TELEINFRA CENTRE</v>
          </cell>
        </row>
        <row r="865">
          <cell r="A865" t="str">
            <v>CTR_577</v>
          </cell>
          <cell r="B865" t="str">
            <v>Ngoumou-I</v>
          </cell>
          <cell r="C865" t="str">
            <v>CTR</v>
          </cell>
          <cell r="D865" t="str">
            <v>TELEINFRA CENTRE</v>
          </cell>
        </row>
        <row r="866">
          <cell r="A866" t="str">
            <v>CTR_115</v>
          </cell>
          <cell r="B866" t="str">
            <v>Ngoung</v>
          </cell>
          <cell r="C866" t="str">
            <v>CTR</v>
          </cell>
          <cell r="D866" t="str">
            <v>TELEINFRA CENTRE</v>
          </cell>
        </row>
        <row r="867">
          <cell r="A867" t="str">
            <v>EST_021</v>
          </cell>
          <cell r="B867" t="str">
            <v>Ngoura-IHS</v>
          </cell>
          <cell r="C867" t="str">
            <v>EST</v>
          </cell>
          <cell r="D867" t="str">
            <v>TELEINFRA CENTRE</v>
          </cell>
        </row>
        <row r="868">
          <cell r="A868" t="str">
            <v>CTR_130</v>
          </cell>
          <cell r="B868" t="str">
            <v>Ngousso-IHS</v>
          </cell>
          <cell r="C868" t="str">
            <v>CTR</v>
          </cell>
          <cell r="D868" t="str">
            <v>TELEINFRA CENTRE</v>
          </cell>
        </row>
        <row r="869">
          <cell r="A869" t="str">
            <v>CTR_342</v>
          </cell>
          <cell r="B869" t="str">
            <v>Ngousso-II</v>
          </cell>
          <cell r="C869" t="str">
            <v>CTR</v>
          </cell>
          <cell r="D869" t="str">
            <v>TELEINFRA CENTRE</v>
          </cell>
        </row>
        <row r="870">
          <cell r="A870" t="str">
            <v>CTR_567</v>
          </cell>
          <cell r="B870" t="str">
            <v>Ngousso-Maetur</v>
          </cell>
          <cell r="C870" t="str">
            <v>CTR</v>
          </cell>
          <cell r="D870" t="str">
            <v>TELEINFRA CENTRE</v>
          </cell>
        </row>
        <row r="871">
          <cell r="A871" t="str">
            <v>CTR_272</v>
          </cell>
          <cell r="B871" t="str">
            <v>Ngousso-Savana</v>
          </cell>
          <cell r="C871" t="str">
            <v>CTR</v>
          </cell>
          <cell r="D871" t="str">
            <v>TELEINFRA CENTRE</v>
          </cell>
        </row>
        <row r="872">
          <cell r="A872" t="str">
            <v>EST_024</v>
          </cell>
          <cell r="B872" t="str">
            <v>Nguelemendouka-FH</v>
          </cell>
          <cell r="C872" t="str">
            <v>EST</v>
          </cell>
          <cell r="D872" t="str">
            <v>TELEINFRA CENTRE</v>
          </cell>
        </row>
        <row r="873">
          <cell r="A873" t="str">
            <v>EST_077</v>
          </cell>
          <cell r="B873" t="str">
            <v>Nguem-MTN</v>
          </cell>
          <cell r="C873" t="str">
            <v>EST</v>
          </cell>
          <cell r="D873" t="str">
            <v>TELEINFRA CENTRE</v>
          </cell>
        </row>
        <row r="874">
          <cell r="A874" t="str">
            <v>CTR_858</v>
          </cell>
          <cell r="B874" t="str">
            <v>NGUIBASSAL</v>
          </cell>
          <cell r="C874" t="str">
            <v>CTR</v>
          </cell>
          <cell r="D874" t="str">
            <v>TELEINFRA CENTRE</v>
          </cell>
        </row>
        <row r="875">
          <cell r="A875" t="str">
            <v>CTR_353</v>
          </cell>
          <cell r="B875" t="str">
            <v>Nguinda</v>
          </cell>
          <cell r="C875" t="str">
            <v>CTR</v>
          </cell>
          <cell r="D875" t="str">
            <v>TELEINFRA CENTRE</v>
          </cell>
        </row>
        <row r="876">
          <cell r="A876" t="str">
            <v>CTR_848</v>
          </cell>
          <cell r="B876" t="str">
            <v>Niki-Accacia-IHS</v>
          </cell>
          <cell r="C876" t="str">
            <v>CTR</v>
          </cell>
          <cell r="D876" t="str">
            <v>TELEINFRA CENTRE</v>
          </cell>
        </row>
        <row r="877">
          <cell r="A877" t="str">
            <v>CTR_139</v>
          </cell>
          <cell r="B877" t="str">
            <v>Nji-Camtel</v>
          </cell>
          <cell r="C877" t="str">
            <v>CTR</v>
          </cell>
          <cell r="D877" t="str">
            <v>TELEINFRA CENTRE</v>
          </cell>
        </row>
        <row r="878">
          <cell r="A878" t="str">
            <v>CTR_060</v>
          </cell>
          <cell r="B878" t="str">
            <v>Nkenglikok</v>
          </cell>
          <cell r="C878" t="str">
            <v>CTR</v>
          </cell>
          <cell r="D878" t="str">
            <v>TELEINFRA CENTRE</v>
          </cell>
        </row>
        <row r="879">
          <cell r="A879" t="str">
            <v>LIT_658</v>
          </cell>
          <cell r="B879" t="str">
            <v>Nkeng-Likok-II</v>
          </cell>
          <cell r="C879" t="str">
            <v>LIT</v>
          </cell>
          <cell r="D879" t="str">
            <v>TELEINFRA CENTRE</v>
          </cell>
        </row>
        <row r="880">
          <cell r="A880" t="str">
            <v>CTR_661</v>
          </cell>
          <cell r="B880" t="str">
            <v>Nkoa-Ayos-IHS</v>
          </cell>
          <cell r="C880" t="str">
            <v>CTR</v>
          </cell>
          <cell r="D880" t="str">
            <v>TELEINFRA CENTRE</v>
          </cell>
        </row>
        <row r="881">
          <cell r="A881" t="str">
            <v>CTR_084</v>
          </cell>
          <cell r="B881" t="str">
            <v>Nkoabang</v>
          </cell>
          <cell r="C881" t="str">
            <v>CTR</v>
          </cell>
          <cell r="D881" t="str">
            <v>TELEINFRA CENTRE</v>
          </cell>
        </row>
        <row r="882">
          <cell r="A882" t="str">
            <v>CTR_458</v>
          </cell>
          <cell r="B882" t="str">
            <v>Nkoabang-II-IHS</v>
          </cell>
          <cell r="C882" t="str">
            <v>CTR</v>
          </cell>
          <cell r="D882" t="str">
            <v>TELEINFRA CENTRE</v>
          </cell>
        </row>
        <row r="883">
          <cell r="A883" t="str">
            <v>CTR_708</v>
          </cell>
          <cell r="B883" t="str">
            <v>Nkoabang-Nord</v>
          </cell>
          <cell r="C883" t="str">
            <v>CTR</v>
          </cell>
          <cell r="D883" t="str">
            <v>TELEINFRA CENTRE</v>
          </cell>
        </row>
        <row r="884">
          <cell r="A884" t="str">
            <v>CTR_698</v>
          </cell>
          <cell r="B884" t="str">
            <v>Nkoabang-South-MTN</v>
          </cell>
          <cell r="C884" t="str">
            <v>CTR</v>
          </cell>
          <cell r="D884" t="str">
            <v>TELEINFRA CENTRE</v>
          </cell>
        </row>
        <row r="885">
          <cell r="A885" t="str">
            <v>CTR_780</v>
          </cell>
          <cell r="B885" t="str">
            <v>Nkolafamba</v>
          </cell>
          <cell r="C885" t="str">
            <v>CTR</v>
          </cell>
          <cell r="D885" t="str">
            <v>TELEINFRA CENTRE</v>
          </cell>
        </row>
        <row r="886">
          <cell r="A886" t="str">
            <v>CTR_246</v>
          </cell>
          <cell r="B886" t="str">
            <v>Nkolafeme</v>
          </cell>
          <cell r="C886" t="str">
            <v>CTR</v>
          </cell>
          <cell r="D886" t="str">
            <v>TELEINFRA CENTRE</v>
          </cell>
        </row>
        <row r="887">
          <cell r="A887" t="str">
            <v>CTR_670</v>
          </cell>
          <cell r="B887" t="str">
            <v>Nkolagaa-II</v>
          </cell>
          <cell r="C887" t="str">
            <v>CTR</v>
          </cell>
          <cell r="D887" t="str">
            <v>TELEINFRA CENTRE</v>
          </cell>
        </row>
        <row r="888">
          <cell r="A888" t="str">
            <v>CTR_247</v>
          </cell>
          <cell r="B888" t="str">
            <v>Nkolangaa</v>
          </cell>
          <cell r="C888" t="str">
            <v>CTR</v>
          </cell>
          <cell r="D888" t="str">
            <v>TELEINFRA CENTRE</v>
          </cell>
        </row>
        <row r="889">
          <cell r="A889" t="str">
            <v>CTR_440</v>
          </cell>
          <cell r="B889" t="str">
            <v>Nkolbewae-IHS</v>
          </cell>
          <cell r="C889" t="str">
            <v>CTR</v>
          </cell>
          <cell r="D889" t="str">
            <v>TELEINFRA CENTRE</v>
          </cell>
        </row>
        <row r="890">
          <cell r="A890" t="str">
            <v>CTR_333</v>
          </cell>
          <cell r="B890" t="str">
            <v>Nkolbi-Boss</v>
          </cell>
          <cell r="C890" t="str">
            <v>CTR</v>
          </cell>
          <cell r="D890" t="str">
            <v>TELEINFRA CENTRE</v>
          </cell>
        </row>
        <row r="891">
          <cell r="A891" t="str">
            <v>CTR_065</v>
          </cell>
          <cell r="B891" t="str">
            <v>Nkolbisson</v>
          </cell>
          <cell r="C891" t="str">
            <v>CTR</v>
          </cell>
          <cell r="D891" t="str">
            <v>TELEINFRA CENTRE</v>
          </cell>
        </row>
        <row r="892">
          <cell r="A892" t="str">
            <v>CTR_657</v>
          </cell>
          <cell r="B892" t="str">
            <v>Nkolbisson-Ayene-Bar</v>
          </cell>
          <cell r="C892" t="str">
            <v>CTR</v>
          </cell>
          <cell r="D892" t="str">
            <v>TELEINFRA CENTRE</v>
          </cell>
        </row>
        <row r="893">
          <cell r="A893" t="str">
            <v>CTR_761</v>
          </cell>
          <cell r="B893" t="str">
            <v>Nkolbisson-II</v>
          </cell>
          <cell r="C893" t="str">
            <v>CTR</v>
          </cell>
          <cell r="D893" t="str">
            <v>TELEINFRA CENTRE</v>
          </cell>
        </row>
        <row r="894">
          <cell r="A894" t="str">
            <v>CTR_576</v>
          </cell>
          <cell r="B894" t="str">
            <v>Nkolbisson-Nodal</v>
          </cell>
          <cell r="C894" t="str">
            <v>CTR</v>
          </cell>
          <cell r="D894" t="str">
            <v>TELEINFRA CENTRE</v>
          </cell>
        </row>
        <row r="895">
          <cell r="A895" t="str">
            <v>CTR_522</v>
          </cell>
          <cell r="B895" t="str">
            <v>Nkolbisson-Usne-Ds-Eaux-IHS</v>
          </cell>
          <cell r="C895" t="str">
            <v>CTR</v>
          </cell>
          <cell r="D895" t="str">
            <v>TELEINFRA CENTRE</v>
          </cell>
        </row>
        <row r="896">
          <cell r="A896" t="str">
            <v>CTR_271</v>
          </cell>
          <cell r="B896" t="str">
            <v>Nkolbong</v>
          </cell>
          <cell r="C896" t="str">
            <v>CTR</v>
          </cell>
          <cell r="D896" t="str">
            <v>TELEINFRA CENTRE</v>
          </cell>
        </row>
        <row r="897">
          <cell r="A897" t="str">
            <v>CTR_658</v>
          </cell>
          <cell r="B897" t="str">
            <v>Nkolbong-II</v>
          </cell>
          <cell r="C897" t="str">
            <v>CTR</v>
          </cell>
          <cell r="D897" t="str">
            <v>TELEINFRA CENTRE</v>
          </cell>
        </row>
        <row r="898">
          <cell r="A898" t="str">
            <v>CTR_215</v>
          </cell>
          <cell r="B898" t="str">
            <v>Nkolda</v>
          </cell>
          <cell r="C898" t="str">
            <v>CTR</v>
          </cell>
          <cell r="D898" t="str">
            <v>TELEINFRA CENTRE</v>
          </cell>
        </row>
        <row r="899">
          <cell r="A899" t="str">
            <v>CTR_776</v>
          </cell>
          <cell r="B899" t="str">
            <v>Nkolda-II</v>
          </cell>
          <cell r="C899" t="str">
            <v>CTR</v>
          </cell>
          <cell r="D899" t="str">
            <v>TELEINFRA CENTRE</v>
          </cell>
        </row>
        <row r="900">
          <cell r="A900" t="str">
            <v>CTR_214</v>
          </cell>
          <cell r="B900" t="str">
            <v>Nkolfoulou</v>
          </cell>
          <cell r="C900" t="str">
            <v>CTR</v>
          </cell>
          <cell r="D900" t="str">
            <v>TELEINFRA CENTRE</v>
          </cell>
        </row>
        <row r="901">
          <cell r="A901" t="str">
            <v>CTR_712</v>
          </cell>
          <cell r="B901" t="str">
            <v>Nkolfoulou-CSD</v>
          </cell>
          <cell r="C901" t="str">
            <v>CTR</v>
          </cell>
          <cell r="D901" t="str">
            <v>TELEINFRA CENTRE</v>
          </cell>
        </row>
        <row r="902">
          <cell r="A902" t="str">
            <v>CTR_837</v>
          </cell>
          <cell r="B902" t="str">
            <v>Nkolfoulou-ENIA-MTN</v>
          </cell>
          <cell r="C902" t="str">
            <v>CTR</v>
          </cell>
          <cell r="D902" t="str">
            <v>TELEINFRA CENTRE</v>
          </cell>
        </row>
        <row r="903">
          <cell r="A903" t="str">
            <v>CTR_671</v>
          </cell>
          <cell r="B903" t="str">
            <v>Nkolfoulou-I</v>
          </cell>
          <cell r="C903" t="str">
            <v>CTR</v>
          </cell>
          <cell r="D903" t="str">
            <v>TELEINFRA CENTRE</v>
          </cell>
        </row>
        <row r="904">
          <cell r="A904" t="str">
            <v>CTR_621</v>
          </cell>
          <cell r="B904" t="str">
            <v>Nkolfoulou-II-IHS</v>
          </cell>
          <cell r="C904" t="str">
            <v>CTR</v>
          </cell>
          <cell r="D904" t="str">
            <v>TELEINFRA CENTRE</v>
          </cell>
        </row>
        <row r="905">
          <cell r="A905" t="str">
            <v>CTR_262</v>
          </cell>
          <cell r="B905" t="str">
            <v>Nkol-Mbanda</v>
          </cell>
          <cell r="C905" t="str">
            <v>CTR</v>
          </cell>
          <cell r="D905" t="str">
            <v>TELEINFRA CENTRE</v>
          </cell>
        </row>
        <row r="906">
          <cell r="A906" t="str">
            <v>CTR_523</v>
          </cell>
          <cell r="B906" t="str">
            <v>Nkolmekong-YDE-IHS</v>
          </cell>
          <cell r="C906" t="str">
            <v>CTR</v>
          </cell>
          <cell r="D906" t="str">
            <v>TELEINFRA CENTRE</v>
          </cell>
        </row>
        <row r="907">
          <cell r="A907" t="str">
            <v>CTR_078</v>
          </cell>
          <cell r="B907" t="str">
            <v>Nkolmesseng</v>
          </cell>
          <cell r="C907" t="str">
            <v>CTR</v>
          </cell>
          <cell r="D907" t="str">
            <v>TELEINFRA CENTRE</v>
          </cell>
        </row>
        <row r="908">
          <cell r="A908" t="str">
            <v>CTR_711</v>
          </cell>
          <cell r="B908" t="str">
            <v>Nkolmesseng-Abom</v>
          </cell>
          <cell r="C908" t="str">
            <v>CTR</v>
          </cell>
          <cell r="D908" t="str">
            <v>TELEINFRA CENTRE</v>
          </cell>
        </row>
        <row r="909">
          <cell r="A909" t="str">
            <v>CTR_559</v>
          </cell>
          <cell r="B909" t="str">
            <v>Nkolmesseng-Crf-Safari</v>
          </cell>
          <cell r="C909" t="str">
            <v>CTR</v>
          </cell>
          <cell r="D909" t="str">
            <v>TELEINFRA CENTRE</v>
          </cell>
        </row>
        <row r="910">
          <cell r="A910" t="str">
            <v>CTR_564</v>
          </cell>
          <cell r="B910" t="str">
            <v>Nkolmesseng-Ebama-Ewoulou</v>
          </cell>
          <cell r="C910" t="str">
            <v>CTR</v>
          </cell>
          <cell r="D910" t="str">
            <v>TELEINFRA CENTRE</v>
          </cell>
        </row>
        <row r="911">
          <cell r="A911" t="str">
            <v>CTR_771</v>
          </cell>
          <cell r="B911" t="str">
            <v>Nkolmesseng-H-Pyramides</v>
          </cell>
          <cell r="C911" t="str">
            <v>CTR</v>
          </cell>
          <cell r="D911" t="str">
            <v>TELEINFRA CENTRE</v>
          </cell>
        </row>
        <row r="912">
          <cell r="A912" t="str">
            <v>CTR_273</v>
          </cell>
          <cell r="B912" t="str">
            <v>Nkolmesseng-II</v>
          </cell>
          <cell r="C912" t="str">
            <v>CTR</v>
          </cell>
          <cell r="D912" t="str">
            <v>TELEINFRA CENTRE</v>
          </cell>
        </row>
        <row r="913">
          <cell r="A913" t="str">
            <v>CTR_875</v>
          </cell>
          <cell r="B913" t="str">
            <v>Nkolmessing-Abom-II</v>
          </cell>
          <cell r="C913" t="str">
            <v>CTR</v>
          </cell>
          <cell r="D913" t="str">
            <v>TELEINFRA CENTRE</v>
          </cell>
        </row>
        <row r="914">
          <cell r="A914" t="str">
            <v>CTR_832</v>
          </cell>
          <cell r="B914" t="str">
            <v>Nkolmessing-Abom-MTN</v>
          </cell>
          <cell r="C914" t="str">
            <v>CTR</v>
          </cell>
          <cell r="D914" t="str">
            <v>TELEINFRA CENTRE</v>
          </cell>
        </row>
        <row r="915">
          <cell r="A915" t="str">
            <v>CTR_442</v>
          </cell>
          <cell r="B915" t="str">
            <v>Nkolmeyang-IHS</v>
          </cell>
          <cell r="C915" t="str">
            <v>CTR</v>
          </cell>
          <cell r="D915" t="str">
            <v>TELEINFRA CENTRE</v>
          </cell>
        </row>
        <row r="916">
          <cell r="A916" t="str">
            <v>SUD_111</v>
          </cell>
          <cell r="B916" t="str">
            <v>Nkolmeyos</v>
          </cell>
          <cell r="C916" t="str">
            <v>SUD</v>
          </cell>
          <cell r="D916" t="str">
            <v>TELEINFRA CENTRE</v>
          </cell>
        </row>
        <row r="917">
          <cell r="A917" t="str">
            <v>CTR_109</v>
          </cell>
          <cell r="B917" t="str">
            <v>Nkolndongo</v>
          </cell>
          <cell r="C917" t="str">
            <v>CTR</v>
          </cell>
          <cell r="D917" t="str">
            <v>TELEINFRA CENTRE</v>
          </cell>
        </row>
        <row r="918">
          <cell r="A918" t="str">
            <v>CTR_676</v>
          </cell>
          <cell r="B918" t="str">
            <v>Nkolnkoumou</v>
          </cell>
          <cell r="C918" t="str">
            <v>CTR</v>
          </cell>
          <cell r="D918" t="str">
            <v>TELEINFRA CENTRE</v>
          </cell>
        </row>
        <row r="919">
          <cell r="A919" t="str">
            <v>CTR_469</v>
          </cell>
          <cell r="B919" t="str">
            <v>Nkolo2-MTN-IHS</v>
          </cell>
          <cell r="C919" t="str">
            <v>CTR</v>
          </cell>
          <cell r="D919" t="str">
            <v>TELEINFRA CENTRE</v>
          </cell>
        </row>
        <row r="920">
          <cell r="A920" t="str">
            <v>CTR_248</v>
          </cell>
          <cell r="B920" t="str">
            <v>Nkolondom</v>
          </cell>
          <cell r="C920" t="str">
            <v>CTR</v>
          </cell>
          <cell r="D920" t="str">
            <v>TELEINFRA CENTRE</v>
          </cell>
        </row>
        <row r="921">
          <cell r="A921" t="str">
            <v>CTR_471</v>
          </cell>
          <cell r="B921" t="str">
            <v>Nkolso-MTN-IHS</v>
          </cell>
          <cell r="C921" t="str">
            <v>CTR</v>
          </cell>
          <cell r="D921" t="str">
            <v>TELEINFRA CENTRE</v>
          </cell>
        </row>
        <row r="922">
          <cell r="A922" t="str">
            <v>CTR_531</v>
          </cell>
          <cell r="B922" t="str">
            <v>Nkolve-IHS</v>
          </cell>
          <cell r="C922" t="str">
            <v>CTR</v>
          </cell>
          <cell r="D922" t="str">
            <v>TELEINFRA CENTRE</v>
          </cell>
        </row>
        <row r="923">
          <cell r="A923" t="str">
            <v>CTR_105</v>
          </cell>
          <cell r="B923" t="str">
            <v>Nkolzie</v>
          </cell>
          <cell r="C923" t="str">
            <v>CTR</v>
          </cell>
          <cell r="D923" t="str">
            <v>TELEINFRA CENTRE</v>
          </cell>
        </row>
        <row r="924">
          <cell r="A924" t="str">
            <v>CTR_672</v>
          </cell>
          <cell r="B924" t="str">
            <v>Nkolzie-II</v>
          </cell>
          <cell r="C924" t="str">
            <v>CTR</v>
          </cell>
          <cell r="D924" t="str">
            <v>TELEINFRA CENTRE</v>
          </cell>
        </row>
        <row r="925">
          <cell r="A925" t="str">
            <v>CTR_597</v>
          </cell>
          <cell r="B925" t="str">
            <v>Nkomeda</v>
          </cell>
          <cell r="C925" t="str">
            <v>CTR</v>
          </cell>
          <cell r="D925" t="str">
            <v>TELEINFRA CENTRE</v>
          </cell>
        </row>
        <row r="926">
          <cell r="A926" t="str">
            <v>SUD_088</v>
          </cell>
          <cell r="B926" t="str">
            <v>Nkomedzap-Camtel</v>
          </cell>
          <cell r="C926" t="str">
            <v>SUD</v>
          </cell>
          <cell r="D926" t="str">
            <v>TELEINFRA CENTRE</v>
          </cell>
        </row>
        <row r="927">
          <cell r="A927" t="str">
            <v>SUD_016</v>
          </cell>
          <cell r="B927" t="str">
            <v>Nkomekui</v>
          </cell>
          <cell r="C927" t="str">
            <v>SUD</v>
          </cell>
          <cell r="D927" t="str">
            <v>TELEINFRA CENTRE</v>
          </cell>
        </row>
        <row r="928">
          <cell r="A928" t="str">
            <v>CTR_061</v>
          </cell>
          <cell r="B928" t="str">
            <v>Nkometou</v>
          </cell>
          <cell r="C928" t="str">
            <v>CTR</v>
          </cell>
          <cell r="D928" t="str">
            <v>TELEINFRA CENTRE</v>
          </cell>
        </row>
        <row r="929">
          <cell r="A929" t="str">
            <v>CTR_695</v>
          </cell>
          <cell r="B929" t="str">
            <v>Nkometou-Edouma-IHS</v>
          </cell>
          <cell r="C929" t="str">
            <v>CTR</v>
          </cell>
          <cell r="D929" t="str">
            <v>TELEINFRA CENTRE</v>
          </cell>
        </row>
        <row r="930">
          <cell r="A930" t="str">
            <v>CTR_750</v>
          </cell>
          <cell r="B930" t="str">
            <v>Nkometou-II</v>
          </cell>
          <cell r="C930" t="str">
            <v>CTR</v>
          </cell>
          <cell r="D930" t="str">
            <v>TELEINFRA CENTRE</v>
          </cell>
        </row>
        <row r="931">
          <cell r="A931" t="str">
            <v>CTR_825</v>
          </cell>
          <cell r="B931" t="str">
            <v>Nkometou-Razel</v>
          </cell>
          <cell r="C931" t="str">
            <v>CTR</v>
          </cell>
          <cell r="D931" t="str">
            <v>TELEINFRA CENTRE</v>
          </cell>
        </row>
        <row r="932">
          <cell r="A932" t="str">
            <v>CTR_427</v>
          </cell>
          <cell r="B932" t="str">
            <v>Nkomkana</v>
          </cell>
          <cell r="C932" t="str">
            <v>CTR</v>
          </cell>
          <cell r="D932" t="str">
            <v>TELEINFRA CENTRE</v>
          </cell>
        </row>
        <row r="933">
          <cell r="A933" t="str">
            <v>CTR_448</v>
          </cell>
          <cell r="B933" t="str">
            <v>Nkomkana-IHS</v>
          </cell>
          <cell r="C933" t="str">
            <v>CTR</v>
          </cell>
          <cell r="D933" t="str">
            <v>TELEINFRA CENTRE</v>
          </cell>
        </row>
        <row r="934">
          <cell r="A934" t="str">
            <v>CTR_042</v>
          </cell>
          <cell r="B934" t="str">
            <v>Nkomo</v>
          </cell>
          <cell r="C934" t="str">
            <v>CTR</v>
          </cell>
          <cell r="D934" t="str">
            <v>TELEINFRA CENTRE</v>
          </cell>
        </row>
        <row r="935">
          <cell r="A935" t="str">
            <v>CTR_696</v>
          </cell>
          <cell r="B935" t="str">
            <v>Nkongkarak-MTN-IHS</v>
          </cell>
          <cell r="C935" t="str">
            <v>CTR</v>
          </cell>
          <cell r="D935" t="str">
            <v>TELEINFRA CENTRE</v>
          </cell>
        </row>
        <row r="936">
          <cell r="A936" t="str">
            <v>CTR_629</v>
          </cell>
          <cell r="B936" t="str">
            <v>Nkongoa</v>
          </cell>
          <cell r="C936" t="str">
            <v>CTR</v>
          </cell>
          <cell r="D936" t="str">
            <v>TELEINFRA CENTRE</v>
          </cell>
        </row>
        <row r="937">
          <cell r="A937" t="str">
            <v>CTR_733</v>
          </cell>
          <cell r="B937" t="str">
            <v>Nkongtock-IHS</v>
          </cell>
          <cell r="C937" t="str">
            <v>CTR</v>
          </cell>
          <cell r="D937" t="str">
            <v>TELEINFRA CENTRE</v>
          </cell>
        </row>
        <row r="938">
          <cell r="A938" t="str">
            <v>CTR_152</v>
          </cell>
          <cell r="B938" t="str">
            <v>Nkoteng-IHS</v>
          </cell>
          <cell r="C938" t="str">
            <v>CTR</v>
          </cell>
          <cell r="D938" t="str">
            <v>TELEINFRA CENTRE</v>
          </cell>
        </row>
        <row r="939">
          <cell r="A939" t="str">
            <v>CTR_220</v>
          </cell>
          <cell r="B939" t="str">
            <v>Nkoteng-II</v>
          </cell>
          <cell r="C939" t="str">
            <v>CTR</v>
          </cell>
          <cell r="D939" t="str">
            <v>TELEINFRA CENTRE</v>
          </cell>
        </row>
        <row r="940">
          <cell r="A940" t="str">
            <v>CTR_506</v>
          </cell>
          <cell r="B940" t="str">
            <v>Nkoteng-Ville-IHS</v>
          </cell>
          <cell r="C940" t="str">
            <v>CTR</v>
          </cell>
          <cell r="D940" t="str">
            <v>TELEINFRA CENTRE</v>
          </cell>
        </row>
        <row r="941">
          <cell r="A941" t="str">
            <v>CTR_659</v>
          </cell>
          <cell r="B941" t="str">
            <v>Nkoulou</v>
          </cell>
          <cell r="C941" t="str">
            <v>CTR</v>
          </cell>
          <cell r="D941" t="str">
            <v>TELEINFRA CENTRE</v>
          </cell>
        </row>
        <row r="942">
          <cell r="A942" t="str">
            <v>CTR_777</v>
          </cell>
          <cell r="B942" t="str">
            <v>Nkoulou-II</v>
          </cell>
          <cell r="C942" t="str">
            <v>CTR</v>
          </cell>
          <cell r="D942" t="str">
            <v>TELEINFRA CENTRE</v>
          </cell>
        </row>
        <row r="943">
          <cell r="A943" t="str">
            <v>EST_022</v>
          </cell>
          <cell r="B943" t="str">
            <v>Nkoum</v>
          </cell>
          <cell r="C943" t="str">
            <v>EST</v>
          </cell>
          <cell r="D943" t="str">
            <v>TELEINFRA CENTRE</v>
          </cell>
        </row>
        <row r="944">
          <cell r="A944" t="str">
            <v>SUD_050</v>
          </cell>
          <cell r="B944" t="str">
            <v>Nkoumadjap-IHS</v>
          </cell>
          <cell r="C944" t="str">
            <v>SUD</v>
          </cell>
          <cell r="D944" t="str">
            <v>TELEINFRA CENTRE</v>
          </cell>
        </row>
        <row r="945">
          <cell r="A945" t="str">
            <v>SUD_012</v>
          </cell>
          <cell r="B945" t="str">
            <v>Nkout</v>
          </cell>
          <cell r="C945" t="str">
            <v>SUD</v>
          </cell>
          <cell r="D945" t="str">
            <v>TELEINFRA CENTRE</v>
          </cell>
        </row>
        <row r="946">
          <cell r="A946" t="str">
            <v>CTR_079</v>
          </cell>
          <cell r="B946" t="str">
            <v>Nkozoa</v>
          </cell>
          <cell r="C946" t="str">
            <v>CTR</v>
          </cell>
          <cell r="D946" t="str">
            <v>TELEINFRA CENTRE</v>
          </cell>
        </row>
        <row r="947">
          <cell r="A947" t="str">
            <v>CTR_631</v>
          </cell>
          <cell r="B947" t="str">
            <v>Nlobisson</v>
          </cell>
          <cell r="C947" t="str">
            <v>CTR</v>
          </cell>
          <cell r="D947" t="str">
            <v>TELEINFRA CENTRE</v>
          </cell>
        </row>
        <row r="948">
          <cell r="A948" t="str">
            <v>CTR_062</v>
          </cell>
          <cell r="B948" t="str">
            <v>Nomayos</v>
          </cell>
          <cell r="C948" t="str">
            <v>CTR</v>
          </cell>
          <cell r="D948" t="str">
            <v>TELEINFRA CENTRE</v>
          </cell>
        </row>
        <row r="949">
          <cell r="A949" t="str">
            <v>CTR_527</v>
          </cell>
          <cell r="B949" t="str">
            <v>Nomayos-IHS</v>
          </cell>
          <cell r="C949" t="str">
            <v>CTR</v>
          </cell>
          <cell r="D949" t="str">
            <v>TELEINFRA CENTRE</v>
          </cell>
        </row>
        <row r="950">
          <cell r="A950" t="str">
            <v>CTR_038</v>
          </cell>
          <cell r="B950" t="str">
            <v>NR-Bastos</v>
          </cell>
          <cell r="C950" t="str">
            <v>CTR</v>
          </cell>
          <cell r="D950" t="str">
            <v>TELEINFRA CENTRE</v>
          </cell>
        </row>
        <row r="951">
          <cell r="A951" t="str">
            <v>CTR_565</v>
          </cell>
          <cell r="B951" t="str">
            <v>NR-Carrossel</v>
          </cell>
          <cell r="C951" t="str">
            <v>CTR</v>
          </cell>
          <cell r="D951" t="str">
            <v>TELEINFRA CENTRE</v>
          </cell>
        </row>
        <row r="952">
          <cell r="A952" t="str">
            <v>CTR_132</v>
          </cell>
          <cell r="B952" t="str">
            <v>NR-Omnisport</v>
          </cell>
          <cell r="C952" t="str">
            <v>CTR</v>
          </cell>
          <cell r="D952" t="str">
            <v>TELEINFRA CENTRE</v>
          </cell>
        </row>
        <row r="953">
          <cell r="A953" t="str">
            <v>CTR_566</v>
          </cell>
          <cell r="B953" t="str">
            <v>NR-Omnisport-Qtier-Yambassa</v>
          </cell>
          <cell r="C953" t="str">
            <v>CTR</v>
          </cell>
          <cell r="D953" t="str">
            <v>TELEINFRA CENTRE</v>
          </cell>
        </row>
        <row r="954">
          <cell r="A954" t="str">
            <v>CTR_488</v>
          </cell>
          <cell r="B954" t="str">
            <v>Nsam-Sofavinc</v>
          </cell>
          <cell r="C954" t="str">
            <v>CTR</v>
          </cell>
          <cell r="D954" t="str">
            <v>TELEINFRA CENTRE</v>
          </cell>
        </row>
        <row r="955">
          <cell r="A955" t="str">
            <v>CTR_010</v>
          </cell>
          <cell r="B955" t="str">
            <v>Nsimalen</v>
          </cell>
          <cell r="C955" t="str">
            <v>CTR</v>
          </cell>
          <cell r="D955" t="str">
            <v>TELEINFRA CENTRE</v>
          </cell>
        </row>
        <row r="956">
          <cell r="A956" t="str">
            <v>CTR_724</v>
          </cell>
          <cell r="B956" t="str">
            <v>Nsimalen-Highway-I</v>
          </cell>
          <cell r="C956" t="str">
            <v>CTR</v>
          </cell>
          <cell r="D956" t="str">
            <v>TELEINFRA CENTRE</v>
          </cell>
        </row>
        <row r="957">
          <cell r="A957" t="str">
            <v>CTR_725</v>
          </cell>
          <cell r="B957" t="str">
            <v>Nsimalen-Highway-II</v>
          </cell>
          <cell r="C957" t="str">
            <v>CTR</v>
          </cell>
          <cell r="D957" t="str">
            <v>TELEINFRA CENTRE</v>
          </cell>
        </row>
        <row r="958">
          <cell r="A958" t="str">
            <v>CTR_660</v>
          </cell>
          <cell r="B958" t="str">
            <v>Nsimeyong-Chefferie</v>
          </cell>
          <cell r="C958" t="str">
            <v>CTR</v>
          </cell>
          <cell r="D958" t="str">
            <v>TELEINFRA CENTRE</v>
          </cell>
        </row>
        <row r="959">
          <cell r="A959" t="str">
            <v>CTR_380</v>
          </cell>
          <cell r="B959" t="str">
            <v>Ntaba</v>
          </cell>
          <cell r="C959" t="str">
            <v>CTR</v>
          </cell>
          <cell r="D959" t="str">
            <v>TELEINFRA CENTRE</v>
          </cell>
        </row>
        <row r="960">
          <cell r="A960" t="str">
            <v>CTR_355</v>
          </cell>
          <cell r="B960" t="str">
            <v>Ntoumba</v>
          </cell>
          <cell r="C960" t="str">
            <v>CTR</v>
          </cell>
          <cell r="D960" t="str">
            <v>TELEINFRA CENTRE</v>
          </cell>
        </row>
        <row r="961">
          <cell r="A961" t="str">
            <v>SUD_801</v>
          </cell>
          <cell r="B961" t="str">
            <v>NTOUMOU</v>
          </cell>
          <cell r="C961" t="str">
            <v>SUD</v>
          </cell>
          <cell r="D961" t="str">
            <v>TELEINFRA CENTRE</v>
          </cell>
        </row>
        <row r="962">
          <cell r="A962" t="str">
            <v>EST_133</v>
          </cell>
          <cell r="B962" t="str">
            <v>Nyabi</v>
          </cell>
          <cell r="C962" t="str">
            <v>EST</v>
          </cell>
          <cell r="D962" t="str">
            <v>TELEINFRA CENTRE</v>
          </cell>
        </row>
        <row r="963">
          <cell r="A963" t="str">
            <v>SUD_249</v>
          </cell>
          <cell r="B963" t="str">
            <v>Nyazanga</v>
          </cell>
          <cell r="C963" t="str">
            <v>SUD</v>
          </cell>
          <cell r="D963" t="str">
            <v>TELEINFRA CENTRE</v>
          </cell>
        </row>
        <row r="964">
          <cell r="A964" t="str">
            <v>CTR_169</v>
          </cell>
          <cell r="B964" t="str">
            <v>Nyazoro-MTN-IHS</v>
          </cell>
          <cell r="C964" t="str">
            <v>CTR</v>
          </cell>
          <cell r="D964" t="str">
            <v>TELEINFRA CENTRE</v>
          </cell>
        </row>
        <row r="965">
          <cell r="A965" t="str">
            <v>CTR_381</v>
          </cell>
          <cell r="B965" t="str">
            <v>Nyom</v>
          </cell>
          <cell r="C965" t="str">
            <v>CTR</v>
          </cell>
          <cell r="D965" t="str">
            <v>TELEINFRA CENTRE</v>
          </cell>
        </row>
        <row r="966">
          <cell r="A966" t="str">
            <v>CTR_551</v>
          </cell>
          <cell r="B966" t="str">
            <v>NYOM-Camtel</v>
          </cell>
          <cell r="C966" t="str">
            <v>CTR</v>
          </cell>
          <cell r="D966" t="str">
            <v>TELEINFRA CENTRE</v>
          </cell>
        </row>
        <row r="967">
          <cell r="A967" t="str">
            <v>CTR_648</v>
          </cell>
          <cell r="B967" t="str">
            <v>Nyom-II-IHS</v>
          </cell>
          <cell r="C967" t="str">
            <v>CTR</v>
          </cell>
          <cell r="D967" t="str">
            <v>TELEINFRA CENTRE</v>
          </cell>
        </row>
        <row r="968">
          <cell r="A968" t="str">
            <v>CTR_707</v>
          </cell>
          <cell r="B968" t="str">
            <v>Nyom-Sud</v>
          </cell>
          <cell r="C968" t="str">
            <v>CTR</v>
          </cell>
          <cell r="D968" t="str">
            <v>TELEINFRA CENTRE</v>
          </cell>
        </row>
        <row r="969">
          <cell r="A969" t="str">
            <v>CTR_174</v>
          </cell>
          <cell r="B969" t="str">
            <v>Obala-Carrefour-MTN-IHS</v>
          </cell>
          <cell r="C969" t="str">
            <v>CTR</v>
          </cell>
          <cell r="D969" t="str">
            <v>TELEINFRA CENTRE</v>
          </cell>
        </row>
        <row r="970">
          <cell r="A970" t="str">
            <v>CTR_113</v>
          </cell>
          <cell r="B970" t="str">
            <v>Obala-Mairie</v>
          </cell>
          <cell r="C970" t="str">
            <v>CTR</v>
          </cell>
          <cell r="D970" t="str">
            <v>TELEINFRA CENTRE</v>
          </cell>
        </row>
        <row r="971">
          <cell r="A971" t="str">
            <v>CTR_627</v>
          </cell>
          <cell r="B971" t="str">
            <v>Obala-Ville-IHS</v>
          </cell>
          <cell r="C971" t="str">
            <v>CTR</v>
          </cell>
          <cell r="D971" t="str">
            <v>TELEINFRA CENTRE</v>
          </cell>
        </row>
        <row r="972">
          <cell r="A972" t="str">
            <v>CTR_747</v>
          </cell>
          <cell r="B972" t="str">
            <v>Obili-GP-MTN</v>
          </cell>
          <cell r="C972" t="str">
            <v>CTR</v>
          </cell>
          <cell r="D972" t="str">
            <v>TELEINFRA CENTRE</v>
          </cell>
        </row>
        <row r="973">
          <cell r="A973" t="str">
            <v>CTR_540</v>
          </cell>
          <cell r="B973" t="str">
            <v>Obili-New</v>
          </cell>
          <cell r="C973" t="str">
            <v>CTR</v>
          </cell>
          <cell r="D973" t="str">
            <v>TELEINFRA CENTRE</v>
          </cell>
        </row>
        <row r="974">
          <cell r="A974" t="str">
            <v>CTR_543</v>
          </cell>
          <cell r="B974" t="str">
            <v>Obobogo-New</v>
          </cell>
          <cell r="C974" t="str">
            <v>CTR</v>
          </cell>
          <cell r="D974" t="str">
            <v>TELEINFRA CENTRE</v>
          </cell>
        </row>
        <row r="975">
          <cell r="A975" t="str">
            <v>CTR_598</v>
          </cell>
          <cell r="B975" t="str">
            <v>Obobogo-Paloma</v>
          </cell>
          <cell r="C975" t="str">
            <v>CTR</v>
          </cell>
          <cell r="D975" t="str">
            <v>TELEINFRA CENTRE</v>
          </cell>
        </row>
        <row r="976">
          <cell r="A976" t="str">
            <v>CTR_099</v>
          </cell>
          <cell r="B976" t="str">
            <v>Odza</v>
          </cell>
          <cell r="C976" t="str">
            <v>CTR</v>
          </cell>
          <cell r="D976" t="str">
            <v>TELEINFRA CENTRE</v>
          </cell>
        </row>
        <row r="977">
          <cell r="A977" t="str">
            <v>CTR_628</v>
          </cell>
          <cell r="B977" t="str">
            <v>Odza-III</v>
          </cell>
          <cell r="C977" t="str">
            <v>CTR</v>
          </cell>
          <cell r="D977" t="str">
            <v>TELEINFRA CENTRE</v>
          </cell>
        </row>
        <row r="978">
          <cell r="A978" t="str">
            <v>CTR_158</v>
          </cell>
          <cell r="B978" t="str">
            <v>Odza-II-IHS</v>
          </cell>
          <cell r="C978" t="str">
            <v>CTR</v>
          </cell>
          <cell r="D978" t="str">
            <v>TELEINFRA CENTRE</v>
          </cell>
        </row>
        <row r="979">
          <cell r="A979" t="str">
            <v>CTR_467</v>
          </cell>
          <cell r="B979" t="str">
            <v>Odza-II-MTN-IHS</v>
          </cell>
          <cell r="C979" t="str">
            <v>CTR</v>
          </cell>
          <cell r="D979" t="str">
            <v>TELEINFRA CENTRE</v>
          </cell>
        </row>
        <row r="980">
          <cell r="A980" t="str">
            <v>CTR_330</v>
          </cell>
          <cell r="B980" t="str">
            <v>Odza-PK10</v>
          </cell>
          <cell r="C980" t="str">
            <v>CTR</v>
          </cell>
          <cell r="D980" t="str">
            <v>TELEINFRA CENTRE</v>
          </cell>
        </row>
        <row r="981">
          <cell r="A981" t="str">
            <v>CTR_191</v>
          </cell>
          <cell r="B981" t="str">
            <v>Okola</v>
          </cell>
          <cell r="C981" t="str">
            <v>CTR</v>
          </cell>
          <cell r="D981" t="str">
            <v>TELEINFRA CENTRE</v>
          </cell>
        </row>
        <row r="982">
          <cell r="A982" t="str">
            <v>CTR_213</v>
          </cell>
          <cell r="B982" t="str">
            <v>Okolo</v>
          </cell>
          <cell r="C982" t="str">
            <v>CTR</v>
          </cell>
          <cell r="D982" t="str">
            <v>TELEINFRA CENTRE</v>
          </cell>
        </row>
        <row r="983">
          <cell r="A983" t="str">
            <v>CTR_441</v>
          </cell>
          <cell r="B983" t="str">
            <v>Olama-IHS</v>
          </cell>
          <cell r="C983" t="str">
            <v>CTR</v>
          </cell>
          <cell r="D983" t="str">
            <v>TELEINFRA CENTRE</v>
          </cell>
        </row>
        <row r="984">
          <cell r="A984" t="str">
            <v>SUD_038</v>
          </cell>
          <cell r="B984" t="str">
            <v>Olamze-IHS</v>
          </cell>
          <cell r="C984" t="str">
            <v>SUD</v>
          </cell>
          <cell r="D984" t="str">
            <v>TELEINFRA CENTRE</v>
          </cell>
        </row>
        <row r="985">
          <cell r="A985" t="str">
            <v>CTR_080</v>
          </cell>
          <cell r="B985" t="str">
            <v>Olembe</v>
          </cell>
          <cell r="C985" t="str">
            <v>CTR</v>
          </cell>
          <cell r="D985" t="str">
            <v>TELEINFRA CENTRE</v>
          </cell>
        </row>
        <row r="986">
          <cell r="A986" t="str">
            <v>CTR_853</v>
          </cell>
          <cell r="B986" t="str">
            <v>Olembe-Camtel</v>
          </cell>
          <cell r="C986" t="str">
            <v>CTR</v>
          </cell>
          <cell r="D986" t="str">
            <v>TELEINFRA CENTRE</v>
          </cell>
        </row>
        <row r="987">
          <cell r="A987" t="str">
            <v>CTR_778</v>
          </cell>
          <cell r="B987" t="str">
            <v>Olembe-MTN</v>
          </cell>
          <cell r="C987" t="str">
            <v>CTR</v>
          </cell>
          <cell r="D987" t="str">
            <v>TELEINFRA CENTRE</v>
          </cell>
        </row>
        <row r="988">
          <cell r="A988" t="str">
            <v>CTR_383</v>
          </cell>
          <cell r="B988" t="str">
            <v>Olembe-Terminus</v>
          </cell>
          <cell r="C988" t="str">
            <v>CTR</v>
          </cell>
          <cell r="D988" t="str">
            <v>TELEINFRA CENTRE</v>
          </cell>
        </row>
        <row r="989">
          <cell r="A989" t="str">
            <v>CTR_035</v>
          </cell>
          <cell r="B989" t="str">
            <v>Olezoa</v>
          </cell>
          <cell r="C989" t="str">
            <v>CTR</v>
          </cell>
          <cell r="D989" t="str">
            <v>TELEINFRA CENTRE</v>
          </cell>
        </row>
        <row r="990">
          <cell r="A990" t="str">
            <v>CTR_298</v>
          </cell>
          <cell r="B990" t="str">
            <v>Olounou-MTN</v>
          </cell>
          <cell r="C990" t="str">
            <v>CTR</v>
          </cell>
          <cell r="D990" t="str">
            <v>TELEINFRA CENTRE</v>
          </cell>
        </row>
        <row r="991">
          <cell r="A991" t="str">
            <v>CTR_161</v>
          </cell>
          <cell r="B991" t="str">
            <v>Omnisport-Rail-IHS</v>
          </cell>
          <cell r="C991" t="str">
            <v>CTR</v>
          </cell>
          <cell r="D991" t="str">
            <v>TELEINFRA CENTRE</v>
          </cell>
        </row>
        <row r="992">
          <cell r="A992" t="str">
            <v>CTR_622</v>
          </cell>
          <cell r="B992" t="str">
            <v>Ondoa-Otoa-IHS</v>
          </cell>
          <cell r="C992" t="str">
            <v>CTR</v>
          </cell>
          <cell r="D992" t="str">
            <v>TELEINFRA CENTRE</v>
          </cell>
        </row>
        <row r="993">
          <cell r="A993" t="str">
            <v>CTR_845</v>
          </cell>
          <cell r="B993" t="str">
            <v>Orange-Bastos</v>
          </cell>
          <cell r="C993" t="str">
            <v>CTR</v>
          </cell>
          <cell r="D993" t="str">
            <v>TELEINFRA CENTRE</v>
          </cell>
        </row>
        <row r="994">
          <cell r="A994" t="str">
            <v>CTR_201</v>
          </cell>
          <cell r="B994" t="str">
            <v>Otele</v>
          </cell>
          <cell r="C994" t="str">
            <v>CTR</v>
          </cell>
          <cell r="D994" t="str">
            <v>TELEINFRA CENTRE</v>
          </cell>
        </row>
        <row r="995">
          <cell r="A995" t="str">
            <v>CTR_452</v>
          </cell>
          <cell r="B995" t="str">
            <v>Otele-Camrail</v>
          </cell>
          <cell r="C995" t="str">
            <v>CTR</v>
          </cell>
          <cell r="D995" t="str">
            <v>TELEINFRA CENTRE</v>
          </cell>
        </row>
        <row r="996">
          <cell r="A996" t="str">
            <v>CTR_454</v>
          </cell>
          <cell r="B996" t="str">
            <v>Ouassa-Bamvele-Camrail</v>
          </cell>
          <cell r="C996" t="str">
            <v>CTR</v>
          </cell>
          <cell r="D996" t="str">
            <v>TELEINFRA CENTRE</v>
          </cell>
        </row>
        <row r="997">
          <cell r="A997" t="str">
            <v>EST_114</v>
          </cell>
          <cell r="B997" t="str">
            <v>Ouli-IHS</v>
          </cell>
          <cell r="C997" t="str">
            <v>EST</v>
          </cell>
          <cell r="D997" t="str">
            <v>TELEINFRA CENTRE</v>
          </cell>
        </row>
        <row r="998">
          <cell r="A998" t="str">
            <v>NRD_124</v>
          </cell>
          <cell r="B998" t="str">
            <v>Ouro-Be-IHS</v>
          </cell>
          <cell r="C998" t="str">
            <v>NRD</v>
          </cell>
          <cell r="D998" t="str">
            <v>TELEINFRA NORD</v>
          </cell>
        </row>
        <row r="999">
          <cell r="A999" t="str">
            <v>ADM_148</v>
          </cell>
          <cell r="B999" t="str">
            <v>Ouro-Dara</v>
          </cell>
          <cell r="C999" t="str">
            <v>ADM</v>
          </cell>
          <cell r="D999" t="str">
            <v>TELEINFRA NORD</v>
          </cell>
        </row>
        <row r="1000">
          <cell r="A1000" t="str">
            <v>NRD_040</v>
          </cell>
          <cell r="B1000" t="str">
            <v>Ouro-Kessoun</v>
          </cell>
          <cell r="C1000" t="str">
            <v>NRD</v>
          </cell>
          <cell r="D1000" t="str">
            <v>TELEINFRA NORD</v>
          </cell>
        </row>
        <row r="1001">
          <cell r="A1001" t="str">
            <v>EXN_199</v>
          </cell>
          <cell r="B1001" t="str">
            <v>Ouro-Zangui</v>
          </cell>
          <cell r="C1001" t="str">
            <v>EXN</v>
          </cell>
          <cell r="D1001" t="str">
            <v>TELEINFRA NORD</v>
          </cell>
        </row>
        <row r="1002">
          <cell r="A1002" t="str">
            <v>CTR_340</v>
          </cell>
          <cell r="B1002" t="str">
            <v>Oyomabang</v>
          </cell>
          <cell r="C1002" t="str">
            <v>CTR</v>
          </cell>
          <cell r="D1002" t="str">
            <v>TELEINFRA CENTRE</v>
          </cell>
        </row>
        <row r="1003">
          <cell r="A1003" t="str">
            <v>CTR_553</v>
          </cell>
          <cell r="B1003" t="str">
            <v>Oyomabang-Ecole-IHS</v>
          </cell>
          <cell r="C1003" t="str">
            <v>CTR</v>
          </cell>
          <cell r="D1003" t="str">
            <v>TELEINFRA CENTRE</v>
          </cell>
        </row>
        <row r="1004">
          <cell r="A1004" t="str">
            <v>CTR_560</v>
          </cell>
          <cell r="B1004" t="str">
            <v>Oyomabang-Ekorezok</v>
          </cell>
          <cell r="C1004" t="str">
            <v>CTR</v>
          </cell>
          <cell r="D1004" t="str">
            <v>TELEINFRA CENTRE</v>
          </cell>
        </row>
        <row r="1005">
          <cell r="A1005" t="str">
            <v>CTR_865</v>
          </cell>
          <cell r="B1005" t="str">
            <v>Oyomabang-II</v>
          </cell>
          <cell r="C1005" t="str">
            <v>CTR</v>
          </cell>
          <cell r="D1005" t="str">
            <v>TELEINFRA CENTRE</v>
          </cell>
        </row>
        <row r="1006">
          <cell r="A1006" t="str">
            <v>CTR_718</v>
          </cell>
          <cell r="B1006" t="str">
            <v>Oyomabang-marche</v>
          </cell>
          <cell r="C1006" t="str">
            <v>CTR</v>
          </cell>
          <cell r="D1006" t="str">
            <v>TELEINFRA CENTRE</v>
          </cell>
        </row>
        <row r="1007">
          <cell r="A1007" t="str">
            <v>CTR_743</v>
          </cell>
          <cell r="B1007" t="str">
            <v>OZOM-I</v>
          </cell>
          <cell r="C1007" t="str">
            <v>CTR</v>
          </cell>
          <cell r="D1007" t="str">
            <v>TELEINFRA CENTRE</v>
          </cell>
        </row>
        <row r="1008">
          <cell r="A1008" t="str">
            <v>NRD_164</v>
          </cell>
          <cell r="B1008" t="str">
            <v>Padarme-IHS</v>
          </cell>
          <cell r="C1008" t="str">
            <v>NRD</v>
          </cell>
          <cell r="D1008" t="str">
            <v>TELEINFRA NORD</v>
          </cell>
        </row>
        <row r="1009">
          <cell r="A1009" t="str">
            <v>EXN_055</v>
          </cell>
          <cell r="B1009" t="str">
            <v>Palar</v>
          </cell>
          <cell r="C1009" t="str">
            <v>EXN</v>
          </cell>
          <cell r="D1009" t="str">
            <v>TELEINFRA NORD</v>
          </cell>
        </row>
        <row r="1010">
          <cell r="A1010" t="str">
            <v>ADM_114</v>
          </cell>
          <cell r="B1010" t="str">
            <v>Pangar-camrail</v>
          </cell>
          <cell r="C1010" t="str">
            <v>ADM</v>
          </cell>
          <cell r="D1010" t="str">
            <v>TELEINFRA NORD</v>
          </cell>
        </row>
        <row r="1011">
          <cell r="A1011" t="str">
            <v>ADM_038</v>
          </cell>
          <cell r="B1011" t="str">
            <v>Pang-Camtel</v>
          </cell>
          <cell r="C1011" t="str">
            <v>ADM</v>
          </cell>
          <cell r="D1011" t="str">
            <v>TELEINFRA NORD</v>
          </cell>
        </row>
        <row r="1012">
          <cell r="A1012" t="str">
            <v>CTR_011</v>
          </cell>
          <cell r="B1012" t="str">
            <v>PDC</v>
          </cell>
          <cell r="C1012" t="str">
            <v>CTR</v>
          </cell>
          <cell r="D1012" t="str">
            <v>TELEINFRA CENTRE</v>
          </cell>
        </row>
        <row r="1013">
          <cell r="A1013" t="str">
            <v>EXN_039</v>
          </cell>
          <cell r="B1013" t="str">
            <v>Pette</v>
          </cell>
          <cell r="C1013" t="str">
            <v>EXN</v>
          </cell>
          <cell r="D1013" t="str">
            <v>TELEINFRA NORD</v>
          </cell>
        </row>
        <row r="1014">
          <cell r="A1014" t="str">
            <v>ADM_160</v>
          </cell>
          <cell r="B1014" t="str">
            <v>Phacochere</v>
          </cell>
          <cell r="C1014" t="str">
            <v>ADM</v>
          </cell>
          <cell r="D1014" t="str">
            <v>TELEINFRA NORD</v>
          </cell>
        </row>
        <row r="1015">
          <cell r="A1015" t="str">
            <v>NRD_171</v>
          </cell>
          <cell r="B1015" t="str">
            <v>Pitchoumba</v>
          </cell>
          <cell r="C1015" t="str">
            <v>NRD</v>
          </cell>
          <cell r="D1015" t="str">
            <v>TELEINFRA NORD</v>
          </cell>
        </row>
        <row r="1016">
          <cell r="A1016" t="str">
            <v>NRD_013</v>
          </cell>
          <cell r="B1016" t="str">
            <v>Pitoa</v>
          </cell>
          <cell r="C1016" t="str">
            <v>NRD</v>
          </cell>
          <cell r="D1016" t="str">
            <v>TELEINFRA NORD</v>
          </cell>
        </row>
        <row r="1017">
          <cell r="A1017" t="str">
            <v>NRD_133</v>
          </cell>
          <cell r="B1017" t="str">
            <v>Pitoa-Entree</v>
          </cell>
          <cell r="C1017" t="str">
            <v>NRD</v>
          </cell>
          <cell r="D1017" t="str">
            <v>TELEINFRA NORD</v>
          </cell>
        </row>
        <row r="1018">
          <cell r="A1018" t="str">
            <v>NRD_183</v>
          </cell>
          <cell r="B1018" t="str">
            <v>PITOA-II</v>
          </cell>
          <cell r="C1018" t="str">
            <v>NRD</v>
          </cell>
          <cell r="D1018" t="str">
            <v>TELEINFRA NORD</v>
          </cell>
        </row>
        <row r="1019">
          <cell r="A1019" t="str">
            <v>NRD_096</v>
          </cell>
          <cell r="B1019" t="str">
            <v>Pitoa-Ville-IHS</v>
          </cell>
          <cell r="C1019" t="str">
            <v>NRD</v>
          </cell>
          <cell r="D1019" t="str">
            <v>TELEINFRA NORD</v>
          </cell>
        </row>
        <row r="1020">
          <cell r="A1020" t="str">
            <v>NRD_002</v>
          </cell>
          <cell r="B1020" t="str">
            <v>Plateau</v>
          </cell>
          <cell r="C1020" t="str">
            <v>NRD</v>
          </cell>
          <cell r="D1020" t="str">
            <v>TELEINFRA NORD</v>
          </cell>
        </row>
        <row r="1021">
          <cell r="A1021" t="str">
            <v>ADM_152</v>
          </cell>
          <cell r="B1021" t="str">
            <v>Poli-New</v>
          </cell>
          <cell r="C1021" t="str">
            <v>ADM</v>
          </cell>
          <cell r="D1021" t="str">
            <v>TELEINFRA NORD</v>
          </cell>
        </row>
        <row r="1022">
          <cell r="A1022" t="str">
            <v>NRD_119</v>
          </cell>
          <cell r="B1022" t="str">
            <v>Poli-Ville-IHS</v>
          </cell>
          <cell r="C1022" t="str">
            <v>NRD</v>
          </cell>
          <cell r="D1022" t="str">
            <v>TELEINFRA NORD</v>
          </cell>
        </row>
        <row r="1023">
          <cell r="A1023" t="str">
            <v>CTR_128</v>
          </cell>
          <cell r="B1023" t="str">
            <v>Polytechnique</v>
          </cell>
          <cell r="C1023" t="str">
            <v>CTR</v>
          </cell>
          <cell r="D1023" t="str">
            <v>TELEINFRA CENTRE</v>
          </cell>
        </row>
        <row r="1024">
          <cell r="A1024" t="str">
            <v>CTR_779</v>
          </cell>
          <cell r="B1024" t="str">
            <v>Pont-Emana-MTN</v>
          </cell>
          <cell r="C1024" t="str">
            <v>CTR</v>
          </cell>
          <cell r="D1024" t="str">
            <v>TELEINFRA CENTRE</v>
          </cell>
        </row>
        <row r="1025">
          <cell r="A1025" t="str">
            <v>NRD_038</v>
          </cell>
          <cell r="B1025" t="str">
            <v>Poumpoumrey</v>
          </cell>
          <cell r="C1025" t="str">
            <v>NRD</v>
          </cell>
          <cell r="D1025" t="str">
            <v>TELEINFRA NORD</v>
          </cell>
        </row>
        <row r="1026">
          <cell r="A1026" t="str">
            <v>NRD_148</v>
          </cell>
          <cell r="B1026" t="str">
            <v>Poumpoumrey-II</v>
          </cell>
          <cell r="C1026" t="str">
            <v>NRD</v>
          </cell>
          <cell r="D1026" t="str">
            <v>TELEINFRA NORD</v>
          </cell>
        </row>
        <row r="1027">
          <cell r="A1027" t="str">
            <v>NRD_136</v>
          </cell>
          <cell r="B1027" t="str">
            <v>Pouss-II</v>
          </cell>
          <cell r="C1027" t="str">
            <v>NRD</v>
          </cell>
          <cell r="D1027" t="str">
            <v>TELEINFRA NORD</v>
          </cell>
        </row>
        <row r="1028">
          <cell r="A1028" t="str">
            <v>EXN_189</v>
          </cell>
          <cell r="B1028" t="str">
            <v>Pouss-New</v>
          </cell>
          <cell r="C1028" t="str">
            <v>EXN</v>
          </cell>
          <cell r="D1028" t="str">
            <v>TELEINFRA NORD</v>
          </cell>
        </row>
        <row r="1029">
          <cell r="A1029" t="str">
            <v>CTR_538</v>
          </cell>
          <cell r="B1029" t="str">
            <v>Prestige-New</v>
          </cell>
          <cell r="C1029" t="str">
            <v>CTR</v>
          </cell>
          <cell r="D1029" t="str">
            <v>TELEINFRA CENTRE</v>
          </cell>
        </row>
        <row r="1030">
          <cell r="A1030" t="str">
            <v>CTR_766</v>
          </cell>
          <cell r="B1030" t="str">
            <v>Rain-forest-School</v>
          </cell>
          <cell r="C1030" t="str">
            <v>CTR</v>
          </cell>
          <cell r="D1030" t="str">
            <v>TELEINFRA CENTRE</v>
          </cell>
        </row>
        <row r="1031">
          <cell r="A1031" t="str">
            <v>CTR_012</v>
          </cell>
          <cell r="B1031" t="str">
            <v>Rd-Pt-Express</v>
          </cell>
          <cell r="C1031" t="str">
            <v>CTR</v>
          </cell>
          <cell r="D1031" t="str">
            <v>TELEINFRA CENTRE</v>
          </cell>
        </row>
        <row r="1032">
          <cell r="A1032" t="str">
            <v>CTR_449</v>
          </cell>
          <cell r="B1032" t="str">
            <v>Rd-Pt-Longkak</v>
          </cell>
          <cell r="C1032" t="str">
            <v>CTR</v>
          </cell>
          <cell r="D1032" t="str">
            <v>TELEINFRA CENTRE</v>
          </cell>
        </row>
        <row r="1033">
          <cell r="A1033" t="str">
            <v>NRD_168</v>
          </cell>
          <cell r="B1033" t="str">
            <v>Reserve-Benoue</v>
          </cell>
          <cell r="C1033" t="str">
            <v>NRD</v>
          </cell>
          <cell r="D1033" t="str">
            <v>TELEINFRA NORD</v>
          </cell>
        </row>
        <row r="1034">
          <cell r="A1034" t="str">
            <v>NRD_023</v>
          </cell>
          <cell r="B1034" t="str">
            <v>Rey-Bouba</v>
          </cell>
          <cell r="C1034" t="str">
            <v>NRD</v>
          </cell>
          <cell r="D1034" t="str">
            <v>TELEINFRA NORD</v>
          </cell>
        </row>
        <row r="1035">
          <cell r="A1035" t="str">
            <v>EXN_139</v>
          </cell>
          <cell r="B1035" t="str">
            <v>Rhumsiki</v>
          </cell>
          <cell r="C1035" t="str">
            <v>EXN</v>
          </cell>
          <cell r="D1035" t="str">
            <v>TELEINFRA NORD</v>
          </cell>
        </row>
        <row r="1036">
          <cell r="A1036" t="str">
            <v>NRD_028</v>
          </cell>
          <cell r="B1036" t="str">
            <v>Ribao</v>
          </cell>
          <cell r="C1036" t="str">
            <v>NRD</v>
          </cell>
          <cell r="D1036" t="str">
            <v>TELEINFRA NORD</v>
          </cell>
        </row>
        <row r="1037">
          <cell r="A1037" t="str">
            <v>EXN_108</v>
          </cell>
          <cell r="B1037" t="str">
            <v>Roua</v>
          </cell>
          <cell r="C1037" t="str">
            <v>EXN</v>
          </cell>
          <cell r="D1037" t="str">
            <v>TELEINFRA NORD</v>
          </cell>
        </row>
        <row r="1038">
          <cell r="A1038" t="str">
            <v>NRD_089</v>
          </cell>
          <cell r="B1038" t="str">
            <v>Sagamla-MTN-IHS</v>
          </cell>
          <cell r="C1038" t="str">
            <v>NRD</v>
          </cell>
          <cell r="D1038" t="str">
            <v>TELEINFRA NORD</v>
          </cell>
        </row>
        <row r="1039">
          <cell r="A1039" t="str">
            <v>NRD_172</v>
          </cell>
          <cell r="B1039" t="str">
            <v>Sakdje</v>
          </cell>
          <cell r="C1039" t="str">
            <v>NRD</v>
          </cell>
          <cell r="D1039" t="str">
            <v>TELEINFRA NORD</v>
          </cell>
        </row>
        <row r="1040">
          <cell r="A1040" t="str">
            <v>EXN_008</v>
          </cell>
          <cell r="B1040" t="str">
            <v>Salack</v>
          </cell>
          <cell r="C1040" t="str">
            <v>EXN</v>
          </cell>
          <cell r="D1040" t="str">
            <v>TELEINFRA NORD</v>
          </cell>
        </row>
        <row r="1041">
          <cell r="A1041" t="str">
            <v>EXN_153</v>
          </cell>
          <cell r="B1041" t="str">
            <v>Salak-MTN-IHS</v>
          </cell>
          <cell r="C1041" t="str">
            <v>EXN</v>
          </cell>
          <cell r="D1041" t="str">
            <v>TELEINFRA NORD</v>
          </cell>
        </row>
        <row r="1042">
          <cell r="A1042" t="str">
            <v>EST_103</v>
          </cell>
          <cell r="B1042" t="str">
            <v>Salapoumbe-Ville-MTN-IHS</v>
          </cell>
          <cell r="C1042" t="str">
            <v>EST</v>
          </cell>
          <cell r="D1042" t="str">
            <v>TELEINFRA CENTRE</v>
          </cell>
        </row>
        <row r="1043">
          <cell r="A1043" t="str">
            <v>SUD_258</v>
          </cell>
          <cell r="B1043" t="str">
            <v>Sangmelima-Akon-MTN</v>
          </cell>
          <cell r="C1043" t="str">
            <v>SUD</v>
          </cell>
          <cell r="D1043" t="str">
            <v>TELEINFRA CENTRE</v>
          </cell>
        </row>
        <row r="1044">
          <cell r="A1044" t="str">
            <v>SUD_260</v>
          </cell>
          <cell r="B1044" t="str">
            <v>Sangmelima-Chateau</v>
          </cell>
          <cell r="C1044" t="str">
            <v>SUD</v>
          </cell>
          <cell r="D1044" t="str">
            <v>TELEINFRA CENTRE</v>
          </cell>
        </row>
        <row r="1045">
          <cell r="A1045" t="str">
            <v>SUD_018</v>
          </cell>
          <cell r="B1045" t="str">
            <v>Sangmelima-CRTV</v>
          </cell>
          <cell r="C1045" t="str">
            <v>SUD</v>
          </cell>
          <cell r="D1045" t="str">
            <v>TELEINFRA CENTRE</v>
          </cell>
        </row>
        <row r="1046">
          <cell r="A1046" t="str">
            <v>SUD_224</v>
          </cell>
          <cell r="B1046" t="str">
            <v>Sangmelima-II</v>
          </cell>
          <cell r="C1046" t="str">
            <v>SUD</v>
          </cell>
          <cell r="D1046" t="str">
            <v>TELEINFRA CENTRE</v>
          </cell>
        </row>
        <row r="1047">
          <cell r="A1047" t="str">
            <v>SUD_103</v>
          </cell>
          <cell r="B1047" t="str">
            <v>Sangmelima-Stade</v>
          </cell>
          <cell r="C1047" t="str">
            <v>SUD</v>
          </cell>
          <cell r="D1047" t="str">
            <v>TELEINFRA CENTRE</v>
          </cell>
        </row>
        <row r="1048">
          <cell r="A1048" t="str">
            <v>SUD_228</v>
          </cell>
          <cell r="B1048" t="str">
            <v>Sangmelima-Ville</v>
          </cell>
          <cell r="C1048" t="str">
            <v>SUD</v>
          </cell>
          <cell r="D1048" t="str">
            <v>TELEINFRA CENTRE</v>
          </cell>
        </row>
        <row r="1049">
          <cell r="A1049" t="str">
            <v>NRD_087</v>
          </cell>
          <cell r="B1049" t="str">
            <v>Sanguere-MTN-IHS</v>
          </cell>
          <cell r="C1049" t="str">
            <v>NRD</v>
          </cell>
          <cell r="D1049" t="str">
            <v>TELEINFRA NORD</v>
          </cell>
        </row>
        <row r="1050">
          <cell r="A1050" t="str">
            <v>NRD_166</v>
          </cell>
          <cell r="B1050" t="str">
            <v>Sanguere-Paul-MTN</v>
          </cell>
          <cell r="C1050" t="str">
            <v>NRD</v>
          </cell>
          <cell r="D1050" t="str">
            <v>TELEINFRA NORD</v>
          </cell>
        </row>
        <row r="1051">
          <cell r="A1051" t="str">
            <v>CTR_163</v>
          </cell>
          <cell r="B1051" t="str">
            <v>Santa-Barbara-Yde-IHS</v>
          </cell>
          <cell r="C1051" t="str">
            <v>CTR</v>
          </cell>
          <cell r="D1051" t="str">
            <v>TELEINFRA CENTRE</v>
          </cell>
        </row>
        <row r="1052">
          <cell r="A1052" t="str">
            <v>CTR_322</v>
          </cell>
          <cell r="B1052" t="str">
            <v>Sapeur</v>
          </cell>
          <cell r="C1052" t="str">
            <v>CTR</v>
          </cell>
          <cell r="D1052" t="str">
            <v>TELEINFRA CENTRE</v>
          </cell>
        </row>
        <row r="1053">
          <cell r="A1053" t="str">
            <v>CTR_133</v>
          </cell>
          <cell r="B1053" t="str">
            <v>Sapeur-Mimboman-IHS</v>
          </cell>
          <cell r="C1053" t="str">
            <v>CTR</v>
          </cell>
          <cell r="D1053" t="str">
            <v>TELEINFRA CENTRE</v>
          </cell>
        </row>
        <row r="1054">
          <cell r="A1054" t="str">
            <v>CTR_199</v>
          </cell>
          <cell r="B1054" t="str">
            <v>Satcom</v>
          </cell>
          <cell r="C1054" t="str">
            <v>CTR</v>
          </cell>
          <cell r="D1054" t="str">
            <v>TELEINFRA CENTRE</v>
          </cell>
        </row>
        <row r="1055">
          <cell r="A1055" t="str">
            <v>CTR_210</v>
          </cell>
          <cell r="B1055" t="str">
            <v>Scalom</v>
          </cell>
          <cell r="C1055" t="str">
            <v>CTR</v>
          </cell>
          <cell r="D1055" t="str">
            <v>TELEINFRA CENTRE</v>
          </cell>
        </row>
        <row r="1056">
          <cell r="A1056" t="str">
            <v>CTR_155</v>
          </cell>
          <cell r="B1056" t="str">
            <v>Scalom-EHS-IHS</v>
          </cell>
          <cell r="C1056" t="str">
            <v>CTR</v>
          </cell>
          <cell r="D1056" t="str">
            <v>TELEINFRA CENTRE</v>
          </cell>
        </row>
        <row r="1057">
          <cell r="A1057" t="str">
            <v>CTR_249</v>
          </cell>
          <cell r="B1057" t="str">
            <v>Science</v>
          </cell>
          <cell r="C1057" t="str">
            <v>CTR</v>
          </cell>
          <cell r="D1057" t="str">
            <v>TELEINFRA CENTRE</v>
          </cell>
        </row>
        <row r="1058">
          <cell r="A1058" t="str">
            <v>EXN_218</v>
          </cell>
          <cell r="B1058" t="str">
            <v>Sedek</v>
          </cell>
          <cell r="C1058" t="str">
            <v>EXN</v>
          </cell>
          <cell r="D1058" t="str">
            <v>TELEINFRA NORD</v>
          </cell>
        </row>
        <row r="1059">
          <cell r="A1059" t="str">
            <v>EST_102</v>
          </cell>
          <cell r="B1059" t="str">
            <v>SFID-Ndeng-MTN-IHS</v>
          </cell>
          <cell r="C1059" t="str">
            <v>EST</v>
          </cell>
          <cell r="D1059" t="str">
            <v>TELEINFRA CENTRE</v>
          </cell>
        </row>
        <row r="1060">
          <cell r="A1060" t="str">
            <v>CTR_056</v>
          </cell>
          <cell r="B1060" t="str">
            <v>Shell-Nsimeyong</v>
          </cell>
          <cell r="C1060" t="str">
            <v>CTR</v>
          </cell>
          <cell r="D1060" t="str">
            <v>TELEINFRA CENTRE</v>
          </cell>
        </row>
        <row r="1061">
          <cell r="A1061" t="str">
            <v>CTR_748</v>
          </cell>
          <cell r="B1061" t="str">
            <v>SIM-Barriere</v>
          </cell>
          <cell r="C1061" t="str">
            <v>CTR</v>
          </cell>
          <cell r="D1061" t="str">
            <v>TELEINFRA CENTRE</v>
          </cell>
        </row>
        <row r="1062">
          <cell r="A1062" t="str">
            <v>CTR_069</v>
          </cell>
          <cell r="B1062" t="str">
            <v>Simbock</v>
          </cell>
          <cell r="C1062" t="str">
            <v>CTR</v>
          </cell>
          <cell r="D1062" t="str">
            <v>TELEINFRA CENTRE</v>
          </cell>
        </row>
        <row r="1063">
          <cell r="A1063" t="str">
            <v>CTR_836</v>
          </cell>
          <cell r="B1063" t="str">
            <v>Simbock-Chefferie-MTN</v>
          </cell>
          <cell r="C1063" t="str">
            <v>CTR</v>
          </cell>
          <cell r="D1063" t="str">
            <v>TELEINFRA CENTRE</v>
          </cell>
        </row>
        <row r="1064">
          <cell r="A1064" t="str">
            <v>CTR_716</v>
          </cell>
          <cell r="B1064" t="str">
            <v>Simbock-II</v>
          </cell>
          <cell r="C1064" t="str">
            <v>CTR</v>
          </cell>
          <cell r="D1064" t="str">
            <v>TELEINFRA CENTRE</v>
          </cell>
        </row>
        <row r="1065">
          <cell r="A1065" t="str">
            <v>CTR_031</v>
          </cell>
          <cell r="B1065" t="str">
            <v>Soa</v>
          </cell>
          <cell r="C1065" t="str">
            <v>CTR</v>
          </cell>
          <cell r="D1065" t="str">
            <v>TELEINFRA CENTRE</v>
          </cell>
        </row>
        <row r="1066">
          <cell r="A1066" t="str">
            <v>CTR_317</v>
          </cell>
          <cell r="B1066" t="str">
            <v>Soa-II</v>
          </cell>
          <cell r="C1066" t="str">
            <v>CTR</v>
          </cell>
          <cell r="D1066" t="str">
            <v>TELEINFRA CENTRE</v>
          </cell>
        </row>
        <row r="1067">
          <cell r="A1067" t="str">
            <v>CTR_430</v>
          </cell>
          <cell r="B1067" t="str">
            <v>Soa-Sofamac</v>
          </cell>
          <cell r="C1067" t="str">
            <v>CTR</v>
          </cell>
          <cell r="D1067" t="str">
            <v>TELEINFRA CENTRE</v>
          </cell>
        </row>
        <row r="1068">
          <cell r="A1068" t="str">
            <v>CTR_649</v>
          </cell>
          <cell r="B1068" t="str">
            <v>Soa-Town-IHS</v>
          </cell>
          <cell r="C1068" t="str">
            <v>CTR</v>
          </cell>
          <cell r="D1068" t="str">
            <v>TELEINFRA CENTRE</v>
          </cell>
        </row>
        <row r="1069">
          <cell r="A1069" t="str">
            <v>CTR_674</v>
          </cell>
          <cell r="B1069" t="str">
            <v>Soa-University-Stadium</v>
          </cell>
          <cell r="C1069" t="str">
            <v>CTR</v>
          </cell>
          <cell r="D1069" t="str">
            <v>TELEINFRA CENTRE</v>
          </cell>
        </row>
        <row r="1070">
          <cell r="A1070" t="str">
            <v>CTR_431</v>
          </cell>
          <cell r="B1070" t="str">
            <v>Soa-UNIV-MTN</v>
          </cell>
          <cell r="C1070" t="str">
            <v>CTR</v>
          </cell>
          <cell r="D1070" t="str">
            <v>TELEINFRA CENTRE</v>
          </cell>
        </row>
        <row r="1071">
          <cell r="A1071" t="str">
            <v>CTR_714</v>
          </cell>
          <cell r="B1071" t="str">
            <v>Soa-Vallee</v>
          </cell>
          <cell r="C1071" t="str">
            <v>CTR</v>
          </cell>
          <cell r="D1071" t="str">
            <v>TELEINFRA CENTRE</v>
          </cell>
        </row>
        <row r="1072">
          <cell r="A1072" t="str">
            <v>EXN_001</v>
          </cell>
          <cell r="B1072" t="str">
            <v>Sodecoton</v>
          </cell>
          <cell r="C1072" t="str">
            <v>EXN</v>
          </cell>
          <cell r="D1072" t="str">
            <v>TELEINFRA NORD</v>
          </cell>
        </row>
        <row r="1073">
          <cell r="A1073" t="str">
            <v>NRD_125</v>
          </cell>
          <cell r="B1073" t="str">
            <v>So-Djay-IHS</v>
          </cell>
          <cell r="C1073" t="str">
            <v>NRD</v>
          </cell>
          <cell r="D1073" t="str">
            <v>TELEINFRA NORD</v>
          </cell>
        </row>
        <row r="1074">
          <cell r="A1074" t="str">
            <v>CTR_261</v>
          </cell>
          <cell r="B1074" t="str">
            <v>Sofavinc</v>
          </cell>
          <cell r="C1074" t="str">
            <v>CTR</v>
          </cell>
          <cell r="D1074" t="str">
            <v>TELEINFRA CENTRE</v>
          </cell>
        </row>
        <row r="1075">
          <cell r="A1075" t="str">
            <v>CTR_311</v>
          </cell>
          <cell r="B1075" t="str">
            <v>Song-Bong</v>
          </cell>
          <cell r="C1075" t="str">
            <v>CTR</v>
          </cell>
          <cell r="D1075" t="str">
            <v>TELEINFRA CENTRE</v>
          </cell>
        </row>
        <row r="1076">
          <cell r="A1076" t="str">
            <v>NRD_099</v>
          </cell>
          <cell r="B1076" t="str">
            <v>Sorawel-IHS</v>
          </cell>
          <cell r="C1076" t="str">
            <v>NRD</v>
          </cell>
          <cell r="D1076" t="str">
            <v>TELEINFRA NORD</v>
          </cell>
        </row>
        <row r="1077">
          <cell r="A1077" t="str">
            <v>ADM_030</v>
          </cell>
          <cell r="B1077" t="str">
            <v>Soukounga-MTN</v>
          </cell>
          <cell r="C1077" t="str">
            <v>ADM</v>
          </cell>
          <cell r="D1077" t="str">
            <v>TELEINFRA NORD</v>
          </cell>
        </row>
        <row r="1078">
          <cell r="A1078" t="str">
            <v>EXN_052</v>
          </cell>
          <cell r="B1078" t="str">
            <v>Soulede</v>
          </cell>
          <cell r="C1078" t="str">
            <v>EXN</v>
          </cell>
          <cell r="D1078" t="str">
            <v>TELEINFRA NORD</v>
          </cell>
        </row>
        <row r="1079">
          <cell r="A1079" t="str">
            <v>CTR_475</v>
          </cell>
          <cell r="B1079" t="str">
            <v>Sous-Prefecture-Tsinga</v>
          </cell>
          <cell r="C1079" t="str">
            <v>CTR</v>
          </cell>
          <cell r="D1079" t="str">
            <v>TELEINFRA CENTRE</v>
          </cell>
        </row>
        <row r="1080">
          <cell r="A1080" t="str">
            <v>EXN_251</v>
          </cell>
          <cell r="B1080" t="str">
            <v>SS_Vreket</v>
          </cell>
          <cell r="C1080" t="str">
            <v>EXN</v>
          </cell>
          <cell r="D1080" t="str">
            <v>TELEINFRA NORD</v>
          </cell>
        </row>
        <row r="1081">
          <cell r="A1081" t="str">
            <v>CTR_274</v>
          </cell>
          <cell r="B1081" t="str">
            <v>Stade-Abega</v>
          </cell>
          <cell r="C1081" t="str">
            <v>CTR</v>
          </cell>
          <cell r="D1081" t="str">
            <v>TELEINFRA CENTRE</v>
          </cell>
        </row>
        <row r="1082">
          <cell r="A1082" t="str">
            <v>NRD_174</v>
          </cell>
          <cell r="B1082" t="str">
            <v>Stade-omnisport-Roumde-Adja</v>
          </cell>
          <cell r="C1082" t="str">
            <v>NRD</v>
          </cell>
          <cell r="D1082" t="str">
            <v>TELEINFRA NORD</v>
          </cell>
        </row>
        <row r="1083">
          <cell r="A1083" t="str">
            <v>SUD_055</v>
          </cell>
          <cell r="B1083" t="str">
            <v>Sud-Cameroun-Hevea-Camtel</v>
          </cell>
          <cell r="C1083" t="str">
            <v>SUD</v>
          </cell>
          <cell r="D1083" t="str">
            <v>TELEINFRA CENTRE</v>
          </cell>
        </row>
        <row r="1084">
          <cell r="A1084" t="str">
            <v>CTR_561</v>
          </cell>
          <cell r="B1084" t="str">
            <v>Superette-Biyem-Assi</v>
          </cell>
          <cell r="C1084" t="str">
            <v>CTR</v>
          </cell>
          <cell r="D1084" t="str">
            <v>TELEINFRA CENTRE</v>
          </cell>
        </row>
        <row r="1085">
          <cell r="A1085" t="str">
            <v>EST_007</v>
          </cell>
          <cell r="B1085" t="str">
            <v>Tabene</v>
          </cell>
          <cell r="C1085" t="str">
            <v>EST</v>
          </cell>
          <cell r="D1085" t="str">
            <v>TELEINFRA CENTRE</v>
          </cell>
        </row>
        <row r="1086">
          <cell r="A1086" t="str">
            <v>CTR_121</v>
          </cell>
          <cell r="B1086" t="str">
            <v>Tamtam-Weekend-IHS</v>
          </cell>
          <cell r="C1086" t="str">
            <v>CTR</v>
          </cell>
          <cell r="D1086" t="str">
            <v>TELEINFRA CENTRE</v>
          </cell>
        </row>
        <row r="1087">
          <cell r="A1087" t="str">
            <v>ADM_016</v>
          </cell>
          <cell r="B1087" t="str">
            <v>Tchabal</v>
          </cell>
          <cell r="C1087" t="str">
            <v>ADM</v>
          </cell>
          <cell r="D1087" t="str">
            <v>TELEINFRA NORD</v>
          </cell>
        </row>
        <row r="1088">
          <cell r="A1088" t="str">
            <v>EXN_017</v>
          </cell>
          <cell r="B1088" t="str">
            <v>Tchatibali</v>
          </cell>
          <cell r="C1088" t="str">
            <v>EXN</v>
          </cell>
          <cell r="D1088" t="str">
            <v>TELEINFRA NORD</v>
          </cell>
        </row>
        <row r="1089">
          <cell r="A1089" t="str">
            <v>NRD_025</v>
          </cell>
          <cell r="B1089" t="str">
            <v>Tcheboa-MTN-IHS</v>
          </cell>
          <cell r="C1089" t="str">
            <v>NRD</v>
          </cell>
          <cell r="D1089" t="str">
            <v>TELEINFRA NORD</v>
          </cell>
        </row>
        <row r="1090">
          <cell r="A1090" t="str">
            <v>EXN_227</v>
          </cell>
          <cell r="B1090" t="str">
            <v>TCHEVI-IHS</v>
          </cell>
          <cell r="C1090" t="str">
            <v>EXN</v>
          </cell>
          <cell r="D1090" t="str">
            <v>TELEINFRA NORD</v>
          </cell>
        </row>
        <row r="1091">
          <cell r="A1091" t="str">
            <v>EXN_225</v>
          </cell>
          <cell r="B1091" t="str">
            <v>Tchika</v>
          </cell>
          <cell r="C1091" t="str">
            <v>EXN</v>
          </cell>
          <cell r="D1091" t="str">
            <v>TELEINFRA NORD</v>
          </cell>
        </row>
        <row r="1092">
          <cell r="A1092" t="str">
            <v>NRD_008</v>
          </cell>
          <cell r="B1092" t="str">
            <v>Tchollire</v>
          </cell>
          <cell r="C1092" t="str">
            <v>NRD</v>
          </cell>
          <cell r="D1092" t="str">
            <v>TELEINFRA NORD</v>
          </cell>
        </row>
        <row r="1093">
          <cell r="A1093" t="str">
            <v>NRD_180</v>
          </cell>
          <cell r="B1093" t="str">
            <v>Tchollire-Centre</v>
          </cell>
          <cell r="C1093" t="str">
            <v>NRD</v>
          </cell>
          <cell r="D1093" t="str">
            <v>TELEINFRA NORD</v>
          </cell>
        </row>
        <row r="1094">
          <cell r="A1094" t="str">
            <v>NRD_810</v>
          </cell>
          <cell r="B1094" t="str">
            <v>Tchollire-CRTV</v>
          </cell>
          <cell r="C1094" t="str">
            <v>NRD</v>
          </cell>
          <cell r="D1094" t="str">
            <v>TELEINFRA NORD</v>
          </cell>
        </row>
        <row r="1095">
          <cell r="A1095" t="str">
            <v>EXN_230</v>
          </cell>
          <cell r="B1095" t="str">
            <v>Tekele</v>
          </cell>
          <cell r="C1095" t="str">
            <v>EXN</v>
          </cell>
          <cell r="D1095" t="str">
            <v>TELEINFRA NORD</v>
          </cell>
        </row>
        <row r="1096">
          <cell r="A1096" t="str">
            <v>ADM_108</v>
          </cell>
          <cell r="B1096" t="str">
            <v>Telo-MTN-IHS</v>
          </cell>
          <cell r="C1096" t="str">
            <v>ADM</v>
          </cell>
          <cell r="D1096" t="str">
            <v>TELEINFRA NORD</v>
          </cell>
        </row>
        <row r="1097">
          <cell r="A1097" t="str">
            <v>EST_035</v>
          </cell>
          <cell r="B1097" t="str">
            <v>TETE ELEPHANT</v>
          </cell>
          <cell r="C1097" t="str">
            <v>EST</v>
          </cell>
          <cell r="D1097" t="str">
            <v>TELEINFRA CENTRE</v>
          </cell>
        </row>
        <row r="1098">
          <cell r="A1098" t="str">
            <v>ADM_044</v>
          </cell>
          <cell r="B1098" t="str">
            <v>Tibati-II</v>
          </cell>
          <cell r="C1098" t="str">
            <v>ADM</v>
          </cell>
          <cell r="D1098" t="str">
            <v>TELEINFRA NORD</v>
          </cell>
        </row>
        <row r="1099">
          <cell r="A1099" t="str">
            <v>ADM_105</v>
          </cell>
          <cell r="B1099" t="str">
            <v>Tibati-Market-MTN-IHS</v>
          </cell>
          <cell r="C1099" t="str">
            <v>ADM</v>
          </cell>
          <cell r="D1099" t="str">
            <v>TELEINFRA NORD</v>
          </cell>
        </row>
        <row r="1100">
          <cell r="A1100" t="str">
            <v>ADM_011</v>
          </cell>
          <cell r="B1100" t="str">
            <v>Tignere</v>
          </cell>
          <cell r="C1100" t="str">
            <v>ADM</v>
          </cell>
          <cell r="D1100" t="str">
            <v>TELEINFRA NORD</v>
          </cell>
        </row>
        <row r="1101">
          <cell r="A1101" t="str">
            <v>ADM_814</v>
          </cell>
          <cell r="B1101" t="str">
            <v>Tignere-MTN</v>
          </cell>
          <cell r="C1101" t="str">
            <v>ADM</v>
          </cell>
          <cell r="D1101" t="str">
            <v>TELEINFRA NORD</v>
          </cell>
        </row>
        <row r="1102">
          <cell r="A1102" t="str">
            <v>EST_040</v>
          </cell>
          <cell r="B1102" t="str">
            <v>Tikondi-MTN</v>
          </cell>
          <cell r="C1102" t="str">
            <v>EST</v>
          </cell>
          <cell r="D1102" t="str">
            <v>TELEINFRA CENTRE</v>
          </cell>
        </row>
        <row r="1103">
          <cell r="A1103" t="str">
            <v>CTR_542</v>
          </cell>
          <cell r="B1103" t="str">
            <v>Titi-Garage-New</v>
          </cell>
          <cell r="C1103" t="str">
            <v>CTR</v>
          </cell>
          <cell r="D1103" t="str">
            <v>TELEINFRA CENTRE</v>
          </cell>
        </row>
        <row r="1104">
          <cell r="A1104" t="str">
            <v>EXN_015</v>
          </cell>
          <cell r="B1104" t="str">
            <v>Tokombere</v>
          </cell>
          <cell r="C1104" t="str">
            <v>EXN</v>
          </cell>
          <cell r="D1104" t="str">
            <v>TELEINFRA NORD</v>
          </cell>
        </row>
        <row r="1105">
          <cell r="A1105" t="str">
            <v>NRD_112</v>
          </cell>
          <cell r="B1105" t="str">
            <v>Tongo-IHS</v>
          </cell>
          <cell r="C1105" t="str">
            <v>NRD</v>
          </cell>
          <cell r="D1105" t="str">
            <v>TELEINFRA NORD</v>
          </cell>
        </row>
        <row r="1106">
          <cell r="A1106" t="str">
            <v>CTR_390</v>
          </cell>
          <cell r="B1106" t="str">
            <v>Tongolo</v>
          </cell>
          <cell r="C1106" t="str">
            <v>CTR</v>
          </cell>
          <cell r="D1106" t="str">
            <v>TELEINFRA CENTRE</v>
          </cell>
        </row>
        <row r="1107">
          <cell r="A1107" t="str">
            <v>EST_116</v>
          </cell>
          <cell r="B1107" t="str">
            <v>Tongo-Ngandima-IHS</v>
          </cell>
          <cell r="C1107" t="str">
            <v>EST</v>
          </cell>
          <cell r="D1107" t="str">
            <v>TELEINFRA CENTRE</v>
          </cell>
        </row>
        <row r="1108">
          <cell r="A1108" t="str">
            <v>EXN_178</v>
          </cell>
          <cell r="B1108" t="str">
            <v>Torock-IHS</v>
          </cell>
          <cell r="C1108" t="str">
            <v>EXN</v>
          </cell>
          <cell r="D1108" t="str">
            <v>TELEINFRA NORD</v>
          </cell>
        </row>
        <row r="1109">
          <cell r="A1109" t="str">
            <v>ADM_005</v>
          </cell>
          <cell r="B1109" t="str">
            <v>Touboro</v>
          </cell>
          <cell r="C1109" t="str">
            <v>ADM</v>
          </cell>
          <cell r="D1109" t="str">
            <v>TELEINFRA NORD</v>
          </cell>
        </row>
        <row r="1110">
          <cell r="A1110" t="str">
            <v>NRD_137</v>
          </cell>
          <cell r="B1110" t="str">
            <v>Touboro-Ville</v>
          </cell>
          <cell r="C1110" t="str">
            <v>NRD</v>
          </cell>
          <cell r="D1110" t="str">
            <v>TELEINFRA NORD</v>
          </cell>
        </row>
        <row r="1111">
          <cell r="A1111" t="str">
            <v>EXN_125</v>
          </cell>
          <cell r="B1111" t="str">
            <v>Touloum-IHS</v>
          </cell>
          <cell r="C1111" t="str">
            <v>EXN</v>
          </cell>
          <cell r="D1111" t="str">
            <v>TELEINFRA NORD</v>
          </cell>
        </row>
        <row r="1112">
          <cell r="A1112" t="str">
            <v>ADM_094</v>
          </cell>
          <cell r="B1112" t="str">
            <v>Tourningal-MTN-IHS</v>
          </cell>
          <cell r="C1112" t="str">
            <v>ADM</v>
          </cell>
          <cell r="D1112" t="str">
            <v>TELEINFRA NORD</v>
          </cell>
        </row>
        <row r="1113">
          <cell r="A1113" t="str">
            <v>EXN_231</v>
          </cell>
          <cell r="B1113" t="str">
            <v>Tourou</v>
          </cell>
          <cell r="C1113" t="str">
            <v>EXN</v>
          </cell>
          <cell r="D1113" t="str">
            <v>TELEINFRA NORD</v>
          </cell>
        </row>
        <row r="1114">
          <cell r="A1114" t="str">
            <v>CTR_276</v>
          </cell>
          <cell r="B1114" t="str">
            <v>Tradex-Nkomo</v>
          </cell>
          <cell r="C1114" t="str">
            <v>CTR</v>
          </cell>
          <cell r="D1114" t="str">
            <v>TELEINFRA CENTRE</v>
          </cell>
        </row>
        <row r="1115">
          <cell r="A1115" t="str">
            <v>CTR_851</v>
          </cell>
          <cell r="B1115" t="str">
            <v>Tradex-Simbock-MTN</v>
          </cell>
          <cell r="C1115" t="str">
            <v>CTR</v>
          </cell>
          <cell r="D1115" t="str">
            <v>TELEINFRA CENTRE</v>
          </cell>
        </row>
        <row r="1116">
          <cell r="A1116" t="str">
            <v>CTR_833</v>
          </cell>
          <cell r="B1116" t="str">
            <v>Tropicana-New</v>
          </cell>
          <cell r="C1116" t="str">
            <v>CTR</v>
          </cell>
          <cell r="D1116" t="str">
            <v>TELEINFRA CENTRE</v>
          </cell>
        </row>
        <row r="1117">
          <cell r="A1117" t="str">
            <v>CTR_675</v>
          </cell>
          <cell r="B1117" t="str">
            <v>Tsinga-Village2</v>
          </cell>
          <cell r="C1117" t="str">
            <v>CTR</v>
          </cell>
          <cell r="D1117" t="str">
            <v>TELEINFRA CENTRE</v>
          </cell>
        </row>
        <row r="1118">
          <cell r="A1118" t="str">
            <v>CTR_563</v>
          </cell>
          <cell r="B1118" t="str">
            <v>Tsomo-Assi</v>
          </cell>
          <cell r="C1118" t="str">
            <v>CTR</v>
          </cell>
          <cell r="D1118" t="str">
            <v>TELEINFRA CENTRE</v>
          </cell>
        </row>
        <row r="1119">
          <cell r="A1119" t="str">
            <v>CTR_251</v>
          </cell>
          <cell r="B1119" t="str">
            <v>Vallee-Bastos</v>
          </cell>
          <cell r="C1119" t="str">
            <v>CTR</v>
          </cell>
          <cell r="D1119" t="str">
            <v>TELEINFRA CENTRE</v>
          </cell>
        </row>
        <row r="1120">
          <cell r="A1120" t="str">
            <v>CTR_758</v>
          </cell>
          <cell r="B1120" t="str">
            <v>Vallee-Omnisport</v>
          </cell>
          <cell r="C1120" t="str">
            <v>CTR</v>
          </cell>
          <cell r="D1120" t="str">
            <v>TELEINFRA CENTRE</v>
          </cell>
        </row>
        <row r="1121">
          <cell r="A1121" t="str">
            <v>CTR_632</v>
          </cell>
          <cell r="B1121" t="str">
            <v>Voirie-Municipale-IHS</v>
          </cell>
          <cell r="C1121" t="str">
            <v>CTR</v>
          </cell>
          <cell r="D1121" t="str">
            <v>TELEINFRA CENTRE</v>
          </cell>
        </row>
        <row r="1122">
          <cell r="A1122" t="str">
            <v>ADM_099</v>
          </cell>
          <cell r="B1122" t="str">
            <v>Wada-MTN-IHS</v>
          </cell>
          <cell r="C1122" t="str">
            <v>ADM</v>
          </cell>
          <cell r="D1122" t="str">
            <v>TELEINFRA NORD</v>
          </cell>
        </row>
        <row r="1123">
          <cell r="A1123" t="str">
            <v>ADM_103</v>
          </cell>
          <cell r="B1123" t="str">
            <v>Wadjiri-IHS</v>
          </cell>
          <cell r="C1123" t="str">
            <v>ADM</v>
          </cell>
          <cell r="D1123" t="str">
            <v>TELEINFRA NORD</v>
          </cell>
        </row>
        <row r="1124">
          <cell r="A1124" t="str">
            <v>ADM_078</v>
          </cell>
          <cell r="B1124" t="str">
            <v>Wakwa-IHS</v>
          </cell>
          <cell r="C1124" t="str">
            <v>ADM</v>
          </cell>
          <cell r="D1124" t="str">
            <v>TELEINFRA NORD</v>
          </cell>
        </row>
        <row r="1125">
          <cell r="A1125" t="str">
            <v>EXN_033</v>
          </cell>
          <cell r="B1125" t="str">
            <v>Waza</v>
          </cell>
          <cell r="C1125" t="str">
            <v>EXN</v>
          </cell>
          <cell r="D1125" t="str">
            <v>TELEINFRA NORD</v>
          </cell>
        </row>
        <row r="1126">
          <cell r="A1126" t="str">
            <v>EXN_127</v>
          </cell>
          <cell r="B1126" t="str">
            <v>Wina-IHS</v>
          </cell>
          <cell r="C1126" t="str">
            <v>EXN</v>
          </cell>
          <cell r="D1126" t="str">
            <v>TELEINFRA NORD</v>
          </cell>
        </row>
        <row r="1127">
          <cell r="A1127" t="str">
            <v>EXN_004</v>
          </cell>
          <cell r="B1127" t="str">
            <v>Yagoua</v>
          </cell>
          <cell r="C1127" t="str">
            <v>EXN</v>
          </cell>
          <cell r="D1127" t="str">
            <v>TELEINFRA NORD</v>
          </cell>
        </row>
        <row r="1128">
          <cell r="A1128" t="str">
            <v>EXN_144</v>
          </cell>
          <cell r="B1128" t="str">
            <v>Yagoua-MTN-IHS</v>
          </cell>
          <cell r="C1128" t="str">
            <v>EXN</v>
          </cell>
          <cell r="D1128" t="str">
            <v>TELEINFRA NORD</v>
          </cell>
        </row>
        <row r="1129">
          <cell r="A1129" t="str">
            <v>EXN_069</v>
          </cell>
          <cell r="B1129" t="str">
            <v>Yagoua-Quinf</v>
          </cell>
          <cell r="C1129" t="str">
            <v>EXN</v>
          </cell>
          <cell r="D1129" t="str">
            <v>TELEINFRA NORD</v>
          </cell>
        </row>
        <row r="1130">
          <cell r="A1130" t="str">
            <v>EXN_236</v>
          </cell>
          <cell r="B1130" t="str">
            <v>Yagoua-Quinf-II</v>
          </cell>
          <cell r="C1130" t="str">
            <v>EXN</v>
          </cell>
          <cell r="D1130" t="str">
            <v>TELEINFRA NORD</v>
          </cell>
        </row>
        <row r="1131">
          <cell r="A1131" t="str">
            <v>EXN_096</v>
          </cell>
          <cell r="B1131" t="str">
            <v>Yagoua-Ville</v>
          </cell>
          <cell r="C1131" t="str">
            <v>EXN</v>
          </cell>
          <cell r="D1131" t="str">
            <v>TELEINFRA NORD</v>
          </cell>
        </row>
        <row r="1132">
          <cell r="A1132" t="str">
            <v>ADM_142</v>
          </cell>
          <cell r="B1132" t="str">
            <v>Yarbang-Gaziya-IHS</v>
          </cell>
          <cell r="C1132" t="str">
            <v>ADM</v>
          </cell>
          <cell r="D1132" t="str">
            <v>TELEINFRA NORD</v>
          </cell>
        </row>
        <row r="1133">
          <cell r="A1133" t="str">
            <v>CTR_244</v>
          </cell>
          <cell r="B1133" t="str">
            <v>Yde-M-Central</v>
          </cell>
          <cell r="C1133" t="str">
            <v>CTR</v>
          </cell>
          <cell r="D1133" t="str">
            <v>TELEINFRA CENTRE</v>
          </cell>
        </row>
        <row r="1134">
          <cell r="A1134" t="str">
            <v>CTR_447</v>
          </cell>
          <cell r="B1134" t="str">
            <v>Yde-University</v>
          </cell>
          <cell r="C1134" t="str">
            <v>CTR</v>
          </cell>
          <cell r="D1134" t="str">
            <v>TELEINFRA CENTRE</v>
          </cell>
        </row>
        <row r="1135">
          <cell r="A1135" t="str">
            <v>CTR_770</v>
          </cell>
          <cell r="B1135" t="str">
            <v>Yegeassi</v>
          </cell>
          <cell r="C1135" t="str">
            <v>CTR</v>
          </cell>
          <cell r="D1135" t="str">
            <v>TELEINFRA CENTRE</v>
          </cell>
        </row>
        <row r="1136">
          <cell r="A1136" t="str">
            <v>NRD_007</v>
          </cell>
          <cell r="B1136" t="str">
            <v>Yelwa</v>
          </cell>
          <cell r="C1136" t="str">
            <v>NRD</v>
          </cell>
          <cell r="D1136" t="str">
            <v>TELEINFRA NORD</v>
          </cell>
        </row>
        <row r="1137">
          <cell r="A1137" t="str">
            <v>NRD_097</v>
          </cell>
          <cell r="B1137" t="str">
            <v>Yelwa-MTN-IHS</v>
          </cell>
          <cell r="C1137" t="str">
            <v>NRD</v>
          </cell>
          <cell r="D1137" t="str">
            <v>TELEINFRA NORD</v>
          </cell>
        </row>
        <row r="1138">
          <cell r="A1138" t="str">
            <v>SUD_243</v>
          </cell>
          <cell r="B1138" t="str">
            <v>Yembon</v>
          </cell>
          <cell r="C1138" t="str">
            <v>SUD</v>
          </cell>
          <cell r="D1138" t="str">
            <v>TELEINFRA CENTRE</v>
          </cell>
        </row>
        <row r="1139">
          <cell r="A1139" t="str">
            <v>EST_013</v>
          </cell>
          <cell r="B1139" t="str">
            <v>Yokadouma</v>
          </cell>
          <cell r="C1139" t="str">
            <v>EST</v>
          </cell>
          <cell r="D1139" t="str">
            <v>TELEINFRA CENTRE</v>
          </cell>
        </row>
        <row r="1140">
          <cell r="A1140" t="str">
            <v>EST_106</v>
          </cell>
          <cell r="B1140" t="str">
            <v>Yola-MTN-IHS</v>
          </cell>
          <cell r="C1140" t="str">
            <v>EST</v>
          </cell>
          <cell r="D1140" t="str">
            <v>TELEINFRA CENTRE</v>
          </cell>
        </row>
        <row r="1141">
          <cell r="A1141" t="str">
            <v>CTR_466</v>
          </cell>
          <cell r="B1141" t="str">
            <v>Yona-Hotel-MTN-IHS</v>
          </cell>
          <cell r="C1141" t="str">
            <v>CTR</v>
          </cell>
          <cell r="D1141" t="str">
            <v>TELEINFRA CENTRE</v>
          </cell>
        </row>
        <row r="1142">
          <cell r="A1142" t="str">
            <v>CTR_673</v>
          </cell>
          <cell r="B1142" t="str">
            <v>Yop-IHS</v>
          </cell>
          <cell r="C1142" t="str">
            <v>CTR</v>
          </cell>
          <cell r="D1142" t="str">
            <v>TELEINFRA CENTRE</v>
          </cell>
        </row>
        <row r="1143">
          <cell r="A1143" t="str">
            <v>CTR_366</v>
          </cell>
          <cell r="B1143" t="str">
            <v>Zamakoe-MTN</v>
          </cell>
          <cell r="C1143" t="str">
            <v>CTR</v>
          </cell>
          <cell r="D1143" t="str">
            <v>TELEINFRA CENTRE</v>
          </cell>
        </row>
        <row r="1144">
          <cell r="A1144" t="str">
            <v>CTR_100</v>
          </cell>
          <cell r="B1144" t="str">
            <v>Zamengoue</v>
          </cell>
          <cell r="C1144" t="str">
            <v>CTR</v>
          </cell>
          <cell r="D1144" t="str">
            <v>TELEINFRA CENTRE</v>
          </cell>
        </row>
        <row r="1145">
          <cell r="A1145" t="str">
            <v>EXN_131</v>
          </cell>
          <cell r="B1145" t="str">
            <v>Zanay-IHS</v>
          </cell>
          <cell r="C1145" t="str">
            <v>EXN</v>
          </cell>
          <cell r="D1145" t="str">
            <v>TELEINFRA NORD</v>
          </cell>
        </row>
        <row r="1146">
          <cell r="A1146" t="str">
            <v>EXN_154</v>
          </cell>
          <cell r="B1146" t="str">
            <v>Zidim-IHS</v>
          </cell>
          <cell r="C1146" t="str">
            <v>EXN</v>
          </cell>
          <cell r="D1146" t="str">
            <v>TELEINFRA NORD</v>
          </cell>
        </row>
        <row r="1147">
          <cell r="A1147" t="str">
            <v>EXN_034</v>
          </cell>
          <cell r="B1147" t="str">
            <v>Zigague</v>
          </cell>
          <cell r="C1147" t="str">
            <v>EXN</v>
          </cell>
          <cell r="D1147" t="str">
            <v>TELEINFRA NORD</v>
          </cell>
        </row>
        <row r="1148">
          <cell r="A1148" t="str">
            <v>EXN_174</v>
          </cell>
          <cell r="B1148" t="str">
            <v>Zileng-IHS</v>
          </cell>
          <cell r="C1148" t="str">
            <v>EXN</v>
          </cell>
          <cell r="D1148" t="str">
            <v>TELEINFRA NORD</v>
          </cell>
        </row>
        <row r="1149">
          <cell r="A1149" t="str">
            <v>CTR_111</v>
          </cell>
          <cell r="B1149" t="str">
            <v>Zoetele</v>
          </cell>
          <cell r="C1149" t="str">
            <v>CTR</v>
          </cell>
          <cell r="D1149" t="str">
            <v>TELEINFRA CENTRE</v>
          </cell>
        </row>
        <row r="1150">
          <cell r="A1150" t="str">
            <v>EXN_009</v>
          </cell>
          <cell r="B1150" t="str">
            <v>Zokok</v>
          </cell>
          <cell r="C1150" t="str">
            <v>EXN</v>
          </cell>
          <cell r="D1150" t="str">
            <v>TELEINFRA NORD</v>
          </cell>
        </row>
        <row r="1151">
          <cell r="A1151" t="str">
            <v>EXN_242</v>
          </cell>
          <cell r="B1151" t="str">
            <v>Zouhaye</v>
          </cell>
          <cell r="C1151" t="str">
            <v>EXN</v>
          </cell>
          <cell r="D1151" t="str">
            <v>TELEINFRA NORD</v>
          </cell>
        </row>
        <row r="1152">
          <cell r="A1152" t="str">
            <v>EXN_172</v>
          </cell>
          <cell r="B1152" t="str">
            <v>Zouvoul-IHS</v>
          </cell>
          <cell r="C1152" t="str">
            <v>EXN</v>
          </cell>
          <cell r="D1152" t="str">
            <v>TELEINFRA NORD</v>
          </cell>
        </row>
        <row r="1153">
          <cell r="A1153" t="str">
            <v>LIT_382</v>
          </cell>
          <cell r="B1153" t="str">
            <v>Banyangui</v>
          </cell>
          <cell r="C1153" t="str">
            <v>LIT</v>
          </cell>
          <cell r="D1153" t="str">
            <v>H-TELI</v>
          </cell>
        </row>
        <row r="1154">
          <cell r="A1154" t="str">
            <v>LIT_700</v>
          </cell>
          <cell r="B1154" t="str">
            <v>BICEC-Indoor</v>
          </cell>
          <cell r="C1154" t="str">
            <v>LIT</v>
          </cell>
          <cell r="D1154" t="str">
            <v>H-TELI</v>
          </cell>
        </row>
        <row r="1155">
          <cell r="A1155" t="str">
            <v>LIT_564</v>
          </cell>
          <cell r="B1155" t="str">
            <v>Bois-Des-Singes</v>
          </cell>
          <cell r="C1155" t="str">
            <v>LIT</v>
          </cell>
          <cell r="D1155" t="str">
            <v>H-TELI</v>
          </cell>
        </row>
        <row r="1156">
          <cell r="A1156" t="str">
            <v>LIT_717</v>
          </cell>
          <cell r="B1156" t="str">
            <v>Bois-Des-Singes-II-MTN</v>
          </cell>
          <cell r="C1156" t="str">
            <v>LIT</v>
          </cell>
          <cell r="D1156" t="str">
            <v>H-TELI</v>
          </cell>
        </row>
        <row r="1157">
          <cell r="A1157" t="str">
            <v>LIT_060</v>
          </cell>
          <cell r="B1157" t="str">
            <v>Bpriso-ASECNA</v>
          </cell>
          <cell r="C1157" t="str">
            <v>LIT</v>
          </cell>
          <cell r="D1157" t="str">
            <v>H-TELI</v>
          </cell>
        </row>
        <row r="1158">
          <cell r="A1158" t="str">
            <v>LIT_675</v>
          </cell>
          <cell r="B1158" t="str">
            <v>Bpriso-Croissanterie</v>
          </cell>
          <cell r="C1158" t="str">
            <v>LIT</v>
          </cell>
          <cell r="D1158" t="str">
            <v>H-TELI</v>
          </cell>
        </row>
        <row r="1159">
          <cell r="A1159" t="str">
            <v>LIT_676</v>
          </cell>
          <cell r="B1159" t="str">
            <v>Bpriso-Hydrocarbure</v>
          </cell>
          <cell r="C1159" t="str">
            <v>LIT</v>
          </cell>
          <cell r="D1159" t="str">
            <v>H-TELI</v>
          </cell>
        </row>
        <row r="1160">
          <cell r="A1160" t="str">
            <v>LIT_104</v>
          </cell>
          <cell r="B1160" t="str">
            <v>Bpriso-Nodal</v>
          </cell>
          <cell r="C1160" t="str">
            <v>LIT</v>
          </cell>
          <cell r="D1160" t="str">
            <v>H-TELI</v>
          </cell>
        </row>
        <row r="1161">
          <cell r="A1161" t="str">
            <v>LIT_763</v>
          </cell>
          <cell r="B1161" t="str">
            <v>BTS-Mobile-Marche-Central</v>
          </cell>
          <cell r="C1161" t="str">
            <v>LIT</v>
          </cell>
          <cell r="D1161" t="str">
            <v>H-TELI</v>
          </cell>
        </row>
        <row r="1162">
          <cell r="A1162" t="str">
            <v>LIT_311</v>
          </cell>
          <cell r="B1162" t="str">
            <v>Camatrans-New</v>
          </cell>
          <cell r="C1162" t="str">
            <v>LIT</v>
          </cell>
          <cell r="D1162" t="str">
            <v>H-TELI</v>
          </cell>
        </row>
        <row r="1163">
          <cell r="A1163" t="str">
            <v>LIT_139</v>
          </cell>
          <cell r="B1163" t="str">
            <v>Camship</v>
          </cell>
          <cell r="C1163" t="str">
            <v>LIT</v>
          </cell>
          <cell r="D1163" t="str">
            <v>H-TELI</v>
          </cell>
        </row>
        <row r="1164">
          <cell r="A1164" t="str">
            <v>LIT_XXX</v>
          </cell>
          <cell r="B1164" t="str">
            <v>CNPS</v>
          </cell>
          <cell r="C1164" t="str">
            <v>LIT</v>
          </cell>
          <cell r="D1164" t="str">
            <v>H-TELI</v>
          </cell>
        </row>
        <row r="1165">
          <cell r="A1165" t="str">
            <v>LIT_708</v>
          </cell>
          <cell r="B1165" t="str">
            <v>CNPS-Indoor</v>
          </cell>
          <cell r="C1165" t="str">
            <v>LIT</v>
          </cell>
          <cell r="D1165" t="str">
            <v>H-TELI</v>
          </cell>
        </row>
        <row r="1166">
          <cell r="A1166" t="str">
            <v>LIT_003</v>
          </cell>
          <cell r="B1166" t="str">
            <v>CTN</v>
          </cell>
          <cell r="C1166" t="str">
            <v>LIT</v>
          </cell>
          <cell r="D1166" t="str">
            <v>H-TELI</v>
          </cell>
        </row>
        <row r="1167">
          <cell r="A1167" t="str">
            <v>LIT_746</v>
          </cell>
          <cell r="B1167" t="str">
            <v>Douala-Bali-III-MTN</v>
          </cell>
          <cell r="C1167" t="str">
            <v>LIT</v>
          </cell>
          <cell r="D1167" t="str">
            <v>H-TELI</v>
          </cell>
        </row>
        <row r="1168">
          <cell r="A1168" t="str">
            <v>LIT_325</v>
          </cell>
          <cell r="B1168" t="str">
            <v>Hogmeni</v>
          </cell>
          <cell r="C1168" t="str">
            <v>LIT</v>
          </cell>
          <cell r="D1168" t="str">
            <v>H-TELI</v>
          </cell>
        </row>
        <row r="1169">
          <cell r="A1169" t="str">
            <v>LIT_099</v>
          </cell>
          <cell r="B1169" t="str">
            <v>H-Sawa</v>
          </cell>
          <cell r="C1169" t="str">
            <v>LIT</v>
          </cell>
          <cell r="D1169" t="str">
            <v>H-TELI</v>
          </cell>
        </row>
        <row r="1170">
          <cell r="A1170" t="str">
            <v>LIT_047</v>
          </cell>
          <cell r="B1170" t="str">
            <v>Kayo-Elie</v>
          </cell>
          <cell r="C1170" t="str">
            <v>LIT</v>
          </cell>
          <cell r="D1170" t="str">
            <v>H-TELI</v>
          </cell>
        </row>
        <row r="1171">
          <cell r="A1171" t="str">
            <v>LIT_079</v>
          </cell>
          <cell r="B1171" t="str">
            <v>Koloko</v>
          </cell>
          <cell r="C1171" t="str">
            <v>LIT</v>
          </cell>
          <cell r="D1171" t="str">
            <v>H-TELI</v>
          </cell>
        </row>
        <row r="1172">
          <cell r="A1172" t="str">
            <v>LIT_041</v>
          </cell>
          <cell r="B1172" t="str">
            <v>La-Falaise</v>
          </cell>
          <cell r="C1172" t="str">
            <v>LIT</v>
          </cell>
          <cell r="D1172" t="str">
            <v>H-TELI</v>
          </cell>
        </row>
        <row r="1173">
          <cell r="A1173" t="str">
            <v>LIT_427</v>
          </cell>
          <cell r="B1173" t="str">
            <v>Lycee-Koumassi-IHS</v>
          </cell>
          <cell r="C1173" t="str">
            <v>LIT</v>
          </cell>
          <cell r="D1173" t="str">
            <v>H-TELI</v>
          </cell>
        </row>
        <row r="1174">
          <cell r="A1174" t="str">
            <v>LIT_547</v>
          </cell>
          <cell r="B1174" t="str">
            <v>Marche-Congo</v>
          </cell>
          <cell r="C1174" t="str">
            <v>LIT</v>
          </cell>
          <cell r="D1174" t="str">
            <v>H-TELI</v>
          </cell>
        </row>
        <row r="1175">
          <cell r="A1175" t="str">
            <v>LIT_023</v>
          </cell>
          <cell r="B1175" t="str">
            <v>Minoterie</v>
          </cell>
          <cell r="C1175" t="str">
            <v>LIT</v>
          </cell>
          <cell r="D1175" t="str">
            <v>H-TELI</v>
          </cell>
        </row>
        <row r="1176">
          <cell r="A1176" t="str">
            <v>LIT_242</v>
          </cell>
          <cell r="B1176" t="str">
            <v>SABC-Bali</v>
          </cell>
          <cell r="C1176" t="str">
            <v>LIT</v>
          </cell>
          <cell r="D1176" t="str">
            <v>H-TELI</v>
          </cell>
        </row>
        <row r="1177">
          <cell r="A1177" t="str">
            <v>LIT_742</v>
          </cell>
          <cell r="B1177" t="str">
            <v>SGC_Bonanjo</v>
          </cell>
          <cell r="C1177" t="str">
            <v>LIT</v>
          </cell>
          <cell r="D1177" t="str">
            <v>H-TELI</v>
          </cell>
        </row>
        <row r="1178">
          <cell r="A1178" t="str">
            <v>LIT_268</v>
          </cell>
          <cell r="B1178" t="str">
            <v>Youpwe</v>
          </cell>
          <cell r="C1178" t="str">
            <v>LIT</v>
          </cell>
          <cell r="D1178" t="str">
            <v>H-TELI</v>
          </cell>
        </row>
        <row r="1179">
          <cell r="A1179" t="str">
            <v>LIT_015</v>
          </cell>
          <cell r="B1179" t="str">
            <v>Bali-SNEC</v>
          </cell>
          <cell r="C1179" t="str">
            <v>LIT</v>
          </cell>
          <cell r="D1179" t="str">
            <v>H-TELI</v>
          </cell>
        </row>
        <row r="1180">
          <cell r="A1180" t="str">
            <v>LIT_748</v>
          </cell>
          <cell r="B1180" t="str">
            <v>Armee-de-l-AIR-IHS</v>
          </cell>
          <cell r="C1180" t="str">
            <v>LIT</v>
          </cell>
          <cell r="D1180" t="str">
            <v>H-TELI</v>
          </cell>
        </row>
        <row r="1181">
          <cell r="A1181" t="str">
            <v>LIT_153</v>
          </cell>
          <cell r="B1181" t="str">
            <v>Babylone-IHS</v>
          </cell>
          <cell r="C1181" t="str">
            <v>LIT</v>
          </cell>
          <cell r="D1181" t="str">
            <v>H-TELI</v>
          </cell>
        </row>
        <row r="1182">
          <cell r="A1182" t="str">
            <v>LIT_410</v>
          </cell>
          <cell r="B1182" t="str">
            <v>Bpriso-Vanitex-New</v>
          </cell>
          <cell r="C1182" t="str">
            <v>LIT</v>
          </cell>
          <cell r="D1182" t="str">
            <v>H-TELI</v>
          </cell>
        </row>
        <row r="1183">
          <cell r="A1183" t="str">
            <v>LIT_281</v>
          </cell>
          <cell r="B1183" t="str">
            <v>Camp-Bertaud</v>
          </cell>
          <cell r="C1183" t="str">
            <v>LIT</v>
          </cell>
          <cell r="D1183" t="str">
            <v>H-TELI</v>
          </cell>
        </row>
        <row r="1184">
          <cell r="A1184" t="str">
            <v>LIT_009</v>
          </cell>
          <cell r="B1184" t="str">
            <v>La-Rose</v>
          </cell>
          <cell r="C1184" t="str">
            <v>LIT</v>
          </cell>
          <cell r="D1184" t="str">
            <v>H-TELI</v>
          </cell>
        </row>
        <row r="1185">
          <cell r="A1185" t="str">
            <v>LIT_581</v>
          </cell>
          <cell r="B1185" t="str">
            <v>Ministere-New</v>
          </cell>
          <cell r="C1185" t="str">
            <v>LIT</v>
          </cell>
          <cell r="D1185" t="str">
            <v>H-TELI</v>
          </cell>
        </row>
        <row r="1186">
          <cell r="A1186" t="str">
            <v>LIT_528</v>
          </cell>
          <cell r="B1186" t="str">
            <v>Newb-Ancien-Etage-New</v>
          </cell>
          <cell r="C1186" t="str">
            <v>LIT</v>
          </cell>
          <cell r="D1186" t="str">
            <v>H-TELI</v>
          </cell>
        </row>
        <row r="1187">
          <cell r="A1187" t="str">
            <v>LIT_395</v>
          </cell>
          <cell r="B1187" t="str">
            <v>Newb-Q-Haoussa</v>
          </cell>
          <cell r="C1187" t="str">
            <v>LIT</v>
          </cell>
          <cell r="D1187" t="str">
            <v>H-TELI</v>
          </cell>
        </row>
        <row r="1188">
          <cell r="A1188" t="str">
            <v>LIT_095</v>
          </cell>
          <cell r="B1188" t="str">
            <v>Newb-Srce-Quartier</v>
          </cell>
          <cell r="C1188" t="str">
            <v>LIT</v>
          </cell>
          <cell r="D1188" t="str">
            <v>H-TELI</v>
          </cell>
        </row>
        <row r="1189">
          <cell r="A1189" t="str">
            <v>LIT_091</v>
          </cell>
          <cell r="B1189" t="str">
            <v>Nkongmondo</v>
          </cell>
          <cell r="C1189" t="str">
            <v>LIT</v>
          </cell>
          <cell r="D1189" t="str">
            <v>H-TELI</v>
          </cell>
        </row>
        <row r="1190">
          <cell r="A1190" t="str">
            <v>LIT_122</v>
          </cell>
          <cell r="B1190" t="str">
            <v>Old-Airport-IHS</v>
          </cell>
          <cell r="C1190" t="str">
            <v>LIT</v>
          </cell>
          <cell r="D1190" t="str">
            <v>H-TELI</v>
          </cell>
        </row>
        <row r="1191">
          <cell r="A1191" t="str">
            <v>LIT_141</v>
          </cell>
          <cell r="B1191" t="str">
            <v>Sky-Way-Hotel-IHS</v>
          </cell>
          <cell r="C1191" t="str">
            <v>LIT</v>
          </cell>
          <cell r="D1191" t="str">
            <v>H-TELI</v>
          </cell>
        </row>
        <row r="1192">
          <cell r="A1192" t="str">
            <v>LIT_043</v>
          </cell>
          <cell r="B1192" t="str">
            <v>SNAC</v>
          </cell>
          <cell r="C1192" t="str">
            <v>LIT</v>
          </cell>
          <cell r="D1192" t="str">
            <v>H-TELI</v>
          </cell>
        </row>
        <row r="1193">
          <cell r="A1193" t="str">
            <v>LIT_429</v>
          </cell>
          <cell r="B1193" t="str">
            <v>Spectrum-Bonanjo-IHS</v>
          </cell>
          <cell r="C1193" t="str">
            <v>LIT</v>
          </cell>
          <cell r="D1193" t="str">
            <v>H-TELI</v>
          </cell>
        </row>
        <row r="1194">
          <cell r="A1194" t="str">
            <v>LIT_413</v>
          </cell>
          <cell r="B1194" t="str">
            <v>Bali-Koumassi</v>
          </cell>
          <cell r="C1194" t="str">
            <v>LIT</v>
          </cell>
          <cell r="D1194" t="str">
            <v>H-TELI</v>
          </cell>
        </row>
        <row r="1195">
          <cell r="A1195" t="str">
            <v>LIT_367</v>
          </cell>
          <cell r="B1195" t="str">
            <v>Activa-Akwa</v>
          </cell>
          <cell r="C1195" t="str">
            <v>LIT</v>
          </cell>
          <cell r="D1195" t="str">
            <v>H-TELI</v>
          </cell>
        </row>
        <row r="1196">
          <cell r="A1196" t="str">
            <v>LIT_705</v>
          </cell>
          <cell r="B1196" t="str">
            <v>Akwa-Palace-Micro</v>
          </cell>
          <cell r="C1196" t="str">
            <v>LIT</v>
          </cell>
          <cell r="D1196" t="str">
            <v>H-TELI</v>
          </cell>
        </row>
        <row r="1197">
          <cell r="A1197" t="str">
            <v>LIT_653</v>
          </cell>
          <cell r="B1197" t="str">
            <v>Ancien-Troisieme</v>
          </cell>
          <cell r="C1197" t="str">
            <v>LIT</v>
          </cell>
          <cell r="D1197" t="str">
            <v>H-TELI</v>
          </cell>
        </row>
        <row r="1198">
          <cell r="A1198" t="str">
            <v>LIT_347</v>
          </cell>
          <cell r="B1198" t="str">
            <v>Base-Navale</v>
          </cell>
          <cell r="C1198" t="str">
            <v>LIT</v>
          </cell>
          <cell r="D1198" t="str">
            <v>H-TELI</v>
          </cell>
        </row>
        <row r="1199">
          <cell r="A1199" t="str">
            <v>LIT_126</v>
          </cell>
          <cell r="B1199" t="str">
            <v>Bonadibong</v>
          </cell>
          <cell r="C1199" t="str">
            <v>LIT</v>
          </cell>
          <cell r="D1199" t="str">
            <v>H-TELI</v>
          </cell>
        </row>
        <row r="1200">
          <cell r="A1200" t="str">
            <v>LIT_412</v>
          </cell>
          <cell r="B1200" t="str">
            <v>Bonadibong-Crf-Tif</v>
          </cell>
          <cell r="C1200" t="str">
            <v>LIT</v>
          </cell>
          <cell r="D1200" t="str">
            <v>H-TELI</v>
          </cell>
        </row>
        <row r="1201">
          <cell r="A1201" t="str">
            <v>LIT_120</v>
          </cell>
          <cell r="B1201" t="str">
            <v>Bonamouti</v>
          </cell>
          <cell r="C1201" t="str">
            <v>LIT</v>
          </cell>
          <cell r="D1201" t="str">
            <v>H-TELI</v>
          </cell>
        </row>
        <row r="1202">
          <cell r="A1202" t="str">
            <v>LIT_074</v>
          </cell>
          <cell r="B1202" t="str">
            <v>Bonewonda</v>
          </cell>
          <cell r="C1202" t="str">
            <v>LIT</v>
          </cell>
          <cell r="D1202" t="str">
            <v>H-TELI</v>
          </cell>
        </row>
        <row r="1203">
          <cell r="A1203" t="str">
            <v>LIT_379</v>
          </cell>
          <cell r="B1203" t="str">
            <v>Bonewonda-Chefferie</v>
          </cell>
          <cell r="C1203" t="str">
            <v>LIT</v>
          </cell>
          <cell r="D1203" t="str">
            <v>H-TELI</v>
          </cell>
        </row>
        <row r="1204">
          <cell r="A1204" t="str">
            <v>LIT_615</v>
          </cell>
          <cell r="B1204" t="str">
            <v>Bonewonda-III</v>
          </cell>
          <cell r="C1204" t="str">
            <v>LIT</v>
          </cell>
          <cell r="D1204" t="str">
            <v>H-TELI</v>
          </cell>
        </row>
        <row r="1205">
          <cell r="A1205" t="str">
            <v>LIT_756</v>
          </cell>
          <cell r="B1205" t="str">
            <v>BTS-Mobile-Krystal-Palace</v>
          </cell>
          <cell r="C1205" t="str">
            <v>LIT</v>
          </cell>
          <cell r="D1205" t="str">
            <v>H-TELI</v>
          </cell>
        </row>
        <row r="1206">
          <cell r="A1206" t="str">
            <v>LIT_045</v>
          </cell>
          <cell r="B1206" t="str">
            <v>Centenaire</v>
          </cell>
          <cell r="C1206" t="str">
            <v>LIT</v>
          </cell>
          <cell r="D1206" t="str">
            <v>H-TELI</v>
          </cell>
        </row>
        <row r="1207">
          <cell r="A1207" t="str">
            <v>LIT_596</v>
          </cell>
          <cell r="B1207" t="str">
            <v>Franqueville-New</v>
          </cell>
          <cell r="C1207" t="str">
            <v>LIT</v>
          </cell>
          <cell r="D1207" t="str">
            <v>H-TELI</v>
          </cell>
        </row>
        <row r="1208">
          <cell r="A1208" t="str">
            <v>LIT_065</v>
          </cell>
          <cell r="B1208" t="str">
            <v>H-Lumiere</v>
          </cell>
          <cell r="C1208" t="str">
            <v>LIT</v>
          </cell>
          <cell r="D1208" t="str">
            <v>H-TELI</v>
          </cell>
        </row>
        <row r="1209">
          <cell r="A1209" t="str">
            <v>LIT_644</v>
          </cell>
          <cell r="B1209" t="str">
            <v>Laquintinie-Camtel</v>
          </cell>
          <cell r="C1209" t="str">
            <v>LIT</v>
          </cell>
          <cell r="D1209" t="str">
            <v>H-TELI</v>
          </cell>
        </row>
        <row r="1210">
          <cell r="A1210" t="str">
            <v>LIT_673</v>
          </cell>
          <cell r="B1210" t="str">
            <v>Liberte-Indoor</v>
          </cell>
          <cell r="C1210" t="str">
            <v>LIT</v>
          </cell>
          <cell r="D1210" t="str">
            <v>H-TELI</v>
          </cell>
        </row>
        <row r="1211">
          <cell r="A1211" t="str">
            <v>LIT_014</v>
          </cell>
          <cell r="B1211" t="str">
            <v>Stamatiades</v>
          </cell>
          <cell r="C1211" t="str">
            <v>LIT</v>
          </cell>
          <cell r="D1211" t="str">
            <v>H-TELI</v>
          </cell>
        </row>
        <row r="1212">
          <cell r="A1212" t="str">
            <v>LIT_025</v>
          </cell>
          <cell r="B1212" t="str">
            <v>Tsekenis</v>
          </cell>
          <cell r="C1212" t="str">
            <v>LIT</v>
          </cell>
          <cell r="D1212" t="str">
            <v>H-TELI</v>
          </cell>
        </row>
        <row r="1213">
          <cell r="A1213" t="str">
            <v>LIT_703</v>
          </cell>
          <cell r="B1213" t="str">
            <v>Soudanaise-micro</v>
          </cell>
          <cell r="C1213" t="str">
            <v>LIT</v>
          </cell>
          <cell r="D1213" t="str">
            <v>H-TELI</v>
          </cell>
        </row>
        <row r="1214">
          <cell r="A1214" t="str">
            <v>LIT_381</v>
          </cell>
          <cell r="B1214" t="str">
            <v>Pain-Magique</v>
          </cell>
          <cell r="C1214" t="str">
            <v>LIT</v>
          </cell>
          <cell r="D1214" t="str">
            <v>H-TELI</v>
          </cell>
        </row>
        <row r="1215">
          <cell r="A1215" t="str">
            <v>LIT_662</v>
          </cell>
          <cell r="B1215" t="str">
            <v>Minisite-Dubai</v>
          </cell>
          <cell r="C1215" t="str">
            <v>LIT</v>
          </cell>
          <cell r="D1215" t="str">
            <v>H-TELI</v>
          </cell>
        </row>
        <row r="1216">
          <cell r="A1216" t="str">
            <v>LIT_665</v>
          </cell>
          <cell r="B1216" t="str">
            <v>Minisite-Soudanaise</v>
          </cell>
          <cell r="C1216" t="str">
            <v>LIT</v>
          </cell>
          <cell r="D1216" t="str">
            <v>H-TELI</v>
          </cell>
        </row>
        <row r="1217">
          <cell r="A1217" t="str">
            <v>LIT_245</v>
          </cell>
          <cell r="B1217" t="str">
            <v>De-La-Salle</v>
          </cell>
          <cell r="C1217" t="str">
            <v>LIT</v>
          </cell>
          <cell r="D1217" t="str">
            <v>H-TELI</v>
          </cell>
        </row>
        <row r="1218">
          <cell r="A1218" t="str">
            <v>LIT_689</v>
          </cell>
          <cell r="B1218" t="str">
            <v>Fayador-Akwa</v>
          </cell>
          <cell r="C1218" t="str">
            <v>LIT</v>
          </cell>
          <cell r="D1218" t="str">
            <v>H-TELI</v>
          </cell>
        </row>
        <row r="1219">
          <cell r="A1219" t="str">
            <v>LIT_008</v>
          </cell>
          <cell r="B1219" t="str">
            <v>Hila</v>
          </cell>
          <cell r="C1219" t="str">
            <v>LIT</v>
          </cell>
          <cell r="D1219" t="str">
            <v>H-TELI</v>
          </cell>
        </row>
        <row r="1220">
          <cell r="A1220" t="str">
            <v> LIT_761</v>
          </cell>
          <cell r="B1220" t="str">
            <v>Mboppi Market</v>
          </cell>
          <cell r="C1220" t="str">
            <v>LIT</v>
          </cell>
          <cell r="D1220" t="str">
            <v>H-TELI</v>
          </cell>
        </row>
        <row r="1221">
          <cell r="A1221" t="str">
            <v>LIT_736</v>
          </cell>
          <cell r="B1221" t="str">
            <v>Mboppi-New</v>
          </cell>
          <cell r="C1221" t="str">
            <v>LIT</v>
          </cell>
          <cell r="D1221" t="str">
            <v>H-TELI</v>
          </cell>
        </row>
        <row r="1222">
          <cell r="A1222" t="str">
            <v>LIT_460</v>
          </cell>
          <cell r="B1222" t="str">
            <v>Ngodi-Akwa</v>
          </cell>
          <cell r="C1222" t="str">
            <v>LIT</v>
          </cell>
          <cell r="D1222" t="str">
            <v>H-TELI</v>
          </cell>
        </row>
        <row r="1223">
          <cell r="A1223" t="str">
            <v>LIT_411</v>
          </cell>
          <cell r="B1223" t="str">
            <v>Ngodi-Cimetiere</v>
          </cell>
          <cell r="C1223" t="str">
            <v>LIT</v>
          </cell>
          <cell r="D1223" t="str">
            <v>H-TELI</v>
          </cell>
        </row>
        <row r="1224">
          <cell r="A1224" t="str">
            <v>LIT_626</v>
          </cell>
          <cell r="B1224" t="str">
            <v>Ngodi-Cite</v>
          </cell>
          <cell r="C1224" t="str">
            <v>LIT</v>
          </cell>
          <cell r="D1224" t="str">
            <v>H-TELI</v>
          </cell>
        </row>
        <row r="1225">
          <cell r="A1225" t="str">
            <v>LIT_087</v>
          </cell>
          <cell r="B1225" t="str">
            <v>Wouri</v>
          </cell>
          <cell r="C1225" t="str">
            <v>LIT</v>
          </cell>
          <cell r="D1225" t="str">
            <v>H-TELI</v>
          </cell>
        </row>
        <row r="1226">
          <cell r="A1226" t="str">
            <v>LIT_453</v>
          </cell>
          <cell r="B1226" t="str">
            <v>Avenue-General-De-Gaulle</v>
          </cell>
          <cell r="C1226" t="str">
            <v>LIT</v>
          </cell>
          <cell r="D1226" t="str">
            <v>H-TELI</v>
          </cell>
        </row>
        <row r="1227">
          <cell r="A1227" t="str">
            <v>LIT_151</v>
          </cell>
          <cell r="B1227" t="str">
            <v>Base-Elf-New</v>
          </cell>
          <cell r="C1227" t="str">
            <v>LIT</v>
          </cell>
          <cell r="D1227" t="str">
            <v>H-TELI</v>
          </cell>
        </row>
        <row r="1228">
          <cell r="A1228" t="str">
            <v>LIT_580</v>
          </cell>
          <cell r="B1228" t="str">
            <v>Douche-New</v>
          </cell>
          <cell r="C1228" t="str">
            <v>LIT</v>
          </cell>
          <cell r="D1228" t="str">
            <v>H-TELI</v>
          </cell>
        </row>
        <row r="1229">
          <cell r="A1229" t="str">
            <v>LIT_244</v>
          </cell>
          <cell r="B1229" t="str">
            <v>H-Astoria</v>
          </cell>
          <cell r="C1229" t="str">
            <v>LIT</v>
          </cell>
          <cell r="D1229" t="str">
            <v>H-TELI</v>
          </cell>
        </row>
        <row r="1230">
          <cell r="A1230" t="str">
            <v>LIT_082</v>
          </cell>
          <cell r="B1230" t="str">
            <v>Laquintinie</v>
          </cell>
          <cell r="C1230" t="str">
            <v>LIT</v>
          </cell>
          <cell r="D1230" t="str">
            <v>H-TELI</v>
          </cell>
        </row>
        <row r="1231">
          <cell r="A1231" t="str">
            <v>LIT_497</v>
          </cell>
          <cell r="B1231" t="str">
            <v>Manoka-IHS</v>
          </cell>
          <cell r="C1231" t="str">
            <v>LIT</v>
          </cell>
          <cell r="D1231" t="str">
            <v>H-TELI</v>
          </cell>
        </row>
        <row r="1232">
          <cell r="A1232" t="str">
            <v>LIT_336</v>
          </cell>
          <cell r="B1232" t="str">
            <v>Bonamikengue</v>
          </cell>
          <cell r="C1232" t="str">
            <v>LIT</v>
          </cell>
          <cell r="D1232" t="str">
            <v>H-TELI</v>
          </cell>
        </row>
        <row r="1233">
          <cell r="A1233" t="str">
            <v>LIT_400</v>
          </cell>
          <cell r="B1233" t="str">
            <v>Bonawon</v>
          </cell>
          <cell r="C1233" t="str">
            <v>LIT</v>
          </cell>
          <cell r="D1233" t="str">
            <v>H-TELI</v>
          </cell>
        </row>
        <row r="1234">
          <cell r="A1234" t="str">
            <v>LIT_162</v>
          </cell>
          <cell r="B1234" t="str">
            <v>Camp-Yabassi</v>
          </cell>
          <cell r="C1234" t="str">
            <v>LIT</v>
          </cell>
          <cell r="D1234" t="str">
            <v>H-TELI</v>
          </cell>
        </row>
        <row r="1235">
          <cell r="A1235" t="str">
            <v>LIT_587</v>
          </cell>
          <cell r="B1235" t="str">
            <v>Camp-Yabassi-IHS</v>
          </cell>
          <cell r="C1235" t="str">
            <v>LIT</v>
          </cell>
          <cell r="D1235" t="str">
            <v>H-TELI</v>
          </cell>
        </row>
        <row r="1236">
          <cell r="A1236" t="str">
            <v>LIT_236</v>
          </cell>
          <cell r="B1236" t="str">
            <v>Marche-Mboppi</v>
          </cell>
          <cell r="C1236" t="str">
            <v>LIT</v>
          </cell>
          <cell r="D1236" t="str">
            <v>H-TELI</v>
          </cell>
        </row>
        <row r="1237">
          <cell r="A1237" t="str">
            <v>LIT_294</v>
          </cell>
          <cell r="B1237" t="str">
            <v>Ngodi</v>
          </cell>
          <cell r="C1237" t="str">
            <v>LIT</v>
          </cell>
          <cell r="D1237" t="str">
            <v>H-TELI</v>
          </cell>
        </row>
        <row r="1238">
          <cell r="A1238" t="str">
            <v>LIT_240</v>
          </cell>
          <cell r="B1238" t="str">
            <v>Boko-Douala</v>
          </cell>
          <cell r="C1238" t="str">
            <v>LIT</v>
          </cell>
          <cell r="D1238" t="str">
            <v>H-TELI</v>
          </cell>
        </row>
        <row r="1239">
          <cell r="A1239" t="str">
            <v>LIT_575</v>
          </cell>
          <cell r="B1239" t="str">
            <v>Boko-Douala-II-IHS</v>
          </cell>
          <cell r="C1239" t="str">
            <v>LIT</v>
          </cell>
          <cell r="D1239" t="str">
            <v>H-TELI</v>
          </cell>
        </row>
        <row r="1240">
          <cell r="A1240" t="str">
            <v>LIT_632</v>
          </cell>
          <cell r="B1240" t="str">
            <v>Boko-Hospital-IHS</v>
          </cell>
          <cell r="C1240" t="str">
            <v>LIT</v>
          </cell>
          <cell r="D1240" t="str">
            <v>H-TELI</v>
          </cell>
        </row>
        <row r="1241">
          <cell r="A1241" t="str">
            <v>LIT_633</v>
          </cell>
          <cell r="B1241" t="str">
            <v>Boko-IHS</v>
          </cell>
          <cell r="C1241" t="str">
            <v>LIT</v>
          </cell>
          <cell r="D1241" t="str">
            <v>H-TELI</v>
          </cell>
        </row>
        <row r="1242">
          <cell r="A1242" t="str">
            <v>LIT_363</v>
          </cell>
          <cell r="B1242" t="str">
            <v>Boko-Plage-IHS</v>
          </cell>
          <cell r="C1242" t="str">
            <v>LIT</v>
          </cell>
          <cell r="D1242" t="str">
            <v>H-TELI</v>
          </cell>
        </row>
        <row r="1243">
          <cell r="A1243"/>
          <cell r="B1243" t="str">
            <v xml:space="preserve">Mbanga Pongo 2  </v>
          </cell>
          <cell r="C1243"/>
          <cell r="D1243" t="str">
            <v>H-TELI</v>
          </cell>
        </row>
        <row r="1244">
          <cell r="A1244" t="str">
            <v>LIT_164</v>
          </cell>
          <cell r="B1244" t="str">
            <v>Mbanga-Bakoko-IHS</v>
          </cell>
          <cell r="C1244" t="str">
            <v>LIT</v>
          </cell>
          <cell r="D1244" t="str">
            <v>H-TELI</v>
          </cell>
        </row>
        <row r="1245">
          <cell r="A1245" t="str">
            <v>LIT_614</v>
          </cell>
          <cell r="B1245" t="str">
            <v>Mbanga-Bakoko-SIC</v>
          </cell>
          <cell r="C1245" t="str">
            <v>LIT</v>
          </cell>
          <cell r="D1245" t="str">
            <v>H-TELI</v>
          </cell>
        </row>
        <row r="1246">
          <cell r="A1246" t="str">
            <v>LIT_598</v>
          </cell>
          <cell r="B1246" t="str">
            <v>Mbanga-Pongo-IHS</v>
          </cell>
          <cell r="C1246" t="str">
            <v>LIT</v>
          </cell>
          <cell r="D1246" t="str">
            <v>H-TELI</v>
          </cell>
        </row>
        <row r="1247">
          <cell r="A1247" t="str">
            <v>LIT_033</v>
          </cell>
          <cell r="B1247" t="str">
            <v>Aeroport</v>
          </cell>
          <cell r="C1247" t="str">
            <v>LIT</v>
          </cell>
          <cell r="D1247" t="str">
            <v>H-TELI</v>
          </cell>
        </row>
        <row r="1248">
          <cell r="A1248" t="str">
            <v>LIT_648</v>
          </cell>
          <cell r="B1248" t="str">
            <v>Babylone-Dispensaire</v>
          </cell>
          <cell r="C1248" t="str">
            <v>LIT</v>
          </cell>
          <cell r="D1248" t="str">
            <v>H-TELI</v>
          </cell>
        </row>
        <row r="1249">
          <cell r="A1249" t="str">
            <v>LIT_425</v>
          </cell>
          <cell r="B1249" t="str">
            <v>Bilongue</v>
          </cell>
          <cell r="C1249" t="str">
            <v>LIT</v>
          </cell>
          <cell r="D1249" t="str">
            <v>H-TELI</v>
          </cell>
        </row>
        <row r="1250">
          <cell r="A1250" t="str">
            <v>LIT_451</v>
          </cell>
          <cell r="B1250" t="str">
            <v>Bilongue-II</v>
          </cell>
          <cell r="C1250" t="str">
            <v>LIT</v>
          </cell>
          <cell r="D1250" t="str">
            <v>H-TELI</v>
          </cell>
        </row>
        <row r="1251">
          <cell r="A1251" t="str">
            <v>LIT_694</v>
          </cell>
          <cell r="B1251" t="str">
            <v>Brazzaville-II</v>
          </cell>
          <cell r="C1251" t="str">
            <v>LIT</v>
          </cell>
          <cell r="D1251" t="str">
            <v>H-TELI</v>
          </cell>
        </row>
        <row r="1252">
          <cell r="A1252" t="str">
            <v>LIT_084</v>
          </cell>
          <cell r="B1252" t="str">
            <v>C-D-Billes</v>
          </cell>
          <cell r="C1252" t="str">
            <v>LIT</v>
          </cell>
          <cell r="D1252" t="str">
            <v>H-TELI</v>
          </cell>
        </row>
        <row r="1253">
          <cell r="A1253" t="str">
            <v>LIT_745</v>
          </cell>
          <cell r="B1253" t="str">
            <v>Douala-Grand-Mall-FZ</v>
          </cell>
          <cell r="C1253" t="str">
            <v>LIT</v>
          </cell>
          <cell r="D1253" t="str">
            <v>H-TELI</v>
          </cell>
        </row>
        <row r="1254">
          <cell r="A1254" t="str">
            <v>LIT_814</v>
          </cell>
          <cell r="B1254" t="str">
            <v>Madagascar-Nodal</v>
          </cell>
          <cell r="C1254" t="str">
            <v>LIT</v>
          </cell>
          <cell r="D1254" t="str">
            <v>H-TELI</v>
          </cell>
        </row>
        <row r="1255">
          <cell r="A1255" t="str">
            <v>LIT_765</v>
          </cell>
          <cell r="B1255" t="str">
            <v>Oyack-II</v>
          </cell>
          <cell r="C1255" t="str">
            <v>LIT</v>
          </cell>
          <cell r="D1255" t="str">
            <v>H-TELI</v>
          </cell>
        </row>
        <row r="1256">
          <cell r="A1256" t="str">
            <v>LIT_300</v>
          </cell>
          <cell r="B1256" t="str">
            <v>Song-Mahop</v>
          </cell>
          <cell r="C1256" t="str">
            <v>LIT</v>
          </cell>
          <cell r="D1256" t="str">
            <v>H-TELI</v>
          </cell>
        </row>
        <row r="1257">
          <cell r="A1257" t="str">
            <v>LIT_758</v>
          </cell>
          <cell r="B1257" t="str">
            <v>Ucac-Icam</v>
          </cell>
          <cell r="C1257" t="str">
            <v>LIT</v>
          </cell>
          <cell r="D1257" t="str">
            <v>H-TELI</v>
          </cell>
        </row>
        <row r="1258">
          <cell r="A1258" t="str">
            <v>LIT_018</v>
          </cell>
          <cell r="B1258" t="str">
            <v>Chevreuil</v>
          </cell>
          <cell r="C1258" t="str">
            <v>LIT</v>
          </cell>
          <cell r="D1258" t="str">
            <v>H-TELI</v>
          </cell>
        </row>
        <row r="1259">
          <cell r="A1259" t="str">
            <v>LIT_539</v>
          </cell>
          <cell r="B1259" t="str">
            <v>Nkolmintag</v>
          </cell>
          <cell r="C1259" t="str">
            <v>LIT</v>
          </cell>
          <cell r="D1259" t="str">
            <v>H-TELI</v>
          </cell>
        </row>
        <row r="1260">
          <cell r="A1260" t="str">
            <v>LIT_183</v>
          </cell>
          <cell r="B1260" t="str">
            <v>Nkololoun</v>
          </cell>
          <cell r="C1260" t="str">
            <v>LIT</v>
          </cell>
          <cell r="D1260" t="str">
            <v>H-TELI</v>
          </cell>
        </row>
        <row r="1261">
          <cell r="A1261" t="str">
            <v>LIT_439</v>
          </cell>
          <cell r="B1261" t="str">
            <v>Nkololoun-II</v>
          </cell>
          <cell r="C1261" t="str">
            <v>LIT</v>
          </cell>
          <cell r="D1261" t="str">
            <v>H-TELI</v>
          </cell>
        </row>
        <row r="1262">
          <cell r="A1262" t="str">
            <v>LIT_548</v>
          </cell>
          <cell r="B1262" t="str">
            <v>Nkololoun-Marche</v>
          </cell>
          <cell r="C1262" t="str">
            <v>LIT</v>
          </cell>
          <cell r="D1262" t="str">
            <v>H-TELI</v>
          </cell>
        </row>
        <row r="1263">
          <cell r="A1263" t="str">
            <v>LIT_420</v>
          </cell>
          <cell r="B1263" t="str">
            <v>Qtier-Tergal</v>
          </cell>
          <cell r="C1263" t="str">
            <v>LIT</v>
          </cell>
          <cell r="D1263" t="str">
            <v>H-TELI</v>
          </cell>
        </row>
        <row r="1264">
          <cell r="A1264" t="str">
            <v>LIT_096</v>
          </cell>
          <cell r="B1264" t="str">
            <v>NR-PK5</v>
          </cell>
          <cell r="C1264" t="str">
            <v>LIT</v>
          </cell>
          <cell r="D1264" t="str">
            <v>H-TELI</v>
          </cell>
        </row>
        <row r="1265">
          <cell r="A1265" t="str">
            <v>LIT_616</v>
          </cell>
          <cell r="B1265" t="str">
            <v>Bucavoyage</v>
          </cell>
          <cell r="C1265" t="str">
            <v>LIT</v>
          </cell>
          <cell r="D1265" t="str">
            <v>H-TELI</v>
          </cell>
        </row>
        <row r="1266">
          <cell r="A1266" t="str">
            <v>LIT_073</v>
          </cell>
          <cell r="B1266" t="str">
            <v>PK5</v>
          </cell>
          <cell r="C1266" t="str">
            <v>LIT</v>
          </cell>
          <cell r="D1266" t="str">
            <v>H-TELI</v>
          </cell>
        </row>
        <row r="1267">
          <cell r="A1267" t="str">
            <v>LIT_647</v>
          </cell>
          <cell r="B1267" t="str">
            <v>PK5-Auberge</v>
          </cell>
          <cell r="C1267" t="str">
            <v>LIT</v>
          </cell>
          <cell r="D1267" t="str">
            <v>H-TELI</v>
          </cell>
        </row>
        <row r="1268">
          <cell r="A1268" t="str">
            <v>LIT_053</v>
          </cell>
          <cell r="B1268" t="str">
            <v>Shell-Newbell</v>
          </cell>
          <cell r="C1268" t="str">
            <v>LIT</v>
          </cell>
          <cell r="D1268" t="str">
            <v>H-TELI</v>
          </cell>
        </row>
        <row r="1269">
          <cell r="A1269" t="str">
            <v>LIT_407</v>
          </cell>
          <cell r="B1269" t="str">
            <v>Shell-NewBell-Carrefour</v>
          </cell>
          <cell r="C1269" t="str">
            <v>LIT</v>
          </cell>
          <cell r="D1269" t="str">
            <v>H-TELI</v>
          </cell>
        </row>
        <row r="1270">
          <cell r="A1270" t="str">
            <v>LIT_752</v>
          </cell>
          <cell r="B1270" t="str">
            <v>NEW-BELL-CAMTEL</v>
          </cell>
          <cell r="C1270" t="str">
            <v>LIT</v>
          </cell>
          <cell r="D1270" t="str">
            <v>H-TELI</v>
          </cell>
        </row>
        <row r="1271">
          <cell r="A1271" t="str">
            <v>LIT_740</v>
          </cell>
          <cell r="B1271" t="str">
            <v>Marche-Central-Bonewon-NEW</v>
          </cell>
          <cell r="C1271" t="str">
            <v>LIT</v>
          </cell>
          <cell r="D1271" t="str">
            <v>H-TELI</v>
          </cell>
        </row>
        <row r="1272">
          <cell r="A1272" t="str">
            <v>LIT_055</v>
          </cell>
          <cell r="B1272" t="str">
            <v>Ancien-Aeroport</v>
          </cell>
          <cell r="C1272" t="str">
            <v>LIT</v>
          </cell>
          <cell r="D1272" t="str">
            <v>H-TELI</v>
          </cell>
        </row>
        <row r="1273">
          <cell r="A1273" t="str">
            <v>LIT_250</v>
          </cell>
          <cell r="B1273" t="str">
            <v>Bobongo</v>
          </cell>
          <cell r="C1273" t="str">
            <v>LIT</v>
          </cell>
          <cell r="D1273" t="str">
            <v>H-TELI</v>
          </cell>
        </row>
        <row r="1274">
          <cell r="A1274" t="str">
            <v>LIT_568</v>
          </cell>
          <cell r="B1274" t="str">
            <v>Bobongo-II</v>
          </cell>
          <cell r="C1274" t="str">
            <v>LIT</v>
          </cell>
          <cell r="D1274" t="str">
            <v>H-TELI</v>
          </cell>
        </row>
        <row r="1275">
          <cell r="A1275" t="str">
            <v>LIT_426</v>
          </cell>
          <cell r="B1275" t="str">
            <v>Bobongo-Itba-IHS</v>
          </cell>
          <cell r="C1275" t="str">
            <v>LIT</v>
          </cell>
          <cell r="D1275" t="str">
            <v>H-TELI</v>
          </cell>
        </row>
        <row r="1276">
          <cell r="A1276" t="str">
            <v>LIT_129</v>
          </cell>
          <cell r="B1276" t="str">
            <v>Bonadiwoto-IHS</v>
          </cell>
          <cell r="C1276" t="str">
            <v>LIT</v>
          </cell>
          <cell r="D1276" t="str">
            <v>H-TELI</v>
          </cell>
        </row>
        <row r="1277">
          <cell r="A1277" t="str">
            <v>LIT_433</v>
          </cell>
          <cell r="B1277" t="str">
            <v>Bonaloka-Entree</v>
          </cell>
          <cell r="C1277" t="str">
            <v>LIT</v>
          </cell>
          <cell r="D1277" t="str">
            <v>H-TELI</v>
          </cell>
        </row>
        <row r="1278">
          <cell r="A1278" t="str">
            <v>LIT_156</v>
          </cell>
          <cell r="B1278" t="str">
            <v>Bonaloka-IHS</v>
          </cell>
          <cell r="C1278" t="str">
            <v>LIT</v>
          </cell>
          <cell r="D1278" t="str">
            <v>H-TELI</v>
          </cell>
        </row>
        <row r="1279">
          <cell r="A1279" t="str">
            <v>LIT_081</v>
          </cell>
          <cell r="B1279" t="str">
            <v>Brazzaville</v>
          </cell>
          <cell r="C1279" t="str">
            <v>LIT</v>
          </cell>
          <cell r="D1279" t="str">
            <v>H-TELI</v>
          </cell>
        </row>
        <row r="1280">
          <cell r="A1280" t="str">
            <v>LIT_089</v>
          </cell>
          <cell r="B1280" t="str">
            <v>Brazz-St-Bruno</v>
          </cell>
          <cell r="C1280" t="str">
            <v>LIT</v>
          </cell>
          <cell r="D1280" t="str">
            <v>H-TELI</v>
          </cell>
        </row>
        <row r="1281">
          <cell r="A1281" t="str">
            <v>LIT_656</v>
          </cell>
          <cell r="B1281" t="str">
            <v>Cite-Berge-EPC</v>
          </cell>
          <cell r="C1281" t="str">
            <v>LIT</v>
          </cell>
          <cell r="D1281" t="str">
            <v>H-TELI</v>
          </cell>
        </row>
        <row r="1282">
          <cell r="A1282" t="str">
            <v>LIT_157</v>
          </cell>
          <cell r="B1282" t="str">
            <v>Cite-Berges-IHS</v>
          </cell>
          <cell r="C1282" t="str">
            <v>LIT</v>
          </cell>
          <cell r="D1282" t="str">
            <v>H-TELI</v>
          </cell>
        </row>
        <row r="1283">
          <cell r="A1283" t="str">
            <v>LIT_125</v>
          </cell>
          <cell r="B1283" t="str">
            <v>International-Airport-IHS</v>
          </cell>
          <cell r="C1283" t="str">
            <v>LIT</v>
          </cell>
          <cell r="D1283" t="str">
            <v>H-TELI</v>
          </cell>
        </row>
        <row r="1284">
          <cell r="A1284" t="str">
            <v>LIT_049</v>
          </cell>
          <cell r="B1284" t="str">
            <v>Madagascar</v>
          </cell>
          <cell r="C1284" t="str">
            <v>LIT</v>
          </cell>
          <cell r="D1284" t="str">
            <v>H-TELI</v>
          </cell>
        </row>
        <row r="1285">
          <cell r="A1285" t="str">
            <v>LIT_428</v>
          </cell>
          <cell r="B1285" t="str">
            <v>New-Town-Aeroport-IHS</v>
          </cell>
          <cell r="C1285" t="str">
            <v>LIT</v>
          </cell>
          <cell r="D1285" t="str">
            <v>H-TELI</v>
          </cell>
        </row>
        <row r="1286">
          <cell r="A1286" t="str">
            <v>LIT_076</v>
          </cell>
          <cell r="B1286" t="str">
            <v>Nylon</v>
          </cell>
          <cell r="C1286" t="str">
            <v>LIT</v>
          </cell>
          <cell r="D1286" t="str">
            <v>H-TELI</v>
          </cell>
        </row>
        <row r="1287">
          <cell r="A1287" t="str">
            <v>LIT_368</v>
          </cell>
          <cell r="B1287" t="str">
            <v>Oyack-IHS</v>
          </cell>
          <cell r="C1287" t="str">
            <v>LIT</v>
          </cell>
          <cell r="D1287" t="str">
            <v>H-TELI</v>
          </cell>
        </row>
        <row r="1288">
          <cell r="A1288" t="str">
            <v>LIT_299</v>
          </cell>
          <cell r="B1288" t="str">
            <v>Oyack-Lycee</v>
          </cell>
          <cell r="C1288" t="str">
            <v>LIT</v>
          </cell>
          <cell r="D1288" t="str">
            <v>H-TELI</v>
          </cell>
        </row>
        <row r="1289">
          <cell r="A1289" t="str">
            <v>LIT_222</v>
          </cell>
          <cell r="B1289" t="str">
            <v>Oyak</v>
          </cell>
          <cell r="C1289" t="str">
            <v>LIT</v>
          </cell>
          <cell r="D1289" t="str">
            <v>H-TELI</v>
          </cell>
        </row>
        <row r="1290">
          <cell r="A1290" t="str">
            <v>LIT_579</v>
          </cell>
          <cell r="B1290" t="str">
            <v>Soboum-IHS</v>
          </cell>
          <cell r="C1290" t="str">
            <v>LIT</v>
          </cell>
          <cell r="D1290" t="str">
            <v>H-TELI</v>
          </cell>
        </row>
        <row r="1291">
          <cell r="A1291" t="str">
            <v>LIT_340</v>
          </cell>
          <cell r="B1291" t="str">
            <v>Brazz-Tergal</v>
          </cell>
          <cell r="C1291" t="str">
            <v>LIT</v>
          </cell>
          <cell r="D1291" t="str">
            <v>H-TELI</v>
          </cell>
        </row>
        <row r="1292">
          <cell r="A1292" t="str">
            <v>LIT_061</v>
          </cell>
          <cell r="B1292" t="str">
            <v>Cinema-ABC</v>
          </cell>
          <cell r="C1292" t="str">
            <v>LIT</v>
          </cell>
          <cell r="D1292" t="str">
            <v>H-TELI</v>
          </cell>
        </row>
        <row r="1293">
          <cell r="A1293" t="str">
            <v>LIT_090</v>
          </cell>
          <cell r="B1293" t="str">
            <v>Newb-Mairie</v>
          </cell>
          <cell r="C1293" t="str">
            <v>LIT</v>
          </cell>
          <cell r="D1293" t="str">
            <v>H-TELI</v>
          </cell>
        </row>
        <row r="1294">
          <cell r="A1294" t="str">
            <v>LIT_450</v>
          </cell>
          <cell r="B1294" t="str">
            <v>Quartier-Gentil</v>
          </cell>
          <cell r="C1294" t="str">
            <v>LIT</v>
          </cell>
          <cell r="D1294" t="str">
            <v>H-TELI</v>
          </cell>
        </row>
        <row r="1295">
          <cell r="A1295" t="str">
            <v>LIT_725</v>
          </cell>
          <cell r="B1295" t="str">
            <v>Japoma-I</v>
          </cell>
          <cell r="C1295" t="str">
            <v>LIT</v>
          </cell>
          <cell r="D1295" t="str">
            <v>H-TELI</v>
          </cell>
        </row>
        <row r="1296">
          <cell r="A1296" t="str">
            <v>LIT_733</v>
          </cell>
          <cell r="B1296" t="str">
            <v>Japoma-Stade-Camtel</v>
          </cell>
          <cell r="C1296" t="str">
            <v>LIT</v>
          </cell>
          <cell r="D1296" t="str">
            <v>H-TELI</v>
          </cell>
        </row>
        <row r="1297">
          <cell r="A1297" t="str">
            <v>LIT_254</v>
          </cell>
          <cell r="B1297" t="str">
            <v>Japoma-Village</v>
          </cell>
          <cell r="C1297" t="str">
            <v>LIT</v>
          </cell>
          <cell r="D1297" t="str">
            <v>H-TELI</v>
          </cell>
        </row>
        <row r="1298">
          <cell r="A1298" t="str">
            <v>LIT_639</v>
          </cell>
          <cell r="B1298" t="str">
            <v>Yassa-Dispensaire</v>
          </cell>
          <cell r="C1298" t="str">
            <v>LIT</v>
          </cell>
          <cell r="D1298" t="str">
            <v>H-TELI</v>
          </cell>
        </row>
        <row r="1299">
          <cell r="A1299" t="str">
            <v>LIT_642</v>
          </cell>
          <cell r="B1299" t="str">
            <v>Yassa-II</v>
          </cell>
          <cell r="C1299" t="str">
            <v>LIT</v>
          </cell>
          <cell r="D1299" t="str">
            <v>H-TELI</v>
          </cell>
        </row>
        <row r="1300">
          <cell r="A1300" t="str">
            <v>LIT_766</v>
          </cell>
          <cell r="B1300" t="str">
            <v>Yassa-Village-Camtel</v>
          </cell>
          <cell r="C1300" t="str">
            <v>LIT</v>
          </cell>
          <cell r="D1300" t="str">
            <v>H-TELI</v>
          </cell>
        </row>
        <row r="1301">
          <cell r="A1301" t="str">
            <v>LIT_757</v>
          </cell>
          <cell r="B1301" t="str">
            <v>Yatchika-II</v>
          </cell>
          <cell r="C1301" t="str">
            <v>LIT</v>
          </cell>
          <cell r="D1301" t="str">
            <v>H-TELI</v>
          </cell>
        </row>
        <row r="1302">
          <cell r="A1302" t="str">
            <v>LIT_729</v>
          </cell>
          <cell r="B1302" t="str">
            <v>Zi-Bassa-II</v>
          </cell>
          <cell r="C1302" t="str">
            <v>LIT</v>
          </cell>
          <cell r="D1302" t="str">
            <v>H-TELI</v>
          </cell>
        </row>
        <row r="1303">
          <cell r="A1303" t="str">
            <v>LIT_583</v>
          </cell>
          <cell r="B1303" t="str">
            <v>Dibamba</v>
          </cell>
          <cell r="C1303" t="str">
            <v>LIT</v>
          </cell>
          <cell r="D1303" t="str">
            <v>H-TELI</v>
          </cell>
        </row>
        <row r="1304">
          <cell r="A1304" t="str">
            <v>LIT_385</v>
          </cell>
          <cell r="B1304" t="str">
            <v>Dibamba-Camrail</v>
          </cell>
          <cell r="C1304" t="str">
            <v>LIT</v>
          </cell>
          <cell r="D1304" t="str">
            <v>H-TELI</v>
          </cell>
        </row>
        <row r="1305">
          <cell r="A1305" t="str">
            <v>LIT_617</v>
          </cell>
          <cell r="B1305" t="str">
            <v>Dibamba-centrale-electrique</v>
          </cell>
          <cell r="C1305" t="str">
            <v>LIT</v>
          </cell>
          <cell r="D1305" t="str">
            <v>H-TELI</v>
          </cell>
        </row>
        <row r="1306">
          <cell r="A1306" t="str">
            <v>LIT_339</v>
          </cell>
          <cell r="B1306" t="str">
            <v>Cogefar-II</v>
          </cell>
          <cell r="C1306" t="str">
            <v>LIT</v>
          </cell>
          <cell r="D1306" t="str">
            <v>H-TELI</v>
          </cell>
        </row>
        <row r="1307">
          <cell r="A1307" t="str">
            <v>LIT_663</v>
          </cell>
          <cell r="B1307" t="str">
            <v>Minisite-Tradex-Village</v>
          </cell>
          <cell r="C1307" t="str">
            <v>LIT</v>
          </cell>
          <cell r="D1307" t="str">
            <v>H-TELI</v>
          </cell>
        </row>
        <row r="1308">
          <cell r="A1308" t="str">
            <v>LIT_093</v>
          </cell>
          <cell r="B1308" t="str">
            <v>Ndogp-Nodal</v>
          </cell>
          <cell r="C1308" t="str">
            <v>LIT</v>
          </cell>
          <cell r="D1308" t="str">
            <v>H-TELI</v>
          </cell>
        </row>
        <row r="1309">
          <cell r="A1309" t="str">
            <v>LIT_554</v>
          </cell>
          <cell r="B1309" t="str">
            <v>Ndpssi-Vallee-de-la-Paix</v>
          </cell>
          <cell r="C1309" t="str">
            <v>LIT</v>
          </cell>
          <cell r="D1309" t="str">
            <v>H-TELI</v>
          </cell>
        </row>
        <row r="1310">
          <cell r="A1310" t="str">
            <v>LIT_620</v>
          </cell>
          <cell r="B1310" t="str">
            <v>Notre-Dame-de-Yassa</v>
          </cell>
          <cell r="C1310" t="str">
            <v>LIT</v>
          </cell>
          <cell r="D1310" t="str">
            <v>H-TELI</v>
          </cell>
        </row>
        <row r="1311">
          <cell r="A1311" t="str">
            <v>LIT_280</v>
          </cell>
          <cell r="B1311" t="str">
            <v>Songa-Boko</v>
          </cell>
          <cell r="C1311" t="str">
            <v>LIT</v>
          </cell>
          <cell r="D1311" t="str">
            <v>H-TELI</v>
          </cell>
        </row>
        <row r="1312">
          <cell r="A1312" t="str">
            <v>LIT_646</v>
          </cell>
          <cell r="B1312" t="str">
            <v>Japoma-II</v>
          </cell>
          <cell r="C1312" t="str">
            <v>LIT</v>
          </cell>
          <cell r="D1312" t="str">
            <v>H-TELI</v>
          </cell>
        </row>
        <row r="1313">
          <cell r="A1313" t="str">
            <v>LIT_XYZ1</v>
          </cell>
          <cell r="B1313" t="str">
            <v>Japoma-Stadium-Indoor</v>
          </cell>
          <cell r="C1313" t="str">
            <v>LIT</v>
          </cell>
          <cell r="D1313" t="str">
            <v>H-TELI</v>
          </cell>
        </row>
        <row r="1314">
          <cell r="A1314" t="str">
            <v>LIT_683</v>
          </cell>
          <cell r="B1314" t="str">
            <v>Ndogpassi-Crf-Lotus-MTN</v>
          </cell>
          <cell r="C1314" t="str">
            <v>LIT</v>
          </cell>
          <cell r="D1314" t="str">
            <v>H-TELI</v>
          </cell>
        </row>
        <row r="1315">
          <cell r="A1315" t="str">
            <v>LIT_283</v>
          </cell>
          <cell r="B1315" t="str">
            <v>Ndogpassi-III</v>
          </cell>
          <cell r="C1315" t="str">
            <v>LIT</v>
          </cell>
          <cell r="D1315" t="str">
            <v>H-TELI</v>
          </cell>
        </row>
        <row r="1316">
          <cell r="A1316" t="str">
            <v>LIT_409</v>
          </cell>
          <cell r="B1316" t="str">
            <v>Ndogpassi-Lycee-II</v>
          </cell>
          <cell r="C1316" t="str">
            <v>LIT</v>
          </cell>
          <cell r="D1316" t="str">
            <v>H-TELI</v>
          </cell>
        </row>
        <row r="1317">
          <cell r="A1317" t="str">
            <v>LIT_634</v>
          </cell>
          <cell r="B1317" t="str">
            <v>Ndogpassi-Pays-Bas-IHS</v>
          </cell>
          <cell r="C1317" t="str">
            <v>LIT</v>
          </cell>
          <cell r="D1317" t="str">
            <v>H-TELI</v>
          </cell>
        </row>
        <row r="1318">
          <cell r="A1318" t="str">
            <v>LIT_292</v>
          </cell>
          <cell r="B1318" t="str">
            <v>Ndogp-Bloc-13</v>
          </cell>
          <cell r="C1318" t="str">
            <v>LIT</v>
          </cell>
          <cell r="D1318" t="str">
            <v>H-TELI</v>
          </cell>
        </row>
        <row r="1319">
          <cell r="A1319" t="str">
            <v>LIT_693</v>
          </cell>
          <cell r="B1319" t="str">
            <v>Ndogp-Ecole-Publique</v>
          </cell>
          <cell r="C1319" t="str">
            <v>LIT</v>
          </cell>
          <cell r="D1319" t="str">
            <v>H-TELI</v>
          </cell>
        </row>
        <row r="1320">
          <cell r="A1320" t="str">
            <v>LIT_038</v>
          </cell>
          <cell r="B1320" t="str">
            <v>Ndogp-Lycee</v>
          </cell>
          <cell r="C1320" t="str">
            <v>LIT</v>
          </cell>
          <cell r="D1320" t="str">
            <v>H-TELI</v>
          </cell>
        </row>
        <row r="1321">
          <cell r="A1321" t="str">
            <v>LIT_205</v>
          </cell>
          <cell r="B1321" t="str">
            <v>Ndogp-St-Nicolas</v>
          </cell>
          <cell r="C1321" t="str">
            <v>LIT</v>
          </cell>
          <cell r="D1321" t="str">
            <v>H-TELI</v>
          </cell>
        </row>
        <row r="1322">
          <cell r="A1322" t="str">
            <v>LIT_251</v>
          </cell>
          <cell r="B1322" t="str">
            <v>Ndogp-ZR</v>
          </cell>
          <cell r="C1322" t="str">
            <v>LIT</v>
          </cell>
          <cell r="D1322" t="str">
            <v>H-TELI</v>
          </cell>
        </row>
        <row r="1323">
          <cell r="A1323" t="str">
            <v>LIT_365</v>
          </cell>
          <cell r="B1323" t="str">
            <v>Yambong</v>
          </cell>
          <cell r="C1323" t="str">
            <v>LIT</v>
          </cell>
          <cell r="D1323" t="str">
            <v>H-TELI</v>
          </cell>
        </row>
        <row r="1324">
          <cell r="A1324" t="str">
            <v>LIT_563</v>
          </cell>
          <cell r="B1324" t="str">
            <v>Yassa-Pesage-IHS</v>
          </cell>
          <cell r="C1324" t="str">
            <v>LIT</v>
          </cell>
          <cell r="D1324" t="str">
            <v>H-TELI</v>
          </cell>
        </row>
        <row r="1325">
          <cell r="A1325" t="str">
            <v>LIT_482</v>
          </cell>
          <cell r="B1325" t="str">
            <v>Yatchika-MTN-IHS</v>
          </cell>
          <cell r="C1325" t="str">
            <v>LIT</v>
          </cell>
          <cell r="D1325" t="str">
            <v>H-TELI</v>
          </cell>
        </row>
        <row r="1326">
          <cell r="A1326" t="str">
            <v>LIT_698</v>
          </cell>
          <cell r="B1326" t="str">
            <v>Yansoki-MTN</v>
          </cell>
          <cell r="C1326" t="str">
            <v>LIT</v>
          </cell>
          <cell r="D1326" t="str">
            <v>H-TELI</v>
          </cell>
        </row>
        <row r="1327">
          <cell r="A1327" t="str">
            <v>LIT_198</v>
          </cell>
          <cell r="B1327" t="str">
            <v>Cogefar</v>
          </cell>
          <cell r="C1327" t="str">
            <v>LIT</v>
          </cell>
          <cell r="D1327" t="str">
            <v>H-TELI</v>
          </cell>
        </row>
        <row r="1328">
          <cell r="A1328" t="str">
            <v>LIT_419</v>
          </cell>
          <cell r="B1328" t="str">
            <v>Makombe</v>
          </cell>
          <cell r="C1328" t="str">
            <v>LIT</v>
          </cell>
          <cell r="D1328" t="str">
            <v>H-TELI</v>
          </cell>
        </row>
        <row r="1329">
          <cell r="A1329" t="str">
            <v>LIT_685</v>
          </cell>
          <cell r="B1329" t="str">
            <v>Nyangobe-MTN</v>
          </cell>
          <cell r="C1329" t="str">
            <v>LIT</v>
          </cell>
          <cell r="D1329" t="str">
            <v>H-TELI</v>
          </cell>
        </row>
        <row r="1330">
          <cell r="A1330" t="str">
            <v>LIT_610</v>
          </cell>
          <cell r="B1330" t="str">
            <v>Bonamoutongo-II</v>
          </cell>
          <cell r="C1330" t="str">
            <v>LIT</v>
          </cell>
          <cell r="D1330" t="str">
            <v>H-TELI</v>
          </cell>
        </row>
        <row r="1331">
          <cell r="A1331" t="str">
            <v>LIT_718</v>
          </cell>
          <cell r="B1331" t="str">
            <v>Bonamoutongo-III</v>
          </cell>
          <cell r="C1331" t="str">
            <v>LIT</v>
          </cell>
          <cell r="D1331" t="str">
            <v>H-TELI</v>
          </cell>
        </row>
        <row r="1332">
          <cell r="A1332" t="str">
            <v>LIT_630</v>
          </cell>
          <cell r="B1332" t="str">
            <v>Minisite-PK8-ESG-ISTA</v>
          </cell>
          <cell r="C1332" t="str">
            <v>LIT</v>
          </cell>
          <cell r="D1332" t="str">
            <v>H-TELI</v>
          </cell>
        </row>
        <row r="1333">
          <cell r="A1333" t="str">
            <v>LIT_404</v>
          </cell>
          <cell r="B1333" t="str">
            <v>NR-Cite</v>
          </cell>
          <cell r="C1333" t="str">
            <v>LIT</v>
          </cell>
          <cell r="D1333" t="str">
            <v>H-TELI</v>
          </cell>
        </row>
        <row r="1334">
          <cell r="A1334" t="str">
            <v>LIT_452</v>
          </cell>
          <cell r="B1334" t="str">
            <v>PK10-Bassang</v>
          </cell>
          <cell r="C1334" t="str">
            <v>LIT</v>
          </cell>
          <cell r="D1334" t="str">
            <v>H-TELI</v>
          </cell>
        </row>
        <row r="1335">
          <cell r="A1335" t="str">
            <v>LIT_447</v>
          </cell>
          <cell r="B1335" t="str">
            <v>PK10-Genie-Militaire</v>
          </cell>
          <cell r="C1335" t="str">
            <v>LIT</v>
          </cell>
          <cell r="D1335" t="str">
            <v>H-TELI</v>
          </cell>
        </row>
        <row r="1336">
          <cell r="A1336" t="str">
            <v>LIT_278</v>
          </cell>
          <cell r="B1336" t="str">
            <v>PK10-Marche</v>
          </cell>
          <cell r="C1336" t="str">
            <v>LIT</v>
          </cell>
          <cell r="D1336" t="str">
            <v>H-TELI</v>
          </cell>
        </row>
        <row r="1337">
          <cell r="A1337" t="str">
            <v>LIT_403</v>
          </cell>
          <cell r="B1337" t="str">
            <v>PK10-Soeurs-Dominicaines</v>
          </cell>
          <cell r="C1337" t="str">
            <v>LIT</v>
          </cell>
          <cell r="D1337" t="str">
            <v>H-TELI</v>
          </cell>
        </row>
        <row r="1338">
          <cell r="A1338" t="str">
            <v>LIT_128</v>
          </cell>
          <cell r="B1338" t="str">
            <v>PK11</v>
          </cell>
          <cell r="C1338" t="str">
            <v>LIT</v>
          </cell>
          <cell r="D1338" t="str">
            <v>H-TELI</v>
          </cell>
        </row>
        <row r="1339">
          <cell r="A1339" t="str">
            <v>LIT_249</v>
          </cell>
          <cell r="B1339" t="str">
            <v>PK12-Marche</v>
          </cell>
          <cell r="C1339" t="str">
            <v>LIT</v>
          </cell>
          <cell r="D1339" t="str">
            <v>H-TELI</v>
          </cell>
        </row>
        <row r="1340">
          <cell r="A1340" t="str">
            <v>LIT_448</v>
          </cell>
          <cell r="B1340" t="str">
            <v>PK13-II</v>
          </cell>
          <cell r="C1340" t="str">
            <v>LIT</v>
          </cell>
          <cell r="D1340" t="str">
            <v>H-TELI</v>
          </cell>
        </row>
        <row r="1341">
          <cell r="A1341" t="str">
            <v>LIT_728</v>
          </cell>
          <cell r="B1341" t="str">
            <v>PK15-Auberge</v>
          </cell>
          <cell r="C1341" t="str">
            <v>LIT</v>
          </cell>
          <cell r="D1341" t="str">
            <v>H-TELI</v>
          </cell>
        </row>
        <row r="1342">
          <cell r="A1342" t="str">
            <v>LIT_731</v>
          </cell>
          <cell r="B1342" t="str">
            <v>PK18-Crf-Lapaix</v>
          </cell>
          <cell r="C1342" t="str">
            <v>LIT</v>
          </cell>
          <cell r="D1342" t="str">
            <v>H-TELI</v>
          </cell>
        </row>
        <row r="1343">
          <cell r="A1343" t="str">
            <v>LIT_584</v>
          </cell>
          <cell r="B1343" t="str">
            <v>PK19</v>
          </cell>
          <cell r="C1343" t="str">
            <v>LIT</v>
          </cell>
          <cell r="D1343" t="str">
            <v>H-TELI</v>
          </cell>
        </row>
        <row r="1344">
          <cell r="A1344" t="str">
            <v>LIT_255</v>
          </cell>
          <cell r="B1344" t="str">
            <v>PK8</v>
          </cell>
          <cell r="C1344" t="str">
            <v>LIT</v>
          </cell>
          <cell r="D1344" t="str">
            <v>H-TELI</v>
          </cell>
        </row>
        <row r="1345">
          <cell r="A1345" t="str">
            <v>LIT_370</v>
          </cell>
          <cell r="B1345" t="str">
            <v>PK9</v>
          </cell>
          <cell r="C1345" t="str">
            <v>LIT</v>
          </cell>
          <cell r="D1345" t="str">
            <v>H-TELI</v>
          </cell>
        </row>
        <row r="1346">
          <cell r="A1346" t="str">
            <v>LIT_586</v>
          </cell>
          <cell r="B1346" t="str">
            <v>Yabassi-Greenfil</v>
          </cell>
          <cell r="C1346" t="str">
            <v>LIT</v>
          </cell>
          <cell r="D1346" t="str">
            <v>H-TELI</v>
          </cell>
        </row>
        <row r="1347">
          <cell r="A1347" t="str">
            <v>LIT_669</v>
          </cell>
          <cell r="B1347" t="str">
            <v>Logbessou-II</v>
          </cell>
          <cell r="C1347" t="str">
            <v>LIT</v>
          </cell>
          <cell r="D1347" t="str">
            <v>H-TELI</v>
          </cell>
        </row>
        <row r="1348">
          <cell r="A1348" t="str">
            <v>LIT_680</v>
          </cell>
          <cell r="B1348" t="str">
            <v>Logbessou-OCM</v>
          </cell>
          <cell r="C1348" t="str">
            <v>LIT</v>
          </cell>
          <cell r="D1348" t="str">
            <v>H-TELI</v>
          </cell>
        </row>
        <row r="1349">
          <cell r="A1349" t="str">
            <v>LIT_638</v>
          </cell>
          <cell r="B1349" t="str">
            <v>Logbessou-Sunshine-City</v>
          </cell>
          <cell r="C1349" t="str">
            <v>LIT</v>
          </cell>
          <cell r="D1349" t="str">
            <v>H-TELI</v>
          </cell>
        </row>
        <row r="1350">
          <cell r="A1350" t="str">
            <v>LIT_618</v>
          </cell>
          <cell r="B1350" t="str">
            <v>Logpom-Akanji-Immeuble</v>
          </cell>
          <cell r="C1350" t="str">
            <v>LIT</v>
          </cell>
          <cell r="D1350" t="str">
            <v>H-TELI</v>
          </cell>
        </row>
        <row r="1351">
          <cell r="A1351" t="str">
            <v>LIT_650</v>
          </cell>
          <cell r="B1351" t="str">
            <v>Logpom-bylingual-school</v>
          </cell>
          <cell r="C1351" t="str">
            <v>LIT</v>
          </cell>
          <cell r="D1351" t="str">
            <v>H-TELI</v>
          </cell>
        </row>
        <row r="1352">
          <cell r="A1352" t="str">
            <v>LIT_274</v>
          </cell>
          <cell r="B1352" t="str">
            <v>Logpom-II</v>
          </cell>
          <cell r="C1352" t="str">
            <v>LIT</v>
          </cell>
          <cell r="D1352" t="str">
            <v>H-TELI</v>
          </cell>
        </row>
        <row r="1353">
          <cell r="A1353" t="str">
            <v>LIT_276</v>
          </cell>
          <cell r="B1353" t="str">
            <v>Logpom-Kosovo</v>
          </cell>
          <cell r="C1353" t="str">
            <v>LIT</v>
          </cell>
          <cell r="D1353" t="str">
            <v>H-TELI</v>
          </cell>
        </row>
        <row r="1354">
          <cell r="A1354" t="str">
            <v>LIT_737</v>
          </cell>
          <cell r="B1354" t="str">
            <v>Logpom-New</v>
          </cell>
          <cell r="C1354" t="str">
            <v>LIT</v>
          </cell>
          <cell r="D1354" t="str">
            <v>H-TELI</v>
          </cell>
        </row>
        <row r="1355">
          <cell r="A1355" t="str">
            <v>LIT_275</v>
          </cell>
          <cell r="B1355" t="str">
            <v>Logpom-Sodikombo</v>
          </cell>
          <cell r="C1355" t="str">
            <v>LIT</v>
          </cell>
          <cell r="D1355" t="str">
            <v>H-TELI</v>
          </cell>
        </row>
        <row r="1356">
          <cell r="A1356" t="str">
            <v>LIT_443</v>
          </cell>
          <cell r="B1356" t="str">
            <v>PK8-Essiac</v>
          </cell>
          <cell r="C1356" t="str">
            <v>LIT</v>
          </cell>
          <cell r="D1356" t="str">
            <v>H-TELI</v>
          </cell>
        </row>
        <row r="1357">
          <cell r="A1357" t="str">
            <v>LIT_159</v>
          </cell>
          <cell r="B1357" t="str">
            <v>Ndoghem-PK12-IHS</v>
          </cell>
          <cell r="C1357" t="str">
            <v>LIT</v>
          </cell>
          <cell r="D1357" t="str">
            <v>H-TELI</v>
          </cell>
        </row>
        <row r="1358">
          <cell r="A1358" t="str">
            <v>LIT_117</v>
          </cell>
          <cell r="B1358" t="str">
            <v>Ndogkeng</v>
          </cell>
          <cell r="C1358" t="str">
            <v>LIT</v>
          </cell>
          <cell r="D1358" t="str">
            <v>H-TELI</v>
          </cell>
        </row>
        <row r="1359">
          <cell r="A1359" t="str">
            <v>LIT_667</v>
          </cell>
          <cell r="B1359" t="str">
            <v>PK13-Sitabac-New</v>
          </cell>
          <cell r="C1359" t="str">
            <v>LIT</v>
          </cell>
          <cell r="D1359" t="str">
            <v>H-TELI</v>
          </cell>
        </row>
        <row r="1360">
          <cell r="A1360" t="str">
            <v>LIT_578</v>
          </cell>
          <cell r="B1360" t="str">
            <v>PK14-Market-IHS</v>
          </cell>
          <cell r="C1360" t="str">
            <v>LIT</v>
          </cell>
          <cell r="D1360" t="str">
            <v>H-TELI</v>
          </cell>
        </row>
        <row r="1361">
          <cell r="A1361" t="str">
            <v>LIT_271</v>
          </cell>
          <cell r="B1361" t="str">
            <v>PK15</v>
          </cell>
          <cell r="C1361" t="str">
            <v>LIT</v>
          </cell>
          <cell r="D1361" t="str">
            <v>H-TELI</v>
          </cell>
        </row>
        <row r="1362">
          <cell r="A1362" t="str">
            <v>LIT_234</v>
          </cell>
          <cell r="B1362" t="str">
            <v>PK17-University-IHS</v>
          </cell>
          <cell r="C1362" t="str">
            <v>LIT</v>
          </cell>
          <cell r="D1362" t="str">
            <v>H-TELI</v>
          </cell>
        </row>
        <row r="1363">
          <cell r="A1363" t="str">
            <v>LIT_256</v>
          </cell>
          <cell r="B1363" t="str">
            <v>Beedi-Hte-Tension</v>
          </cell>
          <cell r="C1363" t="str">
            <v>LIT</v>
          </cell>
          <cell r="D1363" t="str">
            <v>H-TELI</v>
          </cell>
        </row>
        <row r="1364">
          <cell r="A1364" t="str">
            <v>LIT_392</v>
          </cell>
          <cell r="B1364" t="str">
            <v>Bomkoul</v>
          </cell>
          <cell r="C1364" t="str">
            <v>LIT</v>
          </cell>
          <cell r="D1364" t="str">
            <v>H-TELI</v>
          </cell>
        </row>
        <row r="1365">
          <cell r="A1365" t="str">
            <v>LIT_140</v>
          </cell>
          <cell r="B1365" t="str">
            <v>Logpom-Andem-IHS</v>
          </cell>
          <cell r="C1365" t="str">
            <v>LIT</v>
          </cell>
          <cell r="D1365" t="str">
            <v>H-TELI</v>
          </cell>
        </row>
        <row r="1366">
          <cell r="A1366" t="str">
            <v>LIT_440</v>
          </cell>
          <cell r="B1366" t="str">
            <v>Logpom-Denver-City</v>
          </cell>
          <cell r="C1366" t="str">
            <v>LIT</v>
          </cell>
          <cell r="D1366" t="str">
            <v>H-TELI</v>
          </cell>
        </row>
        <row r="1367">
          <cell r="A1367" t="str">
            <v>LIT_210</v>
          </cell>
          <cell r="B1367" t="str">
            <v>Logpom-H-Soeurs</v>
          </cell>
          <cell r="C1367" t="str">
            <v>LIT</v>
          </cell>
          <cell r="D1367" t="str">
            <v>H-TELI</v>
          </cell>
        </row>
        <row r="1368">
          <cell r="A1368" t="str">
            <v>LIT_376</v>
          </cell>
          <cell r="B1368" t="str">
            <v>Logpom-IHS</v>
          </cell>
          <cell r="C1368" t="str">
            <v>LIT</v>
          </cell>
          <cell r="D1368" t="str">
            <v>H-TELI</v>
          </cell>
        </row>
        <row r="1369">
          <cell r="A1369" t="str">
            <v>LIT_384</v>
          </cell>
          <cell r="B1369" t="str">
            <v>Emene-City</v>
          </cell>
          <cell r="C1369" t="str">
            <v>LIT</v>
          </cell>
          <cell r="D1369" t="str">
            <v>H-TELI</v>
          </cell>
        </row>
        <row r="1370">
          <cell r="A1370" t="str">
            <v>LIT_369</v>
          </cell>
          <cell r="B1370" t="str">
            <v>St-Thomas</v>
          </cell>
          <cell r="C1370" t="str">
            <v>LIT</v>
          </cell>
          <cell r="D1370" t="str">
            <v>H-TELI</v>
          </cell>
        </row>
        <row r="1371">
          <cell r="A1371" t="str">
            <v>LIT_643</v>
          </cell>
          <cell r="B1371" t="str">
            <v>Bsadi-Lycee</v>
          </cell>
          <cell r="C1371" t="str">
            <v>LIT</v>
          </cell>
          <cell r="D1371" t="str">
            <v>H-TELI</v>
          </cell>
        </row>
        <row r="1372">
          <cell r="A1372" t="str">
            <v>LIT_057</v>
          </cell>
          <cell r="B1372" t="str">
            <v>Bsadi-Terminus</v>
          </cell>
          <cell r="C1372" t="str">
            <v>LIT</v>
          </cell>
          <cell r="D1372" t="str">
            <v>H-TELI</v>
          </cell>
        </row>
        <row r="1373">
          <cell r="A1373" t="str">
            <v>LIT_277</v>
          </cell>
          <cell r="B1373" t="str">
            <v>Bsadi-ZoneA-New</v>
          </cell>
          <cell r="C1373" t="str">
            <v>LIT</v>
          </cell>
          <cell r="D1373" t="str">
            <v>H-TELI</v>
          </cell>
        </row>
        <row r="1374">
          <cell r="A1374" t="str">
            <v>LIT_697</v>
          </cell>
          <cell r="B1374" t="str">
            <v>Crf-Patrick-Mboma</v>
          </cell>
          <cell r="C1374" t="str">
            <v>LIT</v>
          </cell>
          <cell r="D1374" t="str">
            <v>H-TELI</v>
          </cell>
        </row>
        <row r="1375">
          <cell r="A1375" t="str">
            <v>LIT_106</v>
          </cell>
          <cell r="B1375" t="str">
            <v>Denver</v>
          </cell>
          <cell r="C1375" t="str">
            <v>LIT</v>
          </cell>
          <cell r="D1375" t="str">
            <v>H-TELI</v>
          </cell>
        </row>
        <row r="1376">
          <cell r="A1376" t="str">
            <v>LIT_713</v>
          </cell>
          <cell r="B1376" t="str">
            <v>Kotto-Baden-Baden</v>
          </cell>
          <cell r="C1376" t="str">
            <v>LIT</v>
          </cell>
          <cell r="D1376" t="str">
            <v>H-TELI</v>
          </cell>
        </row>
        <row r="1377">
          <cell r="A1377" t="str">
            <v>LIT_611</v>
          </cell>
          <cell r="B1377" t="str">
            <v>Kotto-Bloc-II</v>
          </cell>
          <cell r="C1377" t="str">
            <v>LIT</v>
          </cell>
          <cell r="D1377" t="str">
            <v>H-TELI</v>
          </cell>
        </row>
        <row r="1378">
          <cell r="A1378" t="str">
            <v>LIT_657</v>
          </cell>
          <cell r="B1378" t="str">
            <v>Kotto-Denver</v>
          </cell>
          <cell r="C1378" t="str">
            <v>LIT</v>
          </cell>
          <cell r="D1378" t="str">
            <v>H-TELI</v>
          </cell>
        </row>
        <row r="1379">
          <cell r="A1379" t="str">
            <v>LIT_454</v>
          </cell>
          <cell r="B1379" t="str">
            <v>Kotto-Eglise-EPC</v>
          </cell>
          <cell r="C1379" t="str">
            <v>LIT</v>
          </cell>
          <cell r="D1379" t="str">
            <v>H-TELI</v>
          </cell>
        </row>
        <row r="1380">
          <cell r="A1380" t="str">
            <v>LIT_612</v>
          </cell>
          <cell r="B1380" t="str">
            <v>Kotto-Logpom</v>
          </cell>
          <cell r="C1380" t="str">
            <v>LIT</v>
          </cell>
          <cell r="D1380" t="str">
            <v>H-TELI</v>
          </cell>
        </row>
        <row r="1381">
          <cell r="A1381" t="str">
            <v>LIT_202</v>
          </cell>
          <cell r="B1381" t="str">
            <v>Kotto-Mbangue</v>
          </cell>
          <cell r="C1381" t="str">
            <v>LIT</v>
          </cell>
          <cell r="D1381" t="str">
            <v>H-TELI</v>
          </cell>
        </row>
        <row r="1382">
          <cell r="A1382" t="str">
            <v>LIT_712</v>
          </cell>
          <cell r="B1382" t="str">
            <v>Kotto-Mbangue-II</v>
          </cell>
          <cell r="C1382" t="str">
            <v>LIT</v>
          </cell>
          <cell r="D1382" t="str">
            <v>H-TELI</v>
          </cell>
        </row>
        <row r="1383">
          <cell r="A1383" t="str">
            <v>LIT_613</v>
          </cell>
          <cell r="B1383" t="str">
            <v>Makepe-Bloc-E</v>
          </cell>
          <cell r="C1383" t="str">
            <v>LIT</v>
          </cell>
          <cell r="D1383" t="str">
            <v>H-TELI</v>
          </cell>
        </row>
        <row r="1384">
          <cell r="A1384" t="str">
            <v>LIT_730</v>
          </cell>
          <cell r="B1384" t="str">
            <v>Makepe-Conteneur</v>
          </cell>
          <cell r="C1384" t="str">
            <v>LIT</v>
          </cell>
          <cell r="D1384" t="str">
            <v>H-TELI</v>
          </cell>
        </row>
        <row r="1385">
          <cell r="A1385"/>
          <cell r="B1385" t="str">
            <v>MakepeDC</v>
          </cell>
          <cell r="C1385" t="str">
            <v>LIT</v>
          </cell>
          <cell r="D1385" t="str">
            <v>H-TELI</v>
          </cell>
        </row>
        <row r="1386">
          <cell r="A1386" t="str">
            <v>LIT_599</v>
          </cell>
          <cell r="B1386" t="str">
            <v>Makepe-Indoor</v>
          </cell>
          <cell r="C1386" t="str">
            <v>LIT</v>
          </cell>
          <cell r="D1386" t="str">
            <v>H-TELI</v>
          </cell>
        </row>
        <row r="1387">
          <cell r="A1387" t="str">
            <v>LIT_285</v>
          </cell>
          <cell r="B1387" t="str">
            <v>Makepe-Lycee</v>
          </cell>
          <cell r="C1387" t="str">
            <v>LIT</v>
          </cell>
          <cell r="D1387" t="str">
            <v>H-TELI</v>
          </cell>
        </row>
        <row r="1388">
          <cell r="A1388" t="str">
            <v>LIT_401</v>
          </cell>
          <cell r="B1388" t="str">
            <v>Makepe-Maturite</v>
          </cell>
          <cell r="C1388" t="str">
            <v>LIT</v>
          </cell>
          <cell r="D1388" t="str">
            <v>H-TELI</v>
          </cell>
        </row>
        <row r="1389">
          <cell r="A1389" t="str">
            <v>LIT_103</v>
          </cell>
          <cell r="B1389" t="str">
            <v>Makepe-Nodal</v>
          </cell>
          <cell r="C1389" t="str">
            <v>LIT</v>
          </cell>
          <cell r="D1389" t="str">
            <v>H-TELI</v>
          </cell>
        </row>
        <row r="1390">
          <cell r="A1390" t="str">
            <v>LIT_224</v>
          </cell>
          <cell r="B1390" t="str">
            <v>Makepe-St-Tropez</v>
          </cell>
          <cell r="C1390" t="str">
            <v>LIT</v>
          </cell>
          <cell r="D1390" t="str">
            <v>H-TELI</v>
          </cell>
        </row>
        <row r="1391">
          <cell r="A1391" t="str">
            <v>LIT_576</v>
          </cell>
          <cell r="B1391" t="str">
            <v>Mak-Universite-II-IHS</v>
          </cell>
          <cell r="C1391" t="str">
            <v>LIT</v>
          </cell>
          <cell r="D1391" t="str">
            <v>H-TELI</v>
          </cell>
        </row>
        <row r="1392">
          <cell r="A1392" t="str">
            <v>LIT_732</v>
          </cell>
          <cell r="B1392" t="str">
            <v>Missoke-Chefferie</v>
          </cell>
          <cell r="C1392" t="str">
            <v>LIT</v>
          </cell>
          <cell r="D1392" t="str">
            <v>H-TELI</v>
          </cell>
        </row>
        <row r="1393">
          <cell r="A1393" t="str">
            <v>LIT_666</v>
          </cell>
          <cell r="B1393" t="str">
            <v>Parcours-Vita</v>
          </cell>
          <cell r="C1393" t="str">
            <v>LIT</v>
          </cell>
          <cell r="D1393" t="str">
            <v>H-TELI</v>
          </cell>
        </row>
        <row r="1394">
          <cell r="A1394" t="str">
            <v>LIT_267</v>
          </cell>
          <cell r="B1394" t="str">
            <v>Sable</v>
          </cell>
          <cell r="C1394" t="str">
            <v>LIT</v>
          </cell>
          <cell r="D1394" t="str">
            <v>H-TELI</v>
          </cell>
        </row>
        <row r="1395">
          <cell r="A1395" t="str">
            <v>LIT_686</v>
          </cell>
          <cell r="B1395" t="str">
            <v>Santa-Lucia</v>
          </cell>
          <cell r="C1395" t="str">
            <v>LIT</v>
          </cell>
          <cell r="D1395" t="str">
            <v>H-TELI</v>
          </cell>
        </row>
        <row r="1396">
          <cell r="A1396" t="str">
            <v>LIT_486</v>
          </cell>
          <cell r="B1396" t="str">
            <v>Denver2</v>
          </cell>
          <cell r="C1396" t="str">
            <v>LIT</v>
          </cell>
          <cell r="D1396" t="str">
            <v>H-TELI</v>
          </cell>
        </row>
        <row r="1397">
          <cell r="A1397" t="str">
            <v>LIT_588</v>
          </cell>
          <cell r="B1397" t="str">
            <v>Denver-Total-IHS</v>
          </cell>
          <cell r="C1397" t="str">
            <v>LIT</v>
          </cell>
          <cell r="D1397" t="str">
            <v>H-TELI</v>
          </cell>
        </row>
        <row r="1398">
          <cell r="A1398" t="str">
            <v>LIT_303</v>
          </cell>
          <cell r="B1398" t="str">
            <v>Kotto-Antenne</v>
          </cell>
          <cell r="C1398" t="str">
            <v>LIT</v>
          </cell>
          <cell r="D1398" t="str">
            <v>H-TELI</v>
          </cell>
        </row>
        <row r="1399">
          <cell r="A1399" t="str">
            <v>LIT_246</v>
          </cell>
          <cell r="B1399" t="str">
            <v>Kotto-Bloc</v>
          </cell>
          <cell r="C1399" t="str">
            <v>LIT</v>
          </cell>
          <cell r="D1399" t="str">
            <v>H-TELI</v>
          </cell>
        </row>
        <row r="1400">
          <cell r="A1400" t="str">
            <v>LIT_297</v>
          </cell>
          <cell r="B1400" t="str">
            <v>Lendi-Entree</v>
          </cell>
          <cell r="C1400" t="str">
            <v>LIT</v>
          </cell>
          <cell r="D1400" t="str">
            <v>H-TELI</v>
          </cell>
        </row>
        <row r="1401">
          <cell r="A1401" t="str">
            <v>LIT_582</v>
          </cell>
          <cell r="B1401" t="str">
            <v>Lendi-II</v>
          </cell>
          <cell r="C1401" t="str">
            <v>LIT</v>
          </cell>
          <cell r="D1401" t="str">
            <v>H-TELI</v>
          </cell>
        </row>
        <row r="1402">
          <cell r="A1402" t="str">
            <v>LIT_037</v>
          </cell>
          <cell r="B1402" t="str">
            <v>Makepe</v>
          </cell>
          <cell r="C1402" t="str">
            <v>LIT</v>
          </cell>
          <cell r="D1402" t="str">
            <v>H-TELI</v>
          </cell>
        </row>
        <row r="1403">
          <cell r="A1403" t="str">
            <v>LIT_357</v>
          </cell>
          <cell r="B1403" t="str">
            <v>Makepe-AES</v>
          </cell>
          <cell r="C1403" t="str">
            <v>LIT</v>
          </cell>
          <cell r="D1403" t="str">
            <v>H-TELI</v>
          </cell>
        </row>
        <row r="1404">
          <cell r="A1404" t="str">
            <v>LIT_397</v>
          </cell>
          <cell r="B1404" t="str">
            <v>Makepe-Chefferie</v>
          </cell>
          <cell r="C1404" t="str">
            <v>LIT</v>
          </cell>
          <cell r="D1404" t="str">
            <v>H-TELI</v>
          </cell>
        </row>
        <row r="1405">
          <cell r="A1405" t="str">
            <v>LIT_490</v>
          </cell>
          <cell r="B1405" t="str">
            <v>Makepe-Decharge2-IHS</v>
          </cell>
          <cell r="C1405" t="str">
            <v>LIT</v>
          </cell>
          <cell r="D1405" t="str">
            <v>H-TELI</v>
          </cell>
        </row>
        <row r="1406">
          <cell r="A1406" t="str">
            <v>LIT_167</v>
          </cell>
          <cell r="B1406" t="str">
            <v>Makepe-Ecole-Sira</v>
          </cell>
          <cell r="C1406" t="str">
            <v>LIT</v>
          </cell>
          <cell r="D1406" t="str">
            <v>H-TELI</v>
          </cell>
        </row>
        <row r="1407">
          <cell r="A1407" t="str">
            <v>LIT_677</v>
          </cell>
          <cell r="B1407" t="str">
            <v>Makepe-III-MTN</v>
          </cell>
          <cell r="C1407" t="str">
            <v>LIT</v>
          </cell>
          <cell r="D1407" t="str">
            <v>H-TELI</v>
          </cell>
        </row>
        <row r="1408">
          <cell r="A1408" t="str">
            <v>LIT_537</v>
          </cell>
          <cell r="B1408" t="str">
            <v>Mak-Missoke</v>
          </cell>
          <cell r="C1408" t="str">
            <v>LIT</v>
          </cell>
          <cell r="D1408" t="str">
            <v>H-TELI</v>
          </cell>
        </row>
        <row r="1409">
          <cell r="A1409" t="str">
            <v>LIT_678</v>
          </cell>
          <cell r="B1409" t="str">
            <v>Mbangue-III-MTN</v>
          </cell>
          <cell r="C1409" t="str">
            <v>LIT</v>
          </cell>
          <cell r="D1409" t="str">
            <v>H-TELI</v>
          </cell>
        </row>
        <row r="1410">
          <cell r="A1410" t="str">
            <v>LIT_574</v>
          </cell>
          <cell r="B1410" t="str">
            <v>New-Bonamoussadi-IHS</v>
          </cell>
          <cell r="C1410" t="str">
            <v>LIT</v>
          </cell>
          <cell r="D1410" t="str">
            <v>H-TELI</v>
          </cell>
        </row>
        <row r="1411">
          <cell r="A1411" t="str">
            <v>LIT_171</v>
          </cell>
          <cell r="B1411" t="str">
            <v>Santa-Barbara-Dla-IHS</v>
          </cell>
          <cell r="C1411" t="str">
            <v>LIT</v>
          </cell>
          <cell r="D1411" t="str">
            <v>H-TELI</v>
          </cell>
        </row>
        <row r="1412">
          <cell r="A1412" t="str">
            <v>LIT_247</v>
          </cell>
          <cell r="B1412" t="str">
            <v>Bsadi-BlocJ</v>
          </cell>
          <cell r="C1412" t="str">
            <v>LIT</v>
          </cell>
          <cell r="D1412" t="str">
            <v>H-TELI</v>
          </cell>
        </row>
        <row r="1413">
          <cell r="A1413" t="str">
            <v>LIT_398</v>
          </cell>
          <cell r="B1413" t="str">
            <v>Makepe-Missoke-Clinique</v>
          </cell>
          <cell r="C1413" t="str">
            <v>LIT</v>
          </cell>
          <cell r="D1413" t="str">
            <v>H-TELI</v>
          </cell>
        </row>
        <row r="1414">
          <cell r="A1414" t="str">
            <v>LIT_373</v>
          </cell>
          <cell r="B1414" t="str">
            <v>Missoke-Universite</v>
          </cell>
          <cell r="C1414" t="str">
            <v>LIT</v>
          </cell>
          <cell r="D1414" t="str">
            <v>H-TELI</v>
          </cell>
        </row>
        <row r="1415">
          <cell r="A1415" t="str">
            <v>LIT_020</v>
          </cell>
          <cell r="B1415" t="str">
            <v>Bonamoutongo</v>
          </cell>
          <cell r="C1415" t="str">
            <v>LIT</v>
          </cell>
          <cell r="D1415" t="str">
            <v>H-TELI</v>
          </cell>
        </row>
        <row r="1416">
          <cell r="A1416" t="str">
            <v>LIT_145</v>
          </cell>
          <cell r="B1416" t="str">
            <v>Bonepoupa-IHS</v>
          </cell>
          <cell r="C1416" t="str">
            <v>LIT</v>
          </cell>
          <cell r="D1416" t="str">
            <v>H-TELI</v>
          </cell>
        </row>
        <row r="1417">
          <cell r="A1417" t="str">
            <v>LIT_235</v>
          </cell>
          <cell r="B1417" t="str">
            <v>Logbessou-PK21-IHS</v>
          </cell>
          <cell r="C1417" t="str">
            <v>LIT</v>
          </cell>
          <cell r="D1417" t="str">
            <v>H-TELI</v>
          </cell>
        </row>
        <row r="1418">
          <cell r="A1418" t="str">
            <v>LIT_441</v>
          </cell>
          <cell r="B1418" t="str">
            <v>Ngo-Njo</v>
          </cell>
          <cell r="C1418" t="str">
            <v>LIT</v>
          </cell>
          <cell r="D1418" t="str">
            <v>H-TELI</v>
          </cell>
        </row>
        <row r="1419">
          <cell r="A1419" t="str">
            <v>LIT_585</v>
          </cell>
          <cell r="B1419" t="str">
            <v>Ngo-Njo-II</v>
          </cell>
          <cell r="C1419" t="str">
            <v>LIT</v>
          </cell>
          <cell r="D1419" t="str">
            <v>H-TELI</v>
          </cell>
        </row>
        <row r="1420">
          <cell r="A1420" t="str">
            <v>LIT_562</v>
          </cell>
          <cell r="B1420" t="str">
            <v>Pingo-PK10-IHS-New</v>
          </cell>
          <cell r="C1420" t="str">
            <v>LIT</v>
          </cell>
          <cell r="D1420" t="str">
            <v>H-TELI</v>
          </cell>
        </row>
        <row r="1421">
          <cell r="A1421" t="str">
            <v>LIT_223</v>
          </cell>
          <cell r="B1421" t="str">
            <v>PK10-Plateau</v>
          </cell>
          <cell r="C1421" t="str">
            <v>LIT</v>
          </cell>
          <cell r="D1421" t="str">
            <v>H-TELI</v>
          </cell>
        </row>
        <row r="1422">
          <cell r="A1422" t="str">
            <v>LIT_261</v>
          </cell>
          <cell r="B1422" t="str">
            <v>PK11-Mbengue-City</v>
          </cell>
          <cell r="C1422" t="str">
            <v>LIT</v>
          </cell>
          <cell r="D1422" t="str">
            <v>H-TELI</v>
          </cell>
        </row>
        <row r="1423">
          <cell r="A1423" t="str">
            <v>LIT_110</v>
          </cell>
          <cell r="B1423" t="str">
            <v>Yabassi</v>
          </cell>
          <cell r="C1423" t="str">
            <v>LIT</v>
          </cell>
          <cell r="D1423" t="str">
            <v>H-TELI</v>
          </cell>
        </row>
        <row r="1424">
          <cell r="A1424" t="str">
            <v>LIT_180</v>
          </cell>
          <cell r="B1424" t="str">
            <v>Yingui-IHS</v>
          </cell>
          <cell r="C1424" t="str">
            <v>LIT</v>
          </cell>
          <cell r="D1424" t="str">
            <v>H-TELI</v>
          </cell>
        </row>
        <row r="1425">
          <cell r="A1425" t="str">
            <v>LIT_270</v>
          </cell>
          <cell r="B1425" t="str">
            <v>Zone-Papass</v>
          </cell>
          <cell r="C1425" t="str">
            <v>LIT</v>
          </cell>
          <cell r="D1425" t="str">
            <v>H-TELI</v>
          </cell>
        </row>
        <row r="1426">
          <cell r="A1426" t="str">
            <v>LIT_050</v>
          </cell>
          <cell r="B1426" t="str">
            <v>Bepanda</v>
          </cell>
          <cell r="C1426" t="str">
            <v>LIT</v>
          </cell>
          <cell r="D1426" t="str">
            <v>H-TELI</v>
          </cell>
        </row>
        <row r="1427">
          <cell r="A1427" t="str">
            <v>LIT_687</v>
          </cell>
          <cell r="B1427" t="str">
            <v>Bepanda-Ambiance</v>
          </cell>
          <cell r="C1427" t="str">
            <v>LIT</v>
          </cell>
          <cell r="D1427" t="str">
            <v>H-TELI</v>
          </cell>
        </row>
        <row r="1428">
          <cell r="A1428" t="str">
            <v>LIT_366</v>
          </cell>
          <cell r="B1428" t="str">
            <v>Bepanda-TSF</v>
          </cell>
          <cell r="C1428" t="str">
            <v>LIT</v>
          </cell>
          <cell r="D1428" t="str">
            <v>H-TELI</v>
          </cell>
        </row>
        <row r="1429">
          <cell r="A1429" t="str">
            <v>LIT_097</v>
          </cell>
          <cell r="B1429" t="str">
            <v>Bep-Axe-Lrd</v>
          </cell>
          <cell r="C1429" t="str">
            <v>LIT</v>
          </cell>
          <cell r="D1429" t="str">
            <v>H-TELI</v>
          </cell>
        </row>
        <row r="1430">
          <cell r="A1430" t="str">
            <v>LIT_649</v>
          </cell>
          <cell r="B1430" t="str">
            <v>Bep-Cafrad</v>
          </cell>
          <cell r="C1430" t="str">
            <v>LIT</v>
          </cell>
          <cell r="D1430" t="str">
            <v>H-TELI</v>
          </cell>
        </row>
        <row r="1431">
          <cell r="A1431" t="str">
            <v>LIT_265</v>
          </cell>
          <cell r="B1431" t="str">
            <v>Bep-Universite</v>
          </cell>
          <cell r="C1431" t="str">
            <v>LIT</v>
          </cell>
          <cell r="D1431" t="str">
            <v>H-TELI</v>
          </cell>
        </row>
        <row r="1432">
          <cell r="A1432" t="str">
            <v>LIT_532</v>
          </cell>
          <cell r="B1432" t="str">
            <v>Bep-Yonyong</v>
          </cell>
          <cell r="C1432" t="str">
            <v>LIT</v>
          </cell>
          <cell r="D1432" t="str">
            <v>H-TELI</v>
          </cell>
        </row>
        <row r="1433">
          <cell r="A1433" t="str">
            <v>LIT_054</v>
          </cell>
          <cell r="B1433" t="str">
            <v>Gd-Moulin</v>
          </cell>
          <cell r="C1433" t="str">
            <v>LIT</v>
          </cell>
          <cell r="D1433" t="str">
            <v>H-TELI</v>
          </cell>
        </row>
        <row r="1434">
          <cell r="A1434" t="str">
            <v>LIT_102</v>
          </cell>
          <cell r="B1434" t="str">
            <v>Omnisport</v>
          </cell>
          <cell r="C1434" t="str">
            <v>LIT</v>
          </cell>
          <cell r="D1434" t="str">
            <v>H-TELI</v>
          </cell>
        </row>
        <row r="1435">
          <cell r="A1435" t="str">
            <v>LIT_674</v>
          </cell>
          <cell r="B1435" t="str">
            <v>Canal-Olympia-1</v>
          </cell>
          <cell r="C1435" t="str">
            <v>LIT</v>
          </cell>
          <cell r="D1435" t="str">
            <v>H-TELI</v>
          </cell>
        </row>
        <row r="1436">
          <cell r="A1436" t="str">
            <v>LIT_044</v>
          </cell>
          <cell r="B1436" t="str">
            <v>Bmouang-Terminus</v>
          </cell>
          <cell r="C1436" t="str">
            <v>LIT</v>
          </cell>
          <cell r="D1436" t="str">
            <v>H-TELI</v>
          </cell>
        </row>
        <row r="1437">
          <cell r="A1437" t="str">
            <v>LIT_396</v>
          </cell>
          <cell r="B1437" t="str">
            <v>Bonateki-MRS</v>
          </cell>
          <cell r="C1437" t="str">
            <v>LIT</v>
          </cell>
          <cell r="D1437" t="str">
            <v>H-TELI</v>
          </cell>
        </row>
        <row r="1438">
          <cell r="A1438" t="str">
            <v>LIT_414</v>
          </cell>
          <cell r="B1438" t="str">
            <v>Deido-Bonateki</v>
          </cell>
          <cell r="C1438" t="str">
            <v>LIT</v>
          </cell>
          <cell r="D1438" t="str">
            <v>H-TELI</v>
          </cell>
        </row>
        <row r="1439">
          <cell r="A1439" t="str">
            <v>LIT_004</v>
          </cell>
          <cell r="B1439" t="str">
            <v>Deido-Lycee</v>
          </cell>
          <cell r="C1439" t="str">
            <v>LIT</v>
          </cell>
          <cell r="D1439" t="str">
            <v>H-TELI</v>
          </cell>
        </row>
        <row r="1440">
          <cell r="A1440" t="str">
            <v>LIT_651</v>
          </cell>
          <cell r="B1440" t="str">
            <v>Deido-Marche</v>
          </cell>
          <cell r="C1440" t="str">
            <v>LIT</v>
          </cell>
          <cell r="D1440" t="str">
            <v>H-TELI</v>
          </cell>
        </row>
        <row r="1441">
          <cell r="A1441" t="str">
            <v>LIT_287</v>
          </cell>
          <cell r="B1441" t="str">
            <v>New-Deido</v>
          </cell>
          <cell r="C1441" t="str">
            <v>LIT</v>
          </cell>
          <cell r="D1441" t="str">
            <v>H-TELI</v>
          </cell>
        </row>
        <row r="1442">
          <cell r="A1442" t="str">
            <v>LIT_048</v>
          </cell>
          <cell r="B1442" t="str">
            <v>Rond-Point</v>
          </cell>
          <cell r="C1442" t="str">
            <v>LIT</v>
          </cell>
          <cell r="D1442" t="str">
            <v>H-TELI</v>
          </cell>
        </row>
        <row r="1443">
          <cell r="A1443" t="str">
            <v>LIT_022</v>
          </cell>
          <cell r="B1443" t="str">
            <v>Bessengue</v>
          </cell>
          <cell r="C1443" t="str">
            <v>LIT</v>
          </cell>
          <cell r="D1443" t="str">
            <v>H-TELI</v>
          </cell>
        </row>
        <row r="1444">
          <cell r="A1444" t="str">
            <v>LIT_739</v>
          </cell>
          <cell r="B1444" t="str">
            <v>SCDP-New</v>
          </cell>
          <cell r="C1444" t="str">
            <v>LIT</v>
          </cell>
          <cell r="D1444" t="str">
            <v>H-TELI</v>
          </cell>
        </row>
        <row r="1445">
          <cell r="A1445" t="str">
            <v>LIT_085</v>
          </cell>
          <cell r="B1445" t="str">
            <v>Bonantone</v>
          </cell>
          <cell r="C1445" t="str">
            <v>LIT</v>
          </cell>
          <cell r="D1445" t="str">
            <v>H-TELI</v>
          </cell>
        </row>
        <row r="1446">
          <cell r="A1446" t="str">
            <v>LIT_362</v>
          </cell>
          <cell r="B1446" t="str">
            <v>Bonabappe-II</v>
          </cell>
          <cell r="C1446" t="str">
            <v>LIT</v>
          </cell>
          <cell r="D1446" t="str">
            <v>H-TELI</v>
          </cell>
        </row>
        <row r="1447">
          <cell r="A1447" t="str">
            <v>LIT_364</v>
          </cell>
          <cell r="B1447" t="str">
            <v>Bonamatoumbe-II</v>
          </cell>
          <cell r="C1447" t="str">
            <v>LIT</v>
          </cell>
          <cell r="D1447" t="str">
            <v>H-TELI</v>
          </cell>
        </row>
        <row r="1448">
          <cell r="A1448" t="str">
            <v>LIT_695</v>
          </cell>
          <cell r="B1448" t="str">
            <v>Mabanda-CIMAF</v>
          </cell>
          <cell r="C1448" t="str">
            <v>LIT</v>
          </cell>
          <cell r="D1448" t="str">
            <v>H-TELI</v>
          </cell>
        </row>
        <row r="1449">
          <cell r="A1449" t="str">
            <v>LIT_258</v>
          </cell>
          <cell r="B1449" t="str">
            <v>ZI-Cimencam</v>
          </cell>
          <cell r="C1449" t="str">
            <v>LIT</v>
          </cell>
          <cell r="D1449" t="str">
            <v>H-TELI</v>
          </cell>
        </row>
        <row r="1450">
          <cell r="A1450" t="str">
            <v>LIT_154</v>
          </cell>
          <cell r="B1450" t="str">
            <v>Bonamoussongo-IHS</v>
          </cell>
          <cell r="C1450" t="str">
            <v>LIT</v>
          </cell>
          <cell r="D1450" t="str">
            <v>H-TELI</v>
          </cell>
        </row>
        <row r="1451">
          <cell r="A1451" t="str">
            <v>LIT_378</v>
          </cell>
          <cell r="B1451" t="str">
            <v>Bonewonda-II</v>
          </cell>
          <cell r="C1451" t="str">
            <v>LIT</v>
          </cell>
          <cell r="D1451" t="str">
            <v>H-TELI</v>
          </cell>
        </row>
        <row r="1452">
          <cell r="A1452" t="str">
            <v>LIT_436</v>
          </cell>
          <cell r="B1452" t="str">
            <v>Deido-Pharmarcie-La-Rive</v>
          </cell>
          <cell r="C1452" t="str">
            <v>LIT</v>
          </cell>
          <cell r="D1452" t="str">
            <v>H-TELI</v>
          </cell>
        </row>
        <row r="1453">
          <cell r="A1453" t="str">
            <v>LIT_527</v>
          </cell>
          <cell r="B1453" t="str">
            <v>Bonateki-New</v>
          </cell>
          <cell r="C1453" t="str">
            <v>LIT</v>
          </cell>
          <cell r="D1453" t="str">
            <v>H-TELI</v>
          </cell>
        </row>
        <row r="1454">
          <cell r="A1454" t="str">
            <v>LIT_358</v>
          </cell>
          <cell r="B1454" t="str">
            <v>Bonangang</v>
          </cell>
          <cell r="C1454" t="str">
            <v>LIT</v>
          </cell>
          <cell r="D1454" t="str">
            <v>H-TELI</v>
          </cell>
        </row>
        <row r="1455">
          <cell r="A1455" t="str">
            <v>LIT_345</v>
          </cell>
          <cell r="B1455" t="str">
            <v>Deido-plage</v>
          </cell>
          <cell r="C1455" t="str">
            <v>LIT</v>
          </cell>
          <cell r="D1455" t="str">
            <v>H-TELI</v>
          </cell>
        </row>
        <row r="1456">
          <cell r="A1456" t="str">
            <v>LIT_435</v>
          </cell>
          <cell r="B1456" t="str">
            <v>Bonassama</v>
          </cell>
          <cell r="C1456" t="str">
            <v>LIT</v>
          </cell>
          <cell r="D1456" t="str">
            <v>H-TELI</v>
          </cell>
        </row>
        <row r="1457">
          <cell r="A1457" t="str">
            <v>LIT_360</v>
          </cell>
          <cell r="B1457" t="str">
            <v>Foret-Bar-Mabanda-IHS</v>
          </cell>
          <cell r="C1457" t="str">
            <v>LIT</v>
          </cell>
          <cell r="D1457" t="str">
            <v>H-TELI</v>
          </cell>
        </row>
        <row r="1458">
          <cell r="A1458" t="str">
            <v>LIT_094</v>
          </cell>
          <cell r="B1458" t="str">
            <v>Mabanda</v>
          </cell>
          <cell r="C1458" t="str">
            <v>LIT</v>
          </cell>
          <cell r="D1458" t="str">
            <v>H-TELI</v>
          </cell>
        </row>
        <row r="1459">
          <cell r="A1459" t="str">
            <v>LIT_577</v>
          </cell>
          <cell r="B1459" t="str">
            <v>Mabanda2-IHS</v>
          </cell>
          <cell r="C1459" t="str">
            <v>LIT</v>
          </cell>
          <cell r="D1459" t="str">
            <v>H-TELI</v>
          </cell>
        </row>
        <row r="1460">
          <cell r="A1460" t="str">
            <v>LIT_488</v>
          </cell>
          <cell r="B1460" t="str">
            <v>Mabanda3-IHS</v>
          </cell>
          <cell r="C1460" t="str">
            <v>LIT</v>
          </cell>
          <cell r="D1460" t="str">
            <v>H-TELI</v>
          </cell>
        </row>
        <row r="1461">
          <cell r="A1461" t="str">
            <v>LIT_489</v>
          </cell>
          <cell r="B1461" t="str">
            <v>Mabanda4-IHS</v>
          </cell>
          <cell r="C1461" t="str">
            <v>LIT</v>
          </cell>
          <cell r="D1461" t="str">
            <v>H-TELI</v>
          </cell>
        </row>
        <row r="1462">
          <cell r="A1462" t="str">
            <v>LIT_259</v>
          </cell>
          <cell r="B1462" t="str">
            <v>Mabanda-MTN</v>
          </cell>
          <cell r="C1462" t="str">
            <v>LIT</v>
          </cell>
          <cell r="D1462" t="str">
            <v>H-TELI</v>
          </cell>
        </row>
        <row r="1463">
          <cell r="A1463" t="str">
            <v>LIT_155</v>
          </cell>
          <cell r="B1463" t="str">
            <v>Nkomba-II-IHS</v>
          </cell>
          <cell r="C1463" t="str">
            <v>LIT</v>
          </cell>
          <cell r="D1463" t="str">
            <v>H-TELI</v>
          </cell>
        </row>
        <row r="1464">
          <cell r="A1464" t="str">
            <v>LIT_291</v>
          </cell>
          <cell r="B1464" t="str">
            <v>Grand-Hangar</v>
          </cell>
          <cell r="C1464" t="str">
            <v>LIT</v>
          </cell>
          <cell r="D1464" t="str">
            <v>H-TELI</v>
          </cell>
        </row>
        <row r="1465">
          <cell r="A1465" t="str">
            <v>LIT_361</v>
          </cell>
          <cell r="B1465" t="str">
            <v>Grand-Hangar-II</v>
          </cell>
          <cell r="C1465" t="str">
            <v>LIT</v>
          </cell>
          <cell r="D1465" t="str">
            <v>H-TELI</v>
          </cell>
        </row>
        <row r="1466">
          <cell r="A1466" t="str">
            <v>SUO_008</v>
          </cell>
          <cell r="B1466" t="str">
            <v>Mpenda-Mbocko-IHS</v>
          </cell>
          <cell r="C1466" t="str">
            <v>SUO</v>
          </cell>
          <cell r="D1466" t="str">
            <v>H-TELI</v>
          </cell>
        </row>
        <row r="1467">
          <cell r="A1467" t="str">
            <v>LIT_624</v>
          </cell>
          <cell r="B1467" t="str">
            <v>Ndobo3</v>
          </cell>
          <cell r="C1467" t="str">
            <v>LIT</v>
          </cell>
          <cell r="D1467" t="str">
            <v>H-TELI</v>
          </cell>
        </row>
        <row r="1468">
          <cell r="A1468" t="str">
            <v>LIT_260</v>
          </cell>
          <cell r="B1468" t="str">
            <v>Ndobo-Rail</v>
          </cell>
          <cell r="C1468" t="str">
            <v>LIT</v>
          </cell>
          <cell r="D1468" t="str">
            <v>H-TELI</v>
          </cell>
        </row>
        <row r="1469">
          <cell r="A1469" t="str">
            <v>LIT_377</v>
          </cell>
          <cell r="B1469" t="str">
            <v>Ngwelle-II</v>
          </cell>
          <cell r="C1469" t="str">
            <v>LIT</v>
          </cell>
          <cell r="D1469" t="str">
            <v>H-TELI</v>
          </cell>
        </row>
        <row r="1470">
          <cell r="A1470" t="str">
            <v>LIT_741</v>
          </cell>
          <cell r="B1470" t="str">
            <v>Sodiko-III-MTN</v>
          </cell>
          <cell r="C1470" t="str">
            <v>LIT</v>
          </cell>
          <cell r="D1470" t="str">
            <v>H-TELI</v>
          </cell>
        </row>
        <row r="1471">
          <cell r="A1471" t="str">
            <v>LIT_431</v>
          </cell>
          <cell r="B1471" t="str">
            <v>Ndoulou-IHS</v>
          </cell>
          <cell r="C1471" t="str">
            <v>LIT</v>
          </cell>
          <cell r="D1471" t="str">
            <v>H-TELI</v>
          </cell>
        </row>
        <row r="1472">
          <cell r="A1472" t="str">
            <v>LIT_417</v>
          </cell>
          <cell r="B1472" t="str">
            <v>Feu-Rouge-Bessengue</v>
          </cell>
          <cell r="C1472" t="str">
            <v>LIT</v>
          </cell>
          <cell r="D1472" t="str">
            <v>H-TELI</v>
          </cell>
        </row>
        <row r="1473">
          <cell r="A1473" t="str">
            <v>LIT_100</v>
          </cell>
          <cell r="B1473" t="str">
            <v>IPD</v>
          </cell>
          <cell r="C1473" t="str">
            <v>LIT</v>
          </cell>
          <cell r="D1473" t="str">
            <v>H-TELI</v>
          </cell>
        </row>
        <row r="1474">
          <cell r="A1474" t="str">
            <v>LIT_253</v>
          </cell>
          <cell r="B1474" t="str">
            <v>Logbaba-CAMTEL</v>
          </cell>
          <cell r="C1474" t="str">
            <v>LIT</v>
          </cell>
          <cell r="D1474" t="str">
            <v>H-TELI</v>
          </cell>
        </row>
        <row r="1475">
          <cell r="A1475" t="str">
            <v>LIT_059</v>
          </cell>
          <cell r="B1475" t="str">
            <v>Nyalla</v>
          </cell>
          <cell r="C1475" t="str">
            <v>LIT</v>
          </cell>
          <cell r="D1475" t="str">
            <v>H-TELI</v>
          </cell>
        </row>
        <row r="1476">
          <cell r="A1476" t="str">
            <v>LIT_341</v>
          </cell>
          <cell r="B1476" t="str">
            <v>Nyalla-II</v>
          </cell>
          <cell r="C1476" t="str">
            <v>LIT</v>
          </cell>
          <cell r="D1476" t="str">
            <v>H-TELI</v>
          </cell>
        </row>
        <row r="1477">
          <cell r="A1477" t="str">
            <v>LIT_755</v>
          </cell>
          <cell r="B1477" t="str">
            <v>Nyalla-III</v>
          </cell>
          <cell r="C1477" t="str">
            <v>LIT</v>
          </cell>
          <cell r="D1477" t="str">
            <v>H-TELI</v>
          </cell>
        </row>
        <row r="1478">
          <cell r="A1478" t="str">
            <v>LIT_343</v>
          </cell>
          <cell r="B1478" t="str">
            <v>Nyalla-Kilimandjaro</v>
          </cell>
          <cell r="C1478" t="str">
            <v>LIT</v>
          </cell>
          <cell r="D1478" t="str">
            <v>H-TELI</v>
          </cell>
        </row>
        <row r="1479">
          <cell r="A1479" t="str">
            <v>LIT_655</v>
          </cell>
          <cell r="B1479" t="str">
            <v>Nyalla-Marche</v>
          </cell>
          <cell r="C1479" t="str">
            <v>LIT</v>
          </cell>
          <cell r="D1479" t="str">
            <v>H-TELI</v>
          </cell>
        </row>
        <row r="1480">
          <cell r="A1480" t="str">
            <v>LIT_179</v>
          </cell>
          <cell r="B1480" t="str">
            <v>Nyalla-Pariso</v>
          </cell>
          <cell r="C1480" t="str">
            <v>LIT</v>
          </cell>
          <cell r="D1480" t="str">
            <v>H-TELI</v>
          </cell>
        </row>
        <row r="1481">
          <cell r="A1481" t="str">
            <v>LIT_036</v>
          </cell>
          <cell r="B1481" t="str">
            <v>C-D-Palmiers</v>
          </cell>
          <cell r="C1481" t="str">
            <v>LIT</v>
          </cell>
          <cell r="D1481" t="str">
            <v>H-TELI</v>
          </cell>
        </row>
        <row r="1482">
          <cell r="A1482" t="str">
            <v>LIT_371</v>
          </cell>
          <cell r="B1482" t="str">
            <v>C-D-Palmiers-II</v>
          </cell>
          <cell r="C1482" t="str">
            <v>LIT</v>
          </cell>
          <cell r="D1482" t="str">
            <v>H-TELI</v>
          </cell>
        </row>
        <row r="1483">
          <cell r="A1483" t="str">
            <v>LIT_248</v>
          </cell>
          <cell r="B1483" t="str">
            <v>Hopital-General</v>
          </cell>
          <cell r="C1483" t="str">
            <v>LIT</v>
          </cell>
          <cell r="D1483" t="str">
            <v>H-TELI</v>
          </cell>
        </row>
        <row r="1484">
          <cell r="A1484" t="str">
            <v>LIT_449</v>
          </cell>
          <cell r="B1484" t="str">
            <v>Malangue</v>
          </cell>
          <cell r="C1484" t="str">
            <v>LIT</v>
          </cell>
          <cell r="D1484" t="str">
            <v>H-TELI</v>
          </cell>
        </row>
        <row r="1485">
          <cell r="A1485" t="str">
            <v>LIT_127</v>
          </cell>
          <cell r="B1485" t="str">
            <v>Beedi</v>
          </cell>
          <cell r="C1485" t="str">
            <v>LIT</v>
          </cell>
          <cell r="D1485" t="str">
            <v>H-TELI</v>
          </cell>
        </row>
        <row r="1486">
          <cell r="A1486" t="str">
            <v>LIT_446</v>
          </cell>
          <cell r="B1486" t="str">
            <v>Bsadi-Hopital</v>
          </cell>
          <cell r="C1486" t="str">
            <v>LIT</v>
          </cell>
          <cell r="D1486" t="str">
            <v>H-TELI</v>
          </cell>
        </row>
        <row r="1487">
          <cell r="A1487" t="str">
            <v>LIT_024</v>
          </cell>
          <cell r="B1487" t="str">
            <v>Socaver</v>
          </cell>
          <cell r="C1487" t="str">
            <v>LIT</v>
          </cell>
          <cell r="D1487" t="str">
            <v>H-TELI</v>
          </cell>
        </row>
        <row r="1488">
          <cell r="A1488" t="str">
            <v>LIT_671</v>
          </cell>
          <cell r="B1488" t="str">
            <v>Ndogbong-Bifaka</v>
          </cell>
          <cell r="C1488" t="str">
            <v>LIT</v>
          </cell>
          <cell r="D1488" t="str">
            <v>H-TELI</v>
          </cell>
        </row>
        <row r="1489">
          <cell r="A1489" t="str">
            <v>LIT_619</v>
          </cell>
          <cell r="B1489" t="str">
            <v>Ndogbong-Hotel-Pacifique</v>
          </cell>
          <cell r="C1489" t="str">
            <v>LIT</v>
          </cell>
          <cell r="D1489" t="str">
            <v>H-TELI</v>
          </cell>
        </row>
        <row r="1490">
          <cell r="A1490" t="str">
            <v>LIT_652</v>
          </cell>
          <cell r="B1490" t="str">
            <v>Ndogbong-Seven</v>
          </cell>
          <cell r="C1490" t="str">
            <v>LIT</v>
          </cell>
          <cell r="D1490" t="str">
            <v>H-TELI</v>
          </cell>
        </row>
        <row r="1491">
          <cell r="A1491" t="str">
            <v>LIT_217</v>
          </cell>
          <cell r="B1491" t="str">
            <v>Ndokoti-New</v>
          </cell>
          <cell r="C1491" t="str">
            <v>LIT</v>
          </cell>
          <cell r="D1491" t="str">
            <v>H-TELI</v>
          </cell>
        </row>
        <row r="1492">
          <cell r="A1492" t="str">
            <v>LIT_056</v>
          </cell>
          <cell r="B1492" t="str">
            <v>Ange-Raphael</v>
          </cell>
          <cell r="C1492" t="str">
            <v>LIT</v>
          </cell>
          <cell r="D1492" t="str">
            <v>H-TELI</v>
          </cell>
        </row>
        <row r="1493">
          <cell r="A1493" t="str">
            <v>LIT_696</v>
          </cell>
          <cell r="B1493" t="str">
            <v>Ange-Raphael-II</v>
          </cell>
          <cell r="C1493" t="str">
            <v>LIT</v>
          </cell>
          <cell r="D1493" t="str">
            <v>H-TELI</v>
          </cell>
        </row>
        <row r="1494">
          <cell r="A1494" t="str">
            <v>LIT_034</v>
          </cell>
          <cell r="B1494" t="str">
            <v>BP-Cite</v>
          </cell>
          <cell r="C1494" t="str">
            <v>LIT</v>
          </cell>
          <cell r="D1494" t="str">
            <v>H-TELI</v>
          </cell>
        </row>
        <row r="1495">
          <cell r="A1495" t="str">
            <v>LIT_161</v>
          </cell>
          <cell r="B1495" t="str">
            <v>Cite-Sic-II</v>
          </cell>
          <cell r="C1495" t="str">
            <v>LIT</v>
          </cell>
          <cell r="D1495" t="str">
            <v>H-TELI</v>
          </cell>
        </row>
        <row r="1496">
          <cell r="A1496" t="str">
            <v>LIT_160</v>
          </cell>
          <cell r="B1496" t="str">
            <v>Fin-Goudron-Mt-ESSEC</v>
          </cell>
          <cell r="C1496" t="str">
            <v>LIT</v>
          </cell>
          <cell r="D1496" t="str">
            <v>H-TELI</v>
          </cell>
        </row>
        <row r="1497">
          <cell r="A1497" t="str">
            <v>LIT_654</v>
          </cell>
          <cell r="B1497" t="str">
            <v>Sic-Cacao</v>
          </cell>
          <cell r="C1497" t="str">
            <v>LIT</v>
          </cell>
          <cell r="D1497" t="str">
            <v>H-TELI</v>
          </cell>
        </row>
        <row r="1498">
          <cell r="A1498" t="str">
            <v>LIT_083</v>
          </cell>
          <cell r="B1498" t="str">
            <v>ZI-Bassa</v>
          </cell>
          <cell r="C1498" t="str">
            <v>LIT</v>
          </cell>
          <cell r="D1498" t="str">
            <v>H-TELI</v>
          </cell>
        </row>
        <row r="1499">
          <cell r="A1499" t="str">
            <v>LIT_263</v>
          </cell>
          <cell r="B1499" t="str">
            <v>CCC</v>
          </cell>
          <cell r="C1499" t="str">
            <v>LIT</v>
          </cell>
          <cell r="D1499" t="str">
            <v>H-TELI</v>
          </cell>
        </row>
        <row r="1500">
          <cell r="A1500" t="str">
            <v>LIT_058</v>
          </cell>
          <cell r="B1500" t="str">
            <v>Logbaba</v>
          </cell>
          <cell r="C1500" t="str">
            <v>LIT</v>
          </cell>
          <cell r="D1500" t="str">
            <v>H-TELI</v>
          </cell>
        </row>
        <row r="1501">
          <cell r="A1501" t="str">
            <v>LIT_342</v>
          </cell>
          <cell r="B1501" t="str">
            <v>Logbaba-SONEL</v>
          </cell>
          <cell r="C1501" t="str">
            <v>LIT</v>
          </cell>
          <cell r="D1501" t="str">
            <v>H-TELI</v>
          </cell>
        </row>
        <row r="1502">
          <cell r="A1502" t="str">
            <v>LIT_442</v>
          </cell>
          <cell r="B1502" t="str">
            <v>Cite-de-la-Paix</v>
          </cell>
          <cell r="C1502" t="str">
            <v>LIT</v>
          </cell>
          <cell r="D1502" t="str">
            <v>H-TELI</v>
          </cell>
        </row>
        <row r="1503">
          <cell r="A1503" t="str">
            <v>LIT_531</v>
          </cell>
          <cell r="B1503" t="str">
            <v>Mak-Village-New</v>
          </cell>
          <cell r="C1503" t="str">
            <v>LIT</v>
          </cell>
          <cell r="D1503" t="str">
            <v>H-TELI</v>
          </cell>
        </row>
        <row r="1504">
          <cell r="A1504" t="str">
            <v>LIT_445</v>
          </cell>
          <cell r="B1504" t="str">
            <v>Nyalla-Crf-Mpome</v>
          </cell>
          <cell r="C1504" t="str">
            <v>LIT</v>
          </cell>
          <cell r="D1504" t="str">
            <v>H-TELI</v>
          </cell>
        </row>
        <row r="1505">
          <cell r="A1505" t="str">
            <v>LIT_374</v>
          </cell>
          <cell r="B1505" t="str">
            <v>Song-Kot-IHS</v>
          </cell>
          <cell r="C1505" t="str">
            <v>LIT</v>
          </cell>
          <cell r="D1505" t="str">
            <v>H-TELI</v>
          </cell>
        </row>
        <row r="1506">
          <cell r="A1506" t="str">
            <v>LIT_010</v>
          </cell>
          <cell r="B1506" t="str">
            <v>Ndogbong</v>
          </cell>
          <cell r="C1506" t="str">
            <v>LIT</v>
          </cell>
          <cell r="D1506" t="str">
            <v>H-TELI</v>
          </cell>
        </row>
        <row r="1507">
          <cell r="A1507" t="str">
            <v>LIT_168</v>
          </cell>
          <cell r="B1507" t="str">
            <v>C-d-Palmiers-III</v>
          </cell>
          <cell r="C1507" t="str">
            <v>LIT</v>
          </cell>
          <cell r="D1507" t="str">
            <v>H-TELI</v>
          </cell>
        </row>
        <row r="1508">
          <cell r="A1508" t="str">
            <v>LIT_406</v>
          </cell>
          <cell r="B1508" t="str">
            <v>Ndokoti-Brasseries</v>
          </cell>
          <cell r="C1508" t="str">
            <v>LIT</v>
          </cell>
          <cell r="D1508" t="str">
            <v>H-TELI</v>
          </cell>
        </row>
        <row r="1509">
          <cell r="A1509" t="str">
            <v>LIT_525</v>
          </cell>
          <cell r="B1509" t="str">
            <v>Ndokoti-GUINNESS-New</v>
          </cell>
          <cell r="C1509" t="str">
            <v>LIT</v>
          </cell>
          <cell r="D1509" t="str">
            <v>H-TELI</v>
          </cell>
        </row>
        <row r="1510">
          <cell r="A1510" t="str">
            <v>LIT_684</v>
          </cell>
          <cell r="B1510" t="str">
            <v>Ndokoti-Carrefour-MTN</v>
          </cell>
          <cell r="C1510" t="str">
            <v>LIT</v>
          </cell>
          <cell r="D1510" t="str">
            <v>H-TELI</v>
          </cell>
        </row>
        <row r="1511">
          <cell r="A1511" t="str">
            <v>LIT_459</v>
          </cell>
          <cell r="B1511" t="str">
            <v>Bep-An-2000</v>
          </cell>
          <cell r="C1511" t="str">
            <v>LIT</v>
          </cell>
          <cell r="D1511" t="str">
            <v>H-TELI</v>
          </cell>
        </row>
        <row r="1512">
          <cell r="A1512" t="str">
            <v>LIT_405</v>
          </cell>
          <cell r="B1512" t="str">
            <v>Bepanda-Omnisport</v>
          </cell>
          <cell r="C1512" t="str">
            <v>LIT</v>
          </cell>
          <cell r="D1512" t="str">
            <v>H-TELI</v>
          </cell>
        </row>
        <row r="1513">
          <cell r="A1513" t="str">
            <v>LIT_524</v>
          </cell>
          <cell r="B1513" t="str">
            <v>Bep-Safari-New</v>
          </cell>
          <cell r="C1513" t="str">
            <v>LIT</v>
          </cell>
          <cell r="D1513" t="str">
            <v>H-TELI</v>
          </cell>
        </row>
        <row r="1514">
          <cell r="A1514" t="str">
            <v>LIT_221</v>
          </cell>
          <cell r="B1514" t="str">
            <v>Ndogbong-IUT</v>
          </cell>
          <cell r="C1514" t="str">
            <v>LIT</v>
          </cell>
          <cell r="D1514" t="str">
            <v>H-TELI</v>
          </cell>
        </row>
        <row r="1515">
          <cell r="A1515" t="str">
            <v>LIT_264</v>
          </cell>
          <cell r="B1515" t="str">
            <v>Ndogbong-Vallee</v>
          </cell>
          <cell r="C1515" t="str">
            <v>LIT</v>
          </cell>
          <cell r="D1515" t="str">
            <v>H-TELI</v>
          </cell>
        </row>
        <row r="1516">
          <cell r="A1516" t="str">
            <v>LIT_344</v>
          </cell>
          <cell r="B1516" t="str">
            <v>Ndogbong-Citadelle</v>
          </cell>
          <cell r="C1516" t="str">
            <v>LIT</v>
          </cell>
          <cell r="D1516" t="str">
            <v>H-TELI</v>
          </cell>
        </row>
        <row r="1517">
          <cell r="A1517" t="str">
            <v>LIT_432</v>
          </cell>
          <cell r="B1517" t="str">
            <v>Ndogbong-Guinness</v>
          </cell>
          <cell r="C1517" t="str">
            <v>LIT</v>
          </cell>
          <cell r="D1517" t="str">
            <v>H-TELI</v>
          </cell>
        </row>
        <row r="1518">
          <cell r="A1518" t="str">
            <v>LIT_098</v>
          </cell>
          <cell r="B1518" t="str">
            <v>Cite-Sic</v>
          </cell>
          <cell r="C1518" t="str">
            <v>LIT</v>
          </cell>
          <cell r="D1518" t="str">
            <v>H-TELI</v>
          </cell>
        </row>
        <row r="1519">
          <cell r="A1519" t="str">
            <v>LIT_609</v>
          </cell>
          <cell r="B1519" t="str">
            <v>Agape</v>
          </cell>
          <cell r="C1519" t="str">
            <v>LIT</v>
          </cell>
          <cell r="D1519" t="str">
            <v>H-TELI</v>
          </cell>
        </row>
        <row r="1520">
          <cell r="A1520" t="str">
            <v>LIT_372</v>
          </cell>
          <cell r="B1520" t="str">
            <v>Ndogbat</v>
          </cell>
          <cell r="C1520" t="str">
            <v>LIT</v>
          </cell>
          <cell r="D1520" t="str">
            <v>H-TELI</v>
          </cell>
        </row>
        <row r="1521">
          <cell r="A1521" t="str">
            <v>LIT_517</v>
          </cell>
          <cell r="B1521" t="str">
            <v>Bihaing-IHS</v>
          </cell>
          <cell r="C1521" t="str">
            <v>LIT</v>
          </cell>
          <cell r="D1521" t="str">
            <v>H-TELI</v>
          </cell>
        </row>
        <row r="1522">
          <cell r="A1522" t="str">
            <v>CTR_234</v>
          </cell>
          <cell r="B1522" t="str">
            <v>Boga-Mahole</v>
          </cell>
          <cell r="C1522" t="str">
            <v>CTR</v>
          </cell>
          <cell r="D1522" t="str">
            <v>H-TELI</v>
          </cell>
        </row>
        <row r="1523">
          <cell r="A1523" t="str">
            <v>LIT_209</v>
          </cell>
          <cell r="B1523" t="str">
            <v>Cellucam-New</v>
          </cell>
          <cell r="C1523" t="str">
            <v>LIT</v>
          </cell>
          <cell r="D1523" t="str">
            <v>H-TELI</v>
          </cell>
        </row>
        <row r="1524">
          <cell r="A1524" t="str">
            <v>LIT_113</v>
          </cell>
          <cell r="B1524" t="str">
            <v>Dizangue</v>
          </cell>
          <cell r="C1524" t="str">
            <v>LIT</v>
          </cell>
          <cell r="D1524" t="str">
            <v>H-TELI</v>
          </cell>
        </row>
        <row r="1525">
          <cell r="A1525" t="str">
            <v>CTR_003</v>
          </cell>
          <cell r="B1525" t="str">
            <v>Ebombe</v>
          </cell>
          <cell r="C1525" t="str">
            <v>CTR</v>
          </cell>
          <cell r="D1525" t="str">
            <v>H-TELI</v>
          </cell>
        </row>
        <row r="1526">
          <cell r="A1526" t="str">
            <v>LIT_185</v>
          </cell>
          <cell r="B1526" t="str">
            <v>Edea-Centre</v>
          </cell>
          <cell r="C1526" t="str">
            <v>LIT</v>
          </cell>
          <cell r="D1526" t="str">
            <v>H-TELI</v>
          </cell>
        </row>
        <row r="1527">
          <cell r="A1527" t="str">
            <v>LIT_510</v>
          </cell>
          <cell r="B1527" t="str">
            <v>Kanga</v>
          </cell>
          <cell r="C1527" t="str">
            <v>LIT</v>
          </cell>
          <cell r="D1527" t="str">
            <v>H-TELI</v>
          </cell>
        </row>
        <row r="1528">
          <cell r="A1528" t="str">
            <v>LIT_509</v>
          </cell>
          <cell r="B1528" t="str">
            <v>Kopongo</v>
          </cell>
          <cell r="C1528" t="str">
            <v>LIT</v>
          </cell>
          <cell r="D1528" t="str">
            <v>H-TELI</v>
          </cell>
        </row>
        <row r="1529">
          <cell r="A1529" t="str">
            <v>LIT_508</v>
          </cell>
          <cell r="B1529" t="str">
            <v>Logbong</v>
          </cell>
          <cell r="C1529" t="str">
            <v>LIT</v>
          </cell>
          <cell r="D1529" t="str">
            <v>H-TELI</v>
          </cell>
        </row>
        <row r="1530">
          <cell r="A1530" t="str">
            <v>LIT_519</v>
          </cell>
          <cell r="B1530" t="str">
            <v>Madjap</v>
          </cell>
          <cell r="C1530" t="str">
            <v>LIT</v>
          </cell>
          <cell r="D1530" t="str">
            <v>H-TELI</v>
          </cell>
        </row>
        <row r="1531">
          <cell r="A1531" t="str">
            <v>LIT_191</v>
          </cell>
          <cell r="B1531" t="str">
            <v>Mouanko</v>
          </cell>
          <cell r="C1531" t="str">
            <v>LIT</v>
          </cell>
          <cell r="D1531" t="str">
            <v>H-TELI</v>
          </cell>
        </row>
        <row r="1532">
          <cell r="A1532" t="str">
            <v>LIT_135</v>
          </cell>
          <cell r="B1532" t="str">
            <v>Ngonga</v>
          </cell>
          <cell r="C1532" t="str">
            <v>LIT</v>
          </cell>
          <cell r="D1532" t="str">
            <v>H-TELI</v>
          </cell>
        </row>
        <row r="1533">
          <cell r="A1533" t="str">
            <v>LIT_108</v>
          </cell>
          <cell r="B1533" t="str">
            <v>Ngwei</v>
          </cell>
          <cell r="C1533" t="str">
            <v>LIT</v>
          </cell>
          <cell r="D1533" t="str">
            <v>H-TELI</v>
          </cell>
        </row>
        <row r="1534">
          <cell r="A1534" t="str">
            <v>LIT_231</v>
          </cell>
          <cell r="B1534" t="str">
            <v>Nkak</v>
          </cell>
          <cell r="C1534" t="str">
            <v>LIT</v>
          </cell>
          <cell r="D1534" t="str">
            <v>H-TELI</v>
          </cell>
        </row>
        <row r="1535">
          <cell r="A1535" t="str">
            <v>LIT_514</v>
          </cell>
          <cell r="B1535" t="str">
            <v>Nkan</v>
          </cell>
          <cell r="C1535" t="str">
            <v>LIT</v>
          </cell>
          <cell r="D1535" t="str">
            <v>H-TELI</v>
          </cell>
        </row>
        <row r="1536">
          <cell r="A1536" t="str">
            <v>LIT_069</v>
          </cell>
          <cell r="B1536" t="str">
            <v>Pouma</v>
          </cell>
          <cell r="C1536" t="str">
            <v>LIT</v>
          </cell>
          <cell r="D1536" t="str">
            <v>H-TELI</v>
          </cell>
        </row>
        <row r="1537">
          <cell r="A1537" t="str">
            <v>LIT_513</v>
          </cell>
          <cell r="B1537" t="str">
            <v>Poutkak</v>
          </cell>
          <cell r="C1537" t="str">
            <v>LIT</v>
          </cell>
          <cell r="D1537" t="str">
            <v>H-TELI</v>
          </cell>
        </row>
        <row r="1538">
          <cell r="A1538" t="str">
            <v>LIT_138</v>
          </cell>
          <cell r="B1538" t="str">
            <v>Sackbayeme</v>
          </cell>
          <cell r="C1538" t="str">
            <v>LIT</v>
          </cell>
          <cell r="D1538" t="str">
            <v>H-TELI</v>
          </cell>
        </row>
        <row r="1539">
          <cell r="A1539" t="str">
            <v>LIT_040</v>
          </cell>
          <cell r="B1539" t="str">
            <v>Safacam</v>
          </cell>
          <cell r="C1539" t="str">
            <v>LIT</v>
          </cell>
          <cell r="D1539" t="str">
            <v>H-TELI</v>
          </cell>
        </row>
        <row r="1540">
          <cell r="A1540" t="str">
            <v>LIT_507</v>
          </cell>
          <cell r="B1540" t="str">
            <v>Sibongo</v>
          </cell>
          <cell r="C1540" t="str">
            <v>LIT</v>
          </cell>
          <cell r="D1540" t="str">
            <v>H-TELI</v>
          </cell>
        </row>
        <row r="1541">
          <cell r="A1541" t="str">
            <v>LIT_506</v>
          </cell>
          <cell r="B1541" t="str">
            <v>Sokelle-IHS</v>
          </cell>
          <cell r="C1541" t="str">
            <v>LIT</v>
          </cell>
          <cell r="D1541" t="str">
            <v>H-TELI</v>
          </cell>
        </row>
        <row r="1542">
          <cell r="A1542" t="str">
            <v>CTR_013</v>
          </cell>
          <cell r="B1542" t="str">
            <v>Sombo</v>
          </cell>
          <cell r="C1542" t="str">
            <v>CTR</v>
          </cell>
          <cell r="D1542" t="str">
            <v>H-TELI</v>
          </cell>
        </row>
        <row r="1543">
          <cell r="A1543" t="str">
            <v>LIT_319</v>
          </cell>
          <cell r="B1543" t="str">
            <v>Botko</v>
          </cell>
          <cell r="C1543" t="str">
            <v>LIT</v>
          </cell>
          <cell r="D1543" t="str">
            <v>H-TELI</v>
          </cell>
        </row>
        <row r="1544">
          <cell r="A1544" t="str">
            <v>CTR_204</v>
          </cell>
          <cell r="B1544" t="str">
            <v>Dibang</v>
          </cell>
          <cell r="C1544" t="str">
            <v>CTR</v>
          </cell>
          <cell r="D1544" t="str">
            <v>H-TELI</v>
          </cell>
        </row>
        <row r="1545">
          <cell r="A1545" t="str">
            <v>LIT_496</v>
          </cell>
          <cell r="B1545" t="str">
            <v>Dizangue-KM14-IHS</v>
          </cell>
          <cell r="C1545" t="str">
            <v>LIT</v>
          </cell>
          <cell r="D1545" t="str">
            <v>H-TELI</v>
          </cell>
        </row>
        <row r="1546">
          <cell r="A1546" t="str">
            <v>LIT_322</v>
          </cell>
          <cell r="B1546" t="str">
            <v>Edea-Ekite</v>
          </cell>
          <cell r="C1546" t="str">
            <v>LIT</v>
          </cell>
          <cell r="D1546" t="str">
            <v>H-TELI</v>
          </cell>
        </row>
        <row r="1547">
          <cell r="A1547" t="str">
            <v>LIT_229</v>
          </cell>
          <cell r="B1547" t="str">
            <v>Edea-Entree</v>
          </cell>
          <cell r="C1547" t="str">
            <v>LIT</v>
          </cell>
          <cell r="D1547" t="str">
            <v>H-TELI</v>
          </cell>
        </row>
        <row r="1548">
          <cell r="A1548" t="str">
            <v>LIT_230</v>
          </cell>
          <cell r="B1548" t="str">
            <v>Edea-Ndokok</v>
          </cell>
          <cell r="C1548" t="str">
            <v>LIT</v>
          </cell>
          <cell r="D1548" t="str">
            <v>H-TELI</v>
          </cell>
        </row>
        <row r="1549">
          <cell r="A1549" t="str">
            <v>LIT_749</v>
          </cell>
          <cell r="B1549" t="str">
            <v>Edea-Peage-IHS</v>
          </cell>
          <cell r="C1549" t="str">
            <v>LIT</v>
          </cell>
          <cell r="D1549" t="str">
            <v>H-TELI</v>
          </cell>
        </row>
        <row r="1550">
          <cell r="A1550" t="str">
            <v>LIT_078</v>
          </cell>
          <cell r="B1550" t="str">
            <v>Edea-Ville</v>
          </cell>
          <cell r="C1550" t="str">
            <v>LIT</v>
          </cell>
          <cell r="D1550" t="str">
            <v>H-TELI</v>
          </cell>
        </row>
        <row r="1551">
          <cell r="A1551" t="str">
            <v>LIT_503</v>
          </cell>
          <cell r="B1551" t="str">
            <v>Logbadjeck-IHS</v>
          </cell>
          <cell r="C1551" t="str">
            <v>LIT</v>
          </cell>
          <cell r="D1551" t="str">
            <v>H-TELI</v>
          </cell>
        </row>
        <row r="1552">
          <cell r="A1552" t="str">
            <v>LIT_389</v>
          </cell>
          <cell r="B1552" t="str">
            <v>Lounghe-Camrail</v>
          </cell>
          <cell r="C1552" t="str">
            <v>LIT</v>
          </cell>
          <cell r="D1552" t="str">
            <v>H-TELI</v>
          </cell>
        </row>
        <row r="1553">
          <cell r="A1553" t="str">
            <v>LIT_114</v>
          </cell>
          <cell r="B1553" t="str">
            <v>Makondo</v>
          </cell>
          <cell r="C1553" t="str">
            <v>LIT</v>
          </cell>
          <cell r="D1553" t="str">
            <v>H-TELI</v>
          </cell>
        </row>
        <row r="1554">
          <cell r="A1554" t="str">
            <v>LIT_143</v>
          </cell>
          <cell r="B1554" t="str">
            <v>Mbambou-IHS</v>
          </cell>
          <cell r="C1554" t="str">
            <v>LIT</v>
          </cell>
          <cell r="D1554" t="str">
            <v>H-TELI</v>
          </cell>
        </row>
        <row r="1555">
          <cell r="A1555" t="str">
            <v>LIT_480</v>
          </cell>
          <cell r="B1555" t="str">
            <v>Mbongo-IHS</v>
          </cell>
          <cell r="C1555" t="str">
            <v>LIT</v>
          </cell>
          <cell r="D1555" t="str">
            <v>H-TELI</v>
          </cell>
        </row>
        <row r="1556">
          <cell r="A1556" t="str">
            <v>LIT_134</v>
          </cell>
          <cell r="B1556" t="str">
            <v>Messondo</v>
          </cell>
          <cell r="C1556" t="str">
            <v>LIT</v>
          </cell>
          <cell r="D1556" t="str">
            <v>H-TELI</v>
          </cell>
        </row>
        <row r="1557">
          <cell r="A1557" t="str">
            <v>LIT_227</v>
          </cell>
          <cell r="B1557" t="str">
            <v>Missole</v>
          </cell>
          <cell r="C1557" t="str">
            <v>LIT</v>
          </cell>
          <cell r="D1557" t="str">
            <v>H-TELI</v>
          </cell>
        </row>
        <row r="1558">
          <cell r="A1558" t="str">
            <v>LIT_306</v>
          </cell>
          <cell r="B1558" t="str">
            <v>Missole-Entree</v>
          </cell>
          <cell r="C1558" t="str">
            <v>LIT</v>
          </cell>
          <cell r="D1558" t="str">
            <v>H-TELI</v>
          </cell>
        </row>
        <row r="1559">
          <cell r="A1559" t="str">
            <v>LIT_750</v>
          </cell>
          <cell r="B1559" t="str">
            <v>MISSOLE-II-PK35-IHS</v>
          </cell>
          <cell r="C1559" t="str">
            <v>LIT</v>
          </cell>
          <cell r="D1559" t="str">
            <v>H-TELI</v>
          </cell>
        </row>
        <row r="1560">
          <cell r="A1560" t="str">
            <v>LIT_500</v>
          </cell>
          <cell r="B1560" t="str">
            <v>Ndjokloumbe-IHS</v>
          </cell>
          <cell r="C1560" t="str">
            <v>LIT</v>
          </cell>
          <cell r="D1560" t="str">
            <v>H-TELI</v>
          </cell>
        </row>
        <row r="1561">
          <cell r="A1561" t="str">
            <v>CTR_059</v>
          </cell>
          <cell r="B1561" t="str">
            <v>Ndokok</v>
          </cell>
          <cell r="C1561" t="str">
            <v>CTR</v>
          </cell>
          <cell r="D1561" t="str">
            <v>H-TELI</v>
          </cell>
        </row>
        <row r="1562">
          <cell r="A1562" t="str">
            <v>LIT_308</v>
          </cell>
          <cell r="B1562" t="str">
            <v>Ndokoma</v>
          </cell>
          <cell r="C1562" t="str">
            <v>LIT</v>
          </cell>
          <cell r="D1562" t="str">
            <v>H-TELI</v>
          </cell>
        </row>
        <row r="1563">
          <cell r="A1563" t="str">
            <v>SUO_029</v>
          </cell>
          <cell r="B1563" t="str">
            <v>Ngambe</v>
          </cell>
          <cell r="C1563" t="str">
            <v>SUO</v>
          </cell>
          <cell r="D1563" t="str">
            <v>H-TELI</v>
          </cell>
        </row>
        <row r="1564">
          <cell r="A1564" t="str">
            <v>LIT_121</v>
          </cell>
          <cell r="B1564" t="str">
            <v>Ngog-Mbog</v>
          </cell>
          <cell r="C1564" t="str">
            <v>LIT</v>
          </cell>
          <cell r="D1564" t="str">
            <v>H-TELI</v>
          </cell>
        </row>
        <row r="1565">
          <cell r="A1565" t="str">
            <v>LIT_523</v>
          </cell>
          <cell r="B1565" t="str">
            <v>Ngoulmepa-New</v>
          </cell>
          <cell r="C1565" t="str">
            <v>LIT</v>
          </cell>
          <cell r="D1565" t="str">
            <v>H-TELI</v>
          </cell>
        </row>
        <row r="1566">
          <cell r="A1566" t="str">
            <v>LIT_664</v>
          </cell>
          <cell r="B1566" t="str">
            <v>Ngwei-II-IHS</v>
          </cell>
          <cell r="C1566" t="str">
            <v>LIT</v>
          </cell>
          <cell r="D1566" t="str">
            <v>H-TELI</v>
          </cell>
        </row>
        <row r="1567">
          <cell r="A1567" t="str">
            <v>LIT_201</v>
          </cell>
          <cell r="B1567" t="str">
            <v>Pouma-Makob</v>
          </cell>
          <cell r="C1567" t="str">
            <v>LIT</v>
          </cell>
          <cell r="D1567" t="str">
            <v>H-TELI</v>
          </cell>
        </row>
        <row r="1568">
          <cell r="A1568" t="str">
            <v>LIT_012</v>
          </cell>
          <cell r="B1568" t="str">
            <v>Sikoum</v>
          </cell>
          <cell r="C1568" t="str">
            <v>LIT</v>
          </cell>
          <cell r="D1568" t="str">
            <v>H-TELI</v>
          </cell>
        </row>
        <row r="1569">
          <cell r="A1569" t="str">
            <v>LIT_388</v>
          </cell>
          <cell r="B1569" t="str">
            <v>Sikoum-II</v>
          </cell>
          <cell r="C1569" t="str">
            <v>LIT</v>
          </cell>
          <cell r="D1569" t="str">
            <v>H-TELI</v>
          </cell>
        </row>
        <row r="1570">
          <cell r="A1570" t="str">
            <v>LIT_515</v>
          </cell>
          <cell r="B1570" t="str">
            <v>Sodibanga</v>
          </cell>
          <cell r="C1570" t="str">
            <v>LIT</v>
          </cell>
          <cell r="D1570" t="str">
            <v>H-TELI</v>
          </cell>
        </row>
        <row r="1571">
          <cell r="A1571" t="str">
            <v>LIT_200</v>
          </cell>
          <cell r="B1571" t="str">
            <v>SongLoulou-IHS</v>
          </cell>
          <cell r="C1571" t="str">
            <v>LIT</v>
          </cell>
          <cell r="D1571" t="str">
            <v>H-TELI</v>
          </cell>
        </row>
        <row r="1572">
          <cell r="A1572" t="str">
            <v>LIT_536</v>
          </cell>
          <cell r="B1572" t="str">
            <v>Yoyo-New</v>
          </cell>
          <cell r="C1572" t="str">
            <v>LIT</v>
          </cell>
          <cell r="D1572" t="str">
            <v>H-TELI</v>
          </cell>
        </row>
        <row r="1573">
          <cell r="A1573" t="str">
            <v>SUD_001</v>
          </cell>
          <cell r="B1573" t="str">
            <v>Bipaga</v>
          </cell>
          <cell r="C1573" t="str">
            <v>SUD</v>
          </cell>
          <cell r="D1573" t="str">
            <v>H-TELI</v>
          </cell>
        </row>
        <row r="1574">
          <cell r="A1574" t="str">
            <v>LIT_132</v>
          </cell>
          <cell r="B1574" t="str">
            <v>Campo</v>
          </cell>
          <cell r="C1574" t="str">
            <v>LIT</v>
          </cell>
          <cell r="D1574" t="str">
            <v>H-TELI</v>
          </cell>
        </row>
        <row r="1575">
          <cell r="A1575" t="str">
            <v>LIT_494</v>
          </cell>
          <cell r="B1575" t="str">
            <v>Campo-Beach-IHS</v>
          </cell>
          <cell r="C1575" t="str">
            <v>LIT</v>
          </cell>
          <cell r="D1575" t="str">
            <v>H-TELI</v>
          </cell>
        </row>
        <row r="1576">
          <cell r="A1576" t="str">
            <v>SUD_215</v>
          </cell>
          <cell r="B1576" t="str">
            <v>Fifinda-MTN</v>
          </cell>
          <cell r="C1576" t="str">
            <v>SUD</v>
          </cell>
          <cell r="D1576" t="str">
            <v>H-TELI</v>
          </cell>
        </row>
        <row r="1577">
          <cell r="A1577" t="str">
            <v>LIT_195</v>
          </cell>
          <cell r="B1577" t="str">
            <v>Kienke</v>
          </cell>
          <cell r="C1577" t="str">
            <v>LIT</v>
          </cell>
          <cell r="D1577" t="str">
            <v>H-TELI</v>
          </cell>
        </row>
        <row r="1578">
          <cell r="A1578" t="str">
            <v>SUD_240</v>
          </cell>
          <cell r="B1578" t="str">
            <v>Kribi-Bwambe</v>
          </cell>
          <cell r="C1578" t="str">
            <v>SUD</v>
          </cell>
          <cell r="D1578" t="str">
            <v>H-TELI</v>
          </cell>
        </row>
        <row r="1579">
          <cell r="A1579" t="str">
            <v>SUD_077</v>
          </cell>
          <cell r="B1579" t="str">
            <v>Kribi-Ebouyie</v>
          </cell>
          <cell r="C1579" t="str">
            <v>SUD</v>
          </cell>
          <cell r="D1579" t="str">
            <v>H-TELI</v>
          </cell>
        </row>
        <row r="1580">
          <cell r="A1580" t="str">
            <v>SUD_094</v>
          </cell>
          <cell r="B1580" t="str">
            <v>Kribi-Gd-Batanga-II</v>
          </cell>
          <cell r="C1580" t="str">
            <v>SUD</v>
          </cell>
          <cell r="D1580" t="str">
            <v>H-TELI</v>
          </cell>
        </row>
        <row r="1581">
          <cell r="A1581" t="str">
            <v>SUD_080</v>
          </cell>
          <cell r="B1581" t="str">
            <v>Kribi-Hotel-Paradis-IHS</v>
          </cell>
          <cell r="C1581" t="str">
            <v>SUD</v>
          </cell>
          <cell r="D1581" t="str">
            <v>H-TELI</v>
          </cell>
        </row>
        <row r="1582">
          <cell r="A1582" t="str">
            <v>SUD_042</v>
          </cell>
          <cell r="B1582" t="str">
            <v>Kribi-Kienke-Bridge-IHS</v>
          </cell>
          <cell r="C1582" t="str">
            <v>SUD</v>
          </cell>
          <cell r="D1582" t="str">
            <v>H-TELI</v>
          </cell>
        </row>
        <row r="1583">
          <cell r="A1583" t="str">
            <v>SUD_043</v>
          </cell>
          <cell r="B1583" t="str">
            <v>Kribi-Ndombe-IHS</v>
          </cell>
          <cell r="C1583" t="str">
            <v>SUD</v>
          </cell>
          <cell r="D1583" t="str">
            <v>H-TELI</v>
          </cell>
        </row>
        <row r="1584">
          <cell r="A1584" t="str">
            <v>SUD_006</v>
          </cell>
          <cell r="B1584" t="str">
            <v>Kribi-Ocean</v>
          </cell>
          <cell r="C1584" t="str">
            <v>SUD</v>
          </cell>
          <cell r="D1584" t="str">
            <v>H-TELI</v>
          </cell>
        </row>
        <row r="1585">
          <cell r="A1585" t="str">
            <v>SUD_021</v>
          </cell>
          <cell r="B1585" t="str">
            <v>Mpoloungoue</v>
          </cell>
          <cell r="C1585" t="str">
            <v>SUD</v>
          </cell>
          <cell r="D1585" t="str">
            <v>H-TELI</v>
          </cell>
        </row>
        <row r="1586">
          <cell r="A1586" t="str">
            <v>SUD_011</v>
          </cell>
          <cell r="B1586" t="str">
            <v>Niete-DG</v>
          </cell>
          <cell r="C1586" t="str">
            <v>SUD</v>
          </cell>
          <cell r="D1586" t="str">
            <v>H-TELI</v>
          </cell>
        </row>
        <row r="1587">
          <cell r="A1587" t="str">
            <v>SUD_005</v>
          </cell>
          <cell r="B1587" t="str">
            <v>Niete-FH</v>
          </cell>
          <cell r="C1587" t="str">
            <v>SUD</v>
          </cell>
          <cell r="D1587" t="str">
            <v>H-TELI</v>
          </cell>
        </row>
        <row r="1588">
          <cell r="A1588" t="str">
            <v>LIT_193</v>
          </cell>
          <cell r="B1588" t="str">
            <v>Niete-V14</v>
          </cell>
          <cell r="C1588" t="str">
            <v>LIT</v>
          </cell>
          <cell r="D1588" t="str">
            <v>H-TELI</v>
          </cell>
        </row>
        <row r="1589">
          <cell r="A1589" t="str">
            <v>LIT_495</v>
          </cell>
          <cell r="B1589" t="str">
            <v>Niete-V15-IHS</v>
          </cell>
          <cell r="C1589" t="str">
            <v>LIT</v>
          </cell>
          <cell r="D1589" t="str">
            <v>H-TELI</v>
          </cell>
        </row>
        <row r="1590">
          <cell r="A1590" t="str">
            <v>SUD_088</v>
          </cell>
          <cell r="B1590" t="str">
            <v>Nkomezap Camtel</v>
          </cell>
          <cell r="C1590"/>
          <cell r="D1590" t="str">
            <v>H-TELI</v>
          </cell>
        </row>
        <row r="1591">
          <cell r="A1591" t="str">
            <v>SUD_004</v>
          </cell>
          <cell r="B1591" t="str">
            <v>Pama</v>
          </cell>
          <cell r="C1591" t="str">
            <v>SUD</v>
          </cell>
          <cell r="D1591" t="str">
            <v>H-TELI</v>
          </cell>
        </row>
        <row r="1592">
          <cell r="A1592" t="str">
            <v>SUD_092</v>
          </cell>
          <cell r="B1592" t="str">
            <v>Port_Autonome_Kribi</v>
          </cell>
          <cell r="C1592" t="str">
            <v>SUD</v>
          </cell>
          <cell r="D1592" t="str">
            <v>H-TELI</v>
          </cell>
        </row>
        <row r="1593">
          <cell r="A1593" t="str">
            <v>LIT_504</v>
          </cell>
          <cell r="B1593" t="str">
            <v>Talla-Kribi-IHS</v>
          </cell>
          <cell r="C1593" t="str">
            <v>LIT</v>
          </cell>
          <cell r="D1593" t="str">
            <v>H-TELI</v>
          </cell>
        </row>
        <row r="1594">
          <cell r="A1594" t="str">
            <v>LIT_512</v>
          </cell>
          <cell r="B1594" t="str">
            <v>Apouh</v>
          </cell>
          <cell r="C1594" t="str">
            <v>LIT</v>
          </cell>
          <cell r="D1594" t="str">
            <v>H-TELI</v>
          </cell>
        </row>
        <row r="1595">
          <cell r="A1595" t="str">
            <v>LIT_313</v>
          </cell>
          <cell r="B1595" t="str">
            <v>Edea-Bisseke</v>
          </cell>
          <cell r="C1595" t="str">
            <v>LIT</v>
          </cell>
          <cell r="D1595" t="str">
            <v>H-TELI</v>
          </cell>
        </row>
        <row r="1596">
          <cell r="A1596" t="str">
            <v>LIT_321</v>
          </cell>
          <cell r="B1596" t="str">
            <v>Edea-Lom</v>
          </cell>
          <cell r="C1596" t="str">
            <v>LIT</v>
          </cell>
          <cell r="D1596" t="str">
            <v>H-TELI</v>
          </cell>
        </row>
        <row r="1597">
          <cell r="A1597" t="str">
            <v>LIT_006</v>
          </cell>
          <cell r="B1597" t="str">
            <v>Ferme-Suisse</v>
          </cell>
          <cell r="C1597" t="str">
            <v>LIT</v>
          </cell>
          <cell r="D1597" t="str">
            <v>H-TELI</v>
          </cell>
        </row>
        <row r="1598">
          <cell r="A1598" t="str">
            <v>SUD_214</v>
          </cell>
          <cell r="B1598" t="str">
            <v>Mbongouen-MTN</v>
          </cell>
          <cell r="C1598" t="str">
            <v>SUD</v>
          </cell>
          <cell r="D1598" t="str">
            <v>H-TELI</v>
          </cell>
        </row>
        <row r="1599">
          <cell r="A1599" t="str">
            <v>LIT_314</v>
          </cell>
          <cell r="B1599" t="str">
            <v>Edea-Nkakanzock</v>
          </cell>
          <cell r="C1599" t="str">
            <v>LIT</v>
          </cell>
          <cell r="D1599" t="str">
            <v>H-TELI</v>
          </cell>
        </row>
        <row r="1600">
          <cell r="A1600" t="str">
            <v>LIT_505</v>
          </cell>
          <cell r="B1600" t="str">
            <v>Bissiang</v>
          </cell>
          <cell r="C1600" t="str">
            <v>LIT</v>
          </cell>
          <cell r="D1600" t="str">
            <v>H-TELI</v>
          </cell>
        </row>
        <row r="1601">
          <cell r="A1601" t="str">
            <v>SUD_085</v>
          </cell>
          <cell r="B1601" t="str">
            <v>Campo-Maan</v>
          </cell>
          <cell r="C1601" t="str">
            <v>SUD</v>
          </cell>
          <cell r="D1601" t="str">
            <v>H-TELI</v>
          </cell>
        </row>
        <row r="1602">
          <cell r="A1602" t="str">
            <v>LIT_133</v>
          </cell>
          <cell r="B1602" t="str">
            <v>Colline-du-loup</v>
          </cell>
          <cell r="C1602" t="str">
            <v>LIT</v>
          </cell>
          <cell r="D1602" t="str">
            <v>H-TELI</v>
          </cell>
        </row>
        <row r="1603">
          <cell r="A1603" t="str">
            <v>SUD_037</v>
          </cell>
          <cell r="B1603" t="str">
            <v>Elogbatindi</v>
          </cell>
          <cell r="C1603" t="str">
            <v>SUD</v>
          </cell>
          <cell r="D1603" t="str">
            <v>H-TELI</v>
          </cell>
        </row>
        <row r="1604">
          <cell r="A1604" t="str">
            <v>SUD_241</v>
          </cell>
          <cell r="B1604" t="str">
            <v>Kribi-Afanmabe</v>
          </cell>
          <cell r="C1604" t="str">
            <v>SUD</v>
          </cell>
          <cell r="D1604" t="str">
            <v>H-TELI</v>
          </cell>
        </row>
        <row r="1605">
          <cell r="A1605" t="str">
            <v>SUD_071</v>
          </cell>
          <cell r="B1605" t="str">
            <v>KRIBI-BASSIKI</v>
          </cell>
          <cell r="C1605" t="str">
            <v>SUD</v>
          </cell>
          <cell r="D1605" t="str">
            <v>H-TELI</v>
          </cell>
        </row>
        <row r="1606">
          <cell r="A1606" t="str">
            <v>SUD_093</v>
          </cell>
          <cell r="B1606" t="str">
            <v>Kribi-Bwambe-II</v>
          </cell>
          <cell r="C1606" t="str">
            <v>SUD</v>
          </cell>
          <cell r="D1606" t="str">
            <v>H-TELI</v>
          </cell>
        </row>
        <row r="1607">
          <cell r="A1607" t="str">
            <v>SUD_010</v>
          </cell>
          <cell r="B1607" t="str">
            <v>Kribi-Crtv</v>
          </cell>
          <cell r="C1607" t="str">
            <v>SUD</v>
          </cell>
          <cell r="D1607" t="str">
            <v>H-TELI</v>
          </cell>
        </row>
        <row r="1608">
          <cell r="A1608" t="str">
            <v>LIT_107</v>
          </cell>
          <cell r="B1608" t="str">
            <v>Kribi-gd-batanga</v>
          </cell>
          <cell r="C1608" t="str">
            <v>LIT</v>
          </cell>
          <cell r="D1608" t="str">
            <v>H-TELI</v>
          </cell>
        </row>
        <row r="1609">
          <cell r="A1609" t="str">
            <v>SUD_057</v>
          </cell>
          <cell r="B1609" t="str">
            <v>Kribi-Lycee-Technique</v>
          </cell>
          <cell r="C1609" t="str">
            <v>SUD</v>
          </cell>
          <cell r="D1609" t="str">
            <v>H-TELI</v>
          </cell>
        </row>
        <row r="1610">
          <cell r="A1610" t="str">
            <v>SUD_095</v>
          </cell>
          <cell r="B1610" t="str">
            <v>Kribi-Makao</v>
          </cell>
          <cell r="C1610" t="str">
            <v>SUD</v>
          </cell>
          <cell r="D1610" t="str">
            <v>H-TELI</v>
          </cell>
        </row>
        <row r="1611">
          <cell r="A1611" t="str">
            <v>SUD_053</v>
          </cell>
          <cell r="B1611" t="str">
            <v>Kribi-Mpala</v>
          </cell>
          <cell r="C1611" t="str">
            <v>SUD</v>
          </cell>
          <cell r="D1611" t="str">
            <v>H-TELI</v>
          </cell>
        </row>
        <row r="1612">
          <cell r="A1612" t="str">
            <v>SUD_081</v>
          </cell>
          <cell r="B1612" t="str">
            <v>Kribi-Ndjibo</v>
          </cell>
          <cell r="C1612" t="str">
            <v>SUD</v>
          </cell>
          <cell r="D1612" t="str">
            <v>H-TELI</v>
          </cell>
        </row>
        <row r="1613">
          <cell r="A1613" t="str">
            <v>SUD_096</v>
          </cell>
          <cell r="B1613" t="str">
            <v>Kribi-Ndombe-II</v>
          </cell>
          <cell r="C1613" t="str">
            <v>SUD</v>
          </cell>
          <cell r="D1613" t="str">
            <v>H-TELI</v>
          </cell>
        </row>
        <row r="1614">
          <cell r="A1614" t="str">
            <v>SUD_002</v>
          </cell>
          <cell r="B1614" t="str">
            <v>Kribi-Orange</v>
          </cell>
          <cell r="C1614" t="str">
            <v>SUD</v>
          </cell>
          <cell r="D1614" t="str">
            <v>H-TELI</v>
          </cell>
        </row>
        <row r="1615">
          <cell r="A1615" t="str">
            <v>SUD_076</v>
          </cell>
          <cell r="B1615" t="str">
            <v>Kribi-Port-Eau-Profonde-IHS</v>
          </cell>
          <cell r="C1615" t="str">
            <v>SUD</v>
          </cell>
          <cell r="D1615" t="str">
            <v>H-TELI</v>
          </cell>
        </row>
        <row r="1616">
          <cell r="A1616" t="str">
            <v>SUD_086</v>
          </cell>
          <cell r="B1616" t="str">
            <v>Lende-Kribi</v>
          </cell>
          <cell r="C1616" t="str">
            <v>SUD</v>
          </cell>
          <cell r="D1616" t="str">
            <v>H-TELI</v>
          </cell>
        </row>
        <row r="1617">
          <cell r="A1617" t="str">
            <v>LIT_194</v>
          </cell>
          <cell r="B1617" t="str">
            <v>Niete-V13</v>
          </cell>
          <cell r="C1617" t="str">
            <v>LIT</v>
          </cell>
          <cell r="D1617" t="str">
            <v>H-TELI</v>
          </cell>
        </row>
        <row r="1618">
          <cell r="A1618" t="str">
            <v>SUD_079</v>
          </cell>
          <cell r="B1618" t="str">
            <v>Londji</v>
          </cell>
          <cell r="C1618" t="str">
            <v>SUD</v>
          </cell>
          <cell r="D1618" t="str">
            <v>H-TELI</v>
          </cell>
        </row>
        <row r="1619">
          <cell r="A1619" t="str">
            <v>SUD_090</v>
          </cell>
          <cell r="B1619" t="str">
            <v>Mabenanga-Kribi</v>
          </cell>
          <cell r="C1619" t="str">
            <v>SUD</v>
          </cell>
          <cell r="D1619" t="str">
            <v>H-TELI</v>
          </cell>
        </row>
        <row r="1620">
          <cell r="A1620" t="str">
            <v>SUD_091</v>
          </cell>
          <cell r="B1620" t="str">
            <v>SS-Hotel-Lagon-Outdoor</v>
          </cell>
          <cell r="C1620" t="str">
            <v>SUD</v>
          </cell>
          <cell r="D1620" t="str">
            <v>H-TELI</v>
          </cell>
        </row>
        <row r="1621">
          <cell r="A1621" t="str">
            <v>LIT_591</v>
          </cell>
          <cell r="B1621" t="str">
            <v>Dehane-PHP</v>
          </cell>
          <cell r="C1621" t="str">
            <v>LIT</v>
          </cell>
          <cell r="D1621" t="str">
            <v>H-TELI</v>
          </cell>
        </row>
        <row r="1622">
          <cell r="A1622" t="str">
            <v>LIT_005</v>
          </cell>
          <cell r="B1622" t="str">
            <v>Edea</v>
          </cell>
          <cell r="C1622" t="str">
            <v>LIT</v>
          </cell>
          <cell r="D1622" t="str">
            <v>H-TELI</v>
          </cell>
        </row>
        <row r="1623">
          <cell r="A1623" t="str">
            <v>LIT_186</v>
          </cell>
          <cell r="B1623" t="str">
            <v>Edea-Beon</v>
          </cell>
          <cell r="C1623" t="str">
            <v>LIT</v>
          </cell>
          <cell r="D1623" t="str">
            <v>H-TELI</v>
          </cell>
        </row>
        <row r="1624">
          <cell r="A1624" t="str">
            <v>LIT_456</v>
          </cell>
          <cell r="B1624" t="str">
            <v>Edea-Mbondanjick</v>
          </cell>
          <cell r="C1624" t="str">
            <v>LIT</v>
          </cell>
          <cell r="D1624" t="str">
            <v>H-TELI</v>
          </cell>
        </row>
        <row r="1625">
          <cell r="A1625" t="str">
            <v>LIT_000</v>
          </cell>
          <cell r="B1625" t="str">
            <v>Edea-Q-Haoussa</v>
          </cell>
          <cell r="C1625" t="str">
            <v>LIT</v>
          </cell>
          <cell r="D1625" t="str">
            <v>H-TELI</v>
          </cell>
        </row>
        <row r="1626">
          <cell r="A1626" t="str">
            <v>LIT_323</v>
          </cell>
          <cell r="B1626" t="str">
            <v>Okoth</v>
          </cell>
          <cell r="C1626" t="str">
            <v>LIT</v>
          </cell>
          <cell r="D1626" t="str">
            <v>H-TELI</v>
          </cell>
        </row>
        <row r="1627">
          <cell r="A1627" t="str">
            <v>LIT_637</v>
          </cell>
          <cell r="B1627" t="str">
            <v>Bberi-Enem</v>
          </cell>
          <cell r="C1627" t="str">
            <v>LIT</v>
          </cell>
          <cell r="D1627" t="str">
            <v>H-TELI</v>
          </cell>
        </row>
        <row r="1628">
          <cell r="A1628" t="str">
            <v>LIT_645</v>
          </cell>
          <cell r="B1628" t="str">
            <v>Bberi-Excellence</v>
          </cell>
          <cell r="C1628" t="str">
            <v>LIT</v>
          </cell>
          <cell r="D1628" t="str">
            <v>H-TELI</v>
          </cell>
        </row>
        <row r="1629">
          <cell r="A1629" t="str">
            <v>LIT_682</v>
          </cell>
          <cell r="B1629" t="str">
            <v>Boadibo</v>
          </cell>
          <cell r="C1629" t="str">
            <v>LIT</v>
          </cell>
          <cell r="D1629" t="str">
            <v>H-TELI</v>
          </cell>
        </row>
        <row r="1630">
          <cell r="A1630" t="str">
            <v>LIT_690</v>
          </cell>
          <cell r="B1630" t="str">
            <v>Bodjongo</v>
          </cell>
          <cell r="C1630" t="str">
            <v>LIT</v>
          </cell>
          <cell r="D1630" t="str">
            <v>H-TELI</v>
          </cell>
        </row>
        <row r="1631">
          <cell r="A1631" t="str">
            <v>LIT_187</v>
          </cell>
          <cell r="B1631" t="str">
            <v>Dibombari</v>
          </cell>
          <cell r="C1631" t="str">
            <v>LIT</v>
          </cell>
          <cell r="D1631" t="str">
            <v>H-TELI</v>
          </cell>
        </row>
        <row r="1632">
          <cell r="A1632" t="str">
            <v>LIT_444</v>
          </cell>
          <cell r="B1632" t="str">
            <v>Bberi-Q-Princes-II</v>
          </cell>
          <cell r="C1632" t="str">
            <v>LIT</v>
          </cell>
          <cell r="D1632" t="str">
            <v>H-TELI</v>
          </cell>
        </row>
        <row r="1633">
          <cell r="A1633" t="str">
            <v>LIT_181</v>
          </cell>
          <cell r="B1633" t="str">
            <v>Bonendale</v>
          </cell>
          <cell r="C1633" t="str">
            <v>LIT</v>
          </cell>
          <cell r="D1633" t="str">
            <v>H-TELI</v>
          </cell>
        </row>
        <row r="1634">
          <cell r="A1634" t="str">
            <v>LIT_641</v>
          </cell>
          <cell r="B1634" t="str">
            <v>Bonendale-II</v>
          </cell>
          <cell r="C1634" t="str">
            <v>LIT</v>
          </cell>
          <cell r="D1634" t="str">
            <v>H-TELI</v>
          </cell>
        </row>
        <row r="1635">
          <cell r="A1635" t="str">
            <v>LIT_206</v>
          </cell>
          <cell r="B1635" t="str">
            <v>Ngwele</v>
          </cell>
          <cell r="C1635" t="str">
            <v>LIT</v>
          </cell>
          <cell r="D1635" t="str">
            <v>H-TELI</v>
          </cell>
        </row>
        <row r="1636">
          <cell r="A1636" t="str">
            <v>LIT_296</v>
          </cell>
          <cell r="B1636" t="str">
            <v>Bonalea</v>
          </cell>
          <cell r="C1636" t="str">
            <v>LIT</v>
          </cell>
          <cell r="D1636" t="str">
            <v>H-TELI</v>
          </cell>
        </row>
        <row r="1637">
          <cell r="A1637" t="str">
            <v>LIT_046</v>
          </cell>
          <cell r="B1637" t="str">
            <v>Du-Levant</v>
          </cell>
          <cell r="C1637" t="str">
            <v>LIT</v>
          </cell>
          <cell r="D1637" t="str">
            <v>H-TELI</v>
          </cell>
        </row>
        <row r="1638">
          <cell r="A1638" t="str">
            <v>LIT_031</v>
          </cell>
          <cell r="B1638" t="str">
            <v>Mbanga</v>
          </cell>
          <cell r="C1638" t="str">
            <v>LIT</v>
          </cell>
          <cell r="D1638" t="str">
            <v>H-TELI</v>
          </cell>
        </row>
        <row r="1639">
          <cell r="A1639" t="str">
            <v>LIT_051</v>
          </cell>
          <cell r="B1639" t="str">
            <v>Nkapa</v>
          </cell>
          <cell r="C1639" t="str">
            <v>LIT</v>
          </cell>
          <cell r="D1639" t="str">
            <v>H-TELI</v>
          </cell>
        </row>
        <row r="1640">
          <cell r="A1640" t="str">
            <v>LIT_016</v>
          </cell>
          <cell r="B1640" t="str">
            <v>Souza</v>
          </cell>
          <cell r="C1640" t="str">
            <v>LIT</v>
          </cell>
          <cell r="D1640" t="str">
            <v>H-TELI</v>
          </cell>
        </row>
        <row r="1641">
          <cell r="A1641" t="str">
            <v>LIT_346</v>
          </cell>
          <cell r="B1641" t="str">
            <v>Bberi-Abattoir</v>
          </cell>
          <cell r="C1641" t="str">
            <v>LIT</v>
          </cell>
          <cell r="D1641" t="str">
            <v>H-TELI</v>
          </cell>
        </row>
        <row r="1642">
          <cell r="A1642" t="str">
            <v>LIT_243</v>
          </cell>
          <cell r="B1642" t="str">
            <v>Bberi-Centre</v>
          </cell>
          <cell r="C1642" t="str">
            <v>LIT</v>
          </cell>
          <cell r="D1642" t="str">
            <v>H-TELI</v>
          </cell>
        </row>
        <row r="1643">
          <cell r="A1643" t="str">
            <v>LIT_017</v>
          </cell>
          <cell r="B1643" t="str">
            <v>Bberi-Chateau</v>
          </cell>
          <cell r="C1643" t="str">
            <v>LIT</v>
          </cell>
          <cell r="D1643" t="str">
            <v>H-TELI</v>
          </cell>
        </row>
        <row r="1644">
          <cell r="A1644" t="str">
            <v>LIT_681</v>
          </cell>
          <cell r="B1644" t="str">
            <v>BBeri-Dikolo-Centre-Equestre</v>
          </cell>
          <cell r="C1644" t="str">
            <v>LIT</v>
          </cell>
          <cell r="D1644" t="str">
            <v>H-TELI</v>
          </cell>
        </row>
        <row r="1645">
          <cell r="A1645" t="str">
            <v>LIT_535</v>
          </cell>
          <cell r="B1645" t="str">
            <v>Bberi-Q-Princes-New</v>
          </cell>
          <cell r="C1645" t="str">
            <v>LIT</v>
          </cell>
          <cell r="D1645" t="str">
            <v>H-TELI</v>
          </cell>
        </row>
        <row r="1646">
          <cell r="A1646" t="str">
            <v>LIT_418</v>
          </cell>
          <cell r="B1646" t="str">
            <v>Bberi-Sodiko-MTN</v>
          </cell>
          <cell r="C1646" t="str">
            <v>LIT</v>
          </cell>
          <cell r="D1646" t="str">
            <v>H-TELI</v>
          </cell>
        </row>
        <row r="1647">
          <cell r="A1647" t="str">
            <v>LIT_597</v>
          </cell>
          <cell r="B1647" t="str">
            <v>Bberi-Warehouse-IHS</v>
          </cell>
          <cell r="C1647" t="str">
            <v>LIT</v>
          </cell>
          <cell r="D1647" t="str">
            <v>H-TELI</v>
          </cell>
        </row>
        <row r="1648">
          <cell r="A1648" t="str">
            <v>LIT_477</v>
          </cell>
          <cell r="B1648" t="str">
            <v>Bekoko-IHS</v>
          </cell>
          <cell r="C1648" t="str">
            <v>LIT</v>
          </cell>
          <cell r="D1648" t="str">
            <v>H-TELI</v>
          </cell>
        </row>
        <row r="1649">
          <cell r="A1649" t="str">
            <v>SUO_061</v>
          </cell>
          <cell r="B1649" t="str">
            <v>Bekoko-MTN</v>
          </cell>
          <cell r="C1649" t="str">
            <v>SUO</v>
          </cell>
          <cell r="D1649" t="str">
            <v>H-TELI</v>
          </cell>
        </row>
        <row r="1650">
          <cell r="A1650" t="str">
            <v>LIT_123</v>
          </cell>
          <cell r="B1650" t="str">
            <v>Bodjongo-IHS</v>
          </cell>
          <cell r="C1650" t="str">
            <v>LIT</v>
          </cell>
          <cell r="D1650" t="str">
            <v>H-TELI</v>
          </cell>
        </row>
        <row r="1651">
          <cell r="A1651" t="str">
            <v>LIT_290</v>
          </cell>
          <cell r="B1651" t="str">
            <v>Bonabappe</v>
          </cell>
          <cell r="C1651" t="str">
            <v>LIT</v>
          </cell>
          <cell r="D1651" t="str">
            <v>H-TELI</v>
          </cell>
        </row>
        <row r="1652">
          <cell r="A1652" t="str">
            <v>LIT_747</v>
          </cell>
          <cell r="B1652" t="str">
            <v>Bonaberi-Magzi-IHS</v>
          </cell>
          <cell r="C1652" t="str">
            <v>LIT</v>
          </cell>
          <cell r="D1652" t="str">
            <v>H-TELI</v>
          </cell>
        </row>
        <row r="1653">
          <cell r="A1653" t="str">
            <v>LIT_203</v>
          </cell>
          <cell r="B1653" t="str">
            <v>Bonamatoumbe</v>
          </cell>
          <cell r="C1653" t="str">
            <v>LIT</v>
          </cell>
          <cell r="D1653" t="str">
            <v>H-TELI</v>
          </cell>
        </row>
        <row r="1654">
          <cell r="A1654" t="str">
            <v>LIT_130</v>
          </cell>
          <cell r="B1654" t="str">
            <v>Bonaminkano-IHS</v>
          </cell>
          <cell r="C1654" t="str">
            <v>LIT</v>
          </cell>
          <cell r="D1654" t="str">
            <v>H-TELI</v>
          </cell>
        </row>
        <row r="1655">
          <cell r="A1655" t="str">
            <v>LIT_589</v>
          </cell>
          <cell r="B1655" t="str">
            <v>Bonassama-New-IHS</v>
          </cell>
          <cell r="C1655" t="str">
            <v>LIT</v>
          </cell>
          <cell r="D1655" t="str">
            <v>H-TELI</v>
          </cell>
        </row>
        <row r="1656">
          <cell r="A1656" t="str">
            <v>LIT_485</v>
          </cell>
          <cell r="B1656" t="str">
            <v>Crf-Mutzig-IHS</v>
          </cell>
          <cell r="C1656" t="str">
            <v>LIT</v>
          </cell>
          <cell r="D1656" t="str">
            <v>H-TELI</v>
          </cell>
        </row>
        <row r="1657">
          <cell r="A1657" t="str">
            <v>LIT_111</v>
          </cell>
          <cell r="B1657" t="str">
            <v>Kompigna</v>
          </cell>
          <cell r="C1657" t="str">
            <v>LIT</v>
          </cell>
          <cell r="D1657" t="str">
            <v>H-TELI</v>
          </cell>
        </row>
        <row r="1658">
          <cell r="A1658" t="str">
            <v>LIT_479</v>
          </cell>
          <cell r="B1658" t="str">
            <v>Minkwele-IHS</v>
          </cell>
          <cell r="C1658" t="str">
            <v>LIT</v>
          </cell>
          <cell r="D1658" t="str">
            <v>H-TELI</v>
          </cell>
        </row>
        <row r="1659">
          <cell r="A1659" t="str">
            <v>LIT_621</v>
          </cell>
          <cell r="B1659" t="str">
            <v>Minkwele-II-New</v>
          </cell>
          <cell r="C1659" t="str">
            <v>LIT</v>
          </cell>
          <cell r="D1659" t="str">
            <v>H-TELI</v>
          </cell>
        </row>
        <row r="1660">
          <cell r="A1660" t="str">
            <v>LIT_137</v>
          </cell>
          <cell r="B1660" t="str">
            <v>Sodiko-Gare-Rtiere-IHS</v>
          </cell>
          <cell r="C1660" t="str">
            <v>LIT</v>
          </cell>
          <cell r="D1660" t="str">
            <v>H-TELI</v>
          </cell>
        </row>
        <row r="1661">
          <cell r="A1661" t="str">
            <v>LIT_437</v>
          </cell>
          <cell r="B1661" t="str">
            <v>Total_Ndobo</v>
          </cell>
          <cell r="C1661" t="str">
            <v>LIT</v>
          </cell>
          <cell r="D1661" t="str">
            <v>H-TELI</v>
          </cell>
        </row>
        <row r="1662">
          <cell r="A1662" t="str">
            <v>LIT_498</v>
          </cell>
          <cell r="B1662" t="str">
            <v>Bomono-Gare-IHS</v>
          </cell>
          <cell r="C1662" t="str">
            <v>LIT</v>
          </cell>
          <cell r="D1662" t="str">
            <v>H-TELI</v>
          </cell>
        </row>
        <row r="1663">
          <cell r="A1663" t="str">
            <v>LIT_430</v>
          </cell>
          <cell r="B1663" t="str">
            <v>Mbanga2-IHS</v>
          </cell>
          <cell r="C1663" t="str">
            <v>LIT</v>
          </cell>
          <cell r="D1663" t="str">
            <v>H-TELI</v>
          </cell>
        </row>
        <row r="1664">
          <cell r="A1664" t="str">
            <v>LIT_233</v>
          </cell>
          <cell r="B1664" t="str">
            <v>Tangui</v>
          </cell>
          <cell r="C1664" t="str">
            <v>LIT</v>
          </cell>
          <cell r="D1664" t="str">
            <v>H-TELI</v>
          </cell>
        </row>
        <row r="1665">
          <cell r="A1665"/>
          <cell r="B1665" t="str">
            <v>Bamengwi</v>
          </cell>
          <cell r="C1665"/>
          <cell r="D1665" t="str">
            <v>H-TELI</v>
          </cell>
        </row>
        <row r="1666">
          <cell r="A1666" t="str">
            <v>SUO_150</v>
          </cell>
          <cell r="B1666" t="str">
            <v>Banguem-Street-II</v>
          </cell>
          <cell r="C1666" t="str">
            <v>SUO</v>
          </cell>
          <cell r="D1666" t="str">
            <v>H-TELI</v>
          </cell>
        </row>
        <row r="1667">
          <cell r="A1667"/>
          <cell r="B1667" t="str">
            <v>Banwa</v>
          </cell>
          <cell r="C1667"/>
          <cell r="D1667" t="str">
            <v>H-TELI</v>
          </cell>
        </row>
        <row r="1668">
          <cell r="A1668" t="str">
            <v>LIT_112</v>
          </cell>
          <cell r="B1668" t="str">
            <v>Bare</v>
          </cell>
          <cell r="C1668" t="str">
            <v>LIT</v>
          </cell>
          <cell r="D1668" t="str">
            <v>H-TELI</v>
          </cell>
        </row>
        <row r="1669">
          <cell r="A1669" t="str">
            <v>SUO_101</v>
          </cell>
          <cell r="B1669" t="str">
            <v>Ebonji-IHS</v>
          </cell>
          <cell r="C1669" t="str">
            <v>SUO</v>
          </cell>
          <cell r="D1669" t="str">
            <v>H-TELI</v>
          </cell>
        </row>
        <row r="1670">
          <cell r="A1670"/>
          <cell r="B1670" t="str">
            <v>Foyemtcha</v>
          </cell>
          <cell r="C1670"/>
          <cell r="D1670" t="str">
            <v>H-TELI</v>
          </cell>
        </row>
        <row r="1671">
          <cell r="A1671" t="str">
            <v>OST_103</v>
          </cell>
          <cell r="B1671" t="str">
            <v>Kekem</v>
          </cell>
          <cell r="C1671"/>
          <cell r="D1671" t="str">
            <v>H-TELI</v>
          </cell>
        </row>
        <row r="1672">
          <cell r="A1672" t="str">
            <v>LIT_521</v>
          </cell>
          <cell r="B1672" t="str">
            <v>Loum-Joli-IHS</v>
          </cell>
          <cell r="C1672" t="str">
            <v>LIT</v>
          </cell>
          <cell r="D1672" t="str">
            <v>H-TELI</v>
          </cell>
        </row>
        <row r="1673">
          <cell r="A1673" t="str">
            <v>LIT_520</v>
          </cell>
          <cell r="B1673" t="str">
            <v>Loum-Nkombi-II-IHS</v>
          </cell>
          <cell r="C1673" t="str">
            <v>LIT</v>
          </cell>
          <cell r="D1673" t="str">
            <v>H-TELI</v>
          </cell>
        </row>
        <row r="1674">
          <cell r="A1674" t="str">
            <v>LIT_768</v>
          </cell>
          <cell r="B1674" t="str">
            <v>LOUM-ROUNDABOUT-MTN</v>
          </cell>
          <cell r="C1674" t="str">
            <v>LIT</v>
          </cell>
          <cell r="D1674" t="str">
            <v>H-TELI</v>
          </cell>
        </row>
        <row r="1675">
          <cell r="A1675" t="str">
            <v>LIT_356</v>
          </cell>
          <cell r="B1675" t="str">
            <v>Manengole</v>
          </cell>
          <cell r="C1675" t="str">
            <v>LIT</v>
          </cell>
          <cell r="D1675" t="str">
            <v>H-TELI</v>
          </cell>
        </row>
        <row r="1676">
          <cell r="A1676" t="str">
            <v>LIT_679</v>
          </cell>
          <cell r="B1676" t="str">
            <v>Melong-Carrefour-MTN</v>
          </cell>
          <cell r="C1676" t="str">
            <v>LIT</v>
          </cell>
          <cell r="D1676" t="str">
            <v>H-TELI</v>
          </cell>
        </row>
        <row r="1677">
          <cell r="A1677" t="str">
            <v>LIT_492</v>
          </cell>
          <cell r="B1677" t="str">
            <v>Njombe-Market-IHS</v>
          </cell>
          <cell r="C1677" t="str">
            <v>LIT</v>
          </cell>
          <cell r="D1677" t="str">
            <v>H-TELI</v>
          </cell>
        </row>
        <row r="1678">
          <cell r="A1678" t="str">
            <v>LIT_590</v>
          </cell>
          <cell r="B1678" t="str">
            <v>Njombe-PHP</v>
          </cell>
          <cell r="C1678" t="str">
            <v>LIT</v>
          </cell>
          <cell r="D1678" t="str">
            <v>H-TELI</v>
          </cell>
        </row>
        <row r="1679">
          <cell r="A1679" t="str">
            <v>LIT_288</v>
          </cell>
          <cell r="B1679" t="str">
            <v>Nkong-8Bis-MTN</v>
          </cell>
          <cell r="C1679" t="str">
            <v>LIT</v>
          </cell>
          <cell r="D1679" t="str">
            <v>H-TELI</v>
          </cell>
        </row>
        <row r="1680">
          <cell r="A1680" t="str">
            <v>LIT_556</v>
          </cell>
          <cell r="B1680" t="str">
            <v>Nkong-C-Fultang</v>
          </cell>
          <cell r="C1680" t="str">
            <v>LIT</v>
          </cell>
          <cell r="D1680" t="str">
            <v>H-TELI</v>
          </cell>
        </row>
        <row r="1681">
          <cell r="A1681" t="str">
            <v>LIT_116</v>
          </cell>
          <cell r="B1681" t="str">
            <v>Nkong-CRTV</v>
          </cell>
          <cell r="C1681" t="str">
            <v>LIT</v>
          </cell>
          <cell r="D1681" t="str">
            <v>H-TELI</v>
          </cell>
        </row>
        <row r="1682">
          <cell r="A1682" t="str">
            <v>LIT_169</v>
          </cell>
          <cell r="B1682" t="str">
            <v>Nkong-Q3</v>
          </cell>
          <cell r="C1682" t="str">
            <v>LIT</v>
          </cell>
          <cell r="D1682" t="str">
            <v>H-TELI</v>
          </cell>
        </row>
        <row r="1683">
          <cell r="A1683" t="str">
            <v>SUO_039</v>
          </cell>
          <cell r="B1683" t="str">
            <v>Nyassosso-MTN</v>
          </cell>
          <cell r="C1683" t="str">
            <v>SUO</v>
          </cell>
          <cell r="D1683" t="str">
            <v>H-TELI</v>
          </cell>
        </row>
        <row r="1684">
          <cell r="A1684" t="str">
            <v>LIT_767</v>
          </cell>
          <cell r="B1684" t="str">
            <v>PENJA-MARKET-MTN</v>
          </cell>
          <cell r="C1684" t="str">
            <v>LIT</v>
          </cell>
          <cell r="D1684" t="str">
            <v>H-TELI</v>
          </cell>
        </row>
        <row r="1685">
          <cell r="A1685" t="str">
            <v>LIT_493</v>
          </cell>
          <cell r="B1685" t="str">
            <v>Penja-shell-IHS</v>
          </cell>
          <cell r="C1685" t="str">
            <v>LIT</v>
          </cell>
          <cell r="D1685" t="str">
            <v>H-TELI</v>
          </cell>
        </row>
        <row r="1686">
          <cell r="A1686" t="str">
            <v>OST_140</v>
          </cell>
          <cell r="B1686" t="str">
            <v>Santchou-IHS</v>
          </cell>
          <cell r="C1686" t="str">
            <v>OST</v>
          </cell>
          <cell r="D1686" t="str">
            <v>H-TELI</v>
          </cell>
        </row>
        <row r="1687">
          <cell r="A1687" t="str">
            <v>LIT_212</v>
          </cell>
          <cell r="B1687" t="str">
            <v>Sole</v>
          </cell>
          <cell r="C1687" t="str">
            <v>LIT</v>
          </cell>
          <cell r="D1687" t="str">
            <v>H-TELI</v>
          </cell>
        </row>
        <row r="1688">
          <cell r="A1688" t="str">
            <v>LIT_225</v>
          </cell>
          <cell r="B1688" t="str">
            <v>Tombel-MTN</v>
          </cell>
          <cell r="C1688" t="str">
            <v>LIT</v>
          </cell>
          <cell r="D1688" t="str">
            <v>H-TELI</v>
          </cell>
        </row>
        <row r="1689">
          <cell r="A1689" t="str">
            <v>OST_038</v>
          </cell>
          <cell r="B1689" t="str">
            <v>Santchou</v>
          </cell>
          <cell r="C1689" t="str">
            <v>OST</v>
          </cell>
          <cell r="D1689" t="str">
            <v>H-TELI</v>
          </cell>
        </row>
        <row r="1690">
          <cell r="A1690" t="str">
            <v>SUO_013</v>
          </cell>
          <cell r="B1690" t="str">
            <v>Banguem</v>
          </cell>
          <cell r="C1690" t="str">
            <v>SUO</v>
          </cell>
          <cell r="D1690" t="str">
            <v>H-TELI</v>
          </cell>
        </row>
        <row r="1691">
          <cell r="A1691" t="str">
            <v>LIT_029</v>
          </cell>
          <cell r="B1691" t="str">
            <v>Loum</v>
          </cell>
          <cell r="C1691" t="str">
            <v>LIT</v>
          </cell>
          <cell r="D1691" t="str">
            <v>H-TELI</v>
          </cell>
        </row>
        <row r="1692">
          <cell r="A1692" t="str">
            <v>LIT_086</v>
          </cell>
          <cell r="B1692" t="str">
            <v>Loum-Camtel</v>
          </cell>
          <cell r="C1692" t="str">
            <v>LIT</v>
          </cell>
          <cell r="D1692" t="str">
            <v>H-TELI</v>
          </cell>
        </row>
        <row r="1693">
          <cell r="A1693" t="str">
            <v>LIT_593</v>
          </cell>
          <cell r="B1693" t="str">
            <v>Loum-PHP</v>
          </cell>
          <cell r="C1693" t="str">
            <v>LIT</v>
          </cell>
          <cell r="D1693" t="str">
            <v>H-TELI</v>
          </cell>
        </row>
        <row r="1694">
          <cell r="A1694" t="str">
            <v>LIT_062</v>
          </cell>
          <cell r="B1694" t="str">
            <v>Manjo-New</v>
          </cell>
          <cell r="C1694" t="str">
            <v>LIT</v>
          </cell>
          <cell r="D1694" t="str">
            <v>H-TELI</v>
          </cell>
        </row>
        <row r="1695">
          <cell r="A1695" t="str">
            <v>LIT_592</v>
          </cell>
          <cell r="B1695" t="str">
            <v>Manjo-PHP</v>
          </cell>
          <cell r="C1695" t="str">
            <v>LIT</v>
          </cell>
          <cell r="D1695" t="str">
            <v>H-TELI</v>
          </cell>
        </row>
        <row r="1696">
          <cell r="A1696" t="str">
            <v>LIT_063</v>
          </cell>
          <cell r="B1696" t="str">
            <v>Melong</v>
          </cell>
          <cell r="C1696" t="str">
            <v>LIT</v>
          </cell>
          <cell r="D1696" t="str">
            <v>H-TELI</v>
          </cell>
        </row>
        <row r="1697">
          <cell r="A1697" t="str">
            <v>LIT_109</v>
          </cell>
          <cell r="B1697" t="str">
            <v>Ndoungue</v>
          </cell>
          <cell r="C1697" t="str">
            <v>LIT</v>
          </cell>
          <cell r="D1697" t="str">
            <v>H-TELI</v>
          </cell>
        </row>
        <row r="1698">
          <cell r="A1698" t="str">
            <v>LIT_039</v>
          </cell>
          <cell r="B1698" t="str">
            <v>Njombe</v>
          </cell>
          <cell r="C1698" t="str">
            <v>LIT</v>
          </cell>
          <cell r="D1698" t="str">
            <v>H-TELI</v>
          </cell>
        </row>
        <row r="1699">
          <cell r="A1699" t="str">
            <v>LIT_021</v>
          </cell>
          <cell r="B1699" t="str">
            <v>Nkong</v>
          </cell>
          <cell r="C1699" t="str">
            <v>LIT</v>
          </cell>
          <cell r="D1699" t="str">
            <v>H-TELI</v>
          </cell>
        </row>
        <row r="1700">
          <cell r="A1700" t="str">
            <v>LIT_558</v>
          </cell>
          <cell r="B1700" t="str">
            <v>Nkong-CRTV-II</v>
          </cell>
          <cell r="C1700" t="str">
            <v>LIT</v>
          </cell>
          <cell r="D1700" t="str">
            <v>H-TELI</v>
          </cell>
        </row>
        <row r="1701">
          <cell r="A1701" t="str">
            <v>LIT_071</v>
          </cell>
          <cell r="B1701" t="str">
            <v>Nkong-Marche</v>
          </cell>
          <cell r="C1701" t="str">
            <v>LIT</v>
          </cell>
          <cell r="D1701" t="str">
            <v>H-TELI</v>
          </cell>
        </row>
        <row r="1702">
          <cell r="A1702" t="str">
            <v>LIT_208</v>
          </cell>
          <cell r="B1702" t="str">
            <v>Penja</v>
          </cell>
          <cell r="C1702" t="str">
            <v>LIT</v>
          </cell>
          <cell r="D1702" t="str">
            <v>H-TELI</v>
          </cell>
        </row>
        <row r="1703">
          <cell r="A1703" t="str">
            <v>LIT_594</v>
          </cell>
          <cell r="B1703" t="str">
            <v>Penja-PHP</v>
          </cell>
          <cell r="C1703" t="str">
            <v>LIT</v>
          </cell>
          <cell r="D1703" t="str">
            <v>H-TELI</v>
          </cell>
        </row>
        <row r="1704">
          <cell r="A1704" t="str">
            <v>SUO_066</v>
          </cell>
          <cell r="B1704" t="str">
            <v>Berunda-MTN</v>
          </cell>
          <cell r="C1704" t="str">
            <v>SUO</v>
          </cell>
          <cell r="D1704" t="str">
            <v>H-TELI</v>
          </cell>
        </row>
        <row r="1705">
          <cell r="A1705" t="str">
            <v>SUO_197</v>
          </cell>
          <cell r="B1705" t="str">
            <v>Bokwai-IHS</v>
          </cell>
          <cell r="C1705" t="str">
            <v>SUO</v>
          </cell>
          <cell r="D1705" t="str">
            <v>H-TELI</v>
          </cell>
        </row>
        <row r="1706">
          <cell r="A1706" t="str">
            <v>SUO_132</v>
          </cell>
          <cell r="B1706" t="str">
            <v>Bonakanda</v>
          </cell>
          <cell r="C1706" t="str">
            <v>SUO</v>
          </cell>
          <cell r="D1706" t="str">
            <v>H-TELI</v>
          </cell>
        </row>
        <row r="1707">
          <cell r="A1707" t="str">
            <v>SUO_221</v>
          </cell>
          <cell r="B1707" t="str">
            <v>Bova-II-IHS</v>
          </cell>
          <cell r="C1707" t="str">
            <v>SUO</v>
          </cell>
          <cell r="D1707" t="str">
            <v>H-TELI</v>
          </cell>
        </row>
        <row r="1708">
          <cell r="A1708" t="str">
            <v>SUO_222</v>
          </cell>
          <cell r="B1708" t="str">
            <v>Buea-Bakwere-Town-MTN</v>
          </cell>
          <cell r="C1708" t="str">
            <v>SUO</v>
          </cell>
          <cell r="D1708" t="str">
            <v>H-TELI</v>
          </cell>
        </row>
        <row r="1709">
          <cell r="A1709" t="str">
            <v>SUO_186</v>
          </cell>
          <cell r="B1709" t="str">
            <v>Buea-Boduma-IHS</v>
          </cell>
          <cell r="C1709" t="str">
            <v>SUO</v>
          </cell>
          <cell r="D1709" t="str">
            <v>H-TELI</v>
          </cell>
        </row>
        <row r="1710">
          <cell r="A1710" t="str">
            <v>SUO_201</v>
          </cell>
          <cell r="B1710" t="str">
            <v>Buea-Bomaka-II-IHS</v>
          </cell>
          <cell r="C1710" t="str">
            <v>SUO</v>
          </cell>
          <cell r="D1710" t="str">
            <v>H-TELI</v>
          </cell>
        </row>
        <row r="1711">
          <cell r="A1711" t="str">
            <v>SUO_169</v>
          </cell>
          <cell r="B1711" t="str">
            <v>Buea-Bomaka-III-MTN</v>
          </cell>
          <cell r="C1711" t="str">
            <v>SUO</v>
          </cell>
          <cell r="D1711" t="str">
            <v>H-TELI</v>
          </cell>
        </row>
        <row r="1712">
          <cell r="A1712" t="str">
            <v>SUO_063</v>
          </cell>
          <cell r="B1712" t="str">
            <v>Buea-Centre-Ville</v>
          </cell>
          <cell r="C1712" t="str">
            <v>SUO</v>
          </cell>
          <cell r="D1712" t="str">
            <v>H-TELI</v>
          </cell>
        </row>
        <row r="1713">
          <cell r="A1713" t="str">
            <v>SUO_077</v>
          </cell>
          <cell r="B1713" t="str">
            <v>Buea-David-Square</v>
          </cell>
          <cell r="C1713" t="str">
            <v>SUO</v>
          </cell>
          <cell r="D1713" t="str">
            <v>H-TELI</v>
          </cell>
        </row>
        <row r="1714">
          <cell r="A1714" t="str">
            <v>SUO_242</v>
          </cell>
          <cell r="B1714" t="str">
            <v>Buea-GRA</v>
          </cell>
          <cell r="C1714" t="str">
            <v>SUO</v>
          </cell>
          <cell r="D1714" t="str">
            <v>H-TELI</v>
          </cell>
        </row>
        <row r="1715">
          <cell r="A1715" t="str">
            <v>SUO_163</v>
          </cell>
          <cell r="B1715" t="str">
            <v>Buea-Hospital</v>
          </cell>
          <cell r="C1715" t="str">
            <v>SUO</v>
          </cell>
          <cell r="D1715" t="str">
            <v>H-TELI</v>
          </cell>
        </row>
        <row r="1716">
          <cell r="A1716" t="str">
            <v>SUO_215</v>
          </cell>
          <cell r="B1716" t="str">
            <v>Buea-Kouma-IHS</v>
          </cell>
          <cell r="C1716" t="str">
            <v>SUO</v>
          </cell>
          <cell r="D1716" t="str">
            <v>H-TELI</v>
          </cell>
        </row>
        <row r="1717">
          <cell r="A1717" t="str">
            <v>SUO_170</v>
          </cell>
          <cell r="B1717" t="str">
            <v>Buea-Low-Boduma-MTN</v>
          </cell>
          <cell r="C1717" t="str">
            <v>SUO</v>
          </cell>
          <cell r="D1717" t="str">
            <v>H-TELI</v>
          </cell>
        </row>
        <row r="1718">
          <cell r="A1718" t="str">
            <v>SUO_180</v>
          </cell>
          <cell r="B1718" t="str">
            <v>Buea-Sandpit-IHS</v>
          </cell>
          <cell r="C1718" t="str">
            <v>SUO</v>
          </cell>
          <cell r="D1718" t="str">
            <v>H-TELI</v>
          </cell>
        </row>
        <row r="1719">
          <cell r="A1719" t="str">
            <v>SUO_182</v>
          </cell>
          <cell r="B1719" t="str">
            <v>Buea-Service-Center-IHS</v>
          </cell>
          <cell r="C1719" t="str">
            <v>SUO</v>
          </cell>
          <cell r="D1719" t="str">
            <v>H-TELI</v>
          </cell>
        </row>
        <row r="1720">
          <cell r="A1720" t="str">
            <v>SUO_199</v>
          </cell>
          <cell r="B1720" t="str">
            <v>Buea-Soppo-University-IHS</v>
          </cell>
          <cell r="C1720" t="str">
            <v>SUO</v>
          </cell>
          <cell r="D1720" t="str">
            <v>H-TELI</v>
          </cell>
        </row>
        <row r="1721">
          <cell r="A1721" t="str">
            <v>SUO_200</v>
          </cell>
          <cell r="B1721" t="str">
            <v>Buea-UB-Lamp-IHS</v>
          </cell>
          <cell r="C1721" t="str">
            <v>SUO</v>
          </cell>
          <cell r="D1721" t="str">
            <v>H-TELI</v>
          </cell>
        </row>
        <row r="1722">
          <cell r="A1722" t="str">
            <v>SUO_062</v>
          </cell>
          <cell r="B1722" t="str">
            <v>Buea-Universite</v>
          </cell>
          <cell r="C1722" t="str">
            <v>SUO</v>
          </cell>
          <cell r="D1722" t="str">
            <v>H-TELI</v>
          </cell>
        </row>
        <row r="1723">
          <cell r="A1723" t="str">
            <v>SUO_185</v>
          </cell>
          <cell r="B1723" t="str">
            <v>Buea-Wokoko-IHS</v>
          </cell>
          <cell r="C1723" t="str">
            <v>SUO</v>
          </cell>
          <cell r="D1723" t="str">
            <v>H-TELI</v>
          </cell>
        </row>
        <row r="1724">
          <cell r="A1724" t="str">
            <v>SUO_128</v>
          </cell>
          <cell r="B1724" t="str">
            <v>Ekona-II-IHS</v>
          </cell>
          <cell r="C1724" t="str">
            <v>SUO</v>
          </cell>
          <cell r="D1724" t="str">
            <v>H-TELI</v>
          </cell>
        </row>
        <row r="1725">
          <cell r="A1725" t="str">
            <v>SUO_087</v>
          </cell>
          <cell r="B1725" t="str">
            <v>Ekona-MTN</v>
          </cell>
          <cell r="C1725" t="str">
            <v>SUO</v>
          </cell>
          <cell r="D1725" t="str">
            <v>H-TELI</v>
          </cell>
        </row>
        <row r="1726">
          <cell r="A1726" t="str">
            <v>SUO_181</v>
          </cell>
          <cell r="B1726" t="str">
            <v>Great-Soppo-IHS</v>
          </cell>
          <cell r="C1726" t="str">
            <v>SUO</v>
          </cell>
          <cell r="D1726" t="str">
            <v>H-TELI</v>
          </cell>
        </row>
        <row r="1727">
          <cell r="A1727" t="str">
            <v>SUO_184</v>
          </cell>
          <cell r="B1727" t="str">
            <v>GSS-BUEA-TOWN-IHS</v>
          </cell>
          <cell r="C1727" t="str">
            <v>SUO</v>
          </cell>
          <cell r="D1727" t="str">
            <v>H-TELI</v>
          </cell>
        </row>
        <row r="1728">
          <cell r="A1728" t="str">
            <v>SUO_078</v>
          </cell>
          <cell r="B1728" t="str">
            <v>Limbe-Fini-Hotel</v>
          </cell>
          <cell r="C1728" t="str">
            <v>SUO</v>
          </cell>
          <cell r="D1728" t="str">
            <v>H-TELI</v>
          </cell>
        </row>
        <row r="1729">
          <cell r="A1729" t="str">
            <v>SUO_243</v>
          </cell>
          <cell r="B1729" t="str">
            <v>Mile 16 Buea</v>
          </cell>
          <cell r="C1729" t="str">
            <v>SUO</v>
          </cell>
          <cell r="D1729" t="str">
            <v>H-TELI</v>
          </cell>
        </row>
        <row r="1730">
          <cell r="A1730" t="str">
            <v>SUO_079</v>
          </cell>
          <cell r="B1730" t="str">
            <v>Mile14-IHS</v>
          </cell>
          <cell r="C1730" t="str">
            <v>SUO</v>
          </cell>
          <cell r="D1730" t="str">
            <v>H-TELI</v>
          </cell>
        </row>
        <row r="1731">
          <cell r="A1731" t="str">
            <v>SUO_220</v>
          </cell>
          <cell r="B1731" t="str">
            <v>Mile16-Bolifamba-IHS</v>
          </cell>
          <cell r="C1731" t="str">
            <v>SUO</v>
          </cell>
          <cell r="D1731" t="str">
            <v>H-TELI</v>
          </cell>
        </row>
        <row r="1732">
          <cell r="A1732" t="str">
            <v>SUO_213</v>
          </cell>
          <cell r="B1732" t="str">
            <v>Molyko-Buea-SC2</v>
          </cell>
          <cell r="C1732" t="str">
            <v>SUO</v>
          </cell>
          <cell r="D1732" t="str">
            <v>H-TELI</v>
          </cell>
        </row>
        <row r="1733">
          <cell r="A1733" t="str">
            <v>SUO_228</v>
          </cell>
          <cell r="B1733" t="str">
            <v>MOLYKO-CHIEF-STREET-MTN</v>
          </cell>
          <cell r="C1733" t="str">
            <v>SUO</v>
          </cell>
          <cell r="D1733" t="str">
            <v>H-TELI</v>
          </cell>
        </row>
        <row r="1734">
          <cell r="A1734" t="str">
            <v>SUO_183</v>
          </cell>
          <cell r="B1734" t="str">
            <v>Molyko-IHS</v>
          </cell>
          <cell r="C1734" t="str">
            <v>SUO</v>
          </cell>
          <cell r="D1734" t="str">
            <v>H-TELI</v>
          </cell>
        </row>
        <row r="1735">
          <cell r="A1735" t="str">
            <v>SUO_179</v>
          </cell>
          <cell r="B1735" t="str">
            <v>Molyko-Paramount-Street-IHS</v>
          </cell>
          <cell r="C1735" t="str">
            <v>SUO</v>
          </cell>
          <cell r="D1735" t="str">
            <v>H-TELI</v>
          </cell>
        </row>
        <row r="1736">
          <cell r="A1736" t="str">
            <v>SUO_202</v>
          </cell>
          <cell r="B1736" t="str">
            <v>Mountain-Hotel-IHS</v>
          </cell>
          <cell r="C1736" t="str">
            <v>SUO</v>
          </cell>
          <cell r="D1736" t="str">
            <v>H-TELI</v>
          </cell>
        </row>
        <row r="1737">
          <cell r="A1737" t="str">
            <v>SUO_038</v>
          </cell>
          <cell r="B1737" t="str">
            <v>Muea</v>
          </cell>
          <cell r="C1737" t="str">
            <v>SUO</v>
          </cell>
          <cell r="D1737" t="str">
            <v>H-TELI</v>
          </cell>
        </row>
        <row r="1738">
          <cell r="A1738" t="str">
            <v>SUO_210</v>
          </cell>
          <cell r="B1738" t="str">
            <v>Mutengene-Maternity-IHS</v>
          </cell>
          <cell r="C1738" t="str">
            <v>SUO</v>
          </cell>
          <cell r="D1738" t="str">
            <v>H-TELI</v>
          </cell>
        </row>
        <row r="1739">
          <cell r="A1739" t="str">
            <v>SUO_211</v>
          </cell>
          <cell r="B1739" t="str">
            <v>MUTENGENE-Q12-IHS</v>
          </cell>
          <cell r="C1739" t="str">
            <v>SUO</v>
          </cell>
          <cell r="D1739" t="str">
            <v>H-TELI</v>
          </cell>
        </row>
        <row r="1740">
          <cell r="A1740" t="str">
            <v>SUO_196</v>
          </cell>
          <cell r="B1740" t="str">
            <v>Tole-IHS</v>
          </cell>
          <cell r="C1740" t="str">
            <v>SUO</v>
          </cell>
          <cell r="D1740" t="str">
            <v>H-TELI</v>
          </cell>
        </row>
        <row r="1741">
          <cell r="A1741" t="str">
            <v>SUO_198</v>
          </cell>
          <cell r="B1741" t="str">
            <v>Tole-II-IHS</v>
          </cell>
          <cell r="C1741" t="str">
            <v>SUO</v>
          </cell>
          <cell r="D1741" t="str">
            <v>H-TELI</v>
          </cell>
        </row>
        <row r="1742">
          <cell r="A1742" t="str">
            <v>SUO_152</v>
          </cell>
          <cell r="B1742" t="str">
            <v>Tole-Tea-IHS</v>
          </cell>
          <cell r="C1742" t="str">
            <v>SUO</v>
          </cell>
          <cell r="D1742" t="str">
            <v>H-TELI</v>
          </cell>
        </row>
        <row r="1743">
          <cell r="A1743" t="str">
            <v>SUO_195</v>
          </cell>
          <cell r="B1743" t="str">
            <v>Wonya-Mavio-IHS</v>
          </cell>
          <cell r="C1743" t="str">
            <v>SUO</v>
          </cell>
          <cell r="D1743" t="str">
            <v>H-TELI</v>
          </cell>
        </row>
        <row r="1744">
          <cell r="A1744" t="str">
            <v>LIT_462</v>
          </cell>
          <cell r="B1744" t="str">
            <v>Malende-IHS</v>
          </cell>
          <cell r="C1744" t="str">
            <v>SUO</v>
          </cell>
          <cell r="D1744" t="str">
            <v>H-TELI</v>
          </cell>
        </row>
        <row r="1745">
          <cell r="A1745" t="str">
            <v>SUO_098</v>
          </cell>
          <cell r="B1745" t="str">
            <v>Munyengue-Trouble-IHS</v>
          </cell>
          <cell r="C1745" t="str">
            <v>SUO</v>
          </cell>
          <cell r="D1745" t="str">
            <v>H-TELI</v>
          </cell>
        </row>
        <row r="1746">
          <cell r="A1746" t="str">
            <v>LIT_176</v>
          </cell>
          <cell r="B1746" t="str">
            <v>Muyengue-Bafia-IHS</v>
          </cell>
          <cell r="C1746" t="str">
            <v>LIT</v>
          </cell>
          <cell r="D1746" t="str">
            <v>H-TELI</v>
          </cell>
        </row>
        <row r="1747">
          <cell r="A1747" t="str">
            <v>LIT_175</v>
          </cell>
          <cell r="B1747" t="str">
            <v>Muyengue-IHS</v>
          </cell>
          <cell r="C1747" t="str">
            <v>LIT</v>
          </cell>
          <cell r="D1747" t="str">
            <v>H-TELI</v>
          </cell>
        </row>
        <row r="1748">
          <cell r="A1748" t="str">
            <v>SUO_026</v>
          </cell>
          <cell r="B1748" t="str">
            <v>Muyengue-II-IHS</v>
          </cell>
          <cell r="C1748" t="str">
            <v>SUO</v>
          </cell>
          <cell r="D1748" t="str">
            <v>H-TELI</v>
          </cell>
        </row>
        <row r="1749">
          <cell r="A1749" t="str">
            <v>SUO_012</v>
          </cell>
          <cell r="B1749" t="str">
            <v>Muyuka</v>
          </cell>
          <cell r="C1749" t="str">
            <v>SUO</v>
          </cell>
          <cell r="D1749" t="str">
            <v>H-TELI</v>
          </cell>
        </row>
        <row r="1750">
          <cell r="A1750" t="str">
            <v>SUO_226</v>
          </cell>
          <cell r="B1750" t="str">
            <v>Buea-Camtel</v>
          </cell>
          <cell r="C1750" t="str">
            <v>SUO</v>
          </cell>
          <cell r="D1750" t="str">
            <v>H-TELI</v>
          </cell>
        </row>
        <row r="1751">
          <cell r="A1751" t="str">
            <v>SUO_033</v>
          </cell>
          <cell r="B1751" t="str">
            <v>Buea-Entree</v>
          </cell>
          <cell r="C1751" t="str">
            <v>SUO</v>
          </cell>
          <cell r="D1751" t="str">
            <v>H-TELI</v>
          </cell>
        </row>
        <row r="1752">
          <cell r="A1752" t="str">
            <v>SUO_007</v>
          </cell>
          <cell r="B1752" t="str">
            <v>Buea-Orange</v>
          </cell>
          <cell r="C1752" t="str">
            <v>SUO</v>
          </cell>
          <cell r="D1752" t="str">
            <v>H-TELI</v>
          </cell>
        </row>
        <row r="1753">
          <cell r="A1753" t="str">
            <v>SUO_023</v>
          </cell>
          <cell r="B1753" t="str">
            <v>Buea-Signal-Hill</v>
          </cell>
          <cell r="C1753" t="str">
            <v>SUO</v>
          </cell>
          <cell r="D1753" t="str">
            <v>H-TELI</v>
          </cell>
        </row>
        <row r="1754">
          <cell r="A1754" t="str">
            <v>SUO_070</v>
          </cell>
          <cell r="B1754" t="str">
            <v>Yoke</v>
          </cell>
          <cell r="C1754" t="str">
            <v>SUO</v>
          </cell>
          <cell r="D1754" t="str">
            <v>H-TELI</v>
          </cell>
        </row>
        <row r="1755">
          <cell r="A1755" t="str">
            <v>SUO_801</v>
          </cell>
          <cell r="B1755" t="str">
            <v>Buea-Agence</v>
          </cell>
          <cell r="C1755" t="str">
            <v>SUO</v>
          </cell>
          <cell r="D1755" t="str">
            <v>H-TELI</v>
          </cell>
        </row>
        <row r="1756">
          <cell r="A1756" t="str">
            <v>SUO_167</v>
          </cell>
          <cell r="B1756" t="str">
            <v>Bondjo-Hill-IHS</v>
          </cell>
          <cell r="C1756" t="str">
            <v>SUO</v>
          </cell>
          <cell r="D1756" t="str">
            <v>H-TELI</v>
          </cell>
        </row>
        <row r="1757">
          <cell r="A1757" t="str">
            <v>SUO_035</v>
          </cell>
          <cell r="B1757" t="str">
            <v>Debunsha-MTN</v>
          </cell>
          <cell r="C1757" t="str">
            <v>SUO</v>
          </cell>
          <cell r="D1757" t="str">
            <v>H-TELI</v>
          </cell>
        </row>
        <row r="1758">
          <cell r="A1758" t="str">
            <v>SUO_014</v>
          </cell>
          <cell r="B1758" t="str">
            <v>Down-Beach</v>
          </cell>
          <cell r="C1758" t="str">
            <v>SUO</v>
          </cell>
          <cell r="D1758" t="str">
            <v>H-TELI</v>
          </cell>
        </row>
        <row r="1759">
          <cell r="A1759" t="str">
            <v>SUO_036</v>
          </cell>
          <cell r="B1759" t="str">
            <v>Idenau-MTN</v>
          </cell>
          <cell r="C1759" t="str">
            <v>SUO</v>
          </cell>
          <cell r="D1759" t="str">
            <v>H-TELI</v>
          </cell>
        </row>
        <row r="1760">
          <cell r="A1760" t="str">
            <v>SUO_208</v>
          </cell>
          <cell r="B1760" t="str">
            <v>LIMBE-ALPHA-CLUB-TOWE-IHS</v>
          </cell>
          <cell r="C1760" t="str">
            <v>SUO</v>
          </cell>
          <cell r="D1760" t="str">
            <v>H-TELI</v>
          </cell>
        </row>
        <row r="1761">
          <cell r="A1761" t="str">
            <v>SUO_227</v>
          </cell>
          <cell r="B1761" t="str">
            <v>Limbe-Batoke-Camtel</v>
          </cell>
          <cell r="C1761" t="str">
            <v>SUO</v>
          </cell>
          <cell r="D1761" t="str">
            <v>H-TELI</v>
          </cell>
        </row>
        <row r="1762">
          <cell r="A1762" t="str">
            <v>SUO_081</v>
          </cell>
          <cell r="B1762" t="str">
            <v>Limbe-Bimbia-CRTV</v>
          </cell>
          <cell r="C1762" t="str">
            <v>SUO</v>
          </cell>
          <cell r="D1762" t="str">
            <v>H-TELI</v>
          </cell>
        </row>
        <row r="1763">
          <cell r="A1763" t="str">
            <v>SUO_207</v>
          </cell>
          <cell r="B1763" t="str">
            <v>Limbe-Bota-IHS</v>
          </cell>
          <cell r="C1763" t="str">
            <v>SUO</v>
          </cell>
          <cell r="D1763" t="str">
            <v>H-TELI</v>
          </cell>
        </row>
        <row r="1764">
          <cell r="A1764" t="str">
            <v>SUO_188</v>
          </cell>
          <cell r="B1764" t="str">
            <v>Limbe-Church-Street-IHS</v>
          </cell>
          <cell r="C1764" t="str">
            <v>SUO</v>
          </cell>
          <cell r="D1764" t="str">
            <v>H-TELI</v>
          </cell>
        </row>
        <row r="1765">
          <cell r="A1765" t="str">
            <v>SUO_219</v>
          </cell>
          <cell r="B1765" t="str">
            <v>Limbe-Coconut-Island-MTN</v>
          </cell>
          <cell r="C1765" t="str">
            <v>SUO</v>
          </cell>
          <cell r="D1765" t="str">
            <v>H-TELI</v>
          </cell>
        </row>
        <row r="1766">
          <cell r="A1766" t="str">
            <v>SUO_151</v>
          </cell>
          <cell r="B1766" t="str">
            <v>Limbe-College-Excellence-IHS</v>
          </cell>
          <cell r="C1766" t="str">
            <v>SUO</v>
          </cell>
          <cell r="D1766" t="str">
            <v>H-TELI</v>
          </cell>
        </row>
        <row r="1767">
          <cell r="A1767" t="str">
            <v>SUO_192</v>
          </cell>
          <cell r="B1767" t="str">
            <v>Limbe-GRA-IHS</v>
          </cell>
          <cell r="C1767" t="str">
            <v>SUO</v>
          </cell>
          <cell r="D1767" t="str">
            <v>H-TELI</v>
          </cell>
        </row>
        <row r="1768">
          <cell r="A1768" t="str">
            <v>SUO_204</v>
          </cell>
          <cell r="B1768" t="str">
            <v>Limbe-Issokolo-IHS</v>
          </cell>
          <cell r="C1768" t="str">
            <v>SUO</v>
          </cell>
          <cell r="D1768" t="str">
            <v>H-TELI</v>
          </cell>
        </row>
        <row r="1769">
          <cell r="A1769" t="str">
            <v>SUO_212</v>
          </cell>
          <cell r="B1769" t="str">
            <v>Limbe-Mile4-IHS</v>
          </cell>
          <cell r="C1769" t="str">
            <v>SUO</v>
          </cell>
          <cell r="D1769" t="str">
            <v>H-TELI</v>
          </cell>
        </row>
        <row r="1770">
          <cell r="A1770" t="str">
            <v>SUO_154</v>
          </cell>
          <cell r="B1770" t="str">
            <v>Limbe-Mokindi-MTN-IHS</v>
          </cell>
          <cell r="C1770" t="str">
            <v>SUO</v>
          </cell>
          <cell r="D1770" t="str">
            <v>H-TELI</v>
          </cell>
        </row>
        <row r="1771">
          <cell r="A1771" t="str">
            <v>SUO_224</v>
          </cell>
          <cell r="B1771" t="str">
            <v>LIMBE-MOTOWOH-MTN</v>
          </cell>
          <cell r="C1771" t="str">
            <v>SUO</v>
          </cell>
          <cell r="D1771" t="str">
            <v>H-TELI</v>
          </cell>
        </row>
        <row r="1772">
          <cell r="A1772" t="str">
            <v>SUO_187</v>
          </cell>
          <cell r="B1772" t="str">
            <v>Limbe-New-Town-IHS</v>
          </cell>
          <cell r="C1772" t="str">
            <v>SUO</v>
          </cell>
          <cell r="D1772" t="str">
            <v>H-TELI</v>
          </cell>
        </row>
        <row r="1773">
          <cell r="A1773" t="str">
            <v>SUO_082</v>
          </cell>
          <cell r="B1773" t="str">
            <v>Limbe-Semme-Beach-MTN</v>
          </cell>
          <cell r="C1773" t="str">
            <v>SUO</v>
          </cell>
          <cell r="D1773" t="str">
            <v>H-TELI</v>
          </cell>
        </row>
        <row r="1774">
          <cell r="A1774" t="str">
            <v>SUO_080</v>
          </cell>
          <cell r="B1774" t="str">
            <v>Limbe-Sonara-MTN</v>
          </cell>
          <cell r="C1774" t="str">
            <v>SUO</v>
          </cell>
          <cell r="D1774" t="str">
            <v>H-TELI</v>
          </cell>
        </row>
        <row r="1775">
          <cell r="A1775" t="str">
            <v>SUO_165</v>
          </cell>
          <cell r="B1775" t="str">
            <v>MABETA</v>
          </cell>
          <cell r="C1775" t="str">
            <v>SUO</v>
          </cell>
          <cell r="D1775" t="str">
            <v>H-TELI</v>
          </cell>
        </row>
        <row r="1776">
          <cell r="A1776" t="str">
            <v>SUO_214</v>
          </cell>
          <cell r="B1776" t="str">
            <v>Mile4-Q10-IHS</v>
          </cell>
          <cell r="C1776" t="str">
            <v>SUO</v>
          </cell>
          <cell r="D1776" t="str">
            <v>H-TELI</v>
          </cell>
        </row>
        <row r="1777">
          <cell r="A1777" t="str">
            <v>SUO_149</v>
          </cell>
          <cell r="B1777" t="str">
            <v>Mutengene-Ombe-IHS</v>
          </cell>
          <cell r="C1777" t="str">
            <v>SUO</v>
          </cell>
          <cell r="D1777" t="str">
            <v>H-TELI</v>
          </cell>
        </row>
        <row r="1778">
          <cell r="A1778" t="str">
            <v>SUO_064</v>
          </cell>
          <cell r="B1778" t="str">
            <v>Mutengene-Qter8</v>
          </cell>
          <cell r="C1778" t="str">
            <v>SUO</v>
          </cell>
          <cell r="D1778" t="str">
            <v>H-TELI</v>
          </cell>
        </row>
        <row r="1779">
          <cell r="A1779" t="str">
            <v>SUO_225</v>
          </cell>
          <cell r="B1779" t="str">
            <v>MUTENGUENE BAGDAD-MTN</v>
          </cell>
          <cell r="C1779" t="str">
            <v>SUO</v>
          </cell>
          <cell r="D1779" t="str">
            <v>H-TELI</v>
          </cell>
        </row>
        <row r="1780">
          <cell r="A1780" t="str">
            <v>SUO_004</v>
          </cell>
          <cell r="B1780" t="str">
            <v>Tiko</v>
          </cell>
          <cell r="C1780" t="str">
            <v>SUO</v>
          </cell>
          <cell r="D1780" t="str">
            <v>H-TELI</v>
          </cell>
        </row>
        <row r="1781">
          <cell r="A1781" t="str">
            <v>SUO_205</v>
          </cell>
          <cell r="B1781" t="str">
            <v>Tiko-Junction-IHS</v>
          </cell>
          <cell r="C1781" t="str">
            <v>SUO</v>
          </cell>
          <cell r="D1781" t="str">
            <v>H-TELI</v>
          </cell>
        </row>
        <row r="1782">
          <cell r="A1782" t="str">
            <v>SUO_209</v>
          </cell>
          <cell r="B1782" t="str">
            <v>Tiko-Likomba-IHS</v>
          </cell>
          <cell r="C1782" t="str">
            <v>SUO</v>
          </cell>
          <cell r="D1782" t="str">
            <v>H-TELI</v>
          </cell>
        </row>
        <row r="1783">
          <cell r="A1783" t="str">
            <v>LIT_174</v>
          </cell>
          <cell r="B1783" t="str">
            <v>Tiko-Long-Street-IHS</v>
          </cell>
          <cell r="C1783" t="str">
            <v>SUO</v>
          </cell>
          <cell r="D1783" t="str">
            <v>H-TELI</v>
          </cell>
        </row>
        <row r="1784">
          <cell r="A1784" t="str">
            <v>SUO_104</v>
          </cell>
          <cell r="B1784" t="str">
            <v>Tiko-Market-IHS</v>
          </cell>
          <cell r="C1784" t="str">
            <v>SUO</v>
          </cell>
          <cell r="D1784" t="str">
            <v>H-TELI</v>
          </cell>
        </row>
        <row r="1785">
          <cell r="A1785" t="str">
            <v>SUO_105</v>
          </cell>
          <cell r="B1785" t="str">
            <v>Tiko-Stadium-IHS</v>
          </cell>
          <cell r="C1785" t="str">
            <v>SUO</v>
          </cell>
          <cell r="D1785" t="str">
            <v>H-TELI</v>
          </cell>
        </row>
        <row r="1786">
          <cell r="A1786" t="str">
            <v>SUO_193</v>
          </cell>
          <cell r="B1786" t="str">
            <v>Towe-South-IHS</v>
          </cell>
          <cell r="C1786" t="str">
            <v>SUO</v>
          </cell>
          <cell r="D1786" t="str">
            <v>H-TELI</v>
          </cell>
        </row>
        <row r="1787">
          <cell r="A1787" t="str">
            <v>SUO_166</v>
          </cell>
          <cell r="B1787" t="str">
            <v>Upper-Mawo-IHS</v>
          </cell>
          <cell r="C1787" t="str">
            <v>SUO</v>
          </cell>
          <cell r="D1787" t="str">
            <v>H-TELI</v>
          </cell>
        </row>
        <row r="1788">
          <cell r="A1788" t="str">
            <v>SUO_127</v>
          </cell>
          <cell r="B1788" t="str">
            <v>Wotutu-IHS</v>
          </cell>
          <cell r="C1788" t="str">
            <v>SUO</v>
          </cell>
          <cell r="D1788" t="str">
            <v>H-TELI</v>
          </cell>
        </row>
        <row r="1789">
          <cell r="A1789" t="str">
            <v>LIT_173</v>
          </cell>
          <cell r="B1789" t="str">
            <v>CDC-Delmonte-IHS</v>
          </cell>
          <cell r="C1789" t="str">
            <v>LIT</v>
          </cell>
          <cell r="D1789" t="str">
            <v>H-TELI</v>
          </cell>
        </row>
        <row r="1790">
          <cell r="A1790" t="str">
            <v>LIT_178</v>
          </cell>
          <cell r="B1790" t="str">
            <v>Missellele</v>
          </cell>
          <cell r="C1790" t="str">
            <v>LIT</v>
          </cell>
          <cell r="D1790" t="str">
            <v>H-TELI</v>
          </cell>
        </row>
        <row r="1791">
          <cell r="A1791" t="str">
            <v>SUO_050</v>
          </cell>
          <cell r="B1791" t="str">
            <v>Limbe-Down-Beach-II</v>
          </cell>
          <cell r="C1791" t="str">
            <v>SUO</v>
          </cell>
          <cell r="D1791" t="str">
            <v>H-TELI</v>
          </cell>
        </row>
        <row r="1792">
          <cell r="A1792" t="str">
            <v>SUO_065</v>
          </cell>
          <cell r="B1792" t="str">
            <v>Limbe-Federal-Qter</v>
          </cell>
          <cell r="C1792" t="str">
            <v>SUO</v>
          </cell>
          <cell r="D1792" t="str">
            <v>H-TELI</v>
          </cell>
        </row>
        <row r="1793">
          <cell r="A1793" t="str">
            <v>SUO_002</v>
          </cell>
          <cell r="B1793" t="str">
            <v>Limbe-Kie</v>
          </cell>
          <cell r="C1793" t="str">
            <v>SUO</v>
          </cell>
          <cell r="D1793" t="str">
            <v>H-TELI</v>
          </cell>
        </row>
        <row r="1794">
          <cell r="A1794" t="str">
            <v>SUO_003</v>
          </cell>
          <cell r="B1794" t="str">
            <v>Limbe-UQ</v>
          </cell>
          <cell r="C1794" t="str">
            <v>SUO</v>
          </cell>
          <cell r="D1794" t="str">
            <v>H-TELI</v>
          </cell>
        </row>
        <row r="1795">
          <cell r="A1795" t="str">
            <v>SUO_021</v>
          </cell>
          <cell r="B1795" t="str">
            <v>Mile4</v>
          </cell>
          <cell r="C1795" t="str">
            <v>SUO</v>
          </cell>
          <cell r="D1795" t="str">
            <v>H-TELI</v>
          </cell>
        </row>
        <row r="1796">
          <cell r="A1796" t="str">
            <v>SUO_011</v>
          </cell>
          <cell r="B1796" t="str">
            <v>Monkey-Hill</v>
          </cell>
          <cell r="C1796" t="str">
            <v>SUO</v>
          </cell>
          <cell r="D1796" t="str">
            <v>H-TELI</v>
          </cell>
        </row>
        <row r="1797">
          <cell r="A1797" t="str">
            <v>SUO_005</v>
          </cell>
          <cell r="B1797" t="str">
            <v>Mutengene</v>
          </cell>
          <cell r="C1797" t="str">
            <v>SUO</v>
          </cell>
          <cell r="D1797" t="str">
            <v>H-TELI</v>
          </cell>
        </row>
        <row r="1798">
          <cell r="A1798" t="str">
            <v>SUO_164</v>
          </cell>
          <cell r="B1798" t="str">
            <v>Mutengene-E-Police</v>
          </cell>
          <cell r="C1798" t="str">
            <v>SUO</v>
          </cell>
          <cell r="D1798" t="str">
            <v>H-TELI</v>
          </cell>
        </row>
        <row r="1799">
          <cell r="A1799" t="str">
            <v>SUO_157</v>
          </cell>
          <cell r="B1799" t="str">
            <v>NEW-Bonako</v>
          </cell>
          <cell r="C1799" t="str">
            <v>LIT</v>
          </cell>
          <cell r="D1799" t="str">
            <v>H-TELI</v>
          </cell>
        </row>
        <row r="1800">
          <cell r="A1800" t="str">
            <v>SUO_171</v>
          </cell>
          <cell r="B1800" t="str">
            <v>SONARA</v>
          </cell>
          <cell r="C1800" t="str">
            <v>SUO</v>
          </cell>
          <cell r="D1800" t="str">
            <v>H-TELI</v>
          </cell>
        </row>
        <row r="1801">
          <cell r="A1801" t="str">
            <v>LIT_670</v>
          </cell>
          <cell r="B1801" t="str">
            <v>Moulanga</v>
          </cell>
          <cell r="C1801" t="str">
            <v>LIT</v>
          </cell>
          <cell r="D1801" t="str">
            <v>H-TELI</v>
          </cell>
        </row>
        <row r="1802">
          <cell r="A1802" t="str">
            <v>SUO_131</v>
          </cell>
          <cell r="B1802" t="str">
            <v>Bonjongo</v>
          </cell>
          <cell r="C1802" t="str">
            <v>LIT</v>
          </cell>
          <cell r="D1802" t="str">
            <v>H-TELI</v>
          </cell>
        </row>
        <row r="1803">
          <cell r="A1803" t="str">
            <v>SUO_099</v>
          </cell>
          <cell r="B1803" t="str">
            <v>Babensi-HIS</v>
          </cell>
          <cell r="C1803" t="str">
            <v>SUO</v>
          </cell>
          <cell r="D1803" t="str">
            <v>H-TELI</v>
          </cell>
        </row>
        <row r="1804">
          <cell r="A1804" t="str">
            <v>SUO_153</v>
          </cell>
          <cell r="B1804" t="str">
            <v>Bai-Kuke-IHS</v>
          </cell>
          <cell r="C1804" t="str">
            <v>SUO</v>
          </cell>
          <cell r="D1804" t="str">
            <v>H-TELI</v>
          </cell>
        </row>
        <row r="1805">
          <cell r="A1805" t="str">
            <v>SUO_093</v>
          </cell>
          <cell r="B1805" t="str">
            <v>Bai-Panya-IHS</v>
          </cell>
          <cell r="C1805" t="str">
            <v>SUO</v>
          </cell>
          <cell r="D1805" t="str">
            <v>H-TELI</v>
          </cell>
        </row>
        <row r="1806">
          <cell r="A1806" t="str">
            <v>SUO_018</v>
          </cell>
          <cell r="B1806" t="str">
            <v>Bakassi</v>
          </cell>
          <cell r="C1806" t="str">
            <v>SUO</v>
          </cell>
          <cell r="D1806" t="str">
            <v>H-TELI</v>
          </cell>
        </row>
        <row r="1807">
          <cell r="A1807" t="str">
            <v>SUO_096</v>
          </cell>
          <cell r="B1807" t="str">
            <v>Bekondo-IHS</v>
          </cell>
          <cell r="C1807" t="str">
            <v>SUO</v>
          </cell>
          <cell r="D1807" t="str">
            <v>H-TELI</v>
          </cell>
        </row>
        <row r="1808">
          <cell r="A1808" t="str">
            <v>SUO_095</v>
          </cell>
          <cell r="B1808" t="str">
            <v>Bombanda-Ebulu-IHS</v>
          </cell>
          <cell r="C1808" t="str">
            <v>SUO</v>
          </cell>
          <cell r="D1808" t="str">
            <v>H-TELI</v>
          </cell>
        </row>
        <row r="1809">
          <cell r="A1809" t="str">
            <v>SUO_086</v>
          </cell>
          <cell r="B1809" t="str">
            <v>Bombe-Bakundu-MTN</v>
          </cell>
          <cell r="C1809" t="str">
            <v>SUO</v>
          </cell>
          <cell r="D1809" t="str">
            <v>H-TELI</v>
          </cell>
        </row>
        <row r="1810">
          <cell r="A1810" t="str">
            <v>SUO_802</v>
          </cell>
          <cell r="B1810" t="str">
            <v>Bongongo-MTN</v>
          </cell>
          <cell r="C1810" t="str">
            <v>SUO</v>
          </cell>
          <cell r="D1810" t="str">
            <v>H-TELI</v>
          </cell>
        </row>
        <row r="1811">
          <cell r="A1811" t="str">
            <v>SUO_025</v>
          </cell>
          <cell r="B1811" t="str">
            <v>Bova-Bokombo-IHS</v>
          </cell>
          <cell r="C1811" t="str">
            <v>SUO</v>
          </cell>
          <cell r="D1811" t="str">
            <v>H-TELI</v>
          </cell>
        </row>
        <row r="1812">
          <cell r="A1812" t="str">
            <v>SUO_045</v>
          </cell>
          <cell r="B1812" t="str">
            <v>Ekindi-MTN</v>
          </cell>
          <cell r="C1812" t="str">
            <v>SUO</v>
          </cell>
          <cell r="D1812" t="str">
            <v>H-TELI</v>
          </cell>
        </row>
        <row r="1813">
          <cell r="A1813" t="str">
            <v>SUO_091</v>
          </cell>
          <cell r="B1813" t="str">
            <v>Ekombe-Bondji-IHS</v>
          </cell>
          <cell r="C1813" t="str">
            <v>SUO</v>
          </cell>
          <cell r="D1813" t="str">
            <v>H-TELI</v>
          </cell>
        </row>
        <row r="1814">
          <cell r="A1814" t="str">
            <v>SUO_047</v>
          </cell>
          <cell r="B1814" t="str">
            <v>Ekondo-Nege-MTN</v>
          </cell>
          <cell r="C1814" t="str">
            <v>SUO</v>
          </cell>
          <cell r="D1814" t="str">
            <v>H-TELI</v>
          </cell>
        </row>
        <row r="1815">
          <cell r="A1815" t="str">
            <v>SUO_019</v>
          </cell>
          <cell r="B1815" t="str">
            <v>Ekondo-titi</v>
          </cell>
          <cell r="C1815" t="str">
            <v>SUO</v>
          </cell>
          <cell r="D1815" t="str">
            <v>H-TELI</v>
          </cell>
        </row>
        <row r="1816">
          <cell r="A1816" t="str">
            <v>SUO_048</v>
          </cell>
          <cell r="B1816" t="str">
            <v>Ikiliwindi-MTN</v>
          </cell>
          <cell r="C1816" t="str">
            <v>SUO</v>
          </cell>
          <cell r="D1816" t="str">
            <v>H-TELI</v>
          </cell>
        </row>
        <row r="1817">
          <cell r="A1817" t="str">
            <v>SUO_046</v>
          </cell>
          <cell r="B1817" t="str">
            <v>Ilor-MTN</v>
          </cell>
          <cell r="C1817" t="str">
            <v>SUO</v>
          </cell>
          <cell r="D1817" t="str">
            <v>H-TELI</v>
          </cell>
        </row>
        <row r="1818">
          <cell r="A1818" t="str">
            <v>SUO_230</v>
          </cell>
          <cell r="B1818" t="str">
            <v>Kumba-Alaska-Street-IHS</v>
          </cell>
          <cell r="C1818" t="str">
            <v>SUO</v>
          </cell>
          <cell r="D1818" t="str">
            <v>H-TELI</v>
          </cell>
        </row>
        <row r="1819">
          <cell r="A1819" t="str">
            <v>SUO_108</v>
          </cell>
          <cell r="B1819" t="str">
            <v>Kumba-Barombi-Kang-II-IHS</v>
          </cell>
          <cell r="C1819" t="str">
            <v>SUO</v>
          </cell>
          <cell r="D1819" t="str">
            <v>H-TELI</v>
          </cell>
        </row>
        <row r="1820">
          <cell r="A1820" t="str">
            <v>SUO_231</v>
          </cell>
          <cell r="B1820" t="str">
            <v>Kumba-Bonakama2-IHS</v>
          </cell>
          <cell r="C1820" t="str">
            <v>SUO</v>
          </cell>
          <cell r="D1820" t="str">
            <v>H-TELI</v>
          </cell>
        </row>
        <row r="1821">
          <cell r="A1821" t="str">
            <v>SUO_218</v>
          </cell>
          <cell r="B1821" t="str">
            <v>Kumba-Bonakama-IHS</v>
          </cell>
          <cell r="C1821" t="str">
            <v>SUO</v>
          </cell>
          <cell r="D1821" t="str">
            <v>H-TELI</v>
          </cell>
        </row>
        <row r="1822">
          <cell r="A1822" t="str">
            <v>SUO_109</v>
          </cell>
          <cell r="B1822" t="str">
            <v>Kumba-CCAS-IHS</v>
          </cell>
          <cell r="C1822" t="str">
            <v>SUO</v>
          </cell>
          <cell r="D1822" t="str">
            <v>H-TELI</v>
          </cell>
        </row>
        <row r="1823">
          <cell r="A1823" t="str">
            <v>SUO_110</v>
          </cell>
          <cell r="B1823" t="str">
            <v>Kumba-Fiango-IHS</v>
          </cell>
          <cell r="C1823" t="str">
            <v>SUO</v>
          </cell>
          <cell r="D1823" t="str">
            <v>H-TELI</v>
          </cell>
        </row>
        <row r="1824">
          <cell r="A1824" t="str">
            <v>SUO_052</v>
          </cell>
          <cell r="B1824" t="str">
            <v>Kumba-Kake</v>
          </cell>
          <cell r="C1824" t="str">
            <v>SUO</v>
          </cell>
          <cell r="D1824" t="str">
            <v>H-TELI</v>
          </cell>
        </row>
        <row r="1825">
          <cell r="A1825" t="str">
            <v>SUO_114</v>
          </cell>
          <cell r="B1825" t="str">
            <v>Kumba-Kossala2-IHS</v>
          </cell>
          <cell r="C1825" t="str">
            <v>SUO</v>
          </cell>
          <cell r="D1825" t="str">
            <v>H-TELI</v>
          </cell>
        </row>
        <row r="1826">
          <cell r="A1826" t="str">
            <v>SUO_113</v>
          </cell>
          <cell r="B1826" t="str">
            <v>Kumba-Kossala-IHS</v>
          </cell>
          <cell r="C1826" t="str">
            <v>SUO</v>
          </cell>
          <cell r="D1826" t="str">
            <v>H-TELI</v>
          </cell>
        </row>
        <row r="1827">
          <cell r="A1827" t="str">
            <v>SUO_125</v>
          </cell>
          <cell r="B1827" t="str">
            <v>Kumba-Krama-IHS</v>
          </cell>
          <cell r="C1827" t="str">
            <v>SUO</v>
          </cell>
          <cell r="D1827" t="str">
            <v>H-TELI</v>
          </cell>
        </row>
        <row r="1828">
          <cell r="A1828" t="str">
            <v>SUO_054</v>
          </cell>
          <cell r="B1828" t="str">
            <v>Kumba-Lutherian-Church-MTN</v>
          </cell>
          <cell r="C1828" t="str">
            <v>SUO</v>
          </cell>
          <cell r="D1828" t="str">
            <v>H-TELI</v>
          </cell>
        </row>
        <row r="1829">
          <cell r="A1829" t="str">
            <v>SUO_027</v>
          </cell>
          <cell r="B1829" t="str">
            <v>Kumba-Mabanda</v>
          </cell>
          <cell r="C1829" t="str">
            <v>SUO</v>
          </cell>
          <cell r="D1829" t="str">
            <v>H-TELI</v>
          </cell>
        </row>
        <row r="1830">
          <cell r="A1830" t="str">
            <v>SUO_111</v>
          </cell>
          <cell r="B1830" t="str">
            <v>Kumba-Makata-IHS</v>
          </cell>
          <cell r="C1830" t="str">
            <v>SUO</v>
          </cell>
          <cell r="D1830" t="str">
            <v>H-TELI</v>
          </cell>
        </row>
        <row r="1831">
          <cell r="A1831" t="str">
            <v>SUO_112</v>
          </cell>
          <cell r="B1831" t="str">
            <v>Kumba-Market</v>
          </cell>
          <cell r="C1831" t="str">
            <v>SUO</v>
          </cell>
          <cell r="D1831" t="str">
            <v>H-TELI</v>
          </cell>
        </row>
        <row r="1832">
          <cell r="A1832" t="str">
            <v>SUO_237</v>
          </cell>
          <cell r="B1832" t="str">
            <v>Kumba-Mbongue-Road</v>
          </cell>
          <cell r="C1832" t="str">
            <v>SUO</v>
          </cell>
          <cell r="D1832" t="str">
            <v>H-TELI</v>
          </cell>
        </row>
        <row r="1833">
          <cell r="A1833" t="str">
            <v>SUO_116</v>
          </cell>
          <cell r="B1833" t="str">
            <v>Kumba-Mbo-Street-IHS</v>
          </cell>
          <cell r="C1833" t="str">
            <v>SUO</v>
          </cell>
          <cell r="D1833" t="str">
            <v>H-TELI</v>
          </cell>
        </row>
        <row r="1834">
          <cell r="A1834" t="str">
            <v>SUO_217</v>
          </cell>
          <cell r="B1834" t="str">
            <v>Kumba-Nkamlikum</v>
          </cell>
          <cell r="C1834" t="str">
            <v>SUO</v>
          </cell>
          <cell r="D1834" t="str">
            <v>H-TELI</v>
          </cell>
        </row>
        <row r="1835">
          <cell r="A1835" t="str">
            <v>SUO_216</v>
          </cell>
          <cell r="B1835" t="str">
            <v>Kumba-Preventive-IHS</v>
          </cell>
          <cell r="C1835" t="str">
            <v>SUO</v>
          </cell>
          <cell r="D1835" t="str">
            <v>H-TELI</v>
          </cell>
        </row>
        <row r="1836">
          <cell r="A1836" t="str">
            <v>SUO_115</v>
          </cell>
          <cell r="B1836" t="str">
            <v>Kumba-Pulletin-IHS</v>
          </cell>
          <cell r="C1836" t="str">
            <v>SUO</v>
          </cell>
          <cell r="D1836" t="str">
            <v>H-TELI</v>
          </cell>
        </row>
        <row r="1837">
          <cell r="A1837" t="str">
            <v>SUO_126</v>
          </cell>
          <cell r="B1837" t="str">
            <v>Kumba-Station-IHS</v>
          </cell>
          <cell r="C1837" t="str">
            <v>SUO</v>
          </cell>
          <cell r="D1837" t="str">
            <v>H-TELI</v>
          </cell>
        </row>
        <row r="1838">
          <cell r="A1838" t="str">
            <v>SUO_088</v>
          </cell>
          <cell r="B1838" t="str">
            <v>Kumbe-MTN</v>
          </cell>
          <cell r="C1838" t="str">
            <v>SUO</v>
          </cell>
          <cell r="D1838" t="str">
            <v>H-TELI</v>
          </cell>
        </row>
        <row r="1839">
          <cell r="A1839" t="str">
            <v>SUO_034</v>
          </cell>
          <cell r="B1839" t="str">
            <v>Kurume</v>
          </cell>
          <cell r="C1839" t="str">
            <v>SUO</v>
          </cell>
          <cell r="D1839" t="str">
            <v>H-TELI</v>
          </cell>
        </row>
        <row r="1840">
          <cell r="A1840" t="str">
            <v>SUO_043</v>
          </cell>
          <cell r="B1840" t="str">
            <v>Loe-MTN</v>
          </cell>
          <cell r="C1840" t="str">
            <v>SUO</v>
          </cell>
          <cell r="D1840" t="str">
            <v>H-TELI</v>
          </cell>
        </row>
        <row r="1841">
          <cell r="A1841" t="str">
            <v>SUO_049</v>
          </cell>
          <cell r="B1841" t="str">
            <v>Mbakwa-Supe-MTN</v>
          </cell>
          <cell r="C1841" t="str">
            <v>SUO</v>
          </cell>
          <cell r="D1841" t="str">
            <v>H-TELI</v>
          </cell>
        </row>
        <row r="1842">
          <cell r="A1842" t="str">
            <v>SUO_134</v>
          </cell>
          <cell r="B1842" t="str">
            <v>Mbonge</v>
          </cell>
          <cell r="C1842" t="str">
            <v>SUO</v>
          </cell>
          <cell r="D1842" t="str">
            <v>H-TELI</v>
          </cell>
        </row>
        <row r="1843">
          <cell r="A1843" t="str">
            <v>SUO_020</v>
          </cell>
          <cell r="B1843" t="str">
            <v>Mundemba</v>
          </cell>
          <cell r="C1843" t="str">
            <v>SUO</v>
          </cell>
          <cell r="D1843" t="str">
            <v>H-TELI</v>
          </cell>
        </row>
        <row r="1844">
          <cell r="A1844" t="str">
            <v>SUO_085</v>
          </cell>
          <cell r="B1844" t="str">
            <v>Ngongo-MTN</v>
          </cell>
          <cell r="C1844" t="str">
            <v>SUO</v>
          </cell>
          <cell r="D1844" t="str">
            <v>H-TELI</v>
          </cell>
        </row>
        <row r="1845">
          <cell r="A1845" t="str">
            <v>SUO_090</v>
          </cell>
          <cell r="B1845" t="str">
            <v>Small-Ekombe-IHS</v>
          </cell>
          <cell r="C1845" t="str">
            <v>SUO</v>
          </cell>
          <cell r="D1845" t="str">
            <v>H-TELI</v>
          </cell>
        </row>
        <row r="1846">
          <cell r="A1846" t="str">
            <v>SUO_097</v>
          </cell>
          <cell r="B1846" t="str">
            <v>Gamoko-Hill-IHS</v>
          </cell>
          <cell r="C1846" t="str">
            <v>SUO</v>
          </cell>
          <cell r="D1846" t="str">
            <v>H-TELI</v>
          </cell>
        </row>
        <row r="1847">
          <cell r="A1847" t="str">
            <v>SUO_173</v>
          </cell>
          <cell r="B1847" t="str">
            <v>Jabane</v>
          </cell>
          <cell r="C1847" t="str">
            <v>SUO</v>
          </cell>
          <cell r="D1847" t="str">
            <v>H-TELI</v>
          </cell>
        </row>
        <row r="1848">
          <cell r="A1848" t="str">
            <v>SUO_032</v>
          </cell>
          <cell r="B1848" t="str">
            <v>Konye</v>
          </cell>
          <cell r="C1848" t="str">
            <v>SUO</v>
          </cell>
          <cell r="D1848" t="str">
            <v>H-TELI</v>
          </cell>
        </row>
        <row r="1849">
          <cell r="A1849" t="str">
            <v>SUO_006</v>
          </cell>
          <cell r="B1849" t="str">
            <v>Kumba</v>
          </cell>
          <cell r="C1849" t="str">
            <v>SUO</v>
          </cell>
          <cell r="D1849" t="str">
            <v>H-TELI</v>
          </cell>
        </row>
        <row r="1850">
          <cell r="A1850" t="str">
            <v>SUO_802</v>
          </cell>
          <cell r="B1850" t="str">
            <v>KUMBA</v>
          </cell>
          <cell r="C1850" t="str">
            <v>SUO</v>
          </cell>
          <cell r="D1850" t="str">
            <v>H-TELI</v>
          </cell>
        </row>
        <row r="1851">
          <cell r="A1851" t="str">
            <v>SUO_238</v>
          </cell>
          <cell r="B1851" t="str">
            <v>Kumba Gare Ntam</v>
          </cell>
          <cell r="C1851" t="str">
            <v>SUO</v>
          </cell>
          <cell r="D1851" t="str">
            <v>H-TELI</v>
          </cell>
        </row>
        <row r="1852">
          <cell r="A1852" t="str">
            <v>SUO_071</v>
          </cell>
          <cell r="B1852" t="str">
            <v>Kumba-Centre</v>
          </cell>
          <cell r="C1852" t="str">
            <v>SUO</v>
          </cell>
          <cell r="D1852" t="str">
            <v>H-TELI</v>
          </cell>
        </row>
        <row r="1853">
          <cell r="A1853" t="str">
            <v>CTR_352</v>
          </cell>
          <cell r="B1853" t="str">
            <v>Baliama</v>
          </cell>
          <cell r="C1853" t="str">
            <v>CTR</v>
          </cell>
          <cell r="D1853" t="str">
            <v xml:space="preserve">I-ENG </v>
          </cell>
        </row>
        <row r="1854">
          <cell r="A1854" t="str">
            <v>CTR_022</v>
          </cell>
          <cell r="B1854" t="str">
            <v>Bafia</v>
          </cell>
          <cell r="C1854" t="str">
            <v>CTR</v>
          </cell>
          <cell r="D1854" t="str">
            <v xml:space="preserve">I-ENG </v>
          </cell>
        </row>
        <row r="1855">
          <cell r="A1855" t="str">
            <v>CTR_041</v>
          </cell>
          <cell r="B1855" t="str">
            <v>Nkog-Edzen</v>
          </cell>
          <cell r="C1855" t="str">
            <v>CTR</v>
          </cell>
          <cell r="D1855" t="str">
            <v xml:space="preserve">I-ENG </v>
          </cell>
        </row>
        <row r="1856">
          <cell r="A1856" t="str">
            <v>CTR_054</v>
          </cell>
          <cell r="B1856" t="str">
            <v>Ndoussan</v>
          </cell>
          <cell r="C1856" t="str">
            <v>CTR</v>
          </cell>
          <cell r="D1856" t="str">
            <v xml:space="preserve">I-ENG </v>
          </cell>
        </row>
        <row r="1857">
          <cell r="A1857" t="str">
            <v>CTR_073</v>
          </cell>
          <cell r="B1857" t="str">
            <v>Monatele</v>
          </cell>
          <cell r="C1857" t="str">
            <v>CTR</v>
          </cell>
          <cell r="D1857" t="str">
            <v xml:space="preserve">I-ENG </v>
          </cell>
        </row>
        <row r="1858">
          <cell r="A1858" t="str">
            <v>CTR_083</v>
          </cell>
          <cell r="B1858" t="str">
            <v>Ngomo</v>
          </cell>
          <cell r="C1858" t="str">
            <v>CTR</v>
          </cell>
          <cell r="D1858" t="str">
            <v xml:space="preserve">I-ENG </v>
          </cell>
        </row>
        <row r="1859">
          <cell r="A1859" t="str">
            <v>CTR_091</v>
          </cell>
          <cell r="B1859" t="str">
            <v>Bamoko</v>
          </cell>
          <cell r="C1859" t="str">
            <v>CTR</v>
          </cell>
          <cell r="D1859" t="str">
            <v xml:space="preserve">I-ENG </v>
          </cell>
        </row>
        <row r="1860">
          <cell r="A1860" t="str">
            <v>CTR_092</v>
          </cell>
          <cell r="B1860" t="str">
            <v>Boutourou</v>
          </cell>
          <cell r="C1860" t="str">
            <v>CTR</v>
          </cell>
          <cell r="D1860" t="str">
            <v xml:space="preserve">I-ENG </v>
          </cell>
        </row>
        <row r="1861">
          <cell r="A1861" t="str">
            <v>CTR_095</v>
          </cell>
          <cell r="B1861" t="str">
            <v>Ombessa</v>
          </cell>
          <cell r="C1861" t="str">
            <v>CTR</v>
          </cell>
          <cell r="D1861" t="str">
            <v xml:space="preserve">I-ENG </v>
          </cell>
        </row>
        <row r="1862">
          <cell r="A1862" t="str">
            <v>CTR_101</v>
          </cell>
          <cell r="B1862" t="str">
            <v>Bafia-CRTV</v>
          </cell>
          <cell r="C1862" t="str">
            <v>CTR</v>
          </cell>
          <cell r="D1862" t="str">
            <v xml:space="preserve">I-ENG </v>
          </cell>
        </row>
        <row r="1863">
          <cell r="A1863" t="str">
            <v>CTR_114</v>
          </cell>
          <cell r="B1863" t="str">
            <v>Ntui</v>
          </cell>
          <cell r="C1863" t="str">
            <v>CTR</v>
          </cell>
          <cell r="D1863" t="str">
            <v xml:space="preserve">I-ENG </v>
          </cell>
        </row>
        <row r="1864">
          <cell r="A1864" t="str">
            <v>CTR_135</v>
          </cell>
          <cell r="B1864" t="str">
            <v>Talla-Monatele-IHS</v>
          </cell>
          <cell r="C1864" t="str">
            <v>CTR</v>
          </cell>
          <cell r="D1864" t="str">
            <v xml:space="preserve">I-ENG </v>
          </cell>
        </row>
        <row r="1865">
          <cell r="A1865" t="str">
            <v>CTR_166</v>
          </cell>
          <cell r="B1865" t="str">
            <v>Donga-MTN-IHS</v>
          </cell>
          <cell r="C1865" t="str">
            <v>CTR</v>
          </cell>
          <cell r="D1865" t="str">
            <v xml:space="preserve">I-ENG </v>
          </cell>
        </row>
        <row r="1866">
          <cell r="A1866" t="str">
            <v>CTR_167</v>
          </cell>
          <cell r="B1866" t="str">
            <v>Dong-MTN-IHS</v>
          </cell>
          <cell r="C1866" t="str">
            <v>CTR</v>
          </cell>
          <cell r="D1866" t="str">
            <v xml:space="preserve">I-ENG </v>
          </cell>
        </row>
        <row r="1867">
          <cell r="A1867" t="str">
            <v>CTR_183</v>
          </cell>
          <cell r="B1867" t="str">
            <v>Mvoundou-Ngoke-MTN-IHS</v>
          </cell>
          <cell r="C1867" t="str">
            <v>CTR</v>
          </cell>
          <cell r="D1867" t="str">
            <v xml:space="preserve">I-ENG </v>
          </cell>
        </row>
        <row r="1868">
          <cell r="A1868" t="str">
            <v>CTR_184</v>
          </cell>
          <cell r="B1868" t="str">
            <v>Taete-MTN-IHS</v>
          </cell>
          <cell r="C1868" t="str">
            <v>CTR</v>
          </cell>
          <cell r="D1868" t="str">
            <v xml:space="preserve">I-ENG </v>
          </cell>
        </row>
        <row r="1869">
          <cell r="A1869" t="str">
            <v>CTR_190</v>
          </cell>
          <cell r="B1869" t="str">
            <v>Kiiki</v>
          </cell>
          <cell r="C1869" t="str">
            <v>CTR</v>
          </cell>
          <cell r="D1869" t="str">
            <v xml:space="preserve">I-ENG </v>
          </cell>
        </row>
        <row r="1870">
          <cell r="A1870" t="str">
            <v>CTR_192</v>
          </cell>
          <cell r="B1870" t="str">
            <v>Saa</v>
          </cell>
          <cell r="C1870" t="str">
            <v>CTR</v>
          </cell>
          <cell r="D1870" t="str">
            <v xml:space="preserve">I-ENG </v>
          </cell>
        </row>
        <row r="1871">
          <cell r="A1871" t="str">
            <v>CTR_193</v>
          </cell>
          <cell r="B1871" t="str">
            <v>Bokito-MTN</v>
          </cell>
          <cell r="C1871" t="str">
            <v>CTR</v>
          </cell>
          <cell r="D1871" t="str">
            <v xml:space="preserve">I-ENG </v>
          </cell>
        </row>
        <row r="1872">
          <cell r="A1872" t="str">
            <v>CTR_206</v>
          </cell>
          <cell r="B1872" t="str">
            <v>Talba</v>
          </cell>
          <cell r="C1872" t="str">
            <v>CTR</v>
          </cell>
          <cell r="D1872" t="str">
            <v xml:space="preserve">I-ENG </v>
          </cell>
        </row>
        <row r="1873">
          <cell r="A1873" t="str">
            <v>CTR_223</v>
          </cell>
          <cell r="B1873" t="str">
            <v>Botatango-MTN</v>
          </cell>
          <cell r="C1873" t="str">
            <v>CTR</v>
          </cell>
          <cell r="D1873" t="str">
            <v xml:space="preserve">I-ENG </v>
          </cell>
        </row>
        <row r="1874">
          <cell r="A1874" t="str">
            <v>CTR_226</v>
          </cell>
          <cell r="B1874" t="str">
            <v>Mbangassina</v>
          </cell>
          <cell r="C1874" t="str">
            <v>CTR</v>
          </cell>
          <cell r="D1874" t="str">
            <v xml:space="preserve">I-ENG </v>
          </cell>
        </row>
        <row r="1875">
          <cell r="A1875" t="str">
            <v>CTR_230</v>
          </cell>
          <cell r="B1875" t="str">
            <v>Ezezang-MTN</v>
          </cell>
          <cell r="C1875" t="str">
            <v>CTR</v>
          </cell>
          <cell r="D1875" t="str">
            <v xml:space="preserve">I-ENG </v>
          </cell>
        </row>
        <row r="1876">
          <cell r="A1876" t="str">
            <v>CTR_231</v>
          </cell>
          <cell r="B1876" t="str">
            <v>Goufan</v>
          </cell>
          <cell r="C1876" t="str">
            <v>CTR</v>
          </cell>
          <cell r="D1876" t="str">
            <v xml:space="preserve">I-ENG </v>
          </cell>
        </row>
        <row r="1877">
          <cell r="A1877" t="str">
            <v>CTR_232</v>
          </cell>
          <cell r="B1877" t="str">
            <v>Yambassa</v>
          </cell>
          <cell r="C1877" t="str">
            <v>CTR</v>
          </cell>
          <cell r="D1877" t="str">
            <v xml:space="preserve">I-ENG </v>
          </cell>
        </row>
        <row r="1878">
          <cell r="A1878" t="str">
            <v>CTR_277</v>
          </cell>
          <cell r="B1878" t="str">
            <v>Deuk</v>
          </cell>
          <cell r="C1878" t="str">
            <v>CTR</v>
          </cell>
          <cell r="D1878" t="str">
            <v xml:space="preserve">I-ENG </v>
          </cell>
        </row>
        <row r="1879">
          <cell r="A1879" t="str">
            <v>CTR_278</v>
          </cell>
          <cell r="B1879" t="str">
            <v>Ngoro</v>
          </cell>
          <cell r="C1879" t="str">
            <v>CTR</v>
          </cell>
          <cell r="D1879" t="str">
            <v xml:space="preserve">I-ENG </v>
          </cell>
        </row>
        <row r="1880">
          <cell r="A1880" t="str">
            <v>CTR_299</v>
          </cell>
          <cell r="B1880" t="str">
            <v>Nguila</v>
          </cell>
          <cell r="C1880" t="str">
            <v>CTR</v>
          </cell>
          <cell r="D1880" t="str">
            <v xml:space="preserve">I-ENG </v>
          </cell>
        </row>
        <row r="1881">
          <cell r="A1881" t="str">
            <v>CTR_300</v>
          </cell>
          <cell r="B1881" t="str">
            <v>Ngouetou</v>
          </cell>
          <cell r="C1881" t="str">
            <v>CTR</v>
          </cell>
          <cell r="D1881" t="str">
            <v xml:space="preserve">I-ENG </v>
          </cell>
        </row>
        <row r="1882">
          <cell r="A1882" t="str">
            <v>CTR_301</v>
          </cell>
          <cell r="B1882" t="str">
            <v>Matsari</v>
          </cell>
          <cell r="C1882" t="str">
            <v>CTR</v>
          </cell>
          <cell r="D1882" t="str">
            <v xml:space="preserve">I-ENG </v>
          </cell>
        </row>
        <row r="1883">
          <cell r="A1883" t="str">
            <v>CTR_335</v>
          </cell>
          <cell r="B1883" t="str">
            <v>Yoko</v>
          </cell>
          <cell r="C1883" t="str">
            <v>CTR</v>
          </cell>
          <cell r="D1883" t="str">
            <v xml:space="preserve">I-ENG </v>
          </cell>
        </row>
        <row r="1884">
          <cell r="A1884" t="str">
            <v>CTR_362</v>
          </cell>
          <cell r="B1884" t="str">
            <v>Bafia-Lable</v>
          </cell>
          <cell r="C1884" t="str">
            <v>CTR</v>
          </cell>
          <cell r="D1884" t="str">
            <v xml:space="preserve">I-ENG </v>
          </cell>
        </row>
        <row r="1885">
          <cell r="A1885" t="str">
            <v>CTR_364</v>
          </cell>
          <cell r="B1885" t="str">
            <v>Bayomen-Kalong-MTN</v>
          </cell>
          <cell r="C1885" t="str">
            <v>CTR</v>
          </cell>
          <cell r="D1885" t="str">
            <v xml:space="preserve">I-ENG </v>
          </cell>
        </row>
        <row r="1886">
          <cell r="A1886" t="str">
            <v>CTR_367</v>
          </cell>
          <cell r="B1886" t="str">
            <v>Ngoum-II-MTN</v>
          </cell>
          <cell r="C1886" t="str">
            <v>CTR</v>
          </cell>
          <cell r="D1886" t="str">
            <v xml:space="preserve">I-ENG </v>
          </cell>
        </row>
        <row r="1887">
          <cell r="A1887" t="str">
            <v>CTR_397</v>
          </cell>
          <cell r="B1887" t="str">
            <v>Bafia-Dang</v>
          </cell>
          <cell r="C1887" t="str">
            <v>CTR</v>
          </cell>
          <cell r="D1887" t="str">
            <v xml:space="preserve">I-ENG </v>
          </cell>
        </row>
        <row r="1888">
          <cell r="A1888" t="str">
            <v>CTR_405</v>
          </cell>
          <cell r="B1888" t="str">
            <v>Ossombe-MTN</v>
          </cell>
          <cell r="C1888" t="str">
            <v>CTR</v>
          </cell>
          <cell r="D1888" t="str">
            <v xml:space="preserve">I-ENG </v>
          </cell>
        </row>
        <row r="1889">
          <cell r="A1889" t="str">
            <v>CTR_406</v>
          </cell>
          <cell r="B1889" t="str">
            <v>Mbimbim-MTN</v>
          </cell>
          <cell r="C1889" t="str">
            <v>CTR</v>
          </cell>
          <cell r="D1889" t="str">
            <v xml:space="preserve">I-ENG </v>
          </cell>
        </row>
        <row r="1890">
          <cell r="A1890" t="str">
            <v>CTR_443</v>
          </cell>
          <cell r="B1890" t="str">
            <v>Biakoa-MTN-IHS</v>
          </cell>
          <cell r="C1890" t="str">
            <v>CTR</v>
          </cell>
          <cell r="D1890" t="str">
            <v xml:space="preserve">I-ENG </v>
          </cell>
        </row>
        <row r="1891">
          <cell r="A1891" t="str">
            <v>CTR_826</v>
          </cell>
          <cell r="B1891" t="str">
            <v>Ntui-Ecole-Publique</v>
          </cell>
          <cell r="C1891" t="str">
            <v>CTR</v>
          </cell>
          <cell r="D1891" t="str">
            <v xml:space="preserve">I-ENG </v>
          </cell>
        </row>
        <row r="1892">
          <cell r="A1892" t="str">
            <v>CTR_828</v>
          </cell>
          <cell r="B1892" t="str">
            <v>BAFIA-BEGNIAN-IHS</v>
          </cell>
          <cell r="C1892" t="str">
            <v>CTR</v>
          </cell>
          <cell r="D1892" t="str">
            <v xml:space="preserve">I-ENG </v>
          </cell>
        </row>
        <row r="1893">
          <cell r="A1893" t="str">
            <v>CTR_829</v>
          </cell>
          <cell r="B1893" t="str">
            <v>Saa-IHS</v>
          </cell>
          <cell r="C1893" t="str">
            <v>CTR</v>
          </cell>
          <cell r="D1893" t="str">
            <v xml:space="preserve">I-ENG </v>
          </cell>
        </row>
        <row r="1894">
          <cell r="A1894" t="str">
            <v>CTR_830</v>
          </cell>
          <cell r="B1894" t="str">
            <v>Bafia-Market-MTN</v>
          </cell>
          <cell r="C1894" t="str">
            <v>CTR</v>
          </cell>
          <cell r="D1894" t="str">
            <v xml:space="preserve">I-ENG </v>
          </cell>
        </row>
        <row r="1895">
          <cell r="A1895" t="str">
            <v>CTR_081</v>
          </cell>
          <cell r="B1895" t="str">
            <v>Makenene</v>
          </cell>
          <cell r="C1895" t="str">
            <v>CTR</v>
          </cell>
          <cell r="D1895" t="str">
            <v xml:space="preserve">I-ENG </v>
          </cell>
        </row>
        <row r="1896">
          <cell r="A1896" t="str">
            <v>CTR_177</v>
          </cell>
          <cell r="B1896" t="str">
            <v>Nitoukou-IHS</v>
          </cell>
          <cell r="C1896" t="str">
            <v>CTR</v>
          </cell>
          <cell r="D1896" t="str">
            <v xml:space="preserve">I-ENG </v>
          </cell>
        </row>
        <row r="1897">
          <cell r="A1897" t="str">
            <v>CTR_297</v>
          </cell>
          <cell r="B1897" t="str">
            <v>Nomale</v>
          </cell>
          <cell r="C1897" t="str">
            <v>CTR</v>
          </cell>
          <cell r="D1897" t="str">
            <v xml:space="preserve">I-ENG </v>
          </cell>
        </row>
        <row r="1898">
          <cell r="A1898" t="str">
            <v>CTR_544</v>
          </cell>
          <cell r="B1898" t="str">
            <v>Ndikinimeki-New</v>
          </cell>
          <cell r="C1898" t="str">
            <v>CTR</v>
          </cell>
          <cell r="D1898" t="str">
            <v xml:space="preserve">I-ENG </v>
          </cell>
        </row>
        <row r="1899">
          <cell r="A1899" t="str">
            <v>CTR_822</v>
          </cell>
          <cell r="B1899" t="str">
            <v>Ebebda-MTN</v>
          </cell>
          <cell r="C1899" t="str">
            <v>CTR</v>
          </cell>
          <cell r="D1899" t="str">
            <v xml:space="preserve">I-ENG </v>
          </cell>
        </row>
        <row r="1900">
          <cell r="A1900" t="str">
            <v>CTR_869</v>
          </cell>
          <cell r="B1900" t="str">
            <v>MONATELE-IHS</v>
          </cell>
          <cell r="C1900" t="str">
            <v>CTR</v>
          </cell>
          <cell r="D1900" t="str">
            <v xml:space="preserve">I-ENG </v>
          </cell>
        </row>
        <row r="1901">
          <cell r="A1901" t="str">
            <v>LIT_349</v>
          </cell>
          <cell r="B1901" t="str">
            <v>Nyanon</v>
          </cell>
          <cell r="C1901" t="str">
            <v>LIT</v>
          </cell>
          <cell r="D1901" t="str">
            <v xml:space="preserve">I-ENG </v>
          </cell>
        </row>
        <row r="1902">
          <cell r="A1902" t="str">
            <v>OST_025</v>
          </cell>
          <cell r="B1902" t="str">
            <v>Ndokohok-IHS</v>
          </cell>
          <cell r="C1902" t="str">
            <v>OST</v>
          </cell>
          <cell r="D1902" t="str">
            <v xml:space="preserve">I-ENG </v>
          </cell>
        </row>
        <row r="1903">
          <cell r="A1903" t="str">
            <v>LIT_501</v>
          </cell>
          <cell r="B1903" t="str">
            <v>Sohock-IHS</v>
          </cell>
          <cell r="C1903" t="str">
            <v>LIT</v>
          </cell>
          <cell r="D1903" t="str">
            <v xml:space="preserve">I-ENG </v>
          </cell>
        </row>
        <row r="1904">
          <cell r="A1904" t="str">
            <v>OST_001</v>
          </cell>
          <cell r="B1904" t="str">
            <v>Bfsam-Djemoun</v>
          </cell>
          <cell r="C1904" t="str">
            <v>OST</v>
          </cell>
          <cell r="D1904" t="str">
            <v xml:space="preserve">I-ENG </v>
          </cell>
        </row>
        <row r="1905">
          <cell r="A1905" t="str">
            <v>OST_003</v>
          </cell>
          <cell r="B1905" t="str">
            <v>Bfsam-Banengo</v>
          </cell>
          <cell r="C1905" t="str">
            <v>OST</v>
          </cell>
          <cell r="D1905" t="str">
            <v xml:space="preserve">I-ENG </v>
          </cell>
        </row>
        <row r="1906">
          <cell r="A1906" t="str">
            <v>OST_004</v>
          </cell>
          <cell r="B1906" t="str">
            <v>Foumban</v>
          </cell>
          <cell r="C1906" t="str">
            <v>OST</v>
          </cell>
          <cell r="D1906" t="str">
            <v xml:space="preserve">I-ENG </v>
          </cell>
        </row>
        <row r="1907">
          <cell r="A1907" t="str">
            <v>OST_005</v>
          </cell>
          <cell r="B1907" t="str">
            <v>Foumbot</v>
          </cell>
          <cell r="C1907" t="str">
            <v>OST</v>
          </cell>
          <cell r="D1907" t="str">
            <v xml:space="preserve">I-ENG </v>
          </cell>
        </row>
        <row r="1908">
          <cell r="A1908" t="str">
            <v>OST_006</v>
          </cell>
          <cell r="B1908" t="str">
            <v>Nkoundja</v>
          </cell>
          <cell r="C1908" t="str">
            <v>OST</v>
          </cell>
          <cell r="D1908" t="str">
            <v xml:space="preserve">I-ENG </v>
          </cell>
        </row>
        <row r="1909">
          <cell r="A1909" t="str">
            <v>OST_010</v>
          </cell>
          <cell r="B1909" t="str">
            <v>Bantoum</v>
          </cell>
          <cell r="C1909" t="str">
            <v>OST</v>
          </cell>
          <cell r="D1909" t="str">
            <v xml:space="preserve">I-ENG </v>
          </cell>
        </row>
        <row r="1910">
          <cell r="A1910" t="str">
            <v>OST_011</v>
          </cell>
          <cell r="B1910" t="str">
            <v>Dschang</v>
          </cell>
          <cell r="C1910" t="str">
            <v>OST</v>
          </cell>
          <cell r="D1910" t="str">
            <v xml:space="preserve">I-ENG </v>
          </cell>
        </row>
        <row r="1911">
          <cell r="A1911" t="str">
            <v>OST_014</v>
          </cell>
          <cell r="B1911" t="str">
            <v>mbouda</v>
          </cell>
          <cell r="C1911" t="str">
            <v>OST</v>
          </cell>
          <cell r="D1911" t="str">
            <v xml:space="preserve">I-ENG </v>
          </cell>
        </row>
        <row r="1912">
          <cell r="A1912" t="str">
            <v>OST_018</v>
          </cell>
          <cell r="B1912" t="str">
            <v>Bangangte-Ville</v>
          </cell>
          <cell r="C1912" t="str">
            <v>OST</v>
          </cell>
          <cell r="D1912" t="str">
            <v xml:space="preserve">I-ENG </v>
          </cell>
        </row>
        <row r="1913">
          <cell r="A1913" t="str">
            <v>OST_020</v>
          </cell>
          <cell r="B1913" t="str">
            <v>Dschang-II</v>
          </cell>
          <cell r="C1913" t="str">
            <v>OST</v>
          </cell>
          <cell r="D1913" t="str">
            <v xml:space="preserve">I-ENG </v>
          </cell>
        </row>
        <row r="1914">
          <cell r="A1914" t="str">
            <v>OST_056</v>
          </cell>
          <cell r="B1914" t="str">
            <v>Bamendou</v>
          </cell>
          <cell r="C1914" t="str">
            <v>OST</v>
          </cell>
          <cell r="D1914" t="str">
            <v xml:space="preserve">I-ENG </v>
          </cell>
        </row>
        <row r="1915">
          <cell r="A1915" t="str">
            <v>OST_069</v>
          </cell>
          <cell r="B1915" t="str">
            <v>Bafou-Zinkop</v>
          </cell>
          <cell r="C1915" t="str">
            <v>OST</v>
          </cell>
          <cell r="D1915" t="str">
            <v xml:space="preserve">I-ENG </v>
          </cell>
        </row>
        <row r="1916">
          <cell r="A1916" t="str">
            <v>OST_071</v>
          </cell>
          <cell r="B1916" t="str">
            <v>Mbouda-Lepi</v>
          </cell>
          <cell r="C1916" t="str">
            <v>OST</v>
          </cell>
          <cell r="D1916" t="str">
            <v xml:space="preserve">I-ENG </v>
          </cell>
        </row>
        <row r="1917">
          <cell r="A1917" t="str">
            <v>OST_073</v>
          </cell>
          <cell r="B1917" t="str">
            <v>Nkong-Zem</v>
          </cell>
          <cell r="C1917" t="str">
            <v>OST</v>
          </cell>
          <cell r="D1917" t="str">
            <v xml:space="preserve">I-ENG </v>
          </cell>
        </row>
        <row r="1918">
          <cell r="A1918" t="str">
            <v>OST_083</v>
          </cell>
          <cell r="B1918" t="str">
            <v>Foumban-Ndjisse</v>
          </cell>
          <cell r="C1918" t="str">
            <v>OST</v>
          </cell>
          <cell r="D1918" t="str">
            <v xml:space="preserve">I-ENG </v>
          </cell>
        </row>
        <row r="1919">
          <cell r="A1919" t="str">
            <v>OST_093</v>
          </cell>
          <cell r="B1919" t="str">
            <v>Mayo-Djinga-FH</v>
          </cell>
          <cell r="C1919" t="str">
            <v>OST</v>
          </cell>
          <cell r="D1919" t="str">
            <v xml:space="preserve">I-ENG </v>
          </cell>
        </row>
        <row r="1920">
          <cell r="A1920" t="str">
            <v>OST_100</v>
          </cell>
          <cell r="B1920" t="str">
            <v>Bfsam-Q-Haoussa</v>
          </cell>
          <cell r="C1920" t="str">
            <v>OST</v>
          </cell>
          <cell r="D1920" t="str">
            <v xml:space="preserve">I-ENG </v>
          </cell>
        </row>
        <row r="1921">
          <cell r="A1921" t="str">
            <v>OST_112</v>
          </cell>
          <cell r="B1921" t="str">
            <v>Dschang-Q-Admin</v>
          </cell>
          <cell r="C1921" t="str">
            <v>OST</v>
          </cell>
          <cell r="D1921" t="str">
            <v xml:space="preserve">I-ENG </v>
          </cell>
        </row>
        <row r="1922">
          <cell r="A1922" t="str">
            <v>OST_119</v>
          </cell>
          <cell r="B1922" t="str">
            <v>Bfsam-Ndiandam</v>
          </cell>
          <cell r="C1922" t="str">
            <v>OST</v>
          </cell>
          <cell r="D1922" t="str">
            <v xml:space="preserve">I-ENG </v>
          </cell>
        </row>
        <row r="1923">
          <cell r="A1923" t="str">
            <v>OST_136</v>
          </cell>
          <cell r="B1923" t="str">
            <v>Foumbot-Mangoum</v>
          </cell>
          <cell r="C1923" t="str">
            <v>OST</v>
          </cell>
          <cell r="D1923" t="str">
            <v xml:space="preserve">I-ENG </v>
          </cell>
        </row>
        <row r="1924">
          <cell r="A1924" t="str">
            <v>OST_137</v>
          </cell>
          <cell r="B1924" t="str">
            <v>Foumban-Njiyouom</v>
          </cell>
          <cell r="C1924" t="str">
            <v>OST</v>
          </cell>
          <cell r="D1924" t="str">
            <v xml:space="preserve">I-ENG </v>
          </cell>
        </row>
        <row r="1925">
          <cell r="A1925" t="str">
            <v>OST_155</v>
          </cell>
          <cell r="B1925" t="str">
            <v>Bamenkombo</v>
          </cell>
          <cell r="C1925" t="str">
            <v>OST</v>
          </cell>
          <cell r="D1925" t="str">
            <v xml:space="preserve">I-ENG </v>
          </cell>
        </row>
        <row r="1926">
          <cell r="A1926" t="str">
            <v>OST_175</v>
          </cell>
          <cell r="B1926" t="str">
            <v>Foumban-Ndjidare-II</v>
          </cell>
          <cell r="C1926" t="str">
            <v>OST</v>
          </cell>
          <cell r="D1926" t="str">
            <v xml:space="preserve">I-ENG </v>
          </cell>
        </row>
        <row r="1927">
          <cell r="A1927" t="str">
            <v>OST_177</v>
          </cell>
          <cell r="B1927" t="str">
            <v>Foumban-Njibam</v>
          </cell>
          <cell r="C1927" t="str">
            <v>OST</v>
          </cell>
          <cell r="D1927" t="str">
            <v xml:space="preserve">I-ENG </v>
          </cell>
        </row>
        <row r="1928">
          <cell r="A1928" t="str">
            <v>OST_195</v>
          </cell>
          <cell r="B1928" t="str">
            <v>Fochieya-IHS</v>
          </cell>
          <cell r="C1928" t="str">
            <v>OST</v>
          </cell>
          <cell r="D1928" t="str">
            <v xml:space="preserve">I-ENG </v>
          </cell>
        </row>
        <row r="1929">
          <cell r="A1929" t="str">
            <v>OST_200</v>
          </cell>
          <cell r="B1929" t="str">
            <v>Mantoum-Village</v>
          </cell>
          <cell r="C1929" t="str">
            <v>OST</v>
          </cell>
          <cell r="D1929" t="str">
            <v xml:space="preserve">I-ENG </v>
          </cell>
        </row>
        <row r="1930">
          <cell r="A1930" t="str">
            <v>OST_201</v>
          </cell>
          <cell r="B1930" t="str">
            <v>Mantoum-Ville</v>
          </cell>
          <cell r="C1930" t="str">
            <v>OST</v>
          </cell>
          <cell r="D1930" t="str">
            <v xml:space="preserve">I-ENG </v>
          </cell>
        </row>
        <row r="1931">
          <cell r="A1931" t="str">
            <v>OST_215</v>
          </cell>
          <cell r="B1931" t="str">
            <v>Bati</v>
          </cell>
          <cell r="C1931" t="str">
            <v>OST</v>
          </cell>
          <cell r="D1931" t="str">
            <v xml:space="preserve">I-ENG </v>
          </cell>
        </row>
        <row r="1932">
          <cell r="A1932" t="str">
            <v>OST_219</v>
          </cell>
          <cell r="B1932" t="str">
            <v>Ngbetnsouen</v>
          </cell>
          <cell r="C1932" t="str">
            <v>OST</v>
          </cell>
          <cell r="D1932" t="str">
            <v xml:space="preserve">I-ENG </v>
          </cell>
        </row>
        <row r="1933">
          <cell r="A1933" t="str">
            <v>OST_220</v>
          </cell>
          <cell r="B1933" t="str">
            <v>Ngambouo</v>
          </cell>
          <cell r="C1933" t="str">
            <v>OST</v>
          </cell>
          <cell r="D1933" t="str">
            <v xml:space="preserve">I-ENG </v>
          </cell>
        </row>
        <row r="1934">
          <cell r="A1934" t="str">
            <v>OST_223</v>
          </cell>
          <cell r="B1934" t="str">
            <v>Bfsam-Marche-New</v>
          </cell>
          <cell r="C1934" t="str">
            <v>OST</v>
          </cell>
          <cell r="D1934" t="str">
            <v xml:space="preserve">I-ENG </v>
          </cell>
        </row>
        <row r="1935">
          <cell r="A1935" t="str">
            <v>OST_228</v>
          </cell>
          <cell r="B1935" t="str">
            <v>Foumbot-Ndoumbem</v>
          </cell>
          <cell r="C1935" t="str">
            <v>OST</v>
          </cell>
          <cell r="D1935" t="str">
            <v xml:space="preserve">I-ENG </v>
          </cell>
        </row>
        <row r="1936">
          <cell r="A1936" t="str">
            <v>OST_229</v>
          </cell>
          <cell r="B1936" t="str">
            <v>Foumban-Ndjisse-III</v>
          </cell>
          <cell r="C1936" t="str">
            <v>OST</v>
          </cell>
          <cell r="D1936" t="str">
            <v xml:space="preserve">I-ENG </v>
          </cell>
        </row>
        <row r="1937">
          <cell r="A1937" t="str">
            <v>OST_233</v>
          </cell>
          <cell r="B1937" t="str">
            <v>Foumban-Kounga-II</v>
          </cell>
          <cell r="C1937" t="str">
            <v>OST</v>
          </cell>
          <cell r="D1937" t="str">
            <v xml:space="preserve">I-ENG </v>
          </cell>
        </row>
        <row r="1938">
          <cell r="A1938" t="str">
            <v>OST_235</v>
          </cell>
          <cell r="B1938" t="str">
            <v>Foumban-Camtel-II</v>
          </cell>
          <cell r="C1938" t="str">
            <v>OST</v>
          </cell>
          <cell r="D1938" t="str">
            <v xml:space="preserve">I-ENG </v>
          </cell>
        </row>
        <row r="1939">
          <cell r="A1939" t="str">
            <v>OST_243</v>
          </cell>
          <cell r="B1939" t="str">
            <v>Batcham-II</v>
          </cell>
          <cell r="C1939" t="str">
            <v>OST</v>
          </cell>
          <cell r="D1939" t="str">
            <v xml:space="preserve">I-ENG </v>
          </cell>
        </row>
        <row r="1940">
          <cell r="A1940" t="str">
            <v>OST_251</v>
          </cell>
          <cell r="B1940" t="str">
            <v>Foreke</v>
          </cell>
          <cell r="C1940" t="str">
            <v>OST</v>
          </cell>
          <cell r="D1940" t="str">
            <v xml:space="preserve">I-ENG </v>
          </cell>
        </row>
        <row r="1941">
          <cell r="A1941" t="str">
            <v>OST_262</v>
          </cell>
          <cell r="B1941" t="str">
            <v>Zemda</v>
          </cell>
          <cell r="C1941" t="str">
            <v>OST</v>
          </cell>
          <cell r="D1941" t="str">
            <v xml:space="preserve">I-ENG </v>
          </cell>
        </row>
        <row r="1942">
          <cell r="A1942" t="str">
            <v>OST_272</v>
          </cell>
          <cell r="B1942" t="str">
            <v>Mamegnam</v>
          </cell>
          <cell r="C1942" t="str">
            <v>OST</v>
          </cell>
          <cell r="D1942" t="str">
            <v xml:space="preserve">I-ENG </v>
          </cell>
        </row>
        <row r="1943">
          <cell r="A1943" t="str">
            <v>OST_273</v>
          </cell>
          <cell r="B1943" t="str">
            <v>Bato</v>
          </cell>
          <cell r="C1943" t="str">
            <v>OST</v>
          </cell>
          <cell r="D1943" t="str">
            <v xml:space="preserve">I-ENG </v>
          </cell>
        </row>
        <row r="1944">
          <cell r="A1944" t="str">
            <v>OST_275</v>
          </cell>
          <cell r="B1944" t="str">
            <v>Malanden</v>
          </cell>
          <cell r="C1944" t="str">
            <v>OST</v>
          </cell>
          <cell r="D1944" t="str">
            <v xml:space="preserve">I-ENG </v>
          </cell>
        </row>
        <row r="1945">
          <cell r="A1945" t="str">
            <v>OST_283</v>
          </cell>
          <cell r="B1945" t="str">
            <v>Baligam</v>
          </cell>
          <cell r="C1945" t="str">
            <v>OST</v>
          </cell>
          <cell r="D1945" t="str">
            <v xml:space="preserve">I-ENG </v>
          </cell>
        </row>
        <row r="1946">
          <cell r="A1946" t="str">
            <v>OST_291</v>
          </cell>
          <cell r="B1946" t="str">
            <v>Bfsam-Tayim-II</v>
          </cell>
          <cell r="C1946" t="str">
            <v>OST</v>
          </cell>
          <cell r="D1946" t="str">
            <v xml:space="preserve">I-ENG </v>
          </cell>
        </row>
        <row r="1947">
          <cell r="A1947" t="str">
            <v>OST_293</v>
          </cell>
          <cell r="B1947" t="str">
            <v>Mansouen</v>
          </cell>
          <cell r="C1947" t="str">
            <v>OST</v>
          </cell>
          <cell r="D1947" t="str">
            <v xml:space="preserve">I-ENG </v>
          </cell>
        </row>
        <row r="1948">
          <cell r="A1948" t="str">
            <v>OST_297</v>
          </cell>
          <cell r="B1948" t="str">
            <v>Mbouda-Marche-Ignames</v>
          </cell>
          <cell r="C1948" t="str">
            <v>OST</v>
          </cell>
          <cell r="D1948" t="str">
            <v xml:space="preserve">I-ENG </v>
          </cell>
        </row>
        <row r="1949">
          <cell r="A1949" t="str">
            <v>OST_299</v>
          </cell>
          <cell r="B1949" t="str">
            <v>Bansoa-II</v>
          </cell>
          <cell r="C1949" t="str">
            <v>OST</v>
          </cell>
          <cell r="D1949" t="str">
            <v xml:space="preserve">I-ENG </v>
          </cell>
        </row>
        <row r="1950">
          <cell r="A1950" t="str">
            <v>OST_307</v>
          </cell>
          <cell r="B1950" t="str">
            <v>CHR-Bafoussam</v>
          </cell>
          <cell r="C1950" t="str">
            <v>OST</v>
          </cell>
          <cell r="D1950" t="str">
            <v xml:space="preserve">I-ENG </v>
          </cell>
        </row>
        <row r="1951">
          <cell r="A1951" t="str">
            <v>SUO_133</v>
          </cell>
          <cell r="B1951" t="str">
            <v>Alou-IHS</v>
          </cell>
          <cell r="C1951" t="str">
            <v>SUO</v>
          </cell>
          <cell r="D1951" t="str">
            <v xml:space="preserve">I-ENG </v>
          </cell>
        </row>
        <row r="1952">
          <cell r="A1952" t="str">
            <v>NRO_087</v>
          </cell>
          <cell r="B1952" t="str">
            <v>Mendji-IHS</v>
          </cell>
          <cell r="C1952" t="str">
            <v>NRO</v>
          </cell>
          <cell r="D1952" t="str">
            <v xml:space="preserve">I-ENG </v>
          </cell>
        </row>
        <row r="1953">
          <cell r="A1953" t="str">
            <v>OST_007</v>
          </cell>
          <cell r="B1953" t="str">
            <v>Bana</v>
          </cell>
          <cell r="C1953" t="str">
            <v>OST</v>
          </cell>
          <cell r="D1953" t="str">
            <v xml:space="preserve">I-ENG </v>
          </cell>
        </row>
        <row r="1954">
          <cell r="A1954" t="str">
            <v>OST_008</v>
          </cell>
          <cell r="B1954" t="str">
            <v>Balessing</v>
          </cell>
          <cell r="C1954" t="str">
            <v>OST</v>
          </cell>
          <cell r="D1954" t="str">
            <v xml:space="preserve">I-ENG </v>
          </cell>
        </row>
        <row r="1955">
          <cell r="A1955" t="str">
            <v>OST_009</v>
          </cell>
          <cell r="B1955" t="str">
            <v>Bandjoun</v>
          </cell>
          <cell r="C1955" t="str">
            <v>OST</v>
          </cell>
          <cell r="D1955" t="str">
            <v xml:space="preserve">I-ENG </v>
          </cell>
        </row>
        <row r="1956">
          <cell r="A1956" t="str">
            <v>OST_012</v>
          </cell>
          <cell r="B1956" t="str">
            <v>Bangangte</v>
          </cell>
          <cell r="C1956" t="str">
            <v>OST</v>
          </cell>
          <cell r="D1956" t="str">
            <v xml:space="preserve">I-ENG </v>
          </cell>
        </row>
        <row r="1957">
          <cell r="A1957" t="str">
            <v>OST_016</v>
          </cell>
          <cell r="B1957" t="str">
            <v>Bfsam-Djeleng</v>
          </cell>
          <cell r="C1957" t="str">
            <v>OST</v>
          </cell>
          <cell r="D1957" t="str">
            <v xml:space="preserve">I-ENG </v>
          </cell>
        </row>
        <row r="1958">
          <cell r="A1958" t="str">
            <v>OST_019</v>
          </cell>
          <cell r="B1958" t="str">
            <v>Bfsam-Tamdja</v>
          </cell>
          <cell r="C1958" t="str">
            <v>OST</v>
          </cell>
          <cell r="D1958" t="str">
            <v xml:space="preserve">I-ENG </v>
          </cell>
        </row>
        <row r="1959">
          <cell r="A1959" t="str">
            <v>OST_029</v>
          </cell>
          <cell r="B1959" t="str">
            <v>Meguia</v>
          </cell>
          <cell r="C1959" t="str">
            <v>OST</v>
          </cell>
          <cell r="D1959" t="str">
            <v xml:space="preserve">I-ENG </v>
          </cell>
        </row>
        <row r="1960">
          <cell r="A1960" t="str">
            <v>OST_033</v>
          </cell>
          <cell r="B1960" t="str">
            <v>Batchingou</v>
          </cell>
          <cell r="C1960" t="str">
            <v>OST</v>
          </cell>
          <cell r="D1960" t="str">
            <v xml:space="preserve">I-ENG </v>
          </cell>
        </row>
        <row r="1961">
          <cell r="A1961" t="str">
            <v>OST_034</v>
          </cell>
          <cell r="B1961" t="str">
            <v>Batie</v>
          </cell>
          <cell r="C1961" t="str">
            <v>OST</v>
          </cell>
          <cell r="D1961" t="str">
            <v xml:space="preserve">I-ENG </v>
          </cell>
        </row>
        <row r="1962">
          <cell r="A1962" t="str">
            <v>OST_049</v>
          </cell>
          <cell r="B1962" t="str">
            <v>Balengou</v>
          </cell>
          <cell r="C1962" t="str">
            <v>OST</v>
          </cell>
          <cell r="D1962" t="str">
            <v xml:space="preserve">I-ENG </v>
          </cell>
        </row>
        <row r="1963">
          <cell r="A1963" t="str">
            <v>OST_059</v>
          </cell>
          <cell r="B1963" t="str">
            <v>Fokoue</v>
          </cell>
          <cell r="C1963" t="str">
            <v>OST</v>
          </cell>
          <cell r="D1963" t="str">
            <v xml:space="preserve">I-ENG </v>
          </cell>
        </row>
        <row r="1964">
          <cell r="A1964" t="str">
            <v>OST_078</v>
          </cell>
          <cell r="B1964" t="str">
            <v>Bfsam-Centre</v>
          </cell>
          <cell r="C1964" t="str">
            <v>OST</v>
          </cell>
          <cell r="D1964" t="str">
            <v xml:space="preserve">I-ENG </v>
          </cell>
        </row>
        <row r="1965">
          <cell r="A1965" t="str">
            <v>OST_084</v>
          </cell>
          <cell r="B1965" t="str">
            <v>Dschang-St-Augustin</v>
          </cell>
          <cell r="C1965" t="str">
            <v>OST</v>
          </cell>
          <cell r="D1965" t="str">
            <v xml:space="preserve">I-ENG </v>
          </cell>
        </row>
        <row r="1966">
          <cell r="A1966" t="str">
            <v>OST_092</v>
          </cell>
          <cell r="B1966" t="str">
            <v>Taram-FH</v>
          </cell>
          <cell r="C1966" t="str">
            <v>OST</v>
          </cell>
          <cell r="D1966" t="str">
            <v xml:space="preserve">I-ENG </v>
          </cell>
        </row>
        <row r="1967">
          <cell r="A1967" t="str">
            <v>OST_099</v>
          </cell>
          <cell r="B1967" t="str">
            <v>Bafang-Chefferie</v>
          </cell>
          <cell r="C1967" t="str">
            <v>OST</v>
          </cell>
          <cell r="D1967" t="str">
            <v xml:space="preserve">I-ENG </v>
          </cell>
        </row>
        <row r="1968">
          <cell r="A1968" t="str">
            <v>OST_109</v>
          </cell>
          <cell r="B1968" t="str">
            <v>Bfsam-Akwa</v>
          </cell>
          <cell r="C1968" t="str">
            <v>OST</v>
          </cell>
          <cell r="D1968" t="str">
            <v xml:space="preserve">I-ENG </v>
          </cell>
        </row>
        <row r="1969">
          <cell r="A1969" t="str">
            <v>OST_110</v>
          </cell>
          <cell r="B1969" t="str">
            <v>Bfsam-Stade</v>
          </cell>
          <cell r="C1969" t="str">
            <v>OST</v>
          </cell>
          <cell r="D1969" t="str">
            <v xml:space="preserve">I-ENG </v>
          </cell>
        </row>
        <row r="1970">
          <cell r="A1970" t="str">
            <v>OST_123</v>
          </cell>
          <cell r="B1970" t="str">
            <v>Dschang-Foto-II</v>
          </cell>
          <cell r="C1970" t="str">
            <v>OST</v>
          </cell>
          <cell r="D1970" t="str">
            <v xml:space="preserve">I-ENG </v>
          </cell>
        </row>
        <row r="1971">
          <cell r="A1971" t="str">
            <v>OST_145</v>
          </cell>
          <cell r="B1971" t="str">
            <v>Bangou-IHS</v>
          </cell>
          <cell r="C1971" t="str">
            <v>OST</v>
          </cell>
          <cell r="D1971" t="str">
            <v xml:space="preserve">I-ENG </v>
          </cell>
        </row>
        <row r="1972">
          <cell r="A1972" t="str">
            <v>OST_158</v>
          </cell>
          <cell r="B1972" t="str">
            <v>Fondjanti</v>
          </cell>
          <cell r="C1972" t="str">
            <v>OST</v>
          </cell>
          <cell r="D1972" t="str">
            <v xml:space="preserve">I-ENG </v>
          </cell>
        </row>
        <row r="1973">
          <cell r="A1973" t="str">
            <v>OST_170</v>
          </cell>
          <cell r="B1973" t="str">
            <v>Bfsam-Centre-II</v>
          </cell>
          <cell r="C1973" t="str">
            <v>OST</v>
          </cell>
          <cell r="D1973" t="str">
            <v xml:space="preserve">I-ENG </v>
          </cell>
        </row>
        <row r="1974">
          <cell r="A1974" t="str">
            <v>OST_182</v>
          </cell>
          <cell r="B1974" t="str">
            <v>Bakou</v>
          </cell>
          <cell r="C1974" t="str">
            <v>OST</v>
          </cell>
          <cell r="D1974" t="str">
            <v xml:space="preserve">I-ENG </v>
          </cell>
        </row>
        <row r="1975">
          <cell r="A1975" t="str">
            <v>OST_189</v>
          </cell>
          <cell r="B1975" t="str">
            <v>Mfessang</v>
          </cell>
          <cell r="C1975" t="str">
            <v>OST</v>
          </cell>
          <cell r="D1975" t="str">
            <v xml:space="preserve">I-ENG </v>
          </cell>
        </row>
        <row r="1976">
          <cell r="A1976" t="str">
            <v>OST_207</v>
          </cell>
          <cell r="B1976" t="str">
            <v>Ndoumkain</v>
          </cell>
          <cell r="C1976" t="str">
            <v>OST</v>
          </cell>
          <cell r="D1976" t="str">
            <v xml:space="preserve">I-ENG </v>
          </cell>
        </row>
        <row r="1977">
          <cell r="A1977" t="str">
            <v>OST_227</v>
          </cell>
          <cell r="B1977" t="str">
            <v>Foumbot-Centre-Ville-II</v>
          </cell>
          <cell r="C1977" t="str">
            <v>OST</v>
          </cell>
          <cell r="D1977" t="str">
            <v xml:space="preserve">I-ENG </v>
          </cell>
        </row>
        <row r="1978">
          <cell r="A1978" t="str">
            <v>OST_231</v>
          </cell>
          <cell r="B1978" t="str">
            <v>Bfsam-Tougang-II</v>
          </cell>
          <cell r="C1978" t="str">
            <v>OST</v>
          </cell>
          <cell r="D1978" t="str">
            <v xml:space="preserve">I-ENG </v>
          </cell>
        </row>
        <row r="1979">
          <cell r="A1979" t="str">
            <v>OST_232</v>
          </cell>
          <cell r="B1979" t="str">
            <v>Bfsam-Tyo-II</v>
          </cell>
          <cell r="C1979" t="str">
            <v>OST</v>
          </cell>
          <cell r="D1979" t="str">
            <v xml:space="preserve">I-ENG </v>
          </cell>
        </row>
        <row r="1980">
          <cell r="A1980" t="str">
            <v>OST_238</v>
          </cell>
          <cell r="B1980" t="str">
            <v>Bfsam-Megom</v>
          </cell>
          <cell r="C1980" t="str">
            <v>OST</v>
          </cell>
          <cell r="D1980" t="str">
            <v xml:space="preserve">I-ENG </v>
          </cell>
        </row>
        <row r="1981">
          <cell r="A1981" t="str">
            <v>OST_239</v>
          </cell>
          <cell r="B1981" t="str">
            <v>Bandjoun-IUT</v>
          </cell>
          <cell r="C1981" t="str">
            <v>OST</v>
          </cell>
          <cell r="D1981" t="str">
            <v xml:space="preserve">I-ENG </v>
          </cell>
        </row>
        <row r="1982">
          <cell r="A1982" t="str">
            <v>OST_240</v>
          </cell>
          <cell r="B1982" t="str">
            <v>Bfsam-Ndiandam-II</v>
          </cell>
          <cell r="C1982" t="str">
            <v>OST</v>
          </cell>
          <cell r="D1982" t="str">
            <v xml:space="preserve">I-ENG </v>
          </cell>
        </row>
        <row r="1983">
          <cell r="A1983" t="str">
            <v>OST_245</v>
          </cell>
          <cell r="B1983" t="str">
            <v>Mankouotmbou</v>
          </cell>
          <cell r="C1983" t="str">
            <v>OST</v>
          </cell>
          <cell r="D1983" t="str">
            <v xml:space="preserve">I-ENG </v>
          </cell>
        </row>
        <row r="1984">
          <cell r="A1984" t="str">
            <v>OST_253</v>
          </cell>
          <cell r="B1984" t="str">
            <v>Bafou-Dzinmezo</v>
          </cell>
          <cell r="C1984" t="str">
            <v>OST</v>
          </cell>
          <cell r="D1984" t="str">
            <v xml:space="preserve">I-ENG </v>
          </cell>
        </row>
        <row r="1985">
          <cell r="A1985" t="str">
            <v>OST_255</v>
          </cell>
          <cell r="B1985" t="str">
            <v>Bafou-Balepe-IHS</v>
          </cell>
          <cell r="C1985" t="str">
            <v>OST</v>
          </cell>
          <cell r="D1985" t="str">
            <v xml:space="preserve">I-ENG </v>
          </cell>
        </row>
        <row r="1986">
          <cell r="A1986" t="str">
            <v>OST_257</v>
          </cell>
          <cell r="B1986" t="str">
            <v>Babette</v>
          </cell>
          <cell r="C1986" t="str">
            <v>OST</v>
          </cell>
          <cell r="D1986" t="str">
            <v xml:space="preserve">I-ENG </v>
          </cell>
        </row>
        <row r="1987">
          <cell r="A1987" t="str">
            <v>OST_258</v>
          </cell>
          <cell r="B1987" t="str">
            <v>Badenkop</v>
          </cell>
          <cell r="C1987" t="str">
            <v>OST</v>
          </cell>
          <cell r="D1987" t="str">
            <v xml:space="preserve">I-ENG </v>
          </cell>
        </row>
        <row r="1988">
          <cell r="A1988" t="str">
            <v>OST_259</v>
          </cell>
          <cell r="B1988" t="str">
            <v>Bapa</v>
          </cell>
          <cell r="C1988" t="str">
            <v>OST</v>
          </cell>
          <cell r="D1988" t="str">
            <v xml:space="preserve">I-ENG </v>
          </cell>
        </row>
        <row r="1989">
          <cell r="A1989" t="str">
            <v>OST_260</v>
          </cell>
          <cell r="B1989" t="str">
            <v>Bamena</v>
          </cell>
          <cell r="C1989" t="str">
            <v>OST</v>
          </cell>
          <cell r="D1989" t="str">
            <v xml:space="preserve">I-ENG </v>
          </cell>
        </row>
        <row r="1990">
          <cell r="A1990" t="str">
            <v>OST_261</v>
          </cell>
          <cell r="B1990" t="str">
            <v>Lemla</v>
          </cell>
          <cell r="C1990" t="str">
            <v>OST</v>
          </cell>
          <cell r="D1990" t="str">
            <v xml:space="preserve">I-ENG </v>
          </cell>
        </row>
        <row r="1991">
          <cell r="A1991" t="str">
            <v>OST_268</v>
          </cell>
          <cell r="B1991" t="str">
            <v>Bfsam-Toungan-Lycee</v>
          </cell>
          <cell r="C1991" t="str">
            <v>OST</v>
          </cell>
          <cell r="D1991" t="str">
            <v xml:space="preserve">I-ENG </v>
          </cell>
        </row>
        <row r="1992">
          <cell r="A1992" t="str">
            <v>OST_270</v>
          </cell>
          <cell r="B1992" t="str">
            <v>Bfsam-Ndiandam-School</v>
          </cell>
          <cell r="C1992" t="str">
            <v>OST</v>
          </cell>
          <cell r="D1992" t="str">
            <v xml:space="preserve">I-ENG </v>
          </cell>
        </row>
        <row r="1993">
          <cell r="A1993" t="str">
            <v>OST_274</v>
          </cell>
          <cell r="B1993" t="str">
            <v>Bamoungoum</v>
          </cell>
          <cell r="C1993" t="str">
            <v>OST</v>
          </cell>
          <cell r="D1993" t="str">
            <v xml:space="preserve">I-ENG </v>
          </cell>
        </row>
        <row r="1994">
          <cell r="A1994" t="str">
            <v>OST_276</v>
          </cell>
          <cell r="B1994" t="str">
            <v>Bandjoun-Marche-Hiala</v>
          </cell>
          <cell r="C1994" t="str">
            <v>OST</v>
          </cell>
          <cell r="D1994" t="str">
            <v xml:space="preserve">I-ENG </v>
          </cell>
        </row>
        <row r="1995">
          <cell r="A1995" t="str">
            <v>OST_277</v>
          </cell>
          <cell r="B1995" t="str">
            <v>Batoufam-Chefferie</v>
          </cell>
          <cell r="C1995" t="str">
            <v>OST</v>
          </cell>
          <cell r="D1995" t="str">
            <v xml:space="preserve">I-ENG </v>
          </cell>
        </row>
        <row r="1996">
          <cell r="A1996" t="str">
            <v>OST_282</v>
          </cell>
          <cell r="B1996" t="str">
            <v>BAHAM-NGOUGOUM</v>
          </cell>
          <cell r="C1996" t="str">
            <v>OST</v>
          </cell>
          <cell r="D1996" t="str">
            <v xml:space="preserve">I-ENG </v>
          </cell>
        </row>
        <row r="1997">
          <cell r="A1997" t="str">
            <v>OST_286</v>
          </cell>
          <cell r="B1997" t="str">
            <v>BANKA</v>
          </cell>
          <cell r="C1997" t="str">
            <v>OST</v>
          </cell>
          <cell r="D1997" t="str">
            <v xml:space="preserve">I-ENG </v>
          </cell>
        </row>
        <row r="1998">
          <cell r="A1998" t="str">
            <v>OST_290</v>
          </cell>
          <cell r="B1998" t="str">
            <v>Batsaa</v>
          </cell>
          <cell r="C1998" t="str">
            <v>OST</v>
          </cell>
          <cell r="D1998" t="str">
            <v xml:space="preserve">I-ENG </v>
          </cell>
        </row>
        <row r="1999">
          <cell r="A1999" t="str">
            <v>OST_294</v>
          </cell>
          <cell r="B1999" t="str">
            <v>Bangoua-nouveau-Camtel</v>
          </cell>
          <cell r="C1999" t="str">
            <v>OST</v>
          </cell>
          <cell r="D1999" t="str">
            <v xml:space="preserve">I-ENG </v>
          </cell>
        </row>
        <row r="2000">
          <cell r="A2000" t="str">
            <v>OST_296</v>
          </cell>
          <cell r="B2000" t="str">
            <v>Hopital-Mbouo</v>
          </cell>
          <cell r="C2000" t="str">
            <v>OST</v>
          </cell>
          <cell r="D2000" t="str">
            <v xml:space="preserve">I-ENG </v>
          </cell>
        </row>
        <row r="2001">
          <cell r="A2001" t="str">
            <v>OST_298</v>
          </cell>
          <cell r="B2001" t="str">
            <v>Bamendjou-II</v>
          </cell>
          <cell r="C2001" t="str">
            <v>OST</v>
          </cell>
          <cell r="D2001" t="str">
            <v xml:space="preserve">I-ENG </v>
          </cell>
        </row>
        <row r="2002">
          <cell r="A2002" t="str">
            <v>OST_303</v>
          </cell>
          <cell r="B2002" t="str">
            <v>Badoumguia</v>
          </cell>
          <cell r="C2002" t="str">
            <v>OST</v>
          </cell>
          <cell r="D2002" t="str">
            <v xml:space="preserve">I-ENG </v>
          </cell>
        </row>
        <row r="2003">
          <cell r="A2003" t="str">
            <v>OST_306</v>
          </cell>
          <cell r="B2003" t="str">
            <v>BTS-MOBILE-HOTEL-TADJIDOR</v>
          </cell>
          <cell r="C2003" t="str">
            <v>OST</v>
          </cell>
          <cell r="D2003" t="str">
            <v xml:space="preserve">I-ENG </v>
          </cell>
        </row>
        <row r="2004">
          <cell r="A2004" t="str">
            <v>SUO_017</v>
          </cell>
          <cell r="B2004" t="str">
            <v>Fontem</v>
          </cell>
          <cell r="C2004" t="str">
            <v>SUO</v>
          </cell>
          <cell r="D2004" t="str">
            <v xml:space="preserve">I-ENG </v>
          </cell>
        </row>
        <row r="2005">
          <cell r="A2005" t="str">
            <v>ADM_006</v>
          </cell>
          <cell r="B2005" t="str">
            <v>Banyo</v>
          </cell>
          <cell r="C2005" t="str">
            <v>ADM</v>
          </cell>
          <cell r="D2005" t="str">
            <v xml:space="preserve">I-ENG </v>
          </cell>
        </row>
        <row r="2006">
          <cell r="A2006" t="str">
            <v>ADM_012</v>
          </cell>
          <cell r="B2006" t="str">
            <v>Bankim</v>
          </cell>
          <cell r="C2006" t="str">
            <v>ADM</v>
          </cell>
          <cell r="D2006" t="str">
            <v xml:space="preserve">I-ENG </v>
          </cell>
        </row>
        <row r="2007">
          <cell r="A2007" t="str">
            <v>ADM_068</v>
          </cell>
          <cell r="B2007" t="str">
            <v>Mayo-Darle-MTN</v>
          </cell>
          <cell r="C2007" t="str">
            <v>ADM</v>
          </cell>
          <cell r="D2007" t="str">
            <v xml:space="preserve">I-ENG </v>
          </cell>
        </row>
        <row r="2008">
          <cell r="A2008" t="str">
            <v>ADM_144</v>
          </cell>
          <cell r="B2008" t="str">
            <v>Sambo-Labo-IHS</v>
          </cell>
          <cell r="C2008" t="str">
            <v>ADM</v>
          </cell>
          <cell r="D2008" t="str">
            <v xml:space="preserve">I-ENG </v>
          </cell>
        </row>
        <row r="2009">
          <cell r="A2009" t="str">
            <v>ADM_154</v>
          </cell>
          <cell r="B2009" t="str">
            <v>Mbamti-New</v>
          </cell>
          <cell r="C2009" t="str">
            <v>ADM</v>
          </cell>
          <cell r="D2009" t="str">
            <v xml:space="preserve">I-ENG </v>
          </cell>
        </row>
        <row r="2010">
          <cell r="A2010" t="str">
            <v>ADM_163</v>
          </cell>
          <cell r="B2010" t="str">
            <v>Mbamti-Katarko</v>
          </cell>
          <cell r="C2010" t="str">
            <v>ADM</v>
          </cell>
          <cell r="D2010" t="str">
            <v xml:space="preserve">I-ENG </v>
          </cell>
        </row>
        <row r="2011">
          <cell r="A2011" t="str">
            <v>ADM_174</v>
          </cell>
          <cell r="B2011" t="str">
            <v>Banyo-Sabongari-MTN</v>
          </cell>
          <cell r="C2011" t="str">
            <v>ADM</v>
          </cell>
          <cell r="D2011" t="str">
            <v xml:space="preserve">I-ENG </v>
          </cell>
        </row>
        <row r="2012">
          <cell r="A2012" t="str">
            <v>OST_115</v>
          </cell>
          <cell r="B2012" t="str">
            <v>Pangari-MTN</v>
          </cell>
          <cell r="C2012" t="str">
            <v>OST</v>
          </cell>
          <cell r="D2012" t="str">
            <v xml:space="preserve">I-ENG </v>
          </cell>
        </row>
        <row r="2013">
          <cell r="A2013" t="str">
            <v>NRO_094</v>
          </cell>
          <cell r="B2013" t="str">
            <v>SONGKOLONG-IHS</v>
          </cell>
          <cell r="C2013" t="str">
            <v>NRO</v>
          </cell>
          <cell r="D2013" t="str">
            <v xml:space="preserve">I-ENG </v>
          </cell>
        </row>
        <row r="2014">
          <cell r="A2014" t="str">
            <v>OST_013</v>
          </cell>
          <cell r="B2014" t="str">
            <v>Yenon</v>
          </cell>
          <cell r="C2014" t="str">
            <v>OST</v>
          </cell>
          <cell r="D2014" t="str">
            <v xml:space="preserve">I-ENG </v>
          </cell>
        </row>
        <row r="2015">
          <cell r="A2015" t="str">
            <v>OST_023</v>
          </cell>
          <cell r="B2015" t="str">
            <v>Magba</v>
          </cell>
          <cell r="C2015" t="str">
            <v>OST</v>
          </cell>
          <cell r="D2015" t="str">
            <v xml:space="preserve">I-ENG </v>
          </cell>
        </row>
        <row r="2016">
          <cell r="A2016" t="str">
            <v>OST_024</v>
          </cell>
          <cell r="B2016" t="str">
            <v>Bfsam-Bamendzi</v>
          </cell>
          <cell r="C2016" t="str">
            <v>OST</v>
          </cell>
          <cell r="D2016" t="str">
            <v xml:space="preserve">I-ENG </v>
          </cell>
        </row>
        <row r="2017">
          <cell r="A2017" t="str">
            <v>OST_027</v>
          </cell>
          <cell r="B2017" t="str">
            <v>Lamape</v>
          </cell>
          <cell r="C2017" t="str">
            <v>OST</v>
          </cell>
          <cell r="D2017" t="str">
            <v xml:space="preserve">I-ENG </v>
          </cell>
        </row>
        <row r="2018">
          <cell r="A2018" t="str">
            <v>OST_028</v>
          </cell>
          <cell r="B2018" t="str">
            <v>Foumban-Kounga</v>
          </cell>
          <cell r="C2018" t="str">
            <v>OST</v>
          </cell>
          <cell r="D2018" t="str">
            <v xml:space="preserve">I-ENG </v>
          </cell>
        </row>
        <row r="2019">
          <cell r="A2019" t="str">
            <v>OST_031</v>
          </cell>
          <cell r="B2019" t="str">
            <v>Ngambe-Tikar-IHS</v>
          </cell>
          <cell r="C2019" t="str">
            <v>OST</v>
          </cell>
          <cell r="D2019" t="str">
            <v xml:space="preserve">I-ENG </v>
          </cell>
        </row>
        <row r="2020">
          <cell r="A2020" t="str">
            <v>OST_039</v>
          </cell>
          <cell r="B2020" t="str">
            <v>Malantouen</v>
          </cell>
          <cell r="C2020" t="str">
            <v>OST</v>
          </cell>
          <cell r="D2020" t="str">
            <v xml:space="preserve">I-ENG </v>
          </cell>
        </row>
        <row r="2021">
          <cell r="A2021" t="str">
            <v>OST_042</v>
          </cell>
          <cell r="B2021" t="str">
            <v>Foumban-Manka-IHS</v>
          </cell>
          <cell r="C2021" t="str">
            <v>OST</v>
          </cell>
          <cell r="D2021" t="str">
            <v xml:space="preserve">I-ENG </v>
          </cell>
        </row>
        <row r="2022">
          <cell r="A2022" t="str">
            <v>OST_043</v>
          </cell>
          <cell r="B2022" t="str">
            <v>Foumbot-MTN</v>
          </cell>
          <cell r="C2022" t="str">
            <v>OST</v>
          </cell>
          <cell r="D2022" t="str">
            <v xml:space="preserve">I-ENG </v>
          </cell>
        </row>
        <row r="2023">
          <cell r="A2023" t="str">
            <v>OST_047</v>
          </cell>
          <cell r="B2023" t="str">
            <v>Foumban-CAMTEL</v>
          </cell>
          <cell r="C2023" t="str">
            <v>OST</v>
          </cell>
          <cell r="D2023" t="str">
            <v xml:space="preserve">I-ENG </v>
          </cell>
        </row>
        <row r="2024">
          <cell r="A2024" t="str">
            <v>OST_057</v>
          </cell>
          <cell r="B2024" t="str">
            <v>Massangam</v>
          </cell>
          <cell r="C2024" t="str">
            <v>OST</v>
          </cell>
          <cell r="D2024" t="str">
            <v xml:space="preserve">I-ENG </v>
          </cell>
        </row>
        <row r="2025">
          <cell r="A2025" t="str">
            <v>OST_058</v>
          </cell>
          <cell r="B2025" t="str">
            <v>Kouoptamo</v>
          </cell>
          <cell r="C2025" t="str">
            <v>OST</v>
          </cell>
          <cell r="D2025" t="str">
            <v xml:space="preserve">I-ENG </v>
          </cell>
        </row>
        <row r="2026">
          <cell r="A2026" t="str">
            <v>OST_064</v>
          </cell>
          <cell r="B2026" t="str">
            <v>Bfsam-Tougang</v>
          </cell>
          <cell r="C2026" t="str">
            <v>OST</v>
          </cell>
          <cell r="D2026" t="str">
            <v xml:space="preserve">I-ENG </v>
          </cell>
        </row>
        <row r="2027">
          <cell r="A2027" t="str">
            <v>OST_065</v>
          </cell>
          <cell r="B2027" t="str">
            <v>Bfsam-Kouogouo</v>
          </cell>
          <cell r="C2027" t="str">
            <v>OST</v>
          </cell>
          <cell r="D2027" t="str">
            <v xml:space="preserve">I-ENG </v>
          </cell>
        </row>
        <row r="2028">
          <cell r="A2028" t="str">
            <v>OST_066</v>
          </cell>
          <cell r="B2028" t="str">
            <v>Bfsam-Eveche-Carrefour</v>
          </cell>
          <cell r="C2028" t="str">
            <v>OST</v>
          </cell>
          <cell r="D2028" t="str">
            <v xml:space="preserve">I-ENG </v>
          </cell>
        </row>
        <row r="2029">
          <cell r="A2029" t="str">
            <v>OST_070</v>
          </cell>
          <cell r="B2029" t="str">
            <v>Baigon</v>
          </cell>
          <cell r="C2029" t="str">
            <v>OST</v>
          </cell>
          <cell r="D2029" t="str">
            <v xml:space="preserve">I-ENG </v>
          </cell>
        </row>
        <row r="2030">
          <cell r="A2030" t="str">
            <v>OST_075</v>
          </cell>
          <cell r="B2030" t="str">
            <v>Bfsam-Ndjinga</v>
          </cell>
          <cell r="C2030" t="str">
            <v>OST</v>
          </cell>
          <cell r="D2030" t="str">
            <v xml:space="preserve">I-ENG </v>
          </cell>
        </row>
        <row r="2031">
          <cell r="A2031" t="str">
            <v>OST_076</v>
          </cell>
          <cell r="B2031" t="str">
            <v>Bfsam-Njinkwo</v>
          </cell>
          <cell r="C2031" t="str">
            <v>OST</v>
          </cell>
          <cell r="D2031" t="str">
            <v xml:space="preserve">I-ENG </v>
          </cell>
        </row>
        <row r="2032">
          <cell r="A2032" t="str">
            <v>OST_082</v>
          </cell>
          <cell r="B2032" t="str">
            <v>Foumban-Nkoungougnet</v>
          </cell>
          <cell r="C2032" t="str">
            <v>OST</v>
          </cell>
          <cell r="D2032" t="str">
            <v xml:space="preserve">I-ENG </v>
          </cell>
        </row>
        <row r="2033">
          <cell r="A2033" t="str">
            <v>OST_087</v>
          </cell>
          <cell r="B2033" t="str">
            <v>Foumban-Ndjidare</v>
          </cell>
          <cell r="C2033" t="str">
            <v>OST</v>
          </cell>
          <cell r="D2033" t="str">
            <v xml:space="preserve">I-ENG </v>
          </cell>
        </row>
        <row r="2034">
          <cell r="A2034" t="str">
            <v>OST_090</v>
          </cell>
          <cell r="B2034" t="str">
            <v>Bangourain</v>
          </cell>
          <cell r="C2034" t="str">
            <v>OST</v>
          </cell>
          <cell r="D2034" t="str">
            <v xml:space="preserve">I-ENG </v>
          </cell>
        </row>
        <row r="2035">
          <cell r="A2035" t="str">
            <v>OST_101</v>
          </cell>
          <cell r="B2035" t="str">
            <v>Foumban-Njinka</v>
          </cell>
          <cell r="C2035" t="str">
            <v>OST</v>
          </cell>
          <cell r="D2035" t="str">
            <v xml:space="preserve">I-ENG </v>
          </cell>
        </row>
        <row r="2036">
          <cell r="A2036" t="str">
            <v>OST_114</v>
          </cell>
          <cell r="B2036" t="str">
            <v>Koupa-Kagnam</v>
          </cell>
          <cell r="C2036" t="str">
            <v>OST</v>
          </cell>
          <cell r="D2036" t="str">
            <v xml:space="preserve">I-ENG </v>
          </cell>
        </row>
        <row r="2037">
          <cell r="A2037" t="str">
            <v>OST_116</v>
          </cell>
          <cell r="B2037" t="str">
            <v>Doumofe-MTN</v>
          </cell>
          <cell r="C2037" t="str">
            <v>OST</v>
          </cell>
          <cell r="D2037" t="str">
            <v xml:space="preserve">I-ENG </v>
          </cell>
        </row>
        <row r="2038">
          <cell r="A2038" t="str">
            <v>OST_125</v>
          </cell>
          <cell r="B2038" t="str">
            <v>Foumbot-Centre-Ville</v>
          </cell>
          <cell r="C2038" t="str">
            <v>OST</v>
          </cell>
          <cell r="D2038" t="str">
            <v xml:space="preserve">I-ENG </v>
          </cell>
        </row>
        <row r="2039">
          <cell r="A2039" t="str">
            <v>OST_128</v>
          </cell>
          <cell r="B2039" t="str">
            <v>Foumban-Lycee-MTN</v>
          </cell>
          <cell r="C2039" t="str">
            <v>OST</v>
          </cell>
          <cell r="D2039" t="str">
            <v xml:space="preserve">I-ENG </v>
          </cell>
        </row>
        <row r="2040">
          <cell r="A2040" t="str">
            <v>OST_134</v>
          </cell>
          <cell r="B2040" t="str">
            <v>Bfsam-Brasserie</v>
          </cell>
          <cell r="C2040" t="str">
            <v>OST</v>
          </cell>
          <cell r="D2040" t="str">
            <v xml:space="preserve">I-ENG </v>
          </cell>
        </row>
        <row r="2041">
          <cell r="A2041" t="str">
            <v>OST_135</v>
          </cell>
          <cell r="B2041" t="str">
            <v>Bfsam-Bamendzi-II</v>
          </cell>
          <cell r="C2041" t="str">
            <v>OST</v>
          </cell>
          <cell r="D2041" t="str">
            <v xml:space="preserve">I-ENG </v>
          </cell>
        </row>
        <row r="2042">
          <cell r="A2042" t="str">
            <v>OST_138</v>
          </cell>
          <cell r="B2042" t="str">
            <v>Koutaba-IHS</v>
          </cell>
          <cell r="C2042" t="str">
            <v>OST</v>
          </cell>
          <cell r="D2042" t="str">
            <v xml:space="preserve">I-ENG </v>
          </cell>
        </row>
        <row r="2043">
          <cell r="A2043" t="str">
            <v>OST_149</v>
          </cell>
          <cell r="B2043" t="str">
            <v>Njimom-IHS</v>
          </cell>
          <cell r="C2043" t="str">
            <v>OST</v>
          </cell>
          <cell r="D2043" t="str">
            <v xml:space="preserve">I-ENG </v>
          </cell>
        </row>
        <row r="2044">
          <cell r="A2044" t="str">
            <v>OST_176</v>
          </cell>
          <cell r="B2044" t="str">
            <v>Foumban-Njintout</v>
          </cell>
          <cell r="C2044" t="str">
            <v>OST</v>
          </cell>
          <cell r="D2044" t="str">
            <v xml:space="preserve">I-ENG </v>
          </cell>
        </row>
        <row r="2045">
          <cell r="A2045" t="str">
            <v>OST_178</v>
          </cell>
          <cell r="B2045" t="str">
            <v>Foumban-Njintout-II</v>
          </cell>
          <cell r="C2045" t="str">
            <v>OST</v>
          </cell>
          <cell r="D2045" t="str">
            <v xml:space="preserve">I-ENG </v>
          </cell>
        </row>
        <row r="2046">
          <cell r="A2046" t="str">
            <v>OST_205</v>
          </cell>
          <cell r="B2046" t="str">
            <v>Bangambi-IHS</v>
          </cell>
          <cell r="C2046" t="str">
            <v>OST</v>
          </cell>
          <cell r="D2046" t="str">
            <v xml:space="preserve">I-ENG </v>
          </cell>
        </row>
        <row r="2047">
          <cell r="A2047" t="str">
            <v>OST_209</v>
          </cell>
          <cell r="B2047" t="str">
            <v>Koupa-Matapit-IHS</v>
          </cell>
          <cell r="C2047" t="str">
            <v>OST</v>
          </cell>
          <cell r="D2047" t="str">
            <v xml:space="preserve">I-ENG </v>
          </cell>
        </row>
        <row r="2048">
          <cell r="A2048" t="str">
            <v>OST_213</v>
          </cell>
          <cell r="B2048" t="str">
            <v>Bfsam-Tayim-IHS</v>
          </cell>
          <cell r="C2048" t="str">
            <v>OST</v>
          </cell>
          <cell r="D2048" t="str">
            <v xml:space="preserve">I-ENG </v>
          </cell>
        </row>
        <row r="2049">
          <cell r="A2049" t="str">
            <v>OST_252</v>
          </cell>
          <cell r="B2049" t="str">
            <v>Koundoum</v>
          </cell>
          <cell r="C2049" t="str">
            <v>OST</v>
          </cell>
          <cell r="D2049" t="str">
            <v xml:space="preserve">I-ENG </v>
          </cell>
        </row>
        <row r="2050">
          <cell r="A2050" t="str">
            <v>OST_264</v>
          </cell>
          <cell r="B2050" t="str">
            <v>FOSSET</v>
          </cell>
          <cell r="C2050" t="str">
            <v>OST</v>
          </cell>
          <cell r="D2050" t="str">
            <v xml:space="preserve">I-ENG </v>
          </cell>
        </row>
        <row r="2051">
          <cell r="A2051" t="str">
            <v>OST_053</v>
          </cell>
          <cell r="B2051" t="str">
            <v>Tonga</v>
          </cell>
          <cell r="C2051" t="str">
            <v>OST</v>
          </cell>
          <cell r="D2051" t="str">
            <v xml:space="preserve">I-ENG </v>
          </cell>
        </row>
        <row r="2052">
          <cell r="A2052" t="str">
            <v>OST_301</v>
          </cell>
          <cell r="B2052" t="str">
            <v>Bantoum-II-IHS</v>
          </cell>
          <cell r="C2052" t="str">
            <v>OST</v>
          </cell>
          <cell r="D2052" t="str">
            <v xml:space="preserve">I-ENG </v>
          </cell>
        </row>
        <row r="2053">
          <cell r="A2053" t="str">
            <v>NRO_027</v>
          </cell>
          <cell r="B2053" t="str">
            <v>Balatchi-IHS</v>
          </cell>
          <cell r="C2053" t="str">
            <v>NRO</v>
          </cell>
          <cell r="D2053" t="str">
            <v xml:space="preserve">I-ENG </v>
          </cell>
        </row>
        <row r="2054">
          <cell r="A2054" t="str">
            <v>OST_002</v>
          </cell>
          <cell r="B2054" t="str">
            <v>Bfsam-Kamkouop</v>
          </cell>
          <cell r="C2054" t="str">
            <v>OST</v>
          </cell>
          <cell r="D2054" t="str">
            <v xml:space="preserve">I-ENG </v>
          </cell>
        </row>
        <row r="2055">
          <cell r="A2055" t="str">
            <v>OST_017</v>
          </cell>
          <cell r="B2055" t="str">
            <v>Bafou</v>
          </cell>
          <cell r="C2055" t="str">
            <v>OST</v>
          </cell>
          <cell r="D2055" t="str">
            <v xml:space="preserve">I-ENG </v>
          </cell>
        </row>
        <row r="2056">
          <cell r="A2056" t="str">
            <v>OST_026</v>
          </cell>
          <cell r="B2056" t="str">
            <v>Galim</v>
          </cell>
          <cell r="C2056" t="str">
            <v>OST</v>
          </cell>
          <cell r="D2056" t="str">
            <v xml:space="preserve">I-ENG </v>
          </cell>
        </row>
        <row r="2057">
          <cell r="A2057" t="str">
            <v>OST_030</v>
          </cell>
          <cell r="B2057" t="str">
            <v>Bamendjing-IHS</v>
          </cell>
          <cell r="C2057" t="str">
            <v>OST</v>
          </cell>
          <cell r="D2057" t="str">
            <v xml:space="preserve">I-ENG </v>
          </cell>
        </row>
        <row r="2058">
          <cell r="A2058" t="str">
            <v>OST_037</v>
          </cell>
          <cell r="B2058" t="str">
            <v>Bazou</v>
          </cell>
          <cell r="C2058" t="str">
            <v>OST</v>
          </cell>
          <cell r="D2058" t="str">
            <v xml:space="preserve">I-ENG </v>
          </cell>
        </row>
        <row r="2059">
          <cell r="A2059" t="str">
            <v>OST_040</v>
          </cell>
          <cell r="B2059" t="str">
            <v>Batcham</v>
          </cell>
          <cell r="C2059" t="str">
            <v>OST</v>
          </cell>
          <cell r="D2059" t="str">
            <v xml:space="preserve">I-ENG </v>
          </cell>
        </row>
        <row r="2060">
          <cell r="A2060" t="str">
            <v>OST_046</v>
          </cell>
          <cell r="B2060" t="str">
            <v>Bfsam-Bamengoum</v>
          </cell>
          <cell r="C2060" t="str">
            <v>OST</v>
          </cell>
          <cell r="D2060" t="str">
            <v xml:space="preserve">I-ENG </v>
          </cell>
        </row>
        <row r="2061">
          <cell r="A2061" t="str">
            <v>OST_048</v>
          </cell>
          <cell r="B2061" t="str">
            <v>Bambit-MTN</v>
          </cell>
          <cell r="C2061" t="str">
            <v>OST</v>
          </cell>
          <cell r="D2061" t="str">
            <v xml:space="preserve">I-ENG </v>
          </cell>
        </row>
        <row r="2062">
          <cell r="A2062" t="str">
            <v>OST_052</v>
          </cell>
          <cell r="B2062" t="str">
            <v>Banekane</v>
          </cell>
          <cell r="C2062" t="str">
            <v>OST</v>
          </cell>
          <cell r="D2062" t="str">
            <v xml:space="preserve">I-ENG </v>
          </cell>
        </row>
        <row r="2063">
          <cell r="A2063" t="str">
            <v>OST_060</v>
          </cell>
          <cell r="B2063" t="str">
            <v>Babadjou</v>
          </cell>
          <cell r="C2063" t="str">
            <v>OST</v>
          </cell>
          <cell r="D2063" t="str">
            <v xml:space="preserve">I-ENG </v>
          </cell>
        </row>
        <row r="2064">
          <cell r="A2064" t="str">
            <v>OST_074</v>
          </cell>
          <cell r="B2064" t="str">
            <v>Dschang-Meka</v>
          </cell>
          <cell r="C2064" t="str">
            <v>OST</v>
          </cell>
          <cell r="D2064" t="str">
            <v xml:space="preserve">I-ENG </v>
          </cell>
        </row>
        <row r="2065">
          <cell r="A2065" t="str">
            <v>OST_096</v>
          </cell>
          <cell r="B2065" t="str">
            <v>Dschang-Vallee</v>
          </cell>
          <cell r="C2065" t="str">
            <v>OST</v>
          </cell>
          <cell r="D2065" t="str">
            <v xml:space="preserve">I-ENG </v>
          </cell>
        </row>
        <row r="2066">
          <cell r="A2066" t="str">
            <v>OST_097</v>
          </cell>
          <cell r="B2066" t="str">
            <v>Dschang-Rectorat-MTN</v>
          </cell>
          <cell r="C2066" t="str">
            <v>OST</v>
          </cell>
          <cell r="D2066" t="str">
            <v xml:space="preserve">I-ENG </v>
          </cell>
        </row>
        <row r="2067">
          <cell r="A2067" t="str">
            <v>OST_105</v>
          </cell>
          <cell r="B2067" t="str">
            <v>Dschang-Foto</v>
          </cell>
          <cell r="C2067" t="str">
            <v>OST</v>
          </cell>
          <cell r="D2067" t="str">
            <v xml:space="preserve">I-ENG </v>
          </cell>
        </row>
        <row r="2068">
          <cell r="A2068" t="str">
            <v>OST_106</v>
          </cell>
          <cell r="B2068" t="str">
            <v>Dschang-Universite</v>
          </cell>
          <cell r="C2068" t="str">
            <v>OST</v>
          </cell>
          <cell r="D2068" t="str">
            <v xml:space="preserve">I-ENG </v>
          </cell>
        </row>
        <row r="2069">
          <cell r="A2069" t="str">
            <v>OST_108</v>
          </cell>
          <cell r="B2069" t="str">
            <v>Bafou-Badzifeng</v>
          </cell>
          <cell r="C2069" t="str">
            <v>OST</v>
          </cell>
          <cell r="D2069" t="str">
            <v xml:space="preserve">I-ENG </v>
          </cell>
        </row>
        <row r="2070">
          <cell r="A2070" t="str">
            <v>OST_122</v>
          </cell>
          <cell r="B2070" t="str">
            <v>Dschang-Foreke</v>
          </cell>
          <cell r="C2070" t="str">
            <v>OST</v>
          </cell>
          <cell r="D2070" t="str">
            <v xml:space="preserve">I-ENG </v>
          </cell>
        </row>
        <row r="2071">
          <cell r="A2071" t="str">
            <v>OST_139</v>
          </cell>
          <cell r="B2071" t="str">
            <v>Fokoue-IHS</v>
          </cell>
          <cell r="C2071" t="str">
            <v>OST</v>
          </cell>
          <cell r="D2071" t="str">
            <v xml:space="preserve">I-ENG </v>
          </cell>
        </row>
        <row r="2072">
          <cell r="A2072" t="str">
            <v>OST_142</v>
          </cell>
          <cell r="B2072" t="str">
            <v>Mbouda-Batang-IHS</v>
          </cell>
          <cell r="C2072" t="str">
            <v>OST</v>
          </cell>
          <cell r="D2072" t="str">
            <v xml:space="preserve">I-ENG </v>
          </cell>
        </row>
        <row r="2073">
          <cell r="A2073" t="str">
            <v>OST_143</v>
          </cell>
          <cell r="B2073" t="str">
            <v>Bassamba-IHS</v>
          </cell>
          <cell r="C2073" t="str">
            <v>OST</v>
          </cell>
          <cell r="D2073" t="str">
            <v xml:space="preserve">I-ENG </v>
          </cell>
        </row>
        <row r="2074">
          <cell r="A2074" t="str">
            <v>OST_144</v>
          </cell>
          <cell r="B2074" t="str">
            <v>Mbouda-SIK-IHS</v>
          </cell>
          <cell r="C2074" t="str">
            <v>OST</v>
          </cell>
          <cell r="D2074" t="str">
            <v xml:space="preserve">I-ENG </v>
          </cell>
        </row>
        <row r="2075">
          <cell r="A2075" t="str">
            <v>OST_150</v>
          </cell>
          <cell r="B2075" t="str">
            <v>Bafounda-IHS</v>
          </cell>
          <cell r="C2075" t="str">
            <v>OST</v>
          </cell>
          <cell r="D2075" t="str">
            <v xml:space="preserve">I-ENG </v>
          </cell>
        </row>
        <row r="2076">
          <cell r="A2076" t="str">
            <v>OST_151</v>
          </cell>
          <cell r="B2076" t="str">
            <v>Bansoa-IHS</v>
          </cell>
          <cell r="C2076" t="str">
            <v>OST</v>
          </cell>
          <cell r="D2076" t="str">
            <v xml:space="preserve">I-ENG </v>
          </cell>
        </row>
        <row r="2077">
          <cell r="A2077" t="str">
            <v>OST_152</v>
          </cell>
          <cell r="B2077" t="str">
            <v>Bazou-IHS</v>
          </cell>
          <cell r="C2077" t="str">
            <v>OST</v>
          </cell>
          <cell r="D2077" t="str">
            <v xml:space="preserve">I-ENG </v>
          </cell>
        </row>
        <row r="2078">
          <cell r="A2078" t="str">
            <v>OST_160</v>
          </cell>
          <cell r="B2078" t="str">
            <v>Bagam-IHS</v>
          </cell>
          <cell r="C2078" t="str">
            <v>OST</v>
          </cell>
          <cell r="D2078" t="str">
            <v xml:space="preserve">I-ENG </v>
          </cell>
        </row>
        <row r="2079">
          <cell r="A2079" t="str">
            <v>OST_161</v>
          </cell>
          <cell r="B2079" t="str">
            <v>Bankwop-IHS</v>
          </cell>
          <cell r="C2079" t="str">
            <v>OST</v>
          </cell>
          <cell r="D2079" t="str">
            <v xml:space="preserve">I-ENG </v>
          </cell>
        </row>
        <row r="2080">
          <cell r="A2080" t="str">
            <v>OST_167</v>
          </cell>
          <cell r="B2080" t="str">
            <v>Baloum-IHS</v>
          </cell>
          <cell r="C2080" t="str">
            <v>OST</v>
          </cell>
          <cell r="D2080" t="str">
            <v xml:space="preserve">I-ENG </v>
          </cell>
        </row>
        <row r="2081">
          <cell r="A2081" t="str">
            <v>OST_169</v>
          </cell>
          <cell r="B2081" t="str">
            <v>Bfsam-Baleng-IHS</v>
          </cell>
          <cell r="C2081" t="str">
            <v>OST</v>
          </cell>
          <cell r="D2081" t="str">
            <v xml:space="preserve">I-ENG </v>
          </cell>
        </row>
        <row r="2082">
          <cell r="A2082" t="str">
            <v>OST_180</v>
          </cell>
          <cell r="B2082" t="str">
            <v>Bangangte-Centre</v>
          </cell>
          <cell r="C2082" t="str">
            <v>OST</v>
          </cell>
          <cell r="D2082" t="str">
            <v xml:space="preserve">I-ENG </v>
          </cell>
        </row>
        <row r="2083">
          <cell r="A2083" t="str">
            <v>OST_183</v>
          </cell>
          <cell r="B2083" t="str">
            <v>Bangoua</v>
          </cell>
          <cell r="C2083" t="str">
            <v>OST</v>
          </cell>
          <cell r="D2083" t="str">
            <v xml:space="preserve">I-ENG </v>
          </cell>
        </row>
        <row r="2084">
          <cell r="A2084" t="str">
            <v>OST_186</v>
          </cell>
          <cell r="B2084" t="str">
            <v>Bamenyam</v>
          </cell>
          <cell r="C2084" t="str">
            <v>OST</v>
          </cell>
          <cell r="D2084" t="str">
            <v xml:space="preserve">I-ENG </v>
          </cell>
        </row>
        <row r="2085">
          <cell r="A2085" t="str">
            <v>OST_193</v>
          </cell>
          <cell r="B2085" t="str">
            <v>Banefo-Baleng</v>
          </cell>
          <cell r="C2085" t="str">
            <v>OST</v>
          </cell>
          <cell r="D2085" t="str">
            <v xml:space="preserve">I-ENG </v>
          </cell>
        </row>
        <row r="2086">
          <cell r="A2086" t="str">
            <v>OST_210</v>
          </cell>
          <cell r="B2086" t="str">
            <v>Penka-Michel-IHS</v>
          </cell>
          <cell r="C2086" t="str">
            <v>OST</v>
          </cell>
          <cell r="D2086" t="str">
            <v xml:space="preserve">I-ENG </v>
          </cell>
        </row>
        <row r="2087">
          <cell r="A2087" t="str">
            <v>OST_212</v>
          </cell>
          <cell r="B2087" t="str">
            <v>Bangang-Fokam-IHS</v>
          </cell>
          <cell r="C2087" t="str">
            <v>OST</v>
          </cell>
          <cell r="D2087" t="str">
            <v xml:space="preserve">I-ENG </v>
          </cell>
        </row>
        <row r="2088">
          <cell r="A2088" t="str">
            <v>OST_214</v>
          </cell>
          <cell r="B2088" t="str">
            <v>Bfsam-Mairie-Rurale-MTN-IHS</v>
          </cell>
          <cell r="C2088" t="str">
            <v>OST</v>
          </cell>
          <cell r="D2088" t="str">
            <v xml:space="preserve">I-ENG </v>
          </cell>
        </row>
        <row r="2089">
          <cell r="A2089" t="str">
            <v>OST_221</v>
          </cell>
          <cell r="B2089" t="str">
            <v>Bamendjing-MTN-IHS</v>
          </cell>
          <cell r="C2089" t="str">
            <v>OST</v>
          </cell>
          <cell r="D2089" t="str">
            <v xml:space="preserve">I-ENG </v>
          </cell>
        </row>
        <row r="2090">
          <cell r="A2090" t="str">
            <v>OST_256</v>
          </cell>
          <cell r="B2090" t="str">
            <v>Makong-II-IHS</v>
          </cell>
          <cell r="C2090" t="str">
            <v>OST</v>
          </cell>
          <cell r="D2090" t="str">
            <v xml:space="preserve">I-ENG </v>
          </cell>
        </row>
        <row r="2091">
          <cell r="A2091" t="str">
            <v>OST_263</v>
          </cell>
          <cell r="B2091" t="str">
            <v>Fondonera-IHS</v>
          </cell>
          <cell r="C2091" t="str">
            <v>OST</v>
          </cell>
          <cell r="D2091" t="str">
            <v xml:space="preserve">I-ENG </v>
          </cell>
        </row>
        <row r="2092">
          <cell r="A2092" t="str">
            <v>OST_265</v>
          </cell>
          <cell r="B2092" t="str">
            <v>Kombou-IHS</v>
          </cell>
          <cell r="C2092" t="str">
            <v>OST</v>
          </cell>
          <cell r="D2092" t="str">
            <v xml:space="preserve">I-ENG </v>
          </cell>
        </row>
        <row r="2093">
          <cell r="A2093" t="str">
            <v>OST_266</v>
          </cell>
          <cell r="B2093" t="str">
            <v>Bangangte-Lycee-Classique-IHS</v>
          </cell>
          <cell r="C2093" t="str">
            <v>OST</v>
          </cell>
          <cell r="D2093" t="str">
            <v xml:space="preserve">I-ENG </v>
          </cell>
        </row>
        <row r="2094">
          <cell r="A2094" t="str">
            <v>OST_267</v>
          </cell>
          <cell r="B2094" t="str">
            <v>Dschang-Lycee-Technique-IHS</v>
          </cell>
          <cell r="C2094" t="str">
            <v>OST</v>
          </cell>
          <cell r="D2094" t="str">
            <v xml:space="preserve">I-ENG </v>
          </cell>
        </row>
        <row r="2095">
          <cell r="A2095" t="str">
            <v>SUO_136</v>
          </cell>
          <cell r="B2095" t="str">
            <v>Fongo-Tongo</v>
          </cell>
          <cell r="C2095" t="str">
            <v>SUO</v>
          </cell>
          <cell r="D2095" t="str">
            <v xml:space="preserve">I-ENG </v>
          </cell>
        </row>
        <row r="2096">
          <cell r="A2096" t="str">
            <v>LIT_502</v>
          </cell>
          <cell r="B2096" t="str">
            <v>Kouedjou-IHS</v>
          </cell>
          <cell r="C2096" t="str">
            <v>LIT</v>
          </cell>
          <cell r="D2096" t="str">
            <v xml:space="preserve">I-ENG </v>
          </cell>
        </row>
        <row r="2097">
          <cell r="A2097" t="str">
            <v>OST_015</v>
          </cell>
          <cell r="B2097" t="str">
            <v>Bafang</v>
          </cell>
          <cell r="C2097" t="str">
            <v>OST</v>
          </cell>
          <cell r="D2097" t="str">
            <v xml:space="preserve">I-ENG </v>
          </cell>
        </row>
        <row r="2098">
          <cell r="A2098" t="str">
            <v>OST_022</v>
          </cell>
          <cell r="B2098" t="str">
            <v>Bandja</v>
          </cell>
          <cell r="C2098" t="str">
            <v>OST</v>
          </cell>
          <cell r="D2098" t="str">
            <v xml:space="preserve">I-ENG </v>
          </cell>
        </row>
        <row r="2099">
          <cell r="A2099" t="str">
            <v>OST_035</v>
          </cell>
          <cell r="B2099" t="str">
            <v>Baham</v>
          </cell>
          <cell r="C2099" t="str">
            <v>OST</v>
          </cell>
          <cell r="D2099" t="str">
            <v xml:space="preserve">I-ENG </v>
          </cell>
        </row>
        <row r="2100">
          <cell r="A2100" t="str">
            <v>OST_036</v>
          </cell>
          <cell r="B2100" t="str">
            <v>Bana-Centre</v>
          </cell>
          <cell r="C2100" t="str">
            <v>OST</v>
          </cell>
          <cell r="D2100" t="str">
            <v xml:space="preserve">I-ENG </v>
          </cell>
        </row>
        <row r="2101">
          <cell r="A2101" t="str">
            <v>OST_044</v>
          </cell>
          <cell r="B2101" t="str">
            <v>Bamendjou-MTN</v>
          </cell>
          <cell r="C2101" t="str">
            <v>OST</v>
          </cell>
          <cell r="D2101" t="str">
            <v xml:space="preserve">I-ENG </v>
          </cell>
        </row>
        <row r="2102">
          <cell r="A2102" t="str">
            <v>OST_045</v>
          </cell>
          <cell r="B2102" t="str">
            <v>Bfsam-Toket</v>
          </cell>
          <cell r="C2102" t="str">
            <v>OST</v>
          </cell>
          <cell r="D2102" t="str">
            <v xml:space="preserve">I-ENG </v>
          </cell>
        </row>
        <row r="2103">
          <cell r="A2103" t="str">
            <v>OST_051</v>
          </cell>
          <cell r="B2103" t="str">
            <v>Bayangam</v>
          </cell>
          <cell r="C2103" t="str">
            <v>OST</v>
          </cell>
          <cell r="D2103" t="str">
            <v xml:space="preserve">I-ENG </v>
          </cell>
        </row>
        <row r="2104">
          <cell r="A2104" t="str">
            <v>OST_063</v>
          </cell>
          <cell r="B2104" t="str">
            <v>Bfsam-Baleng</v>
          </cell>
          <cell r="C2104" t="str">
            <v>OST</v>
          </cell>
          <cell r="D2104" t="str">
            <v xml:space="preserve">I-ENG </v>
          </cell>
        </row>
        <row r="2105">
          <cell r="A2105" t="str">
            <v>OST_067</v>
          </cell>
          <cell r="B2105" t="str">
            <v>Bandjoun-Soung</v>
          </cell>
          <cell r="C2105" t="str">
            <v>OST</v>
          </cell>
          <cell r="D2105" t="str">
            <v xml:space="preserve">I-ENG </v>
          </cell>
        </row>
        <row r="2106">
          <cell r="A2106" t="str">
            <v>OST_077</v>
          </cell>
          <cell r="B2106" t="str">
            <v>Bfsam-Tougang-EEC</v>
          </cell>
          <cell r="C2106" t="str">
            <v>OST</v>
          </cell>
          <cell r="D2106" t="str">
            <v xml:space="preserve">I-ENG </v>
          </cell>
        </row>
        <row r="2107">
          <cell r="A2107" t="str">
            <v>OST_088</v>
          </cell>
          <cell r="B2107" t="str">
            <v>Demdeng</v>
          </cell>
          <cell r="C2107" t="str">
            <v>OST</v>
          </cell>
          <cell r="D2107" t="str">
            <v xml:space="preserve">I-ENG </v>
          </cell>
        </row>
        <row r="2108">
          <cell r="A2108" t="str">
            <v>OST_107</v>
          </cell>
          <cell r="B2108" t="str">
            <v>Bfsam-Nylon</v>
          </cell>
          <cell r="C2108" t="str">
            <v>OST</v>
          </cell>
          <cell r="D2108" t="str">
            <v xml:space="preserve">I-ENG </v>
          </cell>
        </row>
        <row r="2109">
          <cell r="A2109" t="str">
            <v>OST_111</v>
          </cell>
          <cell r="B2109" t="str">
            <v>Bfsam-Q-Admin</v>
          </cell>
          <cell r="C2109" t="str">
            <v>OST</v>
          </cell>
          <cell r="D2109" t="str">
            <v xml:space="preserve">I-ENG </v>
          </cell>
        </row>
        <row r="2110">
          <cell r="A2110" t="str">
            <v>OST_118</v>
          </cell>
          <cell r="B2110" t="str">
            <v>Bfsam-Tyo</v>
          </cell>
          <cell r="C2110" t="str">
            <v>OST</v>
          </cell>
          <cell r="D2110" t="str">
            <v xml:space="preserve">I-ENG </v>
          </cell>
        </row>
        <row r="2111">
          <cell r="A2111" t="str">
            <v>OST_120</v>
          </cell>
          <cell r="B2111" t="str">
            <v>Bfsam-Dienso</v>
          </cell>
          <cell r="C2111" t="str">
            <v>OST</v>
          </cell>
          <cell r="D2111" t="str">
            <v xml:space="preserve">I-ENG </v>
          </cell>
        </row>
        <row r="2112">
          <cell r="A2112" t="str">
            <v>OST_121</v>
          </cell>
          <cell r="B2112" t="str">
            <v>Bfsam-Gouache-IHS</v>
          </cell>
          <cell r="C2112" t="str">
            <v>OST</v>
          </cell>
          <cell r="D2112" t="str">
            <v xml:space="preserve">I-ENG </v>
          </cell>
        </row>
        <row r="2113">
          <cell r="A2113" t="str">
            <v>OST_126</v>
          </cell>
          <cell r="B2113" t="str">
            <v>Bafang-Centre</v>
          </cell>
          <cell r="C2113" t="str">
            <v>OST</v>
          </cell>
          <cell r="D2113" t="str">
            <v xml:space="preserve">I-ENG </v>
          </cell>
        </row>
        <row r="2114">
          <cell r="A2114" t="str">
            <v>OST_146</v>
          </cell>
          <cell r="B2114" t="str">
            <v>Kamkop-IHS</v>
          </cell>
          <cell r="C2114" t="str">
            <v>OST</v>
          </cell>
          <cell r="D2114" t="str">
            <v xml:space="preserve">I-ENG </v>
          </cell>
        </row>
        <row r="2115">
          <cell r="A2115" t="str">
            <v>OST_153</v>
          </cell>
          <cell r="B2115" t="str">
            <v>Fotouni-IHS</v>
          </cell>
          <cell r="C2115" t="str">
            <v>OST</v>
          </cell>
          <cell r="D2115" t="str">
            <v xml:space="preserve">I-ENG </v>
          </cell>
        </row>
        <row r="2116">
          <cell r="A2116" t="str">
            <v>OST_162</v>
          </cell>
          <cell r="B2116" t="str">
            <v>Bameka-IHS</v>
          </cell>
          <cell r="C2116" t="str">
            <v>OST</v>
          </cell>
          <cell r="D2116" t="str">
            <v xml:space="preserve">I-ENG </v>
          </cell>
        </row>
        <row r="2117">
          <cell r="A2117" t="str">
            <v>OST_163</v>
          </cell>
          <cell r="B2117" t="str">
            <v>Bamoungoum-IHS</v>
          </cell>
          <cell r="C2117" t="str">
            <v>OST</v>
          </cell>
          <cell r="D2117" t="str">
            <v xml:space="preserve">I-ENG </v>
          </cell>
        </row>
        <row r="2118">
          <cell r="A2118" t="str">
            <v>OST_164</v>
          </cell>
          <cell r="B2118" t="str">
            <v>Col-Batie-IHS</v>
          </cell>
          <cell r="C2118" t="str">
            <v>OST</v>
          </cell>
          <cell r="D2118" t="str">
            <v xml:space="preserve">I-ENG </v>
          </cell>
        </row>
        <row r="2119">
          <cell r="A2119" t="str">
            <v>OST_165</v>
          </cell>
          <cell r="B2119" t="str">
            <v>Ndjeleng-II</v>
          </cell>
          <cell r="C2119" t="str">
            <v>OST</v>
          </cell>
          <cell r="D2119" t="str">
            <v xml:space="preserve">I-ENG </v>
          </cell>
        </row>
        <row r="2120">
          <cell r="A2120" t="str">
            <v>OST_166</v>
          </cell>
          <cell r="B2120" t="str">
            <v>Bfsam-Leproserie-IHS</v>
          </cell>
          <cell r="C2120" t="str">
            <v>OST</v>
          </cell>
          <cell r="D2120" t="str">
            <v xml:space="preserve">I-ENG </v>
          </cell>
        </row>
        <row r="2121">
          <cell r="A2121" t="str">
            <v>OST_172</v>
          </cell>
          <cell r="B2121" t="str">
            <v>Bfsam-Water-Tower-IHS</v>
          </cell>
          <cell r="C2121" t="str">
            <v>OST</v>
          </cell>
          <cell r="D2121" t="str">
            <v xml:space="preserve">I-ENG </v>
          </cell>
        </row>
        <row r="2122">
          <cell r="A2122" t="str">
            <v>OST_208</v>
          </cell>
          <cell r="B2122" t="str">
            <v>Fondjomekwet-IHS</v>
          </cell>
          <cell r="C2122" t="str">
            <v>OST</v>
          </cell>
          <cell r="D2122" t="str">
            <v xml:space="preserve">I-ENG </v>
          </cell>
        </row>
        <row r="2123">
          <cell r="A2123" t="str">
            <v>OST_211</v>
          </cell>
          <cell r="B2123" t="str">
            <v>Bangam-IHS</v>
          </cell>
          <cell r="C2123" t="str">
            <v>OST</v>
          </cell>
          <cell r="D2123" t="str">
            <v xml:space="preserve">I-ENG </v>
          </cell>
        </row>
        <row r="2124">
          <cell r="A2124" t="str">
            <v>OST_222</v>
          </cell>
          <cell r="B2124" t="str">
            <v>Bafang-Hotel-IHS</v>
          </cell>
          <cell r="C2124" t="str">
            <v>OST</v>
          </cell>
          <cell r="D2124" t="str">
            <v xml:space="preserve">I-ENG </v>
          </cell>
        </row>
        <row r="2125">
          <cell r="A2125" t="str">
            <v>OST_224</v>
          </cell>
          <cell r="B2125" t="str">
            <v>Moumee-New</v>
          </cell>
          <cell r="C2125" t="str">
            <v>OST</v>
          </cell>
          <cell r="D2125" t="str">
            <v xml:space="preserve">I-ENG </v>
          </cell>
        </row>
        <row r="2126">
          <cell r="A2126" t="str">
            <v>OST_300</v>
          </cell>
          <cell r="B2126" t="str">
            <v>Bahouan-IHS</v>
          </cell>
          <cell r="C2126" t="str">
            <v>OST</v>
          </cell>
          <cell r="D2126" t="str">
            <v xml:space="preserve">I-ENG </v>
          </cell>
        </row>
        <row r="2127">
          <cell r="A2127" t="str">
            <v>SUO_092</v>
          </cell>
          <cell r="B2127" t="str">
            <v>Akwaya-IHS</v>
          </cell>
          <cell r="C2127" t="str">
            <v>SUO</v>
          </cell>
          <cell r="D2127" t="str">
            <v xml:space="preserve">I-ENG </v>
          </cell>
        </row>
        <row r="2128">
          <cell r="A2128" t="str">
            <v>NRO_005</v>
          </cell>
          <cell r="B2128" t="str">
            <v>Nkambe</v>
          </cell>
          <cell r="C2128" t="str">
            <v>NRO</v>
          </cell>
          <cell r="D2128" t="str">
            <v xml:space="preserve">I-ENG </v>
          </cell>
        </row>
        <row r="2129">
          <cell r="A2129" t="str">
            <v>NRO_007</v>
          </cell>
          <cell r="B2129" t="str">
            <v>Wum</v>
          </cell>
          <cell r="C2129" t="str">
            <v>NRO</v>
          </cell>
          <cell r="D2129" t="str">
            <v xml:space="preserve">I-ENG </v>
          </cell>
        </row>
        <row r="2130">
          <cell r="A2130" t="str">
            <v>NRO_008</v>
          </cell>
          <cell r="B2130" t="str">
            <v>Bamenda-CRTV</v>
          </cell>
          <cell r="C2130" t="str">
            <v>NRO</v>
          </cell>
          <cell r="D2130" t="str">
            <v xml:space="preserve">I-ENG </v>
          </cell>
        </row>
        <row r="2131">
          <cell r="A2131" t="str">
            <v>NRO_011</v>
          </cell>
          <cell r="B2131" t="str">
            <v>Mbengwi</v>
          </cell>
          <cell r="C2131" t="str">
            <v>NRO</v>
          </cell>
          <cell r="D2131" t="str">
            <v xml:space="preserve">I-ENG </v>
          </cell>
        </row>
        <row r="2132">
          <cell r="A2132" t="str">
            <v>NRO_012</v>
          </cell>
          <cell r="B2132" t="str">
            <v>Nwa</v>
          </cell>
          <cell r="C2132" t="str">
            <v>NRO</v>
          </cell>
          <cell r="D2132" t="str">
            <v xml:space="preserve">I-ENG </v>
          </cell>
        </row>
        <row r="2133">
          <cell r="A2133" t="str">
            <v>NRO_016</v>
          </cell>
          <cell r="B2133" t="str">
            <v>Bda-Agence</v>
          </cell>
          <cell r="C2133" t="str">
            <v>NRO</v>
          </cell>
          <cell r="D2133" t="str">
            <v xml:space="preserve">I-ENG </v>
          </cell>
        </row>
        <row r="2134">
          <cell r="A2134" t="str">
            <v>NRO_018</v>
          </cell>
          <cell r="B2134" t="str">
            <v>Tadu-IHS</v>
          </cell>
          <cell r="C2134" t="str">
            <v>NRO</v>
          </cell>
          <cell r="D2134" t="str">
            <v xml:space="preserve">I-ENG </v>
          </cell>
        </row>
        <row r="2135">
          <cell r="A2135" t="str">
            <v>NRO_022</v>
          </cell>
          <cell r="B2135" t="str">
            <v>Njikwa-Town-IHS</v>
          </cell>
          <cell r="C2135" t="str">
            <v>NRO</v>
          </cell>
          <cell r="D2135" t="str">
            <v xml:space="preserve">I-ENG </v>
          </cell>
        </row>
        <row r="2136">
          <cell r="A2136" t="str">
            <v>NRO_023</v>
          </cell>
          <cell r="B2136" t="str">
            <v>Binka-IHS</v>
          </cell>
          <cell r="C2136" t="str">
            <v>NRO</v>
          </cell>
          <cell r="D2136" t="str">
            <v xml:space="preserve">I-ENG </v>
          </cell>
        </row>
        <row r="2137">
          <cell r="A2137" t="str">
            <v>NRO_024</v>
          </cell>
          <cell r="B2137" t="str">
            <v>Babessi</v>
          </cell>
          <cell r="C2137" t="str">
            <v>NRO</v>
          </cell>
          <cell r="D2137" t="str">
            <v xml:space="preserve">I-ENG </v>
          </cell>
        </row>
        <row r="2138">
          <cell r="A2138" t="str">
            <v>NRO_028</v>
          </cell>
          <cell r="B2138" t="str">
            <v>Hot-Spot</v>
          </cell>
          <cell r="C2138" t="str">
            <v>NRO</v>
          </cell>
          <cell r="D2138" t="str">
            <v xml:space="preserve">I-ENG </v>
          </cell>
        </row>
        <row r="2139">
          <cell r="A2139" t="str">
            <v>NRO_030</v>
          </cell>
          <cell r="B2139" t="str">
            <v>Zhoa</v>
          </cell>
          <cell r="C2139" t="str">
            <v>NRO</v>
          </cell>
          <cell r="D2139" t="str">
            <v xml:space="preserve">I-ENG </v>
          </cell>
        </row>
        <row r="2140">
          <cell r="A2140" t="str">
            <v>NRO_033</v>
          </cell>
          <cell r="B2140" t="str">
            <v>Balikumbat-Ville</v>
          </cell>
          <cell r="C2140" t="str">
            <v>NRO</v>
          </cell>
          <cell r="D2140" t="str">
            <v xml:space="preserve">I-ENG </v>
          </cell>
        </row>
        <row r="2141">
          <cell r="A2141" t="str">
            <v>NRO_034</v>
          </cell>
          <cell r="B2141" t="str">
            <v>Balikumbat-Palais</v>
          </cell>
          <cell r="C2141" t="str">
            <v>NRO</v>
          </cell>
          <cell r="D2141" t="str">
            <v xml:space="preserve">I-ENG </v>
          </cell>
        </row>
        <row r="2142">
          <cell r="A2142" t="str">
            <v>NRO_036</v>
          </cell>
          <cell r="B2142" t="str">
            <v>Bafut-MTN</v>
          </cell>
          <cell r="C2142" t="str">
            <v>NRO</v>
          </cell>
          <cell r="D2142" t="str">
            <v xml:space="preserve">I-ENG </v>
          </cell>
        </row>
        <row r="2143">
          <cell r="A2143" t="str">
            <v>NRO_037</v>
          </cell>
          <cell r="B2143" t="str">
            <v>Kumbo</v>
          </cell>
          <cell r="C2143" t="str">
            <v>NRO</v>
          </cell>
          <cell r="D2143" t="str">
            <v xml:space="preserve">I-ENG </v>
          </cell>
        </row>
        <row r="2144">
          <cell r="A2144" t="str">
            <v>NRO_038</v>
          </cell>
          <cell r="B2144" t="str">
            <v>Bamessing-IHS</v>
          </cell>
          <cell r="C2144" t="str">
            <v>NRO</v>
          </cell>
          <cell r="D2144" t="str">
            <v xml:space="preserve">I-ENG </v>
          </cell>
        </row>
        <row r="2145">
          <cell r="A2145" t="str">
            <v>NRO_039</v>
          </cell>
          <cell r="B2145" t="str">
            <v>Vivoki-IHS</v>
          </cell>
          <cell r="C2145" t="str">
            <v>NRO</v>
          </cell>
          <cell r="D2145" t="str">
            <v xml:space="preserve">I-ENG </v>
          </cell>
        </row>
        <row r="2146">
          <cell r="A2146" t="str">
            <v>NRO_043</v>
          </cell>
          <cell r="B2146" t="str">
            <v>Fonfuka</v>
          </cell>
          <cell r="C2146" t="str">
            <v>NRO</v>
          </cell>
          <cell r="D2146" t="str">
            <v xml:space="preserve">I-ENG </v>
          </cell>
        </row>
        <row r="2147">
          <cell r="A2147" t="str">
            <v>NRO_044</v>
          </cell>
          <cell r="B2147" t="str">
            <v>Laising</v>
          </cell>
          <cell r="C2147" t="str">
            <v>NRO</v>
          </cell>
          <cell r="D2147" t="str">
            <v xml:space="preserve">I-ENG </v>
          </cell>
        </row>
        <row r="2148">
          <cell r="A2148" t="str">
            <v>NRO_046</v>
          </cell>
          <cell r="B2148" t="str">
            <v>Dumbu</v>
          </cell>
          <cell r="C2148" t="str">
            <v>NRO</v>
          </cell>
          <cell r="D2148" t="str">
            <v xml:space="preserve">I-ENG </v>
          </cell>
        </row>
        <row r="2149">
          <cell r="A2149" t="str">
            <v>NRO_052</v>
          </cell>
          <cell r="B2149" t="str">
            <v>Kumbo-Bangam-IHS</v>
          </cell>
          <cell r="C2149" t="str">
            <v>NRO</v>
          </cell>
          <cell r="D2149" t="str">
            <v xml:space="preserve">I-ENG </v>
          </cell>
        </row>
        <row r="2150">
          <cell r="A2150" t="str">
            <v>NRO_053</v>
          </cell>
          <cell r="B2150" t="str">
            <v>Kikai-IHS</v>
          </cell>
          <cell r="C2150" t="str">
            <v>NRO</v>
          </cell>
          <cell r="D2150" t="str">
            <v xml:space="preserve">I-ENG </v>
          </cell>
        </row>
        <row r="2151">
          <cell r="A2151" t="str">
            <v>NRO_056</v>
          </cell>
          <cell r="B2151" t="str">
            <v>Ntem</v>
          </cell>
          <cell r="C2151" t="str">
            <v>NRO</v>
          </cell>
          <cell r="D2151" t="str">
            <v xml:space="preserve">I-ENG </v>
          </cell>
        </row>
        <row r="2152">
          <cell r="A2152" t="str">
            <v>NRO_057</v>
          </cell>
          <cell r="B2152" t="str">
            <v>Mbonso</v>
          </cell>
          <cell r="C2152" t="str">
            <v>NRO</v>
          </cell>
          <cell r="D2152" t="str">
            <v xml:space="preserve">I-ENG </v>
          </cell>
        </row>
        <row r="2153">
          <cell r="A2153" t="str">
            <v>NRO_073</v>
          </cell>
          <cell r="B2153" t="str">
            <v>Tatum</v>
          </cell>
          <cell r="C2153" t="str">
            <v>NRO</v>
          </cell>
          <cell r="D2153" t="str">
            <v xml:space="preserve">I-ENG </v>
          </cell>
        </row>
        <row r="2154">
          <cell r="A2154" t="str">
            <v>NRO_076</v>
          </cell>
          <cell r="B2154" t="str">
            <v>Tugi</v>
          </cell>
          <cell r="C2154" t="str">
            <v>NRO</v>
          </cell>
          <cell r="D2154" t="str">
            <v xml:space="preserve">I-ENG </v>
          </cell>
        </row>
        <row r="2155">
          <cell r="A2155" t="str">
            <v>NRO_085</v>
          </cell>
          <cell r="B2155" t="str">
            <v>Baba-Babungo-IHS</v>
          </cell>
          <cell r="C2155" t="str">
            <v>NRO</v>
          </cell>
          <cell r="D2155" t="str">
            <v xml:space="preserve">I-ENG </v>
          </cell>
        </row>
        <row r="2156">
          <cell r="A2156" t="str">
            <v>NRO_089</v>
          </cell>
          <cell r="B2156" t="str">
            <v>Ndu-Mbakfu-IHS</v>
          </cell>
          <cell r="C2156" t="str">
            <v>NRO</v>
          </cell>
          <cell r="D2156" t="str">
            <v xml:space="preserve">I-ENG </v>
          </cell>
        </row>
        <row r="2157">
          <cell r="A2157" t="str">
            <v>NRO_090</v>
          </cell>
          <cell r="B2157" t="str">
            <v>Nkambe-Entrance-IHS</v>
          </cell>
          <cell r="C2157" t="str">
            <v>NRO</v>
          </cell>
          <cell r="D2157" t="str">
            <v xml:space="preserve">I-ENG </v>
          </cell>
        </row>
        <row r="2158">
          <cell r="A2158" t="str">
            <v>NRO_091</v>
          </cell>
          <cell r="B2158" t="str">
            <v>Pinyi-Ngali</v>
          </cell>
          <cell r="C2158" t="str">
            <v>NRO</v>
          </cell>
          <cell r="D2158" t="str">
            <v xml:space="preserve">I-ENG </v>
          </cell>
        </row>
        <row r="2159">
          <cell r="A2159" t="str">
            <v>NRO_098</v>
          </cell>
          <cell r="B2159" t="str">
            <v>Djottin</v>
          </cell>
          <cell r="C2159" t="str">
            <v>NRO</v>
          </cell>
          <cell r="D2159" t="str">
            <v xml:space="preserve">I-ENG </v>
          </cell>
        </row>
        <row r="2160">
          <cell r="A2160" t="str">
            <v>NRO_100</v>
          </cell>
          <cell r="B2160" t="str">
            <v>Bambalang</v>
          </cell>
          <cell r="C2160" t="str">
            <v>NRO</v>
          </cell>
          <cell r="D2160" t="str">
            <v xml:space="preserve">I-ENG </v>
          </cell>
        </row>
        <row r="2161">
          <cell r="A2161" t="str">
            <v>NRO_101</v>
          </cell>
          <cell r="B2161" t="str">
            <v>Ebal-IHS</v>
          </cell>
          <cell r="C2161" t="str">
            <v>NRO</v>
          </cell>
          <cell r="D2161" t="str">
            <v xml:space="preserve">I-ENG </v>
          </cell>
        </row>
        <row r="2162">
          <cell r="A2162" t="str">
            <v>NRO_102</v>
          </cell>
          <cell r="B2162" t="str">
            <v>Bafut-Swie-Hill-IHS</v>
          </cell>
          <cell r="C2162" t="str">
            <v>NRO</v>
          </cell>
          <cell r="D2162" t="str">
            <v xml:space="preserve">I-ENG </v>
          </cell>
        </row>
        <row r="2163">
          <cell r="A2163" t="str">
            <v>NRO_110</v>
          </cell>
          <cell r="B2163" t="str">
            <v>Oku-Marche</v>
          </cell>
          <cell r="C2163" t="str">
            <v>NRO</v>
          </cell>
          <cell r="D2163" t="str">
            <v xml:space="preserve">I-ENG </v>
          </cell>
        </row>
        <row r="2164">
          <cell r="A2164" t="str">
            <v>NRO_111</v>
          </cell>
          <cell r="B2164" t="str">
            <v>Jikejem-II</v>
          </cell>
          <cell r="C2164" t="str">
            <v>NRO</v>
          </cell>
          <cell r="D2164" t="str">
            <v xml:space="preserve">I-ENG </v>
          </cell>
        </row>
        <row r="2165">
          <cell r="A2165" t="str">
            <v>NRO_112</v>
          </cell>
          <cell r="B2165" t="str">
            <v>Bamenda-Bayelle-MTN</v>
          </cell>
          <cell r="C2165" t="str">
            <v>NRO</v>
          </cell>
          <cell r="D2165" t="str">
            <v xml:space="preserve">I-ENG </v>
          </cell>
        </row>
        <row r="2166">
          <cell r="A2166" t="str">
            <v>NRO_136</v>
          </cell>
          <cell r="B2166" t="str">
            <v>Ndop Catholic Church</v>
          </cell>
          <cell r="C2166" t="str">
            <v>NRO</v>
          </cell>
          <cell r="D2166" t="str">
            <v xml:space="preserve">I-ENG </v>
          </cell>
        </row>
        <row r="2167">
          <cell r="A2167" t="str">
            <v>NRO_137</v>
          </cell>
          <cell r="B2167" t="str">
            <v>Ndop Kake Hill</v>
          </cell>
          <cell r="C2167" t="str">
            <v>NRO</v>
          </cell>
          <cell r="D2167" t="str">
            <v xml:space="preserve">I-ENG </v>
          </cell>
        </row>
        <row r="2168">
          <cell r="A2168" t="str">
            <v>NRO_138</v>
          </cell>
          <cell r="B2168" t="str">
            <v>Jakiri Church</v>
          </cell>
          <cell r="C2168" t="str">
            <v>NRO</v>
          </cell>
          <cell r="D2168" t="str">
            <v xml:space="preserve">I-ENG </v>
          </cell>
        </row>
        <row r="2169">
          <cell r="A2169" t="str">
            <v>NRO_142</v>
          </cell>
          <cell r="B2169" t="str">
            <v>Nkar</v>
          </cell>
          <cell r="C2169" t="str">
            <v>NRO</v>
          </cell>
          <cell r="D2169" t="str">
            <v xml:space="preserve">I-ENG </v>
          </cell>
        </row>
        <row r="2170">
          <cell r="A2170" t="str">
            <v>NRO_230</v>
          </cell>
          <cell r="B2170" t="str">
            <v>Sabongari-NRO</v>
          </cell>
          <cell r="C2170" t="str">
            <v>NRO</v>
          </cell>
          <cell r="D2170" t="str">
            <v xml:space="preserve">I-ENG </v>
          </cell>
        </row>
        <row r="2171">
          <cell r="A2171" t="str">
            <v>NRO_231</v>
          </cell>
          <cell r="B2171" t="str">
            <v>Ako</v>
          </cell>
          <cell r="C2171" t="str">
            <v>NRO</v>
          </cell>
          <cell r="D2171" t="str">
            <v xml:space="preserve">I-ENG </v>
          </cell>
        </row>
        <row r="2172">
          <cell r="A2172" t="str">
            <v>NRO_233</v>
          </cell>
          <cell r="B2172" t="str">
            <v>Benakuma</v>
          </cell>
          <cell r="C2172" t="str">
            <v>NRO</v>
          </cell>
          <cell r="D2172" t="str">
            <v xml:space="preserve">I-ENG </v>
          </cell>
        </row>
        <row r="2173">
          <cell r="A2173" t="str">
            <v>NRO_234</v>
          </cell>
          <cell r="B2173" t="str">
            <v>Essu</v>
          </cell>
          <cell r="C2173" t="str">
            <v>NRO</v>
          </cell>
          <cell r="D2173" t="str">
            <v xml:space="preserve">I-ENG </v>
          </cell>
        </row>
        <row r="2174">
          <cell r="A2174" t="str">
            <v>NRO_236</v>
          </cell>
          <cell r="B2174" t="str">
            <v>Mbiame</v>
          </cell>
          <cell r="C2174" t="str">
            <v>NRO</v>
          </cell>
          <cell r="D2174" t="str">
            <v xml:space="preserve">I-ENG </v>
          </cell>
        </row>
        <row r="2175">
          <cell r="A2175" t="str">
            <v>NRO_237</v>
          </cell>
          <cell r="B2175" t="str">
            <v>Misaje</v>
          </cell>
          <cell r="C2175" t="str">
            <v>NRO</v>
          </cell>
          <cell r="D2175" t="str">
            <v xml:space="preserve">I-ENG </v>
          </cell>
        </row>
        <row r="2176">
          <cell r="A2176" t="str">
            <v>NRO_238</v>
          </cell>
          <cell r="B2176" t="str">
            <v>Nkor</v>
          </cell>
          <cell r="C2176" t="str">
            <v>NRO</v>
          </cell>
          <cell r="D2176" t="str">
            <v xml:space="preserve">I-ENG </v>
          </cell>
        </row>
        <row r="2177">
          <cell r="A2177" t="str">
            <v>NRO_239</v>
          </cell>
          <cell r="B2177" t="str">
            <v>Befang-MTN</v>
          </cell>
          <cell r="C2177" t="str">
            <v>NRO</v>
          </cell>
          <cell r="D2177" t="str">
            <v xml:space="preserve">I-ENG </v>
          </cell>
        </row>
        <row r="2178">
          <cell r="A2178" t="str">
            <v>NRO_245</v>
          </cell>
          <cell r="B2178" t="str">
            <v>Ntumbaw</v>
          </cell>
          <cell r="C2178" t="str">
            <v>NRO</v>
          </cell>
          <cell r="D2178" t="str">
            <v xml:space="preserve">I-ENG </v>
          </cell>
        </row>
        <row r="2179">
          <cell r="A2179" t="str">
            <v>NRO_246</v>
          </cell>
          <cell r="B2179" t="str">
            <v>Mbot</v>
          </cell>
          <cell r="C2179" t="str">
            <v>NRO</v>
          </cell>
          <cell r="D2179" t="str">
            <v xml:space="preserve">I-ENG </v>
          </cell>
        </row>
        <row r="2180">
          <cell r="A2180" t="str">
            <v>NRO_258</v>
          </cell>
          <cell r="B2180" t="str">
            <v>Sop-MTN</v>
          </cell>
          <cell r="C2180" t="str">
            <v>NRO</v>
          </cell>
          <cell r="D2180" t="str">
            <v xml:space="preserve">I-ENG </v>
          </cell>
        </row>
        <row r="2181">
          <cell r="A2181" t="str">
            <v>NRO_259</v>
          </cell>
          <cell r="B2181" t="str">
            <v>Baba-MTN</v>
          </cell>
          <cell r="C2181" t="str">
            <v>NRO</v>
          </cell>
          <cell r="D2181" t="str">
            <v xml:space="preserve">I-ENG </v>
          </cell>
        </row>
        <row r="2182">
          <cell r="A2182" t="str">
            <v>SUO_010</v>
          </cell>
          <cell r="B2182" t="str">
            <v>Bambili</v>
          </cell>
          <cell r="C2182" t="str">
            <v>SUO</v>
          </cell>
          <cell r="D2182" t="str">
            <v xml:space="preserve">I-ENG </v>
          </cell>
        </row>
        <row r="2183">
          <cell r="A2183" t="str">
            <v>NRO_002</v>
          </cell>
          <cell r="B2183" t="str">
            <v>Ntumansah</v>
          </cell>
          <cell r="C2183" t="str">
            <v>NRO</v>
          </cell>
          <cell r="D2183" t="str">
            <v xml:space="preserve">I-ENG </v>
          </cell>
        </row>
        <row r="2184">
          <cell r="A2184" t="str">
            <v>NRO_006</v>
          </cell>
          <cell r="B2184" t="str">
            <v>Ndop</v>
          </cell>
          <cell r="C2184" t="str">
            <v>NRO</v>
          </cell>
          <cell r="D2184" t="str">
            <v xml:space="preserve">I-ENG </v>
          </cell>
        </row>
        <row r="2185">
          <cell r="A2185" t="str">
            <v>NRO_009</v>
          </cell>
          <cell r="B2185" t="str">
            <v>Ndu</v>
          </cell>
          <cell r="C2185" t="str">
            <v>NRO</v>
          </cell>
          <cell r="D2185" t="str">
            <v xml:space="preserve">I-ENG </v>
          </cell>
        </row>
        <row r="2186">
          <cell r="A2186" t="str">
            <v>NRO_013</v>
          </cell>
          <cell r="B2186" t="str">
            <v>Oku</v>
          </cell>
          <cell r="C2186" t="str">
            <v>NRO</v>
          </cell>
          <cell r="D2186" t="str">
            <v xml:space="preserve">I-ENG </v>
          </cell>
        </row>
        <row r="2187">
          <cell r="A2187" t="str">
            <v>NRO_017</v>
          </cell>
          <cell r="B2187" t="str">
            <v>Bali</v>
          </cell>
          <cell r="C2187" t="str">
            <v>NRO</v>
          </cell>
          <cell r="D2187" t="str">
            <v xml:space="preserve">I-ENG </v>
          </cell>
        </row>
        <row r="2188">
          <cell r="A2188" t="str">
            <v>NRO_019</v>
          </cell>
          <cell r="B2188" t="str">
            <v>Jakiri</v>
          </cell>
          <cell r="C2188" t="str">
            <v>NRO</v>
          </cell>
          <cell r="D2188" t="str">
            <v xml:space="preserve">I-ENG </v>
          </cell>
        </row>
        <row r="2189">
          <cell r="A2189" t="str">
            <v>NRO_020</v>
          </cell>
          <cell r="B2189" t="str">
            <v>Kumbo-II</v>
          </cell>
          <cell r="C2189" t="str">
            <v>NRO</v>
          </cell>
          <cell r="D2189" t="str">
            <v xml:space="preserve">I-ENG </v>
          </cell>
        </row>
        <row r="2190">
          <cell r="A2190" t="str">
            <v>NRO_021</v>
          </cell>
          <cell r="B2190" t="str">
            <v>Ma</v>
          </cell>
          <cell r="C2190" t="str">
            <v>NRO</v>
          </cell>
          <cell r="D2190" t="str">
            <v xml:space="preserve">I-ENG </v>
          </cell>
        </row>
        <row r="2191">
          <cell r="A2191" t="str">
            <v>NRO_029</v>
          </cell>
          <cell r="B2191" t="str">
            <v>Mankon</v>
          </cell>
          <cell r="C2191" t="str">
            <v>NRO</v>
          </cell>
          <cell r="D2191" t="str">
            <v xml:space="preserve">I-ENG </v>
          </cell>
        </row>
        <row r="2192">
          <cell r="A2192" t="str">
            <v>NRO_045</v>
          </cell>
          <cell r="B2192" t="str">
            <v>Abuenshie</v>
          </cell>
          <cell r="C2192" t="str">
            <v>NRO</v>
          </cell>
          <cell r="D2192" t="str">
            <v xml:space="preserve">I-ENG </v>
          </cell>
        </row>
        <row r="2193">
          <cell r="A2193" t="str">
            <v>NRO_048</v>
          </cell>
          <cell r="B2193" t="str">
            <v>Sabga</v>
          </cell>
          <cell r="C2193" t="str">
            <v>NRO</v>
          </cell>
          <cell r="D2193" t="str">
            <v xml:space="preserve">I-ENG </v>
          </cell>
        </row>
        <row r="2194">
          <cell r="A2194" t="str">
            <v>NRO_050</v>
          </cell>
          <cell r="B2194" t="str">
            <v>Bangolan</v>
          </cell>
          <cell r="C2194" t="str">
            <v>NRO</v>
          </cell>
          <cell r="D2194" t="str">
            <v xml:space="preserve">I-ENG </v>
          </cell>
        </row>
        <row r="2195">
          <cell r="A2195" t="str">
            <v>NRO_051</v>
          </cell>
          <cell r="B2195" t="str">
            <v>Bafanji</v>
          </cell>
          <cell r="C2195" t="str">
            <v>NRO</v>
          </cell>
          <cell r="D2195" t="str">
            <v xml:space="preserve">I-ENG </v>
          </cell>
        </row>
        <row r="2196">
          <cell r="A2196" t="str">
            <v>NRO_059</v>
          </cell>
          <cell r="B2196" t="str">
            <v>Bda-Mankon-Palace-IHS</v>
          </cell>
          <cell r="C2196" t="str">
            <v>NRO</v>
          </cell>
          <cell r="D2196" t="str">
            <v xml:space="preserve">I-ENG </v>
          </cell>
        </row>
        <row r="2197">
          <cell r="A2197" t="str">
            <v>NRO_061</v>
          </cell>
          <cell r="B2197" t="str">
            <v>Bambili-University-IHS</v>
          </cell>
          <cell r="C2197" t="str">
            <v>NRO</v>
          </cell>
          <cell r="D2197" t="str">
            <v xml:space="preserve">I-ENG </v>
          </cell>
        </row>
        <row r="2198">
          <cell r="A2198" t="str">
            <v>NRO_062</v>
          </cell>
          <cell r="B2198" t="str">
            <v>Bda-Kwe-Pastoral-Center-IHS</v>
          </cell>
          <cell r="C2198" t="str">
            <v>NRO</v>
          </cell>
          <cell r="D2198" t="str">
            <v xml:space="preserve">I-ENG </v>
          </cell>
        </row>
        <row r="2199">
          <cell r="A2199" t="str">
            <v>NRO_063</v>
          </cell>
          <cell r="B2199" t="str">
            <v>Bamenda-GTTC-IHS</v>
          </cell>
          <cell r="C2199" t="str">
            <v>NRO</v>
          </cell>
          <cell r="D2199" t="str">
            <v xml:space="preserve">I-ENG </v>
          </cell>
        </row>
        <row r="2200">
          <cell r="A2200" t="str">
            <v>NRO_064</v>
          </cell>
          <cell r="B2200" t="str">
            <v>Bamenda-Abangoh-IHS</v>
          </cell>
          <cell r="C2200" t="str">
            <v>NRO</v>
          </cell>
          <cell r="D2200" t="str">
            <v xml:space="preserve">I-ENG </v>
          </cell>
        </row>
        <row r="2201">
          <cell r="A2201" t="str">
            <v>NRO_065</v>
          </cell>
          <cell r="B2201" t="str">
            <v>Mbatu-IHS</v>
          </cell>
          <cell r="C2201" t="str">
            <v>NRO</v>
          </cell>
          <cell r="D2201" t="str">
            <v xml:space="preserve">I-ENG </v>
          </cell>
        </row>
        <row r="2202">
          <cell r="A2202" t="str">
            <v>NRO_066</v>
          </cell>
          <cell r="B2202" t="str">
            <v>Bda-Bus-Station-IHS</v>
          </cell>
          <cell r="C2202" t="str">
            <v>NRO</v>
          </cell>
          <cell r="D2202" t="str">
            <v xml:space="preserve">I-ENG </v>
          </cell>
        </row>
        <row r="2203">
          <cell r="A2203" t="str">
            <v>NRO_067</v>
          </cell>
          <cell r="B2203" t="str">
            <v>Bambui-Round-About-IHS</v>
          </cell>
          <cell r="C2203" t="str">
            <v>NRO</v>
          </cell>
          <cell r="D2203" t="str">
            <v xml:space="preserve">I-ENG </v>
          </cell>
        </row>
        <row r="2204">
          <cell r="A2204" t="str">
            <v>NRO_068</v>
          </cell>
          <cell r="B2204" t="str">
            <v>Bambili-Round-About-IHS</v>
          </cell>
          <cell r="C2204" t="str">
            <v>NRO</v>
          </cell>
          <cell r="D2204" t="str">
            <v xml:space="preserve">I-ENG </v>
          </cell>
        </row>
        <row r="2205">
          <cell r="A2205" t="str">
            <v>NRO_070</v>
          </cell>
          <cell r="B2205" t="str">
            <v>Bamenda-Meta-Quater-IHS</v>
          </cell>
          <cell r="C2205" t="str">
            <v>NRO</v>
          </cell>
          <cell r="D2205" t="str">
            <v xml:space="preserve">I-ENG </v>
          </cell>
        </row>
        <row r="2206">
          <cell r="A2206" t="str">
            <v>NRO_071</v>
          </cell>
          <cell r="B2206" t="str">
            <v>Jikejem</v>
          </cell>
          <cell r="C2206" t="str">
            <v>NRO</v>
          </cell>
          <cell r="D2206" t="str">
            <v xml:space="preserve">I-ENG </v>
          </cell>
        </row>
        <row r="2207">
          <cell r="A2207" t="str">
            <v>NRO_081</v>
          </cell>
          <cell r="B2207" t="str">
            <v>Njinikom</v>
          </cell>
          <cell r="C2207" t="str">
            <v>NRO</v>
          </cell>
          <cell r="D2207" t="str">
            <v xml:space="preserve">I-ENG </v>
          </cell>
        </row>
        <row r="2208">
          <cell r="A2208" t="str">
            <v>NRO_096</v>
          </cell>
          <cell r="B2208" t="str">
            <v>Kwaja</v>
          </cell>
          <cell r="C2208" t="str">
            <v>NRO</v>
          </cell>
          <cell r="D2208" t="str">
            <v xml:space="preserve">I-ENG </v>
          </cell>
        </row>
        <row r="2209">
          <cell r="A2209" t="str">
            <v>NRO_104</v>
          </cell>
          <cell r="B2209" t="str">
            <v>Santa-New</v>
          </cell>
          <cell r="C2209" t="str">
            <v>NRO</v>
          </cell>
          <cell r="D2209" t="str">
            <v xml:space="preserve">I-ENG </v>
          </cell>
        </row>
        <row r="2210">
          <cell r="A2210" t="str">
            <v>NRO_117</v>
          </cell>
          <cell r="B2210" t="str">
            <v>Bamenda-Mile4-IHS</v>
          </cell>
          <cell r="C2210" t="str">
            <v>NRO</v>
          </cell>
          <cell r="D2210" t="str">
            <v xml:space="preserve">I-ENG </v>
          </cell>
        </row>
        <row r="2211">
          <cell r="A2211" t="str">
            <v>NRO_118</v>
          </cell>
          <cell r="B2211" t="str">
            <v>Bamenda-Sisia-Quater-IHS</v>
          </cell>
          <cell r="C2211" t="str">
            <v>NRO</v>
          </cell>
          <cell r="D2211" t="str">
            <v xml:space="preserve">I-ENG </v>
          </cell>
        </row>
        <row r="2212">
          <cell r="A2212" t="str">
            <v>NRO_119</v>
          </cell>
          <cell r="B2212" t="str">
            <v>Bamenda-Old-Town-IHS</v>
          </cell>
          <cell r="C2212" t="str">
            <v>NRO</v>
          </cell>
          <cell r="D2212" t="str">
            <v xml:space="preserve">I-ENG </v>
          </cell>
        </row>
        <row r="2213">
          <cell r="A2213" t="str">
            <v>NRO_120</v>
          </cell>
          <cell r="B2213" t="str">
            <v>Mulang-IHS</v>
          </cell>
          <cell r="C2213" t="str">
            <v>NRO</v>
          </cell>
          <cell r="D2213" t="str">
            <v xml:space="preserve">I-ENG </v>
          </cell>
        </row>
        <row r="2214">
          <cell r="A2214" t="str">
            <v>NRO_121</v>
          </cell>
          <cell r="B2214" t="str">
            <v>Bamenda-Foncha-Street-IHS</v>
          </cell>
          <cell r="C2214" t="str">
            <v>NRO</v>
          </cell>
          <cell r="D2214" t="str">
            <v xml:space="preserve">I-ENG </v>
          </cell>
        </row>
        <row r="2215">
          <cell r="A2215" t="str">
            <v>NRO_122</v>
          </cell>
          <cell r="B2215" t="str">
            <v>Nitob-IHS</v>
          </cell>
          <cell r="C2215" t="str">
            <v>NRO</v>
          </cell>
          <cell r="D2215" t="str">
            <v xml:space="preserve">I-ENG </v>
          </cell>
        </row>
        <row r="2216">
          <cell r="A2216" t="str">
            <v>NRO_123</v>
          </cell>
          <cell r="B2216" t="str">
            <v>Evidence-Building-IHS</v>
          </cell>
          <cell r="C2216" t="str">
            <v>NRO</v>
          </cell>
          <cell r="D2216" t="str">
            <v xml:space="preserve">I-ENG </v>
          </cell>
        </row>
        <row r="2217">
          <cell r="A2217" t="str">
            <v>NRO_124</v>
          </cell>
          <cell r="B2217" t="str">
            <v>T-junction-IHS</v>
          </cell>
          <cell r="C2217" t="str">
            <v>NRO</v>
          </cell>
          <cell r="D2217" t="str">
            <v xml:space="preserve">I-ENG </v>
          </cell>
        </row>
        <row r="2218">
          <cell r="A2218" t="str">
            <v>NRO_125</v>
          </cell>
          <cell r="B2218" t="str">
            <v>BAMENDA-NCHUOBUH-IHS</v>
          </cell>
          <cell r="C2218" t="str">
            <v>NRO</v>
          </cell>
          <cell r="D2218" t="str">
            <v xml:space="preserve">I-ENG </v>
          </cell>
        </row>
        <row r="2219">
          <cell r="A2219" t="str">
            <v>NRO_126</v>
          </cell>
          <cell r="B2219" t="str">
            <v>Gospel-Radio-IHS</v>
          </cell>
          <cell r="C2219" t="str">
            <v>NRO</v>
          </cell>
          <cell r="D2219" t="str">
            <v xml:space="preserve">I-ENG </v>
          </cell>
        </row>
        <row r="2220">
          <cell r="A2220" t="str">
            <v>NRO_127</v>
          </cell>
          <cell r="B2220" t="str">
            <v>Bamenda-ATTIAH-IHS</v>
          </cell>
          <cell r="C2220" t="str">
            <v>NRO</v>
          </cell>
          <cell r="D2220" t="str">
            <v xml:space="preserve">I-ENG </v>
          </cell>
        </row>
        <row r="2221">
          <cell r="A2221" t="str">
            <v>NRO_128</v>
          </cell>
          <cell r="B2221" t="str">
            <v>Bamenda-Blue-moon-IHS</v>
          </cell>
          <cell r="C2221" t="str">
            <v>NRO</v>
          </cell>
          <cell r="D2221" t="str">
            <v xml:space="preserve">I-ENG </v>
          </cell>
        </row>
        <row r="2222">
          <cell r="A2222" t="str">
            <v>NRO_129</v>
          </cell>
          <cell r="B2222" t="str">
            <v>Bambili-Campus-II-IHS</v>
          </cell>
          <cell r="C2222" t="str">
            <v>NRO</v>
          </cell>
          <cell r="D2222" t="str">
            <v xml:space="preserve">I-ENG </v>
          </cell>
        </row>
        <row r="2223">
          <cell r="A2223" t="str">
            <v>NRO_130</v>
          </cell>
          <cell r="B2223" t="str">
            <v>Bamenda-GRA-IHS</v>
          </cell>
          <cell r="C2223" t="str">
            <v>NRO</v>
          </cell>
          <cell r="D2223" t="str">
            <v xml:space="preserve">I-ENG </v>
          </cell>
        </row>
        <row r="2224">
          <cell r="A2224" t="str">
            <v>NRO_131</v>
          </cell>
          <cell r="B2224" t="str">
            <v>Bamenda-Hospital-Roundabout-IHS</v>
          </cell>
          <cell r="C2224" t="str">
            <v>NRO</v>
          </cell>
          <cell r="D2224" t="str">
            <v xml:space="preserve">I-ENG </v>
          </cell>
        </row>
        <row r="2225">
          <cell r="A2225" t="str">
            <v>NRO_133</v>
          </cell>
          <cell r="B2225" t="str">
            <v>IHS-Bamenda Bujong</v>
          </cell>
          <cell r="C2225" t="str">
            <v>NRO</v>
          </cell>
          <cell r="D2225" t="str">
            <v xml:space="preserve">I-ENG </v>
          </cell>
        </row>
        <row r="2226">
          <cell r="A2226" t="str">
            <v>NRO_134</v>
          </cell>
          <cell r="B2226" t="str">
            <v>Bamenda Ntasen</v>
          </cell>
          <cell r="C2226" t="str">
            <v>NRO</v>
          </cell>
          <cell r="D2226" t="str">
            <v xml:space="preserve">I-ENG </v>
          </cell>
        </row>
        <row r="2227">
          <cell r="A2227" t="str">
            <v>NRO_135</v>
          </cell>
          <cell r="B2227" t="str">
            <v>Bamenda Mile 8</v>
          </cell>
          <cell r="C2227" t="str">
            <v>NRO</v>
          </cell>
          <cell r="D2227" t="str">
            <v xml:space="preserve">I-ENG </v>
          </cell>
        </row>
        <row r="2228">
          <cell r="A2228" t="str">
            <v>NRO_139</v>
          </cell>
          <cell r="B2228" t="str">
            <v>Akum</v>
          </cell>
          <cell r="C2228" t="str">
            <v>NRO</v>
          </cell>
          <cell r="D2228" t="str">
            <v xml:space="preserve">I-ENG </v>
          </cell>
        </row>
        <row r="2229">
          <cell r="A2229" t="str">
            <v>NRO_221</v>
          </cell>
          <cell r="B2229" t="str">
            <v>Nkwein-MTN</v>
          </cell>
          <cell r="C2229" t="str">
            <v>NRO</v>
          </cell>
          <cell r="D2229" t="str">
            <v xml:space="preserve">I-ENG </v>
          </cell>
        </row>
        <row r="2230">
          <cell r="A2230" t="str">
            <v>NRO_222</v>
          </cell>
          <cell r="B2230" t="str">
            <v>Nkwein-Ntambang</v>
          </cell>
          <cell r="C2230" t="str">
            <v>NRO</v>
          </cell>
          <cell r="D2230" t="str">
            <v xml:space="preserve">I-ENG </v>
          </cell>
        </row>
        <row r="2231">
          <cell r="A2231" t="str">
            <v>NRO_226</v>
          </cell>
          <cell r="B2231" t="str">
            <v>Bda-Nitop-II</v>
          </cell>
          <cell r="C2231" t="str">
            <v>NRO</v>
          </cell>
          <cell r="D2231" t="str">
            <v xml:space="preserve">I-ENG </v>
          </cell>
        </row>
        <row r="2232">
          <cell r="A2232" t="str">
            <v>NRO_227</v>
          </cell>
          <cell r="B2232" t="str">
            <v>Bda-Chinde</v>
          </cell>
          <cell r="C2232" t="str">
            <v>NRO</v>
          </cell>
          <cell r="D2232" t="str">
            <v xml:space="preserve">I-ENG </v>
          </cell>
        </row>
        <row r="2233">
          <cell r="A2233" t="str">
            <v>NRO_229</v>
          </cell>
          <cell r="B2233" t="str">
            <v>Mendankwe</v>
          </cell>
          <cell r="C2233" t="str">
            <v>NRO</v>
          </cell>
          <cell r="D2233" t="str">
            <v xml:space="preserve">I-ENG </v>
          </cell>
        </row>
        <row r="2234">
          <cell r="A2234" t="str">
            <v>NRO_240</v>
          </cell>
          <cell r="B2234" t="str">
            <v>Akum-Ville-MTN</v>
          </cell>
          <cell r="C2234" t="str">
            <v>NRO</v>
          </cell>
          <cell r="D2234" t="str">
            <v xml:space="preserve">I-ENG </v>
          </cell>
        </row>
        <row r="2235">
          <cell r="A2235" t="str">
            <v>NRO_243</v>
          </cell>
          <cell r="B2235" t="str">
            <v>Bda-Mulang</v>
          </cell>
          <cell r="C2235" t="str">
            <v>NRO</v>
          </cell>
          <cell r="D2235" t="str">
            <v xml:space="preserve">I-ENG </v>
          </cell>
        </row>
        <row r="2236">
          <cell r="A2236" t="str">
            <v>NRO_244</v>
          </cell>
          <cell r="B2236" t="str">
            <v>Nkwein-Clinic-St-Louis-MTN</v>
          </cell>
          <cell r="C2236" t="str">
            <v>NRO</v>
          </cell>
          <cell r="D2236" t="str">
            <v xml:space="preserve">I-ENG </v>
          </cell>
        </row>
        <row r="2237">
          <cell r="A2237" t="str">
            <v>NRO_247</v>
          </cell>
          <cell r="B2237" t="str">
            <v>Pinyin-New</v>
          </cell>
          <cell r="C2237" t="str">
            <v>NRO</v>
          </cell>
          <cell r="D2237" t="str">
            <v xml:space="preserve">I-ENG </v>
          </cell>
        </row>
        <row r="2238">
          <cell r="A2238" t="str">
            <v>NRO_253</v>
          </cell>
          <cell r="B2238" t="str">
            <v>Bda-Ntamulung-MTN</v>
          </cell>
          <cell r="C2238" t="str">
            <v>NRO</v>
          </cell>
          <cell r="D2238" t="str">
            <v xml:space="preserve">I-ENG </v>
          </cell>
        </row>
        <row r="2239">
          <cell r="A2239" t="str">
            <v>NRO_254</v>
          </cell>
          <cell r="B2239" t="str">
            <v>Bda-Tubah-MTN</v>
          </cell>
          <cell r="C2239" t="str">
            <v>NRO</v>
          </cell>
          <cell r="D2239" t="str">
            <v xml:space="preserve">I-ENG </v>
          </cell>
        </row>
        <row r="2240">
          <cell r="A2240" t="str">
            <v>SUO_009</v>
          </cell>
          <cell r="B2240" t="str">
            <v>Mamfe</v>
          </cell>
          <cell r="C2240" t="str">
            <v>SUO</v>
          </cell>
          <cell r="D2240" t="str">
            <v xml:space="preserve">I-ENG </v>
          </cell>
        </row>
        <row r="2241">
          <cell r="A2241" t="str">
            <v>SUO_015</v>
          </cell>
          <cell r="B2241" t="str">
            <v>Ekok</v>
          </cell>
          <cell r="C2241" t="str">
            <v>SUO</v>
          </cell>
          <cell r="D2241" t="str">
            <v xml:space="preserve">I-ENG </v>
          </cell>
        </row>
        <row r="2242">
          <cell r="A2242" t="str">
            <v>SUO_016</v>
          </cell>
          <cell r="B2242" t="str">
            <v>Eyumojock</v>
          </cell>
          <cell r="C2242" t="str">
            <v>SUO</v>
          </cell>
          <cell r="D2242" t="str">
            <v xml:space="preserve">I-ENG </v>
          </cell>
        </row>
        <row r="2243">
          <cell r="A2243" t="str">
            <v>SUO_022</v>
          </cell>
          <cell r="B2243" t="str">
            <v>Nguti</v>
          </cell>
          <cell r="C2243" t="str">
            <v>SUO</v>
          </cell>
          <cell r="D2243" t="str">
            <v xml:space="preserve">I-ENG </v>
          </cell>
        </row>
        <row r="2244">
          <cell r="A2244" t="str">
            <v>SUO_030</v>
          </cell>
          <cell r="B2244" t="str">
            <v>Bachuo-Ntai</v>
          </cell>
          <cell r="C2244" t="str">
            <v>SUO</v>
          </cell>
          <cell r="D2244" t="str">
            <v xml:space="preserve">I-ENG </v>
          </cell>
        </row>
        <row r="2245">
          <cell r="A2245" t="str">
            <v>SUO_040</v>
          </cell>
          <cell r="B2245" t="str">
            <v>Tinto</v>
          </cell>
          <cell r="C2245" t="str">
            <v>SUO</v>
          </cell>
          <cell r="D2245" t="str">
            <v xml:space="preserve">I-ENG </v>
          </cell>
        </row>
        <row r="2246">
          <cell r="A2246" t="str">
            <v>SUO_073</v>
          </cell>
          <cell r="B2246" t="str">
            <v>Mamfe-Brasserie</v>
          </cell>
          <cell r="C2246" t="str">
            <v>SUO</v>
          </cell>
          <cell r="D2246" t="str">
            <v xml:space="preserve">I-ENG </v>
          </cell>
        </row>
        <row r="2247">
          <cell r="A2247" t="str">
            <v>SUO_089</v>
          </cell>
          <cell r="B2247" t="str">
            <v>Ashum-MTN</v>
          </cell>
          <cell r="C2247" t="str">
            <v>SUO</v>
          </cell>
          <cell r="D2247" t="str">
            <v xml:space="preserve">I-ENG </v>
          </cell>
        </row>
        <row r="2248">
          <cell r="A2248" t="str">
            <v>SUO_100</v>
          </cell>
          <cell r="B2248" t="str">
            <v>Ossing-IHS</v>
          </cell>
          <cell r="C2248" t="str">
            <v>SUO</v>
          </cell>
          <cell r="D2248" t="str">
            <v xml:space="preserve">I-ENG </v>
          </cell>
        </row>
        <row r="2249">
          <cell r="A2249" t="str">
            <v>SUO_102</v>
          </cell>
          <cell r="B2249" t="str">
            <v>Mile29-Mamfe-IHS</v>
          </cell>
          <cell r="C2249" t="str">
            <v>SUO</v>
          </cell>
          <cell r="D2249" t="str">
            <v xml:space="preserve">I-ENG </v>
          </cell>
        </row>
        <row r="2250">
          <cell r="A2250" t="str">
            <v>SUO_107</v>
          </cell>
          <cell r="B2250" t="str">
            <v>Mamfe-Town-HIS</v>
          </cell>
          <cell r="C2250" t="str">
            <v>SUO</v>
          </cell>
          <cell r="D2250" t="str">
            <v xml:space="preserve">I-ENG </v>
          </cell>
        </row>
        <row r="2251">
          <cell r="A2251" t="str">
            <v>SUO_168</v>
          </cell>
          <cell r="B2251" t="str">
            <v>BTS-Mobile-Bachuo-Akagbe</v>
          </cell>
          <cell r="C2251" t="str">
            <v>SUO</v>
          </cell>
          <cell r="D2251" t="str">
            <v xml:space="preserve">I-ENG </v>
          </cell>
        </row>
        <row r="2252">
          <cell r="A2252" t="str">
            <v>NRO_001</v>
          </cell>
          <cell r="B2252" t="str">
            <v>Akum</v>
          </cell>
          <cell r="C2252" t="str">
            <v>NRO</v>
          </cell>
          <cell r="D2252" t="str">
            <v xml:space="preserve">I-ENG </v>
          </cell>
        </row>
        <row r="2253">
          <cell r="A2253" t="str">
            <v>NRO_010</v>
          </cell>
          <cell r="B2253" t="str">
            <v>Batibo</v>
          </cell>
          <cell r="C2253" t="str">
            <v>NRO</v>
          </cell>
          <cell r="D2253" t="str">
            <v xml:space="preserve">I-ENG </v>
          </cell>
        </row>
        <row r="2254">
          <cell r="A2254" t="str">
            <v>NRO_015</v>
          </cell>
          <cell r="B2254" t="str">
            <v>Fundong</v>
          </cell>
          <cell r="C2254" t="str">
            <v>NRO</v>
          </cell>
          <cell r="D2254" t="str">
            <v xml:space="preserve">I-ENG </v>
          </cell>
        </row>
        <row r="2255">
          <cell r="A2255" t="str">
            <v>NRO_026</v>
          </cell>
          <cell r="B2255" t="str">
            <v>Kembong</v>
          </cell>
          <cell r="C2255" t="str">
            <v>NRO</v>
          </cell>
          <cell r="D2255" t="str">
            <v xml:space="preserve">I-ENG </v>
          </cell>
        </row>
        <row r="2256">
          <cell r="A2256" t="str">
            <v>NRO_031</v>
          </cell>
          <cell r="B2256" t="str">
            <v>Mbingo-IHS</v>
          </cell>
          <cell r="C2256" t="str">
            <v>NRO</v>
          </cell>
          <cell r="D2256" t="str">
            <v xml:space="preserve">I-ENG </v>
          </cell>
        </row>
        <row r="2257">
          <cell r="A2257" t="str">
            <v>NRO_032</v>
          </cell>
          <cell r="B2257" t="str">
            <v>Belo</v>
          </cell>
          <cell r="C2257" t="str">
            <v>NRO</v>
          </cell>
          <cell r="D2257" t="str">
            <v xml:space="preserve">I-ENG </v>
          </cell>
        </row>
        <row r="2258">
          <cell r="A2258" t="str">
            <v>NRO_041</v>
          </cell>
          <cell r="B2258" t="str">
            <v>Muchemni-Fundong-IHS</v>
          </cell>
          <cell r="C2258" t="str">
            <v>NRO</v>
          </cell>
          <cell r="D2258" t="str">
            <v xml:space="preserve">I-ENG </v>
          </cell>
        </row>
        <row r="2259">
          <cell r="A2259" t="str">
            <v>NRO_047</v>
          </cell>
          <cell r="B2259" t="str">
            <v>Bafmeng</v>
          </cell>
          <cell r="C2259" t="str">
            <v>NRO</v>
          </cell>
          <cell r="D2259" t="str">
            <v xml:space="preserve">I-ENG </v>
          </cell>
        </row>
        <row r="2260">
          <cell r="A2260" t="str">
            <v>NRO_058</v>
          </cell>
          <cell r="B2260" t="str">
            <v>Babanki-IHS</v>
          </cell>
          <cell r="C2260" t="str">
            <v>NRO</v>
          </cell>
          <cell r="D2260" t="str">
            <v xml:space="preserve">I-ENG </v>
          </cell>
        </row>
        <row r="2261">
          <cell r="A2261" t="str">
            <v>NRO_079</v>
          </cell>
          <cell r="B2261" t="str">
            <v>Abuh</v>
          </cell>
          <cell r="C2261" t="str">
            <v>NRO</v>
          </cell>
          <cell r="D2261" t="str">
            <v xml:space="preserve">I-ENG </v>
          </cell>
        </row>
        <row r="2262">
          <cell r="A2262" t="str">
            <v>NRO_086</v>
          </cell>
          <cell r="B2262" t="str">
            <v>Berore-IHS</v>
          </cell>
          <cell r="C2262" t="str">
            <v>NRO</v>
          </cell>
          <cell r="D2262" t="str">
            <v xml:space="preserve">I-ENG </v>
          </cell>
        </row>
        <row r="2263">
          <cell r="A2263" t="str">
            <v>NRO_088</v>
          </cell>
          <cell r="B2263" t="str">
            <v>Nchum-IHS</v>
          </cell>
          <cell r="C2263" t="str">
            <v>NRO</v>
          </cell>
          <cell r="D2263" t="str">
            <v xml:space="preserve">I-ENG </v>
          </cell>
        </row>
        <row r="2264">
          <cell r="A2264" t="str">
            <v>NRO_092</v>
          </cell>
          <cell r="B2264" t="str">
            <v>Fundong-FM</v>
          </cell>
          <cell r="C2264" t="str">
            <v>NRO</v>
          </cell>
          <cell r="D2264" t="str">
            <v xml:space="preserve">I-ENG </v>
          </cell>
        </row>
        <row r="2265">
          <cell r="A2265" t="str">
            <v>NRO_113</v>
          </cell>
          <cell r="B2265" t="str">
            <v>Bamenda-Park-Pharmacy-MTN</v>
          </cell>
          <cell r="C2265" t="str">
            <v>NRO</v>
          </cell>
          <cell r="D2265" t="str">
            <v xml:space="preserve">I-ENG </v>
          </cell>
        </row>
        <row r="2266">
          <cell r="A2266" t="str">
            <v>NRO_217</v>
          </cell>
          <cell r="B2266" t="str">
            <v>MBINGO-MTN</v>
          </cell>
          <cell r="C2266" t="str">
            <v>NRO</v>
          </cell>
          <cell r="D2266" t="str">
            <v xml:space="preserve">I-ENG </v>
          </cell>
        </row>
        <row r="2267">
          <cell r="A2267" t="str">
            <v>NRO_218</v>
          </cell>
          <cell r="B2267" t="str">
            <v>Andek</v>
          </cell>
          <cell r="C2267" t="str">
            <v>NRO</v>
          </cell>
          <cell r="D2267" t="str">
            <v xml:space="preserve">I-ENG </v>
          </cell>
        </row>
        <row r="2268">
          <cell r="A2268" t="str">
            <v>NRO_219</v>
          </cell>
          <cell r="B2268" t="str">
            <v>Widikum</v>
          </cell>
          <cell r="C2268" t="str">
            <v>NRO</v>
          </cell>
          <cell r="D2268" t="str">
            <v xml:space="preserve">I-ENG </v>
          </cell>
        </row>
        <row r="2269">
          <cell r="A2269" t="str">
            <v>NRO_248</v>
          </cell>
          <cell r="B2269" t="str">
            <v>Awing</v>
          </cell>
          <cell r="C2269" t="str">
            <v>NRO</v>
          </cell>
          <cell r="D2269" t="str">
            <v xml:space="preserve">I-ENG </v>
          </cell>
        </row>
        <row r="2270">
          <cell r="A2270" t="str">
            <v>NRO_255</v>
          </cell>
          <cell r="B2270" t="str">
            <v>Mbakong-MTN</v>
          </cell>
          <cell r="C2270" t="str">
            <v>NRO</v>
          </cell>
          <cell r="D2270" t="str">
            <v xml:space="preserve">I-ENG </v>
          </cell>
        </row>
        <row r="2271">
          <cell r="A2271" t="str">
            <v>NRO_256</v>
          </cell>
          <cell r="B2271" t="str">
            <v>Aguli-MTN</v>
          </cell>
          <cell r="C2271" t="str">
            <v>NRO</v>
          </cell>
          <cell r="D2271" t="str">
            <v xml:space="preserve">I-ENG </v>
          </cell>
        </row>
        <row r="2272">
          <cell r="A2272" t="str">
            <v>NRO_261</v>
          </cell>
          <cell r="B2272" t="str">
            <v>Number49-MTN</v>
          </cell>
          <cell r="C2272" t="str">
            <v>NRO</v>
          </cell>
          <cell r="D2272" t="str">
            <v xml:space="preserve">I-ENG </v>
          </cell>
        </row>
        <row r="2273">
          <cell r="A2273" t="str">
            <v>OST_113</v>
          </cell>
          <cell r="B2273" t="str">
            <v>Bda-Titam-Naka</v>
          </cell>
          <cell r="C2273" t="str">
            <v>OST</v>
          </cell>
          <cell r="D2273" t="str">
            <v xml:space="preserve">I-ENG </v>
          </cell>
        </row>
        <row r="2274">
          <cell r="A2274" t="str">
            <v>LIT_727</v>
          </cell>
          <cell r="B2274" t="str">
            <v>SS</v>
          </cell>
          <cell r="C2274" t="str">
            <v>LIT</v>
          </cell>
          <cell r="D2274" t="str">
            <v>H-TELI</v>
          </cell>
        </row>
        <row r="2275">
          <cell r="A2275" t="str">
            <v>LIT_734</v>
          </cell>
          <cell r="B2275" t="str">
            <v>Carrefour-Mezzanine-Floor</v>
          </cell>
          <cell r="C2275" t="str">
            <v>LIT</v>
          </cell>
          <cell r="D2275" t="str">
            <v>H-TELI</v>
          </cell>
        </row>
        <row r="2276">
          <cell r="A2276" t="str">
            <v>LIT_762</v>
          </cell>
          <cell r="B2276" t="str">
            <v>Dubai</v>
          </cell>
          <cell r="C2276" t="str">
            <v>LIT</v>
          </cell>
          <cell r="D2276" t="str">
            <v>H-TELI</v>
          </cell>
        </row>
        <row r="2277">
          <cell r="A2277" t="str">
            <v>CRTV_Ya</v>
          </cell>
          <cell r="B2277" t="str">
            <v>CRTV</v>
          </cell>
          <cell r="C2277" t="str">
            <v>CRT</v>
          </cell>
          <cell r="D2277" t="str">
            <v>TELEINFRA CENTRE</v>
          </cell>
        </row>
        <row r="2278">
          <cell r="A2278" t="str">
            <v>SUD_137</v>
          </cell>
          <cell r="B2278" t="str">
            <v>BTS-Mobile-Esong</v>
          </cell>
          <cell r="C2278" t="str">
            <v>SUD</v>
          </cell>
          <cell r="D2278" t="str">
            <v>TELEINFRA CENTRE</v>
          </cell>
        </row>
        <row r="2279">
          <cell r="A2279" t="str">
            <v>SUO_235</v>
          </cell>
          <cell r="B2279" t="str">
            <v>Limbe-Ngueme</v>
          </cell>
          <cell r="C2279" t="str">
            <v>SUO</v>
          </cell>
          <cell r="D2279" t="str">
            <v>H-TELI</v>
          </cell>
        </row>
        <row r="2280">
          <cell r="A2280" t="str">
            <v>SUO_240</v>
          </cell>
          <cell r="D2280" t="str">
            <v>H-TELI</v>
          </cell>
        </row>
        <row r="2281">
          <cell r="A2281" t="str">
            <v>SUD_122</v>
          </cell>
          <cell r="D2281" t="str">
            <v>TELEINFRA CENTRE</v>
          </cell>
        </row>
        <row r="2282">
          <cell r="A2282" t="str">
            <v>OST_102</v>
          </cell>
          <cell r="D2282" t="str">
            <v xml:space="preserve">I-ENG </v>
          </cell>
        </row>
        <row r="2283">
          <cell r="A2283" t="str">
            <v>OST_089</v>
          </cell>
          <cell r="D2283" t="str">
            <v>H-TELI</v>
          </cell>
        </row>
        <row r="2284">
          <cell r="A2284" t="str">
            <v>ADM_185</v>
          </cell>
          <cell r="D2284" t="str">
            <v>TELEINFRA NORD</v>
          </cell>
        </row>
        <row r="2285">
          <cell r="A2285" t="str">
            <v>SUO_245</v>
          </cell>
          <cell r="D2285" t="str">
            <v xml:space="preserve">I-ENG </v>
          </cell>
        </row>
        <row r="2286">
          <cell r="A2286" t="str">
            <v>SUD_117</v>
          </cell>
          <cell r="D2286" t="str">
            <v>TELEINFRA CENTRE</v>
          </cell>
        </row>
        <row r="2287">
          <cell r="A2287" t="str">
            <v>NRD_189</v>
          </cell>
          <cell r="D2287" t="str">
            <v>TELEINFRA NORD</v>
          </cell>
        </row>
        <row r="2288">
          <cell r="A2288" t="str">
            <v>SUO_037</v>
          </cell>
          <cell r="D2288" t="str">
            <v>H-TELI</v>
          </cell>
        </row>
      </sheetData>
      <sheetData sheetId="6" refreshError="1"/>
      <sheetData sheetId="7" refreshError="1">
        <row r="1">
          <cell r="A1" t="str">
            <v xml:space="preserve"> Operator Site ID</v>
          </cell>
          <cell r="B1" t="str">
            <v>Name</v>
          </cell>
          <cell r="C1" t="str">
            <v>Provider</v>
          </cell>
          <cell r="D1" t="str">
            <v>Final Topology</v>
          </cell>
        </row>
        <row r="2">
          <cell r="A2" t="str">
            <v>NRO_019</v>
          </cell>
          <cell r="B2" t="str">
            <v>HIS</v>
          </cell>
          <cell r="C2" t="str">
            <v>TowerCo</v>
          </cell>
          <cell r="D2" t="str">
            <v>Grid-Gen</v>
          </cell>
        </row>
        <row r="3">
          <cell r="A3" t="str">
            <v>NRO_006</v>
          </cell>
          <cell r="B3" t="str">
            <v>HIS</v>
          </cell>
          <cell r="C3" t="str">
            <v>TowerCo</v>
          </cell>
          <cell r="D3" t="str">
            <v>Grid-Hybrid-Gen</v>
          </cell>
        </row>
        <row r="4">
          <cell r="A4" t="str">
            <v>NRO_020</v>
          </cell>
          <cell r="B4" t="str">
            <v>HIS</v>
          </cell>
          <cell r="C4" t="str">
            <v>TowerCo</v>
          </cell>
          <cell r="D4" t="str">
            <v>Grid-Gen</v>
          </cell>
        </row>
        <row r="5">
          <cell r="A5" t="str">
            <v>SUO_030</v>
          </cell>
          <cell r="B5" t="str">
            <v>HIS</v>
          </cell>
          <cell r="C5" t="str">
            <v>TowerCo</v>
          </cell>
          <cell r="D5" t="str">
            <v>Grid-Gen</v>
          </cell>
        </row>
        <row r="6">
          <cell r="A6" t="str">
            <v>SUO_010</v>
          </cell>
          <cell r="B6" t="str">
            <v>HIS</v>
          </cell>
          <cell r="C6" t="str">
            <v>TowerCo</v>
          </cell>
          <cell r="D6" t="str">
            <v>Grid-Gen</v>
          </cell>
        </row>
        <row r="7">
          <cell r="A7" t="str">
            <v>NRO_036</v>
          </cell>
          <cell r="B7" t="str">
            <v>HIS</v>
          </cell>
          <cell r="C7" t="str">
            <v>TowerCo</v>
          </cell>
          <cell r="D7" t="str">
            <v>Grid-Gen</v>
          </cell>
        </row>
        <row r="8">
          <cell r="A8" t="str">
            <v>NRO_002</v>
          </cell>
          <cell r="B8" t="str">
            <v>HIS</v>
          </cell>
          <cell r="C8" t="str">
            <v>TowerCo</v>
          </cell>
          <cell r="D8" t="str">
            <v>Grid-Gen</v>
          </cell>
        </row>
        <row r="9">
          <cell r="A9" t="str">
            <v>NRO_029</v>
          </cell>
          <cell r="B9" t="str">
            <v>HIS</v>
          </cell>
          <cell r="C9" t="str">
            <v>TowerCo</v>
          </cell>
          <cell r="D9" t="str">
            <v>Grid-Gen</v>
          </cell>
        </row>
        <row r="10">
          <cell r="A10" t="str">
            <v>NRO_226</v>
          </cell>
          <cell r="B10" t="str">
            <v>HIS</v>
          </cell>
          <cell r="C10" t="str">
            <v>TowerCo</v>
          </cell>
          <cell r="D10" t="str">
            <v>Grid-Gen</v>
          </cell>
        </row>
        <row r="11">
          <cell r="A11" t="str">
            <v>NRO_253</v>
          </cell>
          <cell r="B11" t="str">
            <v>HIS</v>
          </cell>
          <cell r="C11" t="str">
            <v>TowerCo</v>
          </cell>
          <cell r="D11" t="str">
            <v>Grid-Gen</v>
          </cell>
        </row>
        <row r="12">
          <cell r="A12" t="str">
            <v>NRO_221</v>
          </cell>
          <cell r="B12" t="str">
            <v>HIS</v>
          </cell>
          <cell r="C12" t="str">
            <v>TowerCo</v>
          </cell>
          <cell r="D12" t="str">
            <v>Grid-Gen</v>
          </cell>
        </row>
        <row r="13">
          <cell r="A13" t="str">
            <v>NRO_048</v>
          </cell>
          <cell r="B13" t="str">
            <v>HIS</v>
          </cell>
          <cell r="C13" t="str">
            <v>TowerCo</v>
          </cell>
          <cell r="D13" t="str">
            <v>Grid-Gen</v>
          </cell>
        </row>
        <row r="14">
          <cell r="A14" t="str">
            <v>NRO_236</v>
          </cell>
          <cell r="B14" t="str">
            <v>HIS</v>
          </cell>
          <cell r="C14" t="str">
            <v>TowerCo</v>
          </cell>
          <cell r="D14" t="str">
            <v>Grid-Gen</v>
          </cell>
        </row>
        <row r="15">
          <cell r="A15" t="str">
            <v>NRO_231</v>
          </cell>
          <cell r="B15" t="str">
            <v>HIS</v>
          </cell>
          <cell r="C15" t="str">
            <v>TowerCo</v>
          </cell>
          <cell r="D15" t="str">
            <v>Grid-Gen</v>
          </cell>
        </row>
        <row r="16">
          <cell r="A16" t="str">
            <v>NRO_248</v>
          </cell>
          <cell r="B16" t="str">
            <v>HIS</v>
          </cell>
          <cell r="C16" t="str">
            <v>TowerCo</v>
          </cell>
          <cell r="D16" t="str">
            <v>Grid-Gen</v>
          </cell>
        </row>
        <row r="17">
          <cell r="A17" t="str">
            <v>NRO_011</v>
          </cell>
          <cell r="B17" t="str">
            <v>HIS</v>
          </cell>
          <cell r="C17" t="str">
            <v>TowerCo</v>
          </cell>
          <cell r="D17" t="str">
            <v>Grid-Gen</v>
          </cell>
        </row>
        <row r="18">
          <cell r="A18" t="str">
            <v>NRO_227</v>
          </cell>
          <cell r="B18" t="str">
            <v>HIS</v>
          </cell>
          <cell r="C18" t="str">
            <v>TowerCo</v>
          </cell>
          <cell r="D18" t="str">
            <v>Grid-Gen</v>
          </cell>
        </row>
        <row r="19">
          <cell r="A19" t="str">
            <v>NRO_229</v>
          </cell>
          <cell r="B19" t="str">
            <v>HIS</v>
          </cell>
          <cell r="C19" t="str">
            <v>TowerCo</v>
          </cell>
          <cell r="D19" t="str">
            <v>Grid-Gen</v>
          </cell>
        </row>
        <row r="20">
          <cell r="A20" t="str">
            <v>NRO_010</v>
          </cell>
          <cell r="B20" t="str">
            <v>Bonateki-New</v>
          </cell>
          <cell r="C20" t="str">
            <v>TowerCo</v>
          </cell>
          <cell r="D20" t="str">
            <v>Grid-Gen</v>
          </cell>
        </row>
        <row r="21">
          <cell r="A21" t="str">
            <v>SUO_073</v>
          </cell>
          <cell r="B21" t="str">
            <v>HIS</v>
          </cell>
          <cell r="C21" t="str">
            <v>TowerCo</v>
          </cell>
          <cell r="D21" t="str">
            <v>Grid-Gen</v>
          </cell>
        </row>
        <row r="22">
          <cell r="A22" t="str">
            <v>SUO_015</v>
          </cell>
          <cell r="B22" t="str">
            <v>HIS</v>
          </cell>
          <cell r="C22" t="str">
            <v>TowerCo</v>
          </cell>
          <cell r="D22" t="str">
            <v>Grid-Gen</v>
          </cell>
        </row>
        <row r="23">
          <cell r="A23" t="str">
            <v>OST_113</v>
          </cell>
          <cell r="B23" t="str">
            <v>HIS</v>
          </cell>
          <cell r="C23" t="str">
            <v>TowerCo</v>
          </cell>
          <cell r="D23" t="str">
            <v>Grid-Gen</v>
          </cell>
        </row>
        <row r="24">
          <cell r="A24" t="str">
            <v>NRO_219</v>
          </cell>
          <cell r="B24" t="str">
            <v>HIS</v>
          </cell>
          <cell r="C24" t="str">
            <v>TowerCo</v>
          </cell>
          <cell r="D24" t="str">
            <v>Vandalized</v>
          </cell>
        </row>
        <row r="25">
          <cell r="A25" t="str">
            <v>NRO_238</v>
          </cell>
          <cell r="B25" t="str">
            <v>HIS</v>
          </cell>
          <cell r="C25" t="str">
            <v>TowerCo</v>
          </cell>
          <cell r="D25" t="str">
            <v>Solar-Gen</v>
          </cell>
        </row>
        <row r="26">
          <cell r="A26" t="str">
            <v>SUO_016</v>
          </cell>
          <cell r="B26" t="str">
            <v>HIS</v>
          </cell>
          <cell r="C26" t="str">
            <v>TowerCo</v>
          </cell>
          <cell r="D26" t="str">
            <v>Solar-Gen</v>
          </cell>
        </row>
        <row r="27">
          <cell r="A27" t="str">
            <v>NRO_218</v>
          </cell>
          <cell r="B27" t="str">
            <v>HIS</v>
          </cell>
          <cell r="C27" t="str">
            <v>TowerCo</v>
          </cell>
          <cell r="D27" t="str">
            <v>Vandalized</v>
          </cell>
        </row>
        <row r="28">
          <cell r="A28" t="str">
            <v>NRO_018</v>
          </cell>
          <cell r="B28" t="str">
            <v>HIS</v>
          </cell>
          <cell r="C28" t="str">
            <v>TowerCo</v>
          </cell>
          <cell r="D28" t="str">
            <v>Hybrid-Gen</v>
          </cell>
        </row>
        <row r="29">
          <cell r="A29" t="str">
            <v>NRO_091</v>
          </cell>
          <cell r="B29" t="str">
            <v>HIS</v>
          </cell>
          <cell r="C29" t="str">
            <v>TowerCo</v>
          </cell>
          <cell r="D29" t="str">
            <v>Solar-Gen</v>
          </cell>
        </row>
        <row r="30">
          <cell r="A30" t="str">
            <v>NRO_022</v>
          </cell>
          <cell r="B30" t="str">
            <v>HIS</v>
          </cell>
          <cell r="C30" t="str">
            <v>TowerCo</v>
          </cell>
          <cell r="D30" t="str">
            <v>Gen Only</v>
          </cell>
        </row>
        <row r="31">
          <cell r="A31" t="str">
            <v>NRO_088</v>
          </cell>
          <cell r="B31" t="str">
            <v>HIS</v>
          </cell>
          <cell r="C31" t="str">
            <v>TowerCo</v>
          </cell>
          <cell r="D31" t="str">
            <v>Hybrid-Gen</v>
          </cell>
        </row>
        <row r="32">
          <cell r="A32" t="str">
            <v>NRO_065</v>
          </cell>
          <cell r="B32" t="str">
            <v>HIS</v>
          </cell>
          <cell r="C32" t="str">
            <v>TowerCo</v>
          </cell>
          <cell r="D32" t="str">
            <v>Grid-Gen</v>
          </cell>
        </row>
        <row r="33">
          <cell r="A33" t="str">
            <v>NRO_086</v>
          </cell>
          <cell r="B33" t="str">
            <v>HIS</v>
          </cell>
          <cell r="C33" t="str">
            <v>TowerCo</v>
          </cell>
          <cell r="D33" t="str">
            <v>Gen Only</v>
          </cell>
        </row>
        <row r="34">
          <cell r="A34" t="str">
            <v>NRO_119</v>
          </cell>
          <cell r="B34" t="str">
            <v>HIS</v>
          </cell>
          <cell r="C34" t="str">
            <v>TowerCo</v>
          </cell>
          <cell r="D34" t="str">
            <v>Grid-Gen</v>
          </cell>
        </row>
        <row r="35">
          <cell r="A35" t="str">
            <v>NRO_127</v>
          </cell>
          <cell r="B35" t="str">
            <v>HIS</v>
          </cell>
          <cell r="C35" t="str">
            <v>TowerCo</v>
          </cell>
          <cell r="D35" t="str">
            <v>Grid-Gen</v>
          </cell>
        </row>
        <row r="36">
          <cell r="A36" t="str">
            <v>NRO_085</v>
          </cell>
          <cell r="B36" t="str">
            <v>HIS</v>
          </cell>
          <cell r="C36" t="str">
            <v>TowerCo</v>
          </cell>
          <cell r="D36" t="str">
            <v>Grid-Hybrid-Gen</v>
          </cell>
        </row>
        <row r="37">
          <cell r="A37" t="str">
            <v>NRO_076</v>
          </cell>
          <cell r="B37" t="str">
            <v>HIS</v>
          </cell>
          <cell r="C37" t="str">
            <v>TowerCo</v>
          </cell>
          <cell r="D37" t="str">
            <v>Gen Only</v>
          </cell>
        </row>
        <row r="38">
          <cell r="A38" t="str">
            <v>NRO_124</v>
          </cell>
          <cell r="B38" t="str">
            <v>HIS</v>
          </cell>
          <cell r="C38" t="str">
            <v>TowerCo</v>
          </cell>
          <cell r="D38" t="str">
            <v>Grid-Gen</v>
          </cell>
        </row>
        <row r="39">
          <cell r="A39" t="str">
            <v>NRO_120</v>
          </cell>
          <cell r="B39" t="str">
            <v>HIS</v>
          </cell>
          <cell r="C39" t="str">
            <v>TowerCo</v>
          </cell>
          <cell r="D39" t="str">
            <v>Grid-Gen</v>
          </cell>
        </row>
        <row r="40">
          <cell r="A40" t="str">
            <v>NRO_123</v>
          </cell>
          <cell r="B40" t="str">
            <v>HIS</v>
          </cell>
          <cell r="C40" t="str">
            <v>TowerCo</v>
          </cell>
          <cell r="D40" t="str">
            <v>Grid-Gen</v>
          </cell>
        </row>
        <row r="41">
          <cell r="A41" t="str">
            <v>NRO_244</v>
          </cell>
          <cell r="B41" t="str">
            <v>HIS</v>
          </cell>
          <cell r="C41" t="str">
            <v>TowerCo</v>
          </cell>
          <cell r="D41" t="str">
            <v>Grid-Gen</v>
          </cell>
        </row>
        <row r="42">
          <cell r="A42" t="str">
            <v>NRO_126</v>
          </cell>
          <cell r="B42" t="str">
            <v>HIS</v>
          </cell>
          <cell r="C42" t="str">
            <v>TowerCo</v>
          </cell>
          <cell r="D42" t="str">
            <v>Grid-Gen</v>
          </cell>
        </row>
        <row r="43">
          <cell r="A43" t="str">
            <v>NRO_061</v>
          </cell>
          <cell r="B43" t="str">
            <v>HIS</v>
          </cell>
          <cell r="C43" t="str">
            <v>TowerCo</v>
          </cell>
          <cell r="D43" t="str">
            <v>Grid-Gen</v>
          </cell>
        </row>
        <row r="44">
          <cell r="A44" t="str">
            <v>NRO_118</v>
          </cell>
          <cell r="B44" t="str">
            <v>HIS</v>
          </cell>
          <cell r="C44" t="str">
            <v>TowerCo</v>
          </cell>
          <cell r="D44" t="str">
            <v>Grid-Gen</v>
          </cell>
        </row>
        <row r="45">
          <cell r="A45" t="str">
            <v>NRO_131</v>
          </cell>
          <cell r="B45" t="str">
            <v>HIS</v>
          </cell>
          <cell r="C45" t="str">
            <v>TowerCo</v>
          </cell>
          <cell r="D45" t="str">
            <v>Grid-Gen</v>
          </cell>
        </row>
        <row r="46">
          <cell r="A46" t="str">
            <v>NRO_066</v>
          </cell>
          <cell r="B46" t="str">
            <v>HIS</v>
          </cell>
          <cell r="C46" t="str">
            <v>TowerCo</v>
          </cell>
          <cell r="D46" t="str">
            <v>Grid-Gen</v>
          </cell>
        </row>
        <row r="47">
          <cell r="A47" t="str">
            <v>NRO_059</v>
          </cell>
          <cell r="B47" t="str">
            <v>HIS</v>
          </cell>
          <cell r="C47" t="str">
            <v>TowerCo</v>
          </cell>
          <cell r="D47" t="str">
            <v>Grid-Gen</v>
          </cell>
        </row>
        <row r="48">
          <cell r="A48" t="str">
            <v>NRO_110</v>
          </cell>
          <cell r="B48" t="str">
            <v>HIS</v>
          </cell>
          <cell r="C48" t="str">
            <v>TowerCo</v>
          </cell>
          <cell r="D48" t="str">
            <v>Grid-Gen</v>
          </cell>
        </row>
        <row r="49">
          <cell r="A49" t="str">
            <v>NRO_103</v>
          </cell>
          <cell r="B49" t="str">
            <v>HIS</v>
          </cell>
          <cell r="C49" t="str">
            <v>TowerCo</v>
          </cell>
          <cell r="D49" t="str">
            <v>Grid-Gen</v>
          </cell>
        </row>
        <row r="50">
          <cell r="A50" t="str">
            <v>NRO_039</v>
          </cell>
          <cell r="B50" t="str">
            <v>HIS</v>
          </cell>
          <cell r="C50" t="str">
            <v>TowerCo</v>
          </cell>
          <cell r="D50" t="str">
            <v>Grid-Gen</v>
          </cell>
        </row>
        <row r="51">
          <cell r="A51" t="str">
            <v>NRO_254</v>
          </cell>
          <cell r="B51" t="str">
            <v>HIS</v>
          </cell>
          <cell r="C51" t="str">
            <v>TowerCo</v>
          </cell>
          <cell r="D51" t="str">
            <v>Grid-Gen</v>
          </cell>
        </row>
        <row r="52">
          <cell r="A52" t="str">
            <v>NRO_026</v>
          </cell>
          <cell r="B52" t="str">
            <v>HIS</v>
          </cell>
          <cell r="C52" t="str">
            <v>TowerCo</v>
          </cell>
          <cell r="D52" t="str">
            <v>Grid-Gen</v>
          </cell>
        </row>
        <row r="53">
          <cell r="A53" t="str">
            <v>NRO_063</v>
          </cell>
          <cell r="B53" t="str">
            <v>HIS</v>
          </cell>
          <cell r="C53" t="str">
            <v>TowerCo</v>
          </cell>
          <cell r="D53" t="str">
            <v>Grid-Gen</v>
          </cell>
        </row>
        <row r="54">
          <cell r="A54" t="str">
            <v>NRO_104</v>
          </cell>
          <cell r="B54" t="str">
            <v>HIS</v>
          </cell>
          <cell r="C54" t="str">
            <v>TowerCo</v>
          </cell>
          <cell r="D54" t="str">
            <v>Grid-Gen</v>
          </cell>
        </row>
        <row r="55">
          <cell r="A55" t="str">
            <v>NRO_122</v>
          </cell>
          <cell r="B55" t="str">
            <v>HIS</v>
          </cell>
          <cell r="C55" t="str">
            <v>TowerCo</v>
          </cell>
          <cell r="D55" t="str">
            <v>Grid-Gen</v>
          </cell>
        </row>
        <row r="56">
          <cell r="A56" t="str">
            <v>SUO_100</v>
          </cell>
          <cell r="B56" t="str">
            <v>HIS</v>
          </cell>
          <cell r="C56" t="str">
            <v>TowerCo</v>
          </cell>
          <cell r="D56" t="str">
            <v>Hybrid-Gen</v>
          </cell>
        </row>
        <row r="57">
          <cell r="A57" t="str">
            <v>NRO_261</v>
          </cell>
          <cell r="B57" t="str">
            <v>HIS</v>
          </cell>
          <cell r="C57" t="str">
            <v>TowerCo</v>
          </cell>
          <cell r="D57" t="str">
            <v>Grid-Gen</v>
          </cell>
        </row>
        <row r="58">
          <cell r="A58" t="str">
            <v>SUO_053</v>
          </cell>
          <cell r="B58" t="str">
            <v>HIS</v>
          </cell>
          <cell r="C58" t="str">
            <v>TowerCo</v>
          </cell>
          <cell r="D58" t="str">
            <v>Hybrid-Gen</v>
          </cell>
        </row>
        <row r="59">
          <cell r="A59" t="str">
            <v>NRO_255</v>
          </cell>
          <cell r="B59" t="str">
            <v>HIS</v>
          </cell>
          <cell r="C59" t="str">
            <v>TowerCo</v>
          </cell>
          <cell r="D59" t="str">
            <v>Hybrid-Gen</v>
          </cell>
        </row>
        <row r="60">
          <cell r="A60" t="str">
            <v>SUO_107</v>
          </cell>
          <cell r="B60" t="str">
            <v>HIS</v>
          </cell>
          <cell r="C60" t="str">
            <v>TowerCo</v>
          </cell>
          <cell r="D60" t="str">
            <v>Gen Only</v>
          </cell>
        </row>
        <row r="61">
          <cell r="A61" t="str">
            <v>NRO_239</v>
          </cell>
          <cell r="B61" t="str">
            <v>HIS</v>
          </cell>
          <cell r="C61" t="str">
            <v>TowerCo</v>
          </cell>
          <cell r="D61" t="str">
            <v>Gen Only</v>
          </cell>
        </row>
        <row r="62">
          <cell r="A62" t="str">
            <v>SUO_089</v>
          </cell>
          <cell r="B62" t="str">
            <v>HIS</v>
          </cell>
          <cell r="C62" t="str">
            <v>TowerCo</v>
          </cell>
          <cell r="D62" t="str">
            <v>Gen Only</v>
          </cell>
        </row>
        <row r="63">
          <cell r="A63" t="str">
            <v>SUO_102</v>
          </cell>
          <cell r="B63" t="str">
            <v>HIS</v>
          </cell>
          <cell r="C63" t="str">
            <v>TowerCo</v>
          </cell>
          <cell r="D63" t="str">
            <v>Solar-Gen</v>
          </cell>
        </row>
        <row r="64">
          <cell r="A64" t="str">
            <v>NRO_129</v>
          </cell>
          <cell r="B64" t="str">
            <v>HIS</v>
          </cell>
          <cell r="C64" t="str">
            <v>TowerCo</v>
          </cell>
          <cell r="D64" t="str">
            <v>Grid-Gen</v>
          </cell>
        </row>
        <row r="65">
          <cell r="A65" t="str">
            <v>NRO_130</v>
          </cell>
          <cell r="B65" t="str">
            <v>HIS</v>
          </cell>
          <cell r="C65" t="str">
            <v>TowerCo</v>
          </cell>
          <cell r="D65" t="str">
            <v>Grid-Gen</v>
          </cell>
        </row>
        <row r="66">
          <cell r="A66" t="str">
            <v>NRO_117</v>
          </cell>
          <cell r="B66" t="str">
            <v>HIS</v>
          </cell>
          <cell r="C66" t="str">
            <v>TowerCo</v>
          </cell>
          <cell r="D66" t="str">
            <v>Grid-Gen</v>
          </cell>
        </row>
        <row r="67">
          <cell r="A67" t="str">
            <v>SUO_040</v>
          </cell>
          <cell r="B67" t="str">
            <v>HIS</v>
          </cell>
          <cell r="C67" t="str">
            <v>TowerCo</v>
          </cell>
          <cell r="D67" t="str">
            <v>Gen Only</v>
          </cell>
        </row>
        <row r="68">
          <cell r="A68" t="str">
            <v>NRO_243</v>
          </cell>
          <cell r="B68" t="str">
            <v>HIS</v>
          </cell>
          <cell r="C68" t="str">
            <v>TowerCo</v>
          </cell>
          <cell r="D68" t="str">
            <v>Grid-Gen</v>
          </cell>
        </row>
        <row r="69">
          <cell r="A69" t="str">
            <v>NRO_017</v>
          </cell>
          <cell r="B69" t="str">
            <v>HIS</v>
          </cell>
          <cell r="C69" t="str">
            <v>TowerCo</v>
          </cell>
          <cell r="D69" t="str">
            <v>Grid-Gen</v>
          </cell>
        </row>
        <row r="70">
          <cell r="A70" t="str">
            <v>NRO_024</v>
          </cell>
          <cell r="B70" t="str">
            <v>HIS</v>
          </cell>
          <cell r="C70" t="str">
            <v>TowerCo</v>
          </cell>
          <cell r="D70" t="str">
            <v>Grid-Gen</v>
          </cell>
        </row>
        <row r="71">
          <cell r="A71" t="str">
            <v>NRO_222</v>
          </cell>
          <cell r="B71" t="str">
            <v>HIS</v>
          </cell>
          <cell r="C71" t="str">
            <v>TowerCo</v>
          </cell>
          <cell r="D71" t="str">
            <v>Grid-Gen</v>
          </cell>
        </row>
        <row r="72">
          <cell r="A72" t="str">
            <v>NRO_062</v>
          </cell>
          <cell r="B72" t="str">
            <v>HIS</v>
          </cell>
          <cell r="C72" t="str">
            <v>TowerCo</v>
          </cell>
          <cell r="D72" t="str">
            <v>Grid-Gen</v>
          </cell>
        </row>
        <row r="73">
          <cell r="A73" t="str">
            <v>NRO_064</v>
          </cell>
          <cell r="B73" t="str">
            <v>HIS</v>
          </cell>
          <cell r="C73" t="str">
            <v>TowerCo</v>
          </cell>
          <cell r="D73" t="str">
            <v>Grid-Gen</v>
          </cell>
        </row>
        <row r="74">
          <cell r="A74" t="str">
            <v>NRO_102</v>
          </cell>
          <cell r="B74" t="str">
            <v>HIS</v>
          </cell>
          <cell r="C74" t="str">
            <v>TowerCo</v>
          </cell>
          <cell r="D74" t="str">
            <v>Gen Only</v>
          </cell>
        </row>
        <row r="75">
          <cell r="A75" t="str">
            <v>NRO_067</v>
          </cell>
          <cell r="B75" t="str">
            <v>HIS</v>
          </cell>
          <cell r="C75" t="str">
            <v>TowerCo</v>
          </cell>
          <cell r="D75" t="str">
            <v>Hybrid-Gen</v>
          </cell>
        </row>
        <row r="76">
          <cell r="A76" t="str">
            <v>NRO_070</v>
          </cell>
          <cell r="B76" t="str">
            <v>HIS</v>
          </cell>
          <cell r="C76" t="str">
            <v>TowerCo</v>
          </cell>
          <cell r="D76" t="str">
            <v>Grid-Gen</v>
          </cell>
        </row>
        <row r="77">
          <cell r="A77" t="str">
            <v>NRO_121</v>
          </cell>
          <cell r="B77" t="str">
            <v>HIS</v>
          </cell>
          <cell r="C77" t="str">
            <v>TowerCo</v>
          </cell>
          <cell r="D77" t="str">
            <v>Grid-Gen</v>
          </cell>
        </row>
        <row r="78">
          <cell r="A78" t="str">
            <v>OST_265</v>
          </cell>
          <cell r="B78" t="str">
            <v>HIS</v>
          </cell>
          <cell r="C78" t="str">
            <v>TowerCo</v>
          </cell>
          <cell r="D78" t="str">
            <v>Grid-Gen</v>
          </cell>
        </row>
        <row r="79">
          <cell r="A79" t="str">
            <v>NRO_240</v>
          </cell>
          <cell r="B79" t="str">
            <v>HIS</v>
          </cell>
          <cell r="C79" t="str">
            <v>TowerCo</v>
          </cell>
          <cell r="D79" t="str">
            <v>Grid-Gen</v>
          </cell>
        </row>
        <row r="80">
          <cell r="A80" t="str">
            <v>NRO_068</v>
          </cell>
          <cell r="B80" t="str">
            <v>HIS</v>
          </cell>
          <cell r="C80" t="str">
            <v>TowerCo</v>
          </cell>
          <cell r="D80" t="str">
            <v>Grid-Gen</v>
          </cell>
        </row>
        <row r="81">
          <cell r="A81" t="str">
            <v>NRO_256</v>
          </cell>
          <cell r="B81" t="str">
            <v>HIS</v>
          </cell>
          <cell r="C81" t="str">
            <v>TowerCo</v>
          </cell>
          <cell r="D81" t="str">
            <v>Hybrid-Gen</v>
          </cell>
        </row>
        <row r="82">
          <cell r="A82" t="str">
            <v>NRO_125</v>
          </cell>
          <cell r="B82" t="str">
            <v>HIS</v>
          </cell>
          <cell r="C82" t="str">
            <v>TowerCo</v>
          </cell>
          <cell r="D82" t="str">
            <v>Grid-Gen</v>
          </cell>
        </row>
        <row r="83">
          <cell r="A83" t="str">
            <v>NRO_128</v>
          </cell>
          <cell r="B83" t="str">
            <v>HIS</v>
          </cell>
          <cell r="C83" t="str">
            <v>TowerCo</v>
          </cell>
          <cell r="D83" t="str">
            <v>Grid-Gen</v>
          </cell>
        </row>
        <row r="84">
          <cell r="A84" t="str">
            <v> NRO_134</v>
          </cell>
          <cell r="B84" t="str">
            <v>HIS</v>
          </cell>
          <cell r="C84" t="str">
            <v>TowerCo</v>
          </cell>
          <cell r="D84" t="str">
            <v>Grid-Gen</v>
          </cell>
        </row>
        <row r="85">
          <cell r="A85" t="str">
            <v>   NRO_135</v>
          </cell>
          <cell r="B85" t="str">
            <v>HIS</v>
          </cell>
          <cell r="C85" t="str">
            <v>TowerCo</v>
          </cell>
          <cell r="D85" t="str">
            <v>Grid-Gen</v>
          </cell>
        </row>
        <row r="86">
          <cell r="A86" t="str">
            <v> NRO_133</v>
          </cell>
          <cell r="B86" t="str">
            <v>HIS</v>
          </cell>
          <cell r="C86" t="str">
            <v>TowerCo</v>
          </cell>
          <cell r="D86" t="str">
            <v>Grid-Gen</v>
          </cell>
        </row>
        <row r="87">
          <cell r="A87" t="str">
            <v> NRO_139</v>
          </cell>
          <cell r="B87" t="str">
            <v>HIS</v>
          </cell>
          <cell r="C87" t="str">
            <v>TowerCo</v>
          </cell>
          <cell r="D87" t="str">
            <v>Grid-Gen</v>
          </cell>
        </row>
        <row r="88">
          <cell r="A88" t="str">
            <v>NRO_138</v>
          </cell>
          <cell r="B88" t="str">
            <v>HIS</v>
          </cell>
          <cell r="C88" t="str">
            <v>TowerCo</v>
          </cell>
          <cell r="D88" t="str">
            <v>Grid-Gen</v>
          </cell>
        </row>
        <row r="89">
          <cell r="A89" t="str">
            <v>LIT_029</v>
          </cell>
          <cell r="B89" t="str">
            <v>HIS</v>
          </cell>
          <cell r="C89" t="str">
            <v>TowerCo</v>
          </cell>
          <cell r="D89" t="str">
            <v>Grid-Gen</v>
          </cell>
        </row>
        <row r="90">
          <cell r="A90" t="str">
            <v>LIT_021</v>
          </cell>
          <cell r="B90" t="str">
            <v>HIS</v>
          </cell>
          <cell r="C90" t="str">
            <v>TowerCo</v>
          </cell>
          <cell r="D90" t="str">
            <v>Grid-Gen</v>
          </cell>
        </row>
        <row r="91">
          <cell r="A91" t="str">
            <v>LIT_031</v>
          </cell>
          <cell r="B91" t="str">
            <v>HIS</v>
          </cell>
          <cell r="C91" t="str">
            <v>TowerCo</v>
          </cell>
          <cell r="D91" t="str">
            <v>Grid-Gen</v>
          </cell>
        </row>
        <row r="92">
          <cell r="A92" t="str">
            <v>LIT_039</v>
          </cell>
          <cell r="B92" t="str">
            <v>HIS</v>
          </cell>
          <cell r="C92" t="str">
            <v>TowerCo</v>
          </cell>
          <cell r="D92" t="str">
            <v>Grid-Gen</v>
          </cell>
        </row>
        <row r="93">
          <cell r="A93" t="str">
            <v>LIT_233</v>
          </cell>
          <cell r="B93" t="str">
            <v>HIS</v>
          </cell>
          <cell r="C93" t="str">
            <v>TowerCo</v>
          </cell>
          <cell r="D93" t="str">
            <v>Grid-Gen</v>
          </cell>
        </row>
        <row r="94">
          <cell r="A94" t="str">
            <v>LIT_112</v>
          </cell>
          <cell r="B94" t="str">
            <v>HIS</v>
          </cell>
          <cell r="C94" t="str">
            <v>TowerCo</v>
          </cell>
          <cell r="D94" t="str">
            <v>Grid-Gen</v>
          </cell>
        </row>
        <row r="95">
          <cell r="A95" t="str">
            <v>LIT_208</v>
          </cell>
          <cell r="B95" t="str">
            <v>HIS</v>
          </cell>
          <cell r="C95" t="str">
            <v>TowerCo</v>
          </cell>
          <cell r="D95" t="str">
            <v>Grid-Gen</v>
          </cell>
        </row>
        <row r="96">
          <cell r="A96" t="str">
            <v>SUO_008</v>
          </cell>
          <cell r="B96" t="str">
            <v>HIS</v>
          </cell>
          <cell r="C96" t="str">
            <v>TowerCo</v>
          </cell>
          <cell r="D96" t="str">
            <v>Grid-Gen</v>
          </cell>
        </row>
        <row r="97">
          <cell r="A97" t="str">
            <v>LIT_212</v>
          </cell>
          <cell r="B97" t="str">
            <v>HIS</v>
          </cell>
          <cell r="C97" t="str">
            <v>TowerCo</v>
          </cell>
          <cell r="D97" t="str">
            <v>Grid-Gen</v>
          </cell>
        </row>
        <row r="98">
          <cell r="A98" t="str">
            <v>LIT_169</v>
          </cell>
          <cell r="B98" t="str">
            <v>HIS</v>
          </cell>
          <cell r="C98" t="str">
            <v>TowerCo</v>
          </cell>
          <cell r="D98" t="str">
            <v>Grid-Gen</v>
          </cell>
        </row>
        <row r="99">
          <cell r="A99" t="str">
            <v>LIT_071</v>
          </cell>
          <cell r="B99" t="str">
            <v>HIS</v>
          </cell>
          <cell r="C99" t="str">
            <v>TowerCo</v>
          </cell>
          <cell r="D99" t="str">
            <v>Grid-Gen</v>
          </cell>
        </row>
        <row r="100">
          <cell r="A100" t="str">
            <v>LIT_051</v>
          </cell>
          <cell r="B100" t="str">
            <v>HIS</v>
          </cell>
          <cell r="C100" t="str">
            <v>TowerCo</v>
          </cell>
          <cell r="D100" t="str">
            <v>Grid-Gen</v>
          </cell>
        </row>
        <row r="101">
          <cell r="A101" t="str">
            <v>LIT_109</v>
          </cell>
          <cell r="B101" t="str">
            <v>HIS</v>
          </cell>
          <cell r="C101" t="str">
            <v>TowerCo</v>
          </cell>
          <cell r="D101" t="str">
            <v>Grid-Gen</v>
          </cell>
        </row>
        <row r="102">
          <cell r="A102" t="str">
            <v>LIT_356</v>
          </cell>
          <cell r="B102" t="str">
            <v>HIS</v>
          </cell>
          <cell r="C102" t="str">
            <v>TowerCo</v>
          </cell>
          <cell r="D102" t="str">
            <v>Grid-Gen</v>
          </cell>
        </row>
        <row r="103">
          <cell r="A103" t="str">
            <v>LIT_111</v>
          </cell>
          <cell r="B103" t="str">
            <v>HIS</v>
          </cell>
          <cell r="C103" t="str">
            <v>TowerCo</v>
          </cell>
          <cell r="D103" t="str">
            <v>Grid-Gen</v>
          </cell>
        </row>
        <row r="104">
          <cell r="A104" t="str">
            <v>LIT_062</v>
          </cell>
          <cell r="B104" t="str">
            <v>HIS</v>
          </cell>
          <cell r="C104" t="str">
            <v>TowerCo</v>
          </cell>
          <cell r="D104" t="str">
            <v>Grid-Gen</v>
          </cell>
        </row>
        <row r="105">
          <cell r="A105" t="str">
            <v>LIT_296</v>
          </cell>
          <cell r="B105" t="str">
            <v>HIS</v>
          </cell>
          <cell r="C105" t="str">
            <v>TowerCo</v>
          </cell>
          <cell r="D105" t="str">
            <v>Grid-Gen</v>
          </cell>
        </row>
        <row r="106">
          <cell r="A106" t="str">
            <v>LIT_431</v>
          </cell>
          <cell r="B106" t="str">
            <v>HIS</v>
          </cell>
          <cell r="C106" t="str">
            <v>TowerCo</v>
          </cell>
          <cell r="D106" t="str">
            <v>Grid-Gen</v>
          </cell>
        </row>
        <row r="107">
          <cell r="A107" t="str">
            <v>LIT_558</v>
          </cell>
          <cell r="B107" t="str">
            <v>HIS</v>
          </cell>
          <cell r="C107" t="str">
            <v>TowerCo</v>
          </cell>
          <cell r="D107" t="str">
            <v>Grid-Gen</v>
          </cell>
        </row>
        <row r="108">
          <cell r="A108" t="str">
            <v>LIT_520</v>
          </cell>
          <cell r="B108" t="str">
            <v>HIS</v>
          </cell>
          <cell r="C108" t="str">
            <v>TowerCo</v>
          </cell>
          <cell r="D108" t="str">
            <v>Grid-Gen</v>
          </cell>
        </row>
        <row r="109">
          <cell r="A109" t="str">
            <v>LIT_288</v>
          </cell>
          <cell r="B109" t="str">
            <v>HIS</v>
          </cell>
          <cell r="C109" t="str">
            <v>TowerCo</v>
          </cell>
          <cell r="D109" t="str">
            <v>Grid-Gen</v>
          </cell>
        </row>
        <row r="110">
          <cell r="A110" t="str">
            <v>LIT_556</v>
          </cell>
          <cell r="B110" t="str">
            <v>HIS</v>
          </cell>
          <cell r="C110" t="str">
            <v>TowerCo</v>
          </cell>
          <cell r="D110" t="str">
            <v>Grid-Gen</v>
          </cell>
        </row>
        <row r="111">
          <cell r="A111" t="str">
            <v>LIT_521</v>
          </cell>
          <cell r="B111" t="str">
            <v>HIS</v>
          </cell>
          <cell r="C111" t="str">
            <v>TowerCo</v>
          </cell>
          <cell r="D111" t="str">
            <v>Grid-Gen</v>
          </cell>
        </row>
        <row r="112">
          <cell r="A112" t="str">
            <v>LIT_735</v>
          </cell>
          <cell r="B112" t="str">
            <v>HIS</v>
          </cell>
          <cell r="C112" t="str">
            <v>TowerCo</v>
          </cell>
          <cell r="D112" t="str">
            <v>Grid-Gen</v>
          </cell>
        </row>
        <row r="113">
          <cell r="A113" t="str">
            <v>LIT_225</v>
          </cell>
          <cell r="B113" t="str">
            <v>HIS</v>
          </cell>
          <cell r="C113" t="str">
            <v>TowerCo</v>
          </cell>
          <cell r="D113" t="str">
            <v>Grid-Gen</v>
          </cell>
        </row>
        <row r="114">
          <cell r="A114" t="str">
            <v>LIT_498</v>
          </cell>
          <cell r="B114" t="str">
            <v>HIS</v>
          </cell>
          <cell r="C114" t="str">
            <v>TowerCo</v>
          </cell>
          <cell r="D114" t="str">
            <v>Grid-Gen</v>
          </cell>
        </row>
        <row r="115">
          <cell r="A115" t="str">
            <v>SUO_101</v>
          </cell>
          <cell r="B115" t="str">
            <v>HIS</v>
          </cell>
          <cell r="C115" t="str">
            <v>TowerCo</v>
          </cell>
          <cell r="D115" t="str">
            <v>Grid-Gen</v>
          </cell>
        </row>
        <row r="116">
          <cell r="A116" t="str">
            <v>LIT_430</v>
          </cell>
          <cell r="B116" t="str">
            <v>HIS</v>
          </cell>
          <cell r="C116" t="str">
            <v>TowerCo</v>
          </cell>
          <cell r="D116" t="str">
            <v>Grid-Gen</v>
          </cell>
        </row>
        <row r="117">
          <cell r="A117" t="str">
            <v>SUO_039</v>
          </cell>
          <cell r="B117" t="str">
            <v>HIS</v>
          </cell>
          <cell r="C117" t="str">
            <v>TowerCo</v>
          </cell>
          <cell r="D117" t="str">
            <v>Grid-Gen</v>
          </cell>
        </row>
        <row r="118">
          <cell r="A118" t="str">
            <v>LIT_187</v>
          </cell>
          <cell r="B118" t="str">
            <v>HIS</v>
          </cell>
          <cell r="C118" t="str">
            <v>TowerCo</v>
          </cell>
          <cell r="D118" t="str">
            <v>Grid-Gen</v>
          </cell>
        </row>
        <row r="119">
          <cell r="A119" t="str">
            <v>SUO_061</v>
          </cell>
          <cell r="B119" t="str">
            <v>HIS</v>
          </cell>
          <cell r="C119" t="str">
            <v>TowerCo</v>
          </cell>
          <cell r="D119" t="str">
            <v>Grid-Gen</v>
          </cell>
        </row>
        <row r="120">
          <cell r="A120" t="str">
            <v>LIT_477</v>
          </cell>
          <cell r="B120" t="str">
            <v>HIS</v>
          </cell>
          <cell r="C120" t="str">
            <v>TowerCo</v>
          </cell>
          <cell r="D120" t="str">
            <v>Grid-Gen</v>
          </cell>
        </row>
        <row r="121">
          <cell r="A121" t="str">
            <v>LIT_493</v>
          </cell>
          <cell r="B121" t="str">
            <v>HIS</v>
          </cell>
          <cell r="C121" t="str">
            <v>TowerCo</v>
          </cell>
          <cell r="D121" t="str">
            <v>Grid-Gen</v>
          </cell>
        </row>
        <row r="122">
          <cell r="A122" t="str">
            <v>LIT_492</v>
          </cell>
          <cell r="B122" t="str">
            <v>HIS</v>
          </cell>
          <cell r="C122" t="str">
            <v>TowerCo</v>
          </cell>
          <cell r="D122" t="str">
            <v>Grid-Gen</v>
          </cell>
        </row>
        <row r="123">
          <cell r="A123"/>
          <cell r="B123" t="str">
            <v>HIS</v>
          </cell>
          <cell r="C123" t="str">
            <v>TowerCo</v>
          </cell>
          <cell r="D123" t="str">
            <v>Solar Only</v>
          </cell>
        </row>
        <row r="124">
          <cell r="A124" t="str">
            <v>NRD_030</v>
          </cell>
          <cell r="B124" t="str">
            <v>HIS</v>
          </cell>
          <cell r="C124" t="str">
            <v>TowerCo</v>
          </cell>
          <cell r="D124" t="str">
            <v>Gen Only</v>
          </cell>
        </row>
        <row r="125">
          <cell r="A125" t="str">
            <v>NRD_008</v>
          </cell>
          <cell r="B125" t="str">
            <v>HIS</v>
          </cell>
          <cell r="C125" t="str">
            <v>TowerCo</v>
          </cell>
          <cell r="D125" t="str">
            <v>Grid-Hybrid-Gen</v>
          </cell>
        </row>
        <row r="126">
          <cell r="A126" t="str">
            <v>NRD_032</v>
          </cell>
          <cell r="B126" t="str">
            <v>HIS</v>
          </cell>
          <cell r="C126" t="str">
            <v>TowerCo</v>
          </cell>
          <cell r="D126" t="str">
            <v>Grid-Gen</v>
          </cell>
        </row>
        <row r="127">
          <cell r="A127" t="str">
            <v>NRD_036</v>
          </cell>
          <cell r="B127" t="str">
            <v>HIS</v>
          </cell>
          <cell r="C127" t="str">
            <v>TowerCo</v>
          </cell>
          <cell r="D127" t="str">
            <v>Solar-Gen</v>
          </cell>
        </row>
        <row r="128">
          <cell r="A128" t="str">
            <v>NRD_031</v>
          </cell>
          <cell r="B128" t="str">
            <v>HIS</v>
          </cell>
          <cell r="C128" t="str">
            <v>TowerCo</v>
          </cell>
          <cell r="D128" t="str">
            <v>Solar-Gen</v>
          </cell>
        </row>
        <row r="129">
          <cell r="A129" t="str">
            <v>NRD_021</v>
          </cell>
          <cell r="B129" t="str">
            <v>HIS</v>
          </cell>
          <cell r="C129" t="str">
            <v>TowerCo</v>
          </cell>
          <cell r="D129" t="str">
            <v>Solar-Grid-Gen</v>
          </cell>
        </row>
        <row r="130">
          <cell r="A130" t="str">
            <v>NRD_029</v>
          </cell>
          <cell r="B130" t="str">
            <v>HIS</v>
          </cell>
          <cell r="C130" t="str">
            <v>TowerCo</v>
          </cell>
          <cell r="D130" t="str">
            <v>Solar-Gen</v>
          </cell>
        </row>
        <row r="131">
          <cell r="A131" t="str">
            <v>NRD_812</v>
          </cell>
          <cell r="B131" t="str">
            <v>HIS</v>
          </cell>
          <cell r="C131" t="str">
            <v>TowerCo</v>
          </cell>
          <cell r="D131" t="str">
            <v>Hybrid-Gen</v>
          </cell>
        </row>
        <row r="132">
          <cell r="A132" t="str">
            <v>NRD_111</v>
          </cell>
          <cell r="B132" t="str">
            <v>HIS</v>
          </cell>
          <cell r="C132" t="str">
            <v>TowerCo</v>
          </cell>
          <cell r="D132" t="str">
            <v>Solar-Gen</v>
          </cell>
        </row>
        <row r="133">
          <cell r="A133" t="str">
            <v>NRD_012</v>
          </cell>
          <cell r="B133" t="str">
            <v>HIS</v>
          </cell>
          <cell r="C133" t="str">
            <v>TowerCo</v>
          </cell>
          <cell r="D133" t="str">
            <v>Grid-Gen</v>
          </cell>
        </row>
        <row r="134">
          <cell r="A134" t="str">
            <v>NRD_003</v>
          </cell>
          <cell r="B134" t="str">
            <v>HIS</v>
          </cell>
          <cell r="C134" t="str">
            <v>TowerCo</v>
          </cell>
          <cell r="D134" t="str">
            <v>Grid-Gen</v>
          </cell>
        </row>
        <row r="135">
          <cell r="A135" t="str">
            <v>NRD_047</v>
          </cell>
          <cell r="B135" t="str">
            <v>HIS</v>
          </cell>
          <cell r="C135" t="str">
            <v>TowerCo</v>
          </cell>
          <cell r="D135" t="str">
            <v>Grid-Gen</v>
          </cell>
        </row>
        <row r="136">
          <cell r="A136" t="str">
            <v>NRD_023</v>
          </cell>
          <cell r="B136" t="str">
            <v>HIS</v>
          </cell>
          <cell r="C136" t="str">
            <v>TowerCo</v>
          </cell>
          <cell r="D136" t="str">
            <v>Grid-Gen</v>
          </cell>
        </row>
        <row r="137">
          <cell r="A137" t="str">
            <v>NRD_038</v>
          </cell>
          <cell r="B137" t="str">
            <v>HIS</v>
          </cell>
          <cell r="C137" t="str">
            <v>TowerCo</v>
          </cell>
          <cell r="D137" t="str">
            <v>Grid-Gen</v>
          </cell>
        </row>
        <row r="138">
          <cell r="A138" t="str">
            <v>ADM_081</v>
          </cell>
          <cell r="B138" t="str">
            <v>HIS</v>
          </cell>
          <cell r="C138" t="str">
            <v>TowerCo</v>
          </cell>
          <cell r="D138" t="str">
            <v>Hybrid-Gen</v>
          </cell>
        </row>
        <row r="139">
          <cell r="A139" t="str">
            <v>NRD_119</v>
          </cell>
          <cell r="B139" t="str">
            <v>HIS</v>
          </cell>
          <cell r="C139" t="str">
            <v>TowerCo</v>
          </cell>
          <cell r="D139" t="str">
            <v>Grid-Gen</v>
          </cell>
        </row>
        <row r="140">
          <cell r="A140" t="str">
            <v>NRD_129</v>
          </cell>
          <cell r="B140" t="str">
            <v>HIS</v>
          </cell>
          <cell r="C140" t="str">
            <v>TowerCo</v>
          </cell>
          <cell r="D140" t="str">
            <v>Solar-Gen</v>
          </cell>
        </row>
        <row r="141">
          <cell r="A141" t="str">
            <v>NRD_106</v>
          </cell>
          <cell r="B141" t="str">
            <v>HIS</v>
          </cell>
          <cell r="C141" t="str">
            <v>TowerCo</v>
          </cell>
          <cell r="D141" t="str">
            <v>Solar-Gen</v>
          </cell>
        </row>
        <row r="142">
          <cell r="A142" t="str">
            <v>NRD_109</v>
          </cell>
          <cell r="B142" t="str">
            <v>HIS</v>
          </cell>
          <cell r="C142" t="str">
            <v>TowerCo</v>
          </cell>
          <cell r="D142" t="str">
            <v>Solar-Gen</v>
          </cell>
        </row>
        <row r="143">
          <cell r="A143" t="str">
            <v>NRD_128</v>
          </cell>
          <cell r="B143" t="str">
            <v>HIS</v>
          </cell>
          <cell r="C143" t="str">
            <v>TowerCo</v>
          </cell>
          <cell r="D143" t="str">
            <v>Hybrid-Gen</v>
          </cell>
        </row>
        <row r="144">
          <cell r="A144" t="str">
            <v>NRD_107</v>
          </cell>
          <cell r="B144" t="str">
            <v>HIS</v>
          </cell>
          <cell r="C144" t="str">
            <v>TowerCo</v>
          </cell>
          <cell r="D144" t="str">
            <v>Hybrid-Gen</v>
          </cell>
        </row>
        <row r="145">
          <cell r="A145" t="str">
            <v>NRD_095</v>
          </cell>
          <cell r="B145" t="str">
            <v>HIS</v>
          </cell>
          <cell r="C145" t="str">
            <v>TowerCo</v>
          </cell>
          <cell r="D145" t="str">
            <v>Grid-Gen</v>
          </cell>
        </row>
        <row r="146">
          <cell r="A146" t="str">
            <v>NRD_094</v>
          </cell>
          <cell r="B146" t="str">
            <v>HIS</v>
          </cell>
          <cell r="C146" t="str">
            <v>TowerCo</v>
          </cell>
          <cell r="D146" t="str">
            <v>Grid-Gen</v>
          </cell>
        </row>
        <row r="147">
          <cell r="A147" t="str">
            <v>NRD_073</v>
          </cell>
          <cell r="B147" t="str">
            <v>HIS</v>
          </cell>
          <cell r="C147" t="str">
            <v>TowerCo</v>
          </cell>
          <cell r="D147" t="str">
            <v>Grid-Gen</v>
          </cell>
        </row>
        <row r="148">
          <cell r="A148" t="str">
            <v>NRD_077</v>
          </cell>
          <cell r="B148" t="str">
            <v>HIS</v>
          </cell>
          <cell r="C148" t="str">
            <v>TowerCo</v>
          </cell>
          <cell r="D148" t="str">
            <v>Grid-Gen</v>
          </cell>
        </row>
        <row r="149">
          <cell r="A149" t="str">
            <v>NRD_039</v>
          </cell>
          <cell r="B149" t="str">
            <v>HIS</v>
          </cell>
          <cell r="C149" t="str">
            <v>TowerCo</v>
          </cell>
          <cell r="D149" t="str">
            <v>Grid-Gen</v>
          </cell>
        </row>
        <row r="150">
          <cell r="A150" t="str">
            <v>NRD_060</v>
          </cell>
          <cell r="B150" t="str">
            <v>HIS</v>
          </cell>
          <cell r="C150" t="str">
            <v>TowerCo</v>
          </cell>
          <cell r="D150" t="str">
            <v>Grid-Gen</v>
          </cell>
        </row>
        <row r="151">
          <cell r="A151" t="str">
            <v>NRD_055</v>
          </cell>
          <cell r="B151" t="str">
            <v>HIS</v>
          </cell>
          <cell r="C151" t="str">
            <v>TowerCo</v>
          </cell>
          <cell r="D151" t="str">
            <v>Solar-Gen</v>
          </cell>
        </row>
        <row r="152">
          <cell r="A152" t="str">
            <v>NRD_020</v>
          </cell>
          <cell r="B152" t="str">
            <v>HIS</v>
          </cell>
          <cell r="C152" t="str">
            <v>TowerCo</v>
          </cell>
          <cell r="D152" t="str">
            <v>Solar-Gen</v>
          </cell>
        </row>
        <row r="153">
          <cell r="A153" t="str">
            <v>NRD_056</v>
          </cell>
          <cell r="B153" t="str">
            <v>HIS</v>
          </cell>
          <cell r="C153" t="str">
            <v>TowerCo</v>
          </cell>
          <cell r="D153" t="str">
            <v>Solar-Gen</v>
          </cell>
        </row>
        <row r="154">
          <cell r="A154" t="str">
            <v>NRD_091</v>
          </cell>
          <cell r="B154" t="str">
            <v>HIS</v>
          </cell>
          <cell r="C154" t="str">
            <v>TowerCo</v>
          </cell>
          <cell r="D154" t="str">
            <v>Hybrid-Gen</v>
          </cell>
        </row>
        <row r="155">
          <cell r="A155" t="str">
            <v>NRD_110</v>
          </cell>
          <cell r="B155" t="str">
            <v>HIS</v>
          </cell>
          <cell r="C155" t="str">
            <v>TowerCo</v>
          </cell>
          <cell r="D155" t="str">
            <v>Gen Only</v>
          </cell>
        </row>
        <row r="156">
          <cell r="A156" t="str">
            <v>ADM_152</v>
          </cell>
          <cell r="B156" t="str">
            <v>HIS</v>
          </cell>
          <cell r="C156" t="str">
            <v>TowerCo</v>
          </cell>
          <cell r="D156" t="str">
            <v>Hybrid-Gen</v>
          </cell>
        </row>
        <row r="157">
          <cell r="A157" t="str">
            <v>NRD_166</v>
          </cell>
          <cell r="B157" t="str">
            <v>HIS</v>
          </cell>
          <cell r="C157" t="str">
            <v>TowerCo</v>
          </cell>
          <cell r="D157" t="str">
            <v>Grid-Gen</v>
          </cell>
        </row>
        <row r="158">
          <cell r="A158" t="str">
            <v>NRD_088</v>
          </cell>
          <cell r="B158" t="str">
            <v>HIS</v>
          </cell>
          <cell r="C158" t="str">
            <v>TowerCo</v>
          </cell>
          <cell r="D158" t="str">
            <v>Grid-Gen</v>
          </cell>
        </row>
        <row r="159">
          <cell r="A159" t="str">
            <v>NRD_118</v>
          </cell>
          <cell r="B159" t="str">
            <v>HIS</v>
          </cell>
          <cell r="C159" t="str">
            <v>TowerCo</v>
          </cell>
          <cell r="D159" t="str">
            <v>Grid-Gen</v>
          </cell>
        </row>
        <row r="160">
          <cell r="A160" t="str">
            <v>NRD_025</v>
          </cell>
          <cell r="B160" t="str">
            <v>HIS</v>
          </cell>
          <cell r="C160" t="str">
            <v>TowerCo</v>
          </cell>
          <cell r="D160" t="str">
            <v>Grid-Hybrid-Gen</v>
          </cell>
        </row>
        <row r="161">
          <cell r="A161" t="str">
            <v>NRD_087</v>
          </cell>
          <cell r="B161" t="str">
            <v>HIS</v>
          </cell>
          <cell r="C161" t="str">
            <v>TowerCo</v>
          </cell>
          <cell r="D161" t="str">
            <v>Solar-Grid-Gen</v>
          </cell>
        </row>
        <row r="162">
          <cell r="A162" t="str">
            <v>NRD_058</v>
          </cell>
          <cell r="B162" t="str">
            <v>HIS</v>
          </cell>
          <cell r="C162" t="str">
            <v>TowerCo</v>
          </cell>
          <cell r="D162" t="str">
            <v>Solar-Gen</v>
          </cell>
        </row>
        <row r="163">
          <cell r="A163" t="str">
            <v>NRD_164</v>
          </cell>
          <cell r="B163" t="str">
            <v>HIS</v>
          </cell>
          <cell r="C163" t="str">
            <v>TowerCo</v>
          </cell>
          <cell r="D163" t="str">
            <v>Hybrid-Gen</v>
          </cell>
        </row>
        <row r="164">
          <cell r="A164" t="str">
            <v>NRD_126</v>
          </cell>
          <cell r="B164" t="str">
            <v>HIS</v>
          </cell>
          <cell r="C164" t="str">
            <v>TowerCo</v>
          </cell>
          <cell r="D164" t="str">
            <v>Grid-Gen</v>
          </cell>
        </row>
        <row r="165">
          <cell r="A165" t="str">
            <v>NRD_112</v>
          </cell>
          <cell r="B165" t="str">
            <v>HIS</v>
          </cell>
          <cell r="C165" t="str">
            <v>TowerCo</v>
          </cell>
          <cell r="D165" t="str">
            <v>Hybrid-Gen</v>
          </cell>
        </row>
        <row r="166">
          <cell r="A166" t="str">
            <v>NRD_078</v>
          </cell>
          <cell r="B166" t="str">
            <v>HIS</v>
          </cell>
          <cell r="C166" t="str">
            <v>TowerCo</v>
          </cell>
          <cell r="D166" t="str">
            <v>Grid-Gen</v>
          </cell>
        </row>
        <row r="167">
          <cell r="A167" t="str">
            <v>NRD_090</v>
          </cell>
          <cell r="B167" t="str">
            <v>HIS</v>
          </cell>
          <cell r="C167" t="str">
            <v>TowerCo</v>
          </cell>
          <cell r="D167" t="str">
            <v>Grid Only</v>
          </cell>
        </row>
        <row r="168">
          <cell r="A168" t="str">
            <v>ADM_092</v>
          </cell>
          <cell r="B168" t="str">
            <v>HIS</v>
          </cell>
          <cell r="C168" t="str">
            <v>TowerCo</v>
          </cell>
          <cell r="D168" t="str">
            <v>Solar-Gen</v>
          </cell>
        </row>
        <row r="169">
          <cell r="A169" t="str">
            <v>NRD_059</v>
          </cell>
          <cell r="B169" t="str">
            <v>HIS</v>
          </cell>
          <cell r="C169" t="str">
            <v>TowerCo</v>
          </cell>
          <cell r="D169" t="str">
            <v>Solar-Gen</v>
          </cell>
        </row>
        <row r="170">
          <cell r="A170" t="str">
            <v>ADM_082</v>
          </cell>
          <cell r="B170" t="str">
            <v>HIS</v>
          </cell>
          <cell r="C170" t="str">
            <v>TowerCo</v>
          </cell>
          <cell r="D170" t="str">
            <v>Solar-Gen</v>
          </cell>
        </row>
        <row r="171">
          <cell r="A171" t="str">
            <v>CTR_046</v>
          </cell>
          <cell r="B171" t="str">
            <v>HIS</v>
          </cell>
          <cell r="C171" t="str">
            <v>TowerCo</v>
          </cell>
          <cell r="D171" t="str">
            <v>Grid-Gen</v>
          </cell>
        </row>
        <row r="172">
          <cell r="A172" t="str">
            <v>CTR_080</v>
          </cell>
          <cell r="B172" t="str">
            <v>HIS</v>
          </cell>
          <cell r="C172" t="str">
            <v>TowerCo</v>
          </cell>
          <cell r="D172" t="str">
            <v>Grid-Gen</v>
          </cell>
        </row>
        <row r="173">
          <cell r="A173" t="str">
            <v>CTR_198</v>
          </cell>
          <cell r="B173" t="str">
            <v>HIS</v>
          </cell>
          <cell r="C173" t="str">
            <v>TowerCo</v>
          </cell>
          <cell r="D173" t="str">
            <v>Grid-Gen</v>
          </cell>
        </row>
        <row r="174">
          <cell r="A174" t="str">
            <v>CTR_049</v>
          </cell>
          <cell r="B174" t="str">
            <v>HIS</v>
          </cell>
          <cell r="C174" t="str">
            <v>TowerCo</v>
          </cell>
          <cell r="D174" t="str">
            <v>Grid-Gen</v>
          </cell>
        </row>
        <row r="175">
          <cell r="A175" t="str">
            <v>CTR_213</v>
          </cell>
          <cell r="B175" t="str">
            <v>HIS</v>
          </cell>
          <cell r="C175" t="str">
            <v>TowerCo</v>
          </cell>
          <cell r="D175" t="str">
            <v>Grid-Gen</v>
          </cell>
        </row>
        <row r="176">
          <cell r="A176" t="str">
            <v>CTR_011</v>
          </cell>
          <cell r="B176" t="str">
            <v>HIS</v>
          </cell>
          <cell r="C176" t="str">
            <v>TowerCo</v>
          </cell>
          <cell r="D176" t="str">
            <v>Grid-Gen</v>
          </cell>
        </row>
        <row r="177">
          <cell r="A177" t="str">
            <v>CTR_110</v>
          </cell>
          <cell r="B177" t="str">
            <v>HIS</v>
          </cell>
          <cell r="C177" t="str">
            <v>TowerCo</v>
          </cell>
          <cell r="D177" t="str">
            <v>Grid-Gen</v>
          </cell>
        </row>
        <row r="178">
          <cell r="A178" t="str">
            <v>CTR_002</v>
          </cell>
          <cell r="B178" t="str">
            <v>HIS</v>
          </cell>
          <cell r="C178" t="str">
            <v>TowerCo</v>
          </cell>
          <cell r="D178" t="str">
            <v>Grid-Gen</v>
          </cell>
        </row>
        <row r="179">
          <cell r="A179" t="str">
            <v>CTR_077</v>
          </cell>
          <cell r="B179" t="str">
            <v>HIS</v>
          </cell>
          <cell r="C179" t="str">
            <v>TowerCo</v>
          </cell>
          <cell r="D179" t="str">
            <v>Grid Only</v>
          </cell>
        </row>
        <row r="180">
          <cell r="A180" t="str">
            <v>CTR_038</v>
          </cell>
          <cell r="B180" t="str">
            <v>HIS</v>
          </cell>
          <cell r="C180" t="str">
            <v>TowerCo</v>
          </cell>
          <cell r="D180" t="str">
            <v>Grid Only</v>
          </cell>
        </row>
        <row r="181">
          <cell r="A181" t="str">
            <v>CTR_020</v>
          </cell>
          <cell r="B181" t="str">
            <v>HIS</v>
          </cell>
          <cell r="C181" t="str">
            <v>TowerCo</v>
          </cell>
          <cell r="D181" t="str">
            <v>Grid Only</v>
          </cell>
        </row>
        <row r="182">
          <cell r="A182" t="str">
            <v>CTR_200</v>
          </cell>
          <cell r="B182" t="str">
            <v>HIS</v>
          </cell>
          <cell r="C182" t="str">
            <v>TowerCo</v>
          </cell>
          <cell r="D182" t="str">
            <v>Grid-Gen</v>
          </cell>
        </row>
        <row r="183">
          <cell r="A183" t="str">
            <v>CTR_344</v>
          </cell>
          <cell r="B183" t="str">
            <v>HIS</v>
          </cell>
          <cell r="C183" t="str">
            <v>TowerCo</v>
          </cell>
          <cell r="D183" t="str">
            <v>Grid-Gen</v>
          </cell>
        </row>
        <row r="184">
          <cell r="A184" t="str">
            <v>CTR_088</v>
          </cell>
          <cell r="B184" t="str">
            <v>HIS</v>
          </cell>
          <cell r="C184" t="str">
            <v>TowerCo</v>
          </cell>
          <cell r="D184" t="str">
            <v>Grid-Gen</v>
          </cell>
        </row>
        <row r="185">
          <cell r="A185" t="str">
            <v>CTR_124</v>
          </cell>
          <cell r="B185" t="str">
            <v>HIS</v>
          </cell>
          <cell r="C185" t="str">
            <v>TowerCo</v>
          </cell>
          <cell r="D185" t="str">
            <v>Grid Only</v>
          </cell>
        </row>
        <row r="186">
          <cell r="A186" t="str">
            <v>CTR_834</v>
          </cell>
          <cell r="B186" t="str">
            <v>HIS</v>
          </cell>
          <cell r="C186" t="str">
            <v>TowerCo</v>
          </cell>
          <cell r="D186" t="str">
            <v>Grid-Gen</v>
          </cell>
        </row>
        <row r="187">
          <cell r="A187" t="str">
            <v>CTR_474</v>
          </cell>
          <cell r="B187" t="str">
            <v>HIS</v>
          </cell>
          <cell r="C187" t="str">
            <v>TowerCo</v>
          </cell>
          <cell r="D187" t="str">
            <v>Grid-Gen</v>
          </cell>
        </row>
        <row r="188">
          <cell r="A188" t="str">
            <v>CTR_387</v>
          </cell>
          <cell r="B188" t="str">
            <v>HIS</v>
          </cell>
          <cell r="C188" t="str">
            <v>TowerCo</v>
          </cell>
          <cell r="D188" t="str">
            <v>Grid-Gen</v>
          </cell>
        </row>
        <row r="189">
          <cell r="A189" t="str">
            <v>CTR_383</v>
          </cell>
          <cell r="B189" t="str">
            <v>HIS</v>
          </cell>
          <cell r="C189" t="str">
            <v>TowerCo</v>
          </cell>
          <cell r="D189" t="str">
            <v>Grid-Gen</v>
          </cell>
        </row>
        <row r="190">
          <cell r="A190" t="str">
            <v>CTR_381</v>
          </cell>
          <cell r="B190" t="str">
            <v>HIS</v>
          </cell>
          <cell r="C190" t="str">
            <v>TowerCo</v>
          </cell>
          <cell r="D190" t="str">
            <v>Grid-Gen</v>
          </cell>
        </row>
        <row r="191">
          <cell r="A191" t="str">
            <v>CTR_337</v>
          </cell>
          <cell r="B191" t="str">
            <v>HIS</v>
          </cell>
          <cell r="C191" t="str">
            <v>TowerCo</v>
          </cell>
          <cell r="D191" t="str">
            <v>Grid-Gen</v>
          </cell>
        </row>
        <row r="192">
          <cell r="A192" t="str">
            <v>CTR_271</v>
          </cell>
          <cell r="B192" t="str">
            <v>HIS</v>
          </cell>
          <cell r="C192" t="str">
            <v>TowerCo</v>
          </cell>
          <cell r="D192" t="str">
            <v>Grid-Gen</v>
          </cell>
        </row>
        <row r="193">
          <cell r="A193" t="str">
            <v>CTR_161</v>
          </cell>
          <cell r="B193" t="str">
            <v>HIS</v>
          </cell>
          <cell r="C193" t="str">
            <v>TowerCo</v>
          </cell>
          <cell r="D193" t="str">
            <v>Grid-Gen</v>
          </cell>
        </row>
        <row r="194">
          <cell r="A194" t="str">
            <v>CTR_086</v>
          </cell>
          <cell r="B194" t="str">
            <v>HIS</v>
          </cell>
          <cell r="C194" t="str">
            <v>TowerCo</v>
          </cell>
          <cell r="D194" t="str">
            <v>Grid-Gen</v>
          </cell>
        </row>
        <row r="195">
          <cell r="A195" t="str">
            <v>CTR_079</v>
          </cell>
          <cell r="B195" t="str">
            <v>HIS</v>
          </cell>
          <cell r="C195" t="str">
            <v>TowerCo</v>
          </cell>
          <cell r="D195" t="str">
            <v>Grid-Gen</v>
          </cell>
        </row>
        <row r="196">
          <cell r="A196" t="str">
            <v>CTR_248</v>
          </cell>
          <cell r="B196" t="str">
            <v>HIS</v>
          </cell>
          <cell r="C196" t="str">
            <v>TowerCo</v>
          </cell>
          <cell r="D196" t="str">
            <v>Grid-Gen</v>
          </cell>
        </row>
        <row r="197">
          <cell r="A197" t="str">
            <v>CTR_380</v>
          </cell>
          <cell r="B197" t="str">
            <v>HIS</v>
          </cell>
          <cell r="C197" t="str">
            <v>TowerCo</v>
          </cell>
          <cell r="D197" t="str">
            <v>Grid-Gen</v>
          </cell>
        </row>
        <row r="198">
          <cell r="A198" t="str">
            <v>CTR_322</v>
          </cell>
          <cell r="B198" t="str">
            <v>HIS</v>
          </cell>
          <cell r="C198" t="str">
            <v>TowerCo</v>
          </cell>
          <cell r="D198" t="str">
            <v>Grid-Gen</v>
          </cell>
        </row>
        <row r="199">
          <cell r="A199" t="str">
            <v>CTR_023</v>
          </cell>
          <cell r="B199" t="str">
            <v>HIS</v>
          </cell>
          <cell r="C199" t="str">
            <v>TowerCo</v>
          </cell>
          <cell r="D199" t="str">
            <v>Grid Only</v>
          </cell>
        </row>
        <row r="200">
          <cell r="A200" t="str">
            <v>CTR_075</v>
          </cell>
          <cell r="B200" t="str">
            <v>HIS</v>
          </cell>
          <cell r="C200" t="str">
            <v>TowerCo</v>
          </cell>
          <cell r="D200" t="str">
            <v>Grid Only</v>
          </cell>
        </row>
        <row r="201">
          <cell r="A201" t="str">
            <v>CTR_427</v>
          </cell>
          <cell r="B201" t="str">
            <v>HIS</v>
          </cell>
          <cell r="C201" t="str">
            <v>TowerCo</v>
          </cell>
          <cell r="D201" t="str">
            <v>Grid Only</v>
          </cell>
        </row>
        <row r="202">
          <cell r="A202" t="str">
            <v>CTR_390</v>
          </cell>
          <cell r="B202" t="str">
            <v>HIS</v>
          </cell>
          <cell r="C202" t="str">
            <v>TowerCo</v>
          </cell>
          <cell r="D202" t="str">
            <v>Grid-Gen</v>
          </cell>
        </row>
        <row r="203">
          <cell r="A203" t="str">
            <v>CTR_409</v>
          </cell>
          <cell r="B203" t="str">
            <v>HIS</v>
          </cell>
          <cell r="C203" t="str">
            <v>TowerCo</v>
          </cell>
          <cell r="D203" t="str">
            <v>Grid Only</v>
          </cell>
        </row>
        <row r="204">
          <cell r="A204" t="str">
            <v>CTR_104</v>
          </cell>
          <cell r="B204" t="str">
            <v>HIS</v>
          </cell>
          <cell r="C204" t="str">
            <v>TowerCo</v>
          </cell>
          <cell r="D204" t="str">
            <v>Grid Only</v>
          </cell>
        </row>
        <row r="205">
          <cell r="A205" t="str">
            <v>CTR_217</v>
          </cell>
          <cell r="B205" t="str">
            <v>HIS</v>
          </cell>
          <cell r="C205" t="str">
            <v>TowerCo</v>
          </cell>
          <cell r="D205" t="str">
            <v>Grid Only</v>
          </cell>
        </row>
        <row r="206">
          <cell r="A206" t="str">
            <v>CTR_044</v>
          </cell>
          <cell r="B206" t="str">
            <v>HIS</v>
          </cell>
          <cell r="C206" t="str">
            <v>TowerCo</v>
          </cell>
          <cell r="D206" t="str">
            <v>Grid-Gen</v>
          </cell>
        </row>
        <row r="207">
          <cell r="A207" t="str">
            <v>CTR_321</v>
          </cell>
          <cell r="B207" t="str">
            <v>HIS</v>
          </cell>
          <cell r="C207" t="str">
            <v>TowerCo</v>
          </cell>
          <cell r="D207" t="str">
            <v>Grid Only</v>
          </cell>
        </row>
        <row r="208">
          <cell r="A208" t="str">
            <v>CTR_076</v>
          </cell>
          <cell r="B208" t="str">
            <v>HIS</v>
          </cell>
          <cell r="C208" t="str">
            <v>TowerCo</v>
          </cell>
          <cell r="D208" t="str">
            <v>Grid Only</v>
          </cell>
        </row>
        <row r="209">
          <cell r="A209" t="str">
            <v>CTR_251</v>
          </cell>
          <cell r="B209" t="str">
            <v>HIS</v>
          </cell>
          <cell r="C209" t="str">
            <v>TowerCo</v>
          </cell>
          <cell r="D209" t="str">
            <v>Grid Only</v>
          </cell>
        </row>
        <row r="210">
          <cell r="A210" t="str">
            <v>CTR_375</v>
          </cell>
          <cell r="B210" t="str">
            <v>HIS</v>
          </cell>
          <cell r="C210" t="str">
            <v>TowerCo</v>
          </cell>
          <cell r="D210" t="str">
            <v>Grid Only</v>
          </cell>
        </row>
        <row r="211">
          <cell r="A211" t="str">
            <v>CTR_017</v>
          </cell>
          <cell r="B211" t="str">
            <v>HIS</v>
          </cell>
          <cell r="C211" t="str">
            <v>TowerCo</v>
          </cell>
          <cell r="D211" t="str">
            <v>Grid Only</v>
          </cell>
        </row>
        <row r="212">
          <cell r="A212" t="str">
            <v>CTR_197</v>
          </cell>
          <cell r="B212" t="str">
            <v>HIS</v>
          </cell>
          <cell r="C212" t="str">
            <v>TowerCo</v>
          </cell>
          <cell r="D212" t="str">
            <v>Grid Only</v>
          </cell>
        </row>
        <row r="213">
          <cell r="A213" t="str">
            <v>CTR_481</v>
          </cell>
          <cell r="B213" t="str">
            <v>HIS</v>
          </cell>
          <cell r="C213" t="str">
            <v>TowerCo</v>
          </cell>
          <cell r="D213" t="str">
            <v>Grid-Gen</v>
          </cell>
        </row>
        <row r="214">
          <cell r="A214" t="str">
            <v>CTR_520</v>
          </cell>
          <cell r="B214" t="str">
            <v>HIS</v>
          </cell>
          <cell r="C214" t="str">
            <v>TowerCo</v>
          </cell>
          <cell r="D214" t="str">
            <v>Grid-Gen</v>
          </cell>
        </row>
        <row r="215">
          <cell r="A215" t="str">
            <v>CTR_640</v>
          </cell>
          <cell r="B215" t="str">
            <v>HIS</v>
          </cell>
          <cell r="C215" t="str">
            <v>TowerCo</v>
          </cell>
          <cell r="D215" t="str">
            <v>Grid-Gen</v>
          </cell>
        </row>
        <row r="216">
          <cell r="A216" t="str">
            <v>CTR_449</v>
          </cell>
          <cell r="B216" t="str">
            <v>HIS</v>
          </cell>
          <cell r="C216" t="str">
            <v>TowerCo</v>
          </cell>
          <cell r="D216" t="str">
            <v>Grid-Gen</v>
          </cell>
        </row>
        <row r="217">
          <cell r="A217" t="str">
            <v>CTR_692</v>
          </cell>
          <cell r="B217" t="str">
            <v>HIS</v>
          </cell>
          <cell r="C217" t="str">
            <v>TowerCo</v>
          </cell>
          <cell r="D217" t="str">
            <v>Grid-Gen</v>
          </cell>
        </row>
        <row r="218">
          <cell r="A218" t="str">
            <v>CTR_370</v>
          </cell>
          <cell r="B218" t="str">
            <v>HIS</v>
          </cell>
          <cell r="C218" t="str">
            <v>TowerCo</v>
          </cell>
          <cell r="D218" t="str">
            <v>Grid-Gen</v>
          </cell>
        </row>
        <row r="219">
          <cell r="A219" t="str">
            <v>CTR_369</v>
          </cell>
          <cell r="B219" t="str">
            <v>HIS</v>
          </cell>
          <cell r="C219" t="str">
            <v>TowerCo</v>
          </cell>
          <cell r="D219" t="str">
            <v>Grid-Gen</v>
          </cell>
        </row>
        <row r="220">
          <cell r="A220" t="str">
            <v>CTR_633</v>
          </cell>
          <cell r="B220" t="str">
            <v>HIS</v>
          </cell>
          <cell r="C220" t="str">
            <v>TowerCo</v>
          </cell>
          <cell r="D220" t="str">
            <v>Grid-Gen</v>
          </cell>
        </row>
        <row r="221">
          <cell r="A221" t="str">
            <v>CTR_470</v>
          </cell>
          <cell r="B221" t="str">
            <v>HIS</v>
          </cell>
          <cell r="C221" t="str">
            <v>TowerCo</v>
          </cell>
          <cell r="D221" t="str">
            <v>Grid-Gen</v>
          </cell>
        </row>
        <row r="222">
          <cell r="A222" t="str">
            <v>CTR_468</v>
          </cell>
          <cell r="B222" t="str">
            <v>HIS</v>
          </cell>
          <cell r="C222" t="str">
            <v>TowerCo</v>
          </cell>
          <cell r="D222" t="str">
            <v>Grid-Gen</v>
          </cell>
        </row>
        <row r="223">
          <cell r="A223" t="str">
            <v>CTR_539</v>
          </cell>
          <cell r="B223" t="str">
            <v>HIS</v>
          </cell>
          <cell r="C223" t="str">
            <v>TowerCo</v>
          </cell>
          <cell r="D223" t="str">
            <v>Grid-Gen</v>
          </cell>
        </row>
        <row r="224">
          <cell r="A224" t="str">
            <v>CTR_163</v>
          </cell>
          <cell r="B224" t="str">
            <v>HIS</v>
          </cell>
          <cell r="C224" t="str">
            <v>TowerCo</v>
          </cell>
          <cell r="D224" t="str">
            <v>Grid-Gen</v>
          </cell>
        </row>
        <row r="225">
          <cell r="A225" t="str">
            <v>CTR_529</v>
          </cell>
          <cell r="B225" t="str">
            <v>HIS</v>
          </cell>
          <cell r="C225" t="str">
            <v>TowerCo</v>
          </cell>
          <cell r="D225" t="str">
            <v>Grid-Gen</v>
          </cell>
        </row>
        <row r="226">
          <cell r="A226" t="str">
            <v>CTR_448</v>
          </cell>
          <cell r="B226" t="str">
            <v>HIS</v>
          </cell>
          <cell r="C226" t="str">
            <v>TowerCo</v>
          </cell>
          <cell r="D226" t="str">
            <v>Grid-Gen</v>
          </cell>
        </row>
        <row r="227">
          <cell r="A227" t="str">
            <v>CTR_446</v>
          </cell>
          <cell r="B227" t="str">
            <v>HIS</v>
          </cell>
          <cell r="C227" t="str">
            <v>TowerCo</v>
          </cell>
          <cell r="D227" t="str">
            <v>Grid-Gen</v>
          </cell>
        </row>
        <row r="228">
          <cell r="A228" t="str">
            <v>CTR_160</v>
          </cell>
          <cell r="B228" t="str">
            <v>HIS</v>
          </cell>
          <cell r="C228" t="str">
            <v>TowerCo</v>
          </cell>
          <cell r="D228" t="str">
            <v>Grid-Gen</v>
          </cell>
        </row>
        <row r="229">
          <cell r="A229" t="str">
            <v>CTR_518</v>
          </cell>
          <cell r="B229" t="str">
            <v>HIS</v>
          </cell>
          <cell r="C229" t="str">
            <v>TowerCo</v>
          </cell>
          <cell r="D229" t="str">
            <v>Grid-Gen</v>
          </cell>
        </row>
        <row r="230">
          <cell r="A230" t="str">
            <v>CTR_475</v>
          </cell>
          <cell r="B230" t="str">
            <v>HIS</v>
          </cell>
          <cell r="C230" t="str">
            <v>TowerCo</v>
          </cell>
          <cell r="D230" t="str">
            <v>Grid-Gen</v>
          </cell>
        </row>
        <row r="231">
          <cell r="A231" t="str">
            <v>CTR_523</v>
          </cell>
          <cell r="B231" t="str">
            <v>HIS</v>
          </cell>
          <cell r="C231" t="str">
            <v>TowerCo</v>
          </cell>
          <cell r="D231" t="str">
            <v>Grid-Gen</v>
          </cell>
        </row>
        <row r="232">
          <cell r="A232" t="str">
            <v>CTR_525</v>
          </cell>
          <cell r="B232" t="str">
            <v>HIS</v>
          </cell>
          <cell r="C232" t="str">
            <v>TowerCo</v>
          </cell>
          <cell r="D232" t="str">
            <v>Grid-Gen</v>
          </cell>
        </row>
        <row r="233">
          <cell r="A233" t="str">
            <v>CTR_599</v>
          </cell>
          <cell r="B233" t="str">
            <v>HIS</v>
          </cell>
          <cell r="C233" t="str">
            <v>TowerCo</v>
          </cell>
          <cell r="D233" t="str">
            <v>Grid-Gen</v>
          </cell>
        </row>
        <row r="234">
          <cell r="A234" t="str">
            <v>CTR_675</v>
          </cell>
          <cell r="B234" t="str">
            <v>HIS</v>
          </cell>
          <cell r="C234" t="str">
            <v>TowerCo</v>
          </cell>
          <cell r="D234" t="str">
            <v>Hybrid-Gen</v>
          </cell>
        </row>
        <row r="235">
          <cell r="A235" t="str">
            <v>CTR_131</v>
          </cell>
          <cell r="B235" t="str">
            <v>HIS</v>
          </cell>
          <cell r="C235" t="str">
            <v>TowerCo</v>
          </cell>
          <cell r="D235" t="str">
            <v>Grid-Gen</v>
          </cell>
        </row>
        <row r="236">
          <cell r="A236" t="str">
            <v>CTR_648</v>
          </cell>
          <cell r="B236" t="str">
            <v>HIS</v>
          </cell>
          <cell r="C236" t="str">
            <v>TowerCo</v>
          </cell>
          <cell r="D236" t="str">
            <v>Grid-Gen</v>
          </cell>
        </row>
        <row r="237">
          <cell r="A237" t="str">
            <v>CTR_555</v>
          </cell>
          <cell r="B237" t="str">
            <v>HIS</v>
          </cell>
          <cell r="C237" t="str">
            <v>TowerCo</v>
          </cell>
          <cell r="D237" t="str">
            <v>Grid-Gen</v>
          </cell>
        </row>
        <row r="238">
          <cell r="A238" t="str">
            <v>LIT_254</v>
          </cell>
          <cell r="B238" t="str">
            <v>HIS</v>
          </cell>
          <cell r="C238" t="str">
            <v>TowerCo</v>
          </cell>
          <cell r="D238" t="str">
            <v>Grid-Gen</v>
          </cell>
        </row>
        <row r="239">
          <cell r="A239" t="str">
            <v>LIT_198</v>
          </cell>
          <cell r="B239" t="str">
            <v>HIS</v>
          </cell>
          <cell r="C239" t="str">
            <v>TowerCo</v>
          </cell>
          <cell r="D239" t="str">
            <v>Grid-Gen</v>
          </cell>
        </row>
        <row r="240">
          <cell r="A240" t="str">
            <v>LIT_240</v>
          </cell>
          <cell r="B240" t="str">
            <v>HIS</v>
          </cell>
          <cell r="C240" t="str">
            <v>TowerCo</v>
          </cell>
          <cell r="D240" t="str">
            <v>Grid-Gen</v>
          </cell>
        </row>
        <row r="241">
          <cell r="A241" t="str">
            <v>LIT_343</v>
          </cell>
          <cell r="B241" t="str">
            <v>HIS</v>
          </cell>
          <cell r="C241" t="str">
            <v>TowerCo</v>
          </cell>
          <cell r="D241" t="str">
            <v>Grid-Gen</v>
          </cell>
        </row>
        <row r="242">
          <cell r="A242" t="str">
            <v>LIT_251</v>
          </cell>
          <cell r="B242" t="str">
            <v>HIS</v>
          </cell>
          <cell r="C242" t="str">
            <v>TowerCo</v>
          </cell>
          <cell r="D242" t="str">
            <v>Grid-Gen</v>
          </cell>
        </row>
        <row r="243">
          <cell r="A243" t="str">
            <v>LIT_445</v>
          </cell>
          <cell r="B243" t="str">
            <v>HIS</v>
          </cell>
          <cell r="C243" t="str">
            <v>TowerCo</v>
          </cell>
          <cell r="D243" t="str">
            <v>Grid-Gen</v>
          </cell>
        </row>
        <row r="244">
          <cell r="A244" t="str">
            <v>LIT_280</v>
          </cell>
          <cell r="B244" t="str">
            <v>HIS</v>
          </cell>
          <cell r="C244" t="str">
            <v>TowerCo</v>
          </cell>
          <cell r="D244" t="str">
            <v>Grid-Gen</v>
          </cell>
        </row>
        <row r="245">
          <cell r="A245" t="str">
            <v>LIT_038</v>
          </cell>
          <cell r="B245" t="str">
            <v>HIS</v>
          </cell>
          <cell r="C245" t="str">
            <v>TowerCo</v>
          </cell>
          <cell r="D245" t="str">
            <v>Grid-Gen</v>
          </cell>
        </row>
        <row r="246">
          <cell r="A246" t="str">
            <v>LIT_341</v>
          </cell>
          <cell r="B246" t="str">
            <v>HIS</v>
          </cell>
          <cell r="C246" t="str">
            <v>TowerCo</v>
          </cell>
          <cell r="D246" t="str">
            <v>Grid-Gen</v>
          </cell>
        </row>
        <row r="247">
          <cell r="A247" t="str">
            <v>LIT_409</v>
          </cell>
          <cell r="B247" t="str">
            <v>HIS</v>
          </cell>
          <cell r="C247" t="str">
            <v>TowerCo</v>
          </cell>
          <cell r="D247" t="str">
            <v>Grid-Gen</v>
          </cell>
        </row>
        <row r="248">
          <cell r="A248" t="str">
            <v>LIT_059</v>
          </cell>
          <cell r="B248" t="str">
            <v>HIS</v>
          </cell>
          <cell r="C248" t="str">
            <v>TowerCo</v>
          </cell>
          <cell r="D248" t="str">
            <v>Grid-Gen</v>
          </cell>
        </row>
        <row r="249">
          <cell r="A249" t="str">
            <v>LIT_339</v>
          </cell>
          <cell r="B249" t="str">
            <v>HIS</v>
          </cell>
          <cell r="C249" t="str">
            <v>TowerCo</v>
          </cell>
          <cell r="D249" t="str">
            <v>Grid-Gen</v>
          </cell>
        </row>
        <row r="250">
          <cell r="A250" t="str">
            <v>LIT_179</v>
          </cell>
          <cell r="B250" t="str">
            <v>HIS</v>
          </cell>
          <cell r="C250" t="str">
            <v>TowerCo</v>
          </cell>
          <cell r="D250" t="str">
            <v>Grid-Gen</v>
          </cell>
        </row>
        <row r="251">
          <cell r="A251" t="str">
            <v>LIT_598</v>
          </cell>
          <cell r="B251" t="str">
            <v>HIS</v>
          </cell>
          <cell r="C251" t="str">
            <v>TowerCo</v>
          </cell>
          <cell r="D251" t="str">
            <v>Hybrid-Gen</v>
          </cell>
        </row>
        <row r="252">
          <cell r="A252" t="str">
            <v>LIT_164</v>
          </cell>
          <cell r="B252" t="str">
            <v>HIS</v>
          </cell>
          <cell r="C252" t="str">
            <v>TowerCo</v>
          </cell>
          <cell r="D252" t="str">
            <v>Grid-Gen</v>
          </cell>
        </row>
        <row r="253">
          <cell r="A253" t="str">
            <v>LIT_575</v>
          </cell>
          <cell r="B253" t="str">
            <v>HIS</v>
          </cell>
          <cell r="C253" t="str">
            <v>TowerCo</v>
          </cell>
          <cell r="D253" t="str">
            <v>Grid-Gen</v>
          </cell>
        </row>
        <row r="254">
          <cell r="A254" t="str">
            <v>LIT_633</v>
          </cell>
          <cell r="B254" t="str">
            <v>HIS</v>
          </cell>
          <cell r="C254" t="str">
            <v>TowerCo</v>
          </cell>
          <cell r="D254" t="str">
            <v>Grid-Gen</v>
          </cell>
        </row>
        <row r="255">
          <cell r="A255" t="str">
            <v>LIT_634</v>
          </cell>
          <cell r="B255" t="str">
            <v>HIS</v>
          </cell>
          <cell r="C255" t="str">
            <v>TowerCo</v>
          </cell>
          <cell r="D255" t="str">
            <v>Grid-Gen</v>
          </cell>
        </row>
        <row r="256">
          <cell r="A256" t="str">
            <v>LIT_563</v>
          </cell>
          <cell r="B256" t="str">
            <v>HIS</v>
          </cell>
          <cell r="C256" t="str">
            <v>TowerCo</v>
          </cell>
          <cell r="D256" t="str">
            <v>Grid-Gen</v>
          </cell>
        </row>
        <row r="257">
          <cell r="A257" t="str">
            <v>LIT_632</v>
          </cell>
          <cell r="B257" t="str">
            <v>HIS</v>
          </cell>
          <cell r="C257" t="str">
            <v>TowerCo</v>
          </cell>
          <cell r="D257" t="str">
            <v>Grid-Gen</v>
          </cell>
        </row>
        <row r="258">
          <cell r="A258" t="str">
            <v>LIT_365</v>
          </cell>
          <cell r="B258" t="str">
            <v>HIS</v>
          </cell>
          <cell r="C258" t="str">
            <v>TowerCo</v>
          </cell>
          <cell r="D258" t="str">
            <v>Grid-Gen</v>
          </cell>
        </row>
        <row r="259">
          <cell r="A259" t="str">
            <v>LIT_482</v>
          </cell>
          <cell r="B259" t="str">
            <v>HIS</v>
          </cell>
          <cell r="C259" t="str">
            <v>TowerCo</v>
          </cell>
          <cell r="D259" t="str">
            <v>Grid-Gen</v>
          </cell>
        </row>
        <row r="260">
          <cell r="A260" t="str">
            <v>LIT_374</v>
          </cell>
          <cell r="B260" t="str">
            <v>HIS</v>
          </cell>
          <cell r="C260" t="str">
            <v>TowerCo</v>
          </cell>
          <cell r="D260" t="str">
            <v>Grid-Gen</v>
          </cell>
        </row>
        <row r="261">
          <cell r="A261" t="str">
            <v>LIT_093</v>
          </cell>
          <cell r="B261" t="str">
            <v>HIS</v>
          </cell>
          <cell r="C261" t="str">
            <v>TowerCo</v>
          </cell>
          <cell r="D261" t="str">
            <v>Grid-Gen</v>
          </cell>
        </row>
        <row r="262">
          <cell r="A262" t="str">
            <v>LIT_363</v>
          </cell>
          <cell r="B262" t="str">
            <v>HIS</v>
          </cell>
          <cell r="C262" t="str">
            <v>TowerCo</v>
          </cell>
          <cell r="D262" t="str">
            <v>Grid Only</v>
          </cell>
        </row>
        <row r="263">
          <cell r="A263" t="str">
            <v>LIT_345</v>
          </cell>
          <cell r="B263" t="str">
            <v>HIS</v>
          </cell>
          <cell r="C263" t="str">
            <v>TowerCo</v>
          </cell>
          <cell r="D263" t="str">
            <v>Grid-Gen</v>
          </cell>
        </row>
        <row r="264">
          <cell r="A264" t="str">
            <v>LIT_622</v>
          </cell>
          <cell r="B264" t="str">
            <v>HIS</v>
          </cell>
          <cell r="C264" t="str">
            <v>TowerCo</v>
          </cell>
          <cell r="D264" t="str">
            <v>Grid-Gen</v>
          </cell>
        </row>
        <row r="265">
          <cell r="A265" t="str">
            <v>LIT_259</v>
          </cell>
          <cell r="B265" t="str">
            <v>HIS</v>
          </cell>
          <cell r="C265" t="str">
            <v>TowerCo</v>
          </cell>
          <cell r="D265" t="str">
            <v>Grid-Gen</v>
          </cell>
        </row>
        <row r="266">
          <cell r="A266" t="str">
            <v>LIT_437</v>
          </cell>
          <cell r="B266" t="str">
            <v>HIS</v>
          </cell>
          <cell r="C266" t="str">
            <v>TowerCo</v>
          </cell>
          <cell r="D266" t="str">
            <v>Grid-Gen</v>
          </cell>
        </row>
        <row r="267">
          <cell r="A267" t="str">
            <v>LIT_151</v>
          </cell>
          <cell r="B267" t="str">
            <v>HIS</v>
          </cell>
          <cell r="C267" t="str">
            <v>TowerCo</v>
          </cell>
          <cell r="D267" t="str">
            <v>Grid-Gen</v>
          </cell>
        </row>
        <row r="268">
          <cell r="A268" t="str">
            <v>LIT_364</v>
          </cell>
          <cell r="B268" t="str">
            <v>HIS</v>
          </cell>
          <cell r="C268" t="str">
            <v>TowerCo</v>
          </cell>
          <cell r="D268" t="str">
            <v>Grid Only</v>
          </cell>
        </row>
        <row r="269">
          <cell r="A269" t="str">
            <v>LIT_346</v>
          </cell>
          <cell r="B269" t="str">
            <v>HIS</v>
          </cell>
          <cell r="C269" t="str">
            <v>TowerCo</v>
          </cell>
          <cell r="D269" t="str">
            <v>Grid-Gen</v>
          </cell>
        </row>
        <row r="270">
          <cell r="A270" t="str">
            <v>LIT_265</v>
          </cell>
          <cell r="B270" t="str">
            <v>HIS</v>
          </cell>
          <cell r="C270" t="str">
            <v>TowerCo</v>
          </cell>
          <cell r="D270" t="str">
            <v>Grid-Gen</v>
          </cell>
        </row>
        <row r="271">
          <cell r="A271" t="str">
            <v>LIT_263</v>
          </cell>
          <cell r="B271" t="str">
            <v>HIS</v>
          </cell>
          <cell r="C271" t="str">
            <v>TowerCo</v>
          </cell>
          <cell r="D271" t="str">
            <v>Grid-Gen</v>
          </cell>
        </row>
        <row r="272">
          <cell r="A272" t="str">
            <v>LIT_290</v>
          </cell>
          <cell r="B272" t="str">
            <v>HIS</v>
          </cell>
          <cell r="C272" t="str">
            <v>TowerCo</v>
          </cell>
          <cell r="D272" t="str">
            <v>Grid-Gen</v>
          </cell>
        </row>
        <row r="273">
          <cell r="A273" t="str">
            <v>LIT_206</v>
          </cell>
          <cell r="B273" t="str">
            <v>HIS</v>
          </cell>
          <cell r="C273" t="str">
            <v>TowerCo</v>
          </cell>
          <cell r="D273" t="str">
            <v>Grid-Gen</v>
          </cell>
        </row>
        <row r="274">
          <cell r="A274" t="str">
            <v>LIT_366</v>
          </cell>
          <cell r="B274" t="str">
            <v>HIS</v>
          </cell>
          <cell r="C274" t="str">
            <v>TowerCo</v>
          </cell>
          <cell r="D274" t="str">
            <v>Grid Only</v>
          </cell>
        </row>
        <row r="275">
          <cell r="A275" t="str">
            <v>LIT_414</v>
          </cell>
          <cell r="B275" t="str">
            <v>HIS</v>
          </cell>
          <cell r="C275" t="str">
            <v>TowerCo</v>
          </cell>
          <cell r="D275" t="str">
            <v>Grid Only</v>
          </cell>
        </row>
        <row r="276">
          <cell r="A276" t="str">
            <v>LIT_381</v>
          </cell>
          <cell r="B276" t="str">
            <v>HIS</v>
          </cell>
          <cell r="C276" t="str">
            <v>TowerCo</v>
          </cell>
          <cell r="D276" t="str">
            <v>Grid Only</v>
          </cell>
        </row>
        <row r="277">
          <cell r="A277" t="str">
            <v>LIT_442</v>
          </cell>
          <cell r="B277" t="str">
            <v>HIS</v>
          </cell>
          <cell r="C277" t="str">
            <v>TowerCo</v>
          </cell>
          <cell r="D277" t="str">
            <v>Grid Only</v>
          </cell>
        </row>
        <row r="278">
          <cell r="A278" t="str">
            <v>LIT_379</v>
          </cell>
          <cell r="B278" t="str">
            <v>HIS</v>
          </cell>
          <cell r="C278" t="str">
            <v>TowerCo</v>
          </cell>
          <cell r="D278" t="str">
            <v>Grid Only</v>
          </cell>
        </row>
        <row r="279">
          <cell r="A279" t="str">
            <v>LIT_056</v>
          </cell>
          <cell r="B279" t="str">
            <v>HIS</v>
          </cell>
          <cell r="C279" t="str">
            <v>TowerCo</v>
          </cell>
          <cell r="D279" t="str">
            <v>Grid Only</v>
          </cell>
        </row>
        <row r="280">
          <cell r="A280" t="str">
            <v>LIT_245</v>
          </cell>
          <cell r="B280" t="str">
            <v>HIS</v>
          </cell>
          <cell r="C280" t="str">
            <v>TowerCo</v>
          </cell>
          <cell r="D280" t="str">
            <v>Grid Only</v>
          </cell>
        </row>
        <row r="281">
          <cell r="A281" t="str">
            <v>LIT_287</v>
          </cell>
          <cell r="B281" t="str">
            <v>HIS</v>
          </cell>
          <cell r="C281" t="str">
            <v>TowerCo</v>
          </cell>
          <cell r="D281" t="str">
            <v>Grid Only</v>
          </cell>
        </row>
        <row r="282">
          <cell r="A282" t="str">
            <v>LIT_417</v>
          </cell>
          <cell r="B282" t="str">
            <v>HIS</v>
          </cell>
          <cell r="C282" t="str">
            <v>TowerCo</v>
          </cell>
          <cell r="D282" t="str">
            <v>Grid Only</v>
          </cell>
        </row>
        <row r="283">
          <cell r="A283" t="str">
            <v>LIT_154</v>
          </cell>
          <cell r="B283" t="str">
            <v>HIS</v>
          </cell>
          <cell r="C283" t="str">
            <v>TowerCo</v>
          </cell>
          <cell r="D283" t="str">
            <v>Grid-Gen</v>
          </cell>
        </row>
        <row r="284">
          <cell r="A284" t="str">
            <v>LIT_130</v>
          </cell>
          <cell r="B284" t="str">
            <v>HIS</v>
          </cell>
          <cell r="C284" t="str">
            <v>TowerCo</v>
          </cell>
          <cell r="D284" t="str">
            <v>Grid-Gen</v>
          </cell>
        </row>
        <row r="285">
          <cell r="A285" t="str">
            <v>LIT_123</v>
          </cell>
          <cell r="B285" t="str">
            <v>HIS</v>
          </cell>
          <cell r="C285" t="str">
            <v>TowerCo</v>
          </cell>
          <cell r="D285" t="str">
            <v>Grid-Gen</v>
          </cell>
        </row>
        <row r="286">
          <cell r="A286" t="str">
            <v>LIT_450</v>
          </cell>
          <cell r="B286" t="str">
            <v>HIS</v>
          </cell>
          <cell r="C286" t="str">
            <v>TowerCo</v>
          </cell>
          <cell r="D286" t="str">
            <v>Grid-Gen</v>
          </cell>
        </row>
        <row r="287">
          <cell r="A287" t="str">
            <v>LIT_406</v>
          </cell>
          <cell r="B287" t="str">
            <v>HIS</v>
          </cell>
          <cell r="C287" t="str">
            <v>TowerCo</v>
          </cell>
          <cell r="D287" t="str">
            <v>Grid Only</v>
          </cell>
        </row>
        <row r="288">
          <cell r="A288" t="str">
            <v>LIT_432</v>
          </cell>
          <cell r="B288" t="str">
            <v>HIS</v>
          </cell>
          <cell r="C288" t="str">
            <v>TowerCo</v>
          </cell>
          <cell r="D288" t="str">
            <v>Grid-Gen</v>
          </cell>
        </row>
        <row r="289">
          <cell r="A289" t="str">
            <v>LIT_094</v>
          </cell>
          <cell r="B289" t="str">
            <v>HIS</v>
          </cell>
          <cell r="C289" t="str">
            <v>TowerCo</v>
          </cell>
          <cell r="D289" t="str">
            <v>Grid-Gen</v>
          </cell>
        </row>
        <row r="290">
          <cell r="A290" t="str">
            <v>LIT_377</v>
          </cell>
          <cell r="B290" t="str">
            <v>HIS</v>
          </cell>
          <cell r="C290" t="str">
            <v>TowerCo</v>
          </cell>
          <cell r="D290" t="str">
            <v>Grid-Gen</v>
          </cell>
        </row>
        <row r="291">
          <cell r="A291" t="str">
            <v>LIT_361</v>
          </cell>
          <cell r="B291" t="str">
            <v>HIS</v>
          </cell>
          <cell r="C291" t="str">
            <v>TowerCo</v>
          </cell>
          <cell r="D291" t="str">
            <v>Grid-Gen</v>
          </cell>
        </row>
        <row r="292">
          <cell r="A292" t="str">
            <v>LIT_274</v>
          </cell>
          <cell r="B292" t="str">
            <v>HIS</v>
          </cell>
          <cell r="C292" t="str">
            <v>TowerCo</v>
          </cell>
          <cell r="D292" t="str">
            <v>Grid-Gen</v>
          </cell>
        </row>
        <row r="293">
          <cell r="A293" t="str">
            <v>LIT_054</v>
          </cell>
          <cell r="B293" t="str">
            <v>HIS</v>
          </cell>
          <cell r="C293" t="str">
            <v>TowerCo</v>
          </cell>
          <cell r="D293" t="str">
            <v>Grid-Gen</v>
          </cell>
        </row>
        <row r="294">
          <cell r="A294" t="str">
            <v>LIT_085</v>
          </cell>
          <cell r="B294" t="str">
            <v>HIS</v>
          </cell>
          <cell r="C294" t="str">
            <v>TowerCo</v>
          </cell>
          <cell r="D294" t="str">
            <v>Grid-Gen</v>
          </cell>
        </row>
        <row r="295">
          <cell r="A295" t="str">
            <v>LIT_291</v>
          </cell>
          <cell r="B295" t="str">
            <v>HIS</v>
          </cell>
          <cell r="C295" t="str">
            <v>TowerCo</v>
          </cell>
          <cell r="D295" t="str">
            <v>Grid-Gen</v>
          </cell>
        </row>
        <row r="296">
          <cell r="A296" t="str">
            <v>LIT_459</v>
          </cell>
          <cell r="B296" t="str">
            <v>HIS</v>
          </cell>
          <cell r="C296" t="str">
            <v>TowerCo</v>
          </cell>
          <cell r="D296" t="str">
            <v>Grid-Gen</v>
          </cell>
        </row>
        <row r="297">
          <cell r="A297" t="str">
            <v>LIT_221</v>
          </cell>
          <cell r="B297" t="str">
            <v>HIS</v>
          </cell>
          <cell r="C297" t="str">
            <v>TowerCo</v>
          </cell>
          <cell r="D297" t="str">
            <v>Grid-Gen</v>
          </cell>
        </row>
        <row r="298">
          <cell r="A298" t="str">
            <v>LIT_260</v>
          </cell>
          <cell r="B298" t="str">
            <v>HIS</v>
          </cell>
          <cell r="C298" t="str">
            <v>TowerCo</v>
          </cell>
          <cell r="D298" t="str">
            <v>Grid-Gen</v>
          </cell>
        </row>
        <row r="299">
          <cell r="A299" t="str">
            <v>LIT_264</v>
          </cell>
          <cell r="B299" t="str">
            <v>HIS</v>
          </cell>
          <cell r="C299" t="str">
            <v>TowerCo</v>
          </cell>
          <cell r="D299" t="str">
            <v>Grid-Gen</v>
          </cell>
        </row>
        <row r="300">
          <cell r="A300" t="str">
            <v>LIT_217</v>
          </cell>
          <cell r="B300" t="str">
            <v>HIS</v>
          </cell>
          <cell r="C300" t="str">
            <v>TowerCo</v>
          </cell>
          <cell r="D300" t="str">
            <v>Grid-Gen</v>
          </cell>
        </row>
        <row r="301">
          <cell r="A301" t="str">
            <v>LIT_243</v>
          </cell>
          <cell r="B301" t="str">
            <v>HIS</v>
          </cell>
          <cell r="C301" t="str">
            <v>TowerCo</v>
          </cell>
          <cell r="D301" t="str">
            <v>Grid-Gen</v>
          </cell>
        </row>
        <row r="302">
          <cell r="A302" t="str">
            <v>LIT_083</v>
          </cell>
          <cell r="B302" t="str">
            <v>HIS</v>
          </cell>
          <cell r="C302" t="str">
            <v>TowerCo</v>
          </cell>
          <cell r="D302" t="str">
            <v>Grid-Gen</v>
          </cell>
        </row>
        <row r="303">
          <cell r="A303" t="str">
            <v>LIT_074</v>
          </cell>
          <cell r="B303" t="str">
            <v>HIS</v>
          </cell>
          <cell r="C303" t="str">
            <v>TowerCo</v>
          </cell>
          <cell r="D303" t="str">
            <v>Grid-Gen</v>
          </cell>
        </row>
        <row r="304">
          <cell r="A304" t="str">
            <v>LIT_203</v>
          </cell>
          <cell r="B304" t="str">
            <v>HIS</v>
          </cell>
          <cell r="C304" t="str">
            <v>TowerCo</v>
          </cell>
          <cell r="D304" t="str">
            <v>Grid-Gen</v>
          </cell>
        </row>
        <row r="305">
          <cell r="A305" t="str">
            <v>LIT_181</v>
          </cell>
          <cell r="B305" t="str">
            <v>HIS</v>
          </cell>
          <cell r="C305" t="str">
            <v>TowerCo</v>
          </cell>
          <cell r="D305" t="str">
            <v>Grid-Gen</v>
          </cell>
        </row>
        <row r="306">
          <cell r="A306" t="str">
            <v>LIT_048</v>
          </cell>
          <cell r="B306" t="str">
            <v>HIS</v>
          </cell>
          <cell r="C306" t="str">
            <v>TowerCo</v>
          </cell>
          <cell r="D306" t="str">
            <v>Grid-Gen</v>
          </cell>
        </row>
        <row r="307">
          <cell r="A307" t="str">
            <v>LIT_097</v>
          </cell>
          <cell r="B307" t="str">
            <v>HIS</v>
          </cell>
          <cell r="C307" t="str">
            <v>TowerCo</v>
          </cell>
          <cell r="D307" t="str">
            <v>Grid Only</v>
          </cell>
        </row>
        <row r="308">
          <cell r="A308" t="str">
            <v>LIT_344</v>
          </cell>
          <cell r="B308" t="str">
            <v>HIS</v>
          </cell>
          <cell r="C308" t="str">
            <v>TowerCo</v>
          </cell>
          <cell r="D308" t="str">
            <v>Grid-Gen</v>
          </cell>
        </row>
        <row r="309">
          <cell r="A309" t="str">
            <v>LIT_102</v>
          </cell>
          <cell r="B309" t="str">
            <v>HIS</v>
          </cell>
          <cell r="C309" t="str">
            <v>TowerCo</v>
          </cell>
          <cell r="D309" t="str">
            <v>Grid Only</v>
          </cell>
        </row>
        <row r="310">
          <cell r="A310" t="str">
            <v>LIT_098</v>
          </cell>
          <cell r="B310" t="str">
            <v>HIS</v>
          </cell>
          <cell r="C310" t="str">
            <v>TowerCo</v>
          </cell>
          <cell r="D310" t="str">
            <v>Grid-Gen</v>
          </cell>
        </row>
        <row r="311">
          <cell r="A311" t="str">
            <v>LIT_050</v>
          </cell>
          <cell r="B311" t="str">
            <v>HIS</v>
          </cell>
          <cell r="C311" t="str">
            <v>TowerCo</v>
          </cell>
          <cell r="D311" t="str">
            <v>Grid Only</v>
          </cell>
        </row>
        <row r="312">
          <cell r="A312" t="str">
            <v>LIT_404</v>
          </cell>
          <cell r="B312" t="str">
            <v>HIS</v>
          </cell>
          <cell r="C312" t="str">
            <v>TowerCo</v>
          </cell>
          <cell r="D312" t="str">
            <v>Grid-Gen</v>
          </cell>
        </row>
        <row r="313">
          <cell r="A313" t="str">
            <v>LIT_435</v>
          </cell>
          <cell r="B313" t="str">
            <v>HIS</v>
          </cell>
          <cell r="C313" t="str">
            <v>TowerCo</v>
          </cell>
          <cell r="D313" t="str">
            <v>Grid-Gen</v>
          </cell>
        </row>
        <row r="314">
          <cell r="A314" t="str">
            <v>LIT_161</v>
          </cell>
          <cell r="B314" t="str">
            <v>HIS</v>
          </cell>
          <cell r="C314" t="str">
            <v>TowerCo</v>
          </cell>
          <cell r="D314" t="str">
            <v>Grid Only</v>
          </cell>
        </row>
        <row r="315">
          <cell r="A315" t="str">
            <v>LIT_160</v>
          </cell>
          <cell r="B315" t="str">
            <v>HIS</v>
          </cell>
          <cell r="C315" t="str">
            <v>TowerCo</v>
          </cell>
          <cell r="D315" t="str">
            <v>Grid-Gen</v>
          </cell>
        </row>
        <row r="316">
          <cell r="A316" t="str">
            <v>LIT_024</v>
          </cell>
          <cell r="B316" t="str">
            <v>HIS</v>
          </cell>
          <cell r="C316" t="str">
            <v>TowerCo</v>
          </cell>
          <cell r="D316" t="str">
            <v>Grid-Gen</v>
          </cell>
        </row>
        <row r="317">
          <cell r="A317" t="str">
            <v>LIT_396</v>
          </cell>
          <cell r="B317" t="str">
            <v>HIS</v>
          </cell>
          <cell r="C317" t="str">
            <v>TowerCo</v>
          </cell>
          <cell r="D317" t="str">
            <v>Grid-Gen</v>
          </cell>
        </row>
        <row r="318">
          <cell r="A318" t="str">
            <v>LIT_378</v>
          </cell>
          <cell r="B318" t="str">
            <v>HIS</v>
          </cell>
          <cell r="C318" t="str">
            <v>TowerCo</v>
          </cell>
          <cell r="D318" t="str">
            <v>Grid-Gen</v>
          </cell>
        </row>
        <row r="319">
          <cell r="A319" t="str">
            <v>LIT_444</v>
          </cell>
          <cell r="B319" t="str">
            <v>HIS</v>
          </cell>
          <cell r="C319" t="str">
            <v>TowerCo</v>
          </cell>
          <cell r="D319" t="str">
            <v>Grid-Gen</v>
          </cell>
        </row>
        <row r="320">
          <cell r="A320" t="str">
            <v>LIT_092</v>
          </cell>
          <cell r="B320" t="str">
            <v>HIS</v>
          </cell>
          <cell r="C320" t="str">
            <v>TowerCo</v>
          </cell>
          <cell r="D320" t="str">
            <v>Grid Only</v>
          </cell>
        </row>
        <row r="321">
          <cell r="A321" t="str">
            <v>LIT_044</v>
          </cell>
          <cell r="B321" t="str">
            <v>HIS</v>
          </cell>
          <cell r="C321" t="str">
            <v>TowerCo</v>
          </cell>
          <cell r="D321" t="str">
            <v>Grid-Gen</v>
          </cell>
        </row>
        <row r="322">
          <cell r="A322" t="str">
            <v>LIT_046</v>
          </cell>
          <cell r="B322" t="str">
            <v>HIS</v>
          </cell>
          <cell r="C322" t="str">
            <v>TowerCo</v>
          </cell>
          <cell r="D322" t="str">
            <v>Grid-Gen</v>
          </cell>
        </row>
        <row r="323">
          <cell r="A323" t="str">
            <v>LIT_034</v>
          </cell>
          <cell r="B323" t="str">
            <v>HIS</v>
          </cell>
          <cell r="C323" t="str">
            <v>TowerCo</v>
          </cell>
          <cell r="D323" t="str">
            <v>Grid Only</v>
          </cell>
        </row>
        <row r="324">
          <cell r="A324" t="str">
            <v>LIT_342</v>
          </cell>
          <cell r="B324" t="str">
            <v>HIS</v>
          </cell>
          <cell r="C324" t="str">
            <v>TowerCo</v>
          </cell>
          <cell r="D324" t="str">
            <v>Grid Only</v>
          </cell>
        </row>
        <row r="325">
          <cell r="A325" t="str">
            <v>LIT_405</v>
          </cell>
          <cell r="B325" t="str">
            <v>HIS</v>
          </cell>
          <cell r="C325" t="str">
            <v>TowerCo</v>
          </cell>
          <cell r="D325" t="str">
            <v>Grid-Gen</v>
          </cell>
        </row>
        <row r="326">
          <cell r="A326" t="str">
            <v>LIT_621</v>
          </cell>
          <cell r="B326" t="str">
            <v>HIS</v>
          </cell>
          <cell r="C326" t="str">
            <v>TowerCo</v>
          </cell>
          <cell r="D326" t="str">
            <v>Grid-Gen</v>
          </cell>
        </row>
        <row r="327">
          <cell r="A327" t="str">
            <v>LIT_488</v>
          </cell>
          <cell r="B327" t="str">
            <v>HIS</v>
          </cell>
          <cell r="C327" t="str">
            <v>TowerCo</v>
          </cell>
          <cell r="D327" t="str">
            <v>Grid-Gen</v>
          </cell>
        </row>
        <row r="328">
          <cell r="A328" t="str">
            <v>LIT_747</v>
          </cell>
          <cell r="B328" t="str">
            <v>HIS</v>
          </cell>
          <cell r="C328" t="str">
            <v>TowerCo</v>
          </cell>
          <cell r="D328" t="str">
            <v>Grid-Gen</v>
          </cell>
        </row>
        <row r="329">
          <cell r="A329" t="str">
            <v>LIT_485</v>
          </cell>
          <cell r="B329" t="str">
            <v>HIS</v>
          </cell>
          <cell r="C329" t="str">
            <v>TowerCo</v>
          </cell>
          <cell r="D329" t="str">
            <v>Grid-Gen</v>
          </cell>
        </row>
        <row r="330">
          <cell r="A330" t="str">
            <v>LIT_597</v>
          </cell>
          <cell r="B330" t="str">
            <v>HIS</v>
          </cell>
          <cell r="C330" t="str">
            <v>TowerCo</v>
          </cell>
          <cell r="D330" t="str">
            <v>Grid-Gen</v>
          </cell>
        </row>
        <row r="331">
          <cell r="A331" t="str">
            <v>LIT_137</v>
          </cell>
          <cell r="B331" t="str">
            <v>HIS</v>
          </cell>
          <cell r="C331" t="str">
            <v>TowerCo</v>
          </cell>
          <cell r="D331" t="str">
            <v>Grid-Gen</v>
          </cell>
        </row>
        <row r="332">
          <cell r="A332" t="str">
            <v>LIT_155</v>
          </cell>
          <cell r="B332" t="str">
            <v>HIS</v>
          </cell>
          <cell r="C332" t="str">
            <v>TowerCo</v>
          </cell>
          <cell r="D332" t="str">
            <v>Grid-Gen</v>
          </cell>
        </row>
        <row r="333">
          <cell r="A333" t="str">
            <v>LIT_577</v>
          </cell>
          <cell r="B333" t="str">
            <v>HIS</v>
          </cell>
          <cell r="C333" t="str">
            <v>TowerCo</v>
          </cell>
          <cell r="D333" t="str">
            <v>Grid-Gen</v>
          </cell>
        </row>
        <row r="334">
          <cell r="A334" t="str">
            <v>LIT_360</v>
          </cell>
          <cell r="B334" t="str">
            <v>HIS</v>
          </cell>
          <cell r="C334" t="str">
            <v>TowerCo</v>
          </cell>
          <cell r="D334" t="str">
            <v>Grid-Gen</v>
          </cell>
        </row>
        <row r="335">
          <cell r="A335" t="str">
            <v>LIT_576</v>
          </cell>
          <cell r="B335" t="str">
            <v>HIS</v>
          </cell>
          <cell r="C335" t="str">
            <v>TowerCo</v>
          </cell>
          <cell r="D335" t="str">
            <v>Grid-Gen</v>
          </cell>
        </row>
        <row r="336">
          <cell r="A336" t="str">
            <v>LIT_527</v>
          </cell>
          <cell r="B336" t="str">
            <v>HIS</v>
          </cell>
          <cell r="C336" t="str">
            <v>TowerCo</v>
          </cell>
          <cell r="D336" t="str">
            <v>Grid-Gen</v>
          </cell>
        </row>
        <row r="337">
          <cell r="A337" t="str">
            <v>LIT_524</v>
          </cell>
          <cell r="B337" t="str">
            <v>HIS</v>
          </cell>
          <cell r="C337" t="str">
            <v>TowerCo</v>
          </cell>
          <cell r="D337" t="str">
            <v>Grid-Gen</v>
          </cell>
        </row>
        <row r="338">
          <cell r="A338" t="str">
            <v>LIT_525</v>
          </cell>
          <cell r="B338" t="str">
            <v>HIS</v>
          </cell>
          <cell r="C338" t="str">
            <v>TowerCo</v>
          </cell>
          <cell r="D338" t="str">
            <v>Grid-Gen</v>
          </cell>
        </row>
        <row r="339">
          <cell r="A339" t="str">
            <v>LIT_535</v>
          </cell>
          <cell r="B339" t="str">
            <v>HIS</v>
          </cell>
          <cell r="C339" t="str">
            <v>TowerCo</v>
          </cell>
          <cell r="D339" t="str">
            <v>Grid Only</v>
          </cell>
        </row>
        <row r="340">
          <cell r="A340" t="str">
            <v>LIT_589</v>
          </cell>
          <cell r="B340" t="str">
            <v>HIS</v>
          </cell>
          <cell r="C340" t="str">
            <v>TowerCo</v>
          </cell>
          <cell r="D340" t="str">
            <v>Grid-Gen</v>
          </cell>
        </row>
        <row r="341">
          <cell r="A341" t="str">
            <v>LIT_362</v>
          </cell>
          <cell r="B341" t="str">
            <v>HIS</v>
          </cell>
          <cell r="C341" t="str">
            <v>TowerCo</v>
          </cell>
          <cell r="D341" t="str">
            <v>Grid-Gen</v>
          </cell>
        </row>
        <row r="342">
          <cell r="A342" t="str">
            <v>LIT_489</v>
          </cell>
          <cell r="B342" t="str">
            <v>HIS</v>
          </cell>
          <cell r="C342" t="str">
            <v>TowerCo</v>
          </cell>
          <cell r="D342" t="str">
            <v>Grid-Gen</v>
          </cell>
        </row>
        <row r="343">
          <cell r="A343" t="str">
            <v>LIT_490</v>
          </cell>
          <cell r="B343" t="str">
            <v>HIS</v>
          </cell>
          <cell r="C343" t="str">
            <v>TowerCo</v>
          </cell>
          <cell r="D343" t="str">
            <v>Grid-Gen</v>
          </cell>
        </row>
        <row r="344">
          <cell r="A344" t="str">
            <v>LIT_418</v>
          </cell>
          <cell r="B344" t="str">
            <v>HIS</v>
          </cell>
          <cell r="C344" t="str">
            <v>TowerCo</v>
          </cell>
          <cell r="D344" t="str">
            <v>Grid-Gen</v>
          </cell>
        </row>
        <row r="345">
          <cell r="A345" t="str">
            <v>LIT_479</v>
          </cell>
          <cell r="B345" t="str">
            <v>HIS</v>
          </cell>
          <cell r="C345" t="str">
            <v>TowerCo</v>
          </cell>
          <cell r="D345" t="str">
            <v>Grid-Gen</v>
          </cell>
        </row>
        <row r="346">
          <cell r="A346" t="str">
            <v>LIT_531</v>
          </cell>
          <cell r="B346" t="str">
            <v>HIS</v>
          </cell>
          <cell r="C346" t="str">
            <v>TowerCo</v>
          </cell>
          <cell r="D346" t="str">
            <v>Grid-Gen</v>
          </cell>
        </row>
        <row r="347">
          <cell r="A347" t="str">
            <v>LIT_017</v>
          </cell>
          <cell r="B347" t="str">
            <v>HIS</v>
          </cell>
          <cell r="C347" t="str">
            <v>TowerCo</v>
          </cell>
          <cell r="D347" t="str">
            <v>Grid-Gen</v>
          </cell>
        </row>
        <row r="348">
          <cell r="A348" t="str">
            <v>CTR_031</v>
          </cell>
          <cell r="B348" t="str">
            <v>HIS</v>
          </cell>
          <cell r="C348" t="str">
            <v>TowerCo</v>
          </cell>
          <cell r="D348" t="str">
            <v>Grid-Gen</v>
          </cell>
        </row>
        <row r="349">
          <cell r="A349" t="str">
            <v>CTR_327</v>
          </cell>
          <cell r="B349" t="str">
            <v>HIS</v>
          </cell>
          <cell r="C349" t="str">
            <v>TowerCo</v>
          </cell>
          <cell r="D349" t="str">
            <v>Grid-Gen</v>
          </cell>
        </row>
        <row r="350">
          <cell r="A350" t="str">
            <v>CTR_263</v>
          </cell>
          <cell r="B350" t="str">
            <v>HIS</v>
          </cell>
          <cell r="C350" t="str">
            <v>TowerCo</v>
          </cell>
          <cell r="D350" t="str">
            <v>Grid-Gen</v>
          </cell>
        </row>
        <row r="351">
          <cell r="A351" t="str">
            <v>CTR_273</v>
          </cell>
          <cell r="B351" t="str">
            <v>HIS</v>
          </cell>
          <cell r="C351" t="str">
            <v>TowerCo</v>
          </cell>
          <cell r="D351" t="str">
            <v>Grid-Gen</v>
          </cell>
        </row>
        <row r="352">
          <cell r="A352" t="str">
            <v>CTR_317</v>
          </cell>
          <cell r="B352" t="str">
            <v>HIS</v>
          </cell>
          <cell r="C352" t="str">
            <v>TowerCo</v>
          </cell>
          <cell r="D352" t="str">
            <v>Grid-Gen</v>
          </cell>
        </row>
        <row r="353">
          <cell r="A353" t="str">
            <v>CTR_214</v>
          </cell>
          <cell r="B353" t="str">
            <v>HIS</v>
          </cell>
          <cell r="C353" t="str">
            <v>TowerCo</v>
          </cell>
          <cell r="D353" t="str">
            <v>Grid-Gen</v>
          </cell>
        </row>
        <row r="354">
          <cell r="A354" t="str">
            <v>CTR_093</v>
          </cell>
          <cell r="B354" t="str">
            <v>HIS</v>
          </cell>
          <cell r="C354" t="str">
            <v>TowerCo</v>
          </cell>
          <cell r="D354" t="str">
            <v>Grid Only</v>
          </cell>
        </row>
        <row r="355">
          <cell r="A355" t="str">
            <v>CTR_029</v>
          </cell>
          <cell r="B355" t="str">
            <v>HIS</v>
          </cell>
          <cell r="C355" t="str">
            <v>TowerCo</v>
          </cell>
          <cell r="D355" t="str">
            <v>Grid-Gen</v>
          </cell>
        </row>
        <row r="356">
          <cell r="A356" t="str">
            <v>CTR_014</v>
          </cell>
          <cell r="B356" t="str">
            <v>HIS</v>
          </cell>
          <cell r="C356" t="str">
            <v>TowerCo</v>
          </cell>
          <cell r="D356" t="str">
            <v>Grid Only</v>
          </cell>
        </row>
        <row r="357">
          <cell r="A357" t="str">
            <v>CTR_272</v>
          </cell>
          <cell r="B357" t="str">
            <v>HIS</v>
          </cell>
          <cell r="C357" t="str">
            <v>TowerCo</v>
          </cell>
          <cell r="D357" t="str">
            <v>Grid-Gen</v>
          </cell>
        </row>
        <row r="358">
          <cell r="A358" t="str">
            <v>CTR_078</v>
          </cell>
          <cell r="B358" t="str">
            <v>HIS</v>
          </cell>
          <cell r="C358" t="str">
            <v>TowerCo</v>
          </cell>
          <cell r="D358" t="str">
            <v>Grid-Gen</v>
          </cell>
        </row>
        <row r="359">
          <cell r="A359" t="str">
            <v>CTR_379</v>
          </cell>
          <cell r="B359" t="str">
            <v>HIS</v>
          </cell>
          <cell r="C359" t="str">
            <v>TowerCo</v>
          </cell>
          <cell r="D359" t="str">
            <v>Grid-Gen</v>
          </cell>
        </row>
        <row r="360">
          <cell r="A360" t="str">
            <v>CTR_336</v>
          </cell>
          <cell r="B360" t="str">
            <v>HIS</v>
          </cell>
          <cell r="C360" t="str">
            <v>TowerCo</v>
          </cell>
          <cell r="D360" t="str">
            <v>Grid-Gen</v>
          </cell>
        </row>
        <row r="361">
          <cell r="A361" t="str">
            <v>CTR_313</v>
          </cell>
          <cell r="B361" t="str">
            <v>HIS</v>
          </cell>
          <cell r="C361" t="str">
            <v>TowerCo</v>
          </cell>
          <cell r="D361" t="str">
            <v>Grid-Gen</v>
          </cell>
        </row>
        <row r="362">
          <cell r="A362" t="str">
            <v>CTR_430</v>
          </cell>
          <cell r="B362" t="str">
            <v>HIS</v>
          </cell>
          <cell r="C362" t="str">
            <v>TowerCo</v>
          </cell>
          <cell r="D362" t="str">
            <v>Grid-Gen</v>
          </cell>
        </row>
        <row r="363">
          <cell r="A363" t="str">
            <v>CTR_254</v>
          </cell>
          <cell r="B363" t="str">
            <v>HIS</v>
          </cell>
          <cell r="C363" t="str">
            <v>TowerCo</v>
          </cell>
          <cell r="D363" t="str">
            <v>Grid-Gen</v>
          </cell>
        </row>
        <row r="364">
          <cell r="A364" t="str">
            <v>CTR_341</v>
          </cell>
          <cell r="B364" t="str">
            <v>HIS</v>
          </cell>
          <cell r="C364" t="str">
            <v>TowerCo</v>
          </cell>
          <cell r="D364" t="str">
            <v>Grid-Gen</v>
          </cell>
        </row>
        <row r="365">
          <cell r="A365" t="str">
            <v>CTR_024</v>
          </cell>
          <cell r="B365" t="str">
            <v>HIS</v>
          </cell>
          <cell r="C365" t="str">
            <v>TowerCo</v>
          </cell>
          <cell r="D365" t="str">
            <v>Grid Only</v>
          </cell>
        </row>
        <row r="366">
          <cell r="A366" t="str">
            <v>CTR_130</v>
          </cell>
          <cell r="B366" t="str">
            <v>HIS</v>
          </cell>
          <cell r="C366" t="str">
            <v>TowerCo</v>
          </cell>
          <cell r="D366" t="str">
            <v>Grid-Gen</v>
          </cell>
        </row>
        <row r="367">
          <cell r="A367" t="str">
            <v>CTR_070</v>
          </cell>
          <cell r="B367" t="str">
            <v>HIS</v>
          </cell>
          <cell r="C367" t="str">
            <v>TowerCo</v>
          </cell>
          <cell r="D367" t="str">
            <v>Grid Only</v>
          </cell>
        </row>
        <row r="368">
          <cell r="A368" t="str">
            <v>CTR_132</v>
          </cell>
          <cell r="B368" t="str">
            <v>HIS</v>
          </cell>
          <cell r="C368" t="str">
            <v>TowerCo</v>
          </cell>
          <cell r="D368" t="str">
            <v>Grid-Gen</v>
          </cell>
        </row>
        <row r="369">
          <cell r="A369" t="str">
            <v>CTR_047</v>
          </cell>
          <cell r="B369" t="str">
            <v>HIS</v>
          </cell>
          <cell r="C369" t="str">
            <v>TowerCo</v>
          </cell>
          <cell r="D369" t="str">
            <v>Grid Only</v>
          </cell>
        </row>
        <row r="370">
          <cell r="A370" t="str">
            <v>CTR_244</v>
          </cell>
          <cell r="B370" t="str">
            <v>HIS</v>
          </cell>
          <cell r="C370" t="str">
            <v>TowerCo</v>
          </cell>
          <cell r="D370" t="str">
            <v>Grid Only</v>
          </cell>
        </row>
        <row r="371">
          <cell r="A371" t="str">
            <v>CTR_377</v>
          </cell>
          <cell r="B371" t="str">
            <v>HIS</v>
          </cell>
          <cell r="C371" t="str">
            <v>TowerCo</v>
          </cell>
          <cell r="D371" t="str">
            <v>Grid-Gen</v>
          </cell>
        </row>
        <row r="372">
          <cell r="A372" t="str">
            <v>CTR_373</v>
          </cell>
          <cell r="B372" t="str">
            <v>HIS</v>
          </cell>
          <cell r="C372" t="str">
            <v>TowerCo</v>
          </cell>
          <cell r="D372" t="str">
            <v>Grid Only</v>
          </cell>
        </row>
        <row r="373">
          <cell r="A373" t="str">
            <v>CTR_199</v>
          </cell>
          <cell r="B373" t="str">
            <v>HIS</v>
          </cell>
          <cell r="C373" t="str">
            <v>TowerCo</v>
          </cell>
          <cell r="D373" t="str">
            <v>Grid-Gen</v>
          </cell>
        </row>
        <row r="374">
          <cell r="A374" t="str">
            <v>CTR_342</v>
          </cell>
          <cell r="B374" t="str">
            <v>HIS</v>
          </cell>
          <cell r="C374" t="str">
            <v>TowerCo</v>
          </cell>
          <cell r="D374" t="str">
            <v>Grid-Gen</v>
          </cell>
        </row>
        <row r="375">
          <cell r="A375" t="str">
            <v>CTR_473</v>
          </cell>
          <cell r="B375" t="str">
            <v>HIS</v>
          </cell>
          <cell r="C375" t="str">
            <v>TowerCo</v>
          </cell>
          <cell r="D375" t="str">
            <v>Grid-Gen</v>
          </cell>
        </row>
        <row r="376">
          <cell r="A376" t="str">
            <v>CTR_542</v>
          </cell>
          <cell r="B376" t="str">
            <v>HIS</v>
          </cell>
          <cell r="C376" t="str">
            <v>TowerCo</v>
          </cell>
          <cell r="D376" t="str">
            <v>Grid-Gen</v>
          </cell>
        </row>
        <row r="377">
          <cell r="A377" t="str">
            <v>CTR_643</v>
          </cell>
          <cell r="B377" t="str">
            <v>HIS</v>
          </cell>
          <cell r="C377" t="str">
            <v>TowerCo</v>
          </cell>
          <cell r="D377" t="str">
            <v>Grid-Gen</v>
          </cell>
        </row>
        <row r="378">
          <cell r="A378" t="str">
            <v>CTR_594</v>
          </cell>
          <cell r="B378" t="str">
            <v>HIS</v>
          </cell>
          <cell r="C378" t="str">
            <v>TowerCo</v>
          </cell>
          <cell r="D378" t="str">
            <v>Grid-Gen</v>
          </cell>
        </row>
        <row r="379">
          <cell r="A379" t="str">
            <v>CTR_649</v>
          </cell>
          <cell r="B379" t="str">
            <v>HIS</v>
          </cell>
          <cell r="C379" t="str">
            <v>TowerCo</v>
          </cell>
          <cell r="D379" t="str">
            <v>Grid-Gen</v>
          </cell>
        </row>
        <row r="380">
          <cell r="A380" t="str">
            <v>CTR_621</v>
          </cell>
          <cell r="B380" t="str">
            <v>HIS</v>
          </cell>
          <cell r="C380" t="str">
            <v>TowerCo</v>
          </cell>
          <cell r="D380" t="str">
            <v>Grid-Gen</v>
          </cell>
        </row>
        <row r="381">
          <cell r="A381" t="str">
            <v>CTR_431</v>
          </cell>
          <cell r="B381" t="str">
            <v>HIS</v>
          </cell>
          <cell r="C381" t="str">
            <v>TowerCo</v>
          </cell>
          <cell r="D381" t="str">
            <v>Grid-Gen</v>
          </cell>
        </row>
        <row r="382">
          <cell r="A382" t="str">
            <v>CTR_674</v>
          </cell>
          <cell r="B382" t="str">
            <v>HIS</v>
          </cell>
          <cell r="C382" t="str">
            <v>TowerCo</v>
          </cell>
          <cell r="D382" t="str">
            <v>Grid-Gen</v>
          </cell>
        </row>
        <row r="383">
          <cell r="A383" t="str">
            <v>ADM_012</v>
          </cell>
          <cell r="B383" t="str">
            <v>HIS</v>
          </cell>
          <cell r="C383" t="str">
            <v>TowerCo</v>
          </cell>
          <cell r="D383" t="str">
            <v>Grid-Gen</v>
          </cell>
        </row>
        <row r="384">
          <cell r="A384" t="str">
            <v>OST_004</v>
          </cell>
          <cell r="B384" t="str">
            <v>HIS</v>
          </cell>
          <cell r="C384" t="str">
            <v>TowerCo</v>
          </cell>
          <cell r="D384" t="str">
            <v>Grid-Gen</v>
          </cell>
        </row>
        <row r="385">
          <cell r="A385" t="str">
            <v>OST_042</v>
          </cell>
          <cell r="B385" t="str">
            <v>HIS</v>
          </cell>
          <cell r="C385" t="str">
            <v>TowerCo</v>
          </cell>
          <cell r="D385" t="str">
            <v>Grid-Gen</v>
          </cell>
        </row>
        <row r="386">
          <cell r="A386" t="str">
            <v>OST_023</v>
          </cell>
          <cell r="B386" t="str">
            <v>HIS</v>
          </cell>
          <cell r="C386" t="str">
            <v>TowerCo</v>
          </cell>
          <cell r="D386" t="str">
            <v>Grid-Gen</v>
          </cell>
        </row>
        <row r="387">
          <cell r="A387" t="str">
            <v>OST_093</v>
          </cell>
          <cell r="B387" t="str">
            <v>HIS</v>
          </cell>
          <cell r="C387" t="str">
            <v>TowerCo</v>
          </cell>
          <cell r="D387" t="str">
            <v>Solar-Gen</v>
          </cell>
        </row>
        <row r="388">
          <cell r="A388" t="str">
            <v>NRO_034</v>
          </cell>
          <cell r="B388" t="str">
            <v>HIS</v>
          </cell>
          <cell r="C388" t="str">
            <v>TowerCo</v>
          </cell>
          <cell r="D388" t="str">
            <v>Grid-Gen</v>
          </cell>
        </row>
        <row r="389">
          <cell r="A389" t="str">
            <v>OST_175</v>
          </cell>
          <cell r="B389" t="str">
            <v>HIS</v>
          </cell>
          <cell r="C389" t="str">
            <v>TowerCo</v>
          </cell>
          <cell r="D389" t="str">
            <v>Grid Only</v>
          </cell>
        </row>
        <row r="390">
          <cell r="A390" t="str">
            <v>OST_070</v>
          </cell>
          <cell r="B390" t="str">
            <v>HIS</v>
          </cell>
          <cell r="C390" t="str">
            <v>TowerCo</v>
          </cell>
          <cell r="D390" t="str">
            <v>Grid-Gen</v>
          </cell>
        </row>
        <row r="391">
          <cell r="A391" t="str">
            <v>OST_207</v>
          </cell>
          <cell r="B391" t="str">
            <v>HIS</v>
          </cell>
          <cell r="C391" t="str">
            <v>TowerCo</v>
          </cell>
          <cell r="D391" t="str">
            <v>Grid-Gen</v>
          </cell>
        </row>
        <row r="392">
          <cell r="A392" t="str">
            <v>OST_201</v>
          </cell>
          <cell r="B392" t="str">
            <v>HIS</v>
          </cell>
          <cell r="C392" t="str">
            <v>TowerCo</v>
          </cell>
          <cell r="D392" t="str">
            <v>Hybrid-Gen</v>
          </cell>
        </row>
        <row r="393">
          <cell r="A393" t="str">
            <v>OST_215</v>
          </cell>
          <cell r="B393" t="str">
            <v>HIS</v>
          </cell>
          <cell r="C393" t="str">
            <v>TowerCo</v>
          </cell>
          <cell r="D393" t="str">
            <v>Grid-Gen</v>
          </cell>
        </row>
        <row r="394">
          <cell r="A394" t="str">
            <v>OST_030</v>
          </cell>
          <cell r="B394" t="str">
            <v>HIS</v>
          </cell>
          <cell r="C394" t="str">
            <v>TowerCo</v>
          </cell>
          <cell r="D394" t="str">
            <v>Grid-Hybrid-Gen</v>
          </cell>
        </row>
        <row r="395">
          <cell r="A395" t="str">
            <v>NRO_051</v>
          </cell>
          <cell r="B395" t="str">
            <v>HIS</v>
          </cell>
          <cell r="C395" t="str">
            <v>TowerCo</v>
          </cell>
          <cell r="D395" t="str">
            <v>Gen Only</v>
          </cell>
        </row>
        <row r="396">
          <cell r="A396" t="str">
            <v>NRO_100</v>
          </cell>
          <cell r="B396" t="str">
            <v>HIS</v>
          </cell>
          <cell r="C396" t="str">
            <v>TowerCo</v>
          </cell>
          <cell r="D396" t="str">
            <v>Hybrid-Gen</v>
          </cell>
        </row>
        <row r="397">
          <cell r="A397" t="str">
            <v>OST_176</v>
          </cell>
          <cell r="B397" t="str">
            <v>HIS</v>
          </cell>
          <cell r="C397" t="str">
            <v>TowerCo</v>
          </cell>
          <cell r="D397" t="str">
            <v>Grid-Gen</v>
          </cell>
        </row>
        <row r="398">
          <cell r="A398" t="str">
            <v>OST_058</v>
          </cell>
          <cell r="B398" t="str">
            <v>HIS</v>
          </cell>
          <cell r="C398" t="str">
            <v>TowerCo</v>
          </cell>
          <cell r="D398" t="str">
            <v>Grid-Gen</v>
          </cell>
        </row>
        <row r="399">
          <cell r="A399" t="str">
            <v>OST_027</v>
          </cell>
          <cell r="B399" t="str">
            <v>HIS</v>
          </cell>
          <cell r="C399" t="str">
            <v>TowerCo</v>
          </cell>
          <cell r="D399" t="str">
            <v>Grid-Gen</v>
          </cell>
        </row>
        <row r="400">
          <cell r="A400" t="str">
            <v>OST_137</v>
          </cell>
          <cell r="B400" t="str">
            <v>HIS</v>
          </cell>
          <cell r="C400" t="str">
            <v>TowerCo</v>
          </cell>
          <cell r="D400" t="str">
            <v>Grid-Gen</v>
          </cell>
        </row>
        <row r="401">
          <cell r="A401" t="str">
            <v>OST_090</v>
          </cell>
          <cell r="B401" t="str">
            <v>HIS</v>
          </cell>
          <cell r="C401" t="str">
            <v>TowerCo</v>
          </cell>
          <cell r="D401" t="str">
            <v>Grid-Gen</v>
          </cell>
        </row>
        <row r="402">
          <cell r="A402" t="str">
            <v>OST_028</v>
          </cell>
          <cell r="B402" t="str">
            <v>HIS</v>
          </cell>
          <cell r="C402" t="str">
            <v>TowerCo</v>
          </cell>
          <cell r="D402" t="str">
            <v>Grid-Gen</v>
          </cell>
        </row>
        <row r="403">
          <cell r="A403" t="str">
            <v>OST_128</v>
          </cell>
          <cell r="B403" t="str">
            <v>HIS</v>
          </cell>
          <cell r="C403" t="str">
            <v>TowerCo</v>
          </cell>
          <cell r="D403" t="str">
            <v>Grid-Gen</v>
          </cell>
        </row>
        <row r="404">
          <cell r="A404" t="str">
            <v>OST_039</v>
          </cell>
          <cell r="B404" t="str">
            <v>HIS</v>
          </cell>
          <cell r="C404" t="str">
            <v>TowerCo</v>
          </cell>
          <cell r="D404" t="str">
            <v>Grid-Gen</v>
          </cell>
        </row>
        <row r="405">
          <cell r="A405" t="str">
            <v>OST_087</v>
          </cell>
          <cell r="B405" t="str">
            <v>HIS</v>
          </cell>
          <cell r="C405" t="str">
            <v>TowerCo</v>
          </cell>
          <cell r="D405" t="str">
            <v>Grid-Gen</v>
          </cell>
        </row>
        <row r="406">
          <cell r="A406" t="str">
            <v>OST_057</v>
          </cell>
          <cell r="B406" t="str">
            <v>HIS</v>
          </cell>
          <cell r="C406" t="str">
            <v>TowerCo</v>
          </cell>
          <cell r="D406" t="str">
            <v>Solar-Grid-Gen</v>
          </cell>
        </row>
        <row r="407">
          <cell r="A407" t="str">
            <v>OST_221</v>
          </cell>
          <cell r="B407" t="str">
            <v>HIS</v>
          </cell>
          <cell r="C407" t="str">
            <v>TowerCo</v>
          </cell>
          <cell r="D407" t="str">
            <v>Grid-Gen</v>
          </cell>
        </row>
        <row r="408">
          <cell r="A408" t="str">
            <v>OST_083</v>
          </cell>
          <cell r="B408" t="str">
            <v>HIS</v>
          </cell>
          <cell r="C408" t="str">
            <v>TowerCo</v>
          </cell>
          <cell r="D408" t="str">
            <v>Grid-Gen</v>
          </cell>
        </row>
        <row r="409">
          <cell r="A409" t="str">
            <v>OST_138</v>
          </cell>
          <cell r="B409" t="str">
            <v>HIS</v>
          </cell>
          <cell r="C409" t="str">
            <v>TowerCo</v>
          </cell>
          <cell r="D409" t="str">
            <v>Grid-Gen</v>
          </cell>
        </row>
        <row r="410">
          <cell r="A410" t="str">
            <v>OST_101</v>
          </cell>
          <cell r="B410" t="str">
            <v>HIS</v>
          </cell>
          <cell r="C410" t="str">
            <v>TowerCo</v>
          </cell>
          <cell r="D410" t="str">
            <v>Grid-Gen</v>
          </cell>
        </row>
        <row r="411">
          <cell r="A411" t="str">
            <v>OST_149</v>
          </cell>
          <cell r="B411" t="str">
            <v>HIS</v>
          </cell>
          <cell r="C411" t="str">
            <v>TowerCo</v>
          </cell>
          <cell r="D411" t="str">
            <v>Grid-Gen</v>
          </cell>
        </row>
        <row r="412">
          <cell r="A412" t="str">
            <v>OST_116</v>
          </cell>
          <cell r="B412" t="str">
            <v>HIS</v>
          </cell>
          <cell r="C412" t="str">
            <v>TowerCo</v>
          </cell>
          <cell r="D412" t="str">
            <v>Solar-Gen</v>
          </cell>
        </row>
        <row r="413">
          <cell r="A413" t="str">
            <v>OST_219</v>
          </cell>
          <cell r="B413" t="str">
            <v>HIS</v>
          </cell>
          <cell r="C413" t="str">
            <v>TowerCo</v>
          </cell>
          <cell r="D413" t="str">
            <v>Grid-Gen</v>
          </cell>
        </row>
        <row r="414">
          <cell r="A414" t="str">
            <v>OST_114</v>
          </cell>
          <cell r="B414" t="str">
            <v>HIS</v>
          </cell>
          <cell r="C414" t="str">
            <v>TowerCo</v>
          </cell>
          <cell r="D414" t="str">
            <v>Grid-Gen</v>
          </cell>
        </row>
        <row r="415">
          <cell r="A415" t="str">
            <v>OST_178</v>
          </cell>
          <cell r="B415" t="str">
            <v>HIS</v>
          </cell>
          <cell r="C415" t="str">
            <v>TowerCo</v>
          </cell>
          <cell r="D415" t="str">
            <v>Grid-Gen</v>
          </cell>
        </row>
        <row r="416">
          <cell r="A416" t="str">
            <v>OST_082</v>
          </cell>
          <cell r="B416" t="str">
            <v>HIS</v>
          </cell>
          <cell r="C416" t="str">
            <v>TowerCo</v>
          </cell>
          <cell r="D416" t="str">
            <v>Grid-Gen</v>
          </cell>
        </row>
        <row r="417">
          <cell r="A417" t="str">
            <v>NRO_050</v>
          </cell>
          <cell r="B417" t="str">
            <v>HIS</v>
          </cell>
          <cell r="C417" t="str">
            <v>TowerCo</v>
          </cell>
          <cell r="D417" t="str">
            <v>Hybrid-Gen</v>
          </cell>
        </row>
        <row r="418">
          <cell r="A418" t="str">
            <v>OST_186</v>
          </cell>
          <cell r="B418" t="str">
            <v>HIS</v>
          </cell>
          <cell r="C418" t="str">
            <v>TowerCo</v>
          </cell>
          <cell r="D418" t="str">
            <v>Grid-Gen</v>
          </cell>
        </row>
        <row r="419">
          <cell r="A419" t="str">
            <v>OST_220</v>
          </cell>
          <cell r="B419" t="str">
            <v>HIS</v>
          </cell>
          <cell r="C419" t="str">
            <v>TowerCo</v>
          </cell>
          <cell r="D419" t="str">
            <v>Hybrid-Gen</v>
          </cell>
        </row>
        <row r="420">
          <cell r="A420" t="str">
            <v>OST_189</v>
          </cell>
          <cell r="B420" t="str">
            <v>HIS</v>
          </cell>
          <cell r="C420" t="str">
            <v>TowerCo</v>
          </cell>
          <cell r="D420" t="str">
            <v>Hybrid-Gen</v>
          </cell>
        </row>
        <row r="421">
          <cell r="A421" t="str">
            <v>OST_200</v>
          </cell>
          <cell r="B421" t="str">
            <v>HIS</v>
          </cell>
          <cell r="C421" t="str">
            <v>TowerCo</v>
          </cell>
          <cell r="D421" t="str">
            <v>Hybrid-Gen</v>
          </cell>
        </row>
        <row r="422">
          <cell r="A422" t="str">
            <v>OST_177</v>
          </cell>
          <cell r="B422" t="str">
            <v>HIS</v>
          </cell>
          <cell r="C422" t="str">
            <v>TowerCo</v>
          </cell>
          <cell r="D422" t="str">
            <v>Grid-Gen</v>
          </cell>
        </row>
        <row r="423">
          <cell r="A423" t="str">
            <v>OST_026</v>
          </cell>
          <cell r="B423" t="str">
            <v>HIS</v>
          </cell>
          <cell r="C423" t="str">
            <v>TowerCo</v>
          </cell>
          <cell r="D423" t="str">
            <v>Grid-Gen</v>
          </cell>
        </row>
        <row r="424">
          <cell r="A424" t="str">
            <v>OST_195</v>
          </cell>
          <cell r="B424" t="str">
            <v>HIS</v>
          </cell>
          <cell r="C424" t="str">
            <v>TowerCo</v>
          </cell>
          <cell r="D424" t="str">
            <v>Grid-Gen</v>
          </cell>
        </row>
        <row r="425">
          <cell r="A425" t="str">
            <v>OST_005</v>
          </cell>
          <cell r="B425" t="str">
            <v>HIS</v>
          </cell>
          <cell r="C425" t="str">
            <v>TowerCo</v>
          </cell>
          <cell r="D425" t="str">
            <v>Grid-Gen</v>
          </cell>
        </row>
        <row r="426">
          <cell r="A426" t="str">
            <v>OST_125</v>
          </cell>
          <cell r="B426" t="str">
            <v>HIS</v>
          </cell>
          <cell r="C426" t="str">
            <v>TowerCo</v>
          </cell>
          <cell r="D426" t="str">
            <v>Grid-Gen</v>
          </cell>
        </row>
        <row r="427">
          <cell r="A427" t="str">
            <v>OST_136</v>
          </cell>
          <cell r="B427" t="str">
            <v>HIS</v>
          </cell>
          <cell r="C427" t="str">
            <v>TowerCo</v>
          </cell>
          <cell r="D427" t="str">
            <v>Grid-Gen</v>
          </cell>
        </row>
        <row r="428">
          <cell r="A428" t="str">
            <v>NRO_033</v>
          </cell>
          <cell r="B428" t="str">
            <v>HIS</v>
          </cell>
          <cell r="C428" t="str">
            <v>TowerCo</v>
          </cell>
          <cell r="D428" t="str">
            <v>Grid-Gen</v>
          </cell>
        </row>
        <row r="429">
          <cell r="A429" t="str">
            <v>OST_006</v>
          </cell>
          <cell r="B429" t="str">
            <v>HIS</v>
          </cell>
          <cell r="C429" t="str">
            <v>TowerCo</v>
          </cell>
          <cell r="D429" t="str">
            <v>Grid-Gen</v>
          </cell>
        </row>
        <row r="430">
          <cell r="A430" t="str">
            <v>OST_031</v>
          </cell>
          <cell r="B430" t="str">
            <v>HIS</v>
          </cell>
          <cell r="C430" t="str">
            <v>TowerCo</v>
          </cell>
          <cell r="D430" t="str">
            <v>Grid-Hybrid-Gen</v>
          </cell>
        </row>
        <row r="431">
          <cell r="A431" t="str">
            <v>OST_209</v>
          </cell>
          <cell r="B431" t="str">
            <v>HIS</v>
          </cell>
          <cell r="C431" t="str">
            <v>TowerCo</v>
          </cell>
          <cell r="D431" t="str">
            <v>Hybrid-Gen</v>
          </cell>
        </row>
        <row r="432">
          <cell r="A432" t="str">
            <v>OST_205</v>
          </cell>
          <cell r="B432" t="str">
            <v>HIS</v>
          </cell>
          <cell r="C432" t="str">
            <v>TowerCo</v>
          </cell>
          <cell r="D432" t="str">
            <v>Grid-Gen</v>
          </cell>
        </row>
        <row r="433">
          <cell r="A433" t="str">
            <v>OST_264</v>
          </cell>
          <cell r="B433" t="str">
            <v>HIS</v>
          </cell>
          <cell r="C433" t="str">
            <v>TowerCo</v>
          </cell>
          <cell r="D433" t="str">
            <v>Grid-Gen</v>
          </cell>
        </row>
        <row r="434">
          <cell r="A434" t="str">
            <v>OST_043</v>
          </cell>
          <cell r="B434" t="str">
            <v>HIS</v>
          </cell>
          <cell r="C434" t="str">
            <v>TowerCo</v>
          </cell>
          <cell r="D434" t="str">
            <v>Grid-Gen</v>
          </cell>
        </row>
        <row r="435">
          <cell r="A435" t="str">
            <v>OST_160</v>
          </cell>
          <cell r="B435" t="str">
            <v>HIS</v>
          </cell>
          <cell r="C435" t="str">
            <v>TowerCo</v>
          </cell>
          <cell r="D435" t="str">
            <v>Grid-Gen</v>
          </cell>
        </row>
        <row r="436">
          <cell r="A436" t="str">
            <v>ADM_068</v>
          </cell>
          <cell r="B436" t="str">
            <v>HIS</v>
          </cell>
          <cell r="C436" t="str">
            <v>TowerCo</v>
          </cell>
          <cell r="D436" t="str">
            <v>Hybrid-Gen</v>
          </cell>
        </row>
        <row r="437">
          <cell r="A437" t="str">
            <v>OST_115</v>
          </cell>
          <cell r="B437" t="str">
            <v>HIS</v>
          </cell>
          <cell r="C437" t="str">
            <v>TowerCo</v>
          </cell>
          <cell r="D437" t="str">
            <v>Solar-Gen</v>
          </cell>
        </row>
        <row r="438">
          <cell r="A438" t="str">
            <v>CTR_145</v>
          </cell>
          <cell r="B438" t="str">
            <v>HIS</v>
          </cell>
          <cell r="C438" t="str">
            <v>TowerCo</v>
          </cell>
          <cell r="D438" t="str">
            <v>Solar-Gen</v>
          </cell>
        </row>
        <row r="439">
          <cell r="A439" t="str">
            <v>SUD_020</v>
          </cell>
          <cell r="B439" t="str">
            <v>HIS</v>
          </cell>
          <cell r="C439" t="str">
            <v>TowerCo</v>
          </cell>
          <cell r="D439" t="str">
            <v>Solar-Gen</v>
          </cell>
        </row>
        <row r="440">
          <cell r="A440" t="str">
            <v>SUD_054</v>
          </cell>
          <cell r="B440" t="str">
            <v>HIS</v>
          </cell>
          <cell r="C440" t="str">
            <v>TowerCo</v>
          </cell>
          <cell r="D440" t="str">
            <v>Gen Only</v>
          </cell>
        </row>
        <row r="441">
          <cell r="A441" t="str">
            <v>CTR_305</v>
          </cell>
          <cell r="B441" t="str">
            <v>HIS</v>
          </cell>
          <cell r="C441" t="str">
            <v>TowerCo</v>
          </cell>
          <cell r="D441" t="str">
            <v>Hybrid-Gen</v>
          </cell>
        </row>
        <row r="442">
          <cell r="A442" t="str">
            <v>SUD_238</v>
          </cell>
          <cell r="B442" t="str">
            <v>HIS</v>
          </cell>
          <cell r="C442" t="str">
            <v>TowerCo</v>
          </cell>
          <cell r="D442" t="str">
            <v>Solar-Grid-Gen</v>
          </cell>
        </row>
        <row r="443">
          <cell r="A443" t="str">
            <v>CTR_394</v>
          </cell>
          <cell r="B443" t="str">
            <v>HIS</v>
          </cell>
          <cell r="C443" t="str">
            <v>TowerCo</v>
          </cell>
          <cell r="D443" t="str">
            <v>Grid-Gen</v>
          </cell>
        </row>
        <row r="444">
          <cell r="A444" t="str">
            <v>SUD_060</v>
          </cell>
          <cell r="B444" t="str">
            <v>HIS</v>
          </cell>
          <cell r="C444" t="str">
            <v>TowerCo</v>
          </cell>
          <cell r="D444" t="str">
            <v>Grid-Gen</v>
          </cell>
        </row>
        <row r="445">
          <cell r="A445" t="str">
            <v>SUD_227</v>
          </cell>
          <cell r="B445" t="str">
            <v>HIS</v>
          </cell>
          <cell r="C445" t="str">
            <v>TowerCo</v>
          </cell>
          <cell r="D445" t="str">
            <v>Grid-Gen</v>
          </cell>
        </row>
        <row r="446">
          <cell r="A446" t="str">
            <v>CTR_188</v>
          </cell>
          <cell r="B446" t="str">
            <v>HIS</v>
          </cell>
          <cell r="C446" t="str">
            <v>TowerCo</v>
          </cell>
          <cell r="D446" t="str">
            <v>Grid-Gen</v>
          </cell>
        </row>
        <row r="447">
          <cell r="A447" t="str">
            <v>SUD_024</v>
          </cell>
          <cell r="B447" t="str">
            <v>HIS</v>
          </cell>
          <cell r="C447" t="str">
            <v>TowerCo</v>
          </cell>
          <cell r="D447" t="str">
            <v>Solar-Gen</v>
          </cell>
        </row>
        <row r="448">
          <cell r="A448" t="str">
            <v>SUD_015</v>
          </cell>
          <cell r="B448" t="str">
            <v>HIS</v>
          </cell>
          <cell r="C448" t="str">
            <v>TowerCo</v>
          </cell>
          <cell r="D448" t="str">
            <v>Solar-Gen</v>
          </cell>
        </row>
        <row r="449">
          <cell r="A449" t="str">
            <v>CTR_442</v>
          </cell>
          <cell r="B449" t="str">
            <v>HIS</v>
          </cell>
          <cell r="C449" t="str">
            <v>TowerCo</v>
          </cell>
          <cell r="D449" t="str">
            <v>Grid-Gen</v>
          </cell>
        </row>
        <row r="450">
          <cell r="A450" t="str">
            <v>CTR_440</v>
          </cell>
          <cell r="B450" t="str">
            <v>HIS</v>
          </cell>
          <cell r="C450" t="str">
            <v>TowerCo</v>
          </cell>
          <cell r="D450" t="str">
            <v>Grid-Gen</v>
          </cell>
        </row>
        <row r="451">
          <cell r="A451" t="str">
            <v>CTR_393</v>
          </cell>
          <cell r="B451" t="str">
            <v>HIS</v>
          </cell>
          <cell r="C451" t="str">
            <v>TowerCo</v>
          </cell>
          <cell r="D451" t="str">
            <v>Grid-Gen</v>
          </cell>
        </row>
        <row r="452">
          <cell r="A452" t="str">
            <v>SUD_226</v>
          </cell>
          <cell r="B452" t="str">
            <v>HIS</v>
          </cell>
          <cell r="C452" t="str">
            <v>TowerCo</v>
          </cell>
          <cell r="D452" t="str">
            <v>Grid-Gen</v>
          </cell>
        </row>
        <row r="453">
          <cell r="A453" t="str">
            <v>SUD_017</v>
          </cell>
          <cell r="B453" t="str">
            <v>HIS</v>
          </cell>
          <cell r="C453" t="str">
            <v>TowerCo</v>
          </cell>
          <cell r="D453" t="str">
            <v>Gen Only</v>
          </cell>
        </row>
        <row r="454">
          <cell r="A454" t="str">
            <v>SUD_217</v>
          </cell>
          <cell r="B454" t="str">
            <v>HIS</v>
          </cell>
          <cell r="C454" t="str">
            <v>TowerCo</v>
          </cell>
          <cell r="D454" t="str">
            <v>Grid-Gen</v>
          </cell>
        </row>
        <row r="455">
          <cell r="A455" t="str">
            <v>SUD_262</v>
          </cell>
          <cell r="B455" t="str">
            <v>HIS</v>
          </cell>
          <cell r="C455" t="str">
            <v>TowerCo</v>
          </cell>
          <cell r="D455" t="str">
            <v>Grid-Gen</v>
          </cell>
        </row>
        <row r="456">
          <cell r="A456" t="str">
            <v>CTR_392</v>
          </cell>
          <cell r="B456" t="str">
            <v>HIS</v>
          </cell>
          <cell r="C456" t="str">
            <v>TowerCo</v>
          </cell>
          <cell r="D456" t="str">
            <v>Grid-Gen</v>
          </cell>
        </row>
        <row r="457">
          <cell r="A457" t="str">
            <v>CTR_354</v>
          </cell>
          <cell r="B457" t="str">
            <v>HIS</v>
          </cell>
          <cell r="C457" t="str">
            <v>TowerCo</v>
          </cell>
          <cell r="D457" t="str">
            <v>Grid-Gen</v>
          </cell>
        </row>
        <row r="458">
          <cell r="A458" t="str">
            <v>CTR_252</v>
          </cell>
          <cell r="B458" t="str">
            <v>HIS</v>
          </cell>
          <cell r="C458" t="str">
            <v>TowerCo</v>
          </cell>
          <cell r="D458" t="str">
            <v>Grid-Gen</v>
          </cell>
        </row>
        <row r="459">
          <cell r="A459" t="str">
            <v>CTR_260</v>
          </cell>
          <cell r="B459" t="str">
            <v>HIS</v>
          </cell>
          <cell r="C459" t="str">
            <v>TowerCo</v>
          </cell>
          <cell r="D459" t="str">
            <v>Grid-Hybrid-Gen</v>
          </cell>
        </row>
        <row r="460">
          <cell r="A460" t="str">
            <v>SUD_056</v>
          </cell>
          <cell r="B460" t="str">
            <v>HIS</v>
          </cell>
          <cell r="C460" t="str">
            <v>TowerCo</v>
          </cell>
          <cell r="D460" t="str">
            <v>Hybrid-Gen</v>
          </cell>
        </row>
        <row r="461">
          <cell r="A461" t="str">
            <v>CTR_136</v>
          </cell>
          <cell r="B461" t="str">
            <v>HIS</v>
          </cell>
          <cell r="C461" t="str">
            <v>TowerCo</v>
          </cell>
          <cell r="D461" t="str">
            <v>Grid-Gen</v>
          </cell>
        </row>
        <row r="462">
          <cell r="A462" t="str">
            <v>SUD_040</v>
          </cell>
          <cell r="B462" t="str">
            <v>HIS</v>
          </cell>
          <cell r="C462" t="str">
            <v>TowerCo</v>
          </cell>
          <cell r="D462" t="str">
            <v>Hybrid-Gen</v>
          </cell>
        </row>
        <row r="463">
          <cell r="A463" t="str">
            <v>SUD_038</v>
          </cell>
          <cell r="B463" t="str">
            <v>HIS</v>
          </cell>
          <cell r="C463" t="str">
            <v>TowerCo</v>
          </cell>
          <cell r="D463" t="str">
            <v>Grid-Gen</v>
          </cell>
        </row>
        <row r="464">
          <cell r="A464" t="str">
            <v>SUD_256</v>
          </cell>
          <cell r="B464" t="str">
            <v>HIS</v>
          </cell>
          <cell r="C464" t="str">
            <v>TowerCo</v>
          </cell>
          <cell r="D464" t="str">
            <v>Grid-Gen</v>
          </cell>
        </row>
        <row r="465">
          <cell r="A465" t="str">
            <v>SUD_037</v>
          </cell>
          <cell r="B465" t="str">
            <v>HIS</v>
          </cell>
          <cell r="C465" t="str">
            <v>TowerCo</v>
          </cell>
          <cell r="D465" t="str">
            <v>Gen Only</v>
          </cell>
        </row>
        <row r="466">
          <cell r="A466" t="str">
            <v>SUD_070</v>
          </cell>
          <cell r="B466" t="str">
            <v>HIS</v>
          </cell>
          <cell r="C466" t="str">
            <v>TowerCo</v>
          </cell>
          <cell r="D466" t="str">
            <v>Grid-Gen</v>
          </cell>
        </row>
        <row r="467">
          <cell r="A467" t="str">
            <v>CTR_493</v>
          </cell>
          <cell r="B467" t="str">
            <v>HIS</v>
          </cell>
          <cell r="C467" t="str">
            <v>TowerCo</v>
          </cell>
          <cell r="D467" t="str">
            <v>Grid-Gen</v>
          </cell>
        </row>
        <row r="468">
          <cell r="A468" t="str">
            <v>CTR_117</v>
          </cell>
          <cell r="B468" t="str">
            <v>HIS</v>
          </cell>
          <cell r="C468" t="str">
            <v>TowerCo</v>
          </cell>
          <cell r="D468" t="str">
            <v>Grid-Hybrid-Gen</v>
          </cell>
        </row>
        <row r="469">
          <cell r="A469" t="str">
            <v>SUD_245</v>
          </cell>
          <cell r="B469" t="str">
            <v>HIS</v>
          </cell>
          <cell r="C469" t="str">
            <v>TowerCo</v>
          </cell>
          <cell r="D469" t="str">
            <v>Grid-Gen</v>
          </cell>
        </row>
        <row r="470">
          <cell r="A470" t="str">
            <v>SUD_264</v>
          </cell>
          <cell r="B470" t="str">
            <v>HIS</v>
          </cell>
          <cell r="C470" t="str">
            <v>TowerCo</v>
          </cell>
          <cell r="D470" t="str">
            <v>Grid-Gen</v>
          </cell>
        </row>
        <row r="471">
          <cell r="A471" t="str">
            <v>SUD_223</v>
          </cell>
          <cell r="B471" t="str">
            <v>HIS</v>
          </cell>
          <cell r="C471" t="str">
            <v>TowerCo</v>
          </cell>
          <cell r="D471" t="str">
            <v>Grid-Gen</v>
          </cell>
        </row>
        <row r="472">
          <cell r="A472" t="str">
            <v>CTR_517</v>
          </cell>
          <cell r="B472" t="str">
            <v>HIS</v>
          </cell>
          <cell r="C472" t="str">
            <v>TowerCo</v>
          </cell>
          <cell r="D472" t="str">
            <v>Grid-Hybrid-Gen</v>
          </cell>
        </row>
        <row r="473">
          <cell r="A473" t="str">
            <v>CTR_355</v>
          </cell>
          <cell r="B473" t="str">
            <v>HIS</v>
          </cell>
          <cell r="C473" t="str">
            <v>TowerCo</v>
          </cell>
          <cell r="D473" t="str">
            <v>Grid-Gen</v>
          </cell>
        </row>
        <row r="474">
          <cell r="A474" t="str">
            <v>SUD_801</v>
          </cell>
          <cell r="B474" t="str">
            <v>HIS</v>
          </cell>
          <cell r="C474" t="str">
            <v>TowerCo</v>
          </cell>
          <cell r="D474" t="str">
            <v>Gen Only</v>
          </cell>
        </row>
        <row r="475">
          <cell r="A475" t="str">
            <v>CTR_532</v>
          </cell>
          <cell r="B475" t="str">
            <v>HIS</v>
          </cell>
          <cell r="C475" t="str">
            <v>TowerCo</v>
          </cell>
          <cell r="D475" t="str">
            <v>Gen Only</v>
          </cell>
        </row>
        <row r="476">
          <cell r="A476" t="str">
            <v>SUD_026</v>
          </cell>
          <cell r="B476" t="str">
            <v>HIS</v>
          </cell>
          <cell r="C476" t="str">
            <v>TowerCo</v>
          </cell>
          <cell r="D476" t="str">
            <v>Gen Only</v>
          </cell>
        </row>
        <row r="477">
          <cell r="A477" t="str">
            <v>CTR_366</v>
          </cell>
          <cell r="B477" t="str">
            <v>HIS</v>
          </cell>
          <cell r="C477" t="str">
            <v>TowerCo</v>
          </cell>
          <cell r="D477" t="str">
            <v>Grid-Gen</v>
          </cell>
        </row>
        <row r="478">
          <cell r="A478" t="str">
            <v>SUD_236</v>
          </cell>
          <cell r="B478" t="str">
            <v>HIS</v>
          </cell>
          <cell r="C478" t="str">
            <v>TowerCo</v>
          </cell>
          <cell r="D478" t="str">
            <v>Grid-Gen</v>
          </cell>
        </row>
        <row r="479">
          <cell r="A479" t="str">
            <v>CTR_304</v>
          </cell>
          <cell r="B479" t="str">
            <v>HIS</v>
          </cell>
          <cell r="C479" t="str">
            <v>TowerCo</v>
          </cell>
          <cell r="D479" t="str">
            <v>Grid-Gen</v>
          </cell>
        </row>
        <row r="480">
          <cell r="A480" t="str">
            <v>SUD_263</v>
          </cell>
          <cell r="B480" t="str">
            <v>HIS</v>
          </cell>
          <cell r="C480" t="str">
            <v>TowerCo</v>
          </cell>
          <cell r="D480" t="str">
            <v>Grid-Gen</v>
          </cell>
        </row>
        <row r="481">
          <cell r="A481" t="str">
            <v>SUD_082</v>
          </cell>
          <cell r="B481" t="str">
            <v>HIS</v>
          </cell>
          <cell r="C481" t="str">
            <v>TowerCo</v>
          </cell>
          <cell r="D481" t="str">
            <v>Grid-Gen</v>
          </cell>
        </row>
        <row r="482">
          <cell r="A482" t="str">
            <v>SUD_255</v>
          </cell>
          <cell r="B482" t="str">
            <v>HIS</v>
          </cell>
          <cell r="C482" t="str">
            <v>TowerCo</v>
          </cell>
          <cell r="D482" t="str">
            <v>Grid-Gen</v>
          </cell>
        </row>
        <row r="483">
          <cell r="A483" t="str">
            <v>SUD_044</v>
          </cell>
          <cell r="B483" t="str">
            <v>HIS</v>
          </cell>
          <cell r="C483" t="str">
            <v>TowerCo</v>
          </cell>
          <cell r="D483" t="str">
            <v>Solar-Gen</v>
          </cell>
        </row>
        <row r="484">
          <cell r="A484" t="str">
            <v>SUD_111</v>
          </cell>
          <cell r="B484" t="str">
            <v>HIS</v>
          </cell>
          <cell r="C484" t="str">
            <v>TowerCo</v>
          </cell>
          <cell r="D484" t="str">
            <v>Hybrid-Gen</v>
          </cell>
        </row>
        <row r="485">
          <cell r="A485" t="str">
            <v>CTR_005</v>
          </cell>
          <cell r="B485" t="str">
            <v>HIS</v>
          </cell>
          <cell r="C485" t="str">
            <v>TowerCo</v>
          </cell>
          <cell r="D485" t="str">
            <v>Grid-Gen</v>
          </cell>
        </row>
        <row r="486">
          <cell r="A486" t="str">
            <v>CTR_063</v>
          </cell>
          <cell r="B486" t="str">
            <v>HIS</v>
          </cell>
          <cell r="C486" t="str">
            <v>TowerCo</v>
          </cell>
          <cell r="D486" t="str">
            <v>Grid-Gen</v>
          </cell>
        </row>
        <row r="487">
          <cell r="A487" t="str">
            <v>CTR_062</v>
          </cell>
          <cell r="B487" t="str">
            <v>HIS</v>
          </cell>
          <cell r="C487" t="str">
            <v>TowerCo</v>
          </cell>
          <cell r="D487" t="str">
            <v>Grid-Gen</v>
          </cell>
        </row>
        <row r="488">
          <cell r="A488" t="str">
            <v>CTR_541</v>
          </cell>
          <cell r="B488" t="str">
            <v>HIS</v>
          </cell>
          <cell r="C488" t="str">
            <v>TowerCo</v>
          </cell>
          <cell r="D488" t="str">
            <v>Grid-Gen</v>
          </cell>
        </row>
        <row r="489">
          <cell r="A489" t="str">
            <v>CTR_528</v>
          </cell>
          <cell r="B489" t="str">
            <v>HIS</v>
          </cell>
          <cell r="C489" t="str">
            <v>TowerCo</v>
          </cell>
          <cell r="D489" t="str">
            <v>Grid-Gen</v>
          </cell>
        </row>
        <row r="490">
          <cell r="A490" t="str">
            <v>CTR_527</v>
          </cell>
          <cell r="B490" t="str">
            <v>HIS</v>
          </cell>
          <cell r="C490" t="str">
            <v>TowerCo</v>
          </cell>
          <cell r="D490" t="str">
            <v>Grid-Gen</v>
          </cell>
        </row>
        <row r="491">
          <cell r="A491" t="str">
            <v>CTR_320</v>
          </cell>
          <cell r="B491" t="str">
            <v>HIS</v>
          </cell>
          <cell r="C491" t="str">
            <v>TowerCo</v>
          </cell>
          <cell r="D491" t="str">
            <v>Grid-Gen</v>
          </cell>
        </row>
        <row r="492">
          <cell r="A492" t="str">
            <v>CTR_202</v>
          </cell>
          <cell r="B492" t="str">
            <v>HIS</v>
          </cell>
          <cell r="C492" t="str">
            <v>TowerCo</v>
          </cell>
          <cell r="D492" t="str">
            <v>Grid-Gen</v>
          </cell>
        </row>
        <row r="493">
          <cell r="A493" t="str">
            <v>CTR_195</v>
          </cell>
          <cell r="B493" t="str">
            <v>HIS</v>
          </cell>
          <cell r="C493" t="str">
            <v>TowerCo</v>
          </cell>
          <cell r="D493" t="str">
            <v>Grid-Gen</v>
          </cell>
        </row>
        <row r="494">
          <cell r="A494" t="str">
            <v>CTR_058</v>
          </cell>
          <cell r="B494" t="str">
            <v>HIS</v>
          </cell>
          <cell r="C494" t="str">
            <v>TowerCo</v>
          </cell>
          <cell r="D494" t="str">
            <v>Grid-Gen</v>
          </cell>
        </row>
        <row r="495">
          <cell r="A495" t="str">
            <v>CTR_067</v>
          </cell>
          <cell r="B495" t="str">
            <v>HIS</v>
          </cell>
          <cell r="C495" t="str">
            <v>TowerCo</v>
          </cell>
          <cell r="D495" t="str">
            <v>Grid-Gen</v>
          </cell>
        </row>
        <row r="496">
          <cell r="A496" t="str">
            <v>CTR_201</v>
          </cell>
          <cell r="B496" t="str">
            <v>HIS</v>
          </cell>
          <cell r="C496" t="str">
            <v>TowerCo</v>
          </cell>
          <cell r="D496" t="str">
            <v>Grid-Gen</v>
          </cell>
        </row>
        <row r="497">
          <cell r="A497" t="str">
            <v>CTR_242</v>
          </cell>
          <cell r="B497" t="str">
            <v>HIS</v>
          </cell>
          <cell r="C497" t="str">
            <v>TowerCo</v>
          </cell>
          <cell r="D497" t="str">
            <v>Grid-Gen</v>
          </cell>
        </row>
        <row r="498">
          <cell r="A498" t="str">
            <v>CTR_323</v>
          </cell>
          <cell r="B498" t="str">
            <v>HIS</v>
          </cell>
          <cell r="C498" t="str">
            <v>TowerCo</v>
          </cell>
          <cell r="D498" t="str">
            <v>Grid Only</v>
          </cell>
        </row>
        <row r="499">
          <cell r="A499" t="str">
            <v>CTR_012</v>
          </cell>
          <cell r="B499" t="str">
            <v>HIS</v>
          </cell>
          <cell r="C499" t="str">
            <v>TowerCo</v>
          </cell>
          <cell r="D499" t="str">
            <v>Grid Only</v>
          </cell>
        </row>
        <row r="500">
          <cell r="A500" t="str">
            <v>CTR_060</v>
          </cell>
          <cell r="B500" t="str">
            <v>HIS</v>
          </cell>
          <cell r="C500" t="str">
            <v>TowerCo</v>
          </cell>
          <cell r="D500" t="str">
            <v>Solar-Grid-Gen</v>
          </cell>
        </row>
        <row r="501">
          <cell r="A501" t="str">
            <v>CTR_186</v>
          </cell>
          <cell r="B501" t="str">
            <v>HIS</v>
          </cell>
          <cell r="C501" t="str">
            <v>TowerCo</v>
          </cell>
          <cell r="D501" t="str">
            <v>Hybrid-Gen</v>
          </cell>
        </row>
        <row r="502">
          <cell r="A502" t="str">
            <v>CTR_164</v>
          </cell>
          <cell r="B502" t="str">
            <v>HIS</v>
          </cell>
          <cell r="C502" t="str">
            <v>TowerCo</v>
          </cell>
          <cell r="D502" t="str">
            <v>Grid-Gen</v>
          </cell>
        </row>
        <row r="503">
          <cell r="A503" t="str">
            <v>CTR_286</v>
          </cell>
          <cell r="B503" t="str">
            <v>HIS</v>
          </cell>
          <cell r="C503" t="str">
            <v>TowerCo</v>
          </cell>
          <cell r="D503" t="str">
            <v>Grid-Gen</v>
          </cell>
        </row>
        <row r="504">
          <cell r="A504" t="str">
            <v>CTR_441</v>
          </cell>
          <cell r="B504" t="str">
            <v>HIS</v>
          </cell>
          <cell r="C504" t="str">
            <v>TowerCo</v>
          </cell>
          <cell r="D504" t="str">
            <v>Grid-Gen</v>
          </cell>
        </row>
        <row r="505">
          <cell r="A505" t="str">
            <v>CTR_385</v>
          </cell>
          <cell r="B505" t="str">
            <v>HIS</v>
          </cell>
          <cell r="C505" t="str">
            <v>TowerCo</v>
          </cell>
          <cell r="D505" t="str">
            <v>Grid-Gen</v>
          </cell>
        </row>
        <row r="506">
          <cell r="A506" t="str">
            <v>CTR_436</v>
          </cell>
          <cell r="B506" t="str">
            <v>HIS</v>
          </cell>
          <cell r="C506" t="str">
            <v>TowerCo</v>
          </cell>
          <cell r="D506" t="str">
            <v>Gen Only</v>
          </cell>
        </row>
        <row r="507">
          <cell r="A507" t="str">
            <v>CTR_025</v>
          </cell>
          <cell r="B507" t="str">
            <v>HIS</v>
          </cell>
          <cell r="C507" t="str">
            <v>TowerCo</v>
          </cell>
          <cell r="D507" t="str">
            <v>Grid-Gen</v>
          </cell>
        </row>
        <row r="508">
          <cell r="A508" t="str">
            <v>CTR_339</v>
          </cell>
          <cell r="B508" t="str">
            <v>HIS</v>
          </cell>
          <cell r="C508" t="str">
            <v>TowerCo</v>
          </cell>
          <cell r="D508" t="str">
            <v>Grid-Gen</v>
          </cell>
        </row>
        <row r="509">
          <cell r="A509" t="str">
            <v>CTR_265</v>
          </cell>
          <cell r="B509" t="str">
            <v>HIS</v>
          </cell>
          <cell r="C509" t="str">
            <v>TowerCo</v>
          </cell>
          <cell r="D509" t="str">
            <v>Grid-Gen</v>
          </cell>
        </row>
        <row r="510">
          <cell r="A510" t="str">
            <v>CTR_189</v>
          </cell>
          <cell r="B510" t="str">
            <v>HIS</v>
          </cell>
          <cell r="C510" t="str">
            <v>TowerCo</v>
          </cell>
          <cell r="D510" t="str">
            <v>Grid-Gen</v>
          </cell>
        </row>
        <row r="511">
          <cell r="A511" t="str">
            <v>CTR_116</v>
          </cell>
          <cell r="B511" t="str">
            <v>HIS</v>
          </cell>
          <cell r="C511" t="str">
            <v>TowerCo</v>
          </cell>
          <cell r="D511" t="str">
            <v>Grid-Hybrid-Gen</v>
          </cell>
        </row>
        <row r="512">
          <cell r="A512" t="str">
            <v>CTR_069</v>
          </cell>
          <cell r="B512" t="str">
            <v>HIS</v>
          </cell>
          <cell r="C512" t="str">
            <v>TowerCo</v>
          </cell>
          <cell r="D512" t="str">
            <v>Grid-Gen</v>
          </cell>
        </row>
        <row r="513">
          <cell r="A513" t="str">
            <v>CTR_425</v>
          </cell>
          <cell r="B513" t="str">
            <v>HIS</v>
          </cell>
          <cell r="C513" t="str">
            <v>TowerCo</v>
          </cell>
          <cell r="D513" t="str">
            <v>Grid-Gen</v>
          </cell>
        </row>
        <row r="514">
          <cell r="A514" t="str">
            <v>CTR_205</v>
          </cell>
          <cell r="B514" t="str">
            <v>HIS</v>
          </cell>
          <cell r="C514" t="str">
            <v>TowerCo</v>
          </cell>
          <cell r="D514" t="str">
            <v>Grid-Gen</v>
          </cell>
        </row>
        <row r="515">
          <cell r="A515" t="str">
            <v>CTR_237</v>
          </cell>
          <cell r="B515" t="str">
            <v>HIS</v>
          </cell>
          <cell r="C515" t="str">
            <v>TowerCo</v>
          </cell>
          <cell r="D515" t="str">
            <v>Grid-Gen</v>
          </cell>
        </row>
        <row r="516">
          <cell r="A516" t="str">
            <v>CTR_210</v>
          </cell>
          <cell r="B516" t="str">
            <v>HIS</v>
          </cell>
          <cell r="C516" t="str">
            <v>TowerCo</v>
          </cell>
          <cell r="D516" t="str">
            <v>Grid-Gen</v>
          </cell>
        </row>
        <row r="517">
          <cell r="A517" t="str">
            <v>CTR_253</v>
          </cell>
          <cell r="B517" t="str">
            <v>HIS</v>
          </cell>
          <cell r="C517" t="str">
            <v>TowerCo</v>
          </cell>
          <cell r="D517" t="str">
            <v>Grid-Gen</v>
          </cell>
        </row>
        <row r="518">
          <cell r="A518" t="str">
            <v>CTR_149</v>
          </cell>
          <cell r="B518" t="str">
            <v>HIS</v>
          </cell>
          <cell r="C518" t="str">
            <v>TowerCo</v>
          </cell>
          <cell r="D518" t="str">
            <v>Grid-Gen</v>
          </cell>
        </row>
        <row r="519">
          <cell r="A519" t="str">
            <v>CTR_155</v>
          </cell>
          <cell r="B519" t="str">
            <v>HIS</v>
          </cell>
          <cell r="C519" t="str">
            <v>TowerCo</v>
          </cell>
          <cell r="D519" t="str">
            <v>Grid Only</v>
          </cell>
        </row>
        <row r="520">
          <cell r="A520" t="str">
            <v>CTR_486</v>
          </cell>
          <cell r="B520" t="str">
            <v>HIS</v>
          </cell>
          <cell r="C520" t="str">
            <v>TowerCo</v>
          </cell>
          <cell r="D520" t="str">
            <v>Grid-Gen</v>
          </cell>
        </row>
        <row r="521">
          <cell r="A521" t="str">
            <v>CTR_154</v>
          </cell>
          <cell r="B521" t="str">
            <v>HIS</v>
          </cell>
          <cell r="C521" t="str">
            <v>TowerCo</v>
          </cell>
          <cell r="D521" t="str">
            <v>Grid-Gen</v>
          </cell>
        </row>
        <row r="522">
          <cell r="A522" t="str">
            <v>CTR_128</v>
          </cell>
          <cell r="B522" t="str">
            <v>HIS</v>
          </cell>
          <cell r="C522" t="str">
            <v>TowerCo</v>
          </cell>
          <cell r="D522" t="str">
            <v>Grid Only</v>
          </cell>
        </row>
        <row r="523">
          <cell r="A523" t="str">
            <v>CTR_482</v>
          </cell>
          <cell r="B523" t="str">
            <v>HIS</v>
          </cell>
          <cell r="C523" t="str">
            <v>TowerCo</v>
          </cell>
          <cell r="D523" t="str">
            <v>Grid Only</v>
          </cell>
        </row>
        <row r="524">
          <cell r="A524" t="str">
            <v>CTR_326</v>
          </cell>
          <cell r="B524" t="str">
            <v>HIS</v>
          </cell>
          <cell r="C524" t="str">
            <v>TowerCo</v>
          </cell>
          <cell r="D524" t="str">
            <v>Grid-Gen</v>
          </cell>
        </row>
        <row r="525">
          <cell r="A525" t="str">
            <v>CTR_372</v>
          </cell>
          <cell r="B525" t="str">
            <v>HIS</v>
          </cell>
          <cell r="C525" t="str">
            <v>TowerCo</v>
          </cell>
          <cell r="D525" t="str">
            <v>Grid Only</v>
          </cell>
        </row>
        <row r="526">
          <cell r="A526" t="str">
            <v>CTR_050</v>
          </cell>
          <cell r="B526" t="str">
            <v>HIS</v>
          </cell>
          <cell r="C526" t="str">
            <v>TowerCo</v>
          </cell>
          <cell r="D526" t="str">
            <v>Grid Only</v>
          </cell>
        </row>
        <row r="527">
          <cell r="A527" t="str">
            <v>CTR_311</v>
          </cell>
          <cell r="B527" t="str">
            <v>HIS</v>
          </cell>
          <cell r="C527" t="str">
            <v>TowerCo</v>
          </cell>
          <cell r="D527" t="str">
            <v>Solar-Gen</v>
          </cell>
        </row>
        <row r="528">
          <cell r="A528" t="str">
            <v>CTR_066</v>
          </cell>
          <cell r="B528" t="str">
            <v>HIS</v>
          </cell>
          <cell r="C528" t="str">
            <v>TowerCo</v>
          </cell>
          <cell r="D528" t="str">
            <v>Solar-Grid-Gen</v>
          </cell>
        </row>
        <row r="529">
          <cell r="A529" t="str">
            <v>CTR_521</v>
          </cell>
          <cell r="B529" t="str">
            <v>HIS</v>
          </cell>
          <cell r="C529" t="str">
            <v>TowerCo</v>
          </cell>
          <cell r="D529" t="str">
            <v>Grid-Gen</v>
          </cell>
        </row>
        <row r="530">
          <cell r="A530" t="str">
            <v>CTR_185</v>
          </cell>
          <cell r="B530" t="str">
            <v>HIS</v>
          </cell>
          <cell r="C530" t="str">
            <v>TowerCo</v>
          </cell>
          <cell r="D530" t="str">
            <v>Grid-Gen</v>
          </cell>
        </row>
        <row r="531">
          <cell r="A531" t="str">
            <v>LIT_499</v>
          </cell>
          <cell r="B531" t="str">
            <v>HIS</v>
          </cell>
          <cell r="C531" t="str">
            <v>TowerCo</v>
          </cell>
          <cell r="D531" t="str">
            <v>Hybrid-Gen</v>
          </cell>
        </row>
        <row r="532">
          <cell r="A532" t="str">
            <v>CTR_401</v>
          </cell>
          <cell r="B532" t="str">
            <v>HIS</v>
          </cell>
          <cell r="C532" t="str">
            <v>TowerCo</v>
          </cell>
          <cell r="D532" t="str">
            <v>Grid-Gen</v>
          </cell>
        </row>
        <row r="533">
          <cell r="A533" t="str">
            <v>CTR_447</v>
          </cell>
          <cell r="B533" t="str">
            <v>HIS</v>
          </cell>
          <cell r="C533" t="str">
            <v>TowerCo</v>
          </cell>
          <cell r="D533" t="str">
            <v>Grid-Gen</v>
          </cell>
        </row>
        <row r="534">
          <cell r="A534" t="str">
            <v>CTR_548</v>
          </cell>
          <cell r="B534" t="str">
            <v>HIS</v>
          </cell>
          <cell r="C534" t="str">
            <v>TowerCo</v>
          </cell>
          <cell r="D534" t="str">
            <v>Grid-Gen</v>
          </cell>
        </row>
        <row r="535">
          <cell r="A535" t="str">
            <v>CTR_642</v>
          </cell>
          <cell r="B535" t="str">
            <v>HIS</v>
          </cell>
          <cell r="C535" t="str">
            <v>TowerCo</v>
          </cell>
          <cell r="D535" t="str">
            <v>Grid-Gen</v>
          </cell>
        </row>
        <row r="536">
          <cell r="A536" t="str">
            <v>CTR_476</v>
          </cell>
          <cell r="B536" t="str">
            <v>HIS</v>
          </cell>
          <cell r="C536" t="str">
            <v>TowerCo</v>
          </cell>
          <cell r="D536" t="str">
            <v>Grid-Gen</v>
          </cell>
        </row>
        <row r="537">
          <cell r="A537" t="str">
            <v>CTR_472</v>
          </cell>
          <cell r="B537" t="str">
            <v>HIS</v>
          </cell>
          <cell r="C537" t="str">
            <v>TowerCo</v>
          </cell>
          <cell r="D537" t="str">
            <v>Grid-Gen</v>
          </cell>
        </row>
        <row r="538">
          <cell r="A538" t="str">
            <v>CTR_524</v>
          </cell>
          <cell r="B538" t="str">
            <v>HIS</v>
          </cell>
          <cell r="C538" t="str">
            <v>TowerCo</v>
          </cell>
          <cell r="D538" t="str">
            <v>Grid-Gen</v>
          </cell>
        </row>
        <row r="539">
          <cell r="A539" t="str">
            <v>CTR_222</v>
          </cell>
          <cell r="B539" t="str">
            <v>HIS</v>
          </cell>
          <cell r="C539" t="str">
            <v>TowerCo</v>
          </cell>
          <cell r="D539" t="str">
            <v>Grid-Gen</v>
          </cell>
        </row>
        <row r="540">
          <cell r="A540" t="str">
            <v>CTR_463</v>
          </cell>
          <cell r="B540" t="str">
            <v>HIS</v>
          </cell>
          <cell r="C540" t="str">
            <v>TowerCo</v>
          </cell>
          <cell r="D540" t="str">
            <v>Grid-Gen</v>
          </cell>
        </row>
        <row r="541">
          <cell r="A541" t="str">
            <v>CTR_157</v>
          </cell>
          <cell r="B541" t="str">
            <v>HIS</v>
          </cell>
          <cell r="C541" t="str">
            <v>TowerCo</v>
          </cell>
          <cell r="D541" t="str">
            <v>Grid-Gen</v>
          </cell>
        </row>
        <row r="542">
          <cell r="A542" t="str">
            <v>CTR_538</v>
          </cell>
          <cell r="B542" t="str">
            <v>HIS</v>
          </cell>
          <cell r="C542" t="str">
            <v>TowerCo</v>
          </cell>
          <cell r="D542" t="str">
            <v>Grid-Gen</v>
          </cell>
        </row>
        <row r="543">
          <cell r="A543" t="str">
            <v>CTR_121</v>
          </cell>
          <cell r="B543" t="str">
            <v>HIS</v>
          </cell>
          <cell r="C543" t="str">
            <v>TowerCo</v>
          </cell>
          <cell r="D543" t="str">
            <v>Grid-Gen</v>
          </cell>
        </row>
        <row r="544">
          <cell r="A544" t="str">
            <v>CTR_127</v>
          </cell>
          <cell r="B544" t="str">
            <v>HIS</v>
          </cell>
          <cell r="C544" t="str">
            <v>TowerCo</v>
          </cell>
          <cell r="D544" t="str">
            <v>Grid Only</v>
          </cell>
        </row>
        <row r="545">
          <cell r="A545" t="str">
            <v>CTR_489</v>
          </cell>
          <cell r="B545" t="str">
            <v>HIS</v>
          </cell>
          <cell r="C545" t="str">
            <v>TowerCo</v>
          </cell>
          <cell r="D545" t="str">
            <v>Grid Only</v>
          </cell>
        </row>
        <row r="546">
          <cell r="A546" t="str">
            <v>CTR_540</v>
          </cell>
          <cell r="B546" t="str">
            <v>HIS</v>
          </cell>
          <cell r="C546" t="str">
            <v>TowerCo</v>
          </cell>
          <cell r="D546" t="str">
            <v>Grid-Gen</v>
          </cell>
        </row>
        <row r="547">
          <cell r="A547" t="str">
            <v> CTR_148</v>
          </cell>
          <cell r="B547" t="str">
            <v>HIS</v>
          </cell>
          <cell r="C547" t="str">
            <v>TowerCo</v>
          </cell>
          <cell r="D547" t="str">
            <v>Grid-Gen</v>
          </cell>
        </row>
        <row r="548">
          <cell r="A548" t="str">
            <v>CTR_097</v>
          </cell>
          <cell r="B548" t="str">
            <v>HIS</v>
          </cell>
          <cell r="C548" t="str">
            <v>TowerCo</v>
          </cell>
          <cell r="D548" t="str">
            <v>Grid-Gen</v>
          </cell>
        </row>
        <row r="549">
          <cell r="A549" t="str">
            <v>CTR_356</v>
          </cell>
          <cell r="B549" t="str">
            <v>HIS</v>
          </cell>
          <cell r="C549" t="str">
            <v>TowerCo</v>
          </cell>
          <cell r="D549" t="str">
            <v>Grid-Gen</v>
          </cell>
        </row>
        <row r="550">
          <cell r="A550" t="str">
            <v>CTR_358</v>
          </cell>
          <cell r="B550" t="str">
            <v>HIS</v>
          </cell>
          <cell r="C550" t="str">
            <v>TowerCo</v>
          </cell>
          <cell r="D550" t="str">
            <v>Grid-Gen</v>
          </cell>
        </row>
        <row r="551">
          <cell r="A551" t="str">
            <v>CTR_526</v>
          </cell>
          <cell r="B551" t="str">
            <v>HIS</v>
          </cell>
          <cell r="C551" t="str">
            <v>TowerCo</v>
          </cell>
          <cell r="D551" t="str">
            <v>Grid-Gen</v>
          </cell>
        </row>
        <row r="552">
          <cell r="A552" t="str">
            <v>CTR_234</v>
          </cell>
          <cell r="B552" t="str">
            <v>HIS</v>
          </cell>
          <cell r="C552" t="str">
            <v>TowerCo</v>
          </cell>
          <cell r="D552" t="str">
            <v>Grid-Gen</v>
          </cell>
        </row>
        <row r="553">
          <cell r="A553" t="str">
            <v>CTR_115</v>
          </cell>
          <cell r="B553" t="str">
            <v>HIS</v>
          </cell>
          <cell r="C553" t="str">
            <v>TowerCo</v>
          </cell>
          <cell r="D553" t="str">
            <v>Grid-Gen</v>
          </cell>
        </row>
        <row r="554">
          <cell r="A554" t="str">
            <v>CTR_123</v>
          </cell>
          <cell r="B554" t="str">
            <v>HIS</v>
          </cell>
          <cell r="C554" t="str">
            <v>TowerCo</v>
          </cell>
          <cell r="D554" t="str">
            <v>Grid Only</v>
          </cell>
        </row>
        <row r="555">
          <cell r="A555" t="str">
            <v>CTR_360</v>
          </cell>
          <cell r="B555" t="str">
            <v>HIS</v>
          </cell>
          <cell r="C555" t="str">
            <v>TowerCo</v>
          </cell>
          <cell r="D555" t="str">
            <v>Hybrid-Gen</v>
          </cell>
        </row>
        <row r="556">
          <cell r="A556" t="str">
            <v>CTR_546</v>
          </cell>
          <cell r="B556" t="str">
            <v>HIS</v>
          </cell>
          <cell r="C556" t="str">
            <v>TowerCo</v>
          </cell>
          <cell r="D556" t="str">
            <v>Grid-Gen</v>
          </cell>
        </row>
        <row r="557">
          <cell r="A557" t="str">
            <v>CTR_733</v>
          </cell>
          <cell r="B557" t="str">
            <v>HIS</v>
          </cell>
          <cell r="C557" t="str">
            <v>TowerCo</v>
          </cell>
          <cell r="D557" t="str">
            <v>Solar-Gen</v>
          </cell>
        </row>
        <row r="558">
          <cell r="A558" t="str">
            <v>LIT_135</v>
          </cell>
          <cell r="B558" t="str">
            <v>HIS</v>
          </cell>
          <cell r="C558" t="str">
            <v>TowerCo</v>
          </cell>
          <cell r="D558" t="str">
            <v>Grid-Gen</v>
          </cell>
        </row>
        <row r="559">
          <cell r="A559" t="str">
            <v>LIT_006</v>
          </cell>
          <cell r="B559" t="str">
            <v>HIS</v>
          </cell>
          <cell r="C559" t="str">
            <v>TowerCo</v>
          </cell>
          <cell r="D559" t="str">
            <v>Grid-Gen</v>
          </cell>
        </row>
        <row r="560">
          <cell r="A560" t="str">
            <v>LIT_113</v>
          </cell>
          <cell r="B560" t="str">
            <v>HIS</v>
          </cell>
          <cell r="C560" t="str">
            <v>TowerCo</v>
          </cell>
          <cell r="D560" t="str">
            <v>Grid-Gen</v>
          </cell>
        </row>
        <row r="561">
          <cell r="A561" t="str">
            <v>LIT_069</v>
          </cell>
          <cell r="B561" t="str">
            <v>HIS</v>
          </cell>
          <cell r="C561" t="str">
            <v>TowerCo</v>
          </cell>
          <cell r="D561" t="str">
            <v>Grid-Gen</v>
          </cell>
        </row>
        <row r="562">
          <cell r="A562" t="str">
            <v>CTR_013</v>
          </cell>
          <cell r="B562" t="str">
            <v>HIS</v>
          </cell>
          <cell r="C562" t="str">
            <v>TowerCo</v>
          </cell>
          <cell r="D562" t="str">
            <v>Grid-Gen</v>
          </cell>
        </row>
        <row r="563">
          <cell r="A563" t="str">
            <v>LIT_012</v>
          </cell>
          <cell r="B563" t="str">
            <v>HIS</v>
          </cell>
          <cell r="C563" t="str">
            <v>TowerCo</v>
          </cell>
          <cell r="D563" t="str">
            <v>Solar-Gen</v>
          </cell>
        </row>
        <row r="564">
          <cell r="A564" t="str">
            <v>CTR_003</v>
          </cell>
          <cell r="B564" t="str">
            <v>HIS</v>
          </cell>
          <cell r="C564" t="str">
            <v>TowerCo</v>
          </cell>
          <cell r="D564" t="str">
            <v>Solar-Gen</v>
          </cell>
        </row>
        <row r="565">
          <cell r="A565" t="str">
            <v>SUD_001</v>
          </cell>
          <cell r="B565" t="str">
            <v>HIS</v>
          </cell>
          <cell r="C565" t="str">
            <v>TowerCo</v>
          </cell>
          <cell r="D565" t="str">
            <v>Grid-Gen</v>
          </cell>
        </row>
        <row r="566">
          <cell r="A566" t="str">
            <v>LIT_132</v>
          </cell>
          <cell r="B566" t="str">
            <v>HIS</v>
          </cell>
          <cell r="C566" t="str">
            <v>TowerCo</v>
          </cell>
          <cell r="D566" t="str">
            <v>Grid-Gen</v>
          </cell>
        </row>
        <row r="567">
          <cell r="A567" t="str">
            <v>SUD_004</v>
          </cell>
          <cell r="B567" t="str">
            <v>HIS</v>
          </cell>
          <cell r="C567" t="str">
            <v>TowerCo</v>
          </cell>
          <cell r="D567" t="str">
            <v>Grid-Gen</v>
          </cell>
        </row>
        <row r="568">
          <cell r="A568" t="str">
            <v>LIT_107</v>
          </cell>
          <cell r="B568" t="str">
            <v>HIS</v>
          </cell>
          <cell r="C568" t="str">
            <v>TowerCo</v>
          </cell>
          <cell r="D568" t="str">
            <v>Grid-Gen</v>
          </cell>
        </row>
        <row r="569">
          <cell r="A569" t="str">
            <v>LIT_133</v>
          </cell>
          <cell r="B569" t="str">
            <v>HIS</v>
          </cell>
          <cell r="C569" t="str">
            <v>TowerCo</v>
          </cell>
          <cell r="D569" t="str">
            <v>Solar-Gen</v>
          </cell>
        </row>
        <row r="570">
          <cell r="A570" t="str">
            <v>SUD_005</v>
          </cell>
          <cell r="B570" t="str">
            <v>HIS</v>
          </cell>
          <cell r="C570" t="str">
            <v>TowerCo</v>
          </cell>
          <cell r="D570" t="str">
            <v>Grid-Hybrid-Gen</v>
          </cell>
        </row>
        <row r="571">
          <cell r="A571" t="str">
            <v>SUD_076</v>
          </cell>
          <cell r="B571" t="str">
            <v>HIS</v>
          </cell>
          <cell r="C571" t="str">
            <v>TowerCo</v>
          </cell>
          <cell r="D571" t="str">
            <v>Hybrid-Gen</v>
          </cell>
        </row>
        <row r="572">
          <cell r="A572" t="str">
            <v>LIT_138</v>
          </cell>
          <cell r="B572" t="str">
            <v>HIS</v>
          </cell>
          <cell r="C572" t="str">
            <v>TowerCo</v>
          </cell>
          <cell r="D572" t="str">
            <v>Grid-Gen</v>
          </cell>
        </row>
        <row r="573">
          <cell r="A573" t="str">
            <v>LIT_191</v>
          </cell>
          <cell r="B573" t="str">
            <v>HIS</v>
          </cell>
          <cell r="C573" t="str">
            <v>TowerCo</v>
          </cell>
          <cell r="D573" t="str">
            <v>Grid-Gen</v>
          </cell>
        </row>
        <row r="574">
          <cell r="A574" t="str">
            <v>LIT_108</v>
          </cell>
          <cell r="B574" t="str">
            <v>HIS</v>
          </cell>
          <cell r="C574" t="str">
            <v>TowerCo</v>
          </cell>
          <cell r="D574" t="str">
            <v>Solar-Grid-Gen</v>
          </cell>
        </row>
        <row r="575">
          <cell r="A575" t="str">
            <v>LIT_143</v>
          </cell>
          <cell r="B575" t="str">
            <v>HIS</v>
          </cell>
          <cell r="C575" t="str">
            <v>TowerCo</v>
          </cell>
          <cell r="D575" t="str">
            <v>Hybrid-Gen</v>
          </cell>
        </row>
        <row r="576">
          <cell r="A576" t="str">
            <v>SUD_011</v>
          </cell>
          <cell r="B576" t="str">
            <v>HIS</v>
          </cell>
          <cell r="C576" t="str">
            <v>TowerCo</v>
          </cell>
          <cell r="D576" t="str">
            <v>Grid-Gen</v>
          </cell>
        </row>
        <row r="577">
          <cell r="A577" t="str">
            <v>SUD_021</v>
          </cell>
          <cell r="B577" t="str">
            <v>HIS</v>
          </cell>
          <cell r="C577" t="str">
            <v>TowerCo</v>
          </cell>
          <cell r="D577" t="str">
            <v>Grid-Hybrid-Gen</v>
          </cell>
        </row>
        <row r="578">
          <cell r="A578" t="str">
            <v>SUD_240</v>
          </cell>
          <cell r="B578" t="str">
            <v>HIS</v>
          </cell>
          <cell r="C578" t="str">
            <v>TowerCo</v>
          </cell>
          <cell r="D578" t="str">
            <v>Grid-Gen</v>
          </cell>
        </row>
        <row r="579">
          <cell r="A579" t="str">
            <v>LIT_194</v>
          </cell>
          <cell r="B579" t="str">
            <v>HIS</v>
          </cell>
          <cell r="C579" t="str">
            <v>TowerCo</v>
          </cell>
          <cell r="D579" t="str">
            <v>Grid-Hybrid-Gen</v>
          </cell>
        </row>
        <row r="580">
          <cell r="A580" t="str">
            <v>LIT_506</v>
          </cell>
          <cell r="B580" t="str">
            <v>HIS</v>
          </cell>
          <cell r="C580" t="str">
            <v>TowerCo</v>
          </cell>
          <cell r="D580" t="str">
            <v>Gen Only</v>
          </cell>
        </row>
        <row r="581">
          <cell r="A581" t="str">
            <v>LIT_515</v>
          </cell>
          <cell r="B581" t="str">
            <v>HIS</v>
          </cell>
          <cell r="C581" t="str">
            <v>TowerCo</v>
          </cell>
          <cell r="D581" t="str">
            <v>Hybrid-Gen</v>
          </cell>
        </row>
        <row r="582">
          <cell r="A582" t="str">
            <v>LIT_388</v>
          </cell>
          <cell r="B582" t="str">
            <v>HIS</v>
          </cell>
          <cell r="C582" t="str">
            <v>TowerCo</v>
          </cell>
          <cell r="D582" t="str">
            <v>Hybrid-Gen</v>
          </cell>
        </row>
        <row r="583">
          <cell r="A583" t="str">
            <v>LIT_507</v>
          </cell>
          <cell r="B583" t="str">
            <v>HIS</v>
          </cell>
          <cell r="C583" t="str">
            <v>TowerCo</v>
          </cell>
          <cell r="D583" t="str">
            <v>Grid-Gen</v>
          </cell>
        </row>
        <row r="584">
          <cell r="A584" t="str">
            <v>LIT_513</v>
          </cell>
          <cell r="B584" t="str">
            <v>HIS</v>
          </cell>
          <cell r="C584" t="str">
            <v>TowerCo</v>
          </cell>
          <cell r="D584" t="str">
            <v>Hybrid-Gen</v>
          </cell>
        </row>
        <row r="585">
          <cell r="A585" t="str">
            <v>LIT_514</v>
          </cell>
          <cell r="B585" t="str">
            <v>HIS</v>
          </cell>
          <cell r="C585" t="str">
            <v>TowerCo</v>
          </cell>
          <cell r="D585" t="str">
            <v>Hybrid-Gen</v>
          </cell>
        </row>
        <row r="586">
          <cell r="A586" t="str">
            <v>LIT_227</v>
          </cell>
          <cell r="B586" t="str">
            <v>HIS</v>
          </cell>
          <cell r="C586" t="str">
            <v>TowerCo</v>
          </cell>
          <cell r="D586" t="str">
            <v>Gen Only</v>
          </cell>
        </row>
        <row r="587">
          <cell r="A587" t="str">
            <v>LIT_519</v>
          </cell>
          <cell r="B587" t="str">
            <v>HIS</v>
          </cell>
          <cell r="C587" t="str">
            <v>TowerCo</v>
          </cell>
          <cell r="D587" t="str">
            <v>Hybrid-Gen</v>
          </cell>
        </row>
        <row r="588">
          <cell r="A588" t="str">
            <v>LIT_508</v>
          </cell>
          <cell r="B588" t="str">
            <v>HIS</v>
          </cell>
          <cell r="C588" t="str">
            <v>TowerCo</v>
          </cell>
          <cell r="D588" t="str">
            <v>Grid-Gen</v>
          </cell>
        </row>
        <row r="589">
          <cell r="A589" t="str">
            <v>LIT_456</v>
          </cell>
          <cell r="B589" t="str">
            <v>HIS</v>
          </cell>
          <cell r="C589" t="str">
            <v>TowerCo</v>
          </cell>
          <cell r="D589" t="str">
            <v>Hybrid-Gen</v>
          </cell>
        </row>
        <row r="590">
          <cell r="A590" t="str">
            <v>LIT_517</v>
          </cell>
          <cell r="B590" t="str">
            <v>HIS</v>
          </cell>
          <cell r="C590" t="str">
            <v>TowerCo</v>
          </cell>
          <cell r="D590" t="str">
            <v>Grid-Gen</v>
          </cell>
        </row>
        <row r="591">
          <cell r="A591" t="str">
            <v>LIT_201</v>
          </cell>
          <cell r="B591" t="str">
            <v>HIS</v>
          </cell>
          <cell r="C591" t="str">
            <v>TowerCo</v>
          </cell>
          <cell r="D591" t="str">
            <v>Grid-Gen</v>
          </cell>
        </row>
        <row r="592">
          <cell r="A592" t="str">
            <v>LIT_323</v>
          </cell>
          <cell r="B592" t="str">
            <v>HIS</v>
          </cell>
          <cell r="C592" t="str">
            <v>TowerCo</v>
          </cell>
          <cell r="D592" t="str">
            <v>Grid-Gen</v>
          </cell>
        </row>
        <row r="593">
          <cell r="A593" t="str">
            <v>LIT_000</v>
          </cell>
          <cell r="B593" t="str">
            <v>HIS</v>
          </cell>
          <cell r="C593" t="str">
            <v>TowerCo</v>
          </cell>
          <cell r="D593" t="str">
            <v>Grid-Gen</v>
          </cell>
        </row>
        <row r="594">
          <cell r="A594" t="str">
            <v>LIT_040</v>
          </cell>
          <cell r="B594" t="str">
            <v>HIS</v>
          </cell>
          <cell r="C594" t="str">
            <v>TowerCo</v>
          </cell>
          <cell r="D594" t="str">
            <v>Grid-Gen</v>
          </cell>
        </row>
        <row r="595">
          <cell r="A595" t="str">
            <v>LIT_078</v>
          </cell>
          <cell r="B595" t="str">
            <v>HIS</v>
          </cell>
          <cell r="C595" t="str">
            <v>TowerCo</v>
          </cell>
          <cell r="D595" t="str">
            <v>Grid-Gen</v>
          </cell>
        </row>
        <row r="596">
          <cell r="A596" t="str">
            <v>LIT_209</v>
          </cell>
          <cell r="B596" t="str">
            <v>HIS</v>
          </cell>
          <cell r="C596" t="str">
            <v>TowerCo</v>
          </cell>
          <cell r="D596" t="str">
            <v>Grid-Gen</v>
          </cell>
        </row>
        <row r="597">
          <cell r="A597" t="str">
            <v>LIT_308</v>
          </cell>
          <cell r="B597" t="str">
            <v>HIS</v>
          </cell>
          <cell r="C597" t="str">
            <v>TowerCo</v>
          </cell>
          <cell r="D597" t="str">
            <v>Grid-Hybrid-Gen</v>
          </cell>
        </row>
        <row r="598">
          <cell r="A598" t="str">
            <v>SUO_037</v>
          </cell>
          <cell r="B598" t="str">
            <v>HIS</v>
          </cell>
          <cell r="C598" t="str">
            <v>TowerCo</v>
          </cell>
          <cell r="D598" t="str">
            <v>Grid-Gen</v>
          </cell>
        </row>
        <row r="599">
          <cell r="A599" t="str">
            <v>CTR_204</v>
          </cell>
          <cell r="B599" t="str">
            <v>HIS</v>
          </cell>
          <cell r="C599" t="str">
            <v>TowerCo</v>
          </cell>
          <cell r="D599" t="str">
            <v>Grid-Gen</v>
          </cell>
        </row>
        <row r="600">
          <cell r="A600" t="str">
            <v>LIT_319</v>
          </cell>
          <cell r="B600" t="str">
            <v>HIS</v>
          </cell>
          <cell r="C600" t="str">
            <v>TowerCo</v>
          </cell>
          <cell r="D600" t="str">
            <v>Grid-Gen</v>
          </cell>
        </row>
        <row r="601">
          <cell r="A601" t="str">
            <v>LIT_313</v>
          </cell>
          <cell r="B601" t="str">
            <v>HIS</v>
          </cell>
          <cell r="C601" t="str">
            <v>TowerCo</v>
          </cell>
          <cell r="D601" t="str">
            <v>Grid-Gen</v>
          </cell>
        </row>
        <row r="602">
          <cell r="A602" t="str">
            <v>LIT_314</v>
          </cell>
          <cell r="B602" t="str">
            <v>HIS</v>
          </cell>
          <cell r="C602" t="str">
            <v>TowerCo</v>
          </cell>
          <cell r="D602" t="str">
            <v>Grid-Gen</v>
          </cell>
        </row>
        <row r="603">
          <cell r="A603" t="str">
            <v>LIT_306</v>
          </cell>
          <cell r="B603" t="str">
            <v>HIS</v>
          </cell>
          <cell r="C603" t="str">
            <v>TowerCo</v>
          </cell>
          <cell r="D603" t="str">
            <v>Hybrid-Gen</v>
          </cell>
        </row>
        <row r="604">
          <cell r="A604" t="str">
            <v>LIT_229</v>
          </cell>
          <cell r="B604" t="str">
            <v>HIS</v>
          </cell>
          <cell r="C604" t="str">
            <v>TowerCo</v>
          </cell>
          <cell r="D604" t="str">
            <v>Grid-Hybrid-Gen</v>
          </cell>
        </row>
        <row r="605">
          <cell r="A605" t="str">
            <v>LIT_749 </v>
          </cell>
          <cell r="B605" t="str">
            <v>HIS</v>
          </cell>
          <cell r="C605" t="str">
            <v>TowerCo</v>
          </cell>
          <cell r="D605" t="str">
            <v>Grid-Gen</v>
          </cell>
        </row>
        <row r="606">
          <cell r="A606" t="str">
            <v>LIT_200</v>
          </cell>
          <cell r="B606" t="str">
            <v>HIS</v>
          </cell>
          <cell r="C606" t="str">
            <v>TowerCo</v>
          </cell>
          <cell r="D606" t="str">
            <v>Grid-Gen</v>
          </cell>
        </row>
        <row r="607">
          <cell r="A607" t="str">
            <v>LIT_480</v>
          </cell>
          <cell r="B607" t="str">
            <v>HIS</v>
          </cell>
          <cell r="C607" t="str">
            <v>TowerCo</v>
          </cell>
          <cell r="D607" t="str">
            <v>Grid-Gen</v>
          </cell>
        </row>
        <row r="608">
          <cell r="A608" t="str">
            <v>LIT_750</v>
          </cell>
          <cell r="B608" t="str">
            <v>HIS</v>
          </cell>
          <cell r="C608" t="str">
            <v>TowerCo</v>
          </cell>
          <cell r="D608" t="str">
            <v>Solar-Gen</v>
          </cell>
        </row>
        <row r="609">
          <cell r="A609" t="str">
            <v>LIT_505</v>
          </cell>
          <cell r="B609" t="str">
            <v>HIS</v>
          </cell>
          <cell r="C609" t="str">
            <v>TowerCo</v>
          </cell>
          <cell r="D609" t="str">
            <v>Hybrid-Gen</v>
          </cell>
        </row>
        <row r="610">
          <cell r="A610" t="str">
            <v>SUD_057</v>
          </cell>
          <cell r="B610" t="str">
            <v>HIS</v>
          </cell>
          <cell r="C610" t="str">
            <v>TowerCo</v>
          </cell>
          <cell r="D610" t="str">
            <v>Grid-Gen</v>
          </cell>
        </row>
        <row r="611">
          <cell r="A611" t="str">
            <v>SUD_241</v>
          </cell>
          <cell r="B611" t="str">
            <v>HIS</v>
          </cell>
          <cell r="C611" t="str">
            <v>TowerCo</v>
          </cell>
          <cell r="D611" t="str">
            <v>Grid-Gen</v>
          </cell>
        </row>
        <row r="612">
          <cell r="A612" t="str">
            <v>LIT_195</v>
          </cell>
          <cell r="B612" t="str">
            <v>HIS</v>
          </cell>
          <cell r="C612" t="str">
            <v>TowerCo</v>
          </cell>
          <cell r="D612" t="str">
            <v>Grid-Gen</v>
          </cell>
        </row>
        <row r="613">
          <cell r="A613" t="str">
            <v>LIT_193</v>
          </cell>
          <cell r="B613" t="str">
            <v>HIS</v>
          </cell>
          <cell r="C613" t="str">
            <v>TowerCo</v>
          </cell>
          <cell r="D613" t="str">
            <v>Grid-Gen</v>
          </cell>
        </row>
        <row r="614">
          <cell r="A614" t="str">
            <v>SUD_006</v>
          </cell>
          <cell r="B614" t="str">
            <v>HIS</v>
          </cell>
          <cell r="C614" t="str">
            <v>TowerCo</v>
          </cell>
          <cell r="D614" t="str">
            <v>Grid-Gen</v>
          </cell>
        </row>
        <row r="615">
          <cell r="A615" t="str">
            <v>SUD_077</v>
          </cell>
          <cell r="B615" t="str">
            <v>HIS</v>
          </cell>
          <cell r="C615" t="str">
            <v>TowerCo</v>
          </cell>
          <cell r="D615" t="str">
            <v>Grid-Gen</v>
          </cell>
        </row>
        <row r="616">
          <cell r="A616" t="str">
            <v>SUD_042</v>
          </cell>
          <cell r="B616" t="str">
            <v>HIS</v>
          </cell>
          <cell r="C616" t="str">
            <v>TowerCo</v>
          </cell>
          <cell r="D616" t="str">
            <v>Grid-Gen</v>
          </cell>
        </row>
        <row r="617">
          <cell r="A617" t="str">
            <v>LIT_494</v>
          </cell>
          <cell r="B617" t="str">
            <v>HIS</v>
          </cell>
          <cell r="C617" t="str">
            <v>TowerCo</v>
          </cell>
          <cell r="D617" t="str">
            <v>Grid-Gen</v>
          </cell>
        </row>
        <row r="618">
          <cell r="A618" t="str">
            <v>LIT_121</v>
          </cell>
          <cell r="B618" t="str">
            <v>HIS</v>
          </cell>
          <cell r="C618" t="str">
            <v>TowerCo</v>
          </cell>
          <cell r="D618" t="str">
            <v>Hybrid-Gen</v>
          </cell>
        </row>
        <row r="619">
          <cell r="A619" t="str">
            <v>LIT_509</v>
          </cell>
          <cell r="B619" t="str">
            <v>HIS</v>
          </cell>
          <cell r="C619" t="str">
            <v>TowerCo</v>
          </cell>
          <cell r="D619" t="str">
            <v>Grid-Hybrid-Gen</v>
          </cell>
        </row>
        <row r="620">
          <cell r="A620" t="str">
            <v>LIT_186</v>
          </cell>
          <cell r="B620" t="str">
            <v>HIS</v>
          </cell>
          <cell r="C620" t="str">
            <v>TowerCo</v>
          </cell>
          <cell r="D620" t="str">
            <v>Grid-Gen</v>
          </cell>
        </row>
        <row r="621">
          <cell r="A621" t="str">
            <v>LIT_512</v>
          </cell>
          <cell r="B621" t="str">
            <v>HIS</v>
          </cell>
          <cell r="C621" t="str">
            <v>TowerCo</v>
          </cell>
          <cell r="D621" t="str">
            <v>Grid-Gen</v>
          </cell>
        </row>
        <row r="622">
          <cell r="A622" t="str">
            <v>LIT_321</v>
          </cell>
          <cell r="B622" t="str">
            <v>HIS</v>
          </cell>
          <cell r="C622" t="str">
            <v>TowerCo</v>
          </cell>
          <cell r="D622" t="str">
            <v>Grid-Gen</v>
          </cell>
        </row>
        <row r="623">
          <cell r="A623" t="str">
            <v>CTR_059</v>
          </cell>
          <cell r="B623" t="str">
            <v>HIS</v>
          </cell>
          <cell r="C623" t="str">
            <v>TowerCo</v>
          </cell>
          <cell r="D623" t="str">
            <v>Grid-Gen</v>
          </cell>
        </row>
        <row r="624">
          <cell r="A624" t="str">
            <v>SUO_029</v>
          </cell>
          <cell r="B624" t="str">
            <v>HIS</v>
          </cell>
          <cell r="C624" t="str">
            <v>TowerCo</v>
          </cell>
          <cell r="D624" t="str">
            <v>Grid-Hybrid-Gen</v>
          </cell>
        </row>
        <row r="625">
          <cell r="A625" t="str">
            <v>LIT_230</v>
          </cell>
          <cell r="B625" t="str">
            <v>HIS</v>
          </cell>
          <cell r="C625" t="str">
            <v>TowerCo</v>
          </cell>
          <cell r="D625" t="str">
            <v>Grid-Gen</v>
          </cell>
        </row>
        <row r="626">
          <cell r="A626" t="str">
            <v>LIT_322</v>
          </cell>
          <cell r="B626" t="str">
            <v>HIS</v>
          </cell>
          <cell r="C626" t="str">
            <v>TowerCo</v>
          </cell>
          <cell r="D626" t="str">
            <v>Grid-Gen</v>
          </cell>
        </row>
        <row r="627">
          <cell r="A627" t="str">
            <v>LIT_231</v>
          </cell>
          <cell r="B627" t="str">
            <v>HIS</v>
          </cell>
          <cell r="C627" t="str">
            <v>TowerCo</v>
          </cell>
          <cell r="D627" t="str">
            <v>Solar-Gen</v>
          </cell>
        </row>
        <row r="628">
          <cell r="A628" t="str">
            <v>LIT_510</v>
          </cell>
          <cell r="B628" t="str">
            <v>HIS</v>
          </cell>
          <cell r="C628" t="str">
            <v>TowerCo</v>
          </cell>
          <cell r="D628" t="str">
            <v>Grid-Hybrid-Gen</v>
          </cell>
        </row>
        <row r="629">
          <cell r="A629" t="str">
            <v>LIT_067</v>
          </cell>
          <cell r="B629" t="str">
            <v>HIS</v>
          </cell>
          <cell r="C629" t="str">
            <v>TowerCo</v>
          </cell>
          <cell r="D629" t="str">
            <v>Gen Only</v>
          </cell>
        </row>
        <row r="630">
          <cell r="A630" t="str">
            <v>LIT_500</v>
          </cell>
          <cell r="B630" t="str">
            <v>HIS</v>
          </cell>
          <cell r="C630" t="str">
            <v>TowerCo</v>
          </cell>
          <cell r="D630" t="str">
            <v>Hybrid-Gen</v>
          </cell>
        </row>
        <row r="631">
          <cell r="A631" t="str">
            <v>LIT_496</v>
          </cell>
          <cell r="B631" t="str">
            <v>HIS</v>
          </cell>
          <cell r="C631" t="str">
            <v>TowerCo</v>
          </cell>
          <cell r="D631" t="str">
            <v>Grid-Gen</v>
          </cell>
        </row>
        <row r="632">
          <cell r="A632" t="str">
            <v>LIT_503</v>
          </cell>
          <cell r="B632" t="str">
            <v>HIS</v>
          </cell>
          <cell r="C632" t="str">
            <v>TowerCo</v>
          </cell>
          <cell r="D632" t="str">
            <v>Grid-Gen</v>
          </cell>
        </row>
        <row r="633">
          <cell r="A633" t="str">
            <v>SUD_214</v>
          </cell>
          <cell r="B633" t="str">
            <v>HIS</v>
          </cell>
          <cell r="C633" t="str">
            <v>TowerCo</v>
          </cell>
          <cell r="D633" t="str">
            <v>Grid-Gen</v>
          </cell>
        </row>
        <row r="634">
          <cell r="A634" t="str">
            <v>LIT_536</v>
          </cell>
          <cell r="B634" t="str">
            <v>HIS</v>
          </cell>
          <cell r="C634" t="str">
            <v>TowerCo</v>
          </cell>
          <cell r="D634" t="str">
            <v>Hybrid-Gen</v>
          </cell>
        </row>
        <row r="635">
          <cell r="A635" t="str">
            <v>LIT_664</v>
          </cell>
          <cell r="B635" t="str">
            <v>HIS</v>
          </cell>
          <cell r="C635" t="str">
            <v>TowerCo</v>
          </cell>
          <cell r="D635" t="str">
            <v>Solar-Gen</v>
          </cell>
        </row>
        <row r="636">
          <cell r="A636" t="str">
            <v>SUD_053</v>
          </cell>
          <cell r="B636" t="str">
            <v>HIS</v>
          </cell>
          <cell r="C636" t="str">
            <v>TowerCo</v>
          </cell>
          <cell r="D636" t="str">
            <v>Grid-Gen</v>
          </cell>
        </row>
        <row r="637">
          <cell r="A637" t="str">
            <v>LIT_495</v>
          </cell>
          <cell r="B637" t="str">
            <v>HIS</v>
          </cell>
          <cell r="C637" t="str">
            <v>TowerCo</v>
          </cell>
          <cell r="D637" t="str">
            <v>Grid-Gen</v>
          </cell>
        </row>
        <row r="638">
          <cell r="A638" t="str">
            <v>SUD_215</v>
          </cell>
          <cell r="B638" t="str">
            <v>HIS</v>
          </cell>
          <cell r="C638" t="str">
            <v>TowerCo</v>
          </cell>
          <cell r="D638" t="str">
            <v>Grid-Gen</v>
          </cell>
        </row>
        <row r="639">
          <cell r="A639" t="str">
            <v>LIT_504</v>
          </cell>
          <cell r="B639" t="str">
            <v>HIS</v>
          </cell>
          <cell r="C639" t="str">
            <v>TowerCo</v>
          </cell>
          <cell r="D639" t="str">
            <v>Grid-Gen</v>
          </cell>
        </row>
        <row r="640">
          <cell r="A640" t="str">
            <v>SUD_043</v>
          </cell>
          <cell r="B640" t="str">
            <v>HIS</v>
          </cell>
          <cell r="C640" t="str">
            <v>TowerCo</v>
          </cell>
          <cell r="D640" t="str">
            <v>Grid-Gen</v>
          </cell>
        </row>
        <row r="641">
          <cell r="A641" t="str">
            <v>SUD_080</v>
          </cell>
          <cell r="B641" t="str">
            <v>HIS</v>
          </cell>
          <cell r="C641" t="str">
            <v>TowerCo</v>
          </cell>
          <cell r="D641" t="str">
            <v>Grid-Gen</v>
          </cell>
        </row>
        <row r="642">
          <cell r="A642" t="str">
            <v>CTR_061</v>
          </cell>
          <cell r="B642" t="str">
            <v>HIS</v>
          </cell>
          <cell r="C642" t="str">
            <v>TowerCo</v>
          </cell>
          <cell r="D642" t="str">
            <v>Grid-Gen</v>
          </cell>
        </row>
        <row r="643">
          <cell r="A643" t="str">
            <v>CTR_180</v>
          </cell>
          <cell r="B643" t="str">
            <v>HIS</v>
          </cell>
          <cell r="C643" t="str">
            <v>TowerCo</v>
          </cell>
          <cell r="D643" t="str">
            <v>Hybrid-Gen</v>
          </cell>
        </row>
        <row r="644">
          <cell r="A644" t="str">
            <v>CTR_083</v>
          </cell>
          <cell r="B644" t="str">
            <v>HIS</v>
          </cell>
          <cell r="C644" t="str">
            <v>TowerCo</v>
          </cell>
          <cell r="D644" t="str">
            <v>Grid-Gen</v>
          </cell>
        </row>
        <row r="645">
          <cell r="A645" t="str">
            <v>CTR_220</v>
          </cell>
          <cell r="B645" t="str">
            <v>HIS</v>
          </cell>
          <cell r="C645" t="str">
            <v>TowerCo</v>
          </cell>
          <cell r="D645" t="str">
            <v>Grid-Gen</v>
          </cell>
        </row>
        <row r="646">
          <cell r="A646" t="str">
            <v>CTR_299</v>
          </cell>
          <cell r="B646" t="str">
            <v>HIS</v>
          </cell>
          <cell r="C646" t="str">
            <v>TowerCo</v>
          </cell>
          <cell r="D646" t="str">
            <v>Gen Only</v>
          </cell>
        </row>
        <row r="647">
          <cell r="A647" t="str">
            <v>CTR_335</v>
          </cell>
          <cell r="B647" t="str">
            <v>HIS</v>
          </cell>
          <cell r="C647" t="str">
            <v>TowerCo</v>
          </cell>
          <cell r="D647" t="str">
            <v>Grid-Gen</v>
          </cell>
        </row>
        <row r="648">
          <cell r="A648" t="str">
            <v>CTR_192</v>
          </cell>
          <cell r="B648" t="str">
            <v>HIS</v>
          </cell>
          <cell r="C648" t="str">
            <v>TowerCo</v>
          </cell>
          <cell r="D648" t="str">
            <v>Grid-Gen</v>
          </cell>
        </row>
        <row r="649">
          <cell r="A649" t="str">
            <v>CTR_230</v>
          </cell>
          <cell r="B649" t="str">
            <v>HIS</v>
          </cell>
          <cell r="C649" t="str">
            <v>TowerCo</v>
          </cell>
          <cell r="D649" t="str">
            <v>Gen Only</v>
          </cell>
        </row>
        <row r="650">
          <cell r="A650" t="str">
            <v>CTR_437</v>
          </cell>
          <cell r="B650" t="str">
            <v>HIS</v>
          </cell>
          <cell r="C650" t="str">
            <v>TowerCo</v>
          </cell>
          <cell r="D650" t="str">
            <v>Grid-Gen</v>
          </cell>
        </row>
        <row r="651">
          <cell r="A651" t="str">
            <v>CTR_221</v>
          </cell>
          <cell r="B651" t="str">
            <v>HIS</v>
          </cell>
          <cell r="C651" t="str">
            <v>TowerCo</v>
          </cell>
          <cell r="D651" t="str">
            <v>Grid-Gen</v>
          </cell>
        </row>
        <row r="652">
          <cell r="A652" t="str">
            <v>CTR_506</v>
          </cell>
          <cell r="B652" t="str">
            <v>HIS</v>
          </cell>
          <cell r="C652" t="str">
            <v>TowerCo</v>
          </cell>
          <cell r="D652" t="str">
            <v>Grid-Gen</v>
          </cell>
        </row>
        <row r="653">
          <cell r="A653" t="str">
            <v>CTR_113</v>
          </cell>
          <cell r="B653" t="str">
            <v>HIS</v>
          </cell>
          <cell r="C653" t="str">
            <v>TowerCo</v>
          </cell>
          <cell r="D653" t="str">
            <v>Grid-Gen</v>
          </cell>
        </row>
        <row r="654">
          <cell r="A654" t="str">
            <v>CTR_152</v>
          </cell>
          <cell r="B654" t="str">
            <v>HIS</v>
          </cell>
          <cell r="C654" t="str">
            <v>TowerCo</v>
          </cell>
          <cell r="D654" t="str">
            <v>Grid-Gen</v>
          </cell>
        </row>
        <row r="655">
          <cell r="A655" t="str">
            <v>CTR_365</v>
          </cell>
          <cell r="B655" t="str">
            <v>HIS</v>
          </cell>
          <cell r="C655" t="str">
            <v>TowerCo</v>
          </cell>
          <cell r="D655" t="str">
            <v>Hybrid-Gen</v>
          </cell>
        </row>
        <row r="656">
          <cell r="A656" t="str">
            <v>CTR_513</v>
          </cell>
          <cell r="B656" t="str">
            <v>HIS</v>
          </cell>
          <cell r="C656" t="str">
            <v>TowerCo</v>
          </cell>
          <cell r="D656" t="str">
            <v>Grid-Gen</v>
          </cell>
        </row>
        <row r="657">
          <cell r="A657" t="str">
            <v>CTR_627</v>
          </cell>
          <cell r="B657" t="str">
            <v>HIS</v>
          </cell>
          <cell r="C657" t="str">
            <v>TowerCo</v>
          </cell>
          <cell r="D657" t="str">
            <v>Grid-Gen</v>
          </cell>
        </row>
        <row r="658">
          <cell r="A658" t="str">
            <v>CTR_757</v>
          </cell>
          <cell r="B658" t="str">
            <v>HIS</v>
          </cell>
          <cell r="C658" t="str">
            <v>TowerCo</v>
          </cell>
          <cell r="D658" t="str">
            <v>Solar-Gen</v>
          </cell>
        </row>
        <row r="659">
          <cell r="A659" t="str">
            <v>CTR_143</v>
          </cell>
          <cell r="B659" t="str">
            <v>HIS</v>
          </cell>
          <cell r="C659" t="str">
            <v>TowerCo</v>
          </cell>
          <cell r="D659" t="str">
            <v>Solar-Gen</v>
          </cell>
        </row>
        <row r="660">
          <cell r="A660" t="str">
            <v>CTR_699</v>
          </cell>
          <cell r="B660" t="str">
            <v>HIS</v>
          </cell>
          <cell r="C660" t="str">
            <v>TowerCo</v>
          </cell>
          <cell r="D660" t="str">
            <v>Grid-Gen</v>
          </cell>
        </row>
        <row r="661">
          <cell r="A661" t="str">
            <v>CTR_695</v>
          </cell>
          <cell r="B661" t="str">
            <v>HIS</v>
          </cell>
          <cell r="C661" t="str">
            <v>TowerCo</v>
          </cell>
          <cell r="D661" t="str">
            <v>Grid-Gen</v>
          </cell>
        </row>
        <row r="662">
          <cell r="A662" t="str">
            <v>SUO_085</v>
          </cell>
          <cell r="B662" t="str">
            <v>HIS</v>
          </cell>
          <cell r="C662" t="str">
            <v>TowerCo</v>
          </cell>
          <cell r="D662" t="str">
            <v>Vandalized</v>
          </cell>
        </row>
        <row r="663">
          <cell r="A663" t="str">
            <v>CTR_300</v>
          </cell>
          <cell r="B663" t="str">
            <v>HIS</v>
          </cell>
          <cell r="C663" t="str">
            <v>TowerCo</v>
          </cell>
          <cell r="D663" t="str">
            <v>Hybrid-Gen</v>
          </cell>
        </row>
        <row r="664">
          <cell r="A664" t="str">
            <v>CTR_301</v>
          </cell>
          <cell r="B664" t="str">
            <v>HIS</v>
          </cell>
          <cell r="C664" t="str">
            <v>TowerCo</v>
          </cell>
          <cell r="D664" t="str">
            <v>Hybrid-Gen</v>
          </cell>
        </row>
        <row r="665">
          <cell r="A665" t="str">
            <v>CTR_073</v>
          </cell>
          <cell r="B665" t="str">
            <v>HIS</v>
          </cell>
          <cell r="C665" t="str">
            <v>TowerCo</v>
          </cell>
          <cell r="D665" t="str">
            <v>Grid-Gen</v>
          </cell>
        </row>
        <row r="666">
          <cell r="A666" t="str">
            <v>CTR_405</v>
          </cell>
          <cell r="B666" t="str">
            <v>HIS</v>
          </cell>
          <cell r="C666" t="str">
            <v>TowerCo</v>
          </cell>
          <cell r="D666" t="str">
            <v>Hybrid-Gen</v>
          </cell>
        </row>
        <row r="667">
          <cell r="A667" t="str">
            <v>CTR_829</v>
          </cell>
          <cell r="B667" t="str">
            <v>HIS</v>
          </cell>
          <cell r="C667" t="str">
            <v>TowerCo</v>
          </cell>
          <cell r="D667" t="str">
            <v>Grid-Gen</v>
          </cell>
        </row>
        <row r="668">
          <cell r="A668" t="str">
            <v>CTR_166</v>
          </cell>
          <cell r="B668" t="str">
            <v>HIS</v>
          </cell>
          <cell r="C668" t="str">
            <v>TowerCo</v>
          </cell>
          <cell r="D668" t="str">
            <v>Hybrid-Gen</v>
          </cell>
        </row>
        <row r="669">
          <cell r="A669" t="str">
            <v>CTR_167</v>
          </cell>
          <cell r="B669" t="str">
            <v>HIS</v>
          </cell>
          <cell r="C669" t="str">
            <v>TowerCo</v>
          </cell>
          <cell r="D669" t="str">
            <v>Hybrid-Gen</v>
          </cell>
        </row>
        <row r="670">
          <cell r="A670" t="str">
            <v>CTR_367</v>
          </cell>
          <cell r="B670" t="str">
            <v>HIS</v>
          </cell>
          <cell r="C670" t="str">
            <v>TowerCo</v>
          </cell>
          <cell r="D670" t="str">
            <v>Solar-Gen</v>
          </cell>
        </row>
        <row r="671">
          <cell r="A671" t="str">
            <v>CTR_531</v>
          </cell>
          <cell r="B671" t="str">
            <v>HIS</v>
          </cell>
          <cell r="C671" t="str">
            <v>TowerCo</v>
          </cell>
          <cell r="D671" t="str">
            <v>Hybrid-Gen</v>
          </cell>
        </row>
        <row r="672">
          <cell r="A672" t="str">
            <v>CTR_533</v>
          </cell>
          <cell r="B672" t="str">
            <v>HIS</v>
          </cell>
          <cell r="C672" t="str">
            <v>TowerCo</v>
          </cell>
          <cell r="D672" t="str">
            <v>Grid-Gen</v>
          </cell>
        </row>
        <row r="673">
          <cell r="A673" t="str">
            <v>CTR_174</v>
          </cell>
          <cell r="B673" t="str">
            <v>HIS</v>
          </cell>
          <cell r="C673" t="str">
            <v>TowerCo</v>
          </cell>
          <cell r="D673" t="str">
            <v>Hybrid-Gen</v>
          </cell>
        </row>
        <row r="674">
          <cell r="A674" t="str">
            <v>CTR_363</v>
          </cell>
          <cell r="B674" t="str">
            <v>HIS</v>
          </cell>
          <cell r="C674" t="str">
            <v>TowerCo</v>
          </cell>
          <cell r="D674" t="str">
            <v>Grid-Gen</v>
          </cell>
        </row>
        <row r="675">
          <cell r="A675" t="str">
            <v>CTR_547</v>
          </cell>
          <cell r="B675" t="str">
            <v>HIS</v>
          </cell>
          <cell r="C675" t="str">
            <v>TowerCo</v>
          </cell>
          <cell r="D675" t="str">
            <v>Grid-Gen</v>
          </cell>
        </row>
        <row r="676">
          <cell r="A676" t="str">
            <v>CTR_135</v>
          </cell>
          <cell r="B676" t="str">
            <v>HIS</v>
          </cell>
          <cell r="C676" t="str">
            <v>TowerCo</v>
          </cell>
          <cell r="D676" t="str">
            <v>Grid-Gen</v>
          </cell>
        </row>
        <row r="677">
          <cell r="A677" t="str">
            <v>CTR_406</v>
          </cell>
          <cell r="B677" t="str">
            <v>HIS</v>
          </cell>
          <cell r="C677" t="str">
            <v>TowerCo</v>
          </cell>
          <cell r="D677" t="str">
            <v>Solar-Gen</v>
          </cell>
        </row>
        <row r="678">
          <cell r="A678" t="str">
            <v>CTR_869</v>
          </cell>
          <cell r="B678" t="str">
            <v>HIS</v>
          </cell>
          <cell r="C678" t="str">
            <v>TowerCo</v>
          </cell>
          <cell r="D678" t="str">
            <v>Grid-Gen</v>
          </cell>
        </row>
        <row r="679">
          <cell r="A679" t="str">
            <v>OST_092</v>
          </cell>
          <cell r="B679" t="str">
            <v>HIS</v>
          </cell>
          <cell r="C679" t="str">
            <v>TowerCo</v>
          </cell>
          <cell r="D679" t="str">
            <v>Grid-Hybrid-Gen</v>
          </cell>
        </row>
        <row r="680">
          <cell r="A680" t="str">
            <v>CTR_303</v>
          </cell>
          <cell r="B680" t="str">
            <v>HIS</v>
          </cell>
          <cell r="C680" t="str">
            <v>TowerCo</v>
          </cell>
          <cell r="D680" t="str">
            <v>Hybrid-Gen</v>
          </cell>
        </row>
        <row r="681">
          <cell r="A681" t="str">
            <v>CTR_302</v>
          </cell>
          <cell r="B681" t="str">
            <v>HIS</v>
          </cell>
          <cell r="C681" t="str">
            <v>TowerCo</v>
          </cell>
          <cell r="D681" t="str">
            <v>Hybrid-Gen</v>
          </cell>
        </row>
        <row r="682">
          <cell r="A682" t="str">
            <v>ADM_011</v>
          </cell>
          <cell r="B682" t="str">
            <v>HIS</v>
          </cell>
          <cell r="C682" t="str">
            <v>TowerCo</v>
          </cell>
          <cell r="D682" t="str">
            <v>Grid-Gen</v>
          </cell>
        </row>
        <row r="683">
          <cell r="A683" t="str">
            <v>ADM_044</v>
          </cell>
          <cell r="B683" t="str">
            <v>HIS</v>
          </cell>
          <cell r="C683" t="str">
            <v>TowerCo</v>
          </cell>
          <cell r="D683" t="str">
            <v>Grid-Gen</v>
          </cell>
        </row>
        <row r="684">
          <cell r="A684" t="str">
            <v>ADM_042</v>
          </cell>
          <cell r="B684" t="str">
            <v>HIS</v>
          </cell>
          <cell r="C684" t="str">
            <v>TowerCo</v>
          </cell>
          <cell r="D684" t="str">
            <v>Hybrid-Gen</v>
          </cell>
        </row>
        <row r="685">
          <cell r="A685" t="str">
            <v>ADM_055</v>
          </cell>
          <cell r="B685" t="str">
            <v>HIS</v>
          </cell>
          <cell r="C685" t="str">
            <v>TowerCo</v>
          </cell>
          <cell r="D685" t="str">
            <v>Solar-Gen</v>
          </cell>
        </row>
        <row r="686">
          <cell r="A686" t="str">
            <v>ADM_043</v>
          </cell>
          <cell r="B686" t="str">
            <v>HIS</v>
          </cell>
          <cell r="C686" t="str">
            <v>TowerCo</v>
          </cell>
          <cell r="D686" t="str">
            <v>Solar-Gen</v>
          </cell>
        </row>
        <row r="687">
          <cell r="A687" t="str">
            <v>ADM_041</v>
          </cell>
          <cell r="B687" t="str">
            <v>HIS</v>
          </cell>
          <cell r="C687" t="str">
            <v>TowerCo</v>
          </cell>
          <cell r="D687" t="str">
            <v>Hybrid-Gen</v>
          </cell>
        </row>
        <row r="688">
          <cell r="A688" t="str">
            <v>ADM_010</v>
          </cell>
          <cell r="B688" t="str">
            <v>HIS</v>
          </cell>
          <cell r="C688" t="str">
            <v>TowerCo</v>
          </cell>
          <cell r="D688" t="str">
            <v>Grid-Gen</v>
          </cell>
        </row>
        <row r="689">
          <cell r="A689" t="str">
            <v>ADM_054</v>
          </cell>
          <cell r="B689" t="str">
            <v>HIS</v>
          </cell>
          <cell r="C689" t="str">
            <v>TowerCo</v>
          </cell>
          <cell r="D689" t="str">
            <v>Hybrid-Gen</v>
          </cell>
        </row>
        <row r="690">
          <cell r="A690" t="str">
            <v>ADM_814</v>
          </cell>
          <cell r="B690" t="str">
            <v>HIS</v>
          </cell>
          <cell r="C690" t="str">
            <v>TowerCo</v>
          </cell>
          <cell r="D690" t="str">
            <v>Grid-Gen</v>
          </cell>
        </row>
        <row r="691">
          <cell r="A691" t="str">
            <v>ADM_066</v>
          </cell>
          <cell r="B691" t="str">
            <v>HIS</v>
          </cell>
          <cell r="C691" t="str">
            <v>TowerCo</v>
          </cell>
          <cell r="D691" t="str">
            <v>Hybrid-Gen</v>
          </cell>
        </row>
        <row r="692">
          <cell r="A692" t="str">
            <v>ADM_128</v>
          </cell>
          <cell r="B692" t="str">
            <v>HIS</v>
          </cell>
          <cell r="C692" t="str">
            <v>TowerCo</v>
          </cell>
          <cell r="D692" t="str">
            <v>Hybrid-Gen</v>
          </cell>
        </row>
        <row r="693">
          <cell r="A693" t="str">
            <v>ADM_105</v>
          </cell>
          <cell r="B693" t="str">
            <v>HIS</v>
          </cell>
          <cell r="C693" t="str">
            <v>TowerCo</v>
          </cell>
          <cell r="D693" t="str">
            <v>Grid-Gen</v>
          </cell>
        </row>
        <row r="694">
          <cell r="A694" t="str">
            <v>CTR_169</v>
          </cell>
          <cell r="B694" t="str">
            <v>HIS</v>
          </cell>
          <cell r="C694" t="str">
            <v>TowerCo</v>
          </cell>
          <cell r="D694" t="str">
            <v>Solar-Gen</v>
          </cell>
        </row>
        <row r="695">
          <cell r="A695" t="str">
            <v>ADM_122</v>
          </cell>
          <cell r="B695" t="str">
            <v>HIS</v>
          </cell>
          <cell r="C695" t="str">
            <v>TowerCo</v>
          </cell>
          <cell r="D695" t="str">
            <v>Gen-Solar AER</v>
          </cell>
        </row>
        <row r="696">
          <cell r="A696" t="str">
            <v>ADM_060</v>
          </cell>
          <cell r="B696" t="str">
            <v>HIS</v>
          </cell>
          <cell r="C696" t="str">
            <v>TowerCo</v>
          </cell>
          <cell r="D696" t="str">
            <v>Solar-Gen</v>
          </cell>
        </row>
        <row r="697">
          <cell r="A697" t="str">
            <v>ADM_024</v>
          </cell>
          <cell r="B697" t="str">
            <v>HIS</v>
          </cell>
          <cell r="C697" t="str">
            <v>TowerCo</v>
          </cell>
          <cell r="D697" t="str">
            <v>Hybrid-Gen</v>
          </cell>
        </row>
        <row r="698">
          <cell r="A698" t="str">
            <v>ADM_075</v>
          </cell>
          <cell r="B698" t="str">
            <v>HIS</v>
          </cell>
          <cell r="C698" t="str">
            <v>TowerCo</v>
          </cell>
          <cell r="D698" t="str">
            <v>Hybrid-Gen</v>
          </cell>
        </row>
        <row r="699">
          <cell r="A699" t="str">
            <v>ADM_153</v>
          </cell>
          <cell r="B699" t="str">
            <v>HIS</v>
          </cell>
          <cell r="C699" t="str">
            <v>TowerCo</v>
          </cell>
          <cell r="D699" t="str">
            <v>Hybrid-Gen</v>
          </cell>
        </row>
        <row r="700">
          <cell r="A700" t="str">
            <v>ADM_119</v>
          </cell>
          <cell r="B700" t="str">
            <v>HIS</v>
          </cell>
          <cell r="C700" t="str">
            <v>TowerCo</v>
          </cell>
          <cell r="D700" t="str">
            <v>Grid-Gen</v>
          </cell>
        </row>
        <row r="701">
          <cell r="A701" t="str">
            <v>ADM_109</v>
          </cell>
          <cell r="B701" t="str">
            <v>HIS</v>
          </cell>
          <cell r="C701" t="str">
            <v>TowerCo</v>
          </cell>
          <cell r="D701" t="str">
            <v>Grid-Gen</v>
          </cell>
        </row>
        <row r="702">
          <cell r="A702" t="str">
            <v>ADM_103</v>
          </cell>
          <cell r="B702" t="str">
            <v>HIS</v>
          </cell>
          <cell r="C702" t="str">
            <v>TowerCo</v>
          </cell>
          <cell r="D702" t="str">
            <v>Hybrid-Gen</v>
          </cell>
        </row>
        <row r="703">
          <cell r="A703" t="str">
            <v>ADM_064</v>
          </cell>
          <cell r="B703" t="str">
            <v>HIS</v>
          </cell>
          <cell r="C703" t="str">
            <v>TowerCo</v>
          </cell>
          <cell r="D703" t="str">
            <v>Hybrid-Gen</v>
          </cell>
        </row>
        <row r="704">
          <cell r="A704" t="str">
            <v>ADM_067</v>
          </cell>
          <cell r="B704" t="str">
            <v>HIS</v>
          </cell>
          <cell r="C704" t="str">
            <v>TowerCo</v>
          </cell>
          <cell r="D704" t="str">
            <v>Hybrid-Gen</v>
          </cell>
        </row>
        <row r="705">
          <cell r="A705" t="str">
            <v>CTR_170</v>
          </cell>
          <cell r="B705" t="str">
            <v>HIS</v>
          </cell>
          <cell r="C705" t="str">
            <v>TowerCo</v>
          </cell>
          <cell r="D705" t="str">
            <v>Solar-Gen</v>
          </cell>
        </row>
        <row r="706">
          <cell r="A706" t="str">
            <v>ADM_154</v>
          </cell>
          <cell r="B706" t="str">
            <v>HIS</v>
          </cell>
          <cell r="C706" t="str">
            <v>TowerCo</v>
          </cell>
          <cell r="D706" t="str">
            <v>Solar-Gen</v>
          </cell>
        </row>
        <row r="707">
          <cell r="A707" t="str">
            <v>ADM_099</v>
          </cell>
          <cell r="B707" t="str">
            <v>HIS</v>
          </cell>
          <cell r="C707" t="str">
            <v>TowerCo</v>
          </cell>
          <cell r="D707" t="str">
            <v>Solar-Gen</v>
          </cell>
        </row>
        <row r="708">
          <cell r="A708" t="str">
            <v>ADM_098</v>
          </cell>
          <cell r="B708" t="str">
            <v>HIS</v>
          </cell>
          <cell r="C708" t="str">
            <v>TowerCo</v>
          </cell>
          <cell r="D708" t="str">
            <v>Solar-Gen</v>
          </cell>
        </row>
        <row r="709">
          <cell r="A709" t="str">
            <v>ADM_063</v>
          </cell>
          <cell r="B709" t="str">
            <v>HIS</v>
          </cell>
          <cell r="C709" t="str">
            <v>TowerCo</v>
          </cell>
          <cell r="D709" t="str">
            <v>Solar-Gen</v>
          </cell>
        </row>
        <row r="710">
          <cell r="A710" t="str">
            <v>ADM_144</v>
          </cell>
          <cell r="B710" t="str">
            <v>HIS</v>
          </cell>
          <cell r="C710" t="str">
            <v>TowerCo</v>
          </cell>
          <cell r="D710" t="str">
            <v>Hybrid-Gen</v>
          </cell>
        </row>
        <row r="711">
          <cell r="A711" t="str">
            <v>EXN_032</v>
          </cell>
          <cell r="B711" t="str">
            <v>HIS</v>
          </cell>
          <cell r="C711" t="str">
            <v>TowerCo</v>
          </cell>
          <cell r="D711" t="str">
            <v>Grid-Gen</v>
          </cell>
        </row>
        <row r="712">
          <cell r="A712" t="str">
            <v>EXN_006</v>
          </cell>
          <cell r="B712" t="str">
            <v>HIS</v>
          </cell>
          <cell r="C712" t="str">
            <v>TowerCo</v>
          </cell>
          <cell r="D712" t="str">
            <v>Grid-Hybrid-Gen</v>
          </cell>
        </row>
        <row r="713">
          <cell r="A713" t="str">
            <v>EXN_016</v>
          </cell>
          <cell r="B713" t="str">
            <v>HIS</v>
          </cell>
          <cell r="C713" t="str">
            <v>TowerCo</v>
          </cell>
          <cell r="D713" t="str">
            <v>Grid-Gen</v>
          </cell>
        </row>
        <row r="714">
          <cell r="A714" t="str">
            <v>EXN_028</v>
          </cell>
          <cell r="B714" t="str">
            <v>HIS</v>
          </cell>
          <cell r="C714" t="str">
            <v>TowerCo</v>
          </cell>
          <cell r="D714" t="str">
            <v>Grid-Gen</v>
          </cell>
        </row>
        <row r="715">
          <cell r="A715" t="str">
            <v>EXN_026</v>
          </cell>
          <cell r="B715" t="str">
            <v>HIS</v>
          </cell>
          <cell r="C715" t="str">
            <v>TowerCo</v>
          </cell>
          <cell r="D715" t="str">
            <v>Grid-Gen</v>
          </cell>
        </row>
        <row r="716">
          <cell r="A716" t="str">
            <v>EXN_029</v>
          </cell>
          <cell r="B716" t="str">
            <v>HIS</v>
          </cell>
          <cell r="C716" t="str">
            <v>TowerCo</v>
          </cell>
          <cell r="D716" t="str">
            <v>Grid-Gen</v>
          </cell>
        </row>
        <row r="717">
          <cell r="A717" t="str">
            <v>EXN_113</v>
          </cell>
          <cell r="B717" t="str">
            <v>HIS</v>
          </cell>
          <cell r="C717" t="str">
            <v>TowerCo</v>
          </cell>
          <cell r="D717" t="str">
            <v>Grid-Gen</v>
          </cell>
        </row>
        <row r="718">
          <cell r="A718" t="str">
            <v>EXN_066</v>
          </cell>
          <cell r="B718" t="str">
            <v>HIS</v>
          </cell>
          <cell r="C718" t="str">
            <v>TowerCo</v>
          </cell>
          <cell r="D718" t="str">
            <v>Grid-Gen</v>
          </cell>
        </row>
        <row r="719">
          <cell r="A719" t="str">
            <v>EXN_001</v>
          </cell>
          <cell r="B719" t="str">
            <v>HIS</v>
          </cell>
          <cell r="C719" t="str">
            <v>TowerCo</v>
          </cell>
          <cell r="D719" t="str">
            <v>Grid-Gen</v>
          </cell>
        </row>
        <row r="720">
          <cell r="A720" t="str">
            <v>EXN_083</v>
          </cell>
          <cell r="B720" t="str">
            <v>HIS</v>
          </cell>
          <cell r="C720" t="str">
            <v>TowerCo</v>
          </cell>
          <cell r="D720" t="str">
            <v>Grid-Gen</v>
          </cell>
        </row>
        <row r="721">
          <cell r="A721" t="str">
            <v>EXN_030</v>
          </cell>
          <cell r="B721" t="str">
            <v>HIS</v>
          </cell>
          <cell r="C721" t="str">
            <v>TowerCo</v>
          </cell>
          <cell r="D721" t="str">
            <v>Solar-Grid-Gen</v>
          </cell>
        </row>
        <row r="722">
          <cell r="A722" t="str">
            <v>EXN_007</v>
          </cell>
          <cell r="B722" t="str">
            <v>HIS</v>
          </cell>
          <cell r="C722" t="str">
            <v>TowerCo</v>
          </cell>
          <cell r="D722" t="str">
            <v>Grid-Hybrid-Gen</v>
          </cell>
        </row>
        <row r="723">
          <cell r="A723" t="str">
            <v>EXN_053</v>
          </cell>
          <cell r="B723" t="str">
            <v>HIS</v>
          </cell>
          <cell r="C723" t="str">
            <v>TowerCo</v>
          </cell>
          <cell r="D723" t="str">
            <v>Grid-Gen</v>
          </cell>
        </row>
        <row r="724">
          <cell r="A724" t="str">
            <v>EXN_092</v>
          </cell>
          <cell r="B724" t="str">
            <v>HIS</v>
          </cell>
          <cell r="C724" t="str">
            <v>TowerCo</v>
          </cell>
          <cell r="D724" t="str">
            <v>Grid-Gen</v>
          </cell>
        </row>
        <row r="725">
          <cell r="A725" t="str">
            <v>EXN_086</v>
          </cell>
          <cell r="B725" t="str">
            <v>HIS</v>
          </cell>
          <cell r="C725" t="str">
            <v>TowerCo</v>
          </cell>
          <cell r="D725" t="str">
            <v>Grid-Gen</v>
          </cell>
        </row>
        <row r="726">
          <cell r="A726" t="str">
            <v>EXN_002</v>
          </cell>
          <cell r="B726" t="str">
            <v>HIS</v>
          </cell>
          <cell r="C726" t="str">
            <v>TowerCo</v>
          </cell>
          <cell r="D726" t="str">
            <v>Grid-Gen</v>
          </cell>
        </row>
        <row r="727">
          <cell r="A727" t="str">
            <v>EXN_014</v>
          </cell>
          <cell r="B727" t="str">
            <v>HIS</v>
          </cell>
          <cell r="C727" t="str">
            <v>TowerCo</v>
          </cell>
          <cell r="D727" t="str">
            <v>Grid-Gen</v>
          </cell>
        </row>
        <row r="728">
          <cell r="A728" t="str">
            <v>EXN_055</v>
          </cell>
          <cell r="B728" t="str">
            <v>HIS</v>
          </cell>
          <cell r="C728" t="str">
            <v>TowerCo</v>
          </cell>
          <cell r="D728" t="str">
            <v>Grid-Gen</v>
          </cell>
        </row>
        <row r="729">
          <cell r="A729" t="str">
            <v>EXN_067</v>
          </cell>
          <cell r="B729" t="str">
            <v>HIS</v>
          </cell>
          <cell r="C729" t="str">
            <v>TowerCo</v>
          </cell>
          <cell r="D729" t="str">
            <v>Grid-Gen</v>
          </cell>
        </row>
        <row r="730">
          <cell r="A730" t="str">
            <v>EXN_046</v>
          </cell>
          <cell r="B730" t="str">
            <v>HIS</v>
          </cell>
          <cell r="C730" t="str">
            <v>TowerCo</v>
          </cell>
          <cell r="D730" t="str">
            <v>Solar-Grid-Gen</v>
          </cell>
        </row>
        <row r="731">
          <cell r="A731" t="str">
            <v>EXN_036</v>
          </cell>
          <cell r="B731" t="str">
            <v>HIS</v>
          </cell>
          <cell r="C731" t="str">
            <v>TowerCo</v>
          </cell>
          <cell r="D731" t="str">
            <v>Solar-Grid-Gen</v>
          </cell>
        </row>
        <row r="732">
          <cell r="A732" t="str">
            <v>EXN_101</v>
          </cell>
          <cell r="B732" t="str">
            <v>HIS</v>
          </cell>
          <cell r="C732" t="str">
            <v>TowerCo</v>
          </cell>
          <cell r="D732" t="str">
            <v>Grid-Gen</v>
          </cell>
        </row>
        <row r="733">
          <cell r="A733" t="str">
            <v>EXN_190</v>
          </cell>
          <cell r="B733" t="str">
            <v>HIS</v>
          </cell>
          <cell r="C733" t="str">
            <v>TowerCo</v>
          </cell>
          <cell r="D733" t="str">
            <v>Grid-Gen</v>
          </cell>
        </row>
        <row r="734">
          <cell r="A734" t="str">
            <v>EXN_106</v>
          </cell>
          <cell r="B734" t="str">
            <v>HIS</v>
          </cell>
          <cell r="C734" t="str">
            <v>TowerCo</v>
          </cell>
          <cell r="D734" t="str">
            <v>Grid-Gen</v>
          </cell>
        </row>
        <row r="735">
          <cell r="A735" t="str">
            <v>EXN_098</v>
          </cell>
          <cell r="B735" t="str">
            <v>HIS</v>
          </cell>
          <cell r="C735" t="str">
            <v>TowerCo</v>
          </cell>
          <cell r="D735" t="str">
            <v>Grid-Gen</v>
          </cell>
        </row>
        <row r="736">
          <cell r="A736" t="str">
            <v>NRD_070</v>
          </cell>
          <cell r="B736" t="str">
            <v>HIS</v>
          </cell>
          <cell r="C736" t="str">
            <v>TowerCo</v>
          </cell>
          <cell r="D736" t="str">
            <v>Solar-Gen</v>
          </cell>
        </row>
        <row r="737">
          <cell r="A737" t="str">
            <v>EXN_169</v>
          </cell>
          <cell r="B737" t="str">
            <v>HIS</v>
          </cell>
          <cell r="C737" t="str">
            <v>TowerCo</v>
          </cell>
          <cell r="D737" t="str">
            <v>Grid-Gen</v>
          </cell>
        </row>
        <row r="738">
          <cell r="A738" t="str">
            <v>EXN_171</v>
          </cell>
          <cell r="B738" t="str">
            <v>HIS</v>
          </cell>
          <cell r="C738" t="str">
            <v>TowerCo</v>
          </cell>
          <cell r="D738" t="str">
            <v>Gen Only</v>
          </cell>
        </row>
        <row r="739">
          <cell r="A739" t="str">
            <v>NRD_092</v>
          </cell>
          <cell r="B739" t="str">
            <v>HIS</v>
          </cell>
          <cell r="C739" t="str">
            <v>TowerCo</v>
          </cell>
          <cell r="D739" t="str">
            <v>Gen Only</v>
          </cell>
        </row>
        <row r="740">
          <cell r="A740" t="str">
            <v>EXN_145</v>
          </cell>
          <cell r="B740" t="str">
            <v>HIS</v>
          </cell>
          <cell r="C740" t="str">
            <v>TowerCo</v>
          </cell>
          <cell r="D740" t="str">
            <v>Grid-Gen</v>
          </cell>
        </row>
        <row r="741">
          <cell r="A741" t="str">
            <v>EXN_184</v>
          </cell>
          <cell r="B741" t="str">
            <v>HIS</v>
          </cell>
          <cell r="C741" t="str">
            <v>TowerCo</v>
          </cell>
          <cell r="D741" t="str">
            <v>Grid-Gen</v>
          </cell>
        </row>
        <row r="742">
          <cell r="A742" t="str">
            <v>EXN_143</v>
          </cell>
          <cell r="B742" t="str">
            <v>HIS</v>
          </cell>
          <cell r="C742" t="str">
            <v>TowerCo</v>
          </cell>
          <cell r="D742" t="str">
            <v>Solar-Grid-Gen</v>
          </cell>
        </row>
        <row r="743">
          <cell r="A743" t="str">
            <v>EXN_147</v>
          </cell>
          <cell r="B743" t="str">
            <v>HIS</v>
          </cell>
          <cell r="C743" t="str">
            <v>TowerCo</v>
          </cell>
          <cell r="D743" t="str">
            <v>Grid-Gen</v>
          </cell>
        </row>
        <row r="744">
          <cell r="A744" t="str">
            <v>EXN_117</v>
          </cell>
          <cell r="B744" t="str">
            <v>HIS</v>
          </cell>
          <cell r="C744" t="str">
            <v>TowerCo</v>
          </cell>
          <cell r="D744" t="str">
            <v>Grid-Gen</v>
          </cell>
        </row>
        <row r="745">
          <cell r="A745" t="str">
            <v>EXN_091</v>
          </cell>
          <cell r="B745" t="str">
            <v>HIS</v>
          </cell>
          <cell r="C745" t="str">
            <v>TowerCo</v>
          </cell>
          <cell r="D745" t="str">
            <v>Solar-Grid-Gen</v>
          </cell>
        </row>
        <row r="746">
          <cell r="A746" t="str">
            <v>EXN_111</v>
          </cell>
          <cell r="B746" t="str">
            <v>HIS</v>
          </cell>
          <cell r="C746" t="str">
            <v>TowerCo</v>
          </cell>
          <cell r="D746" t="str">
            <v>Grid-Gen</v>
          </cell>
        </row>
        <row r="747">
          <cell r="A747" t="str">
            <v>EXN_114</v>
          </cell>
          <cell r="B747" t="str">
            <v>HIS</v>
          </cell>
          <cell r="C747" t="str">
            <v>TowerCo</v>
          </cell>
          <cell r="D747" t="str">
            <v>Grid-Gen</v>
          </cell>
        </row>
        <row r="748">
          <cell r="A748" t="str">
            <v>EXN_110</v>
          </cell>
          <cell r="B748" t="str">
            <v>HIS</v>
          </cell>
          <cell r="C748" t="str">
            <v>TowerCo</v>
          </cell>
          <cell r="D748" t="str">
            <v>Hybrid-Gen</v>
          </cell>
        </row>
        <row r="749">
          <cell r="A749" t="str">
            <v>EXN_015</v>
          </cell>
          <cell r="B749" t="str">
            <v>HIS</v>
          </cell>
          <cell r="C749" t="str">
            <v>TowerCo</v>
          </cell>
          <cell r="D749" t="str">
            <v>Grid-Gen</v>
          </cell>
        </row>
        <row r="750">
          <cell r="A750" t="str">
            <v>EXN_071</v>
          </cell>
          <cell r="B750" t="str">
            <v>HIS</v>
          </cell>
          <cell r="C750" t="str">
            <v>TowerCo</v>
          </cell>
          <cell r="D750" t="str">
            <v>Grid-Gen</v>
          </cell>
        </row>
        <row r="751">
          <cell r="A751" t="str">
            <v>EXN_008</v>
          </cell>
          <cell r="B751" t="str">
            <v>HIS</v>
          </cell>
          <cell r="C751" t="str">
            <v>TowerCo</v>
          </cell>
          <cell r="D751" t="str">
            <v>Grid-Gen</v>
          </cell>
        </row>
        <row r="752">
          <cell r="A752" t="str">
            <v>EXN_087</v>
          </cell>
          <cell r="B752" t="str">
            <v>HIS</v>
          </cell>
          <cell r="C752" t="str">
            <v>TowerCo</v>
          </cell>
          <cell r="D752" t="str">
            <v>Grid-Gen</v>
          </cell>
        </row>
        <row r="753">
          <cell r="A753" t="str">
            <v>EXN_089</v>
          </cell>
          <cell r="B753" t="str">
            <v>HIS</v>
          </cell>
          <cell r="C753" t="str">
            <v>TowerCo</v>
          </cell>
          <cell r="D753" t="str">
            <v>Grid-Gen</v>
          </cell>
        </row>
        <row r="754">
          <cell r="A754" t="str">
            <v>EXN_116</v>
          </cell>
          <cell r="B754" t="str">
            <v>HIS</v>
          </cell>
          <cell r="C754" t="str">
            <v>TowerCo</v>
          </cell>
          <cell r="D754" t="str">
            <v>Grid-Gen</v>
          </cell>
        </row>
        <row r="755">
          <cell r="A755" t="str">
            <v>EXN_023</v>
          </cell>
          <cell r="B755" t="str">
            <v>HIS</v>
          </cell>
          <cell r="C755" t="str">
            <v>TowerCo</v>
          </cell>
          <cell r="D755" t="str">
            <v>Grid-Gen</v>
          </cell>
        </row>
        <row r="756">
          <cell r="A756" t="str">
            <v>EXN_054</v>
          </cell>
          <cell r="B756" t="str">
            <v>HIS</v>
          </cell>
          <cell r="C756" t="str">
            <v>TowerCo</v>
          </cell>
          <cell r="D756" t="str">
            <v>Grid-Gen</v>
          </cell>
        </row>
        <row r="757">
          <cell r="A757" t="str">
            <v>EXN_090</v>
          </cell>
          <cell r="B757" t="str">
            <v>HIS</v>
          </cell>
          <cell r="C757" t="str">
            <v>TowerCo</v>
          </cell>
          <cell r="D757" t="str">
            <v>Grid-Gen</v>
          </cell>
        </row>
        <row r="758">
          <cell r="A758" t="str">
            <v>EXN_082</v>
          </cell>
          <cell r="B758" t="str">
            <v>HIS</v>
          </cell>
          <cell r="C758" t="str">
            <v>TowerCo</v>
          </cell>
          <cell r="D758" t="str">
            <v>Grid Only</v>
          </cell>
        </row>
        <row r="759">
          <cell r="A759" t="str">
            <v>EXN_084</v>
          </cell>
          <cell r="B759" t="str">
            <v>HIS</v>
          </cell>
          <cell r="C759" t="str">
            <v>TowerCo</v>
          </cell>
          <cell r="D759" t="str">
            <v>Grid-Gen</v>
          </cell>
        </row>
        <row r="760">
          <cell r="A760" t="str">
            <v>EXN_085</v>
          </cell>
          <cell r="B760" t="str">
            <v>HIS</v>
          </cell>
          <cell r="C760" t="str">
            <v>TowerCo</v>
          </cell>
          <cell r="D760" t="str">
            <v>Grid-Gen</v>
          </cell>
        </row>
        <row r="761">
          <cell r="A761" t="str">
            <v>EXN_088</v>
          </cell>
          <cell r="B761" t="str">
            <v>HIS</v>
          </cell>
          <cell r="C761" t="str">
            <v>TowerCo</v>
          </cell>
          <cell r="D761" t="str">
            <v>Grid-Gen</v>
          </cell>
        </row>
        <row r="762">
          <cell r="A762" t="str">
            <v>EXN_157</v>
          </cell>
          <cell r="B762" t="str">
            <v>HIS</v>
          </cell>
          <cell r="C762" t="str">
            <v>TowerCo</v>
          </cell>
          <cell r="D762" t="str">
            <v>Grid-Gen</v>
          </cell>
        </row>
        <row r="763">
          <cell r="A763" t="str">
            <v>EXN_170</v>
          </cell>
          <cell r="B763" t="str">
            <v>HIS</v>
          </cell>
          <cell r="C763" t="str">
            <v>TowerCo</v>
          </cell>
          <cell r="D763" t="str">
            <v>Grid-Gen</v>
          </cell>
        </row>
        <row r="764">
          <cell r="A764" t="str">
            <v>EXN_189</v>
          </cell>
          <cell r="B764" t="str">
            <v>HIS</v>
          </cell>
          <cell r="C764" t="str">
            <v>TowerCo</v>
          </cell>
          <cell r="D764" t="str">
            <v>Grid-Hybrid-Gen</v>
          </cell>
        </row>
        <row r="765">
          <cell r="A765" t="str">
            <v>EXN_104</v>
          </cell>
          <cell r="B765" t="str">
            <v>HIS</v>
          </cell>
          <cell r="C765" t="str">
            <v>TowerCo</v>
          </cell>
          <cell r="D765" t="str">
            <v>Grid-Hybrid-Gen</v>
          </cell>
        </row>
        <row r="766">
          <cell r="A766" t="str">
            <v>EXN_241</v>
          </cell>
          <cell r="B766" t="str">
            <v>HIS</v>
          </cell>
          <cell r="C766" t="str">
            <v>TowerCo</v>
          </cell>
          <cell r="D766" t="str">
            <v>Grid-Gen</v>
          </cell>
        </row>
        <row r="767">
          <cell r="A767" t="str">
            <v>EXN_134</v>
          </cell>
          <cell r="B767" t="str">
            <v>HIS</v>
          </cell>
          <cell r="C767" t="str">
            <v>TowerCo</v>
          </cell>
          <cell r="D767" t="str">
            <v>Grid-Gen</v>
          </cell>
        </row>
        <row r="768">
          <cell r="A768" t="str">
            <v>EXN_146</v>
          </cell>
          <cell r="B768" t="str">
            <v>HIS</v>
          </cell>
          <cell r="C768" t="str">
            <v>TowerCo</v>
          </cell>
          <cell r="D768" t="str">
            <v>Grid-Gen</v>
          </cell>
        </row>
        <row r="769">
          <cell r="A769" t="str">
            <v>EXN_158</v>
          </cell>
          <cell r="B769" t="str">
            <v>HIS</v>
          </cell>
          <cell r="C769" t="str">
            <v>TowerCo</v>
          </cell>
          <cell r="D769" t="str">
            <v>Grid-Gen</v>
          </cell>
        </row>
        <row r="770">
          <cell r="A770" t="str">
            <v>EXN_097</v>
          </cell>
          <cell r="B770" t="str">
            <v>HIS</v>
          </cell>
          <cell r="C770" t="str">
            <v>TowerCo</v>
          </cell>
          <cell r="D770" t="str">
            <v>Grid-Gen</v>
          </cell>
        </row>
        <row r="771">
          <cell r="A771" t="str">
            <v>EXN_115</v>
          </cell>
          <cell r="B771" t="str">
            <v>HIS</v>
          </cell>
          <cell r="C771" t="str">
            <v>TowerCo</v>
          </cell>
          <cell r="D771" t="str">
            <v>Grid-Gen</v>
          </cell>
        </row>
        <row r="772">
          <cell r="A772" t="str">
            <v>EXN_211</v>
          </cell>
          <cell r="B772" t="str">
            <v>HIS</v>
          </cell>
          <cell r="C772" t="str">
            <v>TowerCo</v>
          </cell>
          <cell r="D772" t="str">
            <v>Hybrid-Gen</v>
          </cell>
        </row>
        <row r="773">
          <cell r="A773" t="str">
            <v>EXN_199</v>
          </cell>
          <cell r="B773" t="str">
            <v>HIS</v>
          </cell>
          <cell r="C773" t="str">
            <v>TowerCo</v>
          </cell>
          <cell r="D773" t="str">
            <v>Hybrid-Gen</v>
          </cell>
        </row>
        <row r="774">
          <cell r="A774" t="str">
            <v>EXN_218</v>
          </cell>
          <cell r="B774" t="str">
            <v>HIS</v>
          </cell>
          <cell r="C774" t="str">
            <v>TowerCo</v>
          </cell>
          <cell r="D774" t="str">
            <v>Hybrid-Gen</v>
          </cell>
        </row>
        <row r="775">
          <cell r="A775" t="str">
            <v>EXN_153</v>
          </cell>
          <cell r="B775" t="str">
            <v>HIS</v>
          </cell>
          <cell r="C775" t="str">
            <v>TowerCo</v>
          </cell>
          <cell r="D775" t="str">
            <v>Solar-Gen</v>
          </cell>
        </row>
        <row r="776">
          <cell r="A776" t="str">
            <v>EXN_226</v>
          </cell>
          <cell r="B776" t="str">
            <v>HIS</v>
          </cell>
          <cell r="C776" t="str">
            <v>TowerCo</v>
          </cell>
          <cell r="D776" t="str">
            <v>Hybrid-Gen</v>
          </cell>
        </row>
        <row r="777">
          <cell r="A777" t="str">
            <v>EXN_258</v>
          </cell>
          <cell r="B777" t="str">
            <v>HIS</v>
          </cell>
          <cell r="C777" t="str">
            <v>TowerCo</v>
          </cell>
          <cell r="D777" t="str">
            <v>Grid-Gen</v>
          </cell>
        </row>
        <row r="778">
          <cell r="A778" t="str">
            <v>NRD_009</v>
          </cell>
          <cell r="B778" t="str">
            <v>HIS</v>
          </cell>
          <cell r="C778" t="str">
            <v>TowerCo</v>
          </cell>
          <cell r="D778" t="str">
            <v>Grid-Gen</v>
          </cell>
        </row>
        <row r="779">
          <cell r="A779" t="str">
            <v>NRD_028</v>
          </cell>
          <cell r="B779" t="str">
            <v>HIS</v>
          </cell>
          <cell r="C779" t="str">
            <v>TowerCo</v>
          </cell>
          <cell r="D779" t="str">
            <v>Solar-Gen</v>
          </cell>
        </row>
        <row r="780">
          <cell r="A780" t="str">
            <v>NRD_026</v>
          </cell>
          <cell r="B780" t="str">
            <v>HIS</v>
          </cell>
          <cell r="C780" t="str">
            <v>TowerCo</v>
          </cell>
          <cell r="D780" t="str">
            <v>Solar-Gen</v>
          </cell>
        </row>
        <row r="781">
          <cell r="A781" t="str">
            <v>NRD_027</v>
          </cell>
          <cell r="B781" t="str">
            <v>HIS</v>
          </cell>
          <cell r="C781" t="str">
            <v>TowerCo</v>
          </cell>
          <cell r="D781" t="str">
            <v>Gen Only</v>
          </cell>
        </row>
        <row r="782">
          <cell r="A782" t="str">
            <v>NRD_035</v>
          </cell>
          <cell r="B782" t="str">
            <v>HIS</v>
          </cell>
          <cell r="C782" t="str">
            <v>TowerCo</v>
          </cell>
          <cell r="D782" t="str">
            <v>Grid-Gen</v>
          </cell>
        </row>
        <row r="783">
          <cell r="A783" t="str">
            <v>EXN_136</v>
          </cell>
          <cell r="B783" t="str">
            <v>HIS</v>
          </cell>
          <cell r="C783" t="str">
            <v>TowerCo</v>
          </cell>
          <cell r="D783" t="str">
            <v>Hybrid-Gen</v>
          </cell>
        </row>
        <row r="784">
          <cell r="A784" t="str">
            <v>NRD_105</v>
          </cell>
          <cell r="B784" t="str">
            <v>HIS</v>
          </cell>
          <cell r="C784" t="str">
            <v>TowerCo</v>
          </cell>
          <cell r="D784" t="str">
            <v>Hybrid-Gen</v>
          </cell>
        </row>
        <row r="785">
          <cell r="A785" t="str">
            <v>NRD_054</v>
          </cell>
          <cell r="B785" t="str">
            <v>HIS</v>
          </cell>
          <cell r="C785" t="str">
            <v>TowerCo</v>
          </cell>
          <cell r="D785" t="str">
            <v>Grid-Gen</v>
          </cell>
        </row>
        <row r="786">
          <cell r="A786" t="str">
            <v>NRD_037</v>
          </cell>
          <cell r="B786" t="str">
            <v>HIS</v>
          </cell>
          <cell r="C786" t="str">
            <v>TowerCo</v>
          </cell>
          <cell r="D786" t="str">
            <v>Grid-Gen</v>
          </cell>
        </row>
        <row r="787">
          <cell r="A787" t="str">
            <v>NRD_022</v>
          </cell>
          <cell r="B787" t="str">
            <v>HIS</v>
          </cell>
          <cell r="C787" t="str">
            <v>TowerCo</v>
          </cell>
          <cell r="D787" t="str">
            <v>Grid-Gen</v>
          </cell>
        </row>
        <row r="788">
          <cell r="A788" t="str">
            <v>NRD_013</v>
          </cell>
          <cell r="B788" t="str">
            <v>HIS</v>
          </cell>
          <cell r="C788" t="str">
            <v>TowerCo</v>
          </cell>
          <cell r="D788" t="str">
            <v>Grid-Gen</v>
          </cell>
        </row>
        <row r="789">
          <cell r="A789" t="str">
            <v>NRD_075</v>
          </cell>
          <cell r="B789" t="str">
            <v>HIS</v>
          </cell>
          <cell r="C789" t="str">
            <v>TowerCo</v>
          </cell>
          <cell r="D789" t="str">
            <v>Grid-Gen</v>
          </cell>
        </row>
        <row r="790">
          <cell r="A790" t="str">
            <v>NRD_074</v>
          </cell>
          <cell r="B790" t="str">
            <v>HIS</v>
          </cell>
          <cell r="C790" t="str">
            <v>TowerCo</v>
          </cell>
          <cell r="D790" t="str">
            <v>Grid-Gen</v>
          </cell>
        </row>
        <row r="791">
          <cell r="A791" t="str">
            <v>NRD_082</v>
          </cell>
          <cell r="B791" t="str">
            <v>HIS</v>
          </cell>
          <cell r="C791" t="str">
            <v>TowerCo</v>
          </cell>
          <cell r="D791" t="str">
            <v>Grid-Gen</v>
          </cell>
        </row>
        <row r="792">
          <cell r="A792" t="str">
            <v>NRD_072</v>
          </cell>
          <cell r="B792" t="str">
            <v>HIS</v>
          </cell>
          <cell r="C792" t="str">
            <v>TowerCo</v>
          </cell>
          <cell r="D792" t="str">
            <v>Grid-Gen</v>
          </cell>
        </row>
        <row r="793">
          <cell r="A793" t="str">
            <v>NRD_062</v>
          </cell>
          <cell r="B793" t="str">
            <v>HIS</v>
          </cell>
          <cell r="C793" t="str">
            <v>TowerCo</v>
          </cell>
          <cell r="D793" t="str">
            <v>Grid-Gen</v>
          </cell>
        </row>
        <row r="794">
          <cell r="A794" t="str">
            <v>NRD_053</v>
          </cell>
          <cell r="B794" t="str">
            <v>HIS</v>
          </cell>
          <cell r="C794" t="str">
            <v>TowerCo</v>
          </cell>
          <cell r="D794" t="str">
            <v>Grid-Gen</v>
          </cell>
        </row>
        <row r="795">
          <cell r="A795" t="str">
            <v>NRD_065</v>
          </cell>
          <cell r="B795" t="str">
            <v>HIS</v>
          </cell>
          <cell r="C795" t="str">
            <v>TowerCo</v>
          </cell>
          <cell r="D795" t="str">
            <v>Grid-Gen</v>
          </cell>
        </row>
        <row r="796">
          <cell r="A796" t="str">
            <v>NRD_005</v>
          </cell>
          <cell r="B796" t="str">
            <v>HIS</v>
          </cell>
          <cell r="C796" t="str">
            <v>TowerCo</v>
          </cell>
          <cell r="D796" t="str">
            <v>Grid Only</v>
          </cell>
        </row>
        <row r="797">
          <cell r="A797" t="str">
            <v>NRD_004</v>
          </cell>
          <cell r="B797" t="str">
            <v>HIS</v>
          </cell>
          <cell r="C797" t="str">
            <v>TowerCo</v>
          </cell>
          <cell r="D797" t="str">
            <v>Grid-Gen</v>
          </cell>
        </row>
        <row r="798">
          <cell r="A798" t="str">
            <v>NRD_124</v>
          </cell>
          <cell r="B798" t="str">
            <v>HIS</v>
          </cell>
          <cell r="C798" t="str">
            <v>TowerCo</v>
          </cell>
          <cell r="D798" t="str">
            <v>Grid-Hybrid-Gen</v>
          </cell>
        </row>
        <row r="799">
          <cell r="A799" t="str">
            <v>NRD_122</v>
          </cell>
          <cell r="B799" t="str">
            <v>HIS</v>
          </cell>
          <cell r="C799" t="str">
            <v>TowerCo</v>
          </cell>
          <cell r="D799" t="str">
            <v>Grid-Gen</v>
          </cell>
        </row>
        <row r="800">
          <cell r="A800" t="str">
            <v>NRD_057</v>
          </cell>
          <cell r="B800" t="str">
            <v>HIS</v>
          </cell>
          <cell r="C800" t="str">
            <v>TowerCo</v>
          </cell>
          <cell r="D800" t="str">
            <v>Grid-Gen</v>
          </cell>
        </row>
        <row r="801">
          <cell r="A801" t="str">
            <v>NRD_115</v>
          </cell>
          <cell r="B801" t="str">
            <v>HIS</v>
          </cell>
          <cell r="C801" t="str">
            <v>TowerCo</v>
          </cell>
          <cell r="D801" t="str">
            <v>Hybrid-Gen</v>
          </cell>
        </row>
        <row r="802">
          <cell r="A802" t="str">
            <v>NRD_086</v>
          </cell>
          <cell r="B802" t="str">
            <v>HIS</v>
          </cell>
          <cell r="C802" t="str">
            <v>TowerCo</v>
          </cell>
          <cell r="D802" t="str">
            <v>Grid-Gen</v>
          </cell>
        </row>
        <row r="803">
          <cell r="A803" t="str">
            <v>NRD_101</v>
          </cell>
          <cell r="B803" t="str">
            <v>HIS</v>
          </cell>
          <cell r="C803" t="str">
            <v>TowerCo</v>
          </cell>
          <cell r="D803" t="str">
            <v>Grid-Gen</v>
          </cell>
        </row>
        <row r="804">
          <cell r="A804" t="str">
            <v>NRD_067</v>
          </cell>
          <cell r="B804" t="str">
            <v>HIS</v>
          </cell>
          <cell r="C804" t="str">
            <v>TowerCo</v>
          </cell>
          <cell r="D804" t="str">
            <v>Grid-Gen</v>
          </cell>
        </row>
        <row r="805">
          <cell r="A805" t="str">
            <v>NRD_007</v>
          </cell>
          <cell r="B805" t="str">
            <v>HIS</v>
          </cell>
          <cell r="C805" t="str">
            <v>TowerCo</v>
          </cell>
          <cell r="D805" t="str">
            <v>Grid-Gen</v>
          </cell>
        </row>
        <row r="806">
          <cell r="A806" t="str">
            <v>NRD_083</v>
          </cell>
          <cell r="B806" t="str">
            <v>HIS</v>
          </cell>
          <cell r="C806" t="str">
            <v>TowerCo</v>
          </cell>
          <cell r="D806" t="str">
            <v>Grid-Gen</v>
          </cell>
        </row>
        <row r="807">
          <cell r="A807" t="str">
            <v>NRD_096</v>
          </cell>
          <cell r="B807" t="str">
            <v>HIS</v>
          </cell>
          <cell r="C807" t="str">
            <v>TowerCo</v>
          </cell>
          <cell r="D807" t="str">
            <v>Grid-Gen</v>
          </cell>
        </row>
        <row r="808">
          <cell r="A808" t="str">
            <v>NRD_085</v>
          </cell>
          <cell r="B808" t="str">
            <v>HIS</v>
          </cell>
          <cell r="C808" t="str">
            <v>TowerCo</v>
          </cell>
          <cell r="D808" t="str">
            <v>Grid-Gen</v>
          </cell>
        </row>
        <row r="809">
          <cell r="A809" t="str">
            <v>EXN_019</v>
          </cell>
          <cell r="B809" t="str">
            <v>HIS</v>
          </cell>
          <cell r="C809" t="str">
            <v>TowerCo</v>
          </cell>
          <cell r="D809" t="str">
            <v>Grid-Gen</v>
          </cell>
        </row>
        <row r="810">
          <cell r="A810" t="str">
            <v>NRD_045</v>
          </cell>
          <cell r="B810" t="str">
            <v>HIS</v>
          </cell>
          <cell r="C810" t="str">
            <v>TowerCo</v>
          </cell>
          <cell r="D810" t="str">
            <v>Grid-Gen</v>
          </cell>
        </row>
        <row r="811">
          <cell r="A811" t="str">
            <v>NRD_049</v>
          </cell>
          <cell r="B811" t="str">
            <v>HIS</v>
          </cell>
          <cell r="C811" t="str">
            <v>TowerCo</v>
          </cell>
          <cell r="D811" t="str">
            <v>Grid-Gen</v>
          </cell>
        </row>
        <row r="812">
          <cell r="A812" t="str">
            <v>NRD_040</v>
          </cell>
          <cell r="B812" t="str">
            <v>HIS</v>
          </cell>
          <cell r="C812" t="str">
            <v>TowerCo</v>
          </cell>
          <cell r="D812" t="str">
            <v>Grid-Gen</v>
          </cell>
        </row>
        <row r="813">
          <cell r="A813" t="str">
            <v>NRD_024</v>
          </cell>
          <cell r="B813" t="str">
            <v>HIS</v>
          </cell>
          <cell r="C813" t="str">
            <v>TowerCo</v>
          </cell>
          <cell r="D813" t="str">
            <v>Solar-Gen</v>
          </cell>
        </row>
        <row r="814">
          <cell r="A814" t="str">
            <v>NRD_152</v>
          </cell>
          <cell r="B814" t="str">
            <v>HIS</v>
          </cell>
          <cell r="C814" t="str">
            <v>TowerCo</v>
          </cell>
          <cell r="D814" t="str">
            <v>Gen Only</v>
          </cell>
        </row>
        <row r="815">
          <cell r="A815" t="str">
            <v>NRD_015</v>
          </cell>
          <cell r="B815" t="str">
            <v>HIS</v>
          </cell>
          <cell r="C815" t="str">
            <v>TowerCo</v>
          </cell>
          <cell r="D815" t="str">
            <v>Hybrid-Gen</v>
          </cell>
        </row>
        <row r="816">
          <cell r="A816" t="str">
            <v>NRD_099</v>
          </cell>
          <cell r="B816" t="str">
            <v>HIS</v>
          </cell>
          <cell r="C816" t="str">
            <v>TowerCo</v>
          </cell>
          <cell r="D816" t="str">
            <v>Grid-Gen</v>
          </cell>
        </row>
        <row r="817">
          <cell r="A817" t="str">
            <v>NRD_014</v>
          </cell>
          <cell r="B817" t="str">
            <v>HIS</v>
          </cell>
          <cell r="C817" t="str">
            <v>TowerCo</v>
          </cell>
          <cell r="D817" t="str">
            <v>Grid-Gen</v>
          </cell>
        </row>
        <row r="818">
          <cell r="A818" t="str">
            <v>NRD_084</v>
          </cell>
          <cell r="B818" t="str">
            <v>HIS</v>
          </cell>
          <cell r="C818" t="str">
            <v>TowerCo</v>
          </cell>
          <cell r="D818" t="str">
            <v>Grid-Gen</v>
          </cell>
        </row>
        <row r="819">
          <cell r="A819" t="str">
            <v>NRD_097</v>
          </cell>
          <cell r="B819" t="str">
            <v>HIS</v>
          </cell>
          <cell r="C819" t="str">
            <v>TowerCo</v>
          </cell>
          <cell r="D819" t="str">
            <v>Grid-Gen</v>
          </cell>
        </row>
        <row r="820">
          <cell r="A820" t="str">
            <v>NRD_117</v>
          </cell>
          <cell r="B820" t="str">
            <v>HIS</v>
          </cell>
          <cell r="C820" t="str">
            <v>TowerCo</v>
          </cell>
          <cell r="D820" t="str">
            <v>Grid-Gen</v>
          </cell>
        </row>
        <row r="821">
          <cell r="A821" t="str">
            <v>NRD_089</v>
          </cell>
          <cell r="B821" t="str">
            <v>HIS</v>
          </cell>
          <cell r="C821" t="str">
            <v>TowerCo</v>
          </cell>
          <cell r="D821" t="str">
            <v>Grid-Gen</v>
          </cell>
        </row>
        <row r="822">
          <cell r="A822" t="str">
            <v>NRD_116</v>
          </cell>
          <cell r="B822" t="str">
            <v>HIS</v>
          </cell>
          <cell r="C822" t="str">
            <v>TowerCo</v>
          </cell>
          <cell r="D822" t="str">
            <v>Grid-Gen</v>
          </cell>
        </row>
        <row r="823">
          <cell r="A823" t="str">
            <v>NRD_063</v>
          </cell>
          <cell r="B823" t="str">
            <v>HIS</v>
          </cell>
          <cell r="C823" t="str">
            <v>TowerCo</v>
          </cell>
          <cell r="D823" t="str">
            <v>Grid-Gen</v>
          </cell>
        </row>
        <row r="824">
          <cell r="A824" t="str">
            <v>EXN_227</v>
          </cell>
          <cell r="B824" t="str">
            <v>HIS</v>
          </cell>
          <cell r="C824" t="str">
            <v>TowerCo</v>
          </cell>
          <cell r="D824" t="str">
            <v>Grid-Gen</v>
          </cell>
        </row>
        <row r="825">
          <cell r="A825" t="str">
            <v>NRD_069</v>
          </cell>
          <cell r="B825" t="str">
            <v>HIS</v>
          </cell>
          <cell r="C825" t="str">
            <v>TowerCo</v>
          </cell>
          <cell r="D825" t="str">
            <v>Solar-Gen</v>
          </cell>
        </row>
        <row r="826">
          <cell r="A826" t="str">
            <v>NRD_125</v>
          </cell>
          <cell r="B826" t="str">
            <v>HIS</v>
          </cell>
          <cell r="C826" t="str">
            <v>TowerCo</v>
          </cell>
          <cell r="D826" t="str">
            <v>Solar-Gen</v>
          </cell>
        </row>
        <row r="827">
          <cell r="A827" t="str">
            <v>NRD_010</v>
          </cell>
          <cell r="B827" t="str">
            <v>HIS</v>
          </cell>
          <cell r="C827" t="str">
            <v>TowerCo</v>
          </cell>
          <cell r="D827" t="str">
            <v>Grid-Gen</v>
          </cell>
        </row>
        <row r="828">
          <cell r="A828" t="str">
            <v>NRD_076</v>
          </cell>
          <cell r="B828" t="str">
            <v>HIS</v>
          </cell>
          <cell r="C828" t="str">
            <v>TowerCo</v>
          </cell>
          <cell r="D828" t="str">
            <v>Grid-Gen</v>
          </cell>
        </row>
        <row r="829">
          <cell r="A829" t="str">
            <v>NRD_123</v>
          </cell>
          <cell r="B829" t="str">
            <v>HIS</v>
          </cell>
          <cell r="C829" t="str">
            <v>TowerCo</v>
          </cell>
          <cell r="D829" t="str">
            <v>Grid-Hybrid-Gen</v>
          </cell>
        </row>
        <row r="830">
          <cell r="A830" t="str">
            <v>SUO_004</v>
          </cell>
          <cell r="B830" t="str">
            <v>HIS</v>
          </cell>
          <cell r="C830" t="str">
            <v>TowerCo</v>
          </cell>
          <cell r="D830" t="str">
            <v>Grid-Gen</v>
          </cell>
        </row>
        <row r="831">
          <cell r="A831" t="str">
            <v>SUO_003</v>
          </cell>
          <cell r="B831" t="str">
            <v>HIS</v>
          </cell>
          <cell r="C831" t="str">
            <v>TowerCo</v>
          </cell>
          <cell r="D831" t="str">
            <v>Grid-Gen</v>
          </cell>
        </row>
        <row r="832">
          <cell r="A832" t="str">
            <v>SUO_021</v>
          </cell>
          <cell r="B832" t="str">
            <v>HIS</v>
          </cell>
          <cell r="C832" t="str">
            <v>TowerCo</v>
          </cell>
          <cell r="D832" t="str">
            <v>Grid-Gen</v>
          </cell>
        </row>
        <row r="833">
          <cell r="A833" t="str">
            <v>SUO_005</v>
          </cell>
          <cell r="B833" t="str">
            <v>HIS</v>
          </cell>
          <cell r="C833" t="str">
            <v>TowerCo</v>
          </cell>
          <cell r="D833" t="str">
            <v>Grid-Gen</v>
          </cell>
        </row>
        <row r="834">
          <cell r="A834" t="str">
            <v>SUO_011</v>
          </cell>
          <cell r="B834" t="str">
            <v>HIS</v>
          </cell>
          <cell r="C834" t="str">
            <v>TowerCo</v>
          </cell>
          <cell r="D834" t="str">
            <v>Grid-Gen</v>
          </cell>
        </row>
        <row r="835">
          <cell r="A835" t="str">
            <v>SUO_050</v>
          </cell>
          <cell r="B835" t="str">
            <v>HIS</v>
          </cell>
          <cell r="C835" t="str">
            <v>TowerCo</v>
          </cell>
          <cell r="D835" t="str">
            <v>Grid Only</v>
          </cell>
        </row>
        <row r="836">
          <cell r="A836" t="str">
            <v>LIT_174</v>
          </cell>
          <cell r="B836" t="str">
            <v>HIS</v>
          </cell>
          <cell r="C836" t="str">
            <v>TowerCo</v>
          </cell>
          <cell r="D836" t="str">
            <v>Grid-Gen</v>
          </cell>
        </row>
        <row r="837">
          <cell r="A837" t="str">
            <v>SUO_080</v>
          </cell>
          <cell r="B837" t="str">
            <v>HIS</v>
          </cell>
          <cell r="C837" t="str">
            <v>TowerCo</v>
          </cell>
          <cell r="D837" t="str">
            <v>Grid-Gen</v>
          </cell>
        </row>
        <row r="838">
          <cell r="A838" t="str">
            <v>SUO_082</v>
          </cell>
          <cell r="B838" t="str">
            <v>HIS</v>
          </cell>
          <cell r="C838" t="str">
            <v>TowerCo</v>
          </cell>
          <cell r="D838" t="str">
            <v>Grid-Gen</v>
          </cell>
        </row>
        <row r="839">
          <cell r="A839" t="str">
            <v>SUO_064</v>
          </cell>
          <cell r="B839" t="str">
            <v>HIS</v>
          </cell>
          <cell r="C839" t="str">
            <v>TowerCo</v>
          </cell>
          <cell r="D839" t="str">
            <v>Grid-Gen</v>
          </cell>
        </row>
        <row r="840">
          <cell r="A840" t="str">
            <v>SUO_078</v>
          </cell>
          <cell r="B840" t="str">
            <v>HIS</v>
          </cell>
          <cell r="C840" t="str">
            <v>TowerCo</v>
          </cell>
          <cell r="D840" t="str">
            <v>Grid-Gen</v>
          </cell>
        </row>
        <row r="841">
          <cell r="A841" t="str">
            <v>SUO_065</v>
          </cell>
          <cell r="B841" t="str">
            <v>HIS</v>
          </cell>
          <cell r="C841" t="str">
            <v>TowerCo</v>
          </cell>
          <cell r="D841" t="str">
            <v>Grid-Gen</v>
          </cell>
        </row>
        <row r="842">
          <cell r="A842" t="str">
            <v>SUO_014</v>
          </cell>
          <cell r="B842" t="str">
            <v>HIS</v>
          </cell>
          <cell r="C842" t="str">
            <v>TowerCo</v>
          </cell>
          <cell r="D842" t="str">
            <v>Grid-Gen</v>
          </cell>
        </row>
        <row r="843">
          <cell r="A843" t="str">
            <v>SUO_002</v>
          </cell>
          <cell r="B843" t="str">
            <v>HIS</v>
          </cell>
          <cell r="C843" t="str">
            <v>TowerCo</v>
          </cell>
          <cell r="D843" t="str">
            <v>Grid-Gen</v>
          </cell>
        </row>
        <row r="844">
          <cell r="A844" t="str">
            <v>LIT_178</v>
          </cell>
          <cell r="B844" t="str">
            <v>HIS</v>
          </cell>
          <cell r="C844" t="str">
            <v>TowerCo</v>
          </cell>
          <cell r="D844" t="str">
            <v>Grid-Gen</v>
          </cell>
        </row>
        <row r="845">
          <cell r="A845" t="str">
            <v>SUO_166</v>
          </cell>
          <cell r="B845" t="str">
            <v>HIS</v>
          </cell>
          <cell r="C845" t="str">
            <v>TowerCo</v>
          </cell>
          <cell r="D845" t="str">
            <v>Grid-Gen</v>
          </cell>
        </row>
        <row r="846">
          <cell r="A846" t="str">
            <v xml:space="preserve">SUO_211 </v>
          </cell>
          <cell r="B846" t="str">
            <v>HIS</v>
          </cell>
          <cell r="C846" t="str">
            <v>TowerCo</v>
          </cell>
          <cell r="D846" t="str">
            <v>Grid-Gen</v>
          </cell>
        </row>
        <row r="847">
          <cell r="A847" t="str">
            <v>SUO_214</v>
          </cell>
          <cell r="B847" t="str">
            <v>HIS</v>
          </cell>
          <cell r="C847" t="str">
            <v>TowerCo</v>
          </cell>
          <cell r="D847" t="str">
            <v>Grid-Gen</v>
          </cell>
        </row>
        <row r="848">
          <cell r="A848" t="str">
            <v>SUO_151</v>
          </cell>
          <cell r="B848" t="str">
            <v>HIS</v>
          </cell>
          <cell r="C848" t="str">
            <v>TowerCo</v>
          </cell>
          <cell r="D848" t="str">
            <v>Grid-Gen</v>
          </cell>
        </row>
        <row r="849">
          <cell r="A849" t="str">
            <v>SUO_220 </v>
          </cell>
          <cell r="B849" t="str">
            <v>HIS</v>
          </cell>
          <cell r="C849" t="str">
            <v>TowerCo</v>
          </cell>
          <cell r="D849" t="str">
            <v>Grid-Gen</v>
          </cell>
        </row>
        <row r="850">
          <cell r="A850" t="str">
            <v>SUO_167</v>
          </cell>
          <cell r="B850" t="str">
            <v>HIS</v>
          </cell>
          <cell r="C850" t="str">
            <v>TowerCo</v>
          </cell>
          <cell r="D850" t="str">
            <v>Grid-Gen</v>
          </cell>
        </row>
        <row r="851">
          <cell r="A851" t="str">
            <v>SUO_035</v>
          </cell>
          <cell r="B851" t="str">
            <v>HIS</v>
          </cell>
          <cell r="C851" t="str">
            <v>TowerCo</v>
          </cell>
          <cell r="D851" t="str">
            <v>Grid-Gen</v>
          </cell>
        </row>
        <row r="852">
          <cell r="A852" t="str">
            <v>SUO_207</v>
          </cell>
          <cell r="B852" t="str">
            <v>HIS</v>
          </cell>
          <cell r="C852" t="str">
            <v>TowerCo</v>
          </cell>
          <cell r="D852" t="str">
            <v>Grid-Gen</v>
          </cell>
        </row>
        <row r="853">
          <cell r="A853" t="str">
            <v>SUO_206</v>
          </cell>
          <cell r="B853" t="str">
            <v>HIS</v>
          </cell>
          <cell r="C853" t="str">
            <v>TowerCo</v>
          </cell>
          <cell r="D853" t="str">
            <v>Grid-Gen</v>
          </cell>
        </row>
        <row r="854">
          <cell r="A854" t="str">
            <v>SUO_209</v>
          </cell>
          <cell r="B854" t="str">
            <v>HIS</v>
          </cell>
          <cell r="C854" t="str">
            <v>TowerCo</v>
          </cell>
          <cell r="D854" t="str">
            <v>Grid-Gen</v>
          </cell>
        </row>
        <row r="855">
          <cell r="A855" t="str">
            <v>SUO_210</v>
          </cell>
          <cell r="B855" t="str">
            <v>HIS</v>
          </cell>
          <cell r="C855" t="str">
            <v>TowerCo</v>
          </cell>
          <cell r="D855" t="str">
            <v>Grid-Gen</v>
          </cell>
        </row>
        <row r="856">
          <cell r="A856" t="str">
            <v xml:space="preserve">SUO_208 </v>
          </cell>
          <cell r="B856" t="str">
            <v>HIS</v>
          </cell>
          <cell r="C856" t="str">
            <v>TowerCo</v>
          </cell>
          <cell r="D856" t="str">
            <v>Grid-Gen</v>
          </cell>
        </row>
        <row r="857">
          <cell r="A857" t="str">
            <v>SUO_204</v>
          </cell>
          <cell r="B857" t="str">
            <v>HIS</v>
          </cell>
          <cell r="C857" t="str">
            <v>TowerCo</v>
          </cell>
          <cell r="D857" t="str">
            <v>Grid-Gen</v>
          </cell>
        </row>
        <row r="858">
          <cell r="A858" t="str">
            <v>SUO_203</v>
          </cell>
          <cell r="B858" t="str">
            <v>HIS</v>
          </cell>
          <cell r="C858" t="str">
            <v>TowerCo</v>
          </cell>
          <cell r="D858" t="str">
            <v>Grid-Gen</v>
          </cell>
        </row>
        <row r="859">
          <cell r="A859" t="str">
            <v>SUO_205</v>
          </cell>
          <cell r="B859" t="str">
            <v>HIS</v>
          </cell>
          <cell r="C859" t="str">
            <v>TowerCo</v>
          </cell>
          <cell r="D859" t="str">
            <v>Grid-Gen</v>
          </cell>
        </row>
        <row r="860">
          <cell r="A860" t="str">
            <v>SUO_154</v>
          </cell>
          <cell r="B860" t="str">
            <v>HIS</v>
          </cell>
          <cell r="C860" t="str">
            <v>TowerCo</v>
          </cell>
          <cell r="D860" t="str">
            <v>Grid-Gen</v>
          </cell>
        </row>
        <row r="861">
          <cell r="A861" t="str">
            <v>SUO_212</v>
          </cell>
          <cell r="B861" t="str">
            <v>HIS</v>
          </cell>
          <cell r="C861" t="str">
            <v>TowerCo</v>
          </cell>
          <cell r="D861" t="str">
            <v>Grid-Gen</v>
          </cell>
        </row>
        <row r="862">
          <cell r="A862" t="str">
            <v>SUO_187</v>
          </cell>
          <cell r="B862" t="str">
            <v>HIS</v>
          </cell>
          <cell r="C862" t="str">
            <v>TowerCo</v>
          </cell>
          <cell r="D862" t="str">
            <v>Grid-Gen</v>
          </cell>
        </row>
        <row r="863">
          <cell r="A863" t="str">
            <v>SUO_036</v>
          </cell>
          <cell r="B863" t="str">
            <v>HIS</v>
          </cell>
          <cell r="C863" t="str">
            <v>TowerCo</v>
          </cell>
          <cell r="D863" t="str">
            <v>Grid-Gen</v>
          </cell>
        </row>
        <row r="864">
          <cell r="A864" t="str">
            <v>SUO_188</v>
          </cell>
          <cell r="B864" t="str">
            <v>HIS</v>
          </cell>
          <cell r="C864" t="str">
            <v>TowerCo</v>
          </cell>
          <cell r="D864" t="str">
            <v>Grid Only</v>
          </cell>
        </row>
        <row r="865">
          <cell r="A865" t="str">
            <v>SUO_131</v>
          </cell>
          <cell r="B865" t="str">
            <v>HIS</v>
          </cell>
          <cell r="C865" t="str">
            <v>TowerCo</v>
          </cell>
          <cell r="D865" t="str">
            <v>Grid-Gen</v>
          </cell>
        </row>
        <row r="866">
          <cell r="A866" t="str">
            <v>SUO_157</v>
          </cell>
          <cell r="B866" t="str">
            <v>HIS</v>
          </cell>
          <cell r="C866" t="str">
            <v>TowerCo</v>
          </cell>
          <cell r="D866" t="str">
            <v>Grid-Gen</v>
          </cell>
        </row>
        <row r="867">
          <cell r="A867" t="str">
            <v>SUO_149</v>
          </cell>
          <cell r="B867" t="str">
            <v>HIS</v>
          </cell>
          <cell r="C867" t="str">
            <v>TowerCo</v>
          </cell>
          <cell r="D867" t="str">
            <v>Gen Only</v>
          </cell>
        </row>
        <row r="868">
          <cell r="A868" t="str">
            <v>SUO_105</v>
          </cell>
          <cell r="B868" t="str">
            <v>HIS</v>
          </cell>
          <cell r="C868" t="str">
            <v>TowerCo</v>
          </cell>
          <cell r="D868" t="str">
            <v>Grid-Gen</v>
          </cell>
        </row>
        <row r="869">
          <cell r="A869" t="str">
            <v>SUO_104</v>
          </cell>
          <cell r="B869" t="str">
            <v>HIS</v>
          </cell>
          <cell r="C869" t="str">
            <v>TowerCo</v>
          </cell>
          <cell r="D869" t="str">
            <v>Grid-Gen</v>
          </cell>
        </row>
        <row r="870">
          <cell r="A870" t="str">
            <v>SUO_127</v>
          </cell>
          <cell r="B870" t="str">
            <v>HIS</v>
          </cell>
          <cell r="C870" t="str">
            <v>TowerCo</v>
          </cell>
          <cell r="D870" t="str">
            <v>Grid-Gen</v>
          </cell>
        </row>
        <row r="871">
          <cell r="A871" t="str">
            <v>SUO_165</v>
          </cell>
          <cell r="B871" t="str">
            <v>HIS</v>
          </cell>
          <cell r="C871" t="str">
            <v>TowerCo</v>
          </cell>
          <cell r="D871" t="str">
            <v>Hybrid-Gen</v>
          </cell>
        </row>
        <row r="872">
          <cell r="A872" t="str">
            <v>LIT_173</v>
          </cell>
          <cell r="B872" t="str">
            <v>HIS</v>
          </cell>
          <cell r="C872" t="str">
            <v>TowerCo</v>
          </cell>
          <cell r="D872" t="str">
            <v>Grid-Gen</v>
          </cell>
        </row>
        <row r="873">
          <cell r="A873" t="str">
            <v>   SUO_243</v>
          </cell>
          <cell r="B873" t="str">
            <v>HIS</v>
          </cell>
          <cell r="C873" t="str">
            <v>TowerCo</v>
          </cell>
          <cell r="D873" t="str">
            <v>Grid-Gen</v>
          </cell>
        </row>
        <row r="874">
          <cell r="A874" t="str">
            <v>LIT_222</v>
          </cell>
          <cell r="B874" t="str">
            <v>HIS</v>
          </cell>
          <cell r="C874" t="str">
            <v>TowerCo</v>
          </cell>
          <cell r="D874" t="str">
            <v>Grid-Gen</v>
          </cell>
        </row>
        <row r="875">
          <cell r="A875" t="str">
            <v>LIT_340</v>
          </cell>
          <cell r="B875" t="str">
            <v>HIS</v>
          </cell>
          <cell r="C875" t="str">
            <v>TowerCo</v>
          </cell>
          <cell r="D875" t="str">
            <v>Grid-Gen</v>
          </cell>
        </row>
        <row r="876">
          <cell r="A876" t="str">
            <v>LIT_299</v>
          </cell>
          <cell r="B876" t="str">
            <v>HIS</v>
          </cell>
          <cell r="C876" t="str">
            <v>TowerCo</v>
          </cell>
          <cell r="D876" t="str">
            <v>Grid-Gen</v>
          </cell>
        </row>
        <row r="877">
          <cell r="A877" t="str">
            <v>LIT_384</v>
          </cell>
          <cell r="B877" t="str">
            <v>HIS</v>
          </cell>
          <cell r="C877" t="str">
            <v>TowerCo</v>
          </cell>
          <cell r="D877" t="str">
            <v>Grid-Gen</v>
          </cell>
        </row>
        <row r="878">
          <cell r="A878" t="str">
            <v>LIT_020</v>
          </cell>
          <cell r="B878" t="str">
            <v>HIS</v>
          </cell>
          <cell r="C878" t="str">
            <v>TowerCo</v>
          </cell>
          <cell r="D878" t="str">
            <v>Grid-Gen</v>
          </cell>
        </row>
        <row r="879">
          <cell r="A879" t="str">
            <v>LIT_055</v>
          </cell>
          <cell r="B879" t="str">
            <v>HIS</v>
          </cell>
          <cell r="C879" t="str">
            <v>TowerCo</v>
          </cell>
          <cell r="D879" t="str">
            <v>Grid-Gen</v>
          </cell>
        </row>
        <row r="880">
          <cell r="A880" t="str">
            <v>LIT_256</v>
          </cell>
          <cell r="B880" t="str">
            <v>HIS</v>
          </cell>
          <cell r="C880" t="str">
            <v>TowerCo</v>
          </cell>
          <cell r="D880" t="str">
            <v>Grid-Gen</v>
          </cell>
        </row>
        <row r="881">
          <cell r="A881" t="str">
            <v>LIT_425</v>
          </cell>
          <cell r="B881" t="str">
            <v>HIS</v>
          </cell>
          <cell r="C881" t="str">
            <v>TowerCo</v>
          </cell>
          <cell r="D881" t="str">
            <v>Grid-Gen</v>
          </cell>
        </row>
        <row r="882">
          <cell r="A882" t="str">
            <v>LIT_096</v>
          </cell>
          <cell r="B882" t="str">
            <v>HIS</v>
          </cell>
          <cell r="C882" t="str">
            <v>TowerCo</v>
          </cell>
          <cell r="D882" t="str">
            <v>Grid-Gen</v>
          </cell>
        </row>
        <row r="883">
          <cell r="A883" t="str">
            <v>LIT_058</v>
          </cell>
          <cell r="B883" t="str">
            <v>HIS</v>
          </cell>
          <cell r="C883" t="str">
            <v>TowerCo</v>
          </cell>
          <cell r="D883" t="str">
            <v>Grid-Gen</v>
          </cell>
        </row>
        <row r="884">
          <cell r="A884" t="str">
            <v>LIT_117</v>
          </cell>
          <cell r="B884" t="str">
            <v>HIS</v>
          </cell>
          <cell r="C884" t="str">
            <v>TowerCo</v>
          </cell>
          <cell r="D884" t="str">
            <v>Grid-Gen</v>
          </cell>
        </row>
        <row r="885">
          <cell r="A885" t="str">
            <v>LIT_250</v>
          </cell>
          <cell r="B885" t="str">
            <v>HIS</v>
          </cell>
          <cell r="C885" t="str">
            <v>TowerCo</v>
          </cell>
          <cell r="D885" t="str">
            <v>Grid-Gen</v>
          </cell>
        </row>
        <row r="886">
          <cell r="A886" t="str">
            <v>LIT_223</v>
          </cell>
          <cell r="B886" t="str">
            <v>HIS</v>
          </cell>
          <cell r="C886" t="str">
            <v>TowerCo</v>
          </cell>
          <cell r="D886" t="str">
            <v>Grid-Gen</v>
          </cell>
        </row>
        <row r="887">
          <cell r="A887" t="str">
            <v>LIT_183</v>
          </cell>
          <cell r="B887" t="str">
            <v>HIS</v>
          </cell>
          <cell r="C887" t="str">
            <v>TowerCo</v>
          </cell>
          <cell r="D887" t="str">
            <v>Grid Only</v>
          </cell>
        </row>
        <row r="888">
          <cell r="A888" t="str">
            <v>LIT_281</v>
          </cell>
          <cell r="B888" t="str">
            <v>HIS</v>
          </cell>
          <cell r="C888" t="str">
            <v>TowerCo</v>
          </cell>
          <cell r="D888" t="str">
            <v>Grid Only</v>
          </cell>
        </row>
        <row r="889">
          <cell r="A889" t="str">
            <v>LIT_368</v>
          </cell>
          <cell r="B889" t="str">
            <v>HIS</v>
          </cell>
          <cell r="C889" t="str">
            <v>TowerCo</v>
          </cell>
          <cell r="D889" t="str">
            <v>Grid-Gen</v>
          </cell>
        </row>
        <row r="890">
          <cell r="A890" t="str">
            <v>LIT_140</v>
          </cell>
          <cell r="B890" t="str">
            <v>HIS</v>
          </cell>
          <cell r="C890" t="str">
            <v>TowerCo</v>
          </cell>
          <cell r="D890" t="str">
            <v>Grid-Gen</v>
          </cell>
        </row>
        <row r="891">
          <cell r="A891" t="str">
            <v>LIT_587</v>
          </cell>
          <cell r="B891" t="str">
            <v>HIS</v>
          </cell>
          <cell r="C891" t="str">
            <v>TowerCo</v>
          </cell>
          <cell r="D891" t="str">
            <v>Grid-Gen</v>
          </cell>
        </row>
        <row r="892">
          <cell r="A892" t="str">
            <v>LIT_397</v>
          </cell>
          <cell r="B892" t="str">
            <v>HIS</v>
          </cell>
          <cell r="C892" t="str">
            <v>TowerCo</v>
          </cell>
          <cell r="D892" t="str">
            <v>Grid-Gen</v>
          </cell>
        </row>
        <row r="893">
          <cell r="A893" t="str">
            <v>LIT_447</v>
          </cell>
          <cell r="B893" t="str">
            <v>HIS</v>
          </cell>
          <cell r="C893" t="str">
            <v>TowerCo</v>
          </cell>
          <cell r="D893" t="str">
            <v>Grid-Gen</v>
          </cell>
        </row>
        <row r="894">
          <cell r="A894" t="str">
            <v>LIT_128</v>
          </cell>
          <cell r="B894" t="str">
            <v>HIS</v>
          </cell>
          <cell r="C894" t="str">
            <v>TowerCo</v>
          </cell>
          <cell r="D894" t="str">
            <v>Grid-Gen</v>
          </cell>
        </row>
        <row r="895">
          <cell r="A895" t="str">
            <v>LIT_076</v>
          </cell>
          <cell r="B895" t="str">
            <v>HIS</v>
          </cell>
          <cell r="C895" t="str">
            <v>TowerCo</v>
          </cell>
          <cell r="D895" t="str">
            <v>Grid-Gen</v>
          </cell>
        </row>
        <row r="896">
          <cell r="A896" t="str">
            <v>LIT_371</v>
          </cell>
          <cell r="B896" t="str">
            <v>HIS</v>
          </cell>
          <cell r="C896" t="str">
            <v>TowerCo</v>
          </cell>
          <cell r="D896" t="str">
            <v>Grid-Gen</v>
          </cell>
        </row>
        <row r="897">
          <cell r="A897" t="str">
            <v>LIT_403</v>
          </cell>
          <cell r="B897" t="str">
            <v>HIS</v>
          </cell>
          <cell r="C897" t="str">
            <v>TowerCo</v>
          </cell>
          <cell r="D897" t="str">
            <v>Grid-Gen</v>
          </cell>
        </row>
        <row r="898">
          <cell r="A898" t="str">
            <v>LIT_271</v>
          </cell>
          <cell r="B898" t="str">
            <v>HIS</v>
          </cell>
          <cell r="C898" t="str">
            <v>TowerCo</v>
          </cell>
          <cell r="D898" t="str">
            <v>Grid-Gen</v>
          </cell>
        </row>
        <row r="899">
          <cell r="A899" t="str">
            <v>LIT_270</v>
          </cell>
          <cell r="B899" t="str">
            <v>HIS</v>
          </cell>
          <cell r="C899" t="str">
            <v>TowerCo</v>
          </cell>
          <cell r="D899" t="str">
            <v>Grid-Gen</v>
          </cell>
        </row>
        <row r="900">
          <cell r="A900" t="str">
            <v>LIT_276</v>
          </cell>
          <cell r="B900" t="str">
            <v>HIS</v>
          </cell>
          <cell r="C900" t="str">
            <v>TowerCo</v>
          </cell>
          <cell r="D900" t="str">
            <v>Grid-Gen</v>
          </cell>
        </row>
        <row r="901">
          <cell r="A901" t="str">
            <v>LIT_292</v>
          </cell>
          <cell r="B901" t="str">
            <v>HIS</v>
          </cell>
          <cell r="C901" t="str">
            <v>TowerCo</v>
          </cell>
          <cell r="D901" t="str">
            <v>Grid-Gen</v>
          </cell>
        </row>
        <row r="902">
          <cell r="A902" t="str">
            <v>LIT_370</v>
          </cell>
          <cell r="B902" t="str">
            <v>HIS</v>
          </cell>
          <cell r="C902" t="str">
            <v>TowerCo</v>
          </cell>
          <cell r="D902" t="str">
            <v>Grid-Gen</v>
          </cell>
        </row>
        <row r="903">
          <cell r="A903" t="str">
            <v>LIT_249</v>
          </cell>
          <cell r="B903" t="str">
            <v>HIS</v>
          </cell>
          <cell r="C903" t="str">
            <v>TowerCo</v>
          </cell>
          <cell r="D903" t="str">
            <v>Grid-Gen</v>
          </cell>
        </row>
        <row r="904">
          <cell r="A904" t="str">
            <v>LIT_441</v>
          </cell>
          <cell r="B904" t="str">
            <v>HIS</v>
          </cell>
          <cell r="C904" t="str">
            <v>TowerCo</v>
          </cell>
          <cell r="D904" t="str">
            <v>Grid-Gen</v>
          </cell>
        </row>
        <row r="905">
          <cell r="A905" t="str">
            <v>LIT_433</v>
          </cell>
          <cell r="B905" t="str">
            <v>HIS</v>
          </cell>
          <cell r="C905" t="str">
            <v>TowerCo</v>
          </cell>
          <cell r="D905" t="str">
            <v>Grid-Gen</v>
          </cell>
        </row>
        <row r="906">
          <cell r="A906" t="str">
            <v>LIT_261</v>
          </cell>
          <cell r="B906" t="str">
            <v>HIS</v>
          </cell>
          <cell r="C906" t="str">
            <v>TowerCo</v>
          </cell>
          <cell r="D906" t="str">
            <v>Grid-Gen</v>
          </cell>
        </row>
        <row r="907">
          <cell r="A907" t="str">
            <v>LIT_439</v>
          </cell>
          <cell r="B907" t="str">
            <v>HIS</v>
          </cell>
          <cell r="C907" t="str">
            <v>TowerCo</v>
          </cell>
          <cell r="D907" t="str">
            <v>Grid-Gen</v>
          </cell>
        </row>
        <row r="908">
          <cell r="A908" t="str">
            <v>LIT_451</v>
          </cell>
          <cell r="B908" t="str">
            <v>HIS</v>
          </cell>
          <cell r="C908" t="str">
            <v>TowerCo</v>
          </cell>
          <cell r="D908" t="str">
            <v>Grid-Gen</v>
          </cell>
        </row>
        <row r="909">
          <cell r="A909" t="str">
            <v>LIT_205</v>
          </cell>
          <cell r="B909" t="str">
            <v>HIS</v>
          </cell>
          <cell r="C909" t="str">
            <v>TowerCo</v>
          </cell>
          <cell r="D909" t="str">
            <v>Grid-Gen</v>
          </cell>
        </row>
        <row r="910">
          <cell r="A910" t="str">
            <v>LIT_392</v>
          </cell>
          <cell r="B910" t="str">
            <v>HIS</v>
          </cell>
          <cell r="C910" t="str">
            <v>TowerCo</v>
          </cell>
          <cell r="D910" t="str">
            <v>Grid-Gen</v>
          </cell>
        </row>
        <row r="911">
          <cell r="A911" t="str">
            <v>LIT_127</v>
          </cell>
          <cell r="B911" t="str">
            <v>HIS</v>
          </cell>
          <cell r="C911" t="str">
            <v>TowerCo</v>
          </cell>
          <cell r="D911" t="str">
            <v>Grid-Gen</v>
          </cell>
        </row>
        <row r="912">
          <cell r="A912" t="str">
            <v>LIT_283</v>
          </cell>
          <cell r="B912" t="str">
            <v>HIS</v>
          </cell>
          <cell r="C912" t="str">
            <v>TowerCo</v>
          </cell>
          <cell r="D912" t="str">
            <v>Grid-Gen</v>
          </cell>
        </row>
        <row r="913">
          <cell r="A913" t="str">
            <v>LIT_080</v>
          </cell>
          <cell r="B913" t="str">
            <v>HIS</v>
          </cell>
          <cell r="C913" t="str">
            <v>TowerCo</v>
          </cell>
          <cell r="D913" t="str">
            <v>Grid-Gen</v>
          </cell>
        </row>
        <row r="914">
          <cell r="A914" t="str">
            <v>LIT_210</v>
          </cell>
          <cell r="B914" t="str">
            <v>HIS</v>
          </cell>
          <cell r="C914" t="str">
            <v>TowerCo</v>
          </cell>
          <cell r="D914" t="str">
            <v>Grid-Gen</v>
          </cell>
        </row>
        <row r="915">
          <cell r="A915" t="str">
            <v>LIT_255</v>
          </cell>
          <cell r="B915" t="str">
            <v>HIS</v>
          </cell>
          <cell r="C915" t="str">
            <v>TowerCo</v>
          </cell>
          <cell r="D915" t="str">
            <v>Grid-Gen</v>
          </cell>
        </row>
        <row r="916">
          <cell r="A916" t="str">
            <v>LIT_248</v>
          </cell>
          <cell r="B916" t="str">
            <v>HIS</v>
          </cell>
          <cell r="C916" t="str">
            <v>TowerCo</v>
          </cell>
          <cell r="D916" t="str">
            <v>Grid-Gen</v>
          </cell>
        </row>
        <row r="917">
          <cell r="A917" t="str">
            <v>LIT_300</v>
          </cell>
          <cell r="B917" t="str">
            <v>HIS</v>
          </cell>
          <cell r="C917" t="str">
            <v>TowerCo</v>
          </cell>
          <cell r="D917" t="str">
            <v>Grid-Gen</v>
          </cell>
        </row>
        <row r="918">
          <cell r="A918" t="str">
            <v>LIT_018</v>
          </cell>
          <cell r="B918" t="str">
            <v>HIS</v>
          </cell>
          <cell r="C918" t="str">
            <v>TowerCo</v>
          </cell>
          <cell r="D918" t="str">
            <v>Grid-Gen</v>
          </cell>
        </row>
        <row r="919">
          <cell r="A919" t="str">
            <v>LIT_452</v>
          </cell>
          <cell r="B919" t="str">
            <v>HIS</v>
          </cell>
          <cell r="C919" t="str">
            <v>TowerCo</v>
          </cell>
          <cell r="D919" t="str">
            <v>Grid-Gen</v>
          </cell>
        </row>
        <row r="920">
          <cell r="A920" t="str">
            <v>LIT_033</v>
          </cell>
          <cell r="B920" t="str">
            <v>HIS</v>
          </cell>
          <cell r="C920" t="str">
            <v>TowerCo</v>
          </cell>
          <cell r="D920" t="str">
            <v>Grid Only</v>
          </cell>
        </row>
        <row r="921">
          <cell r="A921" t="str">
            <v>LIT_037</v>
          </cell>
          <cell r="B921" t="str">
            <v>HIS</v>
          </cell>
          <cell r="C921" t="str">
            <v>TowerCo</v>
          </cell>
          <cell r="D921" t="str">
            <v>Grid-Gen</v>
          </cell>
        </row>
        <row r="922">
          <cell r="A922" t="str">
            <v>LIT_089</v>
          </cell>
          <cell r="B922" t="str">
            <v>HIS</v>
          </cell>
          <cell r="C922" t="str">
            <v>TowerCo</v>
          </cell>
          <cell r="D922" t="str">
            <v>Grid Only</v>
          </cell>
        </row>
        <row r="923">
          <cell r="A923" t="str">
            <v>LIT_395</v>
          </cell>
          <cell r="B923" t="str">
            <v>HIS</v>
          </cell>
          <cell r="C923" t="str">
            <v>TowerCo</v>
          </cell>
          <cell r="D923" t="str">
            <v>Grid Only</v>
          </cell>
        </row>
        <row r="924">
          <cell r="A924" t="str">
            <v>LIT_419</v>
          </cell>
          <cell r="B924" t="str">
            <v>HIS</v>
          </cell>
          <cell r="C924" t="str">
            <v>TowerCo</v>
          </cell>
          <cell r="D924" t="str">
            <v>Grid-Gen</v>
          </cell>
        </row>
        <row r="925">
          <cell r="A925" t="str">
            <v>LIT_162</v>
          </cell>
          <cell r="B925" t="str">
            <v>HIS</v>
          </cell>
          <cell r="C925" t="str">
            <v>TowerCo</v>
          </cell>
          <cell r="D925" t="str">
            <v>Grid Only</v>
          </cell>
        </row>
        <row r="926">
          <cell r="A926" t="str">
            <v>LIT_372</v>
          </cell>
          <cell r="B926" t="str">
            <v>HIS</v>
          </cell>
          <cell r="C926" t="str">
            <v>TowerCo</v>
          </cell>
          <cell r="D926" t="str">
            <v>Grid Only</v>
          </cell>
        </row>
        <row r="927">
          <cell r="A927" t="str">
            <v>LIT_420</v>
          </cell>
          <cell r="B927" t="str">
            <v>HIS</v>
          </cell>
          <cell r="C927" t="str">
            <v>TowerCo</v>
          </cell>
          <cell r="D927" t="str">
            <v>Grid-Gen</v>
          </cell>
        </row>
        <row r="928">
          <cell r="A928" t="str">
            <v>LIT_061</v>
          </cell>
          <cell r="B928" t="str">
            <v>HIS</v>
          </cell>
          <cell r="C928" t="str">
            <v>TowerCo</v>
          </cell>
          <cell r="D928" t="str">
            <v>Grid Only</v>
          </cell>
        </row>
        <row r="929">
          <cell r="A929" t="str">
            <v>LIT_095</v>
          </cell>
          <cell r="B929" t="str">
            <v>HIS</v>
          </cell>
          <cell r="C929" t="str">
            <v>TowerCo</v>
          </cell>
          <cell r="D929" t="str">
            <v>Grid Only</v>
          </cell>
        </row>
        <row r="930">
          <cell r="A930" t="str">
            <v>LIT_084</v>
          </cell>
          <cell r="B930" t="str">
            <v>HIS</v>
          </cell>
          <cell r="C930" t="str">
            <v>TowerCo</v>
          </cell>
          <cell r="D930" t="str">
            <v>Grid-Gen</v>
          </cell>
        </row>
        <row r="931">
          <cell r="A931" t="str">
            <v>LIT_168</v>
          </cell>
          <cell r="B931" t="str">
            <v>HIS</v>
          </cell>
          <cell r="C931" t="str">
            <v>TowerCo</v>
          </cell>
          <cell r="D931" t="str">
            <v>Grid Only</v>
          </cell>
        </row>
        <row r="932">
          <cell r="A932" t="str">
            <v>LIT_278</v>
          </cell>
          <cell r="B932" t="str">
            <v>HIS</v>
          </cell>
          <cell r="C932" t="str">
            <v>TowerCo</v>
          </cell>
          <cell r="D932" t="str">
            <v>Grid Only</v>
          </cell>
        </row>
        <row r="933">
          <cell r="A933" t="str">
            <v>LIT_049</v>
          </cell>
          <cell r="B933" t="str">
            <v>HIS</v>
          </cell>
          <cell r="C933" t="str">
            <v>TowerCo</v>
          </cell>
          <cell r="D933" t="str">
            <v>Grid-Gen</v>
          </cell>
        </row>
        <row r="934">
          <cell r="A934" t="str">
            <v>LIT_081</v>
          </cell>
          <cell r="B934" t="str">
            <v>HIS</v>
          </cell>
          <cell r="C934" t="str">
            <v>TowerCo</v>
          </cell>
          <cell r="D934" t="str">
            <v>Grid-Gen</v>
          </cell>
        </row>
        <row r="935">
          <cell r="A935" t="str">
            <v>LIT_073</v>
          </cell>
          <cell r="B935" t="str">
            <v>HIS</v>
          </cell>
          <cell r="C935" t="str">
            <v>TowerCo</v>
          </cell>
          <cell r="D935" t="str">
            <v>Grid-Gen</v>
          </cell>
        </row>
        <row r="936">
          <cell r="A936" t="str">
            <v>LIT_443</v>
          </cell>
          <cell r="B936" t="str">
            <v>HIS</v>
          </cell>
          <cell r="C936" t="str">
            <v>TowerCo</v>
          </cell>
          <cell r="D936" t="str">
            <v>Grid-Gen</v>
          </cell>
        </row>
        <row r="937">
          <cell r="A937" t="str">
            <v>LIT_398</v>
          </cell>
          <cell r="B937" t="str">
            <v>HIS</v>
          </cell>
          <cell r="C937" t="str">
            <v>TowerCo</v>
          </cell>
          <cell r="D937" t="str">
            <v>Grid Only</v>
          </cell>
        </row>
        <row r="938">
          <cell r="A938" t="str">
            <v>LIT_285</v>
          </cell>
          <cell r="B938" t="str">
            <v>HIS</v>
          </cell>
          <cell r="C938" t="str">
            <v>TowerCo</v>
          </cell>
          <cell r="D938" t="str">
            <v>Grid Only</v>
          </cell>
        </row>
        <row r="939">
          <cell r="A939" t="str">
            <v>LIT_234</v>
          </cell>
          <cell r="B939" t="str">
            <v>HIS</v>
          </cell>
          <cell r="C939" t="str">
            <v>TowerCo</v>
          </cell>
          <cell r="D939" t="str">
            <v>Grid-Gen</v>
          </cell>
        </row>
        <row r="940">
          <cell r="A940" t="str">
            <v>LIT_159</v>
          </cell>
          <cell r="B940" t="str">
            <v>HIS</v>
          </cell>
          <cell r="C940" t="str">
            <v>TowerCo</v>
          </cell>
          <cell r="D940" t="str">
            <v>Grid-Gen</v>
          </cell>
        </row>
        <row r="941">
          <cell r="A941" t="str">
            <v>LIT_153</v>
          </cell>
          <cell r="B941" t="str">
            <v>HIS</v>
          </cell>
          <cell r="C941" t="str">
            <v>TowerCo</v>
          </cell>
          <cell r="D941" t="str">
            <v>Grid-Gen</v>
          </cell>
        </row>
        <row r="942">
          <cell r="A942" t="str">
            <v>LIT_748 </v>
          </cell>
          <cell r="B942" t="str">
            <v>HIS</v>
          </cell>
          <cell r="C942" t="str">
            <v>TowerCo</v>
          </cell>
          <cell r="D942" t="str">
            <v>Grid-Gen</v>
          </cell>
        </row>
        <row r="943">
          <cell r="A943" t="str">
            <v>LIT_428</v>
          </cell>
          <cell r="B943" t="str">
            <v>HIS</v>
          </cell>
          <cell r="C943" t="str">
            <v>TowerCo</v>
          </cell>
          <cell r="D943" t="str">
            <v>Grid-Gen</v>
          </cell>
        </row>
        <row r="944">
          <cell r="A944" t="str">
            <v>LIT_426</v>
          </cell>
          <cell r="B944" t="str">
            <v>HIS</v>
          </cell>
          <cell r="C944" t="str">
            <v>TowerCo</v>
          </cell>
          <cell r="D944" t="str">
            <v>Grid-Gen</v>
          </cell>
        </row>
        <row r="945">
          <cell r="A945" t="str">
            <v>LIT_376</v>
          </cell>
          <cell r="B945" t="str">
            <v>HIS</v>
          </cell>
          <cell r="C945" t="str">
            <v>TowerCo</v>
          </cell>
          <cell r="D945" t="str">
            <v>Grid-Gen</v>
          </cell>
        </row>
        <row r="946">
          <cell r="A946" t="str">
            <v>LIT_157</v>
          </cell>
          <cell r="B946" t="str">
            <v>HIS</v>
          </cell>
          <cell r="C946" t="str">
            <v>TowerCo</v>
          </cell>
          <cell r="D946" t="str">
            <v>Grid-Gen</v>
          </cell>
        </row>
        <row r="947">
          <cell r="A947" t="str">
            <v>LIT_578</v>
          </cell>
          <cell r="B947" t="str">
            <v>HIS</v>
          </cell>
          <cell r="C947" t="str">
            <v>TowerCo</v>
          </cell>
          <cell r="D947" t="str">
            <v>Grid-Gen</v>
          </cell>
        </row>
        <row r="948">
          <cell r="A948" t="str">
            <v>LIT_156</v>
          </cell>
          <cell r="B948" t="str">
            <v>HIS</v>
          </cell>
          <cell r="C948" t="str">
            <v>TowerCo</v>
          </cell>
          <cell r="D948" t="str">
            <v>Grid-Gen</v>
          </cell>
        </row>
        <row r="949">
          <cell r="A949" t="str">
            <v>LIT_129</v>
          </cell>
          <cell r="B949" t="str">
            <v>HIS</v>
          </cell>
          <cell r="C949" t="str">
            <v>TowerCo</v>
          </cell>
          <cell r="D949" t="str">
            <v>Grid-Gen</v>
          </cell>
        </row>
        <row r="950">
          <cell r="A950" t="str">
            <v>LIT_235</v>
          </cell>
          <cell r="B950" t="str">
            <v>HIS</v>
          </cell>
          <cell r="C950" t="str">
            <v>TowerCo</v>
          </cell>
          <cell r="D950" t="str">
            <v>Grid-Gen</v>
          </cell>
        </row>
        <row r="951">
          <cell r="A951" t="str">
            <v>LIT_528</v>
          </cell>
          <cell r="B951" t="str">
            <v>HIS</v>
          </cell>
          <cell r="C951" t="str">
            <v>TowerCo</v>
          </cell>
          <cell r="D951" t="str">
            <v>Grid Only</v>
          </cell>
        </row>
        <row r="952">
          <cell r="A952" t="str">
            <v>LIT_125</v>
          </cell>
          <cell r="B952" t="str">
            <v>HIS</v>
          </cell>
          <cell r="C952" t="str">
            <v>TowerCo</v>
          </cell>
          <cell r="D952" t="str">
            <v>Grid Only</v>
          </cell>
        </row>
        <row r="953">
          <cell r="A953" t="str">
            <v>LIT_180</v>
          </cell>
          <cell r="B953" t="str">
            <v>HIS</v>
          </cell>
          <cell r="C953" t="str">
            <v>TowerCo</v>
          </cell>
          <cell r="D953" t="str">
            <v>Solar-Gen</v>
          </cell>
        </row>
        <row r="954">
          <cell r="A954" t="str">
            <v>LIT_145</v>
          </cell>
          <cell r="B954" t="str">
            <v>HIS</v>
          </cell>
          <cell r="C954" t="str">
            <v>TowerCo</v>
          </cell>
          <cell r="D954" t="str">
            <v>Solar-Grid-Gen</v>
          </cell>
        </row>
        <row r="955">
          <cell r="A955" t="str">
            <v>LIT_562</v>
          </cell>
          <cell r="B955" t="str">
            <v>HIS</v>
          </cell>
          <cell r="C955" t="str">
            <v>TowerCo</v>
          </cell>
          <cell r="D955" t="str">
            <v>Grid-Gen</v>
          </cell>
        </row>
        <row r="956">
          <cell r="A956" t="str">
            <v>LIT_167</v>
          </cell>
          <cell r="B956" t="str">
            <v>HIS</v>
          </cell>
          <cell r="C956" t="str">
            <v>TowerCo</v>
          </cell>
          <cell r="D956" t="str">
            <v>Grid-Gen</v>
          </cell>
        </row>
        <row r="957">
          <cell r="A957" t="str">
            <v>LIT_448</v>
          </cell>
          <cell r="B957" t="str">
            <v>HIS</v>
          </cell>
          <cell r="C957" t="str">
            <v>TowerCo</v>
          </cell>
          <cell r="D957" t="str">
            <v>Grid-Gen</v>
          </cell>
        </row>
        <row r="958">
          <cell r="A958" t="str">
            <v>LIT_449</v>
          </cell>
          <cell r="B958" t="str">
            <v>HIS</v>
          </cell>
          <cell r="C958" t="str">
            <v>TowerCo</v>
          </cell>
          <cell r="D958" t="str">
            <v>Grid-Gen</v>
          </cell>
        </row>
        <row r="959">
          <cell r="A959" t="str">
            <v>LIT_440</v>
          </cell>
          <cell r="B959" t="str">
            <v>HIS</v>
          </cell>
          <cell r="C959" t="str">
            <v>TowerCo</v>
          </cell>
          <cell r="D959" t="str">
            <v>Grid-Gen</v>
          </cell>
        </row>
        <row r="960">
          <cell r="A960" t="str">
            <v>LIT_110</v>
          </cell>
          <cell r="B960" t="str">
            <v>HIS</v>
          </cell>
          <cell r="C960" t="str">
            <v>TowerCo</v>
          </cell>
          <cell r="D960" t="str">
            <v>Grid Only</v>
          </cell>
        </row>
        <row r="961">
          <cell r="A961" t="str">
            <v>LIT_369</v>
          </cell>
          <cell r="B961" t="str">
            <v>HIS</v>
          </cell>
          <cell r="C961" t="str">
            <v>TowerCo</v>
          </cell>
          <cell r="D961" t="str">
            <v>Grid-Gen</v>
          </cell>
        </row>
        <row r="962">
          <cell r="A962" t="str">
            <v>LIT_579</v>
          </cell>
          <cell r="B962" t="str">
            <v>HIS</v>
          </cell>
          <cell r="C962" t="str">
            <v>TowerCo</v>
          </cell>
          <cell r="D962" t="str">
            <v>Grid-Gen</v>
          </cell>
        </row>
        <row r="963">
          <cell r="A963" t="str">
            <v>LIT_275</v>
          </cell>
          <cell r="B963" t="str">
            <v>HIS</v>
          </cell>
          <cell r="C963" t="str">
            <v>TowerCo</v>
          </cell>
          <cell r="D963" t="str">
            <v>Grid-Gen</v>
          </cell>
        </row>
        <row r="964">
          <cell r="A964" t="str">
            <v>EXN_033</v>
          </cell>
          <cell r="B964" t="str">
            <v>HIS</v>
          </cell>
          <cell r="C964" t="str">
            <v>TowerCo</v>
          </cell>
          <cell r="D964" t="str">
            <v>Grid-Hybrid-Gen</v>
          </cell>
        </row>
        <row r="965">
          <cell r="A965" t="str">
            <v>EXN_003</v>
          </cell>
          <cell r="B965" t="str">
            <v>HIS</v>
          </cell>
          <cell r="C965" t="str">
            <v>TowerCo</v>
          </cell>
          <cell r="D965" t="str">
            <v>Grid-Gen</v>
          </cell>
        </row>
        <row r="966">
          <cell r="A966" t="str">
            <v>EXN_034</v>
          </cell>
          <cell r="B966" t="str">
            <v>HIS</v>
          </cell>
          <cell r="C966" t="str">
            <v>TowerCo</v>
          </cell>
          <cell r="D966" t="str">
            <v>Solar-Grid-Gen</v>
          </cell>
        </row>
        <row r="967">
          <cell r="A967" t="str">
            <v>EXN_035</v>
          </cell>
          <cell r="B967" t="str">
            <v>HIS</v>
          </cell>
          <cell r="C967" t="str">
            <v>TowerCo</v>
          </cell>
          <cell r="D967" t="str">
            <v>Solar-Gen</v>
          </cell>
        </row>
        <row r="968">
          <cell r="A968" t="str">
            <v>EXN_807</v>
          </cell>
          <cell r="B968" t="str">
            <v>HIS</v>
          </cell>
          <cell r="C968" t="str">
            <v>TowerCo</v>
          </cell>
          <cell r="D968" t="str">
            <v>Solar-Grid-Gen</v>
          </cell>
        </row>
        <row r="969">
          <cell r="A969" t="str">
            <v>EXN_064</v>
          </cell>
          <cell r="B969" t="str">
            <v>HIS</v>
          </cell>
          <cell r="C969" t="str">
            <v>TowerCo</v>
          </cell>
          <cell r="D969" t="str">
            <v>Grid-Gen</v>
          </cell>
        </row>
        <row r="970">
          <cell r="A970" t="str">
            <v>EXN_094</v>
          </cell>
          <cell r="B970" t="str">
            <v>HIS</v>
          </cell>
          <cell r="C970" t="str">
            <v>TowerCo</v>
          </cell>
          <cell r="D970" t="str">
            <v>Grid-Gen</v>
          </cell>
        </row>
        <row r="971">
          <cell r="A971" t="str">
            <v>EXN_010</v>
          </cell>
          <cell r="B971" t="str">
            <v>HIS</v>
          </cell>
          <cell r="C971" t="str">
            <v>TowerCo</v>
          </cell>
          <cell r="D971" t="str">
            <v>Grid-Gen</v>
          </cell>
        </row>
        <row r="972">
          <cell r="A972" t="str">
            <v>EXN_051</v>
          </cell>
          <cell r="B972" t="str">
            <v>HIS</v>
          </cell>
          <cell r="C972" t="str">
            <v>TowerCo</v>
          </cell>
          <cell r="D972" t="str">
            <v>Solar-Gen</v>
          </cell>
        </row>
        <row r="973">
          <cell r="A973" t="str">
            <v>EXN_188</v>
          </cell>
          <cell r="B973" t="str">
            <v>HIS</v>
          </cell>
          <cell r="C973" t="str">
            <v>TowerCo</v>
          </cell>
          <cell r="D973" t="str">
            <v>Grid-Gen</v>
          </cell>
        </row>
        <row r="974">
          <cell r="A974" t="str">
            <v>EXN_138</v>
          </cell>
          <cell r="B974" t="str">
            <v>HIS</v>
          </cell>
          <cell r="C974" t="str">
            <v>TowerCo</v>
          </cell>
          <cell r="D974" t="str">
            <v>Grid-Gen</v>
          </cell>
        </row>
        <row r="975">
          <cell r="A975" t="str">
            <v>EXN_181</v>
          </cell>
          <cell r="B975" t="str">
            <v>HIS</v>
          </cell>
          <cell r="C975" t="str">
            <v>TowerCo</v>
          </cell>
          <cell r="D975" t="str">
            <v>Grid-Gen</v>
          </cell>
        </row>
        <row r="976">
          <cell r="A976" t="str">
            <v>EXN_141</v>
          </cell>
          <cell r="B976" t="str">
            <v>HIS</v>
          </cell>
          <cell r="C976" t="str">
            <v>TowerCo</v>
          </cell>
          <cell r="D976" t="str">
            <v>Grid-Gen</v>
          </cell>
        </row>
        <row r="977">
          <cell r="A977" t="str">
            <v>EXN_180</v>
          </cell>
          <cell r="B977" t="str">
            <v>HIS</v>
          </cell>
          <cell r="C977" t="str">
            <v>TowerCo</v>
          </cell>
          <cell r="D977" t="str">
            <v>Grid-Gen</v>
          </cell>
        </row>
        <row r="978">
          <cell r="A978" t="str">
            <v>EXN_182</v>
          </cell>
          <cell r="B978" t="str">
            <v>HIS</v>
          </cell>
          <cell r="C978" t="str">
            <v>TowerCo</v>
          </cell>
          <cell r="D978" t="str">
            <v>Grid-Gen</v>
          </cell>
        </row>
        <row r="979">
          <cell r="A979" t="str">
            <v>EXN_109</v>
          </cell>
          <cell r="B979" t="str">
            <v>HIS</v>
          </cell>
          <cell r="C979" t="str">
            <v>TowerCo</v>
          </cell>
          <cell r="D979" t="str">
            <v>Grid-Gen</v>
          </cell>
        </row>
        <row r="980">
          <cell r="A980" t="str">
            <v>LIT_009</v>
          </cell>
          <cell r="B980" t="str">
            <v>HIS</v>
          </cell>
          <cell r="C980" t="str">
            <v>TowerCo</v>
          </cell>
          <cell r="D980" t="str">
            <v>Grid-Gen</v>
          </cell>
        </row>
        <row r="981">
          <cell r="A981" t="str">
            <v>LIT_297</v>
          </cell>
          <cell r="B981" t="str">
            <v>HIS</v>
          </cell>
          <cell r="C981" t="str">
            <v>TowerCo</v>
          </cell>
          <cell r="D981" t="str">
            <v>Grid-Gen</v>
          </cell>
        </row>
        <row r="982">
          <cell r="A982" t="str">
            <v>LIT_043</v>
          </cell>
          <cell r="B982" t="str">
            <v>HIS</v>
          </cell>
          <cell r="C982" t="str">
            <v>TowerCo</v>
          </cell>
          <cell r="D982" t="str">
            <v>Grid Only</v>
          </cell>
        </row>
        <row r="983">
          <cell r="A983" t="str">
            <v>LIT_023</v>
          </cell>
          <cell r="B983" t="str">
            <v>HIS</v>
          </cell>
          <cell r="C983" t="str">
            <v>TowerCo</v>
          </cell>
          <cell r="D983" t="str">
            <v>Grid-Gen</v>
          </cell>
        </row>
        <row r="984">
          <cell r="A984" t="str">
            <v>LIT_079</v>
          </cell>
          <cell r="B984" t="str">
            <v>HIS</v>
          </cell>
          <cell r="C984" t="str">
            <v>TowerCo</v>
          </cell>
          <cell r="D984" t="str">
            <v>Grid-Gen</v>
          </cell>
        </row>
        <row r="985">
          <cell r="A985" t="str">
            <v>LIT_294</v>
          </cell>
          <cell r="B985" t="str">
            <v>HIS</v>
          </cell>
          <cell r="C985" t="str">
            <v>TowerCo</v>
          </cell>
          <cell r="D985" t="str">
            <v>Grid-Gen</v>
          </cell>
        </row>
        <row r="986">
          <cell r="A986" t="str">
            <v>LIT_060</v>
          </cell>
          <cell r="B986" t="str">
            <v>HIS</v>
          </cell>
          <cell r="C986" t="str">
            <v>TowerCo</v>
          </cell>
          <cell r="D986" t="str">
            <v>Grid-Gen</v>
          </cell>
        </row>
        <row r="987">
          <cell r="A987" t="str">
            <v>LIT_025</v>
          </cell>
          <cell r="B987" t="str">
            <v>HIS</v>
          </cell>
          <cell r="C987" t="str">
            <v>TowerCo</v>
          </cell>
          <cell r="D987" t="str">
            <v>Grid-Gen</v>
          </cell>
        </row>
        <row r="988">
          <cell r="A988" t="str">
            <v>LIT_311</v>
          </cell>
          <cell r="B988" t="str">
            <v>HIS</v>
          </cell>
          <cell r="C988" t="str">
            <v>TowerCo</v>
          </cell>
          <cell r="D988" t="str">
            <v>Grid-Gen</v>
          </cell>
        </row>
        <row r="989">
          <cell r="A989" t="str">
            <v>LIT_106</v>
          </cell>
          <cell r="B989" t="str">
            <v>HIS</v>
          </cell>
          <cell r="C989" t="str">
            <v>TowerCo</v>
          </cell>
          <cell r="D989" t="str">
            <v>Grid-Gen</v>
          </cell>
        </row>
        <row r="990">
          <cell r="A990" t="str">
            <v>LIT_224</v>
          </cell>
          <cell r="B990" t="str">
            <v>HIS</v>
          </cell>
          <cell r="C990" t="str">
            <v>TowerCo</v>
          </cell>
          <cell r="D990" t="str">
            <v>Grid-Gen</v>
          </cell>
        </row>
        <row r="991">
          <cell r="A991" t="str">
            <v>LIT_303</v>
          </cell>
          <cell r="B991" t="str">
            <v>HIS</v>
          </cell>
          <cell r="C991" t="str">
            <v>TowerCo</v>
          </cell>
          <cell r="D991" t="str">
            <v>Grid-Gen</v>
          </cell>
        </row>
        <row r="992">
          <cell r="A992" t="str">
            <v>LIT_045</v>
          </cell>
          <cell r="B992" t="str">
            <v>HIS</v>
          </cell>
          <cell r="C992" t="str">
            <v>TowerCo</v>
          </cell>
          <cell r="D992" t="str">
            <v>Grid Only</v>
          </cell>
        </row>
        <row r="993">
          <cell r="A993" t="str">
            <v>LIT_047</v>
          </cell>
          <cell r="B993" t="str">
            <v>HIS</v>
          </cell>
          <cell r="C993" t="str">
            <v>TowerCo</v>
          </cell>
          <cell r="D993" t="str">
            <v>Grid-Gen</v>
          </cell>
        </row>
        <row r="994">
          <cell r="A994" t="str">
            <v>LIT_126</v>
          </cell>
          <cell r="B994" t="str">
            <v>HIS</v>
          </cell>
          <cell r="C994" t="str">
            <v>TowerCo</v>
          </cell>
          <cell r="D994" t="str">
            <v>Grid-Gen</v>
          </cell>
        </row>
        <row r="995">
          <cell r="A995" t="str">
            <v>LIT_090</v>
          </cell>
          <cell r="B995" t="str">
            <v>HIS</v>
          </cell>
          <cell r="C995" t="str">
            <v>TowerCo</v>
          </cell>
          <cell r="D995" t="str">
            <v>Grid-Gen</v>
          </cell>
        </row>
        <row r="996">
          <cell r="A996" t="str">
            <v>LIT_087</v>
          </cell>
          <cell r="B996" t="str">
            <v>HIS</v>
          </cell>
          <cell r="C996" t="str">
            <v>TowerCo</v>
          </cell>
          <cell r="D996" t="str">
            <v>Grid-Gen</v>
          </cell>
        </row>
        <row r="997">
          <cell r="A997" t="str">
            <v>LIT_446</v>
          </cell>
          <cell r="B997" t="str">
            <v>HIS</v>
          </cell>
          <cell r="C997" t="str">
            <v>TowerCo</v>
          </cell>
          <cell r="D997" t="str">
            <v>Grid-Gen</v>
          </cell>
        </row>
        <row r="998">
          <cell r="A998" t="str">
            <v>LIT_453</v>
          </cell>
          <cell r="B998" t="str">
            <v>HIS</v>
          </cell>
          <cell r="C998" t="str">
            <v>TowerCo</v>
          </cell>
          <cell r="D998" t="str">
            <v>Grid Only</v>
          </cell>
        </row>
        <row r="999">
          <cell r="A999" t="str">
            <v>LIT_247</v>
          </cell>
          <cell r="B999" t="str">
            <v>HIS</v>
          </cell>
          <cell r="C999" t="str">
            <v>TowerCo</v>
          </cell>
          <cell r="D999" t="str">
            <v>Grid-Gen</v>
          </cell>
        </row>
        <row r="1000">
          <cell r="A1000" t="str">
            <v>LIT_242</v>
          </cell>
          <cell r="B1000" t="str">
            <v>HIS</v>
          </cell>
          <cell r="C1000" t="str">
            <v>TowerCo</v>
          </cell>
          <cell r="D1000" t="str">
            <v>Grid-Gen</v>
          </cell>
        </row>
        <row r="1001">
          <cell r="A1001" t="str">
            <v>LIT_413</v>
          </cell>
          <cell r="B1001" t="str">
            <v>HIS</v>
          </cell>
          <cell r="C1001" t="str">
            <v>TowerCo</v>
          </cell>
          <cell r="D1001" t="str">
            <v>Grid-Gen</v>
          </cell>
        </row>
        <row r="1002">
          <cell r="A1002" t="str">
            <v>LIT_099</v>
          </cell>
          <cell r="B1002" t="str">
            <v>HIS</v>
          </cell>
          <cell r="C1002" t="str">
            <v>TowerCo</v>
          </cell>
          <cell r="D1002" t="str">
            <v>Grid Only</v>
          </cell>
        </row>
        <row r="1003">
          <cell r="A1003" t="str">
            <v>LIT_065</v>
          </cell>
          <cell r="B1003" t="str">
            <v>HIS</v>
          </cell>
          <cell r="C1003" t="str">
            <v>TowerCo</v>
          </cell>
          <cell r="D1003" t="str">
            <v>Grid Only</v>
          </cell>
        </row>
        <row r="1004">
          <cell r="A1004" t="str">
            <v>LIT_008</v>
          </cell>
          <cell r="B1004" t="str">
            <v>HIS</v>
          </cell>
          <cell r="C1004" t="str">
            <v>TowerCo</v>
          </cell>
          <cell r="D1004" t="str">
            <v>Grid Only</v>
          </cell>
        </row>
        <row r="1005">
          <cell r="A1005" t="str">
            <v>LIT_367</v>
          </cell>
          <cell r="B1005" t="str">
            <v>HIS</v>
          </cell>
          <cell r="C1005" t="str">
            <v>TowerCo</v>
          </cell>
          <cell r="D1005" t="str">
            <v>Grid Only</v>
          </cell>
        </row>
        <row r="1006">
          <cell r="A1006" t="str">
            <v>LIT_171</v>
          </cell>
          <cell r="B1006" t="str">
            <v>HIS</v>
          </cell>
          <cell r="C1006" t="str">
            <v>TowerCo</v>
          </cell>
          <cell r="D1006" t="str">
            <v>Grid Only</v>
          </cell>
        </row>
        <row r="1007">
          <cell r="A1007" t="str">
            <v>LIT_427</v>
          </cell>
          <cell r="B1007" t="str">
            <v>HIS</v>
          </cell>
          <cell r="C1007" t="str">
            <v>TowerCo</v>
          </cell>
          <cell r="D1007" t="str">
            <v>Grid-Gen</v>
          </cell>
        </row>
        <row r="1008">
          <cell r="A1008" t="str">
            <v>LIT_410</v>
          </cell>
          <cell r="B1008" t="str">
            <v>HIS</v>
          </cell>
          <cell r="C1008" t="str">
            <v>TowerCo</v>
          </cell>
          <cell r="D1008" t="str">
            <v>Grid-Gen</v>
          </cell>
        </row>
        <row r="1009">
          <cell r="A1009" t="str">
            <v>LIT_454</v>
          </cell>
          <cell r="B1009" t="str">
            <v>HIS</v>
          </cell>
          <cell r="C1009" t="str">
            <v>TowerCo</v>
          </cell>
          <cell r="D1009" t="str">
            <v>Grid-Gen</v>
          </cell>
        </row>
        <row r="1010">
          <cell r="A1010" t="str">
            <v>LIT_358</v>
          </cell>
          <cell r="B1010" t="str">
            <v>HIS</v>
          </cell>
          <cell r="C1010" t="str">
            <v>TowerCo</v>
          </cell>
          <cell r="D1010" t="str">
            <v>Grid-Gen</v>
          </cell>
        </row>
        <row r="1011">
          <cell r="A1011" t="str">
            <v>LIT_400</v>
          </cell>
          <cell r="B1011" t="str">
            <v>HIS</v>
          </cell>
          <cell r="C1011" t="str">
            <v>TowerCo</v>
          </cell>
          <cell r="D1011" t="str">
            <v>Grid-Gen</v>
          </cell>
        </row>
        <row r="1012">
          <cell r="A1012" t="str">
            <v>LIT_347</v>
          </cell>
          <cell r="B1012" t="str">
            <v>HIS</v>
          </cell>
          <cell r="C1012" t="str">
            <v>TowerCo</v>
          </cell>
          <cell r="D1012" t="str">
            <v>Grid-Gen</v>
          </cell>
        </row>
        <row r="1013">
          <cell r="A1013" t="str">
            <v>LIT_401</v>
          </cell>
          <cell r="B1013" t="str">
            <v>HIS</v>
          </cell>
          <cell r="C1013" t="str">
            <v>TowerCo</v>
          </cell>
          <cell r="D1013" t="str">
            <v>Grid-Gen</v>
          </cell>
        </row>
        <row r="1014">
          <cell r="A1014" t="str">
            <v>LIT_411</v>
          </cell>
          <cell r="B1014" t="str">
            <v>HIS</v>
          </cell>
          <cell r="C1014" t="str">
            <v>TowerCo</v>
          </cell>
          <cell r="D1014" t="str">
            <v>Grid Only</v>
          </cell>
        </row>
        <row r="1015">
          <cell r="A1015" t="str">
            <v>LIT_014</v>
          </cell>
          <cell r="B1015" t="str">
            <v>HIS</v>
          </cell>
          <cell r="C1015" t="str">
            <v>TowerCo</v>
          </cell>
          <cell r="D1015" t="str">
            <v>Grid Only</v>
          </cell>
        </row>
        <row r="1016">
          <cell r="A1016" t="str">
            <v>LIT_091</v>
          </cell>
          <cell r="B1016" t="str">
            <v>HIS</v>
          </cell>
          <cell r="C1016" t="str">
            <v>TowerCo</v>
          </cell>
          <cell r="D1016" t="str">
            <v>Grid Only</v>
          </cell>
        </row>
        <row r="1017">
          <cell r="A1017" t="str">
            <v>LIT_325</v>
          </cell>
          <cell r="B1017" t="str">
            <v>HIS</v>
          </cell>
          <cell r="C1017" t="str">
            <v>TowerCo</v>
          </cell>
          <cell r="D1017" t="str">
            <v>Grid Only</v>
          </cell>
        </row>
        <row r="1018">
          <cell r="A1018" t="str">
            <v>LIT_373</v>
          </cell>
          <cell r="B1018" t="str">
            <v>HIS</v>
          </cell>
          <cell r="C1018" t="str">
            <v>TowerCo</v>
          </cell>
          <cell r="D1018" t="str">
            <v>Grid-Gen</v>
          </cell>
        </row>
        <row r="1019">
          <cell r="A1019" t="str">
            <v>LIT_057</v>
          </cell>
          <cell r="B1019" t="str">
            <v>HIS</v>
          </cell>
          <cell r="C1019" t="str">
            <v>TowerCo</v>
          </cell>
          <cell r="D1019" t="str">
            <v>Grid Only</v>
          </cell>
        </row>
        <row r="1020">
          <cell r="A1020" t="str">
            <v>LIT_357</v>
          </cell>
          <cell r="B1020" t="str">
            <v>HIS</v>
          </cell>
          <cell r="C1020" t="str">
            <v>TowerCo</v>
          </cell>
          <cell r="D1020" t="str">
            <v>Grid Only</v>
          </cell>
        </row>
        <row r="1021">
          <cell r="A1021" t="str">
            <v>LIT_460</v>
          </cell>
          <cell r="B1021" t="str">
            <v>HIS</v>
          </cell>
          <cell r="C1021" t="str">
            <v>TowerCo</v>
          </cell>
          <cell r="D1021" t="str">
            <v>Grid Only</v>
          </cell>
        </row>
        <row r="1022">
          <cell r="A1022" t="str">
            <v>LIT_120</v>
          </cell>
          <cell r="B1022" t="str">
            <v>HIS</v>
          </cell>
          <cell r="C1022" t="str">
            <v>TowerCo</v>
          </cell>
          <cell r="D1022" t="str">
            <v>Grid Only</v>
          </cell>
        </row>
        <row r="1023">
          <cell r="A1023" t="str">
            <v>LIT_246</v>
          </cell>
          <cell r="B1023" t="str">
            <v>HIS</v>
          </cell>
          <cell r="C1023" t="str">
            <v>TowerCo</v>
          </cell>
          <cell r="D1023" t="str">
            <v>Grid-Gen</v>
          </cell>
        </row>
        <row r="1024">
          <cell r="A1024" t="str">
            <v>LIT_236</v>
          </cell>
          <cell r="B1024" t="str">
            <v>HIS</v>
          </cell>
          <cell r="C1024" t="str">
            <v>TowerCo</v>
          </cell>
          <cell r="D1024" t="str">
            <v>Grid-Gen</v>
          </cell>
        </row>
        <row r="1025">
          <cell r="A1025" t="str">
            <v>LIT_412</v>
          </cell>
          <cell r="B1025" t="str">
            <v>HIS</v>
          </cell>
          <cell r="C1025" t="str">
            <v>TowerCo</v>
          </cell>
          <cell r="D1025" t="str">
            <v>Grid Only</v>
          </cell>
        </row>
        <row r="1026">
          <cell r="A1026" t="str">
            <v>LIT_382</v>
          </cell>
          <cell r="B1026" t="str">
            <v>HIS</v>
          </cell>
          <cell r="C1026" t="str">
            <v>TowerCo</v>
          </cell>
          <cell r="D1026" t="str">
            <v>Grid Only</v>
          </cell>
        </row>
        <row r="1027">
          <cell r="A1027" t="str">
            <v>LIT_407</v>
          </cell>
          <cell r="B1027" t="str">
            <v>HIS</v>
          </cell>
          <cell r="C1027" t="str">
            <v>TowerCo</v>
          </cell>
          <cell r="D1027" t="str">
            <v>Grid Only</v>
          </cell>
        </row>
        <row r="1028">
          <cell r="A1028" t="str">
            <v>LIT_244</v>
          </cell>
          <cell r="B1028" t="str">
            <v>HIS</v>
          </cell>
          <cell r="C1028" t="str">
            <v>TowerCo</v>
          </cell>
          <cell r="D1028" t="str">
            <v>Grid Only</v>
          </cell>
        </row>
        <row r="1029">
          <cell r="A1029" t="str">
            <v>LIT_053</v>
          </cell>
          <cell r="B1029" t="str">
            <v>HIS</v>
          </cell>
          <cell r="C1029" t="str">
            <v>TowerCo</v>
          </cell>
          <cell r="D1029" t="str">
            <v>Grid-Gen</v>
          </cell>
        </row>
        <row r="1030">
          <cell r="A1030" t="str">
            <v>LIT_267</v>
          </cell>
          <cell r="B1030" t="str">
            <v>HIS</v>
          </cell>
          <cell r="C1030" t="str">
            <v>TowerCo</v>
          </cell>
          <cell r="D1030" t="str">
            <v>Grid-Gen</v>
          </cell>
        </row>
        <row r="1031">
          <cell r="A1031" t="str">
            <v>LIT_082</v>
          </cell>
          <cell r="B1031" t="str">
            <v>HIS</v>
          </cell>
          <cell r="C1031" t="str">
            <v>TowerCo</v>
          </cell>
          <cell r="D1031" t="str">
            <v>Grid Only</v>
          </cell>
        </row>
        <row r="1032">
          <cell r="A1032" t="str">
            <v>LIT_202</v>
          </cell>
          <cell r="B1032" t="str">
            <v>HIS</v>
          </cell>
          <cell r="C1032" t="str">
            <v>TowerCo</v>
          </cell>
          <cell r="D1032" t="str">
            <v>Grid Only</v>
          </cell>
        </row>
        <row r="1033">
          <cell r="A1033" t="str">
            <v>LIT_041</v>
          </cell>
          <cell r="B1033" t="str">
            <v>HIS</v>
          </cell>
          <cell r="C1033" t="str">
            <v>TowerCo</v>
          </cell>
          <cell r="D1033" t="str">
            <v>Grid Only</v>
          </cell>
        </row>
        <row r="1034">
          <cell r="A1034" t="str">
            <v>LIT_139</v>
          </cell>
          <cell r="B1034" t="str">
            <v>HIS</v>
          </cell>
          <cell r="C1034" t="str">
            <v>TowerCo</v>
          </cell>
          <cell r="D1034" t="str">
            <v>Grid-Gen</v>
          </cell>
        </row>
        <row r="1035">
          <cell r="A1035" t="str">
            <v>LIT_581</v>
          </cell>
          <cell r="B1035" t="str">
            <v>HIS</v>
          </cell>
          <cell r="C1035" t="str">
            <v>TowerCo</v>
          </cell>
          <cell r="D1035" t="str">
            <v>Grid-Gen</v>
          </cell>
        </row>
        <row r="1036">
          <cell r="A1036" t="str">
            <v>LIT_580</v>
          </cell>
          <cell r="B1036" t="str">
            <v>HIS</v>
          </cell>
          <cell r="C1036" t="str">
            <v>TowerCo</v>
          </cell>
          <cell r="D1036" t="str">
            <v>Grid-Gen</v>
          </cell>
        </row>
        <row r="1037">
          <cell r="A1037" t="str">
            <v>LIT_574</v>
          </cell>
          <cell r="B1037" t="str">
            <v>HIS</v>
          </cell>
          <cell r="C1037" t="str">
            <v>TowerCo</v>
          </cell>
          <cell r="D1037" t="str">
            <v>Grid-Gen</v>
          </cell>
        </row>
        <row r="1038">
          <cell r="A1038" t="str">
            <v>LIT_122</v>
          </cell>
          <cell r="B1038" t="str">
            <v>HIS</v>
          </cell>
          <cell r="C1038" t="str">
            <v>TowerCo</v>
          </cell>
          <cell r="D1038" t="str">
            <v>Grid Only</v>
          </cell>
        </row>
        <row r="1039">
          <cell r="A1039" t="str">
            <v>LIT_486</v>
          </cell>
          <cell r="B1039" t="str">
            <v>HIS</v>
          </cell>
          <cell r="C1039" t="str">
            <v>TowerCo</v>
          </cell>
          <cell r="D1039" t="str">
            <v>Grid Only</v>
          </cell>
        </row>
        <row r="1040">
          <cell r="A1040" t="str">
            <v>LIT_141</v>
          </cell>
          <cell r="B1040" t="str">
            <v>HIS</v>
          </cell>
          <cell r="C1040" t="str">
            <v>TowerCo</v>
          </cell>
          <cell r="D1040" t="str">
            <v>Grid Only</v>
          </cell>
        </row>
        <row r="1041">
          <cell r="A1041" t="str">
            <v>LIT_436</v>
          </cell>
          <cell r="B1041" t="str">
            <v>HIS</v>
          </cell>
          <cell r="C1041" t="str">
            <v>TowerCo</v>
          </cell>
          <cell r="D1041" t="str">
            <v>Grid-Gen</v>
          </cell>
        </row>
        <row r="1042">
          <cell r="A1042" t="str">
            <v>LIT_497</v>
          </cell>
          <cell r="B1042" t="str">
            <v>HIS</v>
          </cell>
          <cell r="C1042" t="str">
            <v>TowerCo</v>
          </cell>
          <cell r="D1042" t="str">
            <v>Solar-Gen</v>
          </cell>
        </row>
        <row r="1043">
          <cell r="A1043" t="str">
            <v>LIT_588</v>
          </cell>
          <cell r="B1043" t="str">
            <v>HIS</v>
          </cell>
          <cell r="C1043" t="str">
            <v>TowerCo</v>
          </cell>
          <cell r="D1043" t="str">
            <v>Grid-Gen</v>
          </cell>
        </row>
        <row r="1044">
          <cell r="A1044" t="str">
            <v>LIT_268</v>
          </cell>
          <cell r="B1044" t="str">
            <v>HIS</v>
          </cell>
          <cell r="C1044" t="str">
            <v>TowerCo</v>
          </cell>
          <cell r="D1044" t="str">
            <v>Grid-Gen</v>
          </cell>
        </row>
        <row r="1045">
          <cell r="A1045" t="str">
            <v>LIT_277</v>
          </cell>
          <cell r="B1045" t="str">
            <v>HIS</v>
          </cell>
          <cell r="C1045" t="str">
            <v>TowerCo</v>
          </cell>
          <cell r="D1045" t="str">
            <v>Grid Only</v>
          </cell>
        </row>
        <row r="1046">
          <cell r="A1046" t="str">
            <v>LIT_336</v>
          </cell>
          <cell r="B1046" t="str">
            <v>HIS</v>
          </cell>
          <cell r="C1046" t="str">
            <v>TowerCo</v>
          </cell>
          <cell r="D1046" t="str">
            <v>Grid Only</v>
          </cell>
        </row>
        <row r="1047">
          <cell r="A1047" t="str">
            <v>LIT_429</v>
          </cell>
          <cell r="B1047" t="str">
            <v>HIS</v>
          </cell>
          <cell r="C1047" t="str">
            <v>TowerCo</v>
          </cell>
          <cell r="D1047" t="str">
            <v>Grid-Gen</v>
          </cell>
        </row>
        <row r="1048">
          <cell r="A1048" t="str">
            <v>LIT_075</v>
          </cell>
          <cell r="B1048" t="str">
            <v>HIS</v>
          </cell>
          <cell r="C1048" t="str">
            <v>TowerCo</v>
          </cell>
          <cell r="D1048" t="str">
            <v>Dismantled</v>
          </cell>
        </row>
        <row r="1049">
          <cell r="A1049" t="str">
            <v>CTR_053</v>
          </cell>
          <cell r="B1049" t="str">
            <v>HIS</v>
          </cell>
          <cell r="C1049" t="str">
            <v>TowerCo</v>
          </cell>
          <cell r="D1049" t="str">
            <v>Grid-Gen</v>
          </cell>
        </row>
        <row r="1050">
          <cell r="A1050" t="str">
            <v>CTR_111</v>
          </cell>
          <cell r="B1050" t="str">
            <v>HIS</v>
          </cell>
          <cell r="C1050" t="str">
            <v>TowerCo</v>
          </cell>
          <cell r="D1050" t="str">
            <v>Grid-Gen</v>
          </cell>
        </row>
        <row r="1051">
          <cell r="A1051" t="str">
            <v>SUD_012</v>
          </cell>
          <cell r="B1051" t="str">
            <v>HIS</v>
          </cell>
          <cell r="C1051" t="str">
            <v>TowerCo</v>
          </cell>
          <cell r="D1051" t="str">
            <v>Grid-Gen</v>
          </cell>
        </row>
        <row r="1052">
          <cell r="A1052" t="str">
            <v>SUD_251</v>
          </cell>
          <cell r="B1052" t="str">
            <v>HIS</v>
          </cell>
          <cell r="C1052" t="str">
            <v>TowerCo</v>
          </cell>
          <cell r="D1052" t="str">
            <v>Hybrid-Gen</v>
          </cell>
        </row>
        <row r="1053">
          <cell r="A1053" t="str">
            <v>CTR_298</v>
          </cell>
          <cell r="B1053" t="str">
            <v>HIS</v>
          </cell>
          <cell r="C1053" t="str">
            <v>TowerCo</v>
          </cell>
          <cell r="D1053" t="str">
            <v>Hybrid-Gen</v>
          </cell>
        </row>
        <row r="1054">
          <cell r="A1054" t="str">
            <v>SUD_233</v>
          </cell>
          <cell r="B1054" t="str">
            <v>HIS</v>
          </cell>
          <cell r="C1054" t="str">
            <v>TowerCo</v>
          </cell>
          <cell r="D1054" t="str">
            <v>Hybrid-Gen</v>
          </cell>
        </row>
        <row r="1055">
          <cell r="A1055" t="str">
            <v>SUD_231</v>
          </cell>
          <cell r="B1055" t="str">
            <v>HIS</v>
          </cell>
          <cell r="C1055" t="str">
            <v>TowerCo</v>
          </cell>
          <cell r="D1055" t="str">
            <v>Hybrid-Gen</v>
          </cell>
        </row>
        <row r="1056">
          <cell r="A1056" t="str">
            <v>SUD_232</v>
          </cell>
          <cell r="B1056" t="str">
            <v>HIS</v>
          </cell>
          <cell r="C1056" t="str">
            <v>TowerCo</v>
          </cell>
          <cell r="D1056" t="str">
            <v>Hybrid-Gen</v>
          </cell>
        </row>
        <row r="1057">
          <cell r="A1057" t="str">
            <v>SUD_244</v>
          </cell>
          <cell r="B1057" t="str">
            <v>HIS</v>
          </cell>
          <cell r="C1057" t="str">
            <v>TowerCo</v>
          </cell>
          <cell r="D1057" t="str">
            <v>Hybrid-Gen</v>
          </cell>
        </row>
        <row r="1058">
          <cell r="A1058" t="str">
            <v>SUD_050</v>
          </cell>
          <cell r="B1058" t="str">
            <v>HIS</v>
          </cell>
          <cell r="C1058" t="str">
            <v>TowerCo</v>
          </cell>
          <cell r="D1058" t="str">
            <v>Grid-Hybrid-Gen</v>
          </cell>
        </row>
        <row r="1059">
          <cell r="A1059" t="str">
            <v>SUD_222</v>
          </cell>
          <cell r="B1059" t="str">
            <v>HIS</v>
          </cell>
          <cell r="C1059" t="str">
            <v>TowerCo</v>
          </cell>
          <cell r="D1059" t="str">
            <v>Solar-Gen</v>
          </cell>
        </row>
        <row r="1060">
          <cell r="A1060" t="str">
            <v>SUD_064</v>
          </cell>
          <cell r="B1060" t="str">
            <v>HIS</v>
          </cell>
          <cell r="C1060" t="str">
            <v>TowerCo</v>
          </cell>
          <cell r="D1060" t="str">
            <v>Grid-Gen</v>
          </cell>
        </row>
        <row r="1061">
          <cell r="A1061" t="str">
            <v>SUD_224</v>
          </cell>
          <cell r="B1061" t="str">
            <v>HIS</v>
          </cell>
          <cell r="C1061" t="str">
            <v>TowerCo</v>
          </cell>
          <cell r="D1061" t="str">
            <v>Grid-Gen</v>
          </cell>
        </row>
        <row r="1062">
          <cell r="A1062" t="str">
            <v>SUD_066</v>
          </cell>
          <cell r="B1062" t="str">
            <v>HIS</v>
          </cell>
          <cell r="C1062" t="str">
            <v>TowerCo</v>
          </cell>
          <cell r="D1062" t="str">
            <v>Grid-Hybrid-Gen</v>
          </cell>
        </row>
        <row r="1063">
          <cell r="A1063" t="str">
            <v>SUD_248</v>
          </cell>
          <cell r="B1063" t="str">
            <v>HIS</v>
          </cell>
          <cell r="C1063" t="str">
            <v>TowerCo</v>
          </cell>
          <cell r="D1063" t="str">
            <v>Hybrid-Gen</v>
          </cell>
        </row>
        <row r="1064">
          <cell r="A1064" t="str">
            <v>SUD_237</v>
          </cell>
          <cell r="B1064" t="str">
            <v>HIS</v>
          </cell>
          <cell r="C1064" t="str">
            <v>TowerCo</v>
          </cell>
          <cell r="D1064" t="str">
            <v>Gen Only</v>
          </cell>
        </row>
        <row r="1065">
          <cell r="A1065" t="str">
            <v>SUD_247</v>
          </cell>
          <cell r="B1065" t="str">
            <v>HIS</v>
          </cell>
          <cell r="C1065" t="str">
            <v>TowerCo</v>
          </cell>
          <cell r="D1065" t="str">
            <v>Hybrid-Gen</v>
          </cell>
        </row>
        <row r="1066">
          <cell r="A1066" t="str">
            <v>SUD_069</v>
          </cell>
          <cell r="B1066" t="str">
            <v>HIS</v>
          </cell>
          <cell r="C1066" t="str">
            <v>TowerCo</v>
          </cell>
          <cell r="D1066" t="str">
            <v>Gen Only</v>
          </cell>
        </row>
        <row r="1067">
          <cell r="A1067" t="str">
            <v>SUD_252</v>
          </cell>
          <cell r="B1067" t="str">
            <v>HIS</v>
          </cell>
          <cell r="C1067" t="str">
            <v>TowerCo</v>
          </cell>
          <cell r="D1067" t="str">
            <v>Hybrid-Gen</v>
          </cell>
        </row>
        <row r="1068">
          <cell r="A1068" t="str">
            <v>SUD_228</v>
          </cell>
          <cell r="B1068" t="str">
            <v>HIS</v>
          </cell>
          <cell r="C1068" t="str">
            <v>TowerCo</v>
          </cell>
          <cell r="D1068" t="str">
            <v>Grid-Gen</v>
          </cell>
        </row>
        <row r="1069">
          <cell r="A1069" t="str">
            <v>CTR_225</v>
          </cell>
          <cell r="B1069" t="str">
            <v>HIS</v>
          </cell>
          <cell r="C1069" t="str">
            <v>TowerCo</v>
          </cell>
          <cell r="D1069" t="str">
            <v>Grid-Hybrid-Gen</v>
          </cell>
        </row>
        <row r="1070">
          <cell r="A1070" t="str">
            <v>SUD_249</v>
          </cell>
          <cell r="B1070" t="str">
            <v>HIS</v>
          </cell>
          <cell r="C1070" t="str">
            <v>TowerCo</v>
          </cell>
          <cell r="D1070" t="str">
            <v>Grid-Gen</v>
          </cell>
        </row>
        <row r="1071">
          <cell r="A1071" t="str">
            <v>SUD_235</v>
          </cell>
          <cell r="B1071" t="str">
            <v>HIS</v>
          </cell>
          <cell r="C1071" t="str">
            <v>TowerCo</v>
          </cell>
          <cell r="D1071" t="str">
            <v>Grid-Gen</v>
          </cell>
        </row>
        <row r="1072">
          <cell r="A1072" t="str">
            <v>SUD_052</v>
          </cell>
          <cell r="B1072" t="str">
            <v>HIS</v>
          </cell>
          <cell r="C1072" t="str">
            <v>TowerCo</v>
          </cell>
          <cell r="D1072" t="str">
            <v>Grid-Gen</v>
          </cell>
        </row>
        <row r="1073">
          <cell r="A1073" t="str">
            <v>SUD_062</v>
          </cell>
          <cell r="B1073" t="str">
            <v>HIS</v>
          </cell>
          <cell r="C1073" t="str">
            <v>TowerCo</v>
          </cell>
          <cell r="D1073" t="str">
            <v>Grid-Gen</v>
          </cell>
        </row>
        <row r="1074">
          <cell r="A1074" t="str">
            <v>SUD_239</v>
          </cell>
          <cell r="B1074" t="str">
            <v>HIS</v>
          </cell>
          <cell r="C1074" t="str">
            <v>TowerCo</v>
          </cell>
          <cell r="D1074" t="str">
            <v>Grid-Gen</v>
          </cell>
        </row>
        <row r="1075">
          <cell r="A1075" t="str">
            <v>SUD_258</v>
          </cell>
          <cell r="B1075" t="str">
            <v>HIS</v>
          </cell>
          <cell r="C1075" t="str">
            <v>TowerCo</v>
          </cell>
          <cell r="D1075" t="str">
            <v>Grid-Gen</v>
          </cell>
        </row>
        <row r="1076">
          <cell r="A1076" t="str">
            <v>SUD_105</v>
          </cell>
          <cell r="B1076" t="str">
            <v>HIS</v>
          </cell>
          <cell r="C1076" t="str">
            <v>TowerCo</v>
          </cell>
          <cell r="D1076" t="str">
            <v>Hybrid-Gen</v>
          </cell>
        </row>
        <row r="1077">
          <cell r="A1077" t="str">
            <v>CTR_673</v>
          </cell>
          <cell r="B1077" t="str">
            <v>HIS</v>
          </cell>
          <cell r="C1077" t="str">
            <v>TowerCo</v>
          </cell>
          <cell r="D1077" t="str">
            <v>Solar-Grid-Gen</v>
          </cell>
        </row>
        <row r="1078">
          <cell r="A1078" t="str">
            <v>SUD_246</v>
          </cell>
          <cell r="B1078" t="str">
            <v>HIS</v>
          </cell>
          <cell r="C1078" t="str">
            <v>TowerCo</v>
          </cell>
          <cell r="D1078" t="str">
            <v>Solar-Gen</v>
          </cell>
        </row>
        <row r="1079">
          <cell r="A1079" t="str">
            <v>CTR_122</v>
          </cell>
          <cell r="B1079" t="str">
            <v>HIS</v>
          </cell>
          <cell r="C1079" t="str">
            <v>TowerCo</v>
          </cell>
          <cell r="D1079" t="str">
            <v>Grid-Gen</v>
          </cell>
        </row>
        <row r="1080">
          <cell r="A1080" t="str">
            <v>CTR_215</v>
          </cell>
          <cell r="B1080" t="str">
            <v>HIS</v>
          </cell>
          <cell r="C1080" t="str">
            <v>TowerCo</v>
          </cell>
          <cell r="D1080" t="str">
            <v>Grid-Gen</v>
          </cell>
        </row>
        <row r="1081">
          <cell r="A1081" t="str">
            <v>CTR_414</v>
          </cell>
          <cell r="B1081" t="str">
            <v>HIS</v>
          </cell>
          <cell r="C1081" t="str">
            <v>TowerCo</v>
          </cell>
          <cell r="D1081" t="str">
            <v>Grid Only</v>
          </cell>
        </row>
        <row r="1082">
          <cell r="A1082" t="str">
            <v>CTR_065</v>
          </cell>
          <cell r="B1082" t="str">
            <v>HIS</v>
          </cell>
          <cell r="C1082" t="str">
            <v>TowerCo</v>
          </cell>
          <cell r="D1082" t="str">
            <v>Grid-Gen</v>
          </cell>
        </row>
        <row r="1083">
          <cell r="A1083" t="str">
            <v>SUD_016</v>
          </cell>
          <cell r="B1083" t="str">
            <v>HIS</v>
          </cell>
          <cell r="C1083" t="str">
            <v>TowerCo</v>
          </cell>
          <cell r="D1083" t="str">
            <v>Grid-Gen</v>
          </cell>
        </row>
        <row r="1084">
          <cell r="A1084" t="str">
            <v>CTR_333</v>
          </cell>
          <cell r="B1084" t="str">
            <v>HIS</v>
          </cell>
          <cell r="C1084" t="str">
            <v>TowerCo</v>
          </cell>
          <cell r="D1084" t="str">
            <v>Grid-Gen</v>
          </cell>
        </row>
        <row r="1085">
          <cell r="A1085" t="str">
            <v>CTR_331</v>
          </cell>
          <cell r="B1085" t="str">
            <v>HIS</v>
          </cell>
          <cell r="C1085" t="str">
            <v>TowerCo</v>
          </cell>
          <cell r="D1085" t="str">
            <v>Grid-Gen</v>
          </cell>
        </row>
        <row r="1086">
          <cell r="A1086" t="str">
            <v>CTR_330</v>
          </cell>
          <cell r="B1086" t="str">
            <v>HIS</v>
          </cell>
          <cell r="C1086" t="str">
            <v>TowerCo</v>
          </cell>
          <cell r="D1086" t="str">
            <v>Grid-Gen</v>
          </cell>
        </row>
        <row r="1087">
          <cell r="A1087" t="str">
            <v>CTR_246</v>
          </cell>
          <cell r="B1087" t="str">
            <v>HIS</v>
          </cell>
          <cell r="C1087" t="str">
            <v>TowerCo</v>
          </cell>
          <cell r="D1087" t="str">
            <v>Grid-Gen</v>
          </cell>
        </row>
        <row r="1088">
          <cell r="A1088" t="str">
            <v>CTR_016</v>
          </cell>
          <cell r="B1088" t="str">
            <v>HIS</v>
          </cell>
          <cell r="C1088" t="str">
            <v>TowerCo</v>
          </cell>
          <cell r="D1088" t="str">
            <v>Grid-Gen</v>
          </cell>
        </row>
        <row r="1089">
          <cell r="A1089" t="str">
            <v>CTR_008</v>
          </cell>
          <cell r="B1089" t="str">
            <v>HIS</v>
          </cell>
          <cell r="C1089" t="str">
            <v>TowerCo</v>
          </cell>
          <cell r="D1089" t="str">
            <v>Grid-Gen</v>
          </cell>
        </row>
        <row r="1090">
          <cell r="A1090" t="str">
            <v>CTR_483</v>
          </cell>
          <cell r="B1090" t="str">
            <v>HIS</v>
          </cell>
          <cell r="C1090" t="str">
            <v>TowerCo</v>
          </cell>
          <cell r="D1090" t="str">
            <v>Grid-Gen</v>
          </cell>
        </row>
        <row r="1091">
          <cell r="A1091" t="str">
            <v>CTR_389</v>
          </cell>
          <cell r="B1091" t="str">
            <v>HIS</v>
          </cell>
          <cell r="C1091" t="str">
            <v>TowerCo</v>
          </cell>
          <cell r="D1091" t="str">
            <v>Grid-Gen</v>
          </cell>
        </row>
        <row r="1092">
          <cell r="A1092" t="str">
            <v>CTR_519</v>
          </cell>
          <cell r="B1092" t="str">
            <v>HIS</v>
          </cell>
          <cell r="C1092" t="str">
            <v>TowerCo</v>
          </cell>
          <cell r="D1092" t="str">
            <v>Grid-Gen</v>
          </cell>
        </row>
        <row r="1093">
          <cell r="A1093" t="str">
            <v>CTR_522</v>
          </cell>
          <cell r="B1093" t="str">
            <v>HIS</v>
          </cell>
          <cell r="C1093" t="str">
            <v>TowerCo</v>
          </cell>
          <cell r="D1093" t="str">
            <v>Grid-Gen</v>
          </cell>
        </row>
        <row r="1094">
          <cell r="A1094" t="str">
            <v>CTR_647</v>
          </cell>
          <cell r="B1094" t="str">
            <v>HIS</v>
          </cell>
          <cell r="C1094" t="str">
            <v>TowerCo</v>
          </cell>
          <cell r="D1094" t="str">
            <v>Grid-Gen</v>
          </cell>
        </row>
        <row r="1095">
          <cell r="A1095" t="str">
            <v>LIT_349</v>
          </cell>
          <cell r="B1095" t="str">
            <v>HIS</v>
          </cell>
          <cell r="C1095" t="str">
            <v>TowerCo</v>
          </cell>
          <cell r="D1095" t="str">
            <v>Hybrid-Gen</v>
          </cell>
        </row>
        <row r="1096">
          <cell r="A1096" t="str">
            <v>CTR_479</v>
          </cell>
          <cell r="B1096" t="str">
            <v>HIS</v>
          </cell>
          <cell r="C1096" t="str">
            <v>TowerCo</v>
          </cell>
          <cell r="D1096" t="str">
            <v>Grid-Gen</v>
          </cell>
        </row>
        <row r="1097">
          <cell r="A1097" t="str">
            <v>CTR_488</v>
          </cell>
          <cell r="B1097" t="str">
            <v>HIS</v>
          </cell>
          <cell r="C1097" t="str">
            <v>TowerCo</v>
          </cell>
          <cell r="D1097" t="str">
            <v>Grid-Gen</v>
          </cell>
        </row>
        <row r="1098">
          <cell r="A1098" t="str">
            <v>CTR_196</v>
          </cell>
          <cell r="B1098" t="str">
            <v>HIS</v>
          </cell>
          <cell r="C1098" t="str">
            <v>TowerCo</v>
          </cell>
          <cell r="D1098" t="str">
            <v>Grid-Gen</v>
          </cell>
        </row>
        <row r="1099">
          <cell r="A1099" t="str">
            <v>CTR_276</v>
          </cell>
          <cell r="B1099" t="str">
            <v>HIS</v>
          </cell>
          <cell r="C1099" t="str">
            <v>TowerCo</v>
          </cell>
          <cell r="D1099" t="str">
            <v>Grid-Gen</v>
          </cell>
        </row>
        <row r="1100">
          <cell r="A1100" t="str">
            <v>CTR_227</v>
          </cell>
          <cell r="B1100" t="str">
            <v>HIS</v>
          </cell>
          <cell r="C1100" t="str">
            <v>TowerCo</v>
          </cell>
          <cell r="D1100" t="str">
            <v>Hybrid-Gen</v>
          </cell>
        </row>
        <row r="1101">
          <cell r="A1101" t="str">
            <v>CTR_074</v>
          </cell>
          <cell r="B1101" t="str">
            <v>HIS</v>
          </cell>
          <cell r="C1101" t="str">
            <v>TowerCo</v>
          </cell>
          <cell r="D1101" t="str">
            <v>Grid-Gen</v>
          </cell>
        </row>
        <row r="1102">
          <cell r="A1102" t="str">
            <v>CTR_378</v>
          </cell>
          <cell r="B1102" t="str">
            <v>HIS</v>
          </cell>
          <cell r="C1102" t="str">
            <v>TowerCo</v>
          </cell>
          <cell r="D1102" t="str">
            <v>Grid-Gen</v>
          </cell>
        </row>
        <row r="1103">
          <cell r="A1103" t="str">
            <v>CTR_099</v>
          </cell>
          <cell r="B1103" t="str">
            <v>HIS</v>
          </cell>
          <cell r="C1103" t="str">
            <v>TowerCo</v>
          </cell>
          <cell r="D1103" t="str">
            <v>Grid-Gen</v>
          </cell>
        </row>
        <row r="1104">
          <cell r="A1104" t="str">
            <v>CTR_255</v>
          </cell>
          <cell r="B1104" t="str">
            <v>HIS</v>
          </cell>
          <cell r="C1104" t="str">
            <v>TowerCo</v>
          </cell>
          <cell r="D1104" t="str">
            <v>Grid-Gen</v>
          </cell>
        </row>
        <row r="1105">
          <cell r="A1105" t="str">
            <v>CTR_158</v>
          </cell>
          <cell r="B1105" t="str">
            <v>HIS</v>
          </cell>
          <cell r="C1105" t="str">
            <v>TowerCo</v>
          </cell>
          <cell r="D1105" t="str">
            <v>Grid-Gen</v>
          </cell>
        </row>
        <row r="1106">
          <cell r="A1106" t="str">
            <v>CTR_262</v>
          </cell>
          <cell r="B1106" t="str">
            <v>HIS</v>
          </cell>
          <cell r="C1106" t="str">
            <v>TowerCo</v>
          </cell>
          <cell r="D1106" t="str">
            <v>Grid-Gen</v>
          </cell>
        </row>
        <row r="1107">
          <cell r="A1107" t="str">
            <v>CTR_340</v>
          </cell>
          <cell r="B1107" t="str">
            <v>HIS</v>
          </cell>
          <cell r="C1107" t="str">
            <v>TowerCo</v>
          </cell>
          <cell r="D1107" t="str">
            <v>Grid-Gen</v>
          </cell>
        </row>
        <row r="1108">
          <cell r="A1108" t="str">
            <v>CTR_259</v>
          </cell>
          <cell r="B1108" t="str">
            <v>HIS</v>
          </cell>
          <cell r="C1108" t="str">
            <v>TowerCo</v>
          </cell>
          <cell r="D1108" t="str">
            <v>Grid-Gen</v>
          </cell>
        </row>
        <row r="1109">
          <cell r="A1109" t="str">
            <v>CTR_056</v>
          </cell>
          <cell r="B1109" t="str">
            <v>HIS</v>
          </cell>
          <cell r="C1109" t="str">
            <v>TowerCo</v>
          </cell>
          <cell r="D1109" t="str">
            <v>Grid-Gen</v>
          </cell>
        </row>
        <row r="1110">
          <cell r="A1110" t="str">
            <v>CTR_249</v>
          </cell>
          <cell r="B1110" t="str">
            <v>HIS</v>
          </cell>
          <cell r="C1110" t="str">
            <v>TowerCo</v>
          </cell>
          <cell r="D1110" t="str">
            <v>Grid-Gen</v>
          </cell>
        </row>
        <row r="1111">
          <cell r="A1111" t="str">
            <v>CTR_209</v>
          </cell>
          <cell r="B1111" t="str">
            <v>HIS</v>
          </cell>
          <cell r="C1111" t="str">
            <v>TowerCo</v>
          </cell>
          <cell r="D1111" t="str">
            <v>Grid-Gen</v>
          </cell>
        </row>
        <row r="1112">
          <cell r="A1112" t="str">
            <v>CTR_256</v>
          </cell>
          <cell r="B1112" t="str">
            <v>HIS</v>
          </cell>
          <cell r="C1112" t="str">
            <v>TowerCo</v>
          </cell>
          <cell r="D1112" t="str">
            <v>Grid-Gen</v>
          </cell>
        </row>
        <row r="1113">
          <cell r="A1113" t="str">
            <v>CTR_285</v>
          </cell>
          <cell r="B1113" t="str">
            <v>HIS</v>
          </cell>
          <cell r="C1113" t="str">
            <v>TowerCo</v>
          </cell>
          <cell r="D1113" t="str">
            <v>Grid Only</v>
          </cell>
        </row>
        <row r="1114">
          <cell r="A1114" t="str">
            <v>CTR_386</v>
          </cell>
          <cell r="B1114" t="str">
            <v>HIS</v>
          </cell>
          <cell r="C1114" t="str">
            <v>TowerCo</v>
          </cell>
          <cell r="D1114" t="str">
            <v>Grid Only</v>
          </cell>
        </row>
        <row r="1115">
          <cell r="A1115" t="str">
            <v>CTR_159</v>
          </cell>
          <cell r="B1115" t="str">
            <v>HIS</v>
          </cell>
          <cell r="C1115" t="str">
            <v>TowerCo</v>
          </cell>
          <cell r="D1115" t="str">
            <v>Grid-Gen</v>
          </cell>
        </row>
        <row r="1116">
          <cell r="A1116" t="str">
            <v>CTR_238</v>
          </cell>
          <cell r="B1116" t="str">
            <v>HIS</v>
          </cell>
          <cell r="C1116" t="str">
            <v>TowerCo</v>
          </cell>
          <cell r="D1116" t="str">
            <v>Grid-Gen</v>
          </cell>
        </row>
        <row r="1117">
          <cell r="A1117" t="str">
            <v>CTR_261</v>
          </cell>
          <cell r="B1117" t="str">
            <v>HIS</v>
          </cell>
          <cell r="C1117" t="str">
            <v>TowerCo</v>
          </cell>
          <cell r="D1117" t="str">
            <v>Grid-Gen</v>
          </cell>
        </row>
        <row r="1118">
          <cell r="A1118" t="str">
            <v>CTR_310</v>
          </cell>
          <cell r="B1118" t="str">
            <v>HIS</v>
          </cell>
          <cell r="C1118" t="str">
            <v>TowerCo</v>
          </cell>
          <cell r="D1118" t="str">
            <v>Grid Only</v>
          </cell>
        </row>
        <row r="1119">
          <cell r="A1119" t="str">
            <v>CTR_240</v>
          </cell>
          <cell r="B1119" t="str">
            <v>HIS</v>
          </cell>
          <cell r="C1119" t="str">
            <v>TowerCo</v>
          </cell>
          <cell r="D1119" t="str">
            <v>Grid Only</v>
          </cell>
        </row>
        <row r="1120">
          <cell r="A1120" t="str">
            <v>CTR_035</v>
          </cell>
          <cell r="B1120" t="str">
            <v>HIS</v>
          </cell>
          <cell r="C1120" t="str">
            <v>TowerCo</v>
          </cell>
          <cell r="D1120" t="str">
            <v>Grid Only</v>
          </cell>
        </row>
        <row r="1121">
          <cell r="A1121" t="str">
            <v>CTR_382</v>
          </cell>
          <cell r="B1121" t="str">
            <v>HIS</v>
          </cell>
          <cell r="C1121" t="str">
            <v>TowerCo</v>
          </cell>
          <cell r="D1121" t="str">
            <v>Grid Only</v>
          </cell>
        </row>
        <row r="1122">
          <cell r="A1122" t="str">
            <v>CTR_010</v>
          </cell>
          <cell r="B1122" t="str">
            <v>HIS</v>
          </cell>
          <cell r="C1122" t="str">
            <v>TowerCo</v>
          </cell>
          <cell r="D1122" t="str">
            <v>Grid Only</v>
          </cell>
        </row>
        <row r="1123">
          <cell r="A1123" t="str">
            <v>CTR_623</v>
          </cell>
          <cell r="B1123" t="str">
            <v>HIS</v>
          </cell>
          <cell r="C1123" t="str">
            <v>TowerCo</v>
          </cell>
          <cell r="D1123" t="str">
            <v>Grid-Gen</v>
          </cell>
        </row>
        <row r="1124">
          <cell r="A1124" t="str">
            <v>CTR_467</v>
          </cell>
          <cell r="B1124" t="str">
            <v>HIS</v>
          </cell>
          <cell r="C1124" t="str">
            <v>TowerCo</v>
          </cell>
          <cell r="D1124" t="str">
            <v>Grid-Gen</v>
          </cell>
        </row>
        <row r="1125">
          <cell r="A1125" t="str">
            <v>CTR_309</v>
          </cell>
          <cell r="B1125" t="str">
            <v>HIS</v>
          </cell>
          <cell r="C1125" t="str">
            <v>TowerCo</v>
          </cell>
          <cell r="D1125" t="str">
            <v>Grid-Gen</v>
          </cell>
        </row>
        <row r="1126">
          <cell r="A1126" t="str">
            <v>CTR_466</v>
          </cell>
          <cell r="B1126" t="str">
            <v>HIS</v>
          </cell>
          <cell r="C1126" t="str">
            <v>TowerCo</v>
          </cell>
          <cell r="D1126" t="str">
            <v>Grid-Gen</v>
          </cell>
        </row>
        <row r="1127">
          <cell r="A1127" t="str">
            <v>CTR_661</v>
          </cell>
          <cell r="B1127" t="str">
            <v>HIS</v>
          </cell>
          <cell r="C1127" t="str">
            <v>TowerCo</v>
          </cell>
          <cell r="D1127" t="str">
            <v>Grid-Gen</v>
          </cell>
        </row>
        <row r="1128">
          <cell r="A1128" t="str">
            <v>CTR_471</v>
          </cell>
          <cell r="B1128" t="str">
            <v>HIS</v>
          </cell>
          <cell r="C1128" t="str">
            <v>TowerCo</v>
          </cell>
          <cell r="D1128" t="str">
            <v>Grid-Gen</v>
          </cell>
        </row>
        <row r="1129">
          <cell r="A1129" t="str">
            <v>CTR_419</v>
          </cell>
          <cell r="B1129" t="str">
            <v>HIS</v>
          </cell>
          <cell r="C1129" t="str">
            <v>TowerCo</v>
          </cell>
          <cell r="D1129" t="str">
            <v>Grid-Gen</v>
          </cell>
        </row>
        <row r="1130">
          <cell r="A1130" t="str">
            <v>CTR_487</v>
          </cell>
          <cell r="B1130" t="str">
            <v>HIS</v>
          </cell>
          <cell r="C1130" t="str">
            <v>TowerCo</v>
          </cell>
          <cell r="D1130" t="str">
            <v>Grid-Gen</v>
          </cell>
        </row>
        <row r="1131">
          <cell r="A1131" t="str">
            <v>CTR_465</v>
          </cell>
          <cell r="B1131" t="str">
            <v>HIS</v>
          </cell>
          <cell r="C1131" t="str">
            <v>TowerCo</v>
          </cell>
          <cell r="D1131" t="str">
            <v>Grid-Gen</v>
          </cell>
        </row>
        <row r="1132">
          <cell r="A1132" t="str">
            <v>CTR_269</v>
          </cell>
          <cell r="B1132" t="str">
            <v>HIS</v>
          </cell>
          <cell r="C1132" t="str">
            <v>TowerCo</v>
          </cell>
          <cell r="D1132" t="str">
            <v>Grid-Gen</v>
          </cell>
        </row>
        <row r="1133">
          <cell r="A1133" t="str">
            <v>CTR_593</v>
          </cell>
          <cell r="B1133" t="str">
            <v>HIS</v>
          </cell>
          <cell r="C1133" t="str">
            <v>TowerCo</v>
          </cell>
          <cell r="D1133" t="str">
            <v>Grid-Gen</v>
          </cell>
        </row>
        <row r="1134">
          <cell r="A1134" t="str">
            <v>CTR_635</v>
          </cell>
          <cell r="B1134" t="str">
            <v>HIS</v>
          </cell>
          <cell r="C1134" t="str">
            <v>TowerCo</v>
          </cell>
          <cell r="D1134" t="str">
            <v>Grid-Gen</v>
          </cell>
        </row>
        <row r="1135">
          <cell r="A1135" t="str">
            <v>CTR_591</v>
          </cell>
          <cell r="B1135" t="str">
            <v>HIS</v>
          </cell>
          <cell r="C1135" t="str">
            <v>TowerCo</v>
          </cell>
          <cell r="D1135" t="str">
            <v>Grid-Gen</v>
          </cell>
        </row>
        <row r="1136">
          <cell r="A1136" t="str">
            <v>CTR_639</v>
          </cell>
          <cell r="B1136" t="str">
            <v>HIS</v>
          </cell>
          <cell r="C1136" t="str">
            <v>TowerCo</v>
          </cell>
          <cell r="D1136" t="str">
            <v>Grid-Gen</v>
          </cell>
        </row>
        <row r="1137">
          <cell r="A1137" t="str">
            <v>CTR_549</v>
          </cell>
          <cell r="B1137" t="str">
            <v>HIS</v>
          </cell>
          <cell r="C1137" t="str">
            <v>TowerCo</v>
          </cell>
          <cell r="D1137" t="str">
            <v>Grid-Gen</v>
          </cell>
        </row>
        <row r="1138">
          <cell r="A1138" t="str">
            <v>CTR_543</v>
          </cell>
          <cell r="B1138" t="str">
            <v>HIS</v>
          </cell>
          <cell r="C1138" t="str">
            <v>TowerCo</v>
          </cell>
          <cell r="D1138" t="str">
            <v>Grid-Gen</v>
          </cell>
        </row>
        <row r="1139">
          <cell r="A1139" t="str">
            <v>CTR_604</v>
          </cell>
          <cell r="B1139" t="str">
            <v>HIS</v>
          </cell>
          <cell r="C1139" t="str">
            <v>TowerCo</v>
          </cell>
          <cell r="D1139" t="str">
            <v>Grid-Gen</v>
          </cell>
        </row>
        <row r="1140">
          <cell r="A1140" t="str">
            <v>CTR_632</v>
          </cell>
          <cell r="B1140" t="str">
            <v>HIS</v>
          </cell>
          <cell r="C1140" t="str">
            <v>TowerCo</v>
          </cell>
          <cell r="D1140" t="str">
            <v>Grid-Gen</v>
          </cell>
        </row>
        <row r="1141">
          <cell r="A1141" t="str">
            <v>CTR_694</v>
          </cell>
          <cell r="B1141" t="str">
            <v>HIS</v>
          </cell>
          <cell r="C1141" t="str">
            <v>TowerCo</v>
          </cell>
          <cell r="D1141" t="str">
            <v>Hybrid-Gen</v>
          </cell>
        </row>
        <row r="1142">
          <cell r="A1142" t="str">
            <v>CTR_676</v>
          </cell>
          <cell r="B1142" t="str">
            <v>HIS</v>
          </cell>
          <cell r="C1142" t="str">
            <v>TowerCo</v>
          </cell>
          <cell r="D1142" t="str">
            <v>Grid-Gen</v>
          </cell>
        </row>
        <row r="1143">
          <cell r="A1143" t="str">
            <v>CTR_191</v>
          </cell>
          <cell r="B1143" t="str">
            <v>HIS</v>
          </cell>
          <cell r="C1143" t="str">
            <v>TowerCo</v>
          </cell>
          <cell r="D1143" t="str">
            <v>Grid-Gen</v>
          </cell>
        </row>
        <row r="1144">
          <cell r="A1144" t="str">
            <v>CTR_228</v>
          </cell>
          <cell r="B1144" t="str">
            <v>HIS</v>
          </cell>
          <cell r="C1144" t="str">
            <v>TowerCo</v>
          </cell>
          <cell r="D1144" t="str">
            <v>Grid-Gen</v>
          </cell>
        </row>
        <row r="1145">
          <cell r="A1145" t="str">
            <v>CTR_553</v>
          </cell>
          <cell r="B1145" t="str">
            <v>HIS</v>
          </cell>
          <cell r="C1145" t="str">
            <v>TowerCo</v>
          </cell>
          <cell r="D1145" t="str">
            <v>Grid-Gen</v>
          </cell>
        </row>
        <row r="1146">
          <cell r="A1146" t="str">
            <v>CTR_696</v>
          </cell>
          <cell r="B1146" t="str">
            <v>HIS</v>
          </cell>
          <cell r="C1146" t="str">
            <v>TowerCo</v>
          </cell>
          <cell r="D1146" t="str">
            <v>Hybrid-Gen</v>
          </cell>
        </row>
        <row r="1147">
          <cell r="A1147" t="str">
            <v>EST_008</v>
          </cell>
          <cell r="B1147" t="str">
            <v>HIS</v>
          </cell>
          <cell r="C1147" t="str">
            <v>TowerCo</v>
          </cell>
          <cell r="D1147" t="str">
            <v>Grid-Gen</v>
          </cell>
        </row>
        <row r="1148">
          <cell r="A1148" t="str">
            <v>EST_003</v>
          </cell>
          <cell r="B1148" t="str">
            <v>HIS</v>
          </cell>
          <cell r="C1148" t="str">
            <v>TowerCo</v>
          </cell>
          <cell r="D1148" t="str">
            <v>Grid-Gen</v>
          </cell>
        </row>
        <row r="1149">
          <cell r="A1149" t="str">
            <v>EST_054</v>
          </cell>
          <cell r="B1149" t="str">
            <v>HIS</v>
          </cell>
          <cell r="C1149" t="str">
            <v>TowerCo</v>
          </cell>
          <cell r="D1149" t="str">
            <v>Solar-Gen</v>
          </cell>
        </row>
        <row r="1150">
          <cell r="A1150" t="str">
            <v>EST_053</v>
          </cell>
          <cell r="B1150" t="str">
            <v>HIS</v>
          </cell>
          <cell r="C1150" t="str">
            <v>TowerCo</v>
          </cell>
          <cell r="D1150" t="str">
            <v>Solar-Gen</v>
          </cell>
        </row>
        <row r="1151">
          <cell r="A1151" t="str">
            <v>EST_055</v>
          </cell>
          <cell r="B1151" t="str">
            <v>HIS</v>
          </cell>
          <cell r="C1151" t="str">
            <v>TowerCo</v>
          </cell>
          <cell r="D1151" t="str">
            <v>Solar-Gen</v>
          </cell>
        </row>
        <row r="1152">
          <cell r="A1152" t="str">
            <v>EST_056</v>
          </cell>
          <cell r="B1152" t="str">
            <v>HIS</v>
          </cell>
          <cell r="C1152" t="str">
            <v>TowerCo</v>
          </cell>
          <cell r="D1152" t="str">
            <v>Solar-Gen</v>
          </cell>
        </row>
        <row r="1153">
          <cell r="A1153" t="str">
            <v>EST_060</v>
          </cell>
          <cell r="B1153" t="str">
            <v>HIS</v>
          </cell>
          <cell r="C1153" t="str">
            <v>TowerCo</v>
          </cell>
          <cell r="D1153" t="str">
            <v>Grid-Gen</v>
          </cell>
        </row>
        <row r="1154">
          <cell r="A1154" t="str">
            <v>CTR_233</v>
          </cell>
          <cell r="B1154" t="str">
            <v>HIS</v>
          </cell>
          <cell r="C1154" t="str">
            <v>TowerCo</v>
          </cell>
          <cell r="D1154" t="str">
            <v>Hybrid-Gen</v>
          </cell>
        </row>
        <row r="1155">
          <cell r="A1155" t="str">
            <v>EST_032</v>
          </cell>
          <cell r="B1155" t="str">
            <v>HIS</v>
          </cell>
          <cell r="C1155" t="str">
            <v>TowerCo</v>
          </cell>
          <cell r="D1155" t="str">
            <v>Grid-Gen</v>
          </cell>
        </row>
        <row r="1156">
          <cell r="A1156" t="str">
            <v>EST_075</v>
          </cell>
          <cell r="B1156" t="str">
            <v>HIS</v>
          </cell>
          <cell r="C1156" t="str">
            <v>TowerCo</v>
          </cell>
          <cell r="D1156" t="str">
            <v>Grid-Gen</v>
          </cell>
        </row>
        <row r="1157">
          <cell r="A1157" t="str">
            <v>EST_077</v>
          </cell>
          <cell r="B1157" t="str">
            <v>HIS</v>
          </cell>
          <cell r="C1157" t="str">
            <v>TowerCo</v>
          </cell>
          <cell r="D1157" t="str">
            <v>Grid-Gen</v>
          </cell>
        </row>
        <row r="1158">
          <cell r="A1158" t="str">
            <v>EST_112</v>
          </cell>
          <cell r="B1158" t="str">
            <v>HIS</v>
          </cell>
          <cell r="C1158" t="str">
            <v>TowerCo</v>
          </cell>
          <cell r="D1158" t="str">
            <v>Grid-Gen</v>
          </cell>
        </row>
        <row r="1159">
          <cell r="A1159" t="str">
            <v>EST_107</v>
          </cell>
          <cell r="B1159" t="str">
            <v>HIS</v>
          </cell>
          <cell r="C1159" t="str">
            <v>TowerCo</v>
          </cell>
          <cell r="D1159" t="str">
            <v>Grid-Gen</v>
          </cell>
        </row>
        <row r="1160">
          <cell r="A1160" t="str">
            <v>EST_076</v>
          </cell>
          <cell r="B1160" t="str">
            <v>HIS</v>
          </cell>
          <cell r="C1160" t="str">
            <v>TowerCo</v>
          </cell>
          <cell r="D1160" t="str">
            <v>Grid-Gen</v>
          </cell>
        </row>
        <row r="1161">
          <cell r="A1161" t="str">
            <v>EST_064</v>
          </cell>
          <cell r="B1161" t="str">
            <v>HIS</v>
          </cell>
          <cell r="C1161" t="str">
            <v>TowerCo</v>
          </cell>
          <cell r="D1161" t="str">
            <v>Solar-Gen</v>
          </cell>
        </row>
        <row r="1162">
          <cell r="A1162" t="str">
            <v>EST_080</v>
          </cell>
          <cell r="B1162" t="str">
            <v>HIS</v>
          </cell>
          <cell r="C1162" t="str">
            <v>TowerCo</v>
          </cell>
          <cell r="D1162" t="str">
            <v>Grid-Gen</v>
          </cell>
        </row>
        <row r="1163">
          <cell r="A1163" t="str">
            <v>EST_051</v>
          </cell>
          <cell r="B1163" t="str">
            <v>HIS</v>
          </cell>
          <cell r="C1163" t="str">
            <v>TowerCo</v>
          </cell>
          <cell r="D1163" t="str">
            <v>Grid-Gen</v>
          </cell>
        </row>
        <row r="1164">
          <cell r="A1164" t="str">
            <v>EST_079</v>
          </cell>
          <cell r="B1164" t="str">
            <v>HIS</v>
          </cell>
          <cell r="C1164" t="str">
            <v>TowerCo</v>
          </cell>
          <cell r="D1164" t="str">
            <v>Grid-Gen</v>
          </cell>
        </row>
        <row r="1165">
          <cell r="A1165" t="str">
            <v>EST_093</v>
          </cell>
          <cell r="B1165" t="str">
            <v>HIS</v>
          </cell>
          <cell r="C1165" t="str">
            <v>TowerCo</v>
          </cell>
          <cell r="D1165" t="str">
            <v>Hybrid-Gen</v>
          </cell>
        </row>
        <row r="1166">
          <cell r="A1166" t="str">
            <v>EST_127</v>
          </cell>
          <cell r="B1166" t="str">
            <v>HIS</v>
          </cell>
          <cell r="C1166" t="str">
            <v>TowerCo</v>
          </cell>
          <cell r="D1166" t="str">
            <v>Grid-Gen</v>
          </cell>
        </row>
        <row r="1167">
          <cell r="A1167" t="str">
            <v>EST_069</v>
          </cell>
          <cell r="B1167" t="str">
            <v>HIS</v>
          </cell>
          <cell r="C1167" t="str">
            <v>TowerCo</v>
          </cell>
          <cell r="D1167" t="str">
            <v>Grid-Gen</v>
          </cell>
        </row>
        <row r="1168">
          <cell r="A1168" t="str">
            <v>CTR_138</v>
          </cell>
          <cell r="B1168" t="str">
            <v>HIS</v>
          </cell>
          <cell r="C1168" t="str">
            <v>TowerCo</v>
          </cell>
          <cell r="D1168" t="str">
            <v>Grid-Gen</v>
          </cell>
        </row>
        <row r="1169">
          <cell r="A1169" t="str">
            <v>EST_118</v>
          </cell>
          <cell r="B1169" t="str">
            <v>HIS</v>
          </cell>
          <cell r="C1169" t="str">
            <v>TowerCo</v>
          </cell>
          <cell r="D1169" t="str">
            <v>Grid-Gen</v>
          </cell>
        </row>
        <row r="1170">
          <cell r="A1170" t="str">
            <v>EST_083</v>
          </cell>
          <cell r="B1170" t="str">
            <v>HIS</v>
          </cell>
          <cell r="C1170" t="str">
            <v>TowerCo</v>
          </cell>
          <cell r="D1170" t="str">
            <v>Hybrid-Gen</v>
          </cell>
        </row>
        <row r="1171">
          <cell r="A1171" t="str">
            <v>EST_125</v>
          </cell>
          <cell r="B1171" t="str">
            <v>HIS</v>
          </cell>
          <cell r="C1171" t="str">
            <v>TowerCo</v>
          </cell>
          <cell r="D1171" t="str">
            <v>Hybrid-Gen</v>
          </cell>
        </row>
        <row r="1172">
          <cell r="A1172" t="str">
            <v>EST_061</v>
          </cell>
          <cell r="B1172" t="str">
            <v>HIS</v>
          </cell>
          <cell r="C1172" t="str">
            <v>TowerCo</v>
          </cell>
          <cell r="D1172" t="str">
            <v>Solar-Gen</v>
          </cell>
        </row>
        <row r="1173">
          <cell r="A1173" t="str">
            <v>EST_116</v>
          </cell>
          <cell r="B1173" t="str">
            <v>HIS</v>
          </cell>
          <cell r="C1173" t="str">
            <v>TowerCo</v>
          </cell>
          <cell r="D1173" t="str">
            <v>Hybrid-Gen</v>
          </cell>
        </row>
        <row r="1174">
          <cell r="A1174" t="str">
            <v>EST_073</v>
          </cell>
          <cell r="B1174" t="str">
            <v>HIS</v>
          </cell>
          <cell r="C1174" t="str">
            <v>TowerCo</v>
          </cell>
          <cell r="D1174" t="str">
            <v>Hybrid-Gen</v>
          </cell>
        </row>
        <row r="1175">
          <cell r="A1175" t="str">
            <v>EST_014</v>
          </cell>
          <cell r="B1175" t="str">
            <v>HIS</v>
          </cell>
          <cell r="C1175" t="str">
            <v>TowerCo</v>
          </cell>
          <cell r="D1175" t="str">
            <v>Solar-Gen</v>
          </cell>
        </row>
        <row r="1176">
          <cell r="A1176" t="str">
            <v>EST_094</v>
          </cell>
          <cell r="B1176" t="str">
            <v>HIS</v>
          </cell>
          <cell r="C1176" t="str">
            <v>TowerCo</v>
          </cell>
          <cell r="D1176" t="str">
            <v>Hybrid-Gen</v>
          </cell>
        </row>
        <row r="1177">
          <cell r="A1177" t="str">
            <v>EST_021</v>
          </cell>
          <cell r="B1177" t="str">
            <v>HIS</v>
          </cell>
          <cell r="C1177" t="str">
            <v>TowerCo</v>
          </cell>
          <cell r="D1177" t="str">
            <v>Gen Only</v>
          </cell>
        </row>
        <row r="1178">
          <cell r="A1178" t="str">
            <v>ADM_156</v>
          </cell>
          <cell r="B1178" t="str">
            <v>HIS</v>
          </cell>
          <cell r="C1178" t="str">
            <v>TowerCo</v>
          </cell>
          <cell r="D1178" t="str">
            <v>Grid-Gen</v>
          </cell>
        </row>
        <row r="1179">
          <cell r="A1179" t="str">
            <v>CTR_141</v>
          </cell>
          <cell r="B1179" t="str">
            <v>HIS</v>
          </cell>
          <cell r="C1179" t="str">
            <v>TowerCo</v>
          </cell>
          <cell r="D1179" t="str">
            <v>Solar-Gen</v>
          </cell>
        </row>
        <row r="1180">
          <cell r="A1180" t="str">
            <v>EST_063</v>
          </cell>
          <cell r="B1180" t="str">
            <v>HIS</v>
          </cell>
          <cell r="C1180" t="str">
            <v>TowerCo</v>
          </cell>
          <cell r="D1180" t="str">
            <v>Solar-Gen</v>
          </cell>
        </row>
        <row r="1181">
          <cell r="A1181" t="str">
            <v>CTR_054</v>
          </cell>
          <cell r="B1181" t="str">
            <v>HIS</v>
          </cell>
          <cell r="C1181" t="str">
            <v>TowerCo</v>
          </cell>
          <cell r="D1181" t="str">
            <v>Hybrid-Gen</v>
          </cell>
        </row>
        <row r="1182">
          <cell r="A1182" t="str">
            <v>CTR_095</v>
          </cell>
          <cell r="B1182" t="str">
            <v>HIS</v>
          </cell>
          <cell r="C1182" t="str">
            <v>TowerCo</v>
          </cell>
          <cell r="D1182" t="str">
            <v>Grid-Gen</v>
          </cell>
        </row>
        <row r="1183">
          <cell r="A1183" t="str">
            <v>OST_015</v>
          </cell>
          <cell r="B1183" t="str">
            <v>HIS</v>
          </cell>
          <cell r="C1183" t="str">
            <v>TowerCo</v>
          </cell>
          <cell r="D1183" t="str">
            <v>Grid-Gen</v>
          </cell>
        </row>
        <row r="1184">
          <cell r="A1184" t="str">
            <v>OST_010</v>
          </cell>
          <cell r="B1184" t="str">
            <v>HIS</v>
          </cell>
          <cell r="C1184" t="str">
            <v>TowerCo</v>
          </cell>
          <cell r="D1184" t="str">
            <v>Grid-Gen</v>
          </cell>
        </row>
        <row r="1185">
          <cell r="A1185" t="str">
            <v>CTR_226</v>
          </cell>
          <cell r="B1185" t="str">
            <v>HIS</v>
          </cell>
          <cell r="C1185" t="str">
            <v>TowerCo</v>
          </cell>
          <cell r="D1185" t="str">
            <v>Grid-Gen</v>
          </cell>
        </row>
        <row r="1186">
          <cell r="A1186" t="str">
            <v>OST_013</v>
          </cell>
          <cell r="B1186" t="str">
            <v>HIS</v>
          </cell>
          <cell r="C1186" t="str">
            <v>TowerCo</v>
          </cell>
          <cell r="D1186" t="str">
            <v>Grid-Gen</v>
          </cell>
        </row>
        <row r="1187">
          <cell r="A1187" t="str">
            <v>LIT_063</v>
          </cell>
          <cell r="B1187" t="str">
            <v>HIS</v>
          </cell>
          <cell r="C1187" t="str">
            <v>TowerCo</v>
          </cell>
          <cell r="D1187" t="str">
            <v>Grid-Gen</v>
          </cell>
        </row>
        <row r="1188">
          <cell r="A1188" t="str">
            <v>OST_126</v>
          </cell>
          <cell r="B1188" t="str">
            <v>HIS</v>
          </cell>
          <cell r="C1188" t="str">
            <v>TowerCo</v>
          </cell>
          <cell r="D1188" t="str">
            <v>Grid Only</v>
          </cell>
        </row>
        <row r="1189">
          <cell r="A1189" t="str">
            <v>OST_012</v>
          </cell>
          <cell r="B1189" t="str">
            <v>HIS</v>
          </cell>
          <cell r="C1189" t="str">
            <v>TowerCo</v>
          </cell>
          <cell r="D1189" t="str">
            <v>Grid-Gen</v>
          </cell>
        </row>
        <row r="1190">
          <cell r="A1190" t="str">
            <v>CTR_231</v>
          </cell>
          <cell r="B1190" t="str">
            <v>HIS</v>
          </cell>
          <cell r="C1190" t="str">
            <v>TowerCo</v>
          </cell>
          <cell r="D1190" t="str">
            <v>Grid-Gen</v>
          </cell>
        </row>
        <row r="1191">
          <cell r="A1191" t="str">
            <v>SUO_028</v>
          </cell>
          <cell r="B1191" t="str">
            <v>HIS</v>
          </cell>
          <cell r="C1191" t="str">
            <v>TowerCo</v>
          </cell>
          <cell r="D1191" t="str">
            <v>Grid-Gen</v>
          </cell>
        </row>
        <row r="1192">
          <cell r="A1192" t="str">
            <v>CTR_206</v>
          </cell>
          <cell r="B1192" t="str">
            <v>HIS</v>
          </cell>
          <cell r="C1192" t="str">
            <v>TowerCo</v>
          </cell>
          <cell r="D1192" t="str">
            <v>Grid-Gen</v>
          </cell>
        </row>
        <row r="1193">
          <cell r="A1193" t="str">
            <v>CTR_190</v>
          </cell>
          <cell r="B1193" t="str">
            <v>HIS</v>
          </cell>
          <cell r="C1193" t="str">
            <v>TowerCo</v>
          </cell>
          <cell r="D1193" t="str">
            <v>Grid-Gen</v>
          </cell>
        </row>
        <row r="1194">
          <cell r="A1194" t="str">
            <v>OST_158</v>
          </cell>
          <cell r="B1194" t="str">
            <v>HIS</v>
          </cell>
          <cell r="C1194" t="str">
            <v>TowerCo</v>
          </cell>
          <cell r="D1194" t="str">
            <v>Grid-Gen</v>
          </cell>
        </row>
        <row r="1195">
          <cell r="A1195" t="str">
            <v>CTR_362</v>
          </cell>
          <cell r="B1195" t="str">
            <v>HIS</v>
          </cell>
          <cell r="C1195" t="str">
            <v>TowerCo</v>
          </cell>
          <cell r="D1195" t="str">
            <v>Grid-Gen</v>
          </cell>
        </row>
        <row r="1196">
          <cell r="A1196" t="str">
            <v>CTR_092</v>
          </cell>
          <cell r="B1196" t="str">
            <v>HIS</v>
          </cell>
          <cell r="C1196" t="str">
            <v>TowerCo</v>
          </cell>
          <cell r="D1196" t="str">
            <v>Grid-Hybrid-Gen</v>
          </cell>
        </row>
        <row r="1197">
          <cell r="A1197" t="str">
            <v>OST_022</v>
          </cell>
          <cell r="B1197" t="str">
            <v>HIS</v>
          </cell>
          <cell r="C1197" t="str">
            <v>TowerCo</v>
          </cell>
          <cell r="D1197" t="str">
            <v>Grid-Gen</v>
          </cell>
        </row>
        <row r="1198">
          <cell r="A1198" t="str">
            <v>CTR_022</v>
          </cell>
          <cell r="B1198" t="str">
            <v>HIS</v>
          </cell>
          <cell r="C1198" t="str">
            <v>TowerCo</v>
          </cell>
          <cell r="D1198" t="str">
            <v>Grid-Gen</v>
          </cell>
        </row>
        <row r="1199">
          <cell r="A1199" t="str">
            <v>LIT_136</v>
          </cell>
          <cell r="B1199" t="str">
            <v>HIS</v>
          </cell>
          <cell r="C1199" t="str">
            <v>TowerCo</v>
          </cell>
          <cell r="D1199" t="str">
            <v>Grid-Gen</v>
          </cell>
        </row>
        <row r="1200">
          <cell r="A1200" t="str">
            <v>CTR_081</v>
          </cell>
          <cell r="B1200" t="str">
            <v>HIS</v>
          </cell>
          <cell r="C1200" t="str">
            <v>TowerCo</v>
          </cell>
          <cell r="D1200" t="str">
            <v>Grid-Gen</v>
          </cell>
        </row>
        <row r="1201">
          <cell r="A1201" t="str">
            <v>CTR_397</v>
          </cell>
          <cell r="B1201" t="str">
            <v>HIS</v>
          </cell>
          <cell r="C1201" t="str">
            <v>TowerCo</v>
          </cell>
          <cell r="D1201" t="str">
            <v>Grid-Gen</v>
          </cell>
        </row>
        <row r="1202">
          <cell r="A1202" t="str">
            <v>OST_088</v>
          </cell>
          <cell r="B1202" t="str">
            <v>HIS</v>
          </cell>
          <cell r="C1202" t="str">
            <v>TowerCo</v>
          </cell>
          <cell r="D1202" t="str">
            <v>Grid-Gen</v>
          </cell>
        </row>
        <row r="1203">
          <cell r="A1203" t="str">
            <v>OST_053</v>
          </cell>
          <cell r="B1203" t="str">
            <v>HIS</v>
          </cell>
          <cell r="C1203" t="str">
            <v>TowerCo</v>
          </cell>
          <cell r="D1203" t="str">
            <v>Grid-Gen</v>
          </cell>
        </row>
        <row r="1204">
          <cell r="A1204" t="str">
            <v>OST_037</v>
          </cell>
          <cell r="B1204" t="str">
            <v>HIS</v>
          </cell>
          <cell r="C1204" t="str">
            <v>TowerCo</v>
          </cell>
          <cell r="D1204" t="str">
            <v>Grid-Gen</v>
          </cell>
        </row>
        <row r="1205">
          <cell r="A1205" t="str">
            <v>OST_033</v>
          </cell>
          <cell r="B1205" t="str">
            <v>HIS</v>
          </cell>
          <cell r="C1205" t="str">
            <v>TowerCo</v>
          </cell>
          <cell r="D1205" t="str">
            <v>Grid-Gen</v>
          </cell>
        </row>
        <row r="1206">
          <cell r="A1206" t="str">
            <v>SUO_013</v>
          </cell>
          <cell r="B1206" t="str">
            <v>HIS</v>
          </cell>
          <cell r="C1206" t="str">
            <v>TowerCo</v>
          </cell>
          <cell r="D1206" t="str">
            <v>Grid-Gen</v>
          </cell>
        </row>
        <row r="1207">
          <cell r="A1207" t="str">
            <v>OST_018</v>
          </cell>
          <cell r="B1207" t="str">
            <v>HIS</v>
          </cell>
          <cell r="C1207" t="str">
            <v>TowerCo</v>
          </cell>
          <cell r="D1207" t="str">
            <v>Grid Only</v>
          </cell>
        </row>
        <row r="1208">
          <cell r="A1208" t="str">
            <v>CTR_278</v>
          </cell>
          <cell r="B1208" t="str">
            <v>HIS</v>
          </cell>
          <cell r="C1208" t="str">
            <v>TowerCo</v>
          </cell>
          <cell r="D1208" t="str">
            <v>Hybrid-Gen</v>
          </cell>
        </row>
        <row r="1209">
          <cell r="A1209" t="str">
            <v>CTR_277</v>
          </cell>
          <cell r="B1209" t="str">
            <v>HIS</v>
          </cell>
          <cell r="C1209" t="str">
            <v>TowerCo</v>
          </cell>
          <cell r="D1209" t="str">
            <v>Solar-Gen</v>
          </cell>
        </row>
        <row r="1210">
          <cell r="A1210" t="str">
            <v>CTR_091</v>
          </cell>
          <cell r="B1210" t="str">
            <v>HIS</v>
          </cell>
          <cell r="C1210" t="str">
            <v>TowerCo</v>
          </cell>
          <cell r="D1210" t="str">
            <v>Solar-Gen</v>
          </cell>
        </row>
        <row r="1211">
          <cell r="A1211" t="str">
            <v>LIT_501</v>
          </cell>
          <cell r="B1211" t="str">
            <v>HIS</v>
          </cell>
          <cell r="C1211" t="str">
            <v>TowerCo</v>
          </cell>
          <cell r="D1211" t="str">
            <v>Hybrid-Gen</v>
          </cell>
        </row>
        <row r="1212">
          <cell r="A1212" t="str">
            <v>LIT_502</v>
          </cell>
          <cell r="B1212" t="str">
            <v>HIS</v>
          </cell>
          <cell r="C1212" t="str">
            <v>TowerCo</v>
          </cell>
          <cell r="D1212" t="str">
            <v>Gen Only</v>
          </cell>
        </row>
        <row r="1213">
          <cell r="A1213" t="str">
            <v>NRO_093</v>
          </cell>
          <cell r="B1213" t="str">
            <v>HIS</v>
          </cell>
          <cell r="C1213" t="str">
            <v>TowerCo</v>
          </cell>
          <cell r="D1213" t="str">
            <v>Grid-Gen</v>
          </cell>
        </row>
        <row r="1214">
          <cell r="A1214" t="str">
            <v>CTR_828</v>
          </cell>
          <cell r="B1214" t="str">
            <v>HIS</v>
          </cell>
          <cell r="C1214" t="str">
            <v>TowerCo</v>
          </cell>
          <cell r="D1214" t="str">
            <v>Grid-Hybrid-Gen</v>
          </cell>
        </row>
        <row r="1215">
          <cell r="A1215" t="str">
            <v>SUO_150</v>
          </cell>
          <cell r="B1215" t="str">
            <v>HIS</v>
          </cell>
          <cell r="C1215" t="str">
            <v>TowerCo</v>
          </cell>
          <cell r="D1215" t="str">
            <v>Grid-Gen</v>
          </cell>
        </row>
        <row r="1216">
          <cell r="A1216" t="str">
            <v>OST_025</v>
          </cell>
          <cell r="B1216" t="str">
            <v>HIS</v>
          </cell>
          <cell r="C1216" t="str">
            <v>TowerCo</v>
          </cell>
          <cell r="D1216" t="str">
            <v>Grid-Gen</v>
          </cell>
        </row>
        <row r="1217">
          <cell r="A1217" t="str">
            <v>LIT_239</v>
          </cell>
          <cell r="B1217" t="str">
            <v>HIS</v>
          </cell>
          <cell r="C1217" t="str">
            <v>TowerCo</v>
          </cell>
          <cell r="D1217" t="str">
            <v>Grid-Gen</v>
          </cell>
        </row>
        <row r="1218">
          <cell r="A1218" t="str">
            <v>CTR_082</v>
          </cell>
          <cell r="B1218" t="str">
            <v>HIS</v>
          </cell>
          <cell r="C1218" t="str">
            <v>TowerCo</v>
          </cell>
          <cell r="D1218" t="str">
            <v>Grid-Gen</v>
          </cell>
        </row>
        <row r="1219">
          <cell r="A1219" t="str">
            <v>CTR_364</v>
          </cell>
          <cell r="B1219" t="str">
            <v>HIS</v>
          </cell>
          <cell r="C1219" t="str">
            <v>TowerCo</v>
          </cell>
          <cell r="D1219" t="str">
            <v>Hybrid-Gen</v>
          </cell>
        </row>
        <row r="1220">
          <cell r="A1220" t="str">
            <v>OST_143</v>
          </cell>
          <cell r="B1220" t="str">
            <v>HIS</v>
          </cell>
          <cell r="C1220" t="str">
            <v>TowerCo</v>
          </cell>
          <cell r="D1220" t="str">
            <v>Grid-Gen</v>
          </cell>
        </row>
        <row r="1221">
          <cell r="A1221" t="str">
            <v>CTR_193</v>
          </cell>
          <cell r="B1221" t="str">
            <v>HIS</v>
          </cell>
          <cell r="C1221" t="str">
            <v>TowerCo</v>
          </cell>
          <cell r="D1221" t="str">
            <v>Grid-Gen</v>
          </cell>
        </row>
        <row r="1222">
          <cell r="A1222" t="str">
            <v>CTR_184</v>
          </cell>
          <cell r="B1222" t="str">
            <v>HIS</v>
          </cell>
          <cell r="C1222" t="str">
            <v>TowerCo</v>
          </cell>
          <cell r="D1222" t="str">
            <v>Grid-Hybrid-Gen</v>
          </cell>
        </row>
        <row r="1223">
          <cell r="A1223" t="str">
            <v>CTR_183</v>
          </cell>
          <cell r="B1223" t="str">
            <v>HIS</v>
          </cell>
          <cell r="C1223" t="str">
            <v>TowerCo</v>
          </cell>
          <cell r="D1223" t="str">
            <v>Hybrid-Gen</v>
          </cell>
        </row>
        <row r="1224">
          <cell r="A1224" t="str">
            <v>CTR_443</v>
          </cell>
          <cell r="B1224" t="str">
            <v>HIS</v>
          </cell>
          <cell r="C1224" t="str">
            <v>TowerCo</v>
          </cell>
          <cell r="D1224" t="str">
            <v>Solar-Grid-Gen</v>
          </cell>
        </row>
        <row r="1225">
          <cell r="A1225" t="str">
            <v>CTR_297</v>
          </cell>
          <cell r="B1225" t="str">
            <v>HIS</v>
          </cell>
          <cell r="C1225" t="str">
            <v>TowerCo</v>
          </cell>
          <cell r="D1225" t="str">
            <v>Grid-Gen</v>
          </cell>
        </row>
        <row r="1226">
          <cell r="A1226" t="str">
            <v>OST_103</v>
          </cell>
          <cell r="B1226" t="str">
            <v>HIS</v>
          </cell>
          <cell r="C1226" t="str">
            <v>TowerCo</v>
          </cell>
          <cell r="D1226" t="str">
            <v>Grid-Gen</v>
          </cell>
        </row>
        <row r="1227">
          <cell r="A1227" t="str">
            <v>OST_156</v>
          </cell>
          <cell r="B1227" t="str">
            <v>HIS</v>
          </cell>
          <cell r="C1227" t="str">
            <v>TowerCo</v>
          </cell>
          <cell r="D1227" t="str">
            <v>Grid-Gen</v>
          </cell>
        </row>
        <row r="1228">
          <cell r="A1228" t="str">
            <v>OST_182</v>
          </cell>
          <cell r="B1228" t="str">
            <v>HIS</v>
          </cell>
          <cell r="C1228" t="str">
            <v>TowerCo</v>
          </cell>
          <cell r="D1228" t="str">
            <v>Grid-Gen</v>
          </cell>
        </row>
        <row r="1229">
          <cell r="A1229" t="str">
            <v>OST_052</v>
          </cell>
          <cell r="B1229" t="str">
            <v>HIS</v>
          </cell>
          <cell r="C1229" t="str">
            <v>TowerCo</v>
          </cell>
          <cell r="D1229" t="str">
            <v>Grid-Gen</v>
          </cell>
        </row>
        <row r="1230">
          <cell r="A1230" t="str">
            <v>OST_049</v>
          </cell>
          <cell r="B1230" t="str">
            <v>HIS</v>
          </cell>
          <cell r="C1230" t="str">
            <v>TowerCo</v>
          </cell>
          <cell r="D1230" t="str">
            <v>Grid-Gen</v>
          </cell>
        </row>
        <row r="1231">
          <cell r="A1231" t="str">
            <v>OST_036</v>
          </cell>
          <cell r="B1231" t="str">
            <v>HIS</v>
          </cell>
          <cell r="C1231" t="str">
            <v>TowerCo</v>
          </cell>
          <cell r="D1231" t="str">
            <v>Grid-Gen</v>
          </cell>
        </row>
        <row r="1232">
          <cell r="A1232" t="str">
            <v>CTR_352</v>
          </cell>
          <cell r="B1232" t="str">
            <v>HIS</v>
          </cell>
          <cell r="C1232" t="str">
            <v>TowerCo</v>
          </cell>
          <cell r="D1232" t="str">
            <v>Grid-Gen</v>
          </cell>
        </row>
        <row r="1233">
          <cell r="A1233" t="str">
            <v>OST_051</v>
          </cell>
          <cell r="B1233" t="str">
            <v>HIS</v>
          </cell>
          <cell r="C1233" t="str">
            <v>TowerCo</v>
          </cell>
          <cell r="D1233" t="str">
            <v>Grid-Gen</v>
          </cell>
        </row>
        <row r="1234">
          <cell r="A1234" t="str">
            <v>OST_099</v>
          </cell>
          <cell r="B1234" t="str">
            <v>HIS</v>
          </cell>
          <cell r="C1234" t="str">
            <v>TowerCo</v>
          </cell>
          <cell r="D1234" t="str">
            <v>Grid-Gen</v>
          </cell>
        </row>
        <row r="1235">
          <cell r="A1235" t="str">
            <v>CTR_232</v>
          </cell>
          <cell r="B1235" t="str">
            <v>HIS</v>
          </cell>
          <cell r="C1235" t="str">
            <v>TowerCo</v>
          </cell>
          <cell r="D1235" t="str">
            <v>Grid-Gen</v>
          </cell>
        </row>
        <row r="1236">
          <cell r="A1236" t="str">
            <v>OST_089</v>
          </cell>
          <cell r="B1236" t="str">
            <v>HIS</v>
          </cell>
          <cell r="C1236" t="str">
            <v>TowerCo</v>
          </cell>
          <cell r="D1236" t="str">
            <v>Grid-Gen</v>
          </cell>
        </row>
        <row r="1237">
          <cell r="A1237" t="str">
            <v>OST_180</v>
          </cell>
          <cell r="B1237" t="str">
            <v>HIS</v>
          </cell>
          <cell r="C1237" t="str">
            <v>TowerCo</v>
          </cell>
          <cell r="D1237" t="str">
            <v>Grid-Gen</v>
          </cell>
        </row>
        <row r="1238">
          <cell r="A1238" t="str">
            <v>OST_212</v>
          </cell>
          <cell r="B1238" t="str">
            <v>HIS</v>
          </cell>
          <cell r="C1238" t="str">
            <v>TowerCo</v>
          </cell>
          <cell r="D1238" t="str">
            <v>Grid-Gen</v>
          </cell>
        </row>
        <row r="1239">
          <cell r="A1239" t="str">
            <v>CTR_177</v>
          </cell>
          <cell r="B1239" t="str">
            <v>HIS</v>
          </cell>
          <cell r="C1239" t="str">
            <v>TowerCo</v>
          </cell>
          <cell r="D1239" t="str">
            <v>Grid-Gen</v>
          </cell>
        </row>
        <row r="1240">
          <cell r="A1240" t="str">
            <v>OST_152</v>
          </cell>
          <cell r="B1240" t="str">
            <v>HIS</v>
          </cell>
          <cell r="C1240" t="str">
            <v>TowerCo</v>
          </cell>
          <cell r="D1240" t="str">
            <v>Grid-Gen</v>
          </cell>
        </row>
        <row r="1241">
          <cell r="A1241" t="str">
            <v>OST_161</v>
          </cell>
          <cell r="B1241" t="str">
            <v>HIS</v>
          </cell>
          <cell r="C1241" t="str">
            <v>TowerCo</v>
          </cell>
          <cell r="D1241" t="str">
            <v>Grid-Gen</v>
          </cell>
        </row>
        <row r="1242">
          <cell r="A1242" t="str">
            <v>OST_222</v>
          </cell>
          <cell r="B1242" t="str">
            <v>HIS</v>
          </cell>
          <cell r="C1242" t="str">
            <v>TowerCo</v>
          </cell>
          <cell r="D1242" t="str">
            <v>Grid-Gen</v>
          </cell>
        </row>
        <row r="1243">
          <cell r="A1243" t="str">
            <v>OST_208</v>
          </cell>
          <cell r="B1243" t="str">
            <v>HIS</v>
          </cell>
          <cell r="C1243" t="str">
            <v>TowerCo</v>
          </cell>
          <cell r="D1243" t="str">
            <v>Grid-Gen</v>
          </cell>
        </row>
        <row r="1244">
          <cell r="A1244" t="str">
            <v>OST_266</v>
          </cell>
          <cell r="B1244" t="str">
            <v>HIS</v>
          </cell>
          <cell r="C1244" t="str">
            <v>TowerCo</v>
          </cell>
          <cell r="D1244" t="str">
            <v>Grid-Gen</v>
          </cell>
        </row>
        <row r="1245">
          <cell r="A1245" t="str">
            <v>OST_183</v>
          </cell>
          <cell r="B1245" t="str">
            <v>HIS</v>
          </cell>
          <cell r="C1245" t="str">
            <v>TowerCo</v>
          </cell>
          <cell r="D1245" t="str">
            <v>Grid-Gen</v>
          </cell>
        </row>
        <row r="1246">
          <cell r="A1246" t="str">
            <v>OST_224</v>
          </cell>
          <cell r="B1246" t="str">
            <v>HIS</v>
          </cell>
          <cell r="C1246" t="str">
            <v>TowerCo</v>
          </cell>
          <cell r="D1246" t="str">
            <v>Grid-Gen</v>
          </cell>
        </row>
        <row r="1247">
          <cell r="A1247" t="str">
            <v>OST_301</v>
          </cell>
          <cell r="B1247" t="str">
            <v>HIS</v>
          </cell>
          <cell r="C1247" t="str">
            <v>TowerCo</v>
          </cell>
          <cell r="D1247" t="str">
            <v>Grid-Gen</v>
          </cell>
        </row>
        <row r="1248">
          <cell r="A1248" t="str">
            <v>OST_048</v>
          </cell>
          <cell r="B1248" t="str">
            <v>HIS</v>
          </cell>
          <cell r="C1248" t="str">
            <v>TowerCo</v>
          </cell>
          <cell r="D1248" t="str">
            <v>Grid-Gen</v>
          </cell>
        </row>
        <row r="1249">
          <cell r="A1249" t="str">
            <v>CTR_223</v>
          </cell>
          <cell r="B1249" t="str">
            <v>HIS</v>
          </cell>
          <cell r="C1249" t="str">
            <v>TowerCo</v>
          </cell>
          <cell r="D1249" t="str">
            <v>Solar-Gen</v>
          </cell>
        </row>
        <row r="1250">
          <cell r="A1250"/>
          <cell r="B1250" t="str">
            <v>HIS</v>
          </cell>
          <cell r="C1250" t="str">
            <v>TowerCo</v>
          </cell>
          <cell r="D1250" t="str">
            <v>Solar Only</v>
          </cell>
        </row>
        <row r="1251">
          <cell r="A1251" t="str">
            <v>EXN_020</v>
          </cell>
          <cell r="B1251" t="str">
            <v>HIS</v>
          </cell>
          <cell r="C1251" t="str">
            <v>TowerCo</v>
          </cell>
          <cell r="D1251" t="str">
            <v>Solar-Gen</v>
          </cell>
        </row>
        <row r="1252">
          <cell r="A1252" t="str">
            <v>EXN_021</v>
          </cell>
          <cell r="B1252" t="str">
            <v>HIS</v>
          </cell>
          <cell r="C1252" t="str">
            <v>TowerCo</v>
          </cell>
          <cell r="D1252" t="str">
            <v>Solar-Gen</v>
          </cell>
        </row>
        <row r="1253">
          <cell r="A1253" t="str">
            <v>EXN_223</v>
          </cell>
          <cell r="B1253" t="str">
            <v>HIS</v>
          </cell>
          <cell r="C1253" t="str">
            <v>TowerCo</v>
          </cell>
          <cell r="D1253" t="str">
            <v>Gen Only</v>
          </cell>
        </row>
        <row r="1254">
          <cell r="A1254" t="str">
            <v>EXN_224</v>
          </cell>
          <cell r="B1254" t="str">
            <v>HIS</v>
          </cell>
          <cell r="C1254" t="str">
            <v>TowerCo</v>
          </cell>
          <cell r="D1254" t="str">
            <v>Hybrid-Gen</v>
          </cell>
        </row>
        <row r="1255">
          <cell r="A1255" t="str">
            <v>EXN_133</v>
          </cell>
          <cell r="B1255" t="str">
            <v>HIS</v>
          </cell>
          <cell r="C1255" t="str">
            <v>TowerCo</v>
          </cell>
          <cell r="D1255" t="str">
            <v>Solar-Gen</v>
          </cell>
        </row>
        <row r="1256">
          <cell r="A1256" t="str">
            <v>EXN_013</v>
          </cell>
          <cell r="B1256" t="str">
            <v>HIS</v>
          </cell>
          <cell r="C1256" t="str">
            <v>TowerCo</v>
          </cell>
          <cell r="D1256" t="str">
            <v>Solar-Gen</v>
          </cell>
        </row>
        <row r="1257">
          <cell r="A1257" t="str">
            <v>EXN_041</v>
          </cell>
          <cell r="B1257" t="str">
            <v>HIS</v>
          </cell>
          <cell r="C1257" t="str">
            <v>TowerCo</v>
          </cell>
          <cell r="D1257" t="str">
            <v>Solar-Gen</v>
          </cell>
        </row>
        <row r="1258">
          <cell r="A1258" t="str">
            <v>EXN_225</v>
          </cell>
          <cell r="B1258" t="str">
            <v>HIS</v>
          </cell>
          <cell r="C1258" t="str">
            <v>TowerCo</v>
          </cell>
          <cell r="D1258" t="str">
            <v>Hybrid-Gen</v>
          </cell>
        </row>
        <row r="1259">
          <cell r="A1259" t="str">
            <v>EXN_259</v>
          </cell>
          <cell r="B1259" t="str">
            <v>HIS</v>
          </cell>
          <cell r="C1259" t="str">
            <v>TowerCo</v>
          </cell>
          <cell r="D1259" t="str">
            <v>Hybrid-Gen</v>
          </cell>
        </row>
        <row r="1260">
          <cell r="A1260" t="str">
            <v>ADM_127</v>
          </cell>
          <cell r="B1260" t="str">
            <v>HIS</v>
          </cell>
          <cell r="C1260" t="str">
            <v>TowerCo</v>
          </cell>
          <cell r="D1260" t="str">
            <v>Grid-Gen</v>
          </cell>
        </row>
        <row r="1261">
          <cell r="A1261" t="str">
            <v>ADM_005</v>
          </cell>
          <cell r="B1261" t="str">
            <v>HIS</v>
          </cell>
          <cell r="C1261" t="str">
            <v>TowerCo</v>
          </cell>
          <cell r="D1261" t="str">
            <v>Grid-Gen</v>
          </cell>
        </row>
        <row r="1262">
          <cell r="A1262" t="str">
            <v>ADM_016</v>
          </cell>
          <cell r="B1262" t="str">
            <v>HIS</v>
          </cell>
          <cell r="C1262" t="str">
            <v>TowerCo</v>
          </cell>
          <cell r="D1262" t="str">
            <v>Solar-Grid-Gen</v>
          </cell>
        </row>
        <row r="1263">
          <cell r="A1263" t="str">
            <v>NRD_813</v>
          </cell>
          <cell r="B1263" t="str">
            <v>HIS</v>
          </cell>
          <cell r="C1263" t="str">
            <v>TowerCo</v>
          </cell>
          <cell r="D1263" t="str">
            <v>Solar-Gen</v>
          </cell>
        </row>
        <row r="1264">
          <cell r="A1264" t="str">
            <v>ADM_115</v>
          </cell>
          <cell r="B1264" t="str">
            <v>HIS</v>
          </cell>
          <cell r="C1264" t="str">
            <v>TowerCo</v>
          </cell>
          <cell r="D1264" t="str">
            <v>Grid-Gen</v>
          </cell>
        </row>
        <row r="1265">
          <cell r="A1265" t="str">
            <v>ADM_085</v>
          </cell>
          <cell r="B1265" t="str">
            <v>HIS</v>
          </cell>
          <cell r="C1265" t="str">
            <v>TowerCo</v>
          </cell>
          <cell r="D1265" t="str">
            <v>Grid-Gen</v>
          </cell>
        </row>
        <row r="1266">
          <cell r="A1266" t="str">
            <v>ADM_048</v>
          </cell>
          <cell r="B1266" t="str">
            <v>HIS</v>
          </cell>
          <cell r="C1266" t="str">
            <v>TowerCo</v>
          </cell>
          <cell r="D1266" t="str">
            <v>Grid-Gen</v>
          </cell>
        </row>
        <row r="1267">
          <cell r="A1267" t="str">
            <v>ADM_035</v>
          </cell>
          <cell r="B1267" t="str">
            <v>HIS</v>
          </cell>
          <cell r="C1267" t="str">
            <v>TowerCo</v>
          </cell>
          <cell r="D1267" t="str">
            <v>Grid-Gen</v>
          </cell>
        </row>
        <row r="1268">
          <cell r="A1268" t="str">
            <v>ADM_018</v>
          </cell>
          <cell r="B1268" t="str">
            <v>HIS</v>
          </cell>
          <cell r="C1268" t="str">
            <v>TowerCo</v>
          </cell>
          <cell r="D1268" t="str">
            <v>Grid-Gen</v>
          </cell>
        </row>
        <row r="1269">
          <cell r="A1269" t="str">
            <v>ADM_057</v>
          </cell>
          <cell r="B1269" t="str">
            <v>HIS</v>
          </cell>
          <cell r="C1269" t="str">
            <v>TowerCo</v>
          </cell>
          <cell r="D1269" t="str">
            <v>Grid Only</v>
          </cell>
        </row>
        <row r="1270">
          <cell r="A1270" t="str">
            <v>ADM_120</v>
          </cell>
          <cell r="B1270" t="str">
            <v>HIS</v>
          </cell>
          <cell r="C1270" t="str">
            <v>TowerCo</v>
          </cell>
          <cell r="D1270" t="str">
            <v>Grid-Gen</v>
          </cell>
        </row>
        <row r="1271">
          <cell r="A1271" t="str">
            <v>ADM_073</v>
          </cell>
          <cell r="B1271" t="str">
            <v>HIS</v>
          </cell>
          <cell r="C1271" t="str">
            <v>TowerCo</v>
          </cell>
          <cell r="D1271" t="str">
            <v>Grid-Gen</v>
          </cell>
        </row>
        <row r="1272">
          <cell r="A1272" t="str">
            <v>ADM_084</v>
          </cell>
          <cell r="B1272" t="str">
            <v>HIS</v>
          </cell>
          <cell r="C1272" t="str">
            <v>TowerCo</v>
          </cell>
          <cell r="D1272" t="str">
            <v>Grid-Gen</v>
          </cell>
        </row>
        <row r="1273">
          <cell r="A1273" t="str">
            <v>ADM_101</v>
          </cell>
          <cell r="B1273" t="str">
            <v>HIS</v>
          </cell>
          <cell r="C1273" t="str">
            <v>TowerCo</v>
          </cell>
          <cell r="D1273" t="str">
            <v>Grid-Gen</v>
          </cell>
        </row>
        <row r="1274">
          <cell r="A1274" t="str">
            <v>ADM_003</v>
          </cell>
          <cell r="B1274" t="str">
            <v>HIS</v>
          </cell>
          <cell r="C1274" t="str">
            <v>TowerCo</v>
          </cell>
          <cell r="D1274" t="str">
            <v>Grid-Gen</v>
          </cell>
        </row>
        <row r="1275">
          <cell r="A1275" t="str">
            <v>ADM_017</v>
          </cell>
          <cell r="B1275" t="str">
            <v>HIS</v>
          </cell>
          <cell r="C1275" t="str">
            <v>TowerCo</v>
          </cell>
          <cell r="D1275" t="str">
            <v>Grid-Gen</v>
          </cell>
        </row>
        <row r="1276">
          <cell r="A1276" t="str">
            <v>ADM_074</v>
          </cell>
          <cell r="B1276" t="str">
            <v>HIS</v>
          </cell>
          <cell r="C1276" t="str">
            <v>TowerCo</v>
          </cell>
          <cell r="D1276" t="str">
            <v>Grid-Gen</v>
          </cell>
        </row>
        <row r="1277">
          <cell r="A1277" t="str">
            <v>ADM_087</v>
          </cell>
          <cell r="B1277" t="str">
            <v>HIS</v>
          </cell>
          <cell r="C1277" t="str">
            <v>TowerCo</v>
          </cell>
          <cell r="D1277" t="str">
            <v>Grid-Gen</v>
          </cell>
        </row>
        <row r="1278">
          <cell r="A1278" t="str">
            <v>ADM_036</v>
          </cell>
          <cell r="B1278" t="str">
            <v>HIS</v>
          </cell>
          <cell r="C1278" t="str">
            <v>TowerCo</v>
          </cell>
          <cell r="D1278" t="str">
            <v>Grid-Gen</v>
          </cell>
        </row>
        <row r="1279">
          <cell r="A1279" t="str">
            <v>ADM_034</v>
          </cell>
          <cell r="B1279" t="str">
            <v>HIS</v>
          </cell>
          <cell r="C1279" t="str">
            <v>TowerCo</v>
          </cell>
          <cell r="D1279" t="str">
            <v>Grid-Gen</v>
          </cell>
        </row>
        <row r="1280">
          <cell r="A1280" t="str">
            <v>ADM_071</v>
          </cell>
          <cell r="B1280" t="str">
            <v>HIS</v>
          </cell>
          <cell r="C1280" t="str">
            <v>TowerCo</v>
          </cell>
          <cell r="D1280" t="str">
            <v>Grid Only</v>
          </cell>
        </row>
        <row r="1281">
          <cell r="A1281" t="str">
            <v>ADM_058</v>
          </cell>
          <cell r="B1281" t="str">
            <v>HIS</v>
          </cell>
          <cell r="C1281" t="str">
            <v>TowerCo</v>
          </cell>
          <cell r="D1281" t="str">
            <v>Grid-Gen</v>
          </cell>
        </row>
        <row r="1282">
          <cell r="A1282" t="str">
            <v>ADM_072</v>
          </cell>
          <cell r="B1282" t="str">
            <v>HIS</v>
          </cell>
          <cell r="C1282" t="str">
            <v>TowerCo</v>
          </cell>
          <cell r="D1282" t="str">
            <v>Grid-Gen</v>
          </cell>
        </row>
        <row r="1283">
          <cell r="A1283" t="str">
            <v>ADM_033</v>
          </cell>
          <cell r="B1283" t="str">
            <v>HIS</v>
          </cell>
          <cell r="C1283" t="str">
            <v>TowerCo</v>
          </cell>
          <cell r="D1283" t="str">
            <v>Grid-Gen</v>
          </cell>
        </row>
        <row r="1284">
          <cell r="A1284" t="str">
            <v>ADM_076</v>
          </cell>
          <cell r="B1284" t="str">
            <v>HIS</v>
          </cell>
          <cell r="C1284" t="str">
            <v>TowerCo</v>
          </cell>
          <cell r="D1284" t="str">
            <v>Grid-Gen</v>
          </cell>
        </row>
        <row r="1285">
          <cell r="A1285" t="str">
            <v>ADM_155</v>
          </cell>
          <cell r="B1285" t="str">
            <v>HIS</v>
          </cell>
          <cell r="C1285" t="str">
            <v>TowerCo</v>
          </cell>
          <cell r="D1285" t="str">
            <v>Grid-Gen</v>
          </cell>
        </row>
        <row r="1286">
          <cell r="A1286" t="str">
            <v>ADM_137</v>
          </cell>
          <cell r="B1286" t="str">
            <v>HIS</v>
          </cell>
          <cell r="C1286" t="str">
            <v>TowerCo</v>
          </cell>
          <cell r="D1286" t="str">
            <v>Hybrid-Gen</v>
          </cell>
        </row>
        <row r="1287">
          <cell r="A1287" t="str">
            <v>ADM_094</v>
          </cell>
          <cell r="B1287" t="str">
            <v>HIS</v>
          </cell>
          <cell r="C1287" t="str">
            <v>TowerCo</v>
          </cell>
          <cell r="D1287" t="str">
            <v>Solar-Grid-Gen</v>
          </cell>
        </row>
        <row r="1288">
          <cell r="A1288" t="str">
            <v>ADM_069</v>
          </cell>
          <cell r="B1288" t="str">
            <v>HIS</v>
          </cell>
          <cell r="C1288" t="str">
            <v>TowerCo</v>
          </cell>
          <cell r="D1288" t="str">
            <v>Grid-Gen</v>
          </cell>
        </row>
        <row r="1289">
          <cell r="A1289" t="str">
            <v>ADM_008</v>
          </cell>
          <cell r="B1289" t="str">
            <v>HIS</v>
          </cell>
          <cell r="C1289" t="str">
            <v>TowerCo</v>
          </cell>
          <cell r="D1289" t="str">
            <v>Gen Only</v>
          </cell>
        </row>
        <row r="1290">
          <cell r="A1290" t="str">
            <v>ADM_111</v>
          </cell>
          <cell r="B1290" t="str">
            <v>HIS</v>
          </cell>
          <cell r="C1290" t="str">
            <v>TowerCo</v>
          </cell>
          <cell r="D1290" t="str">
            <v>Hybrid-Gen</v>
          </cell>
        </row>
        <row r="1291">
          <cell r="A1291" t="str">
            <v>ADM_131</v>
          </cell>
          <cell r="B1291" t="str">
            <v>HIS</v>
          </cell>
          <cell r="C1291" t="str">
            <v>TowerCo</v>
          </cell>
          <cell r="D1291" t="str">
            <v>Grid-Gen</v>
          </cell>
        </row>
        <row r="1292">
          <cell r="A1292" t="str">
            <v>ADM_158</v>
          </cell>
          <cell r="B1292" t="str">
            <v>HIS</v>
          </cell>
          <cell r="C1292" t="str">
            <v>TowerCo</v>
          </cell>
          <cell r="D1292" t="str">
            <v>Grid-Gen</v>
          </cell>
        </row>
        <row r="1293">
          <cell r="A1293" t="str">
            <v>ADM_132</v>
          </cell>
          <cell r="B1293" t="str">
            <v>HIS</v>
          </cell>
          <cell r="C1293" t="str">
            <v>TowerCo</v>
          </cell>
          <cell r="D1293" t="str">
            <v>Grid-Gen</v>
          </cell>
        </row>
        <row r="1294">
          <cell r="A1294" t="str">
            <v>ADM_135</v>
          </cell>
          <cell r="B1294" t="str">
            <v>HIS</v>
          </cell>
          <cell r="C1294" t="str">
            <v>TowerCo</v>
          </cell>
          <cell r="D1294" t="str">
            <v>Grid-Gen</v>
          </cell>
        </row>
        <row r="1295">
          <cell r="A1295" t="str">
            <v>ADM_157</v>
          </cell>
          <cell r="B1295" t="str">
            <v>HIS</v>
          </cell>
          <cell r="C1295" t="str">
            <v>TowerCo</v>
          </cell>
          <cell r="D1295" t="str">
            <v>Grid-Gen</v>
          </cell>
        </row>
        <row r="1296">
          <cell r="A1296" t="str">
            <v>ADM_077</v>
          </cell>
          <cell r="B1296" t="str">
            <v>HIS</v>
          </cell>
          <cell r="C1296" t="str">
            <v>TowerCo</v>
          </cell>
          <cell r="D1296" t="str">
            <v>Grid-Gen</v>
          </cell>
        </row>
        <row r="1297">
          <cell r="A1297" t="str">
            <v>ADM_083</v>
          </cell>
          <cell r="B1297" t="str">
            <v>HIS</v>
          </cell>
          <cell r="C1297" t="str">
            <v>TowerCo</v>
          </cell>
          <cell r="D1297" t="str">
            <v>Grid-Gen</v>
          </cell>
        </row>
        <row r="1298">
          <cell r="A1298" t="str">
            <v>ADM_136</v>
          </cell>
          <cell r="B1298" t="str">
            <v>HIS</v>
          </cell>
          <cell r="C1298" t="str">
            <v>TowerCo</v>
          </cell>
          <cell r="D1298" t="str">
            <v>Grid-Gen</v>
          </cell>
        </row>
        <row r="1299">
          <cell r="A1299" t="str">
            <v>ADM_108</v>
          </cell>
          <cell r="B1299" t="str">
            <v>HIS</v>
          </cell>
          <cell r="C1299" t="str">
            <v>TowerCo</v>
          </cell>
          <cell r="D1299" t="str">
            <v>Grid-Hybrid-Gen</v>
          </cell>
        </row>
        <row r="1300">
          <cell r="A1300" t="str">
            <v>ADM_093</v>
          </cell>
          <cell r="B1300" t="str">
            <v>HIS</v>
          </cell>
          <cell r="C1300" t="str">
            <v>TowerCo</v>
          </cell>
          <cell r="D1300" t="str">
            <v>Solar-Gen</v>
          </cell>
        </row>
        <row r="1301">
          <cell r="A1301" t="str">
            <v>ADM_112</v>
          </cell>
          <cell r="B1301" t="str">
            <v>HIS</v>
          </cell>
          <cell r="C1301" t="str">
            <v>TowerCo</v>
          </cell>
          <cell r="D1301" t="str">
            <v>Hybrid-Gen</v>
          </cell>
        </row>
        <row r="1302">
          <cell r="A1302" t="str">
            <v>EST_017</v>
          </cell>
          <cell r="B1302" t="str">
            <v>HIS</v>
          </cell>
          <cell r="C1302" t="str">
            <v>TowerCo</v>
          </cell>
          <cell r="D1302" t="str">
            <v>Grid-Hybrid-Gen</v>
          </cell>
        </row>
        <row r="1303">
          <cell r="A1303" t="str">
            <v>EST_018</v>
          </cell>
          <cell r="B1303" t="str">
            <v>HIS</v>
          </cell>
          <cell r="C1303" t="str">
            <v>TowerCo</v>
          </cell>
          <cell r="D1303" t="str">
            <v>Grid-Gen</v>
          </cell>
        </row>
        <row r="1304">
          <cell r="A1304" t="str">
            <v>CTR_146</v>
          </cell>
          <cell r="B1304" t="str">
            <v>HIS</v>
          </cell>
          <cell r="C1304" t="str">
            <v>TowerCo</v>
          </cell>
          <cell r="D1304" t="str">
            <v>Grid-Gen</v>
          </cell>
        </row>
        <row r="1305">
          <cell r="A1305" t="str">
            <v>CTR_211</v>
          </cell>
          <cell r="B1305" t="str">
            <v>HIS</v>
          </cell>
          <cell r="C1305" t="str">
            <v>TowerCo</v>
          </cell>
          <cell r="D1305" t="str">
            <v>Grid-Gen</v>
          </cell>
        </row>
        <row r="1306">
          <cell r="A1306" t="str">
            <v>CTR_112</v>
          </cell>
          <cell r="B1306" t="str">
            <v>HIS</v>
          </cell>
          <cell r="C1306" t="str">
            <v>TowerCo</v>
          </cell>
          <cell r="D1306" t="str">
            <v>Grid-Gen</v>
          </cell>
        </row>
        <row r="1307">
          <cell r="A1307" t="str">
            <v>CTR_315</v>
          </cell>
          <cell r="B1307" t="str">
            <v>HIS</v>
          </cell>
          <cell r="C1307" t="str">
            <v>TowerCo</v>
          </cell>
          <cell r="D1307" t="str">
            <v>Grid-Gen</v>
          </cell>
        </row>
        <row r="1308">
          <cell r="A1308" t="str">
            <v>CTR_084</v>
          </cell>
          <cell r="B1308" t="str">
            <v>HIS</v>
          </cell>
          <cell r="C1308" t="str">
            <v>TowerCo</v>
          </cell>
          <cell r="D1308" t="str">
            <v>Grid-Gen</v>
          </cell>
        </row>
        <row r="1309">
          <cell r="A1309" t="str">
            <v>CTR_247</v>
          </cell>
          <cell r="B1309" t="str">
            <v>HIS</v>
          </cell>
          <cell r="C1309" t="str">
            <v>TowerCo</v>
          </cell>
          <cell r="D1309" t="str">
            <v>Grid-Gen</v>
          </cell>
        </row>
        <row r="1310">
          <cell r="A1310" t="str">
            <v>CTR_236</v>
          </cell>
          <cell r="B1310" t="str">
            <v>HIS</v>
          </cell>
          <cell r="C1310" t="str">
            <v>TowerCo</v>
          </cell>
          <cell r="D1310" t="str">
            <v>Grid-Gen</v>
          </cell>
        </row>
        <row r="1311">
          <cell r="A1311" t="str">
            <v>CTR_109</v>
          </cell>
          <cell r="B1311" t="str">
            <v>HIS</v>
          </cell>
          <cell r="C1311" t="str">
            <v>TowerCo</v>
          </cell>
          <cell r="D1311" t="str">
            <v>Grid-Gen</v>
          </cell>
        </row>
        <row r="1312">
          <cell r="A1312" t="str">
            <v>CTR_348</v>
          </cell>
          <cell r="B1312" t="str">
            <v>HIS</v>
          </cell>
          <cell r="C1312" t="str">
            <v>TowerCo</v>
          </cell>
          <cell r="D1312" t="str">
            <v>Hybrid-Gen</v>
          </cell>
        </row>
        <row r="1313">
          <cell r="A1313" t="str">
            <v>CTR_353</v>
          </cell>
          <cell r="B1313" t="str">
            <v>HIS</v>
          </cell>
          <cell r="C1313" t="str">
            <v>TowerCo</v>
          </cell>
          <cell r="D1313" t="str">
            <v>Grid-Gen</v>
          </cell>
        </row>
        <row r="1314">
          <cell r="A1314" t="str">
            <v>CTR_134</v>
          </cell>
          <cell r="B1314" t="str">
            <v>HIS</v>
          </cell>
          <cell r="C1314" t="str">
            <v>TowerCo</v>
          </cell>
          <cell r="D1314" t="str">
            <v>Grid-Gen</v>
          </cell>
        </row>
        <row r="1315">
          <cell r="A1315" t="str">
            <v>CTR_349</v>
          </cell>
          <cell r="B1315" t="str">
            <v>HIS</v>
          </cell>
          <cell r="C1315" t="str">
            <v>TowerCo</v>
          </cell>
          <cell r="D1315" t="str">
            <v>Grid-Gen</v>
          </cell>
        </row>
        <row r="1316">
          <cell r="A1316" t="str">
            <v>CTR_307</v>
          </cell>
          <cell r="B1316" t="str">
            <v>HIS</v>
          </cell>
          <cell r="C1316" t="str">
            <v>TowerCo</v>
          </cell>
          <cell r="D1316" t="str">
            <v>Grid-Gen</v>
          </cell>
        </row>
        <row r="1317">
          <cell r="A1317" t="str">
            <v>CTR_827</v>
          </cell>
          <cell r="B1317" t="str">
            <v>HIS</v>
          </cell>
          <cell r="C1317" t="str">
            <v>TowerCo</v>
          </cell>
          <cell r="D1317" t="str">
            <v>Grid-Gen</v>
          </cell>
        </row>
        <row r="1318">
          <cell r="A1318" t="str">
            <v>CTR_306</v>
          </cell>
          <cell r="B1318" t="str">
            <v>HIS</v>
          </cell>
          <cell r="C1318" t="str">
            <v>TowerCo</v>
          </cell>
          <cell r="D1318" t="str">
            <v>Grid-Gen</v>
          </cell>
        </row>
        <row r="1319">
          <cell r="A1319" t="str">
            <v>CTR_478</v>
          </cell>
          <cell r="B1319" t="str">
            <v>HIS</v>
          </cell>
          <cell r="C1319" t="str">
            <v>TowerCo</v>
          </cell>
          <cell r="D1319" t="str">
            <v>Grid-Gen</v>
          </cell>
        </row>
        <row r="1320">
          <cell r="A1320" t="str">
            <v>CTR_042</v>
          </cell>
          <cell r="B1320" t="str">
            <v>HIS</v>
          </cell>
          <cell r="C1320" t="str">
            <v>TowerCo</v>
          </cell>
          <cell r="D1320" t="str">
            <v>Grid-Gen</v>
          </cell>
        </row>
        <row r="1321">
          <cell r="A1321" t="str">
            <v>CTR_395</v>
          </cell>
          <cell r="B1321" t="str">
            <v>HIS</v>
          </cell>
          <cell r="C1321" t="str">
            <v>TowerCo</v>
          </cell>
          <cell r="D1321" t="str">
            <v>Grid-Gen</v>
          </cell>
        </row>
        <row r="1322">
          <cell r="A1322" t="str">
            <v>CTR_036</v>
          </cell>
          <cell r="B1322" t="str">
            <v>HIS</v>
          </cell>
          <cell r="C1322" t="str">
            <v>TowerCo</v>
          </cell>
          <cell r="D1322" t="str">
            <v>Grid-Gen</v>
          </cell>
        </row>
        <row r="1323">
          <cell r="A1323" t="str">
            <v>CTR_477</v>
          </cell>
          <cell r="B1323" t="str">
            <v>HIS</v>
          </cell>
          <cell r="C1323" t="str">
            <v>TowerCo</v>
          </cell>
          <cell r="D1323" t="str">
            <v>Grid-Gen</v>
          </cell>
        </row>
        <row r="1324">
          <cell r="A1324" t="str">
            <v>CTR_040</v>
          </cell>
          <cell r="B1324" t="str">
            <v>HIS</v>
          </cell>
          <cell r="C1324" t="str">
            <v>TowerCo</v>
          </cell>
          <cell r="D1324" t="str">
            <v>Grid-Gen</v>
          </cell>
        </row>
        <row r="1325">
          <cell r="A1325" t="str">
            <v>CTR_274</v>
          </cell>
          <cell r="B1325" t="str">
            <v>HIS</v>
          </cell>
          <cell r="C1325" t="str">
            <v>TowerCo</v>
          </cell>
          <cell r="D1325" t="str">
            <v>Grid-Gen</v>
          </cell>
        </row>
        <row r="1326">
          <cell r="A1326" t="str">
            <v>CTR_245</v>
          </cell>
          <cell r="B1326" t="str">
            <v>HIS</v>
          </cell>
          <cell r="C1326" t="str">
            <v>TowerCo</v>
          </cell>
          <cell r="D1326" t="str">
            <v>Grid-Gen</v>
          </cell>
        </row>
        <row r="1327">
          <cell r="A1327" t="str">
            <v>CTR_270</v>
          </cell>
          <cell r="B1327" t="str">
            <v>HIS</v>
          </cell>
          <cell r="C1327" t="str">
            <v>TowerCo</v>
          </cell>
          <cell r="D1327" t="str">
            <v>Grid-Gen</v>
          </cell>
        </row>
        <row r="1328">
          <cell r="A1328" t="str">
            <v>CTR_096</v>
          </cell>
          <cell r="B1328" t="str">
            <v>HIS</v>
          </cell>
          <cell r="C1328" t="str">
            <v>TowerCo</v>
          </cell>
          <cell r="D1328" t="str">
            <v>Grid Only</v>
          </cell>
        </row>
        <row r="1329">
          <cell r="A1329" t="str">
            <v>CTR_374</v>
          </cell>
          <cell r="B1329" t="str">
            <v>HIS</v>
          </cell>
          <cell r="C1329" t="str">
            <v>TowerCo</v>
          </cell>
          <cell r="D1329" t="str">
            <v>Grid-Gen</v>
          </cell>
        </row>
        <row r="1330">
          <cell r="A1330" t="str">
            <v>CTR_212</v>
          </cell>
          <cell r="B1330" t="str">
            <v>HIS</v>
          </cell>
          <cell r="C1330" t="str">
            <v>TowerCo</v>
          </cell>
          <cell r="D1330" t="str">
            <v>Grid-Gen</v>
          </cell>
        </row>
        <row r="1331">
          <cell r="A1331" t="str">
            <v>CTR_090</v>
          </cell>
          <cell r="B1331" t="str">
            <v>HIS</v>
          </cell>
          <cell r="C1331" t="str">
            <v>TowerCo</v>
          </cell>
          <cell r="D1331" t="str">
            <v>Grid Only</v>
          </cell>
        </row>
        <row r="1332">
          <cell r="A1332" t="str">
            <v>CTR_125</v>
          </cell>
          <cell r="B1332" t="str">
            <v>HIS</v>
          </cell>
          <cell r="C1332" t="str">
            <v>TowerCo</v>
          </cell>
          <cell r="D1332" t="str">
            <v>Grid Only</v>
          </cell>
        </row>
        <row r="1333">
          <cell r="A1333" t="str">
            <v>CTR_266</v>
          </cell>
          <cell r="B1333" t="str">
            <v>HIS</v>
          </cell>
          <cell r="C1333" t="str">
            <v>TowerCo</v>
          </cell>
          <cell r="D1333" t="str">
            <v>Grid-Gen</v>
          </cell>
        </row>
        <row r="1334">
          <cell r="A1334" t="str">
            <v>CTR_422</v>
          </cell>
          <cell r="B1334" t="str">
            <v>HIS</v>
          </cell>
          <cell r="C1334" t="str">
            <v>TowerCo</v>
          </cell>
          <cell r="D1334" t="str">
            <v>Grid-Gen</v>
          </cell>
        </row>
        <row r="1335">
          <cell r="A1335" t="str">
            <v>CTR_417</v>
          </cell>
          <cell r="B1335" t="str">
            <v>HIS</v>
          </cell>
          <cell r="C1335" t="str">
            <v>TowerCo</v>
          </cell>
          <cell r="D1335" t="str">
            <v>Grid Only</v>
          </cell>
        </row>
        <row r="1336">
          <cell r="A1336" t="str">
            <v>CTR_207</v>
          </cell>
          <cell r="B1336" t="str">
            <v>HIS</v>
          </cell>
          <cell r="C1336" t="str">
            <v>TowerCo</v>
          </cell>
          <cell r="D1336" t="str">
            <v>Grid-Gen</v>
          </cell>
        </row>
        <row r="1337">
          <cell r="A1337" t="str">
            <v>CTR_068</v>
          </cell>
          <cell r="B1337" t="str">
            <v>HIS</v>
          </cell>
          <cell r="C1337" t="str">
            <v>TowerCo</v>
          </cell>
          <cell r="D1337" t="str">
            <v>Grid-Gen</v>
          </cell>
        </row>
        <row r="1338">
          <cell r="A1338" t="str">
            <v>CTR_015</v>
          </cell>
          <cell r="B1338" t="str">
            <v>HIS</v>
          </cell>
          <cell r="C1338" t="str">
            <v>TowerCo</v>
          </cell>
          <cell r="D1338" t="str">
            <v>Grid Only</v>
          </cell>
        </row>
        <row r="1339">
          <cell r="A1339" t="str">
            <v>CTR_071</v>
          </cell>
          <cell r="B1339" t="str">
            <v>HIS</v>
          </cell>
          <cell r="C1339" t="str">
            <v>TowerCo</v>
          </cell>
          <cell r="D1339" t="str">
            <v>Grid-Gen</v>
          </cell>
        </row>
        <row r="1340">
          <cell r="A1340" t="str">
            <v>CTR_462</v>
          </cell>
          <cell r="B1340" t="str">
            <v>HIS</v>
          </cell>
          <cell r="C1340" t="str">
            <v>TowerCo</v>
          </cell>
          <cell r="D1340" t="str">
            <v>Grid-Gen</v>
          </cell>
        </row>
        <row r="1341">
          <cell r="A1341" t="str">
            <v>CTR_129</v>
          </cell>
          <cell r="B1341" t="str">
            <v>HIS</v>
          </cell>
          <cell r="C1341" t="str">
            <v>TowerCo</v>
          </cell>
          <cell r="D1341" t="str">
            <v>Grid-Gen</v>
          </cell>
        </row>
        <row r="1342">
          <cell r="A1342" t="str">
            <v>CTR_376</v>
          </cell>
          <cell r="B1342" t="str">
            <v>HIS</v>
          </cell>
          <cell r="C1342" t="str">
            <v>TowerCo</v>
          </cell>
          <cell r="D1342" t="str">
            <v>Grid-Gen</v>
          </cell>
        </row>
        <row r="1343">
          <cell r="A1343" t="str">
            <v>CTR_484</v>
          </cell>
          <cell r="B1343" t="str">
            <v>HIS</v>
          </cell>
          <cell r="C1343" t="str">
            <v>TowerCo</v>
          </cell>
          <cell r="D1343" t="str">
            <v>Grid-Gen</v>
          </cell>
        </row>
        <row r="1344">
          <cell r="A1344" t="str">
            <v>CTR_622</v>
          </cell>
          <cell r="B1344" t="str">
            <v>HIS</v>
          </cell>
          <cell r="C1344" t="str">
            <v>TowerCo</v>
          </cell>
          <cell r="D1344" t="str">
            <v>Grid-Gen</v>
          </cell>
        </row>
        <row r="1345">
          <cell r="A1345" t="str">
            <v>CTR_458</v>
          </cell>
          <cell r="B1345" t="str">
            <v>HIS</v>
          </cell>
          <cell r="C1345" t="str">
            <v>TowerCo</v>
          </cell>
          <cell r="D1345" t="str">
            <v>Grid-Gen</v>
          </cell>
        </row>
        <row r="1346">
          <cell r="A1346" t="str">
            <v>CTR_464</v>
          </cell>
          <cell r="B1346" t="str">
            <v>HIS</v>
          </cell>
          <cell r="C1346" t="str">
            <v>TowerCo</v>
          </cell>
          <cell r="D1346" t="str">
            <v>Grid-Gen</v>
          </cell>
        </row>
        <row r="1347">
          <cell r="A1347" t="str">
            <v>CTR_168</v>
          </cell>
          <cell r="B1347" t="str">
            <v>HIS</v>
          </cell>
          <cell r="C1347" t="str">
            <v>TowerCo</v>
          </cell>
          <cell r="D1347" t="str">
            <v>Grid-Gen</v>
          </cell>
        </row>
        <row r="1348">
          <cell r="A1348" t="str">
            <v>CTR_554</v>
          </cell>
          <cell r="B1348" t="str">
            <v>HIS</v>
          </cell>
          <cell r="C1348" t="str">
            <v>TowerCo</v>
          </cell>
          <cell r="D1348" t="str">
            <v>Grid-Gen</v>
          </cell>
        </row>
        <row r="1349">
          <cell r="A1349" t="str">
            <v>CTR_535</v>
          </cell>
          <cell r="B1349" t="str">
            <v>HIS</v>
          </cell>
          <cell r="C1349" t="str">
            <v>TowerCo</v>
          </cell>
          <cell r="D1349" t="str">
            <v>Grid-Gen</v>
          </cell>
        </row>
        <row r="1350">
          <cell r="A1350" t="str">
            <v>CTR_625</v>
          </cell>
          <cell r="B1350" t="str">
            <v>HIS</v>
          </cell>
          <cell r="C1350" t="str">
            <v>TowerCo</v>
          </cell>
          <cell r="D1350" t="str">
            <v>Grid-Gen</v>
          </cell>
        </row>
        <row r="1351">
          <cell r="A1351" t="str">
            <v>CTR_590</v>
          </cell>
          <cell r="B1351" t="str">
            <v>HIS</v>
          </cell>
          <cell r="C1351" t="str">
            <v>TowerCo</v>
          </cell>
          <cell r="D1351" t="str">
            <v>Grid-Gen</v>
          </cell>
        </row>
        <row r="1352">
          <cell r="A1352" t="str">
            <v>CTR_133</v>
          </cell>
          <cell r="B1352" t="str">
            <v>HIS</v>
          </cell>
          <cell r="C1352" t="str">
            <v>TowerCo</v>
          </cell>
          <cell r="D1352" t="str">
            <v>Grid-Gen</v>
          </cell>
        </row>
        <row r="1353">
          <cell r="A1353" t="str">
            <v>CTR_641</v>
          </cell>
          <cell r="B1353" t="str">
            <v>HIS</v>
          </cell>
          <cell r="C1353" t="str">
            <v>TowerCo</v>
          </cell>
          <cell r="D1353" t="str">
            <v>Grid-Gen</v>
          </cell>
        </row>
        <row r="1354">
          <cell r="A1354" t="str">
            <v>CTR_552</v>
          </cell>
          <cell r="B1354" t="str">
            <v>HIS</v>
          </cell>
          <cell r="C1354" t="str">
            <v>TowerCo</v>
          </cell>
          <cell r="D1354" t="str">
            <v>Grid-Gen</v>
          </cell>
        </row>
        <row r="1355">
          <cell r="A1355" t="str">
            <v>CTR_469</v>
          </cell>
          <cell r="B1355" t="str">
            <v>HIS</v>
          </cell>
          <cell r="C1355" t="str">
            <v>TowerCo</v>
          </cell>
          <cell r="D1355" t="str">
            <v>Grid-Gen</v>
          </cell>
        </row>
        <row r="1356">
          <cell r="A1356" t="str">
            <v>EST_057</v>
          </cell>
          <cell r="B1356" t="str">
            <v>HIS</v>
          </cell>
          <cell r="C1356" t="str">
            <v>TowerCo</v>
          </cell>
          <cell r="D1356" t="str">
            <v>Grid-Gen</v>
          </cell>
        </row>
        <row r="1357">
          <cell r="A1357" t="str">
            <v>CTR_147</v>
          </cell>
          <cell r="B1357" t="str">
            <v>HIS</v>
          </cell>
          <cell r="C1357" t="str">
            <v>TowerCo</v>
          </cell>
          <cell r="D1357" t="str">
            <v>Grid-Hybrid-Gen</v>
          </cell>
        </row>
        <row r="1358">
          <cell r="A1358" t="str">
            <v>CTR_187</v>
          </cell>
          <cell r="B1358" t="str">
            <v>HIS</v>
          </cell>
          <cell r="C1358" t="str">
            <v>TowerCo</v>
          </cell>
          <cell r="D1358" t="str">
            <v>Grid-Gen</v>
          </cell>
        </row>
        <row r="1359">
          <cell r="A1359" t="str">
            <v>EST_067</v>
          </cell>
          <cell r="B1359" t="str">
            <v>HIS</v>
          </cell>
          <cell r="C1359" t="str">
            <v>TowerCo</v>
          </cell>
          <cell r="D1359" t="str">
            <v>Grid-Hybrid-Gen</v>
          </cell>
        </row>
        <row r="1360">
          <cell r="A1360" t="str">
            <v>CTR_351</v>
          </cell>
          <cell r="B1360" t="str">
            <v>HIS</v>
          </cell>
          <cell r="C1360" t="str">
            <v>TowerCo</v>
          </cell>
          <cell r="D1360" t="str">
            <v>Grid Only</v>
          </cell>
        </row>
        <row r="1361">
          <cell r="A1361" t="str">
            <v>ADM_028</v>
          </cell>
          <cell r="B1361" t="str">
            <v>HIS</v>
          </cell>
          <cell r="C1361" t="str">
            <v>TowerCo</v>
          </cell>
          <cell r="D1361" t="str">
            <v>Grid-Gen</v>
          </cell>
        </row>
        <row r="1362">
          <cell r="A1362" t="str">
            <v>ADM_030</v>
          </cell>
          <cell r="B1362" t="str">
            <v>HIS</v>
          </cell>
          <cell r="C1362" t="str">
            <v>TowerCo</v>
          </cell>
          <cell r="D1362" t="str">
            <v>Grid-Gen</v>
          </cell>
        </row>
        <row r="1363">
          <cell r="A1363" t="str">
            <v>ADM_065</v>
          </cell>
          <cell r="B1363" t="str">
            <v>HIS</v>
          </cell>
          <cell r="C1363" t="str">
            <v>TowerCo</v>
          </cell>
          <cell r="D1363" t="str">
            <v>Hybrid-Gen</v>
          </cell>
        </row>
        <row r="1364">
          <cell r="A1364" t="str">
            <v>ADM_023</v>
          </cell>
          <cell r="B1364" t="str">
            <v>HIS</v>
          </cell>
          <cell r="C1364" t="str">
            <v>TowerCo</v>
          </cell>
          <cell r="D1364" t="str">
            <v>Hybrid-Gen</v>
          </cell>
        </row>
        <row r="1365">
          <cell r="A1365" t="str">
            <v>ADM_031</v>
          </cell>
          <cell r="B1365" t="str">
            <v>HIS</v>
          </cell>
          <cell r="C1365" t="str">
            <v>TowerCo</v>
          </cell>
          <cell r="D1365" t="str">
            <v>Grid-Gen</v>
          </cell>
        </row>
        <row r="1366">
          <cell r="A1366" t="str">
            <v>ADM_021</v>
          </cell>
          <cell r="B1366" t="str">
            <v>HIS</v>
          </cell>
          <cell r="C1366" t="str">
            <v>TowerCo</v>
          </cell>
          <cell r="D1366" t="str">
            <v>Solar-Gen</v>
          </cell>
        </row>
        <row r="1367">
          <cell r="A1367" t="str">
            <v>ADM_022</v>
          </cell>
          <cell r="B1367" t="str">
            <v>HIS</v>
          </cell>
          <cell r="C1367" t="str">
            <v>TowerCo</v>
          </cell>
          <cell r="D1367" t="str">
            <v>Solar-Gen</v>
          </cell>
        </row>
        <row r="1368">
          <cell r="A1368" t="str">
            <v>ADM_029</v>
          </cell>
          <cell r="B1368" t="str">
            <v>HIS</v>
          </cell>
          <cell r="C1368" t="str">
            <v>TowerCo</v>
          </cell>
          <cell r="D1368" t="str">
            <v>Gen Only</v>
          </cell>
        </row>
        <row r="1369">
          <cell r="A1369" t="str">
            <v>ADM_037</v>
          </cell>
          <cell r="B1369" t="str">
            <v>HIS</v>
          </cell>
          <cell r="C1369" t="str">
            <v>TowerCo</v>
          </cell>
          <cell r="D1369" t="str">
            <v>Solar-Gen</v>
          </cell>
        </row>
        <row r="1370">
          <cell r="A1370" t="str">
            <v>ADM_051</v>
          </cell>
          <cell r="B1370" t="str">
            <v>HIS</v>
          </cell>
          <cell r="C1370" t="str">
            <v>TowerCo</v>
          </cell>
          <cell r="D1370" t="str">
            <v>Solar-Grid-Gen</v>
          </cell>
        </row>
        <row r="1371">
          <cell r="A1371" t="str">
            <v>ADM_078</v>
          </cell>
          <cell r="B1371" t="str">
            <v>HIS</v>
          </cell>
          <cell r="C1371" t="str">
            <v>TowerCo</v>
          </cell>
          <cell r="D1371" t="str">
            <v>Grid-Gen</v>
          </cell>
        </row>
        <row r="1372">
          <cell r="A1372" t="str">
            <v>ADM_045</v>
          </cell>
          <cell r="B1372" t="str">
            <v>HIS</v>
          </cell>
          <cell r="C1372" t="str">
            <v>TowerCo</v>
          </cell>
          <cell r="D1372" t="str">
            <v>Solar-Gen</v>
          </cell>
        </row>
        <row r="1373">
          <cell r="A1373" t="str">
            <v>ADM_052</v>
          </cell>
          <cell r="B1373" t="str">
            <v>HIS</v>
          </cell>
          <cell r="C1373" t="str">
            <v>TowerCo</v>
          </cell>
          <cell r="D1373" t="str">
            <v>Gen-Solar AER</v>
          </cell>
        </row>
        <row r="1374">
          <cell r="A1374" t="str">
            <v>ADM_027</v>
          </cell>
          <cell r="B1374" t="str">
            <v>HIS</v>
          </cell>
          <cell r="C1374" t="str">
            <v>TowerCo</v>
          </cell>
          <cell r="D1374" t="str">
            <v>Solar-Grid-Gen</v>
          </cell>
        </row>
        <row r="1375">
          <cell r="A1375" t="str">
            <v>ADM_142</v>
          </cell>
          <cell r="B1375" t="str">
            <v>HIS</v>
          </cell>
          <cell r="C1375" t="str">
            <v>TowerCo</v>
          </cell>
          <cell r="D1375" t="str">
            <v>Hybrid-Gen</v>
          </cell>
        </row>
        <row r="1376">
          <cell r="A1376" t="str">
            <v>ADM_143</v>
          </cell>
          <cell r="B1376" t="str">
            <v>HIS</v>
          </cell>
          <cell r="C1376" t="str">
            <v>TowerCo</v>
          </cell>
          <cell r="D1376" t="str">
            <v>Solar-Gen</v>
          </cell>
        </row>
        <row r="1377">
          <cell r="A1377" t="str">
            <v>ADM_141</v>
          </cell>
          <cell r="B1377" t="str">
            <v>HIS</v>
          </cell>
          <cell r="C1377" t="str">
            <v>TowerCo</v>
          </cell>
          <cell r="D1377" t="str">
            <v>Solar-Gen</v>
          </cell>
        </row>
        <row r="1378">
          <cell r="A1378" t="str">
            <v>ADM_106</v>
          </cell>
          <cell r="B1378" t="str">
            <v>HIS</v>
          </cell>
          <cell r="C1378" t="str">
            <v>TowerCo</v>
          </cell>
          <cell r="D1378" t="str">
            <v>Grid-Gen</v>
          </cell>
        </row>
        <row r="1379">
          <cell r="A1379" t="str">
            <v>ADM_107</v>
          </cell>
          <cell r="B1379" t="str">
            <v>HIS</v>
          </cell>
          <cell r="C1379" t="str">
            <v>TowerCo</v>
          </cell>
          <cell r="D1379" t="str">
            <v>Grid-Gen</v>
          </cell>
        </row>
        <row r="1380">
          <cell r="A1380" t="str">
            <v>ADM_032</v>
          </cell>
          <cell r="B1380" t="str">
            <v>HIS</v>
          </cell>
          <cell r="C1380" t="str">
            <v>TowerCo</v>
          </cell>
          <cell r="D1380" t="str">
            <v>Grid-Gen</v>
          </cell>
        </row>
        <row r="1381">
          <cell r="A1381" t="str">
            <v>ADM_062</v>
          </cell>
          <cell r="B1381" t="str">
            <v>HIS</v>
          </cell>
          <cell r="C1381" t="str">
            <v>TowerCo</v>
          </cell>
          <cell r="D1381" t="str">
            <v>Grid-Gen</v>
          </cell>
        </row>
        <row r="1382">
          <cell r="A1382" t="str">
            <v>ADM_079</v>
          </cell>
          <cell r="B1382" t="str">
            <v>HIS</v>
          </cell>
          <cell r="C1382" t="str">
            <v>TowerCo</v>
          </cell>
          <cell r="D1382" t="str">
            <v>Grid-Gen</v>
          </cell>
        </row>
        <row r="1383">
          <cell r="A1383" t="str">
            <v>ADM_080</v>
          </cell>
          <cell r="B1383" t="str">
            <v>HIS</v>
          </cell>
          <cell r="C1383" t="str">
            <v>TowerCo</v>
          </cell>
          <cell r="D1383" t="str">
            <v>Grid-Gen</v>
          </cell>
        </row>
        <row r="1384">
          <cell r="A1384" t="str">
            <v>ADM_138</v>
          </cell>
          <cell r="B1384" t="str">
            <v>HIS</v>
          </cell>
          <cell r="C1384" t="str">
            <v>TowerCo</v>
          </cell>
          <cell r="D1384" t="str">
            <v>Hybrid-Gen</v>
          </cell>
        </row>
        <row r="1385">
          <cell r="A1385" t="str">
            <v>ADM_100</v>
          </cell>
          <cell r="B1385" t="str">
            <v>HIS</v>
          </cell>
          <cell r="C1385" t="str">
            <v>TowerCo</v>
          </cell>
          <cell r="D1385" t="str">
            <v>Solar-Gen</v>
          </cell>
        </row>
        <row r="1386">
          <cell r="A1386" t="str">
            <v>ADM_095</v>
          </cell>
          <cell r="B1386" t="str">
            <v>HIS</v>
          </cell>
          <cell r="C1386" t="str">
            <v>TowerCo</v>
          </cell>
          <cell r="D1386" t="str">
            <v>Hybrid-Gen</v>
          </cell>
        </row>
        <row r="1387">
          <cell r="A1387" t="str">
            <v>ADM_096</v>
          </cell>
          <cell r="B1387" t="str">
            <v>HIS</v>
          </cell>
          <cell r="C1387" t="str">
            <v>TowerCo</v>
          </cell>
          <cell r="D1387" t="str">
            <v>Solar-Gen</v>
          </cell>
        </row>
        <row r="1388">
          <cell r="A1388" t="str">
            <v>EST_020</v>
          </cell>
          <cell r="B1388" t="str">
            <v>HIS</v>
          </cell>
          <cell r="C1388" t="str">
            <v>TowerCo</v>
          </cell>
          <cell r="D1388" t="str">
            <v>Grid-Hybrid-Gen</v>
          </cell>
        </row>
        <row r="1389">
          <cell r="A1389" t="str">
            <v>EST_036</v>
          </cell>
          <cell r="B1389" t="str">
            <v>HIS</v>
          </cell>
          <cell r="C1389" t="str">
            <v>TowerCo</v>
          </cell>
          <cell r="D1389" t="str">
            <v>Grid-Gen</v>
          </cell>
        </row>
        <row r="1390">
          <cell r="A1390" t="str">
            <v>EST_022</v>
          </cell>
          <cell r="B1390" t="str">
            <v>HIS</v>
          </cell>
          <cell r="C1390" t="str">
            <v>TowerCo</v>
          </cell>
          <cell r="D1390" t="str">
            <v>Grid-Gen</v>
          </cell>
        </row>
        <row r="1391">
          <cell r="A1391" t="str">
            <v>EST_040</v>
          </cell>
          <cell r="B1391" t="str">
            <v>HIS</v>
          </cell>
          <cell r="C1391" t="str">
            <v>TowerCo</v>
          </cell>
          <cell r="D1391" t="str">
            <v>Grid-Gen</v>
          </cell>
        </row>
        <row r="1392">
          <cell r="A1392" t="str">
            <v>EST_041</v>
          </cell>
          <cell r="B1392" t="str">
            <v>HIS</v>
          </cell>
          <cell r="C1392" t="str">
            <v>TowerCo</v>
          </cell>
          <cell r="D1392" t="str">
            <v>Gen-Solar AER</v>
          </cell>
        </row>
        <row r="1393">
          <cell r="A1393" t="str">
            <v>EST_096</v>
          </cell>
          <cell r="B1393" t="str">
            <v>HIS</v>
          </cell>
          <cell r="C1393" t="str">
            <v>TowerCo</v>
          </cell>
          <cell r="D1393" t="str">
            <v>Hybrid-Gen</v>
          </cell>
        </row>
        <row r="1394">
          <cell r="A1394" t="str">
            <v>EST_019</v>
          </cell>
          <cell r="B1394" t="str">
            <v>HIS</v>
          </cell>
          <cell r="C1394" t="str">
            <v>TowerCo</v>
          </cell>
          <cell r="D1394" t="str">
            <v>Grid-Gen</v>
          </cell>
        </row>
        <row r="1395">
          <cell r="A1395" t="str">
            <v>EST_070</v>
          </cell>
          <cell r="B1395" t="str">
            <v>HIS</v>
          </cell>
          <cell r="C1395" t="str">
            <v>TowerCo</v>
          </cell>
          <cell r="D1395" t="str">
            <v>Grid-Gen</v>
          </cell>
        </row>
        <row r="1396">
          <cell r="A1396" t="str">
            <v>EST_092</v>
          </cell>
          <cell r="B1396" t="str">
            <v>HIS</v>
          </cell>
          <cell r="C1396" t="str">
            <v>TowerCo</v>
          </cell>
          <cell r="D1396" t="str">
            <v>Grid-Gen</v>
          </cell>
        </row>
        <row r="1397">
          <cell r="A1397" t="str">
            <v>EST_130</v>
          </cell>
          <cell r="B1397" t="str">
            <v>HIS</v>
          </cell>
          <cell r="C1397" t="str">
            <v>TowerCo</v>
          </cell>
          <cell r="D1397" t="str">
            <v>Solar-Gen</v>
          </cell>
        </row>
        <row r="1398">
          <cell r="A1398" t="str">
            <v>EST_114</v>
          </cell>
          <cell r="B1398" t="str">
            <v>HIS</v>
          </cell>
          <cell r="C1398" t="str">
            <v>TowerCo</v>
          </cell>
          <cell r="D1398" t="str">
            <v>Gen Only</v>
          </cell>
        </row>
        <row r="1399">
          <cell r="A1399" t="str">
            <v>EST_071</v>
          </cell>
          <cell r="B1399" t="str">
            <v>HIS</v>
          </cell>
          <cell r="C1399" t="str">
            <v>TowerCo</v>
          </cell>
          <cell r="D1399" t="str">
            <v>Gen Only</v>
          </cell>
        </row>
        <row r="1400">
          <cell r="A1400" t="str">
            <v>EST_115</v>
          </cell>
          <cell r="B1400" t="str">
            <v>HIS</v>
          </cell>
          <cell r="C1400" t="str">
            <v>TowerCo</v>
          </cell>
          <cell r="D1400" t="str">
            <v>Hybrid-Gen</v>
          </cell>
        </row>
        <row r="1401">
          <cell r="A1401" t="str">
            <v>EST_025</v>
          </cell>
          <cell r="B1401" t="str">
            <v>HIS</v>
          </cell>
          <cell r="C1401" t="str">
            <v>TowerCo</v>
          </cell>
          <cell r="D1401" t="str">
            <v>Grid-Gen</v>
          </cell>
        </row>
        <row r="1402">
          <cell r="A1402" t="str">
            <v>EST_108</v>
          </cell>
          <cell r="B1402" t="str">
            <v>HIS</v>
          </cell>
          <cell r="C1402" t="str">
            <v>TowerCo</v>
          </cell>
          <cell r="D1402" t="str">
            <v>Grid-Gen</v>
          </cell>
        </row>
        <row r="1403">
          <cell r="A1403" t="str">
            <v>EST_087</v>
          </cell>
          <cell r="B1403" t="str">
            <v>HIS</v>
          </cell>
          <cell r="C1403" t="str">
            <v>TowerCo</v>
          </cell>
          <cell r="D1403" t="str">
            <v>Grid-Gen</v>
          </cell>
        </row>
        <row r="1404">
          <cell r="A1404" t="str">
            <v>EST_010</v>
          </cell>
          <cell r="B1404" t="str">
            <v>HIS</v>
          </cell>
          <cell r="C1404" t="str">
            <v>TowerCo</v>
          </cell>
          <cell r="D1404" t="str">
            <v>Grid-Gen</v>
          </cell>
        </row>
        <row r="1405">
          <cell r="A1405" t="str">
            <v>EST_024</v>
          </cell>
          <cell r="B1405" t="str">
            <v>HIS</v>
          </cell>
          <cell r="C1405" t="str">
            <v>TowerCo</v>
          </cell>
          <cell r="D1405" t="str">
            <v>Grid-Gen</v>
          </cell>
        </row>
        <row r="1406">
          <cell r="A1406" t="str">
            <v>EST_012</v>
          </cell>
          <cell r="B1406" t="str">
            <v>HIS</v>
          </cell>
          <cell r="C1406" t="str">
            <v>TowerCo</v>
          </cell>
          <cell r="D1406" t="str">
            <v>Solar-Gen</v>
          </cell>
        </row>
        <row r="1407">
          <cell r="A1407" t="str">
            <v>EST_046</v>
          </cell>
          <cell r="B1407" t="str">
            <v>HIS</v>
          </cell>
          <cell r="C1407" t="str">
            <v>TowerCo</v>
          </cell>
          <cell r="D1407" t="str">
            <v>Solar-Gen</v>
          </cell>
        </row>
        <row r="1408">
          <cell r="A1408" t="str">
            <v>EST_011</v>
          </cell>
          <cell r="B1408" t="str">
            <v>HIS</v>
          </cell>
          <cell r="C1408" t="str">
            <v>TowerCo</v>
          </cell>
          <cell r="D1408" t="str">
            <v>Solar-Gen</v>
          </cell>
        </row>
        <row r="1409">
          <cell r="A1409" t="str">
            <v>EST_045</v>
          </cell>
          <cell r="B1409" t="str">
            <v>HIS</v>
          </cell>
          <cell r="C1409" t="str">
            <v>TowerCo</v>
          </cell>
          <cell r="D1409" t="str">
            <v>Solar-Gen</v>
          </cell>
        </row>
        <row r="1410">
          <cell r="A1410" t="str">
            <v>EST_016</v>
          </cell>
          <cell r="B1410" t="str">
            <v>HIS</v>
          </cell>
          <cell r="C1410" t="str">
            <v>TowerCo</v>
          </cell>
          <cell r="D1410" t="str">
            <v>Solar-Gen</v>
          </cell>
        </row>
        <row r="1411">
          <cell r="A1411" t="str">
            <v>EST_048</v>
          </cell>
          <cell r="B1411" t="str">
            <v>HIS</v>
          </cell>
          <cell r="C1411" t="str">
            <v>TowerCo</v>
          </cell>
          <cell r="D1411" t="str">
            <v>Gen-Solar AER</v>
          </cell>
        </row>
        <row r="1412">
          <cell r="A1412" t="str">
            <v>EST_103</v>
          </cell>
          <cell r="B1412" t="str">
            <v>HIS</v>
          </cell>
          <cell r="C1412" t="str">
            <v>TowerCo</v>
          </cell>
          <cell r="D1412" t="str">
            <v>Hybrid-Gen</v>
          </cell>
        </row>
        <row r="1413">
          <cell r="A1413" t="str">
            <v>EST_128</v>
          </cell>
          <cell r="B1413" t="str">
            <v>HIS</v>
          </cell>
          <cell r="C1413" t="str">
            <v>TowerCo</v>
          </cell>
          <cell r="D1413" t="str">
            <v>Grid-Gen</v>
          </cell>
        </row>
        <row r="1414">
          <cell r="A1414" t="str">
            <v>EST_126</v>
          </cell>
          <cell r="B1414" t="str">
            <v>HIS</v>
          </cell>
          <cell r="C1414" t="str">
            <v>TowerCo</v>
          </cell>
          <cell r="D1414" t="str">
            <v>Solar-Gen</v>
          </cell>
        </row>
        <row r="1415">
          <cell r="A1415" t="str">
            <v>EST_074</v>
          </cell>
          <cell r="B1415" t="str">
            <v>HIS</v>
          </cell>
          <cell r="C1415" t="str">
            <v>TowerCo</v>
          </cell>
          <cell r="D1415" t="str">
            <v>Solar Only</v>
          </cell>
        </row>
        <row r="1416">
          <cell r="A1416" t="str">
            <v>EST_072</v>
          </cell>
          <cell r="B1416" t="str">
            <v>HIS</v>
          </cell>
          <cell r="C1416" t="str">
            <v>TowerCo</v>
          </cell>
          <cell r="D1416" t="str">
            <v>Grid-Gen</v>
          </cell>
        </row>
        <row r="1417">
          <cell r="A1417" t="str">
            <v>EST_101</v>
          </cell>
          <cell r="B1417" t="str">
            <v>HIS</v>
          </cell>
          <cell r="C1417" t="str">
            <v>TowerCo</v>
          </cell>
          <cell r="D1417" t="str">
            <v>Hybrid-Gen</v>
          </cell>
        </row>
        <row r="1418">
          <cell r="A1418" t="str">
            <v>EST_082</v>
          </cell>
          <cell r="B1418" t="str">
            <v>HIS</v>
          </cell>
          <cell r="C1418" t="str">
            <v>TowerCo</v>
          </cell>
          <cell r="D1418" t="str">
            <v>Grid-Gen</v>
          </cell>
        </row>
        <row r="1419">
          <cell r="A1419" t="str">
            <v>EST_015</v>
          </cell>
          <cell r="B1419" t="str">
            <v>HIS</v>
          </cell>
          <cell r="C1419" t="str">
            <v>TowerCo</v>
          </cell>
          <cell r="D1419" t="str">
            <v>Solar-Gen</v>
          </cell>
        </row>
        <row r="1420">
          <cell r="A1420" t="str">
            <v>EST_102</v>
          </cell>
          <cell r="B1420" t="str">
            <v>HIS</v>
          </cell>
          <cell r="C1420" t="str">
            <v>TowerCo</v>
          </cell>
          <cell r="D1420" t="str">
            <v>Hybrid-Gen</v>
          </cell>
        </row>
        <row r="1421">
          <cell r="A1421" t="str">
            <v>EST_122</v>
          </cell>
          <cell r="B1421" t="str">
            <v>HIS</v>
          </cell>
          <cell r="C1421" t="str">
            <v>TowerCo</v>
          </cell>
          <cell r="D1421" t="str">
            <v>Hybrid-Gen</v>
          </cell>
        </row>
        <row r="1422">
          <cell r="A1422" t="str">
            <v>EST_042</v>
          </cell>
          <cell r="B1422" t="str">
            <v>HIS</v>
          </cell>
          <cell r="C1422" t="str">
            <v>TowerCo</v>
          </cell>
          <cell r="D1422" t="str">
            <v>Grid-Gen</v>
          </cell>
        </row>
        <row r="1423">
          <cell r="A1423" t="str">
            <v>EST_084</v>
          </cell>
          <cell r="B1423" t="str">
            <v>HIS</v>
          </cell>
          <cell r="C1423" t="str">
            <v>TowerCo</v>
          </cell>
          <cell r="D1423" t="str">
            <v>Grid-Gen</v>
          </cell>
        </row>
        <row r="1424">
          <cell r="A1424" t="str">
            <v>EST_052</v>
          </cell>
          <cell r="B1424" t="str">
            <v>HIS</v>
          </cell>
          <cell r="C1424" t="str">
            <v>TowerCo</v>
          </cell>
          <cell r="D1424" t="str">
            <v>Grid-Gen</v>
          </cell>
        </row>
        <row r="1425">
          <cell r="A1425" t="str">
            <v>EST_062</v>
          </cell>
          <cell r="B1425" t="str">
            <v>HIS</v>
          </cell>
          <cell r="C1425" t="str">
            <v>TowerCo</v>
          </cell>
          <cell r="D1425" t="str">
            <v>Grid-Gen</v>
          </cell>
        </row>
        <row r="1426">
          <cell r="A1426" t="str">
            <v>EST_029</v>
          </cell>
          <cell r="B1426" t="str">
            <v>HIS</v>
          </cell>
          <cell r="C1426" t="str">
            <v>TowerCo</v>
          </cell>
          <cell r="D1426" t="str">
            <v>Hybrid-Gen</v>
          </cell>
        </row>
        <row r="1427">
          <cell r="A1427" t="str">
            <v>EST_089</v>
          </cell>
          <cell r="B1427" t="str">
            <v>HIS</v>
          </cell>
          <cell r="C1427" t="str">
            <v>TowerCo</v>
          </cell>
          <cell r="D1427" t="str">
            <v>Grid-Hybrid-Gen</v>
          </cell>
        </row>
        <row r="1428">
          <cell r="A1428" t="str">
            <v>EST_106</v>
          </cell>
          <cell r="B1428" t="str">
            <v>HIS</v>
          </cell>
          <cell r="C1428" t="str">
            <v>TowerCo</v>
          </cell>
          <cell r="D1428" t="str">
            <v>Solar-Gen</v>
          </cell>
        </row>
        <row r="1429">
          <cell r="A1429" t="str">
            <v>EST_043</v>
          </cell>
          <cell r="B1429" t="str">
            <v>HIS</v>
          </cell>
          <cell r="C1429" t="str">
            <v>TowerCo</v>
          </cell>
          <cell r="D1429" t="str">
            <v>Solar-Gen</v>
          </cell>
        </row>
        <row r="1430">
          <cell r="A1430" t="str">
            <v>EST_028</v>
          </cell>
          <cell r="B1430" t="str">
            <v>HIS</v>
          </cell>
          <cell r="C1430" t="str">
            <v>TowerCo</v>
          </cell>
          <cell r="D1430" t="str">
            <v>Solar-Gen</v>
          </cell>
        </row>
        <row r="1431">
          <cell r="A1431" t="str">
            <v>OST_029</v>
          </cell>
          <cell r="B1431" t="str">
            <v>HIS</v>
          </cell>
          <cell r="C1431" t="str">
            <v>TowerCo</v>
          </cell>
          <cell r="D1431" t="str">
            <v>Gen Only</v>
          </cell>
        </row>
        <row r="1432">
          <cell r="A1432" t="str">
            <v>OST_007</v>
          </cell>
          <cell r="B1432" t="str">
            <v>HIS</v>
          </cell>
          <cell r="C1432" t="str">
            <v>TowerCo</v>
          </cell>
          <cell r="D1432" t="str">
            <v>Grid-Gen</v>
          </cell>
        </row>
        <row r="1433">
          <cell r="A1433" t="str">
            <v>OST_017</v>
          </cell>
          <cell r="B1433" t="str">
            <v>HIS</v>
          </cell>
          <cell r="C1433" t="str">
            <v>TowerCo</v>
          </cell>
          <cell r="D1433" t="str">
            <v>Grid-Gen</v>
          </cell>
        </row>
        <row r="1434">
          <cell r="A1434" t="str">
            <v>SUO_017</v>
          </cell>
          <cell r="B1434" t="str">
            <v>HIS</v>
          </cell>
          <cell r="C1434" t="str">
            <v>TowerCo</v>
          </cell>
          <cell r="D1434" t="str">
            <v>Grid-Gen</v>
          </cell>
        </row>
        <row r="1435">
          <cell r="A1435" t="str">
            <v>OST_016</v>
          </cell>
          <cell r="B1435" t="str">
            <v>HIS</v>
          </cell>
          <cell r="C1435" t="str">
            <v>TowerCo</v>
          </cell>
          <cell r="D1435" t="str">
            <v>Grid-Gen</v>
          </cell>
        </row>
        <row r="1436">
          <cell r="A1436" t="str">
            <v>OST_020</v>
          </cell>
          <cell r="B1436" t="str">
            <v>HIS</v>
          </cell>
          <cell r="C1436" t="str">
            <v>TowerCo</v>
          </cell>
          <cell r="D1436" t="str">
            <v>Grid-Gen</v>
          </cell>
        </row>
        <row r="1437">
          <cell r="A1437" t="str">
            <v>OST_111</v>
          </cell>
          <cell r="B1437" t="str">
            <v>HIS</v>
          </cell>
          <cell r="C1437" t="str">
            <v>TowerCo</v>
          </cell>
          <cell r="D1437" t="str">
            <v>Grid-Gen</v>
          </cell>
        </row>
        <row r="1438">
          <cell r="A1438" t="str">
            <v>OST_045</v>
          </cell>
          <cell r="B1438" t="str">
            <v>HIS</v>
          </cell>
          <cell r="C1438" t="str">
            <v>TowerCo</v>
          </cell>
          <cell r="D1438" t="str">
            <v>Grid-Gen</v>
          </cell>
        </row>
        <row r="1439">
          <cell r="A1439" t="str">
            <v>OST_077</v>
          </cell>
          <cell r="B1439" t="str">
            <v>HIS</v>
          </cell>
          <cell r="C1439" t="str">
            <v>TowerCo</v>
          </cell>
          <cell r="D1439" t="str">
            <v>Grid-Gen</v>
          </cell>
        </row>
        <row r="1440">
          <cell r="A1440" t="str">
            <v>OST_035</v>
          </cell>
          <cell r="B1440" t="str">
            <v>HIS</v>
          </cell>
          <cell r="C1440" t="str">
            <v>TowerCo</v>
          </cell>
          <cell r="D1440" t="str">
            <v>Grid-Gen</v>
          </cell>
        </row>
        <row r="1441">
          <cell r="A1441" t="str">
            <v>OST_121</v>
          </cell>
          <cell r="B1441" t="str">
            <v>HIS</v>
          </cell>
          <cell r="C1441" t="str">
            <v>TowerCo</v>
          </cell>
          <cell r="D1441" t="str">
            <v>Grid-Gen</v>
          </cell>
        </row>
        <row r="1442">
          <cell r="A1442" t="str">
            <v>OST_193</v>
          </cell>
          <cell r="B1442" t="str">
            <v>HIS</v>
          </cell>
          <cell r="C1442" t="str">
            <v>TowerCo</v>
          </cell>
          <cell r="D1442" t="str">
            <v>Gen Only</v>
          </cell>
        </row>
        <row r="1443">
          <cell r="A1443" t="str">
            <v>OST_155</v>
          </cell>
          <cell r="B1443" t="str">
            <v>HIS</v>
          </cell>
          <cell r="C1443" t="str">
            <v>TowerCo</v>
          </cell>
          <cell r="D1443" t="str">
            <v>Grid-Gen</v>
          </cell>
        </row>
        <row r="1444">
          <cell r="A1444" t="str">
            <v>OST_105</v>
          </cell>
          <cell r="B1444" t="str">
            <v>HIS</v>
          </cell>
          <cell r="C1444" t="str">
            <v>TowerCo</v>
          </cell>
          <cell r="D1444" t="str">
            <v>Grid-Gen</v>
          </cell>
        </row>
        <row r="1445">
          <cell r="A1445" t="str">
            <v>OST_024</v>
          </cell>
          <cell r="B1445" t="str">
            <v>HIS</v>
          </cell>
          <cell r="C1445" t="str">
            <v>TowerCo</v>
          </cell>
          <cell r="D1445" t="str">
            <v>Grid-Gen</v>
          </cell>
        </row>
        <row r="1446">
          <cell r="A1446" t="str">
            <v>OST_040</v>
          </cell>
          <cell r="B1446" t="str">
            <v>HIS</v>
          </cell>
          <cell r="C1446" t="str">
            <v>TowerCo</v>
          </cell>
          <cell r="D1446" t="str">
            <v>Grid-Gen</v>
          </cell>
        </row>
        <row r="1447">
          <cell r="A1447" t="str">
            <v>OST_046</v>
          </cell>
          <cell r="B1447" t="str">
            <v>HIS</v>
          </cell>
          <cell r="C1447" t="str">
            <v>TowerCo</v>
          </cell>
          <cell r="D1447" t="str">
            <v>Grid-Gen</v>
          </cell>
        </row>
        <row r="1448">
          <cell r="A1448" t="str">
            <v>OST_009</v>
          </cell>
          <cell r="B1448" t="str">
            <v>HIS</v>
          </cell>
          <cell r="C1448" t="str">
            <v>TowerCo</v>
          </cell>
          <cell r="D1448" t="str">
            <v>Grid-Gen</v>
          </cell>
        </row>
        <row r="1449">
          <cell r="A1449" t="str">
            <v>OST_076</v>
          </cell>
          <cell r="B1449" t="str">
            <v>HIS</v>
          </cell>
          <cell r="C1449" t="str">
            <v>TowerCo</v>
          </cell>
          <cell r="D1449" t="str">
            <v>Grid-Gen</v>
          </cell>
        </row>
        <row r="1450">
          <cell r="A1450" t="str">
            <v>OST_034</v>
          </cell>
          <cell r="B1450" t="str">
            <v>HIS</v>
          </cell>
          <cell r="C1450" t="str">
            <v>TowerCo</v>
          </cell>
          <cell r="D1450" t="str">
            <v>Grid-Gen</v>
          </cell>
        </row>
        <row r="1451">
          <cell r="A1451" t="str">
            <v>OST_074</v>
          </cell>
          <cell r="B1451" t="str">
            <v>HIS</v>
          </cell>
          <cell r="C1451" t="str">
            <v>TowerCo</v>
          </cell>
          <cell r="D1451" t="str">
            <v>Grid-Gen</v>
          </cell>
        </row>
        <row r="1452">
          <cell r="A1452" t="str">
            <v>OST_069</v>
          </cell>
          <cell r="B1452" t="str">
            <v>HIS</v>
          </cell>
          <cell r="C1452" t="str">
            <v>TowerCo</v>
          </cell>
          <cell r="D1452" t="str">
            <v>Grid-Gen</v>
          </cell>
        </row>
        <row r="1453">
          <cell r="A1453" t="str">
            <v>OST_064</v>
          </cell>
          <cell r="B1453" t="str">
            <v>HIS</v>
          </cell>
          <cell r="C1453" t="str">
            <v>TowerCo</v>
          </cell>
          <cell r="D1453" t="str">
            <v>Grid-Gen</v>
          </cell>
        </row>
        <row r="1454">
          <cell r="A1454" t="str">
            <v>OST_059</v>
          </cell>
          <cell r="B1454" t="str">
            <v>HIS</v>
          </cell>
          <cell r="C1454" t="str">
            <v>TowerCo</v>
          </cell>
          <cell r="D1454" t="str">
            <v>Grid-Gen</v>
          </cell>
        </row>
        <row r="1455">
          <cell r="A1455" t="str">
            <v>OST_073</v>
          </cell>
          <cell r="B1455" t="str">
            <v>HIS</v>
          </cell>
          <cell r="C1455" t="str">
            <v>TowerCo</v>
          </cell>
          <cell r="D1455" t="str">
            <v>Grid-Gen</v>
          </cell>
        </row>
        <row r="1456">
          <cell r="A1456" t="str">
            <v>OST_060</v>
          </cell>
          <cell r="B1456" t="str">
            <v>HIS</v>
          </cell>
          <cell r="C1456" t="str">
            <v>TowerCo</v>
          </cell>
          <cell r="D1456" t="str">
            <v>Grid-Gen</v>
          </cell>
        </row>
        <row r="1457">
          <cell r="A1457" t="str">
            <v>OST_063</v>
          </cell>
          <cell r="B1457" t="str">
            <v>HIS</v>
          </cell>
          <cell r="C1457" t="str">
            <v>TowerCo</v>
          </cell>
          <cell r="D1457" t="str">
            <v>Grid-Gen</v>
          </cell>
        </row>
        <row r="1458">
          <cell r="A1458" t="str">
            <v>OST_065</v>
          </cell>
          <cell r="B1458" t="str">
            <v>HIS</v>
          </cell>
          <cell r="C1458" t="str">
            <v>TowerCo</v>
          </cell>
          <cell r="D1458" t="str">
            <v>Grid-Gen</v>
          </cell>
        </row>
        <row r="1459">
          <cell r="A1459" t="str">
            <v>OST_100</v>
          </cell>
          <cell r="B1459" t="str">
            <v>HIS</v>
          </cell>
          <cell r="C1459" t="str">
            <v>TowerCo</v>
          </cell>
          <cell r="D1459" t="str">
            <v>Grid-Gen</v>
          </cell>
        </row>
        <row r="1460">
          <cell r="A1460" t="str">
            <v>OST_066</v>
          </cell>
          <cell r="B1460" t="str">
            <v>HIS</v>
          </cell>
          <cell r="C1460" t="str">
            <v>TowerCo</v>
          </cell>
          <cell r="D1460" t="str">
            <v>Grid-Gen</v>
          </cell>
        </row>
        <row r="1461">
          <cell r="A1461" t="str">
            <v>OST_038</v>
          </cell>
          <cell r="B1461" t="str">
            <v>HIS</v>
          </cell>
          <cell r="C1461" t="str">
            <v>TowerCo</v>
          </cell>
          <cell r="D1461" t="str">
            <v>Grid-Gen</v>
          </cell>
        </row>
        <row r="1462">
          <cell r="A1462" t="str">
            <v>OST_071</v>
          </cell>
          <cell r="B1462" t="str">
            <v>HIS</v>
          </cell>
          <cell r="C1462" t="str">
            <v>TowerCo</v>
          </cell>
          <cell r="D1462" t="str">
            <v>Grid-Gen</v>
          </cell>
        </row>
        <row r="1463">
          <cell r="A1463" t="str">
            <v>OST_109</v>
          </cell>
          <cell r="B1463" t="str">
            <v>HIS</v>
          </cell>
          <cell r="C1463" t="str">
            <v>TowerCo</v>
          </cell>
          <cell r="D1463" t="str">
            <v>Grid Only</v>
          </cell>
        </row>
        <row r="1464">
          <cell r="A1464" t="str">
            <v>OST_110</v>
          </cell>
          <cell r="B1464" t="str">
            <v>HIS</v>
          </cell>
          <cell r="C1464" t="str">
            <v>TowerCo</v>
          </cell>
          <cell r="D1464" t="str">
            <v>Grid Only</v>
          </cell>
        </row>
        <row r="1465">
          <cell r="A1465" t="str">
            <v>OST_170</v>
          </cell>
          <cell r="B1465" t="str">
            <v>HIS</v>
          </cell>
          <cell r="C1465" t="str">
            <v>TowerCo</v>
          </cell>
          <cell r="D1465" t="str">
            <v>Grid Only</v>
          </cell>
        </row>
        <row r="1466">
          <cell r="A1466" t="str">
            <v>OST_120</v>
          </cell>
          <cell r="B1466" t="str">
            <v>HIS</v>
          </cell>
          <cell r="C1466" t="str">
            <v>TowerCo</v>
          </cell>
          <cell r="D1466" t="str">
            <v>Grid Only</v>
          </cell>
        </row>
        <row r="1467">
          <cell r="A1467" t="str">
            <v>OST_119</v>
          </cell>
          <cell r="B1467" t="str">
            <v>HIS</v>
          </cell>
          <cell r="C1467" t="str">
            <v>TowerCo</v>
          </cell>
          <cell r="D1467" t="str">
            <v>Grid Only</v>
          </cell>
        </row>
        <row r="1468">
          <cell r="A1468" t="str">
            <v>OST_002</v>
          </cell>
          <cell r="B1468" t="str">
            <v>HIS</v>
          </cell>
          <cell r="C1468" t="str">
            <v>TowerCo</v>
          </cell>
          <cell r="D1468" t="str">
            <v>Grid-Gen</v>
          </cell>
        </row>
        <row r="1469">
          <cell r="A1469" t="str">
            <v>OST_107</v>
          </cell>
          <cell r="B1469" t="str">
            <v>HIS</v>
          </cell>
          <cell r="C1469" t="str">
            <v>TowerCo</v>
          </cell>
          <cell r="D1469" t="str">
            <v>Grid-Gen</v>
          </cell>
        </row>
        <row r="1470">
          <cell r="A1470" t="str">
            <v>OST_134</v>
          </cell>
          <cell r="B1470" t="str">
            <v>HIS</v>
          </cell>
          <cell r="C1470" t="str">
            <v>TowerCo</v>
          </cell>
          <cell r="D1470" t="str">
            <v>Grid-Gen</v>
          </cell>
        </row>
        <row r="1471">
          <cell r="A1471" t="str">
            <v>OST_078</v>
          </cell>
          <cell r="B1471" t="str">
            <v>HIS</v>
          </cell>
          <cell r="C1471" t="str">
            <v>TowerCo</v>
          </cell>
          <cell r="D1471" t="str">
            <v>Grid Only</v>
          </cell>
        </row>
        <row r="1472">
          <cell r="A1472" t="str">
            <v>OST_210</v>
          </cell>
          <cell r="B1472" t="str">
            <v>HIS</v>
          </cell>
          <cell r="C1472" t="str">
            <v>TowerCo</v>
          </cell>
          <cell r="D1472" t="str">
            <v>Grid-Gen</v>
          </cell>
        </row>
        <row r="1473">
          <cell r="A1473" t="str">
            <v>NRO_087</v>
          </cell>
          <cell r="B1473" t="str">
            <v>HIS</v>
          </cell>
          <cell r="C1473" t="str">
            <v>TowerCo</v>
          </cell>
          <cell r="D1473" t="str">
            <v>Hybrid-Gen</v>
          </cell>
        </row>
        <row r="1474">
          <cell r="A1474" t="str">
            <v>OST_162</v>
          </cell>
          <cell r="B1474" t="str">
            <v>HIS</v>
          </cell>
          <cell r="C1474" t="str">
            <v>TowerCo</v>
          </cell>
          <cell r="D1474" t="str">
            <v>Grid-Gen</v>
          </cell>
        </row>
        <row r="1475">
          <cell r="A1475" t="str">
            <v>OST_267</v>
          </cell>
          <cell r="B1475" t="str">
            <v>HIS</v>
          </cell>
          <cell r="C1475" t="str">
            <v>TowerCo</v>
          </cell>
          <cell r="D1475" t="str">
            <v>Grid-Gen</v>
          </cell>
        </row>
        <row r="1476">
          <cell r="A1476" t="str">
            <v>SUO_133</v>
          </cell>
          <cell r="B1476" t="str">
            <v>HIS</v>
          </cell>
          <cell r="C1476" t="str">
            <v>TowerCo</v>
          </cell>
          <cell r="D1476" t="str">
            <v>Grid-Gen</v>
          </cell>
        </row>
        <row r="1477">
          <cell r="A1477" t="str">
            <v>OST_172</v>
          </cell>
          <cell r="B1477" t="str">
            <v>HIS</v>
          </cell>
          <cell r="C1477" t="str">
            <v>TowerCo</v>
          </cell>
          <cell r="D1477" t="str">
            <v>Grid-Gen</v>
          </cell>
        </row>
        <row r="1478">
          <cell r="A1478" t="str">
            <v>SUO_136</v>
          </cell>
          <cell r="B1478" t="str">
            <v>HIS</v>
          </cell>
          <cell r="C1478" t="str">
            <v>TowerCo</v>
          </cell>
          <cell r="D1478" t="str">
            <v>Grid-Gen</v>
          </cell>
        </row>
        <row r="1479">
          <cell r="A1479" t="str">
            <v>OST_166</v>
          </cell>
          <cell r="B1479" t="str">
            <v>HIS</v>
          </cell>
          <cell r="C1479" t="str">
            <v>TowerCo</v>
          </cell>
          <cell r="D1479" t="str">
            <v>Grid-Gen</v>
          </cell>
        </row>
        <row r="1480">
          <cell r="A1480" t="str">
            <v>OST_146</v>
          </cell>
          <cell r="B1480" t="str">
            <v>HIS</v>
          </cell>
          <cell r="C1480" t="str">
            <v>TowerCo</v>
          </cell>
          <cell r="D1480" t="str">
            <v>Grid-Gen</v>
          </cell>
        </row>
        <row r="1481">
          <cell r="A1481" t="str">
            <v>OST_118</v>
          </cell>
          <cell r="B1481" t="str">
            <v>HIS</v>
          </cell>
          <cell r="C1481" t="str">
            <v>TowerCo</v>
          </cell>
          <cell r="D1481" t="str">
            <v>Grid-Gen</v>
          </cell>
        </row>
        <row r="1482">
          <cell r="A1482" t="str">
            <v>OST_169</v>
          </cell>
          <cell r="B1482" t="str">
            <v>HIS</v>
          </cell>
          <cell r="C1482" t="str">
            <v>TowerCo</v>
          </cell>
          <cell r="D1482" t="str">
            <v>Grid-Gen</v>
          </cell>
        </row>
        <row r="1483">
          <cell r="A1483" t="str">
            <v>OST_151</v>
          </cell>
          <cell r="B1483" t="str">
            <v>HIS</v>
          </cell>
          <cell r="C1483" t="str">
            <v>TowerCo</v>
          </cell>
          <cell r="D1483" t="str">
            <v>Grid-Gen</v>
          </cell>
        </row>
        <row r="1484">
          <cell r="A1484" t="str">
            <v>OST_139</v>
          </cell>
          <cell r="B1484" t="str">
            <v>HIS</v>
          </cell>
          <cell r="C1484" t="str">
            <v>TowerCo</v>
          </cell>
          <cell r="D1484" t="str">
            <v>Grid-Gen</v>
          </cell>
        </row>
        <row r="1485">
          <cell r="A1485" t="str">
            <v>OST_150</v>
          </cell>
          <cell r="B1485" t="str">
            <v>HIS</v>
          </cell>
          <cell r="C1485" t="str">
            <v>TowerCo</v>
          </cell>
          <cell r="D1485" t="str">
            <v>Grid-Gen</v>
          </cell>
        </row>
        <row r="1486">
          <cell r="A1486" t="str">
            <v>OST_213</v>
          </cell>
          <cell r="B1486" t="str">
            <v>HIS</v>
          </cell>
          <cell r="C1486" t="str">
            <v>TowerCo</v>
          </cell>
          <cell r="D1486" t="str">
            <v>Grid-Gen</v>
          </cell>
        </row>
        <row r="1487">
          <cell r="A1487" t="str">
            <v>OST_214</v>
          </cell>
          <cell r="B1487" t="str">
            <v>HIS</v>
          </cell>
          <cell r="C1487" t="str">
            <v>TowerCo</v>
          </cell>
          <cell r="D1487" t="str">
            <v>Grid-Gen</v>
          </cell>
        </row>
        <row r="1488">
          <cell r="A1488" t="str">
            <v>OST_108</v>
          </cell>
          <cell r="B1488" t="str">
            <v>HIS</v>
          </cell>
          <cell r="C1488" t="str">
            <v>TowerCo</v>
          </cell>
          <cell r="D1488" t="str">
            <v>Grid-Gen</v>
          </cell>
        </row>
        <row r="1489">
          <cell r="A1489" t="str">
            <v>OST_112</v>
          </cell>
          <cell r="B1489" t="str">
            <v>HIS</v>
          </cell>
          <cell r="C1489" t="str">
            <v>TowerCo</v>
          </cell>
          <cell r="D1489" t="str">
            <v>Grid-Gen</v>
          </cell>
        </row>
        <row r="1490">
          <cell r="A1490" t="str">
            <v>OST_106</v>
          </cell>
          <cell r="B1490" t="str">
            <v>HIS</v>
          </cell>
          <cell r="C1490" t="str">
            <v>TowerCo</v>
          </cell>
          <cell r="D1490" t="str">
            <v>Grid-Gen</v>
          </cell>
        </row>
        <row r="1491">
          <cell r="A1491" t="str">
            <v>OST_056</v>
          </cell>
          <cell r="B1491" t="str">
            <v>HIS</v>
          </cell>
          <cell r="C1491" t="str">
            <v>TowerCo</v>
          </cell>
          <cell r="D1491" t="str">
            <v>Grid-Gen</v>
          </cell>
        </row>
        <row r="1492">
          <cell r="A1492" t="str">
            <v>OST_084</v>
          </cell>
          <cell r="B1492" t="str">
            <v>HIS</v>
          </cell>
          <cell r="C1492" t="str">
            <v>TowerCo</v>
          </cell>
          <cell r="D1492" t="str">
            <v>Grid-Gen</v>
          </cell>
        </row>
        <row r="1493">
          <cell r="A1493" t="str">
            <v>OST_067</v>
          </cell>
          <cell r="B1493" t="str">
            <v>HIS</v>
          </cell>
          <cell r="C1493" t="str">
            <v>TowerCo</v>
          </cell>
          <cell r="D1493" t="str">
            <v>Grid-Gen</v>
          </cell>
        </row>
        <row r="1494">
          <cell r="A1494" t="str">
            <v>OST_075</v>
          </cell>
          <cell r="B1494" t="str">
            <v>HIS</v>
          </cell>
          <cell r="C1494" t="str">
            <v>TowerCo</v>
          </cell>
          <cell r="D1494" t="str">
            <v>Grid-Gen</v>
          </cell>
        </row>
        <row r="1495">
          <cell r="A1495" t="str">
            <v>OST_135</v>
          </cell>
          <cell r="B1495" t="str">
            <v>HIS</v>
          </cell>
          <cell r="C1495" t="str">
            <v>TowerCo</v>
          </cell>
          <cell r="D1495" t="str">
            <v>Grid Only</v>
          </cell>
        </row>
        <row r="1496">
          <cell r="A1496" t="str">
            <v>OST_123</v>
          </cell>
          <cell r="B1496" t="str">
            <v>HIS</v>
          </cell>
          <cell r="C1496" t="str">
            <v>TowerCo</v>
          </cell>
          <cell r="D1496" t="str">
            <v>Grid-Gen</v>
          </cell>
        </row>
        <row r="1497">
          <cell r="A1497" t="str">
            <v>OST_122</v>
          </cell>
          <cell r="B1497" t="str">
            <v>HIS</v>
          </cell>
          <cell r="C1497" t="str">
            <v>TowerCo</v>
          </cell>
          <cell r="D1497" t="str">
            <v>Grid Only</v>
          </cell>
        </row>
        <row r="1498">
          <cell r="A1498" t="str">
            <v>OST_096</v>
          </cell>
          <cell r="B1498" t="str">
            <v>HIS</v>
          </cell>
          <cell r="C1498" t="str">
            <v>TowerCo</v>
          </cell>
          <cell r="D1498" t="str">
            <v>Grid-Gen</v>
          </cell>
        </row>
        <row r="1499">
          <cell r="A1499" t="str">
            <v>OST_153</v>
          </cell>
          <cell r="B1499" t="str">
            <v>HIS</v>
          </cell>
          <cell r="C1499" t="str">
            <v>TowerCo</v>
          </cell>
          <cell r="D1499" t="str">
            <v>Hybrid-Gen</v>
          </cell>
        </row>
        <row r="1500">
          <cell r="A1500" t="str">
            <v>OST_167</v>
          </cell>
          <cell r="B1500" t="str">
            <v>HIS</v>
          </cell>
          <cell r="C1500" t="str">
            <v>TowerCo</v>
          </cell>
          <cell r="D1500" t="str">
            <v>Gen Only</v>
          </cell>
        </row>
        <row r="1501">
          <cell r="A1501" t="str">
            <v>NRO_027</v>
          </cell>
          <cell r="B1501" t="str">
            <v>HIS</v>
          </cell>
          <cell r="C1501" t="str">
            <v>TowerCo</v>
          </cell>
          <cell r="D1501" t="str">
            <v>Hybrid-Gen</v>
          </cell>
        </row>
        <row r="1502">
          <cell r="A1502" t="str">
            <v>OST_300</v>
          </cell>
          <cell r="B1502" t="str">
            <v>HIS</v>
          </cell>
          <cell r="C1502" t="str">
            <v>TowerCo</v>
          </cell>
          <cell r="D1502" t="str">
            <v>Grid-Gen</v>
          </cell>
        </row>
        <row r="1503">
          <cell r="A1503" t="str">
            <v>OST_211</v>
          </cell>
          <cell r="B1503" t="str">
            <v>HIS</v>
          </cell>
          <cell r="C1503" t="str">
            <v>TowerCo</v>
          </cell>
          <cell r="D1503" t="str">
            <v>Grid-Gen</v>
          </cell>
        </row>
        <row r="1504">
          <cell r="A1504" t="str">
            <v>OST_163</v>
          </cell>
          <cell r="B1504" t="str">
            <v>HIS</v>
          </cell>
          <cell r="C1504" t="str">
            <v>TowerCo</v>
          </cell>
          <cell r="D1504" t="str">
            <v>Grid-Gen</v>
          </cell>
        </row>
        <row r="1505">
          <cell r="A1505" t="str">
            <v>OST_256</v>
          </cell>
          <cell r="B1505" t="str">
            <v>HIS</v>
          </cell>
          <cell r="C1505" t="str">
            <v>TowerCo</v>
          </cell>
          <cell r="D1505" t="str">
            <v>Grid-Gen</v>
          </cell>
        </row>
        <row r="1506">
          <cell r="A1506" t="str">
            <v>OST_165</v>
          </cell>
          <cell r="B1506" t="str">
            <v>HIS</v>
          </cell>
          <cell r="C1506" t="str">
            <v>TowerCo</v>
          </cell>
          <cell r="D1506" t="str">
            <v>Grid-Gen</v>
          </cell>
        </row>
        <row r="1507">
          <cell r="A1507" t="str">
            <v>OST_142</v>
          </cell>
          <cell r="B1507" t="str">
            <v>HIS</v>
          </cell>
          <cell r="C1507" t="str">
            <v>TowerCo</v>
          </cell>
          <cell r="D1507" t="str">
            <v>Grid-Gen</v>
          </cell>
        </row>
        <row r="1508">
          <cell r="A1508" t="str">
            <v>OST_044</v>
          </cell>
          <cell r="B1508" t="str">
            <v>HIS</v>
          </cell>
          <cell r="C1508" t="str">
            <v>TowerCo</v>
          </cell>
          <cell r="D1508" t="str">
            <v>Grid-Gen</v>
          </cell>
        </row>
        <row r="1509">
          <cell r="A1509" t="str">
            <v>OST_223</v>
          </cell>
          <cell r="B1509" t="str">
            <v>HIS</v>
          </cell>
          <cell r="C1509" t="str">
            <v>TowerCo</v>
          </cell>
          <cell r="D1509" t="str">
            <v>Grid-Gen</v>
          </cell>
        </row>
        <row r="1510">
          <cell r="A1510" t="str">
            <v>OST_140</v>
          </cell>
          <cell r="B1510" t="str">
            <v>HIS</v>
          </cell>
          <cell r="C1510" t="str">
            <v>TowerCo</v>
          </cell>
          <cell r="D1510" t="str">
            <v>Grid-Gen</v>
          </cell>
        </row>
        <row r="1511">
          <cell r="A1511" t="str">
            <v>OST_263</v>
          </cell>
          <cell r="B1511" t="str">
            <v>HIS</v>
          </cell>
          <cell r="C1511" t="str">
            <v>TowerCo</v>
          </cell>
          <cell r="D1511" t="str">
            <v>Grid-Gen</v>
          </cell>
        </row>
        <row r="1512">
          <cell r="A1512" t="str">
            <v>OST_164</v>
          </cell>
          <cell r="B1512" t="str">
            <v>HIS</v>
          </cell>
          <cell r="C1512" t="str">
            <v>TowerCo</v>
          </cell>
          <cell r="D1512" t="str">
            <v>Grid-Gen</v>
          </cell>
        </row>
        <row r="1513">
          <cell r="A1513" t="str">
            <v>OST_097</v>
          </cell>
          <cell r="B1513" t="str">
            <v>HIS</v>
          </cell>
          <cell r="C1513" t="str">
            <v>TowerCo</v>
          </cell>
          <cell r="D1513" t="str">
            <v>Grid-Gen</v>
          </cell>
        </row>
        <row r="1514">
          <cell r="A1514" t="str">
            <v>OST_255</v>
          </cell>
          <cell r="B1514" t="str">
            <v>HIS</v>
          </cell>
          <cell r="C1514" t="str">
            <v>TowerCo</v>
          </cell>
          <cell r="D1514" t="str">
            <v>Grid-Gen</v>
          </cell>
        </row>
        <row r="1515">
          <cell r="A1515" t="str">
            <v>OST_144</v>
          </cell>
          <cell r="B1515" t="str">
            <v>HIS</v>
          </cell>
          <cell r="C1515" t="str">
            <v>TowerCo</v>
          </cell>
          <cell r="D1515" t="str">
            <v>Grid-Gen</v>
          </cell>
        </row>
        <row r="1516">
          <cell r="A1516" t="str">
            <v>SUO_097</v>
          </cell>
          <cell r="B1516" t="str">
            <v>HIS</v>
          </cell>
          <cell r="C1516" t="str">
            <v>TowerCo</v>
          </cell>
          <cell r="D1516" t="str">
            <v>Gen Only</v>
          </cell>
        </row>
        <row r="1517">
          <cell r="A1517" t="str">
            <v>SUO_006</v>
          </cell>
          <cell r="B1517" t="str">
            <v>HIS</v>
          </cell>
          <cell r="C1517" t="str">
            <v>TowerCo</v>
          </cell>
          <cell r="D1517" t="str">
            <v>Grid-Gen</v>
          </cell>
        </row>
        <row r="1518">
          <cell r="A1518" t="str">
            <v>SUO_027</v>
          </cell>
          <cell r="B1518" t="str">
            <v>HIS</v>
          </cell>
          <cell r="C1518" t="str">
            <v>TowerCo</v>
          </cell>
          <cell r="D1518" t="str">
            <v>Grid-Gen</v>
          </cell>
        </row>
        <row r="1519">
          <cell r="A1519" t="str">
            <v>SUO_020</v>
          </cell>
          <cell r="B1519" t="str">
            <v>HIS</v>
          </cell>
          <cell r="C1519" t="str">
            <v>TowerCo</v>
          </cell>
          <cell r="D1519" t="str">
            <v>Hybrid-Gen</v>
          </cell>
        </row>
        <row r="1520">
          <cell r="A1520" t="str">
            <v>SUO_019</v>
          </cell>
          <cell r="B1520" t="str">
            <v>HIS</v>
          </cell>
          <cell r="C1520" t="str">
            <v>TowerCo</v>
          </cell>
          <cell r="D1520" t="str">
            <v>Grid-Gen</v>
          </cell>
        </row>
        <row r="1521">
          <cell r="A1521" t="str">
            <v>SUO_007</v>
          </cell>
          <cell r="B1521" t="str">
            <v>HIS</v>
          </cell>
          <cell r="C1521" t="str">
            <v>TowerCo</v>
          </cell>
          <cell r="D1521" t="str">
            <v>Grid-Gen</v>
          </cell>
        </row>
        <row r="1522">
          <cell r="A1522" t="str">
            <v>SUO_077</v>
          </cell>
          <cell r="B1522" t="str">
            <v>HIS</v>
          </cell>
          <cell r="C1522" t="str">
            <v>TowerCo</v>
          </cell>
          <cell r="D1522" t="str">
            <v>Grid-Gen</v>
          </cell>
        </row>
        <row r="1523">
          <cell r="A1523" t="str">
            <v>SUO_062</v>
          </cell>
          <cell r="B1523" t="str">
            <v>HIS</v>
          </cell>
          <cell r="C1523" t="str">
            <v>TowerCo</v>
          </cell>
          <cell r="D1523" t="str">
            <v>Grid-Gen</v>
          </cell>
        </row>
        <row r="1524">
          <cell r="A1524" t="str">
            <v>SUO_063</v>
          </cell>
          <cell r="B1524" t="str">
            <v>HIS</v>
          </cell>
          <cell r="C1524" t="str">
            <v>TowerCo</v>
          </cell>
          <cell r="D1524" t="str">
            <v>Grid-Gen</v>
          </cell>
        </row>
        <row r="1525">
          <cell r="A1525" t="str">
            <v>SUO_052</v>
          </cell>
          <cell r="B1525" t="str">
            <v>HIS</v>
          </cell>
          <cell r="C1525" t="str">
            <v>TowerCo</v>
          </cell>
          <cell r="D1525" t="str">
            <v>Gen Only</v>
          </cell>
        </row>
        <row r="1526">
          <cell r="A1526" t="str">
            <v>SUO_128</v>
          </cell>
          <cell r="B1526" t="str">
            <v>HIS</v>
          </cell>
          <cell r="C1526" t="str">
            <v>TowerCo</v>
          </cell>
          <cell r="D1526" t="str">
            <v>Vandalized</v>
          </cell>
        </row>
        <row r="1527">
          <cell r="A1527" t="str">
            <v>SUO_110</v>
          </cell>
          <cell r="B1527" t="str">
            <v>HIS</v>
          </cell>
          <cell r="C1527" t="str">
            <v>TowerCo</v>
          </cell>
          <cell r="D1527" t="str">
            <v>Grid-Gen</v>
          </cell>
        </row>
        <row r="1528">
          <cell r="A1528" t="str">
            <v>SUO_134</v>
          </cell>
          <cell r="B1528" t="str">
            <v>HIS</v>
          </cell>
          <cell r="C1528" t="str">
            <v>TowerCo</v>
          </cell>
          <cell r="D1528" t="str">
            <v>Hybrid-Gen</v>
          </cell>
        </row>
        <row r="1529">
          <cell r="A1529" t="str">
            <v>SUO_025</v>
          </cell>
          <cell r="B1529" t="str">
            <v>HIS</v>
          </cell>
          <cell r="C1529" t="str">
            <v>TowerCo</v>
          </cell>
          <cell r="D1529" t="str">
            <v>Gen Only</v>
          </cell>
        </row>
        <row r="1530">
          <cell r="A1530" t="str">
            <v>SUO_132</v>
          </cell>
          <cell r="B1530" t="str">
            <v>HIS</v>
          </cell>
          <cell r="C1530" t="str">
            <v>TowerCo</v>
          </cell>
          <cell r="D1530" t="str">
            <v>Grid-Gen</v>
          </cell>
        </row>
        <row r="1531">
          <cell r="A1531" t="str">
            <v>SUO_012</v>
          </cell>
          <cell r="B1531" t="str">
            <v>HIS</v>
          </cell>
          <cell r="C1531" t="str">
            <v>TowerCo</v>
          </cell>
          <cell r="D1531" t="str">
            <v>Grid-Gen</v>
          </cell>
        </row>
        <row r="1532">
          <cell r="A1532" t="str">
            <v>SUO_071</v>
          </cell>
          <cell r="B1532" t="str">
            <v>HIS</v>
          </cell>
          <cell r="C1532" t="str">
            <v>TowerCo</v>
          </cell>
          <cell r="D1532" t="str">
            <v>Grid-Gen</v>
          </cell>
        </row>
        <row r="1533">
          <cell r="A1533" t="str">
            <v>SUO_038</v>
          </cell>
          <cell r="B1533" t="str">
            <v>HIS</v>
          </cell>
          <cell r="C1533" t="str">
            <v>TowerCo</v>
          </cell>
          <cell r="D1533" t="str">
            <v>Grid-Gen</v>
          </cell>
        </row>
        <row r="1534">
          <cell r="A1534" t="str">
            <v>SUO_033</v>
          </cell>
          <cell r="B1534" t="str">
            <v>HIS</v>
          </cell>
          <cell r="C1534" t="str">
            <v>TowerCo</v>
          </cell>
          <cell r="D1534" t="str">
            <v>Grid-Gen</v>
          </cell>
        </row>
        <row r="1535">
          <cell r="A1535" t="str">
            <v>SUO_018</v>
          </cell>
          <cell r="B1535" t="str">
            <v>HIS</v>
          </cell>
          <cell r="C1535" t="str">
            <v>TowerCo</v>
          </cell>
          <cell r="D1535" t="str">
            <v>Solar-Gen</v>
          </cell>
        </row>
        <row r="1536">
          <cell r="A1536" t="str">
            <v>SUO_152</v>
          </cell>
          <cell r="B1536" t="str">
            <v>HIS</v>
          </cell>
          <cell r="C1536" t="str">
            <v>TowerCo</v>
          </cell>
          <cell r="D1536" t="str">
            <v>Grid-Gen</v>
          </cell>
        </row>
        <row r="1537">
          <cell r="A1537" t="str">
            <v>SUO_198</v>
          </cell>
          <cell r="B1537" t="str">
            <v>HIS</v>
          </cell>
          <cell r="C1537" t="str">
            <v>TowerCo</v>
          </cell>
          <cell r="D1537" t="str">
            <v>Grid-Gen</v>
          </cell>
        </row>
        <row r="1538">
          <cell r="A1538" t="str">
            <v>SUO_090</v>
          </cell>
          <cell r="B1538" t="str">
            <v>HIS</v>
          </cell>
          <cell r="C1538" t="str">
            <v>TowerCo</v>
          </cell>
          <cell r="D1538" t="str">
            <v>Hybrid-Gen</v>
          </cell>
        </row>
        <row r="1539">
          <cell r="A1539" t="str">
            <v>SUO_098</v>
          </cell>
          <cell r="B1539" t="str">
            <v>HIS</v>
          </cell>
          <cell r="C1539" t="str">
            <v>TowerCo</v>
          </cell>
          <cell r="D1539" t="str">
            <v>Gen Only</v>
          </cell>
        </row>
        <row r="1540">
          <cell r="A1540" t="str">
            <v>LIT_176</v>
          </cell>
          <cell r="B1540" t="str">
            <v>HIS</v>
          </cell>
          <cell r="C1540" t="str">
            <v>TowerCo</v>
          </cell>
          <cell r="D1540" t="str">
            <v>Grid-Gen</v>
          </cell>
        </row>
        <row r="1541">
          <cell r="A1541" t="str">
            <v>SUO_046</v>
          </cell>
          <cell r="B1541" t="str">
            <v>HIS</v>
          </cell>
          <cell r="C1541" t="str">
            <v>TowerCo</v>
          </cell>
          <cell r="D1541" t="str">
            <v>Gen Only</v>
          </cell>
        </row>
        <row r="1542">
          <cell r="A1542" t="str">
            <v>SUO_163</v>
          </cell>
          <cell r="B1542" t="str">
            <v>HIS</v>
          </cell>
          <cell r="C1542" t="str">
            <v>TowerCo</v>
          </cell>
          <cell r="D1542" t="str">
            <v>Grid-Gen</v>
          </cell>
        </row>
        <row r="1543">
          <cell r="A1543" t="str">
            <v> SUO_221</v>
          </cell>
          <cell r="B1543" t="str">
            <v>HIS</v>
          </cell>
          <cell r="C1543" t="str">
            <v>TowerCo</v>
          </cell>
          <cell r="D1543" t="str">
            <v>Grid-Gen</v>
          </cell>
        </row>
        <row r="1544">
          <cell r="A1544" t="str">
            <v>SUO_153</v>
          </cell>
          <cell r="B1544" t="str">
            <v>HIS</v>
          </cell>
          <cell r="C1544" t="str">
            <v>TowerCo</v>
          </cell>
          <cell r="D1544" t="str">
            <v>Vandalized</v>
          </cell>
        </row>
        <row r="1545">
          <cell r="A1545" t="str">
            <v>SUO_217</v>
          </cell>
          <cell r="B1545" t="str">
            <v>HIS</v>
          </cell>
          <cell r="C1545" t="str">
            <v>TowerCo</v>
          </cell>
          <cell r="D1545" t="str">
            <v>Grid-Gen</v>
          </cell>
        </row>
        <row r="1546">
          <cell r="A1546" t="str">
            <v>LIT_462</v>
          </cell>
          <cell r="B1546" t="str">
            <v>HIS</v>
          </cell>
          <cell r="C1546" t="str">
            <v>TowerCo</v>
          </cell>
          <cell r="D1546" t="str">
            <v>Gen Only</v>
          </cell>
        </row>
        <row r="1547">
          <cell r="A1547" t="str">
            <v>SUO_087</v>
          </cell>
          <cell r="B1547" t="str">
            <v>HIS</v>
          </cell>
          <cell r="C1547" t="str">
            <v>TowerCo</v>
          </cell>
          <cell r="D1547" t="str">
            <v>Vandalized</v>
          </cell>
        </row>
        <row r="1548">
          <cell r="A1548" t="str">
            <v>SUO_181</v>
          </cell>
          <cell r="B1548" t="str">
            <v>HIS</v>
          </cell>
          <cell r="C1548" t="str">
            <v>TowerCo</v>
          </cell>
          <cell r="D1548" t="str">
            <v>Grid-Gen</v>
          </cell>
        </row>
        <row r="1549">
          <cell r="A1549" t="str">
            <v>SUO_199</v>
          </cell>
          <cell r="B1549" t="str">
            <v>HIS</v>
          </cell>
          <cell r="C1549" t="str">
            <v>TowerCo</v>
          </cell>
          <cell r="D1549" t="str">
            <v>Grid-Gen</v>
          </cell>
        </row>
        <row r="1550">
          <cell r="A1550" t="str">
            <v>SUO_045</v>
          </cell>
          <cell r="B1550" t="str">
            <v>HIS</v>
          </cell>
          <cell r="C1550" t="str">
            <v>TowerCo</v>
          </cell>
          <cell r="D1550" t="str">
            <v>Grid-Gen</v>
          </cell>
        </row>
        <row r="1551">
          <cell r="A1551" t="str">
            <v>SUO_091</v>
          </cell>
          <cell r="B1551" t="str">
            <v>HIS</v>
          </cell>
          <cell r="C1551" t="str">
            <v>TowerCo</v>
          </cell>
          <cell r="D1551" t="str">
            <v>Gen Only</v>
          </cell>
        </row>
        <row r="1552">
          <cell r="A1552" t="str">
            <v>SUO_066</v>
          </cell>
          <cell r="B1552" t="str">
            <v>HIS</v>
          </cell>
          <cell r="C1552" t="str">
            <v>TowerCo</v>
          </cell>
          <cell r="D1552" t="str">
            <v>Grid-Gen</v>
          </cell>
        </row>
        <row r="1553">
          <cell r="A1553" t="str">
            <v>SUO_186</v>
          </cell>
          <cell r="B1553" t="str">
            <v>HIS</v>
          </cell>
          <cell r="C1553" t="str">
            <v>TowerCo</v>
          </cell>
          <cell r="D1553" t="str">
            <v>Grid-Gen</v>
          </cell>
        </row>
        <row r="1554">
          <cell r="A1554" t="str">
            <v>SUO_213</v>
          </cell>
          <cell r="B1554" t="str">
            <v>HIS</v>
          </cell>
          <cell r="C1554" t="str">
            <v>TowerCo</v>
          </cell>
          <cell r="D1554" t="str">
            <v>Grid-Gen</v>
          </cell>
        </row>
        <row r="1555">
          <cell r="A1555" t="str">
            <v>SUO_197</v>
          </cell>
          <cell r="B1555" t="str">
            <v>HIS</v>
          </cell>
          <cell r="C1555" t="str">
            <v>TowerCo</v>
          </cell>
          <cell r="D1555" t="str">
            <v>Grid-Gen</v>
          </cell>
        </row>
        <row r="1556">
          <cell r="A1556" t="str">
            <v>SUO_216</v>
          </cell>
          <cell r="B1556" t="str">
            <v>HIS</v>
          </cell>
          <cell r="C1556" t="str">
            <v>TowerCo</v>
          </cell>
          <cell r="D1556" t="str">
            <v>Grid-Gen</v>
          </cell>
        </row>
        <row r="1557">
          <cell r="A1557" t="str">
            <v>SUO_183</v>
          </cell>
          <cell r="B1557" t="str">
            <v>HIS</v>
          </cell>
          <cell r="C1557" t="str">
            <v>TowerCo</v>
          </cell>
          <cell r="D1557" t="str">
            <v>Grid-Gen</v>
          </cell>
        </row>
        <row r="1558">
          <cell r="A1558" t="str">
            <v>SUO_201</v>
          </cell>
          <cell r="B1558" t="str">
            <v>HIS</v>
          </cell>
          <cell r="C1558" t="str">
            <v>TowerCo</v>
          </cell>
          <cell r="D1558" t="str">
            <v>Grid-Gen</v>
          </cell>
        </row>
        <row r="1559">
          <cell r="A1559" t="str">
            <v>SUO_182</v>
          </cell>
          <cell r="B1559" t="str">
            <v>HIS</v>
          </cell>
          <cell r="C1559" t="str">
            <v>TowerCo</v>
          </cell>
          <cell r="D1559" t="str">
            <v>Grid-Gen</v>
          </cell>
        </row>
        <row r="1560">
          <cell r="A1560" t="str">
            <v>SUO_184</v>
          </cell>
          <cell r="B1560" t="str">
            <v>HIS</v>
          </cell>
          <cell r="C1560" t="str">
            <v>TowerCo</v>
          </cell>
          <cell r="D1560" t="str">
            <v>Grid-Gen</v>
          </cell>
        </row>
        <row r="1561">
          <cell r="A1561" t="str">
            <v>SUO_115</v>
          </cell>
          <cell r="B1561" t="str">
            <v>HIS</v>
          </cell>
          <cell r="C1561" t="str">
            <v>TowerCo</v>
          </cell>
          <cell r="D1561" t="str">
            <v>Grid-Gen</v>
          </cell>
        </row>
        <row r="1562">
          <cell r="A1562" t="str">
            <v>SUO_112</v>
          </cell>
          <cell r="B1562" t="str">
            <v>HIS</v>
          </cell>
          <cell r="C1562" t="str">
            <v>TowerCo</v>
          </cell>
          <cell r="D1562" t="str">
            <v>Grid-Gen</v>
          </cell>
        </row>
        <row r="1563">
          <cell r="A1563" t="str">
            <v>SUO_126</v>
          </cell>
          <cell r="B1563" t="str">
            <v>HIS</v>
          </cell>
          <cell r="C1563" t="str">
            <v>TowerCo</v>
          </cell>
          <cell r="D1563" t="str">
            <v>Grid-Gen</v>
          </cell>
        </row>
        <row r="1564">
          <cell r="A1564" t="str">
            <v>SUO_109</v>
          </cell>
          <cell r="B1564" t="str">
            <v>HIS</v>
          </cell>
          <cell r="C1564" t="str">
            <v>TowerCo</v>
          </cell>
          <cell r="D1564" t="str">
            <v>Grid-Gen</v>
          </cell>
        </row>
        <row r="1565">
          <cell r="A1565" t="str">
            <v>SUO_180</v>
          </cell>
          <cell r="B1565" t="str">
            <v>HIS</v>
          </cell>
          <cell r="C1565" t="str">
            <v>TowerCo</v>
          </cell>
          <cell r="D1565" t="str">
            <v>Grid-Gen</v>
          </cell>
        </row>
        <row r="1566">
          <cell r="A1566" t="str">
            <v>SUO_048</v>
          </cell>
          <cell r="B1566" t="str">
            <v>HIS</v>
          </cell>
          <cell r="C1566" t="str">
            <v>TowerCo</v>
          </cell>
          <cell r="D1566" t="str">
            <v>Gen Only</v>
          </cell>
        </row>
        <row r="1567">
          <cell r="A1567" t="str">
            <v>SUO_054</v>
          </cell>
          <cell r="B1567" t="str">
            <v>HIS</v>
          </cell>
          <cell r="C1567" t="str">
            <v>TowerCo</v>
          </cell>
          <cell r="D1567" t="str">
            <v>Grid-Gen</v>
          </cell>
        </row>
        <row r="1568">
          <cell r="A1568" t="str">
            <v>SUO_125</v>
          </cell>
          <cell r="B1568" t="str">
            <v>HIS</v>
          </cell>
          <cell r="C1568" t="str">
            <v>TowerCo</v>
          </cell>
          <cell r="D1568" t="str">
            <v>Grid-Gen</v>
          </cell>
        </row>
        <row r="1569">
          <cell r="A1569" t="str">
            <v>SUO_215</v>
          </cell>
          <cell r="B1569" t="str">
            <v>HIS</v>
          </cell>
          <cell r="C1569" t="str">
            <v>TowerCo</v>
          </cell>
          <cell r="D1569" t="str">
            <v>Grid-Gen</v>
          </cell>
        </row>
        <row r="1570">
          <cell r="A1570" t="str">
            <v>SUO_196</v>
          </cell>
          <cell r="B1570" t="str">
            <v>HIS</v>
          </cell>
          <cell r="C1570" t="str">
            <v>TowerCo</v>
          </cell>
          <cell r="D1570" t="str">
            <v>Grid-Gen</v>
          </cell>
        </row>
        <row r="1571">
          <cell r="A1571" t="str">
            <v>SUO_195</v>
          </cell>
          <cell r="B1571" t="str">
            <v>HIS</v>
          </cell>
          <cell r="C1571" t="str">
            <v>TowerCo</v>
          </cell>
          <cell r="D1571" t="str">
            <v>Grid-Gen</v>
          </cell>
        </row>
        <row r="1572">
          <cell r="A1572" t="str">
            <v>SUO_086</v>
          </cell>
          <cell r="B1572" t="str">
            <v>HIS</v>
          </cell>
          <cell r="C1572" t="str">
            <v>TowerCo</v>
          </cell>
          <cell r="D1572" t="str">
            <v>Vandalized</v>
          </cell>
        </row>
        <row r="1573">
          <cell r="A1573" t="str">
            <v>SUO_026</v>
          </cell>
          <cell r="B1573" t="str">
            <v>HIS</v>
          </cell>
          <cell r="C1573" t="str">
            <v>TowerCo</v>
          </cell>
          <cell r="D1573" t="str">
            <v>Grid-Gen</v>
          </cell>
        </row>
        <row r="1574">
          <cell r="A1574" t="str">
            <v>LIT_175</v>
          </cell>
          <cell r="B1574" t="str">
            <v>HIS</v>
          </cell>
          <cell r="C1574" t="str">
            <v>TowerCo</v>
          </cell>
          <cell r="D1574" t="str">
            <v>Grid-Gen</v>
          </cell>
        </row>
        <row r="1575">
          <cell r="A1575" t="str">
            <v>SUO_047</v>
          </cell>
          <cell r="B1575" t="str">
            <v>HIS</v>
          </cell>
          <cell r="C1575" t="str">
            <v>TowerCo</v>
          </cell>
          <cell r="D1575" t="str">
            <v>Hybrid-Gen</v>
          </cell>
        </row>
        <row r="1576">
          <cell r="A1576" t="str">
            <v>SUO_043</v>
          </cell>
          <cell r="B1576" t="str">
            <v>HIS</v>
          </cell>
          <cell r="C1576" t="str">
            <v>TowerCo</v>
          </cell>
          <cell r="D1576" t="str">
            <v>Gen Only</v>
          </cell>
        </row>
        <row r="1577">
          <cell r="A1577" t="str">
            <v>SUO_088</v>
          </cell>
          <cell r="B1577" t="str">
            <v>HIS</v>
          </cell>
          <cell r="C1577" t="str">
            <v>TowerCo</v>
          </cell>
          <cell r="D1577" t="str">
            <v>Gen Only</v>
          </cell>
        </row>
        <row r="1578">
          <cell r="A1578" t="str">
            <v>SUO_049</v>
          </cell>
          <cell r="B1578" t="str">
            <v>HIS</v>
          </cell>
          <cell r="C1578" t="str">
            <v>TowerCo</v>
          </cell>
          <cell r="D1578" t="str">
            <v>Vandalized</v>
          </cell>
        </row>
        <row r="1579">
          <cell r="A1579" t="str">
            <v>SUO_095</v>
          </cell>
          <cell r="B1579" t="str">
            <v>HIS</v>
          </cell>
          <cell r="C1579" t="str">
            <v>TowerCo</v>
          </cell>
          <cell r="D1579" t="str">
            <v>Vandalized</v>
          </cell>
        </row>
        <row r="1580">
          <cell r="A1580" t="str">
            <v>SUO_096</v>
          </cell>
          <cell r="B1580" t="str">
            <v>HIS</v>
          </cell>
          <cell r="C1580" t="str">
            <v>TowerCo</v>
          </cell>
          <cell r="D1580" t="str">
            <v>Hybrid-Gen</v>
          </cell>
        </row>
        <row r="1581">
          <cell r="A1581" t="str">
            <v>SUO_093</v>
          </cell>
          <cell r="B1581" t="str">
            <v>HIS</v>
          </cell>
          <cell r="C1581" t="str">
            <v>TowerCo</v>
          </cell>
          <cell r="D1581" t="str">
            <v>Gen Only</v>
          </cell>
        </row>
        <row r="1582">
          <cell r="A1582" t="str">
            <v>SUO_099</v>
          </cell>
          <cell r="B1582" t="str">
            <v>HIS</v>
          </cell>
          <cell r="C1582" t="str">
            <v>TowerCo</v>
          </cell>
          <cell r="D1582" t="str">
            <v>Gen Only</v>
          </cell>
        </row>
        <row r="1583">
          <cell r="A1583" t="str">
            <v>SUO_218</v>
          </cell>
          <cell r="B1583" t="str">
            <v>HIS</v>
          </cell>
          <cell r="C1583" t="str">
            <v>TowerCo</v>
          </cell>
          <cell r="D1583" t="str">
            <v>Grid-Gen</v>
          </cell>
        </row>
        <row r="1584">
          <cell r="A1584" t="str">
            <v>SUO_231</v>
          </cell>
          <cell r="B1584" t="str">
            <v>HIS</v>
          </cell>
          <cell r="C1584" t="str">
            <v>TowerCo</v>
          </cell>
          <cell r="D1584" t="str">
            <v>Hybrid-Gen</v>
          </cell>
        </row>
        <row r="1585">
          <cell r="A1585" t="str">
            <v>SUO_202</v>
          </cell>
          <cell r="B1585" t="str">
            <v>HIS</v>
          </cell>
          <cell r="C1585" t="str">
            <v>TowerCo</v>
          </cell>
          <cell r="D1585" t="str">
            <v>Grid Only</v>
          </cell>
        </row>
        <row r="1586">
          <cell r="A1586" t="str">
            <v>SUO_179</v>
          </cell>
          <cell r="B1586" t="str">
            <v>HIS</v>
          </cell>
          <cell r="C1586" t="str">
            <v>TowerCo</v>
          </cell>
          <cell r="D1586" t="str">
            <v>Grid-Gen</v>
          </cell>
        </row>
        <row r="1587">
          <cell r="A1587" t="str">
            <v>SUO_200</v>
          </cell>
          <cell r="B1587" t="str">
            <v>HIS</v>
          </cell>
          <cell r="C1587" t="str">
            <v>TowerCo</v>
          </cell>
          <cell r="D1587" t="str">
            <v>Grid-Gen</v>
          </cell>
        </row>
        <row r="1588">
          <cell r="A1588" t="str">
            <v>SUO_185</v>
          </cell>
          <cell r="B1588" t="str">
            <v>HIS</v>
          </cell>
          <cell r="C1588" t="str">
            <v>TowerCo</v>
          </cell>
          <cell r="D1588" t="str">
            <v>Grid-Gen</v>
          </cell>
        </row>
        <row r="1589">
          <cell r="A1589" t="str">
            <v>SUO_230</v>
          </cell>
          <cell r="B1589" t="str">
            <v>HIS</v>
          </cell>
          <cell r="C1589" t="str">
            <v>TowerCo</v>
          </cell>
          <cell r="D1589" t="str">
            <v>Grid-Gen</v>
          </cell>
        </row>
        <row r="1590">
          <cell r="A1590" t="str">
            <v>SUO_070</v>
          </cell>
          <cell r="B1590" t="str">
            <v>HIS</v>
          </cell>
          <cell r="C1590" t="str">
            <v>TowerCo</v>
          </cell>
          <cell r="D1590" t="str">
            <v>Grid-Gen</v>
          </cell>
        </row>
        <row r="1591">
          <cell r="A1591" t="str">
            <v>SUO_032</v>
          </cell>
          <cell r="B1591" t="str">
            <v>HIS</v>
          </cell>
          <cell r="C1591" t="str">
            <v>TowerCo</v>
          </cell>
          <cell r="D1591" t="str">
            <v>Hybrid-Gen</v>
          </cell>
        </row>
        <row r="1592">
          <cell r="A1592" t="str">
            <v>SUO_108</v>
          </cell>
          <cell r="B1592" t="str">
            <v>HIS</v>
          </cell>
          <cell r="C1592" t="str">
            <v>TowerCo</v>
          </cell>
          <cell r="D1592" t="str">
            <v>Grid-Gen</v>
          </cell>
        </row>
        <row r="1593">
          <cell r="A1593" t="str">
            <v>SUO_111</v>
          </cell>
          <cell r="B1593" t="str">
            <v>HIS</v>
          </cell>
          <cell r="C1593" t="str">
            <v>TowerCo</v>
          </cell>
          <cell r="D1593" t="str">
            <v>Grid-Gen</v>
          </cell>
        </row>
        <row r="1594">
          <cell r="A1594" t="str">
            <v>SUO_079</v>
          </cell>
          <cell r="B1594" t="str">
            <v>HIS</v>
          </cell>
          <cell r="C1594" t="str">
            <v>TowerCo</v>
          </cell>
          <cell r="D1594" t="str">
            <v>Grid-Gen</v>
          </cell>
        </row>
        <row r="1595">
          <cell r="A1595" t="str">
            <v>SUO_113</v>
          </cell>
          <cell r="B1595" t="str">
            <v>HIS</v>
          </cell>
          <cell r="C1595" t="str">
            <v>TowerCo</v>
          </cell>
          <cell r="D1595" t="str">
            <v>Grid-Gen</v>
          </cell>
        </row>
        <row r="1596">
          <cell r="A1596" t="str">
            <v>SUO_114</v>
          </cell>
          <cell r="B1596" t="str">
            <v>HIS</v>
          </cell>
          <cell r="C1596" t="str">
            <v>TowerCo</v>
          </cell>
          <cell r="D1596" t="str">
            <v>Grid-Gen</v>
          </cell>
        </row>
        <row r="1597">
          <cell r="A1597" t="str">
            <v>SUO_116</v>
          </cell>
          <cell r="B1597" t="str">
            <v>HIS</v>
          </cell>
          <cell r="C1597" t="str">
            <v>TowerCo</v>
          </cell>
          <cell r="D1597" t="str">
            <v>Grid-Gen</v>
          </cell>
        </row>
        <row r="1598">
          <cell r="A1598" t="str">
            <v> SUO_238_T</v>
          </cell>
          <cell r="B1598" t="str">
            <v>HIS</v>
          </cell>
          <cell r="C1598" t="str">
            <v>TowerCo</v>
          </cell>
          <cell r="D1598" t="str">
            <v>Hybrid-Gen</v>
          </cell>
        </row>
        <row r="1599">
          <cell r="A1599" t="str">
            <v> SUO_242</v>
          </cell>
          <cell r="B1599" t="str">
            <v>HIS</v>
          </cell>
          <cell r="C1599" t="str">
            <v>TowerCo</v>
          </cell>
          <cell r="D1599" t="str">
            <v>Grid-Gen</v>
          </cell>
        </row>
        <row r="1600">
          <cell r="A1600" t="str">
            <v> SUO_237</v>
          </cell>
          <cell r="B1600" t="str">
            <v>HIS</v>
          </cell>
          <cell r="C1600" t="str">
            <v>TowerCo</v>
          </cell>
          <cell r="D1600" t="str">
            <v>Grid-Gen</v>
          </cell>
        </row>
        <row r="1601">
          <cell r="A1601" t="str">
            <v>EXN_073</v>
          </cell>
          <cell r="B1601" t="str">
            <v>HIS</v>
          </cell>
          <cell r="C1601" t="str">
            <v>TowerCo</v>
          </cell>
          <cell r="D1601" t="str">
            <v>Hybrid-Gen</v>
          </cell>
        </row>
        <row r="1602">
          <cell r="A1602" t="str">
            <v>EXN_175</v>
          </cell>
          <cell r="B1602" t="str">
            <v>HIS</v>
          </cell>
          <cell r="C1602" t="str">
            <v>TowerCo</v>
          </cell>
          <cell r="D1602" t="str">
            <v>Solar-Gen</v>
          </cell>
        </row>
        <row r="1603">
          <cell r="A1603" t="str">
            <v>EXN_168</v>
          </cell>
          <cell r="B1603" t="str">
            <v>HIS</v>
          </cell>
          <cell r="C1603" t="str">
            <v>TowerCo</v>
          </cell>
          <cell r="D1603" t="str">
            <v>Grid-Gen</v>
          </cell>
        </row>
        <row r="1604">
          <cell r="A1604" t="str">
            <v>EXN_058</v>
          </cell>
          <cell r="B1604" t="str">
            <v>HIS</v>
          </cell>
          <cell r="C1604" t="str">
            <v>TowerCo</v>
          </cell>
          <cell r="D1604" t="str">
            <v>Grid-Gen</v>
          </cell>
        </row>
        <row r="1605">
          <cell r="A1605" t="str">
            <v>EXN_167</v>
          </cell>
          <cell r="B1605" t="str">
            <v>HIS</v>
          </cell>
          <cell r="C1605" t="str">
            <v>TowerCo</v>
          </cell>
          <cell r="D1605" t="str">
            <v>Solar-Gen</v>
          </cell>
        </row>
        <row r="1606">
          <cell r="A1606" t="str">
            <v>EXN_152</v>
          </cell>
          <cell r="B1606" t="str">
            <v>HIS</v>
          </cell>
          <cell r="C1606" t="str">
            <v>TowerCo</v>
          </cell>
          <cell r="D1606" t="str">
            <v>Solar-Gen</v>
          </cell>
        </row>
        <row r="1607">
          <cell r="A1607" t="str">
            <v>EXN_155</v>
          </cell>
          <cell r="B1607" t="str">
            <v>HIS</v>
          </cell>
          <cell r="C1607" t="str">
            <v>TowerCo</v>
          </cell>
          <cell r="D1607" t="str">
            <v>Solar-Gen</v>
          </cell>
        </row>
        <row r="1608">
          <cell r="A1608" t="str">
            <v>EXN_074</v>
          </cell>
          <cell r="B1608" t="str">
            <v>HIS</v>
          </cell>
          <cell r="C1608" t="str">
            <v>TowerCo</v>
          </cell>
          <cell r="D1608" t="str">
            <v>Gen-Solar AER</v>
          </cell>
        </row>
        <row r="1609">
          <cell r="A1609" t="str">
            <v>EXN_018</v>
          </cell>
          <cell r="B1609" t="str">
            <v>HIS</v>
          </cell>
          <cell r="C1609" t="str">
            <v>TowerCo</v>
          </cell>
          <cell r="D1609" t="str">
            <v>Grid-Gen</v>
          </cell>
        </row>
        <row r="1610">
          <cell r="A1610" t="str">
            <v>EXN_017</v>
          </cell>
          <cell r="B1610" t="str">
            <v>HIS</v>
          </cell>
          <cell r="C1610" t="str">
            <v>TowerCo</v>
          </cell>
          <cell r="D1610" t="str">
            <v>Grid-Gen</v>
          </cell>
        </row>
        <row r="1611">
          <cell r="A1611" t="str">
            <v>EXN_011</v>
          </cell>
          <cell r="B1611" t="str">
            <v>HIS</v>
          </cell>
          <cell r="C1611" t="str">
            <v>TowerCo</v>
          </cell>
          <cell r="D1611" t="str">
            <v>Grid-Gen</v>
          </cell>
        </row>
        <row r="1612">
          <cell r="A1612" t="str">
            <v>EXN_037</v>
          </cell>
          <cell r="B1612" t="str">
            <v>HIS</v>
          </cell>
          <cell r="C1612" t="str">
            <v>TowerCo</v>
          </cell>
          <cell r="D1612" t="str">
            <v>Grid-Gen</v>
          </cell>
        </row>
        <row r="1613">
          <cell r="A1613" t="str">
            <v>EXN_038</v>
          </cell>
          <cell r="B1613" t="str">
            <v>HIS</v>
          </cell>
          <cell r="C1613" t="str">
            <v>TowerCo</v>
          </cell>
          <cell r="D1613" t="str">
            <v>Solar-Gen</v>
          </cell>
        </row>
        <row r="1614">
          <cell r="A1614" t="str">
            <v>EXN_047</v>
          </cell>
          <cell r="B1614" t="str">
            <v>HIS</v>
          </cell>
          <cell r="C1614" t="str">
            <v>TowerCo</v>
          </cell>
          <cell r="D1614" t="str">
            <v>Solar-Gen</v>
          </cell>
        </row>
        <row r="1615">
          <cell r="A1615" t="str">
            <v>EXN_131</v>
          </cell>
          <cell r="B1615" t="str">
            <v>HIS</v>
          </cell>
          <cell r="C1615" t="str">
            <v>TowerCo</v>
          </cell>
          <cell r="D1615" t="str">
            <v>Grid-Gen</v>
          </cell>
        </row>
        <row r="1616">
          <cell r="A1616" t="str">
            <v>EXN_160</v>
          </cell>
          <cell r="B1616" t="str">
            <v>HIS</v>
          </cell>
          <cell r="C1616" t="str">
            <v>TowerCo</v>
          </cell>
          <cell r="D1616" t="str">
            <v>Grid-Gen</v>
          </cell>
        </row>
        <row r="1617">
          <cell r="A1617" t="str">
            <v>EXN_027</v>
          </cell>
          <cell r="B1617" t="str">
            <v>HIS</v>
          </cell>
          <cell r="C1617" t="str">
            <v>TowerCo</v>
          </cell>
          <cell r="D1617" t="str">
            <v>Grid-Gen</v>
          </cell>
        </row>
        <row r="1618">
          <cell r="A1618" t="str">
            <v>EXN_139</v>
          </cell>
          <cell r="B1618" t="str">
            <v>HIS</v>
          </cell>
          <cell r="C1618" t="str">
            <v>TowerCo</v>
          </cell>
          <cell r="D1618" t="str">
            <v>Grid-Gen</v>
          </cell>
        </row>
        <row r="1619">
          <cell r="A1619" t="str">
            <v>EXN_162</v>
          </cell>
          <cell r="B1619" t="str">
            <v>HIS</v>
          </cell>
          <cell r="C1619" t="str">
            <v>TowerCo</v>
          </cell>
          <cell r="D1619" t="str">
            <v>Hybrid-Gen</v>
          </cell>
        </row>
        <row r="1620">
          <cell r="A1620" t="str">
            <v>EXN_173</v>
          </cell>
          <cell r="B1620" t="str">
            <v>HIS</v>
          </cell>
          <cell r="C1620" t="str">
            <v>TowerCo</v>
          </cell>
          <cell r="D1620" t="str">
            <v>Grid-Gen</v>
          </cell>
        </row>
        <row r="1621">
          <cell r="A1621" t="str">
            <v>EXN_069</v>
          </cell>
          <cell r="B1621" t="str">
            <v>HIS</v>
          </cell>
          <cell r="C1621" t="str">
            <v>TowerCo</v>
          </cell>
          <cell r="D1621" t="str">
            <v>Grid-Gen</v>
          </cell>
        </row>
        <row r="1622">
          <cell r="A1622" t="str">
            <v>EXN_096</v>
          </cell>
          <cell r="B1622" t="str">
            <v>HIS</v>
          </cell>
          <cell r="C1622" t="str">
            <v>TowerCo</v>
          </cell>
          <cell r="D1622" t="str">
            <v>Grid-Gen</v>
          </cell>
        </row>
        <row r="1623">
          <cell r="A1623" t="str">
            <v>EXN_052</v>
          </cell>
          <cell r="B1623" t="str">
            <v>HIS</v>
          </cell>
          <cell r="C1623" t="str">
            <v>TowerCo</v>
          </cell>
          <cell r="D1623" t="str">
            <v>Solar-Grid-Gen</v>
          </cell>
        </row>
        <row r="1624">
          <cell r="A1624" t="str">
            <v>EXN_075</v>
          </cell>
          <cell r="B1624" t="str">
            <v>HIS</v>
          </cell>
          <cell r="C1624" t="str">
            <v>TowerCo</v>
          </cell>
          <cell r="D1624" t="str">
            <v>Gen-Solar AER</v>
          </cell>
        </row>
        <row r="1625">
          <cell r="A1625" t="str">
            <v>EXN_022</v>
          </cell>
          <cell r="B1625" t="str">
            <v>HIS</v>
          </cell>
          <cell r="C1625" t="str">
            <v>TowerCo</v>
          </cell>
          <cell r="D1625" t="str">
            <v>Solar-Grid-Gen</v>
          </cell>
        </row>
        <row r="1626">
          <cell r="A1626" t="str">
            <v>EXN_208</v>
          </cell>
          <cell r="B1626" t="str">
            <v>HIS</v>
          </cell>
          <cell r="C1626" t="str">
            <v>TowerCo</v>
          </cell>
          <cell r="D1626" t="str">
            <v>Hybrid-Gen</v>
          </cell>
        </row>
        <row r="1627">
          <cell r="A1627" t="str">
            <v>EXN_127</v>
          </cell>
          <cell r="B1627" t="str">
            <v>HIS</v>
          </cell>
          <cell r="C1627" t="str">
            <v>TowerCo</v>
          </cell>
          <cell r="D1627" t="str">
            <v>Gen Only</v>
          </cell>
        </row>
        <row r="1628">
          <cell r="A1628" t="str">
            <v>EXN_186</v>
          </cell>
          <cell r="B1628" t="str">
            <v>HIS</v>
          </cell>
          <cell r="C1628" t="str">
            <v>TowerCo</v>
          </cell>
          <cell r="D1628" t="str">
            <v>Hybrid-Gen</v>
          </cell>
        </row>
        <row r="1629">
          <cell r="A1629" t="str">
            <v>EXN_128</v>
          </cell>
          <cell r="B1629" t="str">
            <v>HIS</v>
          </cell>
          <cell r="C1629" t="str">
            <v>TowerCo</v>
          </cell>
          <cell r="D1629" t="str">
            <v>Gen Only</v>
          </cell>
        </row>
        <row r="1630">
          <cell r="A1630" t="str">
            <v>EXN_102</v>
          </cell>
          <cell r="B1630" t="str">
            <v>HIS</v>
          </cell>
          <cell r="C1630" t="str">
            <v>TowerCo</v>
          </cell>
          <cell r="D1630" t="str">
            <v>Grid-Gen</v>
          </cell>
        </row>
        <row r="1631">
          <cell r="A1631" t="str">
            <v>EXN_126</v>
          </cell>
          <cell r="B1631" t="str">
            <v>HIS</v>
          </cell>
          <cell r="C1631" t="str">
            <v>TowerCo</v>
          </cell>
          <cell r="D1631" t="str">
            <v>Gen Only</v>
          </cell>
        </row>
        <row r="1632">
          <cell r="A1632" t="str">
            <v>EXN_163</v>
          </cell>
          <cell r="B1632" t="str">
            <v>HIS</v>
          </cell>
          <cell r="C1632" t="str">
            <v>TowerCo</v>
          </cell>
          <cell r="D1632" t="str">
            <v>Solar-Gen</v>
          </cell>
        </row>
        <row r="1633">
          <cell r="A1633" t="str">
            <v>EXN_118</v>
          </cell>
          <cell r="B1633" t="str">
            <v>HIS</v>
          </cell>
          <cell r="C1633" t="str">
            <v>TowerCo</v>
          </cell>
          <cell r="D1633" t="str">
            <v>Hybrid-Gen</v>
          </cell>
        </row>
        <row r="1634">
          <cell r="A1634" t="str">
            <v>EXN_135</v>
          </cell>
          <cell r="B1634" t="str">
            <v>HIS</v>
          </cell>
          <cell r="C1634" t="str">
            <v>TowerCo</v>
          </cell>
          <cell r="D1634" t="str">
            <v>Gen Only</v>
          </cell>
        </row>
        <row r="1635">
          <cell r="A1635" t="str">
            <v>EXN_172</v>
          </cell>
          <cell r="B1635" t="str">
            <v>HIS</v>
          </cell>
          <cell r="C1635" t="str">
            <v>TowerCo</v>
          </cell>
          <cell r="D1635" t="str">
            <v>Hybrid-Gen</v>
          </cell>
        </row>
        <row r="1636">
          <cell r="A1636" t="str">
            <v>EXN_174</v>
          </cell>
          <cell r="B1636" t="str">
            <v>HIS</v>
          </cell>
          <cell r="C1636" t="str">
            <v>TowerCo</v>
          </cell>
          <cell r="D1636" t="str">
            <v>Grid-Gen</v>
          </cell>
        </row>
        <row r="1637">
          <cell r="A1637" t="str">
            <v>EXN_154</v>
          </cell>
          <cell r="B1637" t="str">
            <v>HIS</v>
          </cell>
          <cell r="C1637" t="str">
            <v>TowerCo</v>
          </cell>
          <cell r="D1637" t="str">
            <v>Solar-Gen</v>
          </cell>
        </row>
        <row r="1638">
          <cell r="A1638" t="str">
            <v>EXN_178</v>
          </cell>
          <cell r="B1638" t="str">
            <v>HIS</v>
          </cell>
          <cell r="C1638" t="str">
            <v>TowerCo</v>
          </cell>
          <cell r="D1638" t="str">
            <v>Solar-Grid-Gen</v>
          </cell>
        </row>
        <row r="1639">
          <cell r="A1639" t="str">
            <v>EXN_165</v>
          </cell>
          <cell r="B1639" t="str">
            <v>HIS</v>
          </cell>
          <cell r="C1639" t="str">
            <v>TowerCo</v>
          </cell>
          <cell r="D1639" t="str">
            <v>Hybrid-Gen</v>
          </cell>
        </row>
        <row r="1640">
          <cell r="A1640" t="str">
            <v>EXN_108</v>
          </cell>
          <cell r="B1640" t="str">
            <v>HIS</v>
          </cell>
          <cell r="C1640" t="str">
            <v>TowerCo</v>
          </cell>
          <cell r="D1640" t="str">
            <v>Grid-Gen</v>
          </cell>
        </row>
        <row r="1641">
          <cell r="A1641" t="str">
            <v>EXN_095</v>
          </cell>
          <cell r="B1641" t="str">
            <v>HIS</v>
          </cell>
          <cell r="C1641" t="str">
            <v>TowerCo</v>
          </cell>
          <cell r="D1641" t="str">
            <v>Grid-Gen</v>
          </cell>
        </row>
        <row r="1642">
          <cell r="A1642" t="str">
            <v>EXN_042</v>
          </cell>
          <cell r="B1642" t="str">
            <v>HIS</v>
          </cell>
          <cell r="C1642" t="str">
            <v>TowerCo</v>
          </cell>
          <cell r="D1642" t="str">
            <v>Solar-Gen</v>
          </cell>
        </row>
        <row r="1643">
          <cell r="A1643" t="str">
            <v>EXN_024</v>
          </cell>
          <cell r="B1643" t="str">
            <v>HIS</v>
          </cell>
          <cell r="C1643" t="str">
            <v>TowerCo</v>
          </cell>
          <cell r="D1643" t="str">
            <v>Solar-Grid-Gen</v>
          </cell>
        </row>
        <row r="1644">
          <cell r="A1644" t="str">
            <v>EXN_049</v>
          </cell>
          <cell r="B1644" t="str">
            <v>HIS</v>
          </cell>
          <cell r="C1644" t="str">
            <v>TowerCo</v>
          </cell>
          <cell r="D1644" t="str">
            <v>Solar-Gen</v>
          </cell>
        </row>
        <row r="1645">
          <cell r="A1645" t="str">
            <v>EXN_048</v>
          </cell>
          <cell r="B1645" t="str">
            <v>HIS</v>
          </cell>
          <cell r="C1645" t="str">
            <v>TowerCo</v>
          </cell>
          <cell r="D1645" t="str">
            <v>Solar-Gen</v>
          </cell>
        </row>
        <row r="1646">
          <cell r="A1646" t="str">
            <v>EXN_210</v>
          </cell>
          <cell r="B1646" t="str">
            <v>HIS</v>
          </cell>
          <cell r="C1646" t="str">
            <v>TowerCo</v>
          </cell>
          <cell r="D1646" t="str">
            <v>Hybrid-Gen</v>
          </cell>
        </row>
        <row r="1647">
          <cell r="A1647" t="str">
            <v>EXN_142</v>
          </cell>
          <cell r="B1647" t="str">
            <v>HIS</v>
          </cell>
          <cell r="C1647" t="str">
            <v>TowerCo</v>
          </cell>
          <cell r="D1647" t="str">
            <v>Grid-Gen</v>
          </cell>
        </row>
        <row r="1648">
          <cell r="A1648" t="str">
            <v>EXN_043</v>
          </cell>
          <cell r="B1648" t="str">
            <v>HIS</v>
          </cell>
          <cell r="C1648" t="str">
            <v>TowerCo</v>
          </cell>
          <cell r="D1648" t="str">
            <v>Grid-Gen</v>
          </cell>
        </row>
        <row r="1649">
          <cell r="A1649" t="str">
            <v>EXN_130</v>
          </cell>
          <cell r="B1649" t="str">
            <v>HIS</v>
          </cell>
          <cell r="C1649" t="str">
            <v>TowerCo</v>
          </cell>
          <cell r="D1649" t="str">
            <v>Grid-Gen</v>
          </cell>
        </row>
        <row r="1650">
          <cell r="A1650" t="str">
            <v>EXN_144</v>
          </cell>
          <cell r="B1650" t="str">
            <v>HIS</v>
          </cell>
          <cell r="C1650" t="str">
            <v>TowerCo</v>
          </cell>
          <cell r="D1650" t="str">
            <v>Grid-Gen</v>
          </cell>
        </row>
        <row r="1651">
          <cell r="A1651" t="str">
            <v>EXN_156</v>
          </cell>
          <cell r="B1651" t="str">
            <v>HIS</v>
          </cell>
          <cell r="C1651" t="str">
            <v>TowerCo</v>
          </cell>
          <cell r="D1651" t="str">
            <v>Grid-Gen</v>
          </cell>
        </row>
        <row r="1652">
          <cell r="A1652" t="str">
            <v>EXN_050</v>
          </cell>
          <cell r="B1652" t="str">
            <v>HIS</v>
          </cell>
          <cell r="C1652" t="str">
            <v>TowerCo</v>
          </cell>
          <cell r="D1652" t="str">
            <v>Solar-Gen</v>
          </cell>
        </row>
        <row r="1653">
          <cell r="A1653" t="str">
            <v>EXN_200</v>
          </cell>
          <cell r="B1653" t="str">
            <v>HIS</v>
          </cell>
          <cell r="C1653" t="str">
            <v>TowerCo</v>
          </cell>
          <cell r="D1653" t="str">
            <v>Hybrid-Gen</v>
          </cell>
        </row>
        <row r="1654">
          <cell r="A1654" t="str">
            <v>EXN_207</v>
          </cell>
          <cell r="B1654" t="str">
            <v>HIS</v>
          </cell>
          <cell r="C1654" t="str">
            <v>TowerCo</v>
          </cell>
          <cell r="D1654" t="str">
            <v>Hybrid-Gen</v>
          </cell>
        </row>
        <row r="1655">
          <cell r="A1655" t="str">
            <v>EXN_125</v>
          </cell>
          <cell r="B1655" t="str">
            <v>HIS</v>
          </cell>
          <cell r="C1655" t="str">
            <v>TowerCo</v>
          </cell>
          <cell r="D1655" t="str">
            <v>Grid-Gen</v>
          </cell>
        </row>
        <row r="1656">
          <cell r="A1656" t="str">
            <v>EXN_161</v>
          </cell>
          <cell r="B1656" t="str">
            <v>HIS</v>
          </cell>
          <cell r="C1656" t="str">
            <v>TowerCo</v>
          </cell>
          <cell r="D1656" t="str">
            <v>Hybrid-Gen</v>
          </cell>
        </row>
        <row r="1657">
          <cell r="A1657" t="str">
            <v>EXN_100</v>
          </cell>
          <cell r="B1657" t="str">
            <v>HIS</v>
          </cell>
          <cell r="C1657" t="str">
            <v>TowerCo</v>
          </cell>
          <cell r="D1657" t="str">
            <v>Grid-Gen</v>
          </cell>
        </row>
        <row r="1658">
          <cell r="A1658" t="str">
            <v>NRO_007</v>
          </cell>
          <cell r="B1658" t="str">
            <v>HIS</v>
          </cell>
          <cell r="C1658" t="str">
            <v>TowerCo</v>
          </cell>
          <cell r="D1658" t="str">
            <v>Grid-Gen</v>
          </cell>
        </row>
        <row r="1659">
          <cell r="A1659" t="str">
            <v>NRO_013</v>
          </cell>
          <cell r="B1659" t="str">
            <v>HIS</v>
          </cell>
          <cell r="C1659" t="str">
            <v>TowerCo</v>
          </cell>
          <cell r="D1659" t="str">
            <v>Grid-Gen</v>
          </cell>
        </row>
        <row r="1660">
          <cell r="A1660" t="str">
            <v>NRO_015</v>
          </cell>
          <cell r="B1660" t="str">
            <v>HIS</v>
          </cell>
          <cell r="C1660" t="str">
            <v>TowerCo</v>
          </cell>
          <cell r="D1660" t="str">
            <v>Grid-Gen</v>
          </cell>
        </row>
        <row r="1661">
          <cell r="A1661" t="str">
            <v>NRO_009</v>
          </cell>
          <cell r="B1661" t="str">
            <v>HIS</v>
          </cell>
          <cell r="C1661" t="str">
            <v>TowerCo</v>
          </cell>
          <cell r="D1661" t="str">
            <v>Grid-Gen</v>
          </cell>
        </row>
        <row r="1662">
          <cell r="A1662" t="str">
            <v>SUO_092</v>
          </cell>
          <cell r="B1662" t="str">
            <v>HIS</v>
          </cell>
          <cell r="C1662" t="str">
            <v>TowerCo</v>
          </cell>
          <cell r="D1662" t="str">
            <v>Solar-Gen</v>
          </cell>
        </row>
        <row r="1663">
          <cell r="A1663" t="str">
            <v>NRO_030</v>
          </cell>
          <cell r="B1663" t="str">
            <v>HIS</v>
          </cell>
          <cell r="C1663" t="str">
            <v>TowerCo</v>
          </cell>
          <cell r="D1663" t="str">
            <v>Hybrid-Gen</v>
          </cell>
        </row>
        <row r="1664">
          <cell r="A1664" t="str">
            <v>NRO_056</v>
          </cell>
          <cell r="B1664" t="str">
            <v>HIS</v>
          </cell>
          <cell r="C1664" t="str">
            <v>TowerCo</v>
          </cell>
          <cell r="D1664" t="str">
            <v>Hybrid-Gen</v>
          </cell>
        </row>
        <row r="1665">
          <cell r="A1665" t="str">
            <v>NRO_057</v>
          </cell>
          <cell r="B1665" t="str">
            <v>HIS</v>
          </cell>
          <cell r="C1665" t="str">
            <v>TowerCo</v>
          </cell>
          <cell r="D1665" t="str">
            <v>Gen Only</v>
          </cell>
        </row>
        <row r="1666">
          <cell r="A1666" t="str">
            <v>NRO_044</v>
          </cell>
          <cell r="B1666" t="str">
            <v>HIS</v>
          </cell>
          <cell r="C1666" t="str">
            <v>TowerCo</v>
          </cell>
          <cell r="D1666" t="str">
            <v>Gen Only</v>
          </cell>
        </row>
        <row r="1667">
          <cell r="A1667" t="str">
            <v>NRO_071</v>
          </cell>
          <cell r="B1667" t="str">
            <v>HIS</v>
          </cell>
          <cell r="C1667" t="str">
            <v>TowerCo</v>
          </cell>
          <cell r="D1667" t="str">
            <v>Hybrid-Gen</v>
          </cell>
        </row>
        <row r="1668">
          <cell r="A1668" t="str">
            <v>NRO_043</v>
          </cell>
          <cell r="B1668" t="str">
            <v>HIS</v>
          </cell>
          <cell r="C1668" t="str">
            <v>TowerCo</v>
          </cell>
          <cell r="D1668" t="str">
            <v>Hybrid-Gen</v>
          </cell>
        </row>
        <row r="1669">
          <cell r="A1669" t="str">
            <v>NRO_234</v>
          </cell>
          <cell r="B1669" t="str">
            <v>HIS</v>
          </cell>
          <cell r="C1669" t="str">
            <v>TowerCo</v>
          </cell>
          <cell r="D1669" t="str">
            <v>Gen Only</v>
          </cell>
        </row>
        <row r="1670">
          <cell r="A1670" t="str">
            <v>NRO_046</v>
          </cell>
          <cell r="B1670" t="str">
            <v>HIS</v>
          </cell>
          <cell r="C1670" t="str">
            <v>TowerCo</v>
          </cell>
          <cell r="D1670" t="str">
            <v>Hybrid-Gen</v>
          </cell>
        </row>
        <row r="1671">
          <cell r="A1671" t="str">
            <v>NRO_233</v>
          </cell>
          <cell r="B1671" t="str">
            <v>HIS</v>
          </cell>
          <cell r="C1671" t="str">
            <v>TowerCo</v>
          </cell>
          <cell r="D1671" t="str">
            <v>Gen Only</v>
          </cell>
        </row>
        <row r="1672">
          <cell r="A1672" t="str">
            <v>NRO_047</v>
          </cell>
          <cell r="B1672" t="str">
            <v>HIS</v>
          </cell>
          <cell r="C1672" t="str">
            <v>TowerCo</v>
          </cell>
          <cell r="D1672" t="str">
            <v>Hybrid-Gen</v>
          </cell>
        </row>
        <row r="1673">
          <cell r="A1673" t="str">
            <v>NRO_045</v>
          </cell>
          <cell r="B1673" t="str">
            <v>HIS</v>
          </cell>
          <cell r="C1673" t="str">
            <v>TowerCo</v>
          </cell>
          <cell r="D1673" t="str">
            <v>Vandalized</v>
          </cell>
        </row>
        <row r="1674">
          <cell r="A1674" t="str">
            <v>NRO_081</v>
          </cell>
          <cell r="B1674" t="str">
            <v>HIS</v>
          </cell>
          <cell r="C1674" t="str">
            <v>TowerCo</v>
          </cell>
          <cell r="D1674" t="str">
            <v>Grid-Gen</v>
          </cell>
        </row>
        <row r="1675">
          <cell r="A1675" t="str">
            <v>NRO_096</v>
          </cell>
          <cell r="B1675" t="str">
            <v>HIS</v>
          </cell>
          <cell r="C1675" t="str">
            <v>TowerCo</v>
          </cell>
          <cell r="D1675" t="str">
            <v>Vandalized</v>
          </cell>
        </row>
        <row r="1676">
          <cell r="A1676" t="str">
            <v>NRO_021</v>
          </cell>
          <cell r="B1676" t="str">
            <v>HIS</v>
          </cell>
          <cell r="C1676" t="str">
            <v>TowerCo</v>
          </cell>
          <cell r="D1676" t="str">
            <v>Grid-Gen</v>
          </cell>
        </row>
        <row r="1677">
          <cell r="A1677" t="str">
            <v>NRO_246</v>
          </cell>
          <cell r="B1677" t="str">
            <v>HIS</v>
          </cell>
          <cell r="C1677" t="str">
            <v>TowerCo</v>
          </cell>
          <cell r="D1677" t="str">
            <v>Solar-Gen</v>
          </cell>
        </row>
        <row r="1678">
          <cell r="A1678" t="str">
            <v>NRO_012</v>
          </cell>
          <cell r="B1678" t="str">
            <v>HIS</v>
          </cell>
          <cell r="C1678" t="str">
            <v>TowerCo</v>
          </cell>
          <cell r="D1678" t="str">
            <v>Solar-Gen</v>
          </cell>
        </row>
        <row r="1679">
          <cell r="A1679" t="str">
            <v>NRO_245</v>
          </cell>
          <cell r="B1679" t="str">
            <v>HIS</v>
          </cell>
          <cell r="C1679" t="str">
            <v>TowerCo</v>
          </cell>
          <cell r="D1679" t="str">
            <v>Gen Only</v>
          </cell>
        </row>
        <row r="1680">
          <cell r="A1680" t="str">
            <v>NRO_073</v>
          </cell>
          <cell r="B1680" t="str">
            <v>HIS</v>
          </cell>
          <cell r="C1680" t="str">
            <v>TowerCo</v>
          </cell>
          <cell r="D1680" t="str">
            <v>Hybrid-Gen</v>
          </cell>
        </row>
        <row r="1681">
          <cell r="A1681" t="str">
            <v>NRO_094</v>
          </cell>
          <cell r="B1681" t="str">
            <v>HIS</v>
          </cell>
          <cell r="C1681" t="str">
            <v>TowerCo</v>
          </cell>
          <cell r="D1681" t="str">
            <v>Gen Only</v>
          </cell>
        </row>
        <row r="1682">
          <cell r="A1682" t="str">
            <v>NRO_092</v>
          </cell>
          <cell r="B1682" t="str">
            <v>HIS</v>
          </cell>
          <cell r="C1682" t="str">
            <v>TowerCo</v>
          </cell>
          <cell r="D1682" t="str">
            <v>Hybrid-Gen</v>
          </cell>
        </row>
        <row r="1683">
          <cell r="A1683" t="str">
            <v>NRO_101</v>
          </cell>
          <cell r="B1683" t="str">
            <v>HIS</v>
          </cell>
          <cell r="C1683" t="str">
            <v>TowerCo</v>
          </cell>
          <cell r="D1683" t="str">
            <v>Gen Only</v>
          </cell>
        </row>
        <row r="1684">
          <cell r="A1684" t="str">
            <v>NRO_090</v>
          </cell>
          <cell r="B1684" t="str">
            <v>HIS</v>
          </cell>
          <cell r="C1684" t="str">
            <v>TowerCo</v>
          </cell>
          <cell r="D1684" t="str">
            <v>Grid-Gen</v>
          </cell>
        </row>
        <row r="1685">
          <cell r="A1685" t="str">
            <v>NRO_089</v>
          </cell>
          <cell r="B1685" t="str">
            <v>HIS</v>
          </cell>
          <cell r="C1685" t="str">
            <v>TowerCo</v>
          </cell>
          <cell r="D1685" t="str">
            <v>Hybrid-Gen</v>
          </cell>
        </row>
        <row r="1686">
          <cell r="A1686" t="str">
            <v>NRO_053</v>
          </cell>
          <cell r="B1686" t="str">
            <v>HIS</v>
          </cell>
          <cell r="C1686" t="str">
            <v>TowerCo</v>
          </cell>
          <cell r="D1686" t="str">
            <v>Gen Only</v>
          </cell>
        </row>
        <row r="1687">
          <cell r="A1687" t="str">
            <v>NRO_052</v>
          </cell>
          <cell r="B1687" t="str">
            <v>HIS</v>
          </cell>
          <cell r="C1687" t="str">
            <v>TowerCo</v>
          </cell>
          <cell r="D1687" t="str">
            <v>Grid-Gen</v>
          </cell>
        </row>
        <row r="1688">
          <cell r="A1688" t="str">
            <v>NRO_258</v>
          </cell>
          <cell r="B1688" t="str">
            <v>HIS</v>
          </cell>
          <cell r="C1688" t="str">
            <v>TowerCo</v>
          </cell>
          <cell r="D1688" t="str">
            <v>Grid-Gen</v>
          </cell>
        </row>
        <row r="1689">
          <cell r="A1689" t="str">
            <v>NRO_217</v>
          </cell>
          <cell r="B1689" t="str">
            <v>HIS</v>
          </cell>
          <cell r="C1689" t="str">
            <v>TowerCo</v>
          </cell>
          <cell r="D1689" t="str">
            <v>Grid-Gen</v>
          </cell>
        </row>
        <row r="1690">
          <cell r="A1690" t="str">
            <v>NRO_041</v>
          </cell>
          <cell r="B1690" t="str">
            <v>HIS</v>
          </cell>
          <cell r="C1690" t="str">
            <v>TowerCo</v>
          </cell>
          <cell r="D1690" t="str">
            <v>Grid-Gen</v>
          </cell>
        </row>
        <row r="1691">
          <cell r="A1691" t="str">
            <v>NRO_098</v>
          </cell>
          <cell r="B1691" t="str">
            <v>HIS</v>
          </cell>
          <cell r="C1691" t="str">
            <v>TowerCo</v>
          </cell>
          <cell r="D1691" t="str">
            <v>Gen Only</v>
          </cell>
        </row>
        <row r="1692">
          <cell r="A1692" t="str">
            <v>NRO_031</v>
          </cell>
          <cell r="B1692" t="str">
            <v>HIS</v>
          </cell>
          <cell r="C1692" t="str">
            <v>TowerCo</v>
          </cell>
          <cell r="D1692" t="str">
            <v>Grid-Gen</v>
          </cell>
        </row>
        <row r="1693">
          <cell r="A1693" t="str">
            <v>NRO_032</v>
          </cell>
          <cell r="B1693" t="str">
            <v>HIS</v>
          </cell>
          <cell r="C1693" t="str">
            <v>TowerCo</v>
          </cell>
          <cell r="D1693" t="str">
            <v>Grid-Gen</v>
          </cell>
        </row>
        <row r="1694">
          <cell r="A1694" t="str">
            <v>NRO_230</v>
          </cell>
          <cell r="B1694" t="str">
            <v>HIS</v>
          </cell>
          <cell r="C1694" t="str">
            <v>TowerCo</v>
          </cell>
          <cell r="D1694" t="str">
            <v>Hybrid-Gen</v>
          </cell>
        </row>
        <row r="1695">
          <cell r="A1695" t="str">
            <v>NRO_237</v>
          </cell>
          <cell r="B1695" t="str">
            <v>HIS</v>
          </cell>
          <cell r="C1695" t="str">
            <v>TowerCo</v>
          </cell>
          <cell r="D1695" t="str">
            <v>Solar-Gen</v>
          </cell>
        </row>
        <row r="1696">
          <cell r="A1696" t="str">
            <v>NRO_023</v>
          </cell>
          <cell r="B1696" t="str">
            <v>HIS</v>
          </cell>
          <cell r="C1696" t="str">
            <v>TowerCo</v>
          </cell>
          <cell r="D1696" t="str">
            <v>Gen Only</v>
          </cell>
        </row>
        <row r="1697">
          <cell r="A1697" t="str">
            <v>NRO_079</v>
          </cell>
          <cell r="B1697" t="str">
            <v>HIS</v>
          </cell>
          <cell r="C1697" t="str">
            <v>TowerCo</v>
          </cell>
          <cell r="D1697" t="str">
            <v>Hybrid-Gen</v>
          </cell>
        </row>
        <row r="1698">
          <cell r="A1698" t="str">
            <v>NRO_038</v>
          </cell>
          <cell r="B1698" t="str">
            <v>HIS</v>
          </cell>
          <cell r="C1698" t="str">
            <v>TowerCo</v>
          </cell>
          <cell r="D1698" t="str">
            <v>Grid-Gen</v>
          </cell>
        </row>
        <row r="1699">
          <cell r="A1699" t="str">
            <v>NRO_259</v>
          </cell>
          <cell r="B1699" t="str">
            <v>HIS</v>
          </cell>
          <cell r="C1699" t="str">
            <v>TowerCo</v>
          </cell>
          <cell r="D1699" t="str">
            <v>Grid-Gen</v>
          </cell>
        </row>
        <row r="1700">
          <cell r="A1700" t="str">
            <v>NRO_058</v>
          </cell>
          <cell r="B1700" t="str">
            <v>HIS</v>
          </cell>
          <cell r="C1700" t="str">
            <v>TowerCo</v>
          </cell>
          <cell r="D1700" t="str">
            <v>Grid-Gen</v>
          </cell>
        </row>
        <row r="1701">
          <cell r="A1701" t="str">
            <v>  NRO_136 </v>
          </cell>
          <cell r="B1701" t="str">
            <v>HIS</v>
          </cell>
          <cell r="C1701" t="str">
            <v>TowerCo</v>
          </cell>
          <cell r="D1701" t="str">
            <v>Grid-Gen</v>
          </cell>
        </row>
        <row r="1702">
          <cell r="A1702" t="str">
            <v> NRO_137</v>
          </cell>
          <cell r="B1702" t="str">
            <v>HIS</v>
          </cell>
          <cell r="C1702" t="str">
            <v>TowerCo</v>
          </cell>
          <cell r="D1702" t="str">
            <v>Grid-Gen</v>
          </cell>
        </row>
        <row r="1703">
          <cell r="A1703" t="str">
            <v>NRO_142</v>
          </cell>
          <cell r="B1703" t="str">
            <v>HIS</v>
          </cell>
          <cell r="C1703" t="str">
            <v>TowerCo</v>
          </cell>
          <cell r="D1703" t="str">
            <v>Hybrid-Gen</v>
          </cell>
        </row>
        <row r="1704">
          <cell r="A1704" t="str">
            <v>ADM_004</v>
          </cell>
          <cell r="B1704" t="str">
            <v>CAMUSAT</v>
          </cell>
          <cell r="C1704" t="str">
            <v>ESCO</v>
          </cell>
          <cell r="D1704" t="str">
            <v>Bad Grid + Solar + GE</v>
          </cell>
        </row>
        <row r="1705">
          <cell r="A1705" t="str">
            <v>ADM_006</v>
          </cell>
          <cell r="B1705" t="str">
            <v>CAMUSAT</v>
          </cell>
          <cell r="C1705" t="str">
            <v>ESCO</v>
          </cell>
          <cell r="D1705" t="str">
            <v>Medium Grid + GE</v>
          </cell>
        </row>
        <row r="1706">
          <cell r="A1706" t="str">
            <v>ADM_038</v>
          </cell>
          <cell r="B1706" t="str">
            <v>CAMUSAT</v>
          </cell>
          <cell r="C1706" t="str">
            <v>ESCO</v>
          </cell>
          <cell r="D1706" t="str">
            <v>Hybrid Solar - S3</v>
          </cell>
        </row>
        <row r="1707">
          <cell r="A1707" t="str">
            <v>ADM_130</v>
          </cell>
          <cell r="B1707" t="str">
            <v>CAMUSAT</v>
          </cell>
          <cell r="C1707" t="str">
            <v>ESCO</v>
          </cell>
          <cell r="D1707" t="str">
            <v>Hybrid Solar - S3</v>
          </cell>
        </row>
        <row r="1708">
          <cell r="A1708" t="str">
            <v>ADM_133</v>
          </cell>
          <cell r="B1708" t="str">
            <v>CAMUSAT</v>
          </cell>
          <cell r="C1708" t="str">
            <v>ESCO</v>
          </cell>
          <cell r="D1708" t="str">
            <v>Hybrid Solar - S3</v>
          </cell>
        </row>
        <row r="1709">
          <cell r="A1709" t="str">
            <v>ADM_147</v>
          </cell>
          <cell r="B1709" t="str">
            <v>CAMUSAT</v>
          </cell>
          <cell r="C1709" t="str">
            <v>ESCO</v>
          </cell>
          <cell r="D1709" t="str">
            <v>Hybrid Solar - S3</v>
          </cell>
        </row>
        <row r="1710">
          <cell r="A1710" t="str">
            <v>ADM_148</v>
          </cell>
          <cell r="B1710" t="str">
            <v>CAMUSAT</v>
          </cell>
          <cell r="C1710" t="str">
            <v>ESCO</v>
          </cell>
          <cell r="D1710" t="str">
            <v>Hybrid Solar - S3</v>
          </cell>
        </row>
        <row r="1711">
          <cell r="A1711" t="str">
            <v>ADM_149</v>
          </cell>
          <cell r="B1711" t="str">
            <v>CAMUSAT</v>
          </cell>
          <cell r="C1711" t="str">
            <v>ESCO</v>
          </cell>
          <cell r="D1711" t="str">
            <v>Hybrid Solar - S3</v>
          </cell>
        </row>
        <row r="1712">
          <cell r="A1712" t="str">
            <v>ADM_151</v>
          </cell>
          <cell r="B1712" t="str">
            <v>CAMUSAT</v>
          </cell>
          <cell r="C1712" t="str">
            <v>ESCO</v>
          </cell>
          <cell r="D1712" t="str">
            <v>Medium Grid + Solar + GE</v>
          </cell>
        </row>
        <row r="1713">
          <cell r="A1713" t="str">
            <v>ADM_159</v>
          </cell>
          <cell r="B1713" t="str">
            <v>CAMUSAT</v>
          </cell>
          <cell r="C1713" t="str">
            <v>ESCO</v>
          </cell>
          <cell r="D1713" t="str">
            <v>Hybrid Solar - S3</v>
          </cell>
        </row>
        <row r="1714">
          <cell r="A1714" t="str">
            <v>ADM_160</v>
          </cell>
          <cell r="B1714" t="str">
            <v>CAMUSAT</v>
          </cell>
          <cell r="C1714" t="str">
            <v>ESCO</v>
          </cell>
          <cell r="D1714" t="str">
            <v>Hybrid Solar - S3</v>
          </cell>
        </row>
        <row r="1715">
          <cell r="A1715" t="str">
            <v>ADM_161</v>
          </cell>
          <cell r="B1715" t="str">
            <v>CAMUSAT</v>
          </cell>
          <cell r="C1715" t="str">
            <v>ESCO</v>
          </cell>
          <cell r="D1715" t="str">
            <v>Hybrid Solar - S3</v>
          </cell>
        </row>
        <row r="1716">
          <cell r="A1716" t="str">
            <v>ADM_162</v>
          </cell>
          <cell r="B1716" t="str">
            <v>CAMUSAT</v>
          </cell>
          <cell r="C1716" t="str">
            <v>ESCO</v>
          </cell>
          <cell r="D1716" t="str">
            <v>Medium Grid + GE</v>
          </cell>
        </row>
        <row r="1717">
          <cell r="A1717" t="str">
            <v>ADM_163</v>
          </cell>
          <cell r="B1717" t="str">
            <v>CAMUSAT</v>
          </cell>
          <cell r="C1717" t="str">
            <v>ESCO</v>
          </cell>
          <cell r="D1717" t="str">
            <v>HGB</v>
          </cell>
        </row>
        <row r="1718">
          <cell r="A1718" t="str">
            <v>ADM_165</v>
          </cell>
          <cell r="B1718" t="str">
            <v>CAMUSAT</v>
          </cell>
          <cell r="C1718" t="str">
            <v>ESCO</v>
          </cell>
          <cell r="D1718" t="str">
            <v>Hybrid Solar - S1</v>
          </cell>
        </row>
        <row r="1719">
          <cell r="A1719" t="str">
            <v>ADM_166</v>
          </cell>
          <cell r="B1719" t="str">
            <v>CAMUSAT</v>
          </cell>
          <cell r="C1719" t="str">
            <v>ESCO</v>
          </cell>
          <cell r="D1719" t="str">
            <v>Hybrid Solar - S3</v>
          </cell>
        </row>
        <row r="1720">
          <cell r="A1720" t="str">
            <v>ADM_171</v>
          </cell>
          <cell r="B1720" t="str">
            <v>CAMUSAT</v>
          </cell>
          <cell r="C1720" t="str">
            <v>ESCO</v>
          </cell>
          <cell r="D1720" t="str">
            <v>Hybrid Solar - S3</v>
          </cell>
        </row>
        <row r="1721">
          <cell r="A1721" t="str">
            <v>ADM_172</v>
          </cell>
          <cell r="B1721" t="str">
            <v>CAMUSAT</v>
          </cell>
          <cell r="C1721" t="str">
            <v>ESCO</v>
          </cell>
          <cell r="D1721" t="str">
            <v>Hybrid Solar - S3</v>
          </cell>
        </row>
        <row r="1722">
          <cell r="A1722" t="str">
            <v>CTR_139</v>
          </cell>
          <cell r="B1722" t="str">
            <v>CAMUSAT</v>
          </cell>
          <cell r="C1722" t="str">
            <v>ESCO</v>
          </cell>
          <cell r="D1722" t="str">
            <v>Hybrid Solar - S3</v>
          </cell>
        </row>
        <row r="1723">
          <cell r="A1723" t="str">
            <v>CTR_142</v>
          </cell>
          <cell r="B1723" t="str">
            <v>CAMUSAT</v>
          </cell>
          <cell r="C1723" t="str">
            <v>ESCO</v>
          </cell>
          <cell r="D1723" t="str">
            <v>Bad Grid + GE</v>
          </cell>
        </row>
        <row r="1724">
          <cell r="A1724" t="str">
            <v>CTR_144</v>
          </cell>
          <cell r="B1724" t="str">
            <v>CAMUSAT</v>
          </cell>
          <cell r="C1724" t="str">
            <v>ESCO</v>
          </cell>
          <cell r="D1724" t="str">
            <v>Good Grid + GE</v>
          </cell>
        </row>
        <row r="1725">
          <cell r="A1725" t="str">
            <v>CTR_181</v>
          </cell>
          <cell r="B1725" t="str">
            <v>CAMUSAT</v>
          </cell>
          <cell r="C1725" t="str">
            <v>ESCO</v>
          </cell>
          <cell r="D1725" t="str">
            <v>Bad Grid + GE</v>
          </cell>
        </row>
        <row r="1726">
          <cell r="A1726" t="str">
            <v>CTR_258</v>
          </cell>
          <cell r="B1726" t="str">
            <v>CAMUSAT</v>
          </cell>
          <cell r="C1726" t="str">
            <v>ESCO</v>
          </cell>
          <cell r="D1726" t="str">
            <v>Good Grid + GE</v>
          </cell>
        </row>
        <row r="1727">
          <cell r="A1727" t="str">
            <v>CTR_407</v>
          </cell>
          <cell r="B1727" t="str">
            <v>CAMUSAT</v>
          </cell>
          <cell r="C1727" t="str">
            <v>ESCO</v>
          </cell>
          <cell r="D1727" t="str">
            <v>Hybrid Solar - S3</v>
          </cell>
        </row>
        <row r="1728">
          <cell r="A1728" t="str">
            <v>CTR_434</v>
          </cell>
          <cell r="B1728" t="str">
            <v>CAMUSAT</v>
          </cell>
          <cell r="C1728" t="str">
            <v>ESCO</v>
          </cell>
          <cell r="D1728" t="str">
            <v>Hybrid Solar - S3</v>
          </cell>
        </row>
        <row r="1729">
          <cell r="A1729" t="str">
            <v>CTR_451</v>
          </cell>
          <cell r="B1729" t="str">
            <v>CAMUSAT</v>
          </cell>
          <cell r="C1729" t="str">
            <v>ESCO</v>
          </cell>
          <cell r="D1729" t="str">
            <v>Hybrid Solar - S3</v>
          </cell>
        </row>
        <row r="1730">
          <cell r="A1730" t="str">
            <v>CTR_453</v>
          </cell>
          <cell r="B1730" t="str">
            <v>CAMUSAT</v>
          </cell>
          <cell r="C1730" t="str">
            <v>ESCO</v>
          </cell>
          <cell r="D1730" t="str">
            <v>Hybrid Solar - S1</v>
          </cell>
        </row>
        <row r="1731">
          <cell r="A1731" t="str">
            <v>CTR_510</v>
          </cell>
          <cell r="B1731" t="str">
            <v>CAMUSAT</v>
          </cell>
          <cell r="C1731" t="str">
            <v>ESCO</v>
          </cell>
          <cell r="D1731" t="str">
            <v>Good Grid no GE - 8h</v>
          </cell>
        </row>
        <row r="1732">
          <cell r="A1732" t="str">
            <v>CTR_551</v>
          </cell>
          <cell r="B1732" t="str">
            <v>CAMUSAT</v>
          </cell>
          <cell r="C1732" t="str">
            <v>ESCO</v>
          </cell>
          <cell r="D1732" t="str">
            <v>HGB</v>
          </cell>
        </row>
        <row r="1733">
          <cell r="A1733" t="str">
            <v>CTR_556</v>
          </cell>
          <cell r="B1733" t="str">
            <v>CAMUSAT</v>
          </cell>
          <cell r="C1733" t="str">
            <v>ESCO</v>
          </cell>
          <cell r="D1733" t="str">
            <v>Good Grid no GE - 8h</v>
          </cell>
        </row>
        <row r="1734">
          <cell r="A1734" t="str">
            <v>CTR_557</v>
          </cell>
          <cell r="B1734" t="str">
            <v>CAMUSAT</v>
          </cell>
          <cell r="C1734" t="str">
            <v>ESCO</v>
          </cell>
          <cell r="D1734" t="str">
            <v>Good Grid no GE - 8h</v>
          </cell>
        </row>
        <row r="1735">
          <cell r="A1735" t="str">
            <v>CTR_558</v>
          </cell>
          <cell r="B1735" t="str">
            <v>CAMUSAT</v>
          </cell>
          <cell r="C1735" t="str">
            <v>ESCO</v>
          </cell>
          <cell r="D1735" t="str">
            <v>Good Grid no GE - 8h</v>
          </cell>
        </row>
        <row r="1736">
          <cell r="A1736" t="str">
            <v>CTR_559</v>
          </cell>
          <cell r="B1736" t="str">
            <v>CAMUSAT</v>
          </cell>
          <cell r="C1736" t="str">
            <v>ESCO</v>
          </cell>
          <cell r="D1736" t="str">
            <v>Good Grid no GE - 8h</v>
          </cell>
        </row>
        <row r="1737">
          <cell r="A1737" t="str">
            <v>CTR_560</v>
          </cell>
          <cell r="B1737" t="str">
            <v>CAMUSAT</v>
          </cell>
          <cell r="C1737" t="str">
            <v>ESCO</v>
          </cell>
          <cell r="D1737" t="str">
            <v>Good Grid + GE</v>
          </cell>
        </row>
        <row r="1738">
          <cell r="A1738" t="str">
            <v>CTR_561</v>
          </cell>
          <cell r="B1738" t="str">
            <v>CAMUSAT</v>
          </cell>
          <cell r="C1738" t="str">
            <v>ESCO</v>
          </cell>
          <cell r="D1738" t="str">
            <v>Good Grid no GE - 12h</v>
          </cell>
        </row>
        <row r="1739">
          <cell r="A1739" t="str">
            <v>CTR_563</v>
          </cell>
          <cell r="B1739" t="str">
            <v>CAMUSAT</v>
          </cell>
          <cell r="C1739" t="str">
            <v>ESCO</v>
          </cell>
          <cell r="D1739" t="str">
            <v>Good Grid no GE - 8h</v>
          </cell>
        </row>
        <row r="1740">
          <cell r="A1740" t="str">
            <v>CTR_564</v>
          </cell>
          <cell r="B1740" t="str">
            <v>CAMUSAT</v>
          </cell>
          <cell r="C1740" t="str">
            <v>ESCO</v>
          </cell>
          <cell r="D1740" t="str">
            <v>Good Grid no GE - 8h</v>
          </cell>
        </row>
        <row r="1741">
          <cell r="A1741" t="str">
            <v>CTR_565</v>
          </cell>
          <cell r="B1741" t="str">
            <v>CAMUSAT</v>
          </cell>
          <cell r="C1741" t="str">
            <v>ESCO</v>
          </cell>
          <cell r="D1741" t="str">
            <v>Good Grid no GE - 8h</v>
          </cell>
        </row>
        <row r="1742">
          <cell r="A1742" t="str">
            <v>CTR_566</v>
          </cell>
          <cell r="B1742" t="str">
            <v>CAMUSAT</v>
          </cell>
          <cell r="C1742" t="str">
            <v>ESCO</v>
          </cell>
          <cell r="D1742" t="str">
            <v>Good Grid no GE - 8h</v>
          </cell>
        </row>
        <row r="1743">
          <cell r="A1743" t="str">
            <v>CTR_567</v>
          </cell>
          <cell r="B1743" t="str">
            <v>CAMUSAT</v>
          </cell>
          <cell r="C1743" t="str">
            <v>ESCO</v>
          </cell>
          <cell r="D1743" t="str">
            <v>Good Grid no GE - 8h</v>
          </cell>
        </row>
        <row r="1744">
          <cell r="A1744" t="str">
            <v>CTR_577</v>
          </cell>
          <cell r="B1744" t="str">
            <v>CAMUSAT</v>
          </cell>
          <cell r="C1744" t="str">
            <v>ESCO</v>
          </cell>
          <cell r="D1744" t="str">
            <v>Medium Grid + GE</v>
          </cell>
        </row>
        <row r="1745">
          <cell r="A1745" t="str">
            <v>CTR_579</v>
          </cell>
          <cell r="B1745" t="str">
            <v>CAMUSAT</v>
          </cell>
          <cell r="C1745" t="str">
            <v>ESCO</v>
          </cell>
          <cell r="D1745" t="str">
            <v>Good Grid + GE</v>
          </cell>
        </row>
        <row r="1746">
          <cell r="A1746" t="str">
            <v>CTR_583</v>
          </cell>
          <cell r="B1746" t="str">
            <v>CAMUSAT</v>
          </cell>
          <cell r="C1746" t="str">
            <v>ESCO</v>
          </cell>
          <cell r="D1746" t="str">
            <v>Good Grid no GE - 8h</v>
          </cell>
        </row>
        <row r="1747">
          <cell r="A1747" t="str">
            <v>CTR_595</v>
          </cell>
          <cell r="B1747" t="str">
            <v>CAMUSAT</v>
          </cell>
          <cell r="C1747" t="str">
            <v>ESCO</v>
          </cell>
          <cell r="D1747" t="str">
            <v>Good Grid no GE - 8h</v>
          </cell>
        </row>
        <row r="1748">
          <cell r="A1748" t="str">
            <v>CTR_596</v>
          </cell>
          <cell r="B1748" t="str">
            <v>CAMUSAT</v>
          </cell>
          <cell r="C1748" t="str">
            <v>ESCO</v>
          </cell>
          <cell r="D1748" t="str">
            <v>Good Grid no GE - 8h</v>
          </cell>
        </row>
        <row r="1749">
          <cell r="A1749" t="str">
            <v>CTR_597</v>
          </cell>
          <cell r="B1749" t="str">
            <v>CAMUSAT</v>
          </cell>
          <cell r="C1749" t="str">
            <v>ESCO</v>
          </cell>
          <cell r="D1749" t="str">
            <v>Good Grid + GE</v>
          </cell>
        </row>
        <row r="1750">
          <cell r="A1750" t="str">
            <v>CTR_598</v>
          </cell>
          <cell r="B1750" t="str">
            <v>CAMUSAT</v>
          </cell>
          <cell r="C1750" t="str">
            <v>ESCO</v>
          </cell>
          <cell r="D1750" t="str">
            <v>Good Grid no GE - 8h</v>
          </cell>
        </row>
        <row r="1751">
          <cell r="A1751" t="str">
            <v>CTR_628</v>
          </cell>
          <cell r="B1751" t="str">
            <v>CAMUSAT</v>
          </cell>
          <cell r="C1751" t="str">
            <v>ESCO</v>
          </cell>
          <cell r="D1751" t="str">
            <v>Bad Grid + GE</v>
          </cell>
        </row>
        <row r="1752">
          <cell r="A1752" t="str">
            <v>CTR_629</v>
          </cell>
          <cell r="B1752" t="str">
            <v>CAMUSAT</v>
          </cell>
          <cell r="C1752" t="str">
            <v>ESCO</v>
          </cell>
          <cell r="D1752" t="str">
            <v>Medium Grid + GE</v>
          </cell>
        </row>
        <row r="1753">
          <cell r="A1753" t="str">
            <v>CTR_630</v>
          </cell>
          <cell r="B1753" t="str">
            <v>CAMUSAT</v>
          </cell>
          <cell r="C1753" t="str">
            <v>ESCO</v>
          </cell>
          <cell r="D1753" t="str">
            <v>HGB</v>
          </cell>
        </row>
        <row r="1754">
          <cell r="A1754" t="str">
            <v>CTR_631</v>
          </cell>
          <cell r="B1754" t="str">
            <v>CAMUSAT</v>
          </cell>
          <cell r="C1754" t="str">
            <v>ESCO</v>
          </cell>
          <cell r="D1754" t="str">
            <v>Bad Grid + Solar + GE</v>
          </cell>
        </row>
        <row r="1755">
          <cell r="A1755" t="str">
            <v>CTR_636</v>
          </cell>
          <cell r="B1755" t="str">
            <v>CAMUSAT</v>
          </cell>
          <cell r="C1755" t="str">
            <v>ESCO</v>
          </cell>
          <cell r="D1755" t="str">
            <v>HGB</v>
          </cell>
        </row>
        <row r="1756">
          <cell r="A1756" t="str">
            <v>CTR_646</v>
          </cell>
          <cell r="B1756" t="str">
            <v>CAMUSAT</v>
          </cell>
          <cell r="C1756" t="str">
            <v>ESCO</v>
          </cell>
          <cell r="D1756" t="str">
            <v>Good Grid + GE</v>
          </cell>
        </row>
        <row r="1757">
          <cell r="A1757" t="str">
            <v>CTR_650</v>
          </cell>
          <cell r="B1757" t="str">
            <v>CAMUSAT</v>
          </cell>
          <cell r="C1757" t="str">
            <v>ESCO</v>
          </cell>
          <cell r="D1757" t="str">
            <v>Good Grid + GE</v>
          </cell>
        </row>
        <row r="1758">
          <cell r="A1758" t="str">
            <v>CTR_651</v>
          </cell>
          <cell r="B1758" t="str">
            <v>CAMUSAT</v>
          </cell>
          <cell r="C1758" t="str">
            <v>ESCO</v>
          </cell>
          <cell r="D1758" t="str">
            <v>Good Grid + GE</v>
          </cell>
        </row>
        <row r="1759">
          <cell r="A1759" t="str">
            <v>CTR_652</v>
          </cell>
          <cell r="B1759" t="str">
            <v>CAMUSAT</v>
          </cell>
          <cell r="C1759" t="str">
            <v>ESCO</v>
          </cell>
          <cell r="D1759" t="str">
            <v>Good Grid no GE - 8h</v>
          </cell>
        </row>
        <row r="1760">
          <cell r="A1760" t="str">
            <v>CTR_653</v>
          </cell>
          <cell r="B1760" t="str">
            <v>CAMUSAT</v>
          </cell>
          <cell r="C1760" t="str">
            <v>ESCO</v>
          </cell>
          <cell r="D1760" t="str">
            <v>Hybrid Solar - S1</v>
          </cell>
        </row>
        <row r="1761">
          <cell r="A1761" t="str">
            <v>CTR_654</v>
          </cell>
          <cell r="B1761" t="str">
            <v>CAMUSAT</v>
          </cell>
          <cell r="C1761" t="str">
            <v>ESCO</v>
          </cell>
          <cell r="D1761" t="str">
            <v>Good Grid no GE - 8h</v>
          </cell>
        </row>
        <row r="1762">
          <cell r="A1762" t="str">
            <v>CTR_655</v>
          </cell>
          <cell r="B1762" t="str">
            <v>CAMUSAT</v>
          </cell>
          <cell r="C1762" t="str">
            <v>ESCO</v>
          </cell>
          <cell r="D1762" t="str">
            <v>Good Grid no GE - 8h</v>
          </cell>
        </row>
        <row r="1763">
          <cell r="A1763" t="str">
            <v>CTR_657</v>
          </cell>
          <cell r="B1763" t="str">
            <v>CAMUSAT</v>
          </cell>
          <cell r="C1763" t="str">
            <v>ESCO</v>
          </cell>
          <cell r="D1763" t="str">
            <v>Good Grid + GE</v>
          </cell>
        </row>
        <row r="1764">
          <cell r="A1764" t="str">
            <v>CTR_658</v>
          </cell>
          <cell r="B1764" t="str">
            <v>CAMUSAT</v>
          </cell>
          <cell r="C1764" t="str">
            <v>ESCO</v>
          </cell>
          <cell r="D1764" t="str">
            <v>Good Grid + GE</v>
          </cell>
        </row>
        <row r="1765">
          <cell r="A1765" t="str">
            <v>CTR_659</v>
          </cell>
          <cell r="B1765" t="str">
            <v>CAMUSAT</v>
          </cell>
          <cell r="C1765" t="str">
            <v>ESCO</v>
          </cell>
          <cell r="D1765" t="str">
            <v>Good Grid + GE</v>
          </cell>
        </row>
        <row r="1766">
          <cell r="A1766" t="str">
            <v>CTR_660</v>
          </cell>
          <cell r="B1766" t="str">
            <v>CAMUSAT</v>
          </cell>
          <cell r="C1766" t="str">
            <v>ESCO</v>
          </cell>
          <cell r="D1766" t="str">
            <v>Good Grid no GE - 12h</v>
          </cell>
        </row>
        <row r="1767">
          <cell r="A1767" t="str">
            <v>CTR_662</v>
          </cell>
          <cell r="B1767" t="str">
            <v>CAMUSAT</v>
          </cell>
          <cell r="C1767" t="str">
            <v>ESCO</v>
          </cell>
          <cell r="D1767" t="str">
            <v>Good Grid no GE - 12h</v>
          </cell>
        </row>
        <row r="1768">
          <cell r="A1768" t="str">
            <v>CTR_663</v>
          </cell>
          <cell r="B1768" t="str">
            <v>CAMUSAT</v>
          </cell>
          <cell r="C1768" t="str">
            <v>ESCO</v>
          </cell>
          <cell r="D1768" t="str">
            <v>Good Grid + Solar + GE</v>
          </cell>
        </row>
        <row r="1769">
          <cell r="A1769" t="str">
            <v>CTR_664</v>
          </cell>
          <cell r="B1769" t="str">
            <v>CAMUSAT</v>
          </cell>
          <cell r="C1769" t="str">
            <v>ESCO</v>
          </cell>
          <cell r="D1769" t="str">
            <v>Good Grid no GE - 12h</v>
          </cell>
        </row>
        <row r="1770">
          <cell r="A1770" t="str">
            <v>CTR_665</v>
          </cell>
          <cell r="B1770" t="str">
            <v>CAMUSAT</v>
          </cell>
          <cell r="C1770" t="str">
            <v>ESCO</v>
          </cell>
          <cell r="D1770" t="str">
            <v>HGB</v>
          </cell>
        </row>
        <row r="1771">
          <cell r="A1771" t="str">
            <v>CTR_667</v>
          </cell>
          <cell r="B1771" t="str">
            <v>CAMUSAT</v>
          </cell>
          <cell r="C1771" t="str">
            <v>ESCO</v>
          </cell>
          <cell r="D1771" t="str">
            <v>Bad Grid + Solar + GE</v>
          </cell>
        </row>
        <row r="1772">
          <cell r="A1772" t="str">
            <v>CTR_668</v>
          </cell>
          <cell r="B1772" t="str">
            <v>CAMUSAT</v>
          </cell>
          <cell r="C1772" t="str">
            <v>ESCO</v>
          </cell>
          <cell r="D1772" t="str">
            <v>Medium Grid + Solar + GE</v>
          </cell>
        </row>
        <row r="1773">
          <cell r="A1773" t="str">
            <v>CTR_669</v>
          </cell>
          <cell r="B1773" t="str">
            <v>CAMUSAT</v>
          </cell>
          <cell r="C1773" t="str">
            <v>ESCO</v>
          </cell>
          <cell r="D1773" t="str">
            <v>Good Grid no GE - 12h</v>
          </cell>
        </row>
        <row r="1774">
          <cell r="A1774" t="str">
            <v>CTR_670</v>
          </cell>
          <cell r="B1774" t="str">
            <v>CAMUSAT</v>
          </cell>
          <cell r="C1774" t="str">
            <v>ESCO</v>
          </cell>
          <cell r="D1774" t="str">
            <v>Good Grid + GE</v>
          </cell>
        </row>
        <row r="1775">
          <cell r="A1775" t="str">
            <v>CTR_671</v>
          </cell>
          <cell r="B1775" t="str">
            <v>CAMUSAT</v>
          </cell>
          <cell r="C1775" t="str">
            <v>ESCO</v>
          </cell>
          <cell r="D1775" t="str">
            <v>Good Grid + GE</v>
          </cell>
        </row>
        <row r="1776">
          <cell r="A1776" t="str">
            <v>CTR_672</v>
          </cell>
          <cell r="B1776" t="str">
            <v>CAMUSAT</v>
          </cell>
          <cell r="C1776" t="str">
            <v>ESCO</v>
          </cell>
          <cell r="D1776" t="str">
            <v>Good Grid no GE - 12h</v>
          </cell>
        </row>
        <row r="1777">
          <cell r="A1777" t="str">
            <v>CTR_680</v>
          </cell>
          <cell r="B1777" t="str">
            <v>CAMUSAT</v>
          </cell>
          <cell r="C1777" t="str">
            <v>ESCO</v>
          </cell>
          <cell r="D1777" t="str">
            <v>Medium Grid + GE</v>
          </cell>
        </row>
        <row r="1778">
          <cell r="A1778" t="str">
            <v>CTR_682</v>
          </cell>
          <cell r="B1778" t="str">
            <v>CAMUSAT</v>
          </cell>
          <cell r="C1778" t="str">
            <v>ESCO</v>
          </cell>
          <cell r="D1778" t="str">
            <v>Good Grid no GE - 8h</v>
          </cell>
        </row>
        <row r="1779">
          <cell r="A1779" t="str">
            <v>CTR_684</v>
          </cell>
          <cell r="B1779" t="str">
            <v>CAMUSAT</v>
          </cell>
          <cell r="C1779" t="str">
            <v>ESCO</v>
          </cell>
          <cell r="D1779" t="str">
            <v>Good Grid no GE - 8h</v>
          </cell>
        </row>
        <row r="1780">
          <cell r="A1780" t="str">
            <v>CTR_689</v>
          </cell>
          <cell r="B1780" t="str">
            <v>CAMUSAT</v>
          </cell>
          <cell r="C1780" t="str">
            <v>ESCO</v>
          </cell>
          <cell r="D1780" t="str">
            <v>Good Grid no GE - 8h</v>
          </cell>
        </row>
        <row r="1781">
          <cell r="A1781" t="str">
            <v>CTR_690</v>
          </cell>
          <cell r="B1781" t="str">
            <v>CAMUSAT</v>
          </cell>
          <cell r="C1781" t="str">
            <v>ESCO</v>
          </cell>
          <cell r="D1781" t="str">
            <v>Good Grid no GE - 8h</v>
          </cell>
        </row>
        <row r="1782">
          <cell r="A1782" t="str">
            <v>CTR_702</v>
          </cell>
          <cell r="B1782" t="str">
            <v>CAMUSAT</v>
          </cell>
          <cell r="C1782" t="str">
            <v>ESCO</v>
          </cell>
          <cell r="D1782" t="str">
            <v>Good Grid no GE - 8h</v>
          </cell>
        </row>
        <row r="1783">
          <cell r="A1783" t="str">
            <v>CTR_702_</v>
          </cell>
          <cell r="B1783" t="str">
            <v>CAMUSAT</v>
          </cell>
          <cell r="C1783" t="str">
            <v>ESCO</v>
          </cell>
          <cell r="D1783" t="str">
            <v>Good Grid no GE - 8h</v>
          </cell>
        </row>
        <row r="1784">
          <cell r="A1784" t="str">
            <v>CTR_705</v>
          </cell>
          <cell r="B1784" t="str">
            <v>CAMUSAT</v>
          </cell>
          <cell r="C1784" t="str">
            <v>ESCO</v>
          </cell>
          <cell r="D1784" t="str">
            <v>Good Grid + GE</v>
          </cell>
        </row>
        <row r="1785">
          <cell r="A1785" t="str">
            <v>CTR_707</v>
          </cell>
          <cell r="B1785" t="str">
            <v>CAMUSAT</v>
          </cell>
          <cell r="C1785" t="str">
            <v>ESCO</v>
          </cell>
          <cell r="D1785" t="str">
            <v>Good Grid + GE</v>
          </cell>
        </row>
        <row r="1786">
          <cell r="A1786" t="str">
            <v>CTR_708</v>
          </cell>
          <cell r="B1786" t="str">
            <v>CAMUSAT</v>
          </cell>
          <cell r="C1786" t="str">
            <v>ESCO</v>
          </cell>
          <cell r="D1786" t="str">
            <v>Good Grid + GE</v>
          </cell>
        </row>
        <row r="1787">
          <cell r="A1787" t="str">
            <v>CTR_709</v>
          </cell>
          <cell r="B1787" t="str">
            <v>CAMUSAT</v>
          </cell>
          <cell r="C1787" t="str">
            <v>ESCO</v>
          </cell>
          <cell r="D1787" t="str">
            <v>Good Grid + GE</v>
          </cell>
        </row>
        <row r="1788">
          <cell r="A1788" t="str">
            <v>CTR_710</v>
          </cell>
          <cell r="B1788" t="str">
            <v>CAMUSAT</v>
          </cell>
          <cell r="C1788" t="str">
            <v>ESCO</v>
          </cell>
          <cell r="D1788" t="str">
            <v>Good Grid + GE</v>
          </cell>
        </row>
        <row r="1789">
          <cell r="A1789" t="str">
            <v>CTR_711</v>
          </cell>
          <cell r="B1789" t="str">
            <v>CAMUSAT</v>
          </cell>
          <cell r="C1789" t="str">
            <v>ESCO</v>
          </cell>
          <cell r="D1789" t="str">
            <v>Good Grid + GE</v>
          </cell>
        </row>
        <row r="1790">
          <cell r="A1790" t="str">
            <v>CTR_712</v>
          </cell>
          <cell r="B1790" t="str">
            <v>CAMUSAT</v>
          </cell>
          <cell r="C1790" t="str">
            <v>ESCO</v>
          </cell>
          <cell r="D1790" t="str">
            <v>Medium Grid + GE</v>
          </cell>
        </row>
        <row r="1791">
          <cell r="A1791" t="str">
            <v>CTR_713</v>
          </cell>
          <cell r="B1791" t="str">
            <v>CAMUSAT</v>
          </cell>
          <cell r="C1791" t="str">
            <v>ESCO</v>
          </cell>
          <cell r="D1791" t="str">
            <v>Good Grid + GE</v>
          </cell>
        </row>
        <row r="1792">
          <cell r="A1792" t="str">
            <v>CTR_714</v>
          </cell>
          <cell r="B1792" t="str">
            <v>CAMUSAT</v>
          </cell>
          <cell r="C1792" t="str">
            <v>ESCO</v>
          </cell>
          <cell r="D1792" t="str">
            <v>Good Grid + GE</v>
          </cell>
        </row>
        <row r="1793">
          <cell r="A1793" t="str">
            <v>CTR_715</v>
          </cell>
          <cell r="B1793" t="str">
            <v>CAMUSAT</v>
          </cell>
          <cell r="C1793" t="str">
            <v>ESCO</v>
          </cell>
          <cell r="D1793" t="str">
            <v>Good Grid + GE</v>
          </cell>
        </row>
        <row r="1794">
          <cell r="A1794" t="str">
            <v>CTR_716</v>
          </cell>
          <cell r="B1794" t="str">
            <v>CAMUSAT</v>
          </cell>
          <cell r="C1794" t="str">
            <v>ESCO</v>
          </cell>
          <cell r="D1794" t="str">
            <v>Good Grid + GE</v>
          </cell>
        </row>
        <row r="1795">
          <cell r="A1795" t="str">
            <v>CTR_717</v>
          </cell>
          <cell r="B1795" t="str">
            <v>CAMUSAT</v>
          </cell>
          <cell r="C1795" t="str">
            <v>ESCO</v>
          </cell>
          <cell r="D1795" t="str">
            <v>Good Grid + GE</v>
          </cell>
        </row>
        <row r="1796">
          <cell r="A1796" t="str">
            <v>CTR_718</v>
          </cell>
          <cell r="B1796" t="str">
            <v>CAMUSAT</v>
          </cell>
          <cell r="C1796" t="str">
            <v>ESCO</v>
          </cell>
          <cell r="D1796" t="str">
            <v>Good Grid no GE - 8h</v>
          </cell>
        </row>
        <row r="1797">
          <cell r="A1797" t="str">
            <v>CTR_719</v>
          </cell>
          <cell r="B1797" t="str">
            <v>CAMUSAT</v>
          </cell>
          <cell r="C1797" t="str">
            <v>ESCO</v>
          </cell>
          <cell r="D1797" t="str">
            <v>Good Grid no GE - 8h</v>
          </cell>
        </row>
        <row r="1798">
          <cell r="A1798" t="str">
            <v>CTR_720</v>
          </cell>
          <cell r="B1798" t="str">
            <v>CAMUSAT</v>
          </cell>
          <cell r="C1798" t="str">
            <v>ESCO</v>
          </cell>
          <cell r="D1798" t="str">
            <v>Good Grid no GE - 8h</v>
          </cell>
        </row>
        <row r="1799">
          <cell r="A1799" t="str">
            <v>CTR_721</v>
          </cell>
          <cell r="B1799" t="str">
            <v>CAMUSAT</v>
          </cell>
          <cell r="C1799" t="str">
            <v>ESCO</v>
          </cell>
          <cell r="D1799" t="str">
            <v>Good Grid no GE - 8h</v>
          </cell>
        </row>
        <row r="1800">
          <cell r="A1800" t="str">
            <v>CTR_722</v>
          </cell>
          <cell r="B1800" t="str">
            <v>CAMUSAT</v>
          </cell>
          <cell r="C1800" t="str">
            <v>ESCO</v>
          </cell>
          <cell r="D1800" t="str">
            <v>Good Grid + GE</v>
          </cell>
        </row>
        <row r="1801">
          <cell r="A1801" t="str">
            <v>CTR_723</v>
          </cell>
          <cell r="B1801" t="str">
            <v>CAMUSAT</v>
          </cell>
          <cell r="C1801" t="str">
            <v>ESCO</v>
          </cell>
          <cell r="D1801" t="str">
            <v>Good Grid + GE</v>
          </cell>
        </row>
        <row r="1802">
          <cell r="A1802" t="str">
            <v>CTR_728</v>
          </cell>
          <cell r="B1802" t="str">
            <v>CAMUSAT</v>
          </cell>
          <cell r="C1802" t="str">
            <v>ESCO</v>
          </cell>
          <cell r="D1802" t="str">
            <v>Good Grid no GE - 8h</v>
          </cell>
        </row>
        <row r="1803">
          <cell r="A1803" t="str">
            <v>CTR_729</v>
          </cell>
          <cell r="B1803" t="str">
            <v>CAMUSAT</v>
          </cell>
          <cell r="C1803" t="str">
            <v>ESCO</v>
          </cell>
          <cell r="D1803" t="str">
            <v>Good Grid no GE - 8h</v>
          </cell>
        </row>
        <row r="1804">
          <cell r="A1804" t="str">
            <v>CTR_730</v>
          </cell>
          <cell r="B1804" t="str">
            <v>CAMUSAT</v>
          </cell>
          <cell r="C1804" t="str">
            <v>ESCO</v>
          </cell>
          <cell r="D1804" t="str">
            <v>Good Grid + GE</v>
          </cell>
        </row>
        <row r="1805">
          <cell r="A1805" t="str">
            <v>CTR_735</v>
          </cell>
          <cell r="B1805" t="str">
            <v>CAMUSAT</v>
          </cell>
          <cell r="C1805" t="str">
            <v>ESCO</v>
          </cell>
          <cell r="D1805" t="str">
            <v>Good Grid no GE - 12h</v>
          </cell>
        </row>
        <row r="1806">
          <cell r="A1806" t="str">
            <v>CTR_737</v>
          </cell>
          <cell r="B1806" t="str">
            <v>CAMUSAT</v>
          </cell>
          <cell r="C1806" t="str">
            <v>ESCO</v>
          </cell>
          <cell r="D1806" t="str">
            <v>Good Grid no GE - 8h</v>
          </cell>
        </row>
        <row r="1807">
          <cell r="A1807" t="str">
            <v>CTR_738</v>
          </cell>
          <cell r="B1807" t="str">
            <v>CAMUSAT</v>
          </cell>
          <cell r="C1807" t="str">
            <v>ESCO</v>
          </cell>
          <cell r="D1807" t="str">
            <v>Medium Grid + GE</v>
          </cell>
        </row>
        <row r="1808">
          <cell r="A1808" t="str">
            <v>CTR_739</v>
          </cell>
          <cell r="B1808" t="str">
            <v>CAMUSAT</v>
          </cell>
          <cell r="C1808" t="str">
            <v>ESCO</v>
          </cell>
          <cell r="D1808" t="str">
            <v>Good Grid + GE</v>
          </cell>
        </row>
        <row r="1809">
          <cell r="A1809" t="str">
            <v>CTR_740</v>
          </cell>
          <cell r="B1809" t="str">
            <v>CAMUSAT</v>
          </cell>
          <cell r="C1809" t="str">
            <v>ESCO</v>
          </cell>
          <cell r="D1809" t="str">
            <v>Good Grid + GE</v>
          </cell>
        </row>
        <row r="1810">
          <cell r="A1810" t="str">
            <v>CTR_743</v>
          </cell>
          <cell r="B1810" t="str">
            <v>CAMUSAT</v>
          </cell>
          <cell r="C1810" t="str">
            <v>ESCO</v>
          </cell>
          <cell r="D1810" t="str">
            <v>Hybrid Solar - S1</v>
          </cell>
        </row>
        <row r="1811">
          <cell r="A1811" t="str">
            <v>CTR_745</v>
          </cell>
          <cell r="B1811" t="str">
            <v>CAMUSAT</v>
          </cell>
          <cell r="C1811" t="str">
            <v>ESCO</v>
          </cell>
          <cell r="D1811" t="str">
            <v>Good Grid no GE - 8h</v>
          </cell>
        </row>
        <row r="1812">
          <cell r="A1812" t="str">
            <v>CTR_748</v>
          </cell>
          <cell r="B1812" t="str">
            <v>CAMUSAT</v>
          </cell>
          <cell r="C1812" t="str">
            <v>ESCO</v>
          </cell>
          <cell r="D1812" t="str">
            <v>Good Grid + GE</v>
          </cell>
        </row>
        <row r="1813">
          <cell r="A1813" t="str">
            <v>CTR_749</v>
          </cell>
          <cell r="B1813" t="str">
            <v>CAMUSAT</v>
          </cell>
          <cell r="C1813" t="str">
            <v>ESCO</v>
          </cell>
          <cell r="D1813" t="str">
            <v>Hybrid Solar - S3</v>
          </cell>
        </row>
        <row r="1814">
          <cell r="A1814" t="str">
            <v>CTR_750</v>
          </cell>
          <cell r="B1814" t="str">
            <v>CAMUSAT</v>
          </cell>
          <cell r="C1814" t="str">
            <v>ESCO</v>
          </cell>
          <cell r="D1814" t="str">
            <v>Hybrid Solar - S1</v>
          </cell>
        </row>
        <row r="1815">
          <cell r="A1815" t="str">
            <v>CTR_755</v>
          </cell>
          <cell r="B1815" t="str">
            <v>CAMUSAT</v>
          </cell>
          <cell r="C1815" t="str">
            <v>ESCO</v>
          </cell>
          <cell r="D1815" t="str">
            <v>Good Grid + GE</v>
          </cell>
        </row>
        <row r="1816">
          <cell r="A1816" t="str">
            <v>CTR_758</v>
          </cell>
          <cell r="B1816" t="str">
            <v>CAMUSAT</v>
          </cell>
          <cell r="C1816" t="str">
            <v>ESCO</v>
          </cell>
          <cell r="D1816" t="str">
            <v>Good Grid no GE - 8h</v>
          </cell>
        </row>
        <row r="1817">
          <cell r="A1817" t="str">
            <v>CTR_759</v>
          </cell>
          <cell r="B1817" t="str">
            <v>CAMUSAT</v>
          </cell>
          <cell r="C1817" t="str">
            <v>ESCO</v>
          </cell>
          <cell r="D1817" t="str">
            <v>Good Grid no GE - 8h</v>
          </cell>
        </row>
        <row r="1818">
          <cell r="A1818" t="str">
            <v>CTR_761</v>
          </cell>
          <cell r="B1818" t="str">
            <v>CAMUSAT</v>
          </cell>
          <cell r="C1818" t="str">
            <v>ESCO</v>
          </cell>
          <cell r="D1818" t="str">
            <v>Good Grid + GE</v>
          </cell>
        </row>
        <row r="1819">
          <cell r="A1819" t="str">
            <v>CTR_762</v>
          </cell>
          <cell r="B1819" t="str">
            <v>CAMUSAT</v>
          </cell>
          <cell r="C1819" t="str">
            <v>ESCO</v>
          </cell>
          <cell r="D1819" t="str">
            <v>Good Grid + GE</v>
          </cell>
        </row>
        <row r="1820">
          <cell r="A1820" t="str">
            <v>CTR_763</v>
          </cell>
          <cell r="B1820" t="str">
            <v>CAMUSAT</v>
          </cell>
          <cell r="C1820" t="str">
            <v>ESCO</v>
          </cell>
          <cell r="D1820" t="str">
            <v>Good Grid + GE</v>
          </cell>
        </row>
        <row r="1821">
          <cell r="A1821" t="str">
            <v>CTR_766</v>
          </cell>
          <cell r="B1821" t="str">
            <v>CAMUSAT</v>
          </cell>
          <cell r="C1821" t="str">
            <v>ESCO</v>
          </cell>
          <cell r="D1821" t="str">
            <v>Good Grid no GE - 8h</v>
          </cell>
        </row>
        <row r="1822">
          <cell r="A1822" t="str">
            <v>CTR_767</v>
          </cell>
          <cell r="B1822" t="str">
            <v>CAMUSAT</v>
          </cell>
          <cell r="C1822" t="str">
            <v>ESCO</v>
          </cell>
          <cell r="D1822" t="str">
            <v>Good Grid no GE - 8h</v>
          </cell>
        </row>
        <row r="1823">
          <cell r="A1823" t="str">
            <v>CTR_769</v>
          </cell>
          <cell r="B1823" t="str">
            <v>CAMUSAT</v>
          </cell>
          <cell r="C1823" t="str">
            <v>ESCO</v>
          </cell>
          <cell r="D1823" t="str">
            <v>Good Grid + GE</v>
          </cell>
        </row>
        <row r="1824">
          <cell r="A1824" t="str">
            <v>CTR_770</v>
          </cell>
          <cell r="B1824" t="str">
            <v>CAMUSAT</v>
          </cell>
          <cell r="C1824" t="str">
            <v>ESCO</v>
          </cell>
          <cell r="D1824" t="str">
            <v>Hybrid Solar - S1</v>
          </cell>
        </row>
        <row r="1825">
          <cell r="A1825" t="str">
            <v>CTR_771</v>
          </cell>
          <cell r="B1825" t="str">
            <v>CAMUSAT</v>
          </cell>
          <cell r="C1825" t="str">
            <v>ESCO</v>
          </cell>
          <cell r="D1825" t="str">
            <v>Good Grid no GE - 8h</v>
          </cell>
        </row>
        <row r="1826">
          <cell r="A1826" t="str">
            <v>CTR_772</v>
          </cell>
          <cell r="B1826" t="str">
            <v>CAMUSAT</v>
          </cell>
          <cell r="C1826" t="str">
            <v>ESCO</v>
          </cell>
          <cell r="D1826" t="str">
            <v>Good Grid no GE - 8h</v>
          </cell>
        </row>
        <row r="1827">
          <cell r="A1827" t="str">
            <v>CTR_773</v>
          </cell>
          <cell r="B1827" t="str">
            <v>CAMUSAT</v>
          </cell>
          <cell r="C1827" t="str">
            <v>ESCO</v>
          </cell>
          <cell r="D1827" t="str">
            <v>Good Grid no GE - 8h</v>
          </cell>
        </row>
        <row r="1828">
          <cell r="A1828" t="str">
            <v>CTR_774</v>
          </cell>
          <cell r="B1828" t="str">
            <v>CAMUSAT</v>
          </cell>
          <cell r="C1828" t="str">
            <v>ESCO</v>
          </cell>
          <cell r="D1828" t="str">
            <v>Hybrid Solar - S3</v>
          </cell>
        </row>
        <row r="1829">
          <cell r="A1829" t="str">
            <v>CTR_776</v>
          </cell>
          <cell r="B1829" t="str">
            <v>CAMUSAT</v>
          </cell>
          <cell r="C1829" t="str">
            <v>ESCO</v>
          </cell>
          <cell r="D1829" t="str">
            <v>Good Grid no GE - 8h</v>
          </cell>
        </row>
        <row r="1830">
          <cell r="A1830" t="str">
            <v>CTR_777</v>
          </cell>
          <cell r="B1830" t="str">
            <v>CAMUSAT</v>
          </cell>
          <cell r="C1830" t="str">
            <v>ESCO</v>
          </cell>
          <cell r="D1830" t="str">
            <v>Good Grid + GE</v>
          </cell>
        </row>
        <row r="1831">
          <cell r="A1831" t="str">
            <v>CTR_780</v>
          </cell>
          <cell r="B1831" t="str">
            <v>CAMUSAT</v>
          </cell>
          <cell r="C1831" t="str">
            <v>ESCO</v>
          </cell>
          <cell r="D1831" t="str">
            <v>HGB</v>
          </cell>
        </row>
        <row r="1832">
          <cell r="A1832" t="str">
            <v>CTR_791</v>
          </cell>
          <cell r="B1832" t="str">
            <v>CAMUSAT</v>
          </cell>
          <cell r="C1832" t="str">
            <v>ESCO</v>
          </cell>
          <cell r="D1832" t="str">
            <v>Good Grid + GE</v>
          </cell>
        </row>
        <row r="1833">
          <cell r="A1833" t="str">
            <v>CTR_794</v>
          </cell>
          <cell r="B1833" t="str">
            <v>CAMUSAT</v>
          </cell>
          <cell r="C1833" t="str">
            <v>ESCO</v>
          </cell>
          <cell r="D1833" t="str">
            <v>Good Grid no GE - 8h</v>
          </cell>
        </row>
        <row r="1834">
          <cell r="A1834" t="str">
            <v>CTR_821</v>
          </cell>
          <cell r="B1834" t="str">
            <v>CAMUSAT</v>
          </cell>
          <cell r="C1834" t="str">
            <v>ESCO</v>
          </cell>
          <cell r="D1834" t="str">
            <v>Good Grid no GE - 8h</v>
          </cell>
        </row>
        <row r="1835">
          <cell r="A1835" t="str">
            <v>CTR_824</v>
          </cell>
          <cell r="B1835" t="str">
            <v>CAMUSAT</v>
          </cell>
          <cell r="C1835" t="str">
            <v>ESCO</v>
          </cell>
          <cell r="D1835" t="str">
            <v>Good Grid no GE - 8h</v>
          </cell>
        </row>
        <row r="1836">
          <cell r="A1836" t="str">
            <v>CTR_825</v>
          </cell>
          <cell r="B1836" t="str">
            <v>CAMUSAT</v>
          </cell>
          <cell r="C1836" t="str">
            <v>ESCO</v>
          </cell>
          <cell r="D1836" t="str">
            <v>Hybrid Solar - S3</v>
          </cell>
        </row>
        <row r="1837">
          <cell r="A1837" t="str">
            <v>CTR_826</v>
          </cell>
          <cell r="B1837" t="str">
            <v>CAMUSAT</v>
          </cell>
          <cell r="C1837" t="str">
            <v>ESCO</v>
          </cell>
          <cell r="D1837" t="str">
            <v>HGB</v>
          </cell>
        </row>
        <row r="1838">
          <cell r="A1838" t="str">
            <v>CTR_831</v>
          </cell>
          <cell r="B1838" t="str">
            <v>CAMUSAT</v>
          </cell>
          <cell r="C1838" t="str">
            <v>ESCO</v>
          </cell>
          <cell r="D1838" t="str">
            <v>Good Grid no GE - 8h</v>
          </cell>
        </row>
        <row r="1839">
          <cell r="A1839" t="str">
            <v>CTR_833</v>
          </cell>
          <cell r="B1839" t="str">
            <v>CAMUSAT</v>
          </cell>
          <cell r="C1839" t="str">
            <v>ESCO</v>
          </cell>
          <cell r="D1839" t="str">
            <v>Good Grid + GE</v>
          </cell>
        </row>
        <row r="1840">
          <cell r="A1840" t="str">
            <v>CTR_838</v>
          </cell>
          <cell r="B1840" t="str">
            <v>CAMUSAT</v>
          </cell>
          <cell r="C1840" t="str">
            <v>ESCO</v>
          </cell>
          <cell r="D1840" t="str">
            <v>Medium Grid + GE</v>
          </cell>
        </row>
        <row r="1841">
          <cell r="A1841" t="str">
            <v>CTR_839</v>
          </cell>
          <cell r="B1841" t="str">
            <v>CAMUSAT</v>
          </cell>
          <cell r="C1841" t="str">
            <v>ESCO</v>
          </cell>
          <cell r="D1841" t="str">
            <v>Good Grid + GE</v>
          </cell>
        </row>
        <row r="1842">
          <cell r="A1842" t="str">
            <v>CTR_841</v>
          </cell>
          <cell r="B1842" t="str">
            <v>CAMUSAT</v>
          </cell>
          <cell r="C1842" t="str">
            <v>ESCO</v>
          </cell>
          <cell r="D1842" t="str">
            <v>Good Grid no GE - 8h</v>
          </cell>
        </row>
        <row r="1843">
          <cell r="A1843" t="str">
            <v>CTR_849</v>
          </cell>
          <cell r="B1843" t="str">
            <v>CAMUSAT</v>
          </cell>
          <cell r="C1843" t="str">
            <v>ESCO</v>
          </cell>
          <cell r="D1843" t="str">
            <v>Good Grid no GE - 8h</v>
          </cell>
        </row>
        <row r="1844">
          <cell r="A1844" t="str">
            <v>CTR_850</v>
          </cell>
          <cell r="B1844" t="str">
            <v>CAMUSAT</v>
          </cell>
          <cell r="C1844" t="str">
            <v>ESCO</v>
          </cell>
          <cell r="D1844" t="str">
            <v>Good Grid no GE - 8h</v>
          </cell>
        </row>
        <row r="1845">
          <cell r="A1845" t="str">
            <v>CTR_853</v>
          </cell>
          <cell r="B1845" t="str">
            <v>CAMUSAT</v>
          </cell>
          <cell r="C1845" t="str">
            <v>ESCO</v>
          </cell>
          <cell r="D1845" t="str">
            <v>Medium Grid + GE</v>
          </cell>
        </row>
        <row r="1846">
          <cell r="A1846" t="str">
            <v>CTR_868</v>
          </cell>
          <cell r="B1846" t="str">
            <v>CAMUSAT</v>
          </cell>
          <cell r="C1846" t="str">
            <v>ESCO</v>
          </cell>
          <cell r="D1846" t="str">
            <v>Good Grid no GE - 8h</v>
          </cell>
        </row>
        <row r="1847">
          <cell r="A1847" t="str">
            <v>EST_004</v>
          </cell>
          <cell r="B1847" t="str">
            <v>CAMUSAT</v>
          </cell>
          <cell r="C1847" t="str">
            <v>ESCO</v>
          </cell>
          <cell r="D1847" t="str">
            <v>Good Grid + GE</v>
          </cell>
        </row>
        <row r="1848">
          <cell r="A1848" t="str">
            <v>EST_005</v>
          </cell>
          <cell r="B1848" t="str">
            <v>CAMUSAT</v>
          </cell>
          <cell r="C1848" t="str">
            <v>ESCO</v>
          </cell>
          <cell r="D1848" t="str">
            <v>Bad Grid + Solar + GE</v>
          </cell>
        </row>
        <row r="1849">
          <cell r="A1849" t="str">
            <v>EST_009</v>
          </cell>
          <cell r="B1849" t="str">
            <v>CAMUSAT</v>
          </cell>
          <cell r="C1849" t="str">
            <v>ESCO</v>
          </cell>
          <cell r="D1849" t="str">
            <v>Bad Grid + Solar + GE</v>
          </cell>
        </row>
        <row r="1850">
          <cell r="A1850" t="str">
            <v>EST_013</v>
          </cell>
          <cell r="B1850" t="str">
            <v>CAMUSAT</v>
          </cell>
          <cell r="C1850" t="str">
            <v>ESCO</v>
          </cell>
          <cell r="D1850" t="str">
            <v>Good Grid + Solar + GE</v>
          </cell>
        </row>
        <row r="1851">
          <cell r="A1851" t="str">
            <v>EST_120</v>
          </cell>
          <cell r="B1851" t="str">
            <v>CAMUSAT</v>
          </cell>
          <cell r="C1851" t="str">
            <v>ESCO</v>
          </cell>
          <cell r="D1851" t="str">
            <v>Medium Grid + GE</v>
          </cell>
        </row>
        <row r="1852">
          <cell r="A1852" t="str">
            <v>EST_123</v>
          </cell>
          <cell r="B1852" t="str">
            <v>CAMUSAT</v>
          </cell>
          <cell r="C1852" t="str">
            <v>ESCO</v>
          </cell>
          <cell r="D1852" t="str">
            <v>Hybrid Solar - S2</v>
          </cell>
        </row>
        <row r="1853">
          <cell r="A1853" t="str">
            <v>EST_124</v>
          </cell>
          <cell r="B1853" t="str">
            <v>CAMUSAT</v>
          </cell>
          <cell r="C1853" t="str">
            <v>ESCO</v>
          </cell>
          <cell r="D1853" t="str">
            <v>Good Grid + GE</v>
          </cell>
        </row>
        <row r="1854">
          <cell r="A1854" t="str">
            <v>EST_131</v>
          </cell>
          <cell r="B1854" t="str">
            <v>CAMUSAT</v>
          </cell>
          <cell r="C1854" t="str">
            <v>ESCO</v>
          </cell>
          <cell r="D1854" t="str">
            <v>Bad Grid + GE</v>
          </cell>
        </row>
        <row r="1855">
          <cell r="A1855" t="str">
            <v>EST_133</v>
          </cell>
          <cell r="B1855" t="str">
            <v>CAMUSAT</v>
          </cell>
          <cell r="C1855" t="str">
            <v>ESCO</v>
          </cell>
          <cell r="D1855" t="str">
            <v>HGB</v>
          </cell>
        </row>
        <row r="1856">
          <cell r="A1856" t="str">
            <v>EST_134</v>
          </cell>
          <cell r="B1856" t="str">
            <v>CAMUSAT</v>
          </cell>
          <cell r="C1856" t="str">
            <v>ESCO</v>
          </cell>
          <cell r="D1856" t="str">
            <v>Hybrid Solar - S3</v>
          </cell>
        </row>
        <row r="1857">
          <cell r="A1857" t="str">
            <v>EST_139</v>
          </cell>
          <cell r="B1857" t="str">
            <v>CAMUSAT</v>
          </cell>
          <cell r="C1857" t="str">
            <v>ESCO</v>
          </cell>
          <cell r="D1857" t="str">
            <v>Hybrid Solar - S3</v>
          </cell>
        </row>
        <row r="1858">
          <cell r="A1858" t="str">
            <v>EST_143</v>
          </cell>
          <cell r="B1858" t="str">
            <v>CAMUSAT</v>
          </cell>
          <cell r="C1858" t="str">
            <v>ESCO</v>
          </cell>
          <cell r="D1858" t="str">
            <v>Good Grid + GE</v>
          </cell>
        </row>
        <row r="1859">
          <cell r="A1859" t="str">
            <v>EST_144</v>
          </cell>
          <cell r="B1859" t="str">
            <v>CAMUSAT</v>
          </cell>
          <cell r="C1859" t="str">
            <v>ESCO</v>
          </cell>
          <cell r="D1859" t="str">
            <v>Hybrid Solar - S3</v>
          </cell>
        </row>
        <row r="1860">
          <cell r="A1860" t="str">
            <v>EXN_004</v>
          </cell>
          <cell r="B1860" t="str">
            <v>CAMUSAT</v>
          </cell>
          <cell r="C1860" t="str">
            <v>ESCO</v>
          </cell>
          <cell r="D1860" t="str">
            <v>Bad Grid + Solar + GE</v>
          </cell>
        </row>
        <row r="1861">
          <cell r="A1861" t="str">
            <v>EXN_005</v>
          </cell>
          <cell r="B1861" t="str">
            <v>CAMUSAT</v>
          </cell>
          <cell r="C1861" t="str">
            <v>ESCO</v>
          </cell>
          <cell r="D1861" t="str">
            <v>Bad Grid + Solar + GE</v>
          </cell>
        </row>
        <row r="1862">
          <cell r="A1862" t="str">
            <v>EXN_044</v>
          </cell>
          <cell r="B1862" t="str">
            <v>CAMUSAT</v>
          </cell>
          <cell r="C1862" t="str">
            <v>ESCO</v>
          </cell>
          <cell r="D1862" t="str">
            <v>Bad Grid + GE</v>
          </cell>
        </row>
        <row r="1863">
          <cell r="A1863" t="str">
            <v>EXN_191</v>
          </cell>
          <cell r="B1863" t="str">
            <v>CAMUSAT</v>
          </cell>
          <cell r="C1863" t="str">
            <v>ESCO</v>
          </cell>
          <cell r="D1863" t="str">
            <v>Bad Grid + GE</v>
          </cell>
        </row>
        <row r="1864">
          <cell r="A1864" t="str">
            <v>EXN_192</v>
          </cell>
          <cell r="B1864" t="str">
            <v>CAMUSAT</v>
          </cell>
          <cell r="C1864" t="str">
            <v>ESCO</v>
          </cell>
          <cell r="D1864" t="str">
            <v>Medium Grid + GE</v>
          </cell>
        </row>
        <row r="1865">
          <cell r="A1865" t="str">
            <v>EXN_194</v>
          </cell>
          <cell r="B1865" t="str">
            <v>CAMUSAT</v>
          </cell>
          <cell r="C1865" t="str">
            <v>ESCO</v>
          </cell>
          <cell r="D1865" t="str">
            <v>Bad Grid + GE</v>
          </cell>
        </row>
        <row r="1866">
          <cell r="A1866" t="str">
            <v>EXN_196</v>
          </cell>
          <cell r="B1866" t="str">
            <v>CAMUSAT</v>
          </cell>
          <cell r="C1866" t="str">
            <v>ESCO</v>
          </cell>
          <cell r="D1866" t="str">
            <v>Good Grid + GE</v>
          </cell>
        </row>
        <row r="1867">
          <cell r="A1867" t="str">
            <v>EXN_197</v>
          </cell>
          <cell r="B1867" t="str">
            <v>CAMUSAT</v>
          </cell>
          <cell r="C1867" t="str">
            <v>ESCO</v>
          </cell>
          <cell r="D1867" t="str">
            <v>Medium Grid + GE</v>
          </cell>
        </row>
        <row r="1868">
          <cell r="A1868" t="str">
            <v>EXN_202</v>
          </cell>
          <cell r="B1868" t="str">
            <v>CAMUSAT</v>
          </cell>
          <cell r="C1868" t="str">
            <v>ESCO</v>
          </cell>
          <cell r="D1868" t="str">
            <v>Hybrid Solar - S3</v>
          </cell>
        </row>
        <row r="1869">
          <cell r="A1869" t="str">
            <v>EXN_204</v>
          </cell>
          <cell r="B1869" t="str">
            <v>CAMUSAT</v>
          </cell>
          <cell r="C1869" t="str">
            <v>ESCO</v>
          </cell>
          <cell r="D1869" t="str">
            <v>Bad Grid + GE</v>
          </cell>
        </row>
        <row r="1870">
          <cell r="A1870" t="str">
            <v>EXN_205</v>
          </cell>
          <cell r="B1870" t="str">
            <v>CAMUSAT</v>
          </cell>
          <cell r="C1870" t="str">
            <v>ESCO</v>
          </cell>
          <cell r="D1870" t="str">
            <v>Hybrid Solar - S3</v>
          </cell>
        </row>
        <row r="1871">
          <cell r="A1871" t="str">
            <v>EXN_209</v>
          </cell>
          <cell r="B1871" t="str">
            <v>CAMUSAT</v>
          </cell>
          <cell r="C1871" t="str">
            <v>ESCO</v>
          </cell>
          <cell r="D1871" t="str">
            <v>Hybrid Solar - S3</v>
          </cell>
        </row>
        <row r="1872">
          <cell r="A1872" t="str">
            <v>EXN_212</v>
          </cell>
          <cell r="B1872" t="str">
            <v>CAMUSAT</v>
          </cell>
          <cell r="C1872" t="str">
            <v>ESCO</v>
          </cell>
          <cell r="D1872" t="str">
            <v>Bad Grid + GE</v>
          </cell>
        </row>
        <row r="1873">
          <cell r="A1873" t="str">
            <v>EXN_215</v>
          </cell>
          <cell r="B1873" t="str">
            <v>CAMUSAT</v>
          </cell>
          <cell r="C1873" t="str">
            <v>ESCO</v>
          </cell>
          <cell r="D1873" t="str">
            <v>Hybrid Solar - S3</v>
          </cell>
        </row>
        <row r="1874">
          <cell r="A1874" t="str">
            <v>EXN_217</v>
          </cell>
          <cell r="B1874" t="str">
            <v>CAMUSAT</v>
          </cell>
          <cell r="C1874" t="str">
            <v>ESCO</v>
          </cell>
          <cell r="D1874" t="str">
            <v>Medium Grid + GE</v>
          </cell>
        </row>
        <row r="1875">
          <cell r="A1875" t="str">
            <v>EXN_229</v>
          </cell>
          <cell r="B1875" t="str">
            <v>CAMUSAT</v>
          </cell>
          <cell r="C1875" t="str">
            <v>ESCO</v>
          </cell>
          <cell r="D1875" t="str">
            <v>Hybrid Solar - S3</v>
          </cell>
        </row>
        <row r="1876">
          <cell r="A1876" t="str">
            <v>EXN_230</v>
          </cell>
          <cell r="B1876" t="str">
            <v>CAMUSAT</v>
          </cell>
          <cell r="C1876" t="str">
            <v>ESCO</v>
          </cell>
          <cell r="D1876" t="str">
            <v>Hybrid Solar - S3</v>
          </cell>
        </row>
        <row r="1877">
          <cell r="A1877" t="str">
            <v>EXN_231</v>
          </cell>
          <cell r="B1877" t="str">
            <v>CAMUSAT</v>
          </cell>
          <cell r="C1877" t="str">
            <v>ESCO</v>
          </cell>
          <cell r="D1877" t="str">
            <v>Hybrid Solar - S3</v>
          </cell>
        </row>
        <row r="1878">
          <cell r="A1878" t="str">
            <v>EXN_232</v>
          </cell>
          <cell r="B1878" t="str">
            <v>CAMUSAT</v>
          </cell>
          <cell r="C1878" t="str">
            <v>ESCO</v>
          </cell>
          <cell r="D1878" t="str">
            <v>Hybrid Solar - S3</v>
          </cell>
        </row>
        <row r="1879">
          <cell r="A1879" t="str">
            <v>EXN_233</v>
          </cell>
          <cell r="B1879" t="str">
            <v>CAMUSAT</v>
          </cell>
          <cell r="C1879" t="str">
            <v>ESCO</v>
          </cell>
          <cell r="D1879" t="str">
            <v>Bad Grid + GE</v>
          </cell>
        </row>
        <row r="1880">
          <cell r="A1880" t="str">
            <v>EXN_234</v>
          </cell>
          <cell r="B1880" t="str">
            <v>CAMUSAT</v>
          </cell>
          <cell r="C1880" t="str">
            <v>ESCO</v>
          </cell>
          <cell r="D1880" t="str">
            <v>Medium Grid + GE</v>
          </cell>
        </row>
        <row r="1881">
          <cell r="A1881" t="str">
            <v>EXN_235</v>
          </cell>
          <cell r="B1881" t="str">
            <v>CAMUSAT</v>
          </cell>
          <cell r="C1881" t="str">
            <v>ESCO</v>
          </cell>
          <cell r="D1881" t="str">
            <v>Bad Grid + GE</v>
          </cell>
        </row>
        <row r="1882">
          <cell r="A1882" t="str">
            <v>EXN_236</v>
          </cell>
          <cell r="B1882" t="str">
            <v>CAMUSAT</v>
          </cell>
          <cell r="C1882" t="str">
            <v>ESCO</v>
          </cell>
          <cell r="D1882" t="str">
            <v>Bad Grid + GE</v>
          </cell>
        </row>
        <row r="1883">
          <cell r="A1883" t="str">
            <v>EXN_237</v>
          </cell>
          <cell r="B1883" t="str">
            <v>CAMUSAT</v>
          </cell>
          <cell r="C1883" t="str">
            <v>ESCO</v>
          </cell>
          <cell r="D1883" t="str">
            <v>Medium Grid + GE</v>
          </cell>
        </row>
        <row r="1884">
          <cell r="A1884" t="str">
            <v>EXN_238</v>
          </cell>
          <cell r="B1884" t="str">
            <v>CAMUSAT</v>
          </cell>
          <cell r="C1884" t="str">
            <v>ESCO</v>
          </cell>
          <cell r="D1884" t="str">
            <v>Bad Grid + Solar + GE</v>
          </cell>
        </row>
        <row r="1885">
          <cell r="A1885" t="str">
            <v>EXN_239</v>
          </cell>
          <cell r="B1885" t="str">
            <v>CAMUSAT</v>
          </cell>
          <cell r="C1885" t="str">
            <v>ESCO</v>
          </cell>
          <cell r="D1885" t="str">
            <v>Hybrid Solar - S3</v>
          </cell>
        </row>
        <row r="1886">
          <cell r="A1886" t="str">
            <v>EXN_242</v>
          </cell>
          <cell r="B1886" t="str">
            <v>CAMUSAT</v>
          </cell>
          <cell r="C1886" t="str">
            <v>ESCO</v>
          </cell>
          <cell r="D1886" t="str">
            <v>Hybrid Solar - S3</v>
          </cell>
        </row>
        <row r="1887">
          <cell r="A1887" t="str">
            <v>EXN_243</v>
          </cell>
          <cell r="B1887" t="str">
            <v>CAMUSAT</v>
          </cell>
          <cell r="C1887" t="str">
            <v>ESCO</v>
          </cell>
          <cell r="D1887" t="str">
            <v>Bad Grid + GE</v>
          </cell>
        </row>
        <row r="1888">
          <cell r="A1888" t="str">
            <v>EXN_244</v>
          </cell>
          <cell r="B1888" t="str">
            <v>CAMUSAT</v>
          </cell>
          <cell r="C1888" t="str">
            <v>ESCO</v>
          </cell>
          <cell r="D1888" t="str">
            <v>Bad Grid + GE</v>
          </cell>
        </row>
        <row r="1889">
          <cell r="A1889" t="str">
            <v>EXN_245</v>
          </cell>
          <cell r="B1889" t="str">
            <v>CAMUSAT</v>
          </cell>
          <cell r="C1889" t="str">
            <v>ESCO</v>
          </cell>
          <cell r="D1889" t="str">
            <v>HGB</v>
          </cell>
        </row>
        <row r="1890">
          <cell r="A1890" t="str">
            <v>EXN_247</v>
          </cell>
          <cell r="B1890" t="str">
            <v>CAMUSAT</v>
          </cell>
          <cell r="C1890" t="str">
            <v>ESCO</v>
          </cell>
          <cell r="D1890" t="str">
            <v>Medium Grid + GE</v>
          </cell>
        </row>
        <row r="1891">
          <cell r="A1891" t="str">
            <v>EXN_249</v>
          </cell>
          <cell r="B1891" t="str">
            <v>CAMUSAT</v>
          </cell>
          <cell r="C1891" t="str">
            <v>ESCO</v>
          </cell>
          <cell r="D1891" t="str">
            <v>Medium Grid + GE</v>
          </cell>
        </row>
        <row r="1892">
          <cell r="A1892" t="str">
            <v>EXN_250</v>
          </cell>
          <cell r="B1892" t="str">
            <v>CAMUSAT</v>
          </cell>
          <cell r="C1892" t="str">
            <v>ESCO</v>
          </cell>
          <cell r="D1892" t="str">
            <v>Bad Grid + GE</v>
          </cell>
        </row>
        <row r="1893">
          <cell r="A1893" t="str">
            <v>LIT_114</v>
          </cell>
          <cell r="B1893" t="str">
            <v>CAMUSAT</v>
          </cell>
          <cell r="C1893" t="str">
            <v>ESCO</v>
          </cell>
          <cell r="D1893" t="str">
            <v>Good Grid + Solar + GE</v>
          </cell>
        </row>
        <row r="1894">
          <cell r="A1894" t="str">
            <v>LIT_116</v>
          </cell>
          <cell r="B1894" t="str">
            <v>CAMUSAT</v>
          </cell>
          <cell r="C1894" t="str">
            <v>ESCO</v>
          </cell>
          <cell r="D1894" t="str">
            <v>Good Grid + GE</v>
          </cell>
        </row>
        <row r="1895">
          <cell r="A1895" t="str">
            <v>LIT_134</v>
          </cell>
          <cell r="B1895" t="str">
            <v>CAMUSAT</v>
          </cell>
          <cell r="C1895" t="str">
            <v>ESCO</v>
          </cell>
          <cell r="D1895" t="str">
            <v>HGB</v>
          </cell>
        </row>
        <row r="1896">
          <cell r="A1896" t="str">
            <v>LIT_385</v>
          </cell>
          <cell r="B1896" t="str">
            <v>CAMUSAT</v>
          </cell>
          <cell r="C1896" t="str">
            <v>ESCO</v>
          </cell>
          <cell r="D1896" t="str">
            <v>Hybrid Solar - S3</v>
          </cell>
        </row>
        <row r="1897">
          <cell r="A1897" t="str">
            <v>LIT_389</v>
          </cell>
          <cell r="B1897" t="str">
            <v>CAMUSAT</v>
          </cell>
          <cell r="C1897" t="str">
            <v>ESCO</v>
          </cell>
          <cell r="D1897" t="str">
            <v>Pure Solar</v>
          </cell>
        </row>
        <row r="1898">
          <cell r="A1898" t="str">
            <v>LIT_402</v>
          </cell>
          <cell r="B1898" t="str">
            <v>CAMUSAT</v>
          </cell>
          <cell r="C1898" t="str">
            <v>ESCO</v>
          </cell>
          <cell r="D1898" t="str">
            <v>Hybrid Solar - S3</v>
          </cell>
        </row>
        <row r="1899">
          <cell r="A1899" t="str">
            <v>LIT_539</v>
          </cell>
          <cell r="B1899" t="str">
            <v>CAMUSAT</v>
          </cell>
          <cell r="C1899" t="str">
            <v>ESCO</v>
          </cell>
          <cell r="D1899" t="str">
            <v>Good Grid no GE - 12h</v>
          </cell>
        </row>
        <row r="1900">
          <cell r="A1900" t="str">
            <v>LIT_547</v>
          </cell>
          <cell r="B1900" t="str">
            <v>CAMUSAT</v>
          </cell>
          <cell r="C1900" t="str">
            <v>ESCO</v>
          </cell>
          <cell r="D1900" t="str">
            <v>Good Grid no GE - 8h</v>
          </cell>
        </row>
        <row r="1901">
          <cell r="A1901" t="str">
            <v>LIT_548</v>
          </cell>
          <cell r="B1901" t="str">
            <v>CAMUSAT</v>
          </cell>
          <cell r="C1901" t="str">
            <v>ESCO</v>
          </cell>
          <cell r="D1901" t="str">
            <v>Good Grid no GE - 8h</v>
          </cell>
        </row>
        <row r="1902">
          <cell r="A1902" t="str">
            <v>LIT_554</v>
          </cell>
          <cell r="B1902" t="str">
            <v>CAMUSAT</v>
          </cell>
          <cell r="C1902" t="str">
            <v>ESCO</v>
          </cell>
          <cell r="D1902" t="str">
            <v>Good Grid no GE - 12h</v>
          </cell>
        </row>
        <row r="1903">
          <cell r="A1903" t="str">
            <v>LIT_564</v>
          </cell>
          <cell r="B1903" t="str">
            <v>CAMUSAT</v>
          </cell>
          <cell r="C1903" t="str">
            <v>ESCO</v>
          </cell>
          <cell r="D1903" t="str">
            <v>Medium Grid + GE</v>
          </cell>
        </row>
        <row r="1904">
          <cell r="A1904" t="str">
            <v>LIT_568</v>
          </cell>
          <cell r="B1904" t="str">
            <v>CAMUSAT</v>
          </cell>
          <cell r="C1904" t="str">
            <v>ESCO</v>
          </cell>
          <cell r="D1904" t="str">
            <v>Good Grid + GE</v>
          </cell>
        </row>
        <row r="1905">
          <cell r="A1905" t="str">
            <v>LIT_582</v>
          </cell>
          <cell r="B1905" t="str">
            <v>CAMUSAT</v>
          </cell>
          <cell r="C1905" t="str">
            <v>ESCO</v>
          </cell>
          <cell r="D1905" t="str">
            <v>Good Grid + GE</v>
          </cell>
        </row>
        <row r="1906">
          <cell r="A1906" t="str">
            <v>LIT_583</v>
          </cell>
          <cell r="B1906" t="str">
            <v>CAMUSAT</v>
          </cell>
          <cell r="C1906" t="str">
            <v>ESCO</v>
          </cell>
          <cell r="D1906" t="str">
            <v>Good Grid + GE</v>
          </cell>
        </row>
        <row r="1907">
          <cell r="A1907" t="str">
            <v>LIT_584</v>
          </cell>
          <cell r="B1907" t="str">
            <v>CAMUSAT</v>
          </cell>
          <cell r="C1907" t="str">
            <v>ESCO</v>
          </cell>
          <cell r="D1907" t="str">
            <v>HGB</v>
          </cell>
        </row>
        <row r="1908">
          <cell r="A1908" t="str">
            <v>LIT_585</v>
          </cell>
          <cell r="B1908" t="str">
            <v>CAMUSAT</v>
          </cell>
          <cell r="C1908" t="str">
            <v>ESCO</v>
          </cell>
          <cell r="D1908" t="str">
            <v>Medium Grid + GE</v>
          </cell>
        </row>
        <row r="1909">
          <cell r="A1909" t="str">
            <v>LIT_586</v>
          </cell>
          <cell r="B1909" t="str">
            <v>CAMUSAT</v>
          </cell>
          <cell r="C1909" t="str">
            <v>ESCO</v>
          </cell>
          <cell r="D1909" t="str">
            <v>Hybrid Solar - S3</v>
          </cell>
        </row>
        <row r="1910">
          <cell r="A1910" t="str">
            <v>LIT_590</v>
          </cell>
          <cell r="B1910" t="str">
            <v>CAMUSAT</v>
          </cell>
          <cell r="C1910" t="str">
            <v>ESCO</v>
          </cell>
          <cell r="D1910" t="str">
            <v>Good Grid no GE - 8h</v>
          </cell>
        </row>
        <row r="1911">
          <cell r="A1911" t="str">
            <v>LIT_591</v>
          </cell>
          <cell r="B1911" t="str">
            <v>CAMUSAT</v>
          </cell>
          <cell r="C1911" t="str">
            <v>ESCO</v>
          </cell>
          <cell r="D1911" t="str">
            <v>Good Grid + GE</v>
          </cell>
        </row>
        <row r="1912">
          <cell r="A1912" t="str">
            <v>LIT_592</v>
          </cell>
          <cell r="B1912" t="str">
            <v>CAMUSAT</v>
          </cell>
          <cell r="C1912" t="str">
            <v>ESCO</v>
          </cell>
          <cell r="D1912" t="str">
            <v>Good Grid no GE - 8h</v>
          </cell>
        </row>
        <row r="1913">
          <cell r="A1913" t="str">
            <v>LIT_593</v>
          </cell>
          <cell r="B1913" t="str">
            <v>CAMUSAT</v>
          </cell>
          <cell r="C1913" t="str">
            <v>ESCO</v>
          </cell>
          <cell r="D1913" t="str">
            <v>Medium Grid + GE</v>
          </cell>
        </row>
        <row r="1914">
          <cell r="A1914" t="str">
            <v>LIT_594</v>
          </cell>
          <cell r="B1914" t="str">
            <v>CAMUSAT</v>
          </cell>
          <cell r="C1914" t="str">
            <v>ESCO</v>
          </cell>
          <cell r="D1914" t="str">
            <v>Good Grid + GE</v>
          </cell>
        </row>
        <row r="1915">
          <cell r="A1915" t="str">
            <v>LIT_596</v>
          </cell>
          <cell r="B1915" t="str">
            <v>CAMUSAT</v>
          </cell>
          <cell r="C1915" t="str">
            <v>ESCO</v>
          </cell>
          <cell r="D1915" t="str">
            <v>Good Grid no GE - 8h</v>
          </cell>
        </row>
        <row r="1916">
          <cell r="A1916" t="str">
            <v>LIT_609</v>
          </cell>
          <cell r="B1916" t="str">
            <v>CAMUSAT</v>
          </cell>
          <cell r="C1916" t="str">
            <v>ESCO</v>
          </cell>
          <cell r="D1916" t="str">
            <v>Good Grid no GE - 8h</v>
          </cell>
        </row>
        <row r="1917">
          <cell r="A1917" t="str">
            <v>LIT_610</v>
          </cell>
          <cell r="B1917" t="str">
            <v>CAMUSAT</v>
          </cell>
          <cell r="C1917" t="str">
            <v>ESCO</v>
          </cell>
          <cell r="D1917" t="str">
            <v>Good Grid + GE</v>
          </cell>
        </row>
        <row r="1918">
          <cell r="A1918" t="str">
            <v>LIT_611</v>
          </cell>
          <cell r="B1918" t="str">
            <v>CAMUSAT</v>
          </cell>
          <cell r="C1918" t="str">
            <v>ESCO</v>
          </cell>
          <cell r="D1918" t="str">
            <v>Good Grid no GE - 8h</v>
          </cell>
        </row>
        <row r="1919">
          <cell r="A1919" t="str">
            <v>LIT_612</v>
          </cell>
          <cell r="B1919" t="str">
            <v>CAMUSAT</v>
          </cell>
          <cell r="C1919" t="str">
            <v>ESCO</v>
          </cell>
          <cell r="D1919" t="str">
            <v>Good Grid no GE - 8h</v>
          </cell>
        </row>
        <row r="1920">
          <cell r="A1920" t="str">
            <v>LIT_613</v>
          </cell>
          <cell r="B1920" t="str">
            <v>CAMUSAT</v>
          </cell>
          <cell r="C1920" t="str">
            <v>ESCO</v>
          </cell>
          <cell r="D1920" t="str">
            <v>Good Grid no GE - 8h</v>
          </cell>
        </row>
        <row r="1921">
          <cell r="A1921" t="str">
            <v>LIT_615</v>
          </cell>
          <cell r="B1921" t="str">
            <v>CAMUSAT</v>
          </cell>
          <cell r="C1921" t="str">
            <v>ESCO</v>
          </cell>
          <cell r="D1921" t="str">
            <v>Good Grid no GE - 8h</v>
          </cell>
        </row>
        <row r="1922">
          <cell r="A1922" t="str">
            <v>LIT_616</v>
          </cell>
          <cell r="B1922" t="str">
            <v>CAMUSAT</v>
          </cell>
          <cell r="C1922" t="str">
            <v>ESCO</v>
          </cell>
          <cell r="D1922" t="str">
            <v>Good Grid no GE - 8h</v>
          </cell>
        </row>
        <row r="1923">
          <cell r="A1923" t="str">
            <v>LIT_617</v>
          </cell>
          <cell r="B1923" t="str">
            <v>CAMUSAT</v>
          </cell>
          <cell r="C1923" t="str">
            <v>ESCO</v>
          </cell>
          <cell r="D1923" t="str">
            <v>HGB</v>
          </cell>
        </row>
        <row r="1924">
          <cell r="A1924" t="str">
            <v>LIT_618</v>
          </cell>
          <cell r="B1924" t="str">
            <v>CAMUSAT</v>
          </cell>
          <cell r="C1924" t="str">
            <v>ESCO</v>
          </cell>
          <cell r="D1924" t="str">
            <v>Good Grid no GE - 8h</v>
          </cell>
        </row>
        <row r="1925">
          <cell r="A1925" t="str">
            <v>LIT_619</v>
          </cell>
          <cell r="B1925" t="str">
            <v>CAMUSAT</v>
          </cell>
          <cell r="C1925" t="str">
            <v>ESCO</v>
          </cell>
          <cell r="D1925" t="str">
            <v>Good Grid no GE - 12h</v>
          </cell>
        </row>
        <row r="1926">
          <cell r="A1926" t="str">
            <v>LIT_620</v>
          </cell>
          <cell r="B1926" t="str">
            <v>CAMUSAT</v>
          </cell>
          <cell r="C1926" t="str">
            <v>ESCO</v>
          </cell>
          <cell r="D1926" t="str">
            <v>Medium Grid + GE</v>
          </cell>
        </row>
        <row r="1927">
          <cell r="A1927" t="str">
            <v>LIT_626</v>
          </cell>
          <cell r="B1927" t="str">
            <v>CAMUSAT</v>
          </cell>
          <cell r="C1927" t="str">
            <v>ESCO</v>
          </cell>
          <cell r="D1927" t="str">
            <v>Good Grid no GE - 8h</v>
          </cell>
        </row>
        <row r="1928">
          <cell r="A1928" t="str">
            <v>LIT_628</v>
          </cell>
          <cell r="B1928" t="str">
            <v>CAMUSAT</v>
          </cell>
          <cell r="C1928" t="str">
            <v>ESCO</v>
          </cell>
          <cell r="D1928" t="str">
            <v>Good Grid no GE - 8h</v>
          </cell>
        </row>
        <row r="1929">
          <cell r="A1929" t="str">
            <v>LIT_630</v>
          </cell>
          <cell r="B1929" t="str">
            <v>CAMUSAT</v>
          </cell>
          <cell r="C1929" t="str">
            <v>ESCO</v>
          </cell>
          <cell r="D1929" t="str">
            <v>Good Grid no GE - 8h</v>
          </cell>
        </row>
        <row r="1930">
          <cell r="A1930" t="str">
            <v>LIT_637</v>
          </cell>
          <cell r="B1930" t="str">
            <v>CAMUSAT</v>
          </cell>
          <cell r="C1930" t="str">
            <v>ESCO</v>
          </cell>
          <cell r="D1930" t="str">
            <v>Good Grid + GE</v>
          </cell>
        </row>
        <row r="1931">
          <cell r="A1931" t="str">
            <v>LIT_639</v>
          </cell>
          <cell r="B1931" t="str">
            <v>CAMUSAT</v>
          </cell>
          <cell r="C1931" t="str">
            <v>ESCO</v>
          </cell>
          <cell r="D1931" t="str">
            <v>Good Grid + GE</v>
          </cell>
        </row>
        <row r="1932">
          <cell r="A1932" t="str">
            <v>LIT_641</v>
          </cell>
          <cell r="B1932" t="str">
            <v>CAMUSAT</v>
          </cell>
          <cell r="C1932" t="str">
            <v>ESCO</v>
          </cell>
          <cell r="D1932" t="str">
            <v>Good Grid + GE</v>
          </cell>
        </row>
        <row r="1933">
          <cell r="A1933" t="str">
            <v>LIT_642</v>
          </cell>
          <cell r="B1933" t="str">
            <v>CAMUSAT</v>
          </cell>
          <cell r="C1933" t="str">
            <v>ESCO</v>
          </cell>
          <cell r="D1933" t="str">
            <v>Good Grid + GE</v>
          </cell>
        </row>
        <row r="1934">
          <cell r="A1934" t="str">
            <v>LIT_643</v>
          </cell>
          <cell r="B1934" t="str">
            <v>CAMUSAT</v>
          </cell>
          <cell r="C1934" t="str">
            <v>ESCO</v>
          </cell>
          <cell r="D1934" t="str">
            <v>Good Grid no GE - 12h</v>
          </cell>
        </row>
        <row r="1935">
          <cell r="A1935" t="str">
            <v>LIT_644</v>
          </cell>
          <cell r="B1935" t="str">
            <v>CAMUSAT</v>
          </cell>
          <cell r="C1935" t="str">
            <v>ESCO</v>
          </cell>
          <cell r="D1935" t="str">
            <v>Good Grid no GE - 8h</v>
          </cell>
        </row>
        <row r="1936">
          <cell r="A1936" t="str">
            <v>LIT_645</v>
          </cell>
          <cell r="B1936" t="str">
            <v>CAMUSAT</v>
          </cell>
          <cell r="C1936" t="str">
            <v>ESCO</v>
          </cell>
          <cell r="D1936" t="str">
            <v>Good Grid no GE - 8h</v>
          </cell>
        </row>
        <row r="1937">
          <cell r="A1937" t="str">
            <v>LIT_647</v>
          </cell>
          <cell r="B1937" t="str">
            <v>CAMUSAT</v>
          </cell>
          <cell r="C1937" t="str">
            <v>ESCO</v>
          </cell>
          <cell r="D1937" t="str">
            <v>Good Grid no GE - 12h</v>
          </cell>
        </row>
        <row r="1938">
          <cell r="A1938" t="str">
            <v>LIT_648</v>
          </cell>
          <cell r="B1938" t="str">
            <v>CAMUSAT</v>
          </cell>
          <cell r="C1938" t="str">
            <v>ESCO</v>
          </cell>
          <cell r="D1938" t="str">
            <v>Good Grid no GE - 12h</v>
          </cell>
        </row>
        <row r="1939">
          <cell r="A1939" t="str">
            <v>LIT_649</v>
          </cell>
          <cell r="B1939" t="str">
            <v>CAMUSAT</v>
          </cell>
          <cell r="C1939" t="str">
            <v>ESCO</v>
          </cell>
          <cell r="D1939" t="str">
            <v>Good Grid no GE - 12h</v>
          </cell>
        </row>
        <row r="1940">
          <cell r="A1940" t="str">
            <v>LIT_650</v>
          </cell>
          <cell r="B1940" t="str">
            <v>CAMUSAT</v>
          </cell>
          <cell r="C1940" t="str">
            <v>ESCO</v>
          </cell>
          <cell r="D1940" t="str">
            <v>Good Grid no GE - 8h</v>
          </cell>
        </row>
        <row r="1941">
          <cell r="A1941" t="str">
            <v>LIT_651</v>
          </cell>
          <cell r="B1941" t="str">
            <v>CAMUSAT</v>
          </cell>
          <cell r="C1941" t="str">
            <v>ESCO</v>
          </cell>
          <cell r="D1941" t="str">
            <v>Good Grid no GE - 12h</v>
          </cell>
        </row>
        <row r="1942">
          <cell r="A1942" t="str">
            <v>LIT_652</v>
          </cell>
          <cell r="B1942" t="str">
            <v>CAMUSAT</v>
          </cell>
          <cell r="C1942" t="str">
            <v>ESCO</v>
          </cell>
          <cell r="D1942" t="str">
            <v>Good Grid no GE - 8h</v>
          </cell>
        </row>
        <row r="1943">
          <cell r="A1943" t="str">
            <v>LIT_653</v>
          </cell>
          <cell r="B1943" t="str">
            <v>CAMUSAT</v>
          </cell>
          <cell r="C1943" t="str">
            <v>ESCO</v>
          </cell>
          <cell r="D1943" t="str">
            <v>Good Grid no GE - 8h</v>
          </cell>
        </row>
        <row r="1944">
          <cell r="A1944" t="str">
            <v>LIT_654</v>
          </cell>
          <cell r="B1944" t="str">
            <v>CAMUSAT</v>
          </cell>
          <cell r="C1944" t="str">
            <v>ESCO</v>
          </cell>
          <cell r="D1944" t="str">
            <v>Good Grid no GE - 12h</v>
          </cell>
        </row>
        <row r="1945">
          <cell r="A1945" t="str">
            <v>LIT_655</v>
          </cell>
          <cell r="B1945" t="str">
            <v>CAMUSAT</v>
          </cell>
          <cell r="C1945" t="str">
            <v>ESCO</v>
          </cell>
          <cell r="D1945" t="str">
            <v>Medium Grid + GE</v>
          </cell>
        </row>
        <row r="1946">
          <cell r="A1946" t="str">
            <v>LIT_656</v>
          </cell>
          <cell r="B1946" t="str">
            <v>CAMUSAT</v>
          </cell>
          <cell r="C1946" t="str">
            <v>ESCO</v>
          </cell>
          <cell r="D1946" t="str">
            <v>Good Grid no GE - 8h</v>
          </cell>
        </row>
        <row r="1947">
          <cell r="A1947" t="str">
            <v>LIT_657</v>
          </cell>
          <cell r="B1947" t="str">
            <v>CAMUSAT</v>
          </cell>
          <cell r="C1947" t="str">
            <v>ESCO</v>
          </cell>
          <cell r="D1947" t="str">
            <v>Good Grid no GE - 12h</v>
          </cell>
        </row>
        <row r="1948">
          <cell r="A1948" t="str">
            <v>LIT_658</v>
          </cell>
          <cell r="B1948" t="str">
            <v>CAMUSAT</v>
          </cell>
          <cell r="C1948" t="str">
            <v>ESCO</v>
          </cell>
          <cell r="D1948" t="str">
            <v>Hybrid Solar - S3</v>
          </cell>
        </row>
        <row r="1949">
          <cell r="A1949" t="str">
            <v>LIT_662</v>
          </cell>
          <cell r="B1949" t="str">
            <v>CAMUSAT</v>
          </cell>
          <cell r="C1949" t="str">
            <v>ESCO</v>
          </cell>
          <cell r="D1949" t="str">
            <v>Good Grid no GE - 8h</v>
          </cell>
        </row>
        <row r="1950">
          <cell r="A1950" t="str">
            <v>LIT_663</v>
          </cell>
          <cell r="B1950" t="str">
            <v>CAMUSAT</v>
          </cell>
          <cell r="C1950" t="str">
            <v>ESCO</v>
          </cell>
          <cell r="D1950" t="str">
            <v>Good Grid no GE - 8h</v>
          </cell>
        </row>
        <row r="1951">
          <cell r="A1951" t="str">
            <v>LIT_666</v>
          </cell>
          <cell r="B1951" t="str">
            <v>CAMUSAT</v>
          </cell>
          <cell r="C1951" t="str">
            <v>ESCO</v>
          </cell>
          <cell r="D1951" t="str">
            <v>Good Grid no GE - 12h</v>
          </cell>
        </row>
        <row r="1952">
          <cell r="A1952" t="str">
            <v>LIT_667</v>
          </cell>
          <cell r="B1952" t="str">
            <v>CAMUSAT</v>
          </cell>
          <cell r="C1952" t="str">
            <v>ESCO</v>
          </cell>
          <cell r="D1952" t="str">
            <v>Medium Grid + GE</v>
          </cell>
        </row>
        <row r="1953">
          <cell r="A1953" t="str">
            <v>LIT_669</v>
          </cell>
          <cell r="B1953" t="str">
            <v>CAMUSAT</v>
          </cell>
          <cell r="C1953" t="str">
            <v>ESCO</v>
          </cell>
          <cell r="D1953" t="str">
            <v>Good Grid + GE</v>
          </cell>
        </row>
        <row r="1954">
          <cell r="A1954" t="str">
            <v>LIT_670</v>
          </cell>
          <cell r="B1954" t="str">
            <v>CAMUSAT</v>
          </cell>
          <cell r="C1954" t="str">
            <v>ESCO</v>
          </cell>
          <cell r="D1954" t="str">
            <v>Good Grid + GE</v>
          </cell>
        </row>
        <row r="1955">
          <cell r="A1955" t="str">
            <v>LIT_671</v>
          </cell>
          <cell r="B1955" t="str">
            <v>CAMUSAT</v>
          </cell>
          <cell r="C1955" t="str">
            <v>ESCO</v>
          </cell>
          <cell r="D1955" t="str">
            <v>Good Grid no GE - 8h</v>
          </cell>
        </row>
        <row r="1956">
          <cell r="A1956" t="str">
            <v>LIT_674</v>
          </cell>
          <cell r="B1956" t="str">
            <v>CAMUSAT</v>
          </cell>
          <cell r="C1956" t="str">
            <v>ESCO</v>
          </cell>
          <cell r="D1956" t="str">
            <v>Good Grid no GE - 8h</v>
          </cell>
        </row>
        <row r="1957">
          <cell r="A1957" t="str">
            <v>LIT_675</v>
          </cell>
          <cell r="B1957" t="str">
            <v>CAMUSAT</v>
          </cell>
          <cell r="C1957" t="str">
            <v>ESCO</v>
          </cell>
          <cell r="D1957" t="str">
            <v>Good Grid + GE</v>
          </cell>
        </row>
        <row r="1958">
          <cell r="A1958" t="str">
            <v>LIT_676</v>
          </cell>
          <cell r="B1958" t="str">
            <v>CAMUSAT</v>
          </cell>
          <cell r="C1958" t="str">
            <v>ESCO</v>
          </cell>
          <cell r="D1958" t="str">
            <v>Good Grid no GE - 8h</v>
          </cell>
        </row>
        <row r="1959">
          <cell r="A1959" t="str">
            <v>LIT_680</v>
          </cell>
          <cell r="B1959" t="str">
            <v>CAMUSAT</v>
          </cell>
          <cell r="C1959" t="str">
            <v>ESCO</v>
          </cell>
          <cell r="D1959" t="str">
            <v>Good Grid + GE</v>
          </cell>
        </row>
        <row r="1960">
          <cell r="A1960" t="str">
            <v>LIT_681</v>
          </cell>
          <cell r="B1960" t="str">
            <v>CAMUSAT</v>
          </cell>
          <cell r="C1960" t="str">
            <v>ESCO</v>
          </cell>
          <cell r="D1960" t="str">
            <v>Good Grid no GE - 8h</v>
          </cell>
        </row>
        <row r="1961">
          <cell r="A1961" t="str">
            <v>LIT_682</v>
          </cell>
          <cell r="B1961" t="str">
            <v>CAMUSAT</v>
          </cell>
          <cell r="C1961" t="str">
            <v>ESCO</v>
          </cell>
          <cell r="D1961" t="str">
            <v>Good Grid + GE</v>
          </cell>
        </row>
        <row r="1962">
          <cell r="A1962" t="str">
            <v>LIT_686</v>
          </cell>
          <cell r="B1962" t="str">
            <v>CAMUSAT</v>
          </cell>
          <cell r="C1962" t="str">
            <v>ESCO</v>
          </cell>
          <cell r="D1962" t="str">
            <v>Good Grid no GE - 8h</v>
          </cell>
        </row>
        <row r="1963">
          <cell r="A1963" t="str">
            <v>LIT_687</v>
          </cell>
          <cell r="B1963" t="str">
            <v>CAMUSAT</v>
          </cell>
          <cell r="C1963" t="str">
            <v>ESCO</v>
          </cell>
          <cell r="D1963" t="str">
            <v>Good Grid no GE - 8h</v>
          </cell>
        </row>
        <row r="1964">
          <cell r="A1964" t="str">
            <v>LIT_688</v>
          </cell>
          <cell r="B1964" t="str">
            <v>CAMUSAT</v>
          </cell>
          <cell r="C1964" t="str">
            <v>ESCO</v>
          </cell>
          <cell r="D1964" t="str">
            <v>Good Grid + GE</v>
          </cell>
        </row>
        <row r="1965">
          <cell r="A1965" t="str">
            <v>LIT_689</v>
          </cell>
          <cell r="B1965" t="str">
            <v>CAMUSAT</v>
          </cell>
          <cell r="C1965" t="str">
            <v>ESCO</v>
          </cell>
          <cell r="D1965" t="str">
            <v>Good Grid no GE - 8h</v>
          </cell>
        </row>
        <row r="1966">
          <cell r="A1966" t="str">
            <v>LIT_690</v>
          </cell>
          <cell r="B1966" t="str">
            <v>CAMUSAT</v>
          </cell>
          <cell r="C1966" t="str">
            <v>ESCO</v>
          </cell>
          <cell r="D1966" t="str">
            <v>Good Grid + GE</v>
          </cell>
        </row>
        <row r="1967">
          <cell r="A1967" t="str">
            <v>LIT_693</v>
          </cell>
          <cell r="B1967" t="str">
            <v>CAMUSAT</v>
          </cell>
          <cell r="C1967" t="str">
            <v>ESCO</v>
          </cell>
          <cell r="D1967" t="str">
            <v>Good Grid no GE - 8h</v>
          </cell>
        </row>
        <row r="1968">
          <cell r="A1968" t="str">
            <v>LIT_694</v>
          </cell>
          <cell r="B1968" t="str">
            <v>CAMUSAT</v>
          </cell>
          <cell r="C1968" t="str">
            <v>ESCO</v>
          </cell>
          <cell r="D1968" t="str">
            <v>Good Grid no GE - 8h</v>
          </cell>
        </row>
        <row r="1969">
          <cell r="A1969" t="str">
            <v>LIT_695</v>
          </cell>
          <cell r="B1969" t="str">
            <v>CAMUSAT</v>
          </cell>
          <cell r="C1969" t="str">
            <v>ESCO</v>
          </cell>
          <cell r="D1969" t="str">
            <v>Good Grid no GE - 8h</v>
          </cell>
        </row>
        <row r="1970">
          <cell r="A1970" t="str">
            <v>LIT_696</v>
          </cell>
          <cell r="B1970" t="str">
            <v>CAMUSAT</v>
          </cell>
          <cell r="C1970" t="str">
            <v>ESCO</v>
          </cell>
          <cell r="D1970" t="str">
            <v>Good Grid no GE - 8h</v>
          </cell>
        </row>
        <row r="1971">
          <cell r="A1971" t="str">
            <v>LIT_697</v>
          </cell>
          <cell r="B1971" t="str">
            <v>CAMUSAT</v>
          </cell>
          <cell r="C1971" t="str">
            <v>ESCO</v>
          </cell>
          <cell r="D1971" t="str">
            <v>Good Grid + GE</v>
          </cell>
        </row>
        <row r="1972">
          <cell r="A1972" t="str">
            <v>LIT_700</v>
          </cell>
          <cell r="B1972" t="str">
            <v>CAMUSAT</v>
          </cell>
          <cell r="C1972" t="str">
            <v>ESCO</v>
          </cell>
          <cell r="D1972" t="str">
            <v>Good Grid no GE - 8h</v>
          </cell>
        </row>
        <row r="1973">
          <cell r="A1973" t="str">
            <v>LIT_705</v>
          </cell>
          <cell r="B1973" t="str">
            <v>CAMUSAT</v>
          </cell>
          <cell r="C1973" t="str">
            <v>ESCO</v>
          </cell>
          <cell r="D1973" t="str">
            <v>Good Grid no GE - 8h</v>
          </cell>
        </row>
        <row r="1974">
          <cell r="A1974" t="str">
            <v>LIT_708</v>
          </cell>
          <cell r="B1974" t="str">
            <v>CAMUSAT</v>
          </cell>
          <cell r="C1974" t="str">
            <v>ESCO</v>
          </cell>
          <cell r="D1974" t="str">
            <v>Good Grid no GE - 8h</v>
          </cell>
        </row>
        <row r="1975">
          <cell r="A1975" t="str">
            <v>LIT_712</v>
          </cell>
          <cell r="B1975" t="str">
            <v>CAMUSAT</v>
          </cell>
          <cell r="C1975" t="str">
            <v>ESCO</v>
          </cell>
          <cell r="D1975" t="str">
            <v>Good Grid no GE - 8h</v>
          </cell>
        </row>
        <row r="1976">
          <cell r="A1976" t="str">
            <v>LIT_713</v>
          </cell>
          <cell r="B1976" t="str">
            <v>CAMUSAT</v>
          </cell>
          <cell r="C1976" t="str">
            <v>ESCO</v>
          </cell>
          <cell r="D1976" t="str">
            <v>Good Grid no GE - 8h</v>
          </cell>
        </row>
        <row r="1977">
          <cell r="A1977" t="str">
            <v>LIT_718</v>
          </cell>
          <cell r="B1977" t="str">
            <v>CAMUSAT</v>
          </cell>
          <cell r="C1977" t="str">
            <v>ESCO</v>
          </cell>
          <cell r="D1977" t="str">
            <v>Good Grid no GE - 8h</v>
          </cell>
        </row>
        <row r="1978">
          <cell r="A1978" t="str">
            <v>LIT_725</v>
          </cell>
          <cell r="B1978" t="str">
            <v>CAMUSAT</v>
          </cell>
          <cell r="C1978" t="str">
            <v>ESCO</v>
          </cell>
          <cell r="D1978" t="str">
            <v>Good Grid no GE - 8h</v>
          </cell>
        </row>
        <row r="1979">
          <cell r="A1979" t="str">
            <v>LIT_726</v>
          </cell>
          <cell r="B1979" t="str">
            <v>CAMUSAT</v>
          </cell>
          <cell r="C1979" t="str">
            <v>ESCO</v>
          </cell>
          <cell r="D1979" t="str">
            <v>Good Grid no GE - 8h</v>
          </cell>
        </row>
        <row r="1980">
          <cell r="A1980" t="str">
            <v>LIT_728</v>
          </cell>
          <cell r="B1980" t="str">
            <v>CAMUSAT</v>
          </cell>
          <cell r="C1980" t="str">
            <v>ESCO</v>
          </cell>
          <cell r="D1980" t="str">
            <v>Good Grid no GE - 8h</v>
          </cell>
        </row>
        <row r="1981">
          <cell r="A1981" t="str">
            <v>LIT_729</v>
          </cell>
          <cell r="B1981" t="str">
            <v>CAMUSAT</v>
          </cell>
          <cell r="C1981" t="str">
            <v>ESCO</v>
          </cell>
          <cell r="D1981" t="str">
            <v>Good Grid + GE</v>
          </cell>
        </row>
        <row r="1982">
          <cell r="A1982" t="str">
            <v>LIT_730</v>
          </cell>
          <cell r="B1982" t="str">
            <v>CAMUSAT</v>
          </cell>
          <cell r="C1982" t="str">
            <v>ESCO</v>
          </cell>
          <cell r="D1982" t="str">
            <v>Good Grid no GE - 8h</v>
          </cell>
        </row>
        <row r="1983">
          <cell r="A1983" t="str">
            <v>LIT_731</v>
          </cell>
          <cell r="B1983" t="str">
            <v>CAMUSAT</v>
          </cell>
          <cell r="C1983" t="str">
            <v>ESCO</v>
          </cell>
          <cell r="D1983" t="str">
            <v>Good Grid + GE</v>
          </cell>
        </row>
        <row r="1984">
          <cell r="A1984" t="str">
            <v>LIT_732</v>
          </cell>
          <cell r="B1984" t="str">
            <v>CAMUSAT</v>
          </cell>
          <cell r="C1984" t="str">
            <v>ESCO</v>
          </cell>
          <cell r="D1984" t="str">
            <v>Good Grid no GE - 8h</v>
          </cell>
        </row>
        <row r="1985">
          <cell r="A1985" t="str">
            <v>LIT_733</v>
          </cell>
          <cell r="B1985" t="str">
            <v>CAMUSAT</v>
          </cell>
          <cell r="C1985" t="str">
            <v>ESCO</v>
          </cell>
          <cell r="D1985" t="str">
            <v>Good Grid no GE - 8h</v>
          </cell>
        </row>
        <row r="1986">
          <cell r="A1986" t="str">
            <v>LIT_736</v>
          </cell>
          <cell r="B1986" t="str">
            <v>CAMUSAT</v>
          </cell>
          <cell r="C1986" t="str">
            <v>ESCO</v>
          </cell>
          <cell r="D1986" t="str">
            <v>Good Grid no GE - 8h</v>
          </cell>
        </row>
        <row r="1987">
          <cell r="A1987" t="str">
            <v>LIT_737</v>
          </cell>
          <cell r="B1987" t="str">
            <v>CAMUSAT</v>
          </cell>
          <cell r="C1987" t="str">
            <v>ESCO</v>
          </cell>
          <cell r="D1987" t="str">
            <v>Good Grid no GE - 8h</v>
          </cell>
        </row>
        <row r="1988">
          <cell r="A1988" t="str">
            <v>LIT_739</v>
          </cell>
          <cell r="B1988" t="str">
            <v>CAMUSAT</v>
          </cell>
          <cell r="C1988" t="str">
            <v>ESCO</v>
          </cell>
          <cell r="D1988" t="str">
            <v>Good Grid no GE - 8h</v>
          </cell>
        </row>
        <row r="1989">
          <cell r="A1989" t="str">
            <v>LIT_740</v>
          </cell>
          <cell r="B1989" t="str">
            <v>CAMUSAT</v>
          </cell>
          <cell r="C1989" t="str">
            <v>ESCO</v>
          </cell>
          <cell r="D1989" t="str">
            <v>Good Grid no GE - 8h</v>
          </cell>
        </row>
        <row r="1990">
          <cell r="A1990" t="str">
            <v>LIT_742</v>
          </cell>
          <cell r="B1990" t="str">
            <v>CAMUSAT</v>
          </cell>
          <cell r="C1990" t="str">
            <v>ESCO</v>
          </cell>
          <cell r="D1990" t="str">
            <v>Good Grid no GE - 8h</v>
          </cell>
        </row>
        <row r="1991">
          <cell r="A1991" t="str">
            <v>LIT_751</v>
          </cell>
          <cell r="B1991" t="str">
            <v>CAMUSAT</v>
          </cell>
          <cell r="C1991" t="str">
            <v>ESCO</v>
          </cell>
          <cell r="D1991" t="str">
            <v>Good Grid no GE - 8h</v>
          </cell>
        </row>
        <row r="1992">
          <cell r="A1992" t="str">
            <v>LIT_752</v>
          </cell>
          <cell r="B1992" t="str">
            <v>CAMUSAT</v>
          </cell>
          <cell r="C1992" t="str">
            <v>ESCO</v>
          </cell>
          <cell r="D1992" t="str">
            <v>Good Grid + GE</v>
          </cell>
        </row>
        <row r="1993">
          <cell r="A1993" t="str">
            <v>LIT_765</v>
          </cell>
          <cell r="B1993" t="str">
            <v>CAMUSAT</v>
          </cell>
          <cell r="C1993" t="str">
            <v>ESCO</v>
          </cell>
          <cell r="D1993" t="str">
            <v>Good Grid no GE - 8h</v>
          </cell>
        </row>
        <row r="1994">
          <cell r="A1994" t="str">
            <v>LIT_766</v>
          </cell>
          <cell r="B1994" t="str">
            <v>CAMUSAT</v>
          </cell>
          <cell r="C1994" t="str">
            <v>ESCO</v>
          </cell>
          <cell r="D1994" t="str">
            <v>Good Grid no GE - 8h</v>
          </cell>
        </row>
        <row r="1995">
          <cell r="A1995" t="str">
            <v>LIT_XXX</v>
          </cell>
          <cell r="B1995" t="str">
            <v>CAMUSAT</v>
          </cell>
          <cell r="C1995" t="str">
            <v>ESCO</v>
          </cell>
          <cell r="D1995" t="str">
            <v>Good Grid no GE - 8h</v>
          </cell>
        </row>
        <row r="1996">
          <cell r="A1996" t="str">
            <v>NRD_131</v>
          </cell>
          <cell r="B1996" t="str">
            <v>CAMUSAT</v>
          </cell>
          <cell r="C1996" t="str">
            <v>ESCO</v>
          </cell>
          <cell r="D1996" t="str">
            <v>Good Grid + GE</v>
          </cell>
        </row>
        <row r="1997">
          <cell r="A1997" t="str">
            <v>NRD_132</v>
          </cell>
          <cell r="B1997" t="str">
            <v>CAMUSAT</v>
          </cell>
          <cell r="C1997" t="str">
            <v>ESCO</v>
          </cell>
          <cell r="D1997" t="str">
            <v>Good Grid + GE</v>
          </cell>
        </row>
        <row r="1998">
          <cell r="A1998" t="str">
            <v>NRD_133</v>
          </cell>
          <cell r="B1998" t="str">
            <v>CAMUSAT</v>
          </cell>
          <cell r="C1998" t="str">
            <v>ESCO</v>
          </cell>
          <cell r="D1998" t="str">
            <v>Medium Grid + GE</v>
          </cell>
        </row>
        <row r="1999">
          <cell r="A1999" t="str">
            <v>NRD_134</v>
          </cell>
          <cell r="B1999" t="str">
            <v>CAMUSAT</v>
          </cell>
          <cell r="C1999" t="str">
            <v>ESCO</v>
          </cell>
          <cell r="D1999" t="str">
            <v>Good Grid + GE</v>
          </cell>
        </row>
        <row r="2000">
          <cell r="A2000" t="str">
            <v>NRD_135</v>
          </cell>
          <cell r="B2000" t="str">
            <v>CAMUSAT</v>
          </cell>
          <cell r="C2000" t="str">
            <v>ESCO</v>
          </cell>
          <cell r="D2000" t="str">
            <v>Good Grid + Solar + GE</v>
          </cell>
        </row>
        <row r="2001">
          <cell r="A2001" t="str">
            <v>NRD_136</v>
          </cell>
          <cell r="B2001" t="str">
            <v>CAMUSAT</v>
          </cell>
          <cell r="C2001" t="str">
            <v>ESCO</v>
          </cell>
          <cell r="D2001" t="str">
            <v>Hybrid Solar - S3</v>
          </cell>
        </row>
        <row r="2002">
          <cell r="A2002" t="str">
            <v>NRD_137</v>
          </cell>
          <cell r="B2002" t="str">
            <v>CAMUSAT</v>
          </cell>
          <cell r="C2002" t="str">
            <v>ESCO</v>
          </cell>
          <cell r="D2002" t="str">
            <v>Medium Grid + GE</v>
          </cell>
        </row>
        <row r="2003">
          <cell r="A2003" t="str">
            <v>NRD_138</v>
          </cell>
          <cell r="B2003" t="str">
            <v>CAMUSAT</v>
          </cell>
          <cell r="C2003" t="str">
            <v>ESCO</v>
          </cell>
          <cell r="D2003" t="str">
            <v>Medium Grid + GE</v>
          </cell>
        </row>
        <row r="2004">
          <cell r="A2004" t="str">
            <v>NRD_139</v>
          </cell>
          <cell r="B2004" t="str">
            <v>CAMUSAT</v>
          </cell>
          <cell r="C2004" t="str">
            <v>ESCO</v>
          </cell>
          <cell r="D2004" t="str">
            <v>Good Grid + GE</v>
          </cell>
        </row>
        <row r="2005">
          <cell r="A2005" t="str">
            <v>NRD_140</v>
          </cell>
          <cell r="B2005" t="str">
            <v>CAMUSAT</v>
          </cell>
          <cell r="C2005" t="str">
            <v>ESCO</v>
          </cell>
          <cell r="D2005" t="str">
            <v>Medium Grid + GE</v>
          </cell>
        </row>
        <row r="2006">
          <cell r="A2006" t="str">
            <v>NRD_141</v>
          </cell>
          <cell r="B2006" t="str">
            <v>CAMUSAT</v>
          </cell>
          <cell r="C2006" t="str">
            <v>ESCO</v>
          </cell>
          <cell r="D2006" t="str">
            <v>Medium Grid + GE</v>
          </cell>
        </row>
        <row r="2007">
          <cell r="A2007" t="str">
            <v>NRD_142</v>
          </cell>
          <cell r="B2007" t="str">
            <v>CAMUSAT</v>
          </cell>
          <cell r="C2007" t="str">
            <v>ESCO</v>
          </cell>
          <cell r="D2007" t="str">
            <v>Bad Grid + GE</v>
          </cell>
        </row>
        <row r="2008">
          <cell r="A2008" t="str">
            <v>NRD_143</v>
          </cell>
          <cell r="B2008" t="str">
            <v>CAMUSAT</v>
          </cell>
          <cell r="C2008" t="str">
            <v>ESCO</v>
          </cell>
          <cell r="D2008" t="str">
            <v>Good Grid + GE</v>
          </cell>
        </row>
        <row r="2009">
          <cell r="A2009" t="str">
            <v>NRD_144</v>
          </cell>
          <cell r="B2009" t="str">
            <v>CAMUSAT</v>
          </cell>
          <cell r="C2009" t="str">
            <v>ESCO</v>
          </cell>
          <cell r="D2009" t="str">
            <v>Good Grid + GE</v>
          </cell>
        </row>
        <row r="2010">
          <cell r="A2010" t="str">
            <v>NRD_145</v>
          </cell>
          <cell r="B2010" t="str">
            <v>CAMUSAT</v>
          </cell>
          <cell r="C2010" t="str">
            <v>ESCO</v>
          </cell>
          <cell r="D2010" t="str">
            <v>Medium Grid + GE</v>
          </cell>
        </row>
        <row r="2011">
          <cell r="A2011" t="str">
            <v>NRD_146</v>
          </cell>
          <cell r="B2011" t="str">
            <v>CAMUSAT</v>
          </cell>
          <cell r="C2011" t="str">
            <v>ESCO</v>
          </cell>
          <cell r="D2011" t="str">
            <v>Hybrid Solar - S3</v>
          </cell>
        </row>
        <row r="2012">
          <cell r="A2012" t="str">
            <v>NRD_147</v>
          </cell>
          <cell r="B2012" t="str">
            <v>CAMUSAT</v>
          </cell>
          <cell r="C2012" t="str">
            <v>ESCO</v>
          </cell>
          <cell r="D2012" t="str">
            <v>Good Grid + GE</v>
          </cell>
        </row>
        <row r="2013">
          <cell r="A2013" t="str">
            <v>NRD_148</v>
          </cell>
          <cell r="B2013" t="str">
            <v>CAMUSAT</v>
          </cell>
          <cell r="C2013" t="str">
            <v>ESCO</v>
          </cell>
          <cell r="D2013" t="str">
            <v>Good Grid + GE</v>
          </cell>
        </row>
        <row r="2014">
          <cell r="A2014" t="str">
            <v>NRD_149</v>
          </cell>
          <cell r="B2014" t="str">
            <v>CAMUSAT</v>
          </cell>
          <cell r="C2014" t="str">
            <v>ESCO</v>
          </cell>
          <cell r="D2014" t="str">
            <v>Good Grid + GE</v>
          </cell>
        </row>
        <row r="2015">
          <cell r="A2015" t="str">
            <v>NRD_153</v>
          </cell>
          <cell r="B2015" t="str">
            <v>CAMUSAT</v>
          </cell>
          <cell r="C2015" t="str">
            <v>ESCO</v>
          </cell>
          <cell r="D2015" t="str">
            <v>Hybrid Solar - S3</v>
          </cell>
        </row>
        <row r="2016">
          <cell r="A2016" t="str">
            <v>NRD_154</v>
          </cell>
          <cell r="B2016" t="str">
            <v>CAMUSAT</v>
          </cell>
          <cell r="C2016" t="str">
            <v>ESCO</v>
          </cell>
          <cell r="D2016" t="str">
            <v>Hybrid Solar - S3</v>
          </cell>
        </row>
        <row r="2017">
          <cell r="A2017" t="str">
            <v>NRD_155</v>
          </cell>
          <cell r="B2017" t="str">
            <v>CAMUSAT</v>
          </cell>
          <cell r="C2017" t="str">
            <v>ESCO</v>
          </cell>
          <cell r="D2017" t="str">
            <v>Hybrid Solar - S3</v>
          </cell>
        </row>
        <row r="2018">
          <cell r="A2018" t="str">
            <v>NRD_157</v>
          </cell>
          <cell r="B2018" t="str">
            <v>CAMUSAT</v>
          </cell>
          <cell r="C2018" t="str">
            <v>ESCO</v>
          </cell>
          <cell r="D2018" t="str">
            <v>Medium Grid + Solar + GE</v>
          </cell>
        </row>
        <row r="2019">
          <cell r="A2019" t="str">
            <v>NRD_158</v>
          </cell>
          <cell r="B2019" t="str">
            <v>CAMUSAT</v>
          </cell>
          <cell r="C2019" t="str">
            <v>ESCO</v>
          </cell>
          <cell r="D2019" t="str">
            <v>Good Grid + Solar + GE</v>
          </cell>
        </row>
        <row r="2020">
          <cell r="A2020" t="str">
            <v>NRD_159</v>
          </cell>
          <cell r="B2020" t="str">
            <v>CAMUSAT</v>
          </cell>
          <cell r="C2020" t="str">
            <v>ESCO</v>
          </cell>
          <cell r="D2020" t="str">
            <v>Medium Grid + Solar + GE</v>
          </cell>
        </row>
        <row r="2021">
          <cell r="A2021" t="str">
            <v>NRD_160</v>
          </cell>
          <cell r="B2021" t="str">
            <v>CAMUSAT</v>
          </cell>
          <cell r="C2021" t="str">
            <v>ESCO</v>
          </cell>
          <cell r="D2021" t="str">
            <v>Hybrid Solar - S3</v>
          </cell>
        </row>
        <row r="2022">
          <cell r="A2022" t="str">
            <v>NRD_162</v>
          </cell>
          <cell r="B2022" t="str">
            <v>CAMUSAT</v>
          </cell>
          <cell r="C2022" t="str">
            <v>ESCO</v>
          </cell>
          <cell r="D2022" t="str">
            <v>Medium Grid + GE</v>
          </cell>
        </row>
        <row r="2023">
          <cell r="A2023" t="str">
            <v>NRD_163</v>
          </cell>
          <cell r="B2023" t="str">
            <v>CAMUSAT</v>
          </cell>
          <cell r="C2023" t="str">
            <v>ESCO</v>
          </cell>
          <cell r="D2023" t="str">
            <v>Medium Grid + GE</v>
          </cell>
        </row>
        <row r="2024">
          <cell r="A2024" t="str">
            <v>NRD_167</v>
          </cell>
          <cell r="B2024" t="str">
            <v>CAMUSAT</v>
          </cell>
          <cell r="C2024" t="str">
            <v>ESCO</v>
          </cell>
          <cell r="D2024" t="str">
            <v>Hybrid Solar - S3</v>
          </cell>
        </row>
        <row r="2025">
          <cell r="A2025" t="str">
            <v>NRD_168</v>
          </cell>
          <cell r="B2025" t="str">
            <v>CAMUSAT</v>
          </cell>
          <cell r="C2025" t="str">
            <v>ESCO</v>
          </cell>
          <cell r="D2025" t="str">
            <v>Hybrid Solar - S3</v>
          </cell>
        </row>
        <row r="2026">
          <cell r="A2026" t="str">
            <v>NRD_171</v>
          </cell>
          <cell r="B2026" t="str">
            <v>CAMUSAT</v>
          </cell>
          <cell r="C2026" t="str">
            <v>ESCO</v>
          </cell>
          <cell r="D2026" t="str">
            <v>Hybrid Solar - S3</v>
          </cell>
        </row>
        <row r="2027">
          <cell r="A2027" t="str">
            <v>NRD_172</v>
          </cell>
          <cell r="B2027" t="str">
            <v>CAMUSAT</v>
          </cell>
          <cell r="C2027" t="str">
            <v>ESCO</v>
          </cell>
          <cell r="D2027" t="str">
            <v>Hybrid Solar - S3</v>
          </cell>
        </row>
        <row r="2028">
          <cell r="A2028" t="str">
            <v>NRD_174</v>
          </cell>
          <cell r="B2028" t="str">
            <v>CAMUSAT</v>
          </cell>
          <cell r="C2028" t="str">
            <v>ESCO</v>
          </cell>
          <cell r="D2028" t="str">
            <v>Medium Grid + GE</v>
          </cell>
        </row>
        <row r="2029">
          <cell r="A2029" t="str">
            <v>NRD_175</v>
          </cell>
          <cell r="B2029" t="str">
            <v>CAMUSAT</v>
          </cell>
          <cell r="C2029" t="str">
            <v>ESCO</v>
          </cell>
          <cell r="D2029" t="str">
            <v>Good Grid + GE</v>
          </cell>
        </row>
        <row r="2030">
          <cell r="A2030" t="str">
            <v>NRD_178</v>
          </cell>
          <cell r="B2030" t="str">
            <v>CAMUSAT</v>
          </cell>
          <cell r="C2030" t="str">
            <v>ESCO</v>
          </cell>
          <cell r="D2030" t="str">
            <v>Hybrid Solar - S3</v>
          </cell>
        </row>
        <row r="2031">
          <cell r="A2031" t="str">
            <v>NRD_180</v>
          </cell>
          <cell r="B2031" t="str">
            <v>CAMUSAT</v>
          </cell>
          <cell r="C2031" t="str">
            <v>ESCO</v>
          </cell>
          <cell r="D2031" t="str">
            <v>HGB</v>
          </cell>
        </row>
        <row r="2032">
          <cell r="A2032" t="str">
            <v>NRD_183</v>
          </cell>
          <cell r="B2032" t="str">
            <v>CAMUSAT</v>
          </cell>
          <cell r="C2032" t="str">
            <v>ESCO</v>
          </cell>
          <cell r="D2032" t="str">
            <v>Hybrid Solar - S1</v>
          </cell>
        </row>
        <row r="2033">
          <cell r="A2033" t="str">
            <v>NRD_186</v>
          </cell>
          <cell r="B2033" t="str">
            <v>CAMUSAT</v>
          </cell>
          <cell r="C2033" t="str">
            <v>ESCO</v>
          </cell>
          <cell r="D2033" t="str">
            <v>Medium Grid + GE</v>
          </cell>
        </row>
        <row r="2034">
          <cell r="A2034" t="str">
            <v>NRD_810</v>
          </cell>
          <cell r="B2034" t="str">
            <v>CAMUSAT</v>
          </cell>
          <cell r="C2034" t="str">
            <v>ESCO</v>
          </cell>
          <cell r="D2034" t="str">
            <v>Pure Solar</v>
          </cell>
        </row>
        <row r="2035">
          <cell r="A2035" t="str">
            <v>NRO_005</v>
          </cell>
          <cell r="B2035" t="str">
            <v>CAMUSAT</v>
          </cell>
          <cell r="C2035" t="str">
            <v>ESCO</v>
          </cell>
          <cell r="D2035" t="str">
            <v>Medium Grid + GE</v>
          </cell>
        </row>
        <row r="2036">
          <cell r="A2036" t="str">
            <v>NRO_008</v>
          </cell>
          <cell r="B2036" t="str">
            <v>CAMUSAT</v>
          </cell>
          <cell r="C2036" t="str">
            <v>ESCO</v>
          </cell>
          <cell r="D2036" t="str">
            <v>Good Grid + GE</v>
          </cell>
        </row>
        <row r="2037">
          <cell r="A2037" t="str">
            <v>NRO_016</v>
          </cell>
          <cell r="B2037" t="str">
            <v>CAMUSAT</v>
          </cell>
          <cell r="C2037" t="str">
            <v>ESCO</v>
          </cell>
          <cell r="D2037" t="str">
            <v>Medium Grid + GE</v>
          </cell>
        </row>
        <row r="2038">
          <cell r="A2038" t="str">
            <v>OST_145</v>
          </cell>
          <cell r="B2038" t="str">
            <v>CAMUSAT</v>
          </cell>
          <cell r="C2038" t="str">
            <v>ESCO</v>
          </cell>
          <cell r="D2038" t="str">
            <v>Medium Grid + GE</v>
          </cell>
        </row>
        <row r="2039">
          <cell r="A2039" t="str">
            <v>OST_227</v>
          </cell>
          <cell r="B2039" t="str">
            <v>CAMUSAT</v>
          </cell>
          <cell r="C2039" t="str">
            <v>ESCO</v>
          </cell>
          <cell r="D2039" t="str">
            <v>Medium Grid + GE</v>
          </cell>
        </row>
        <row r="2040">
          <cell r="A2040" t="str">
            <v>OST_228</v>
          </cell>
          <cell r="B2040" t="str">
            <v>CAMUSAT</v>
          </cell>
          <cell r="C2040" t="str">
            <v>ESCO</v>
          </cell>
          <cell r="D2040" t="str">
            <v>Hybrid Solar - S1</v>
          </cell>
        </row>
        <row r="2041">
          <cell r="A2041" t="str">
            <v>OST_229</v>
          </cell>
          <cell r="B2041" t="str">
            <v>CAMUSAT</v>
          </cell>
          <cell r="C2041" t="str">
            <v>ESCO</v>
          </cell>
          <cell r="D2041" t="str">
            <v>HGB</v>
          </cell>
        </row>
        <row r="2042">
          <cell r="A2042" t="str">
            <v>OST_231</v>
          </cell>
          <cell r="B2042" t="str">
            <v>CAMUSAT</v>
          </cell>
          <cell r="C2042" t="str">
            <v>ESCO</v>
          </cell>
          <cell r="D2042" t="str">
            <v>Good Grid + GE</v>
          </cell>
        </row>
        <row r="2043">
          <cell r="A2043" t="str">
            <v>OST_232</v>
          </cell>
          <cell r="B2043" t="str">
            <v>CAMUSAT</v>
          </cell>
          <cell r="C2043" t="str">
            <v>ESCO</v>
          </cell>
          <cell r="D2043" t="str">
            <v>Good Grid + GE</v>
          </cell>
        </row>
        <row r="2044">
          <cell r="A2044" t="str">
            <v>OST_233</v>
          </cell>
          <cell r="B2044" t="str">
            <v>CAMUSAT</v>
          </cell>
          <cell r="C2044" t="str">
            <v>ESCO</v>
          </cell>
          <cell r="D2044" t="str">
            <v>Medium Grid + GE</v>
          </cell>
        </row>
        <row r="2045">
          <cell r="A2045" t="str">
            <v>OST_235</v>
          </cell>
          <cell r="B2045" t="str">
            <v>CAMUSAT</v>
          </cell>
          <cell r="C2045" t="str">
            <v>ESCO</v>
          </cell>
          <cell r="D2045" t="str">
            <v>Medium Grid + GE</v>
          </cell>
        </row>
        <row r="2046">
          <cell r="A2046" t="str">
            <v>OST_238</v>
          </cell>
          <cell r="B2046" t="str">
            <v>CAMUSAT</v>
          </cell>
          <cell r="C2046" t="str">
            <v>ESCO</v>
          </cell>
          <cell r="D2046" t="str">
            <v>Good Grid no GE - 8h</v>
          </cell>
        </row>
        <row r="2047">
          <cell r="A2047" t="str">
            <v>OST_239</v>
          </cell>
          <cell r="B2047" t="str">
            <v>CAMUSAT</v>
          </cell>
          <cell r="C2047" t="str">
            <v>ESCO</v>
          </cell>
          <cell r="D2047" t="str">
            <v>Good Grid + GE</v>
          </cell>
        </row>
        <row r="2048">
          <cell r="A2048" t="str">
            <v>OST_240</v>
          </cell>
          <cell r="B2048" t="str">
            <v>CAMUSAT</v>
          </cell>
          <cell r="C2048" t="str">
            <v>ESCO</v>
          </cell>
          <cell r="D2048" t="str">
            <v>Good Grid + GE</v>
          </cell>
        </row>
        <row r="2049">
          <cell r="A2049" t="str">
            <v>OST_243</v>
          </cell>
          <cell r="B2049" t="str">
            <v>CAMUSAT</v>
          </cell>
          <cell r="C2049" t="str">
            <v>ESCO</v>
          </cell>
          <cell r="D2049" t="str">
            <v>HGB</v>
          </cell>
        </row>
        <row r="2050">
          <cell r="A2050" t="str">
            <v>OST_245</v>
          </cell>
          <cell r="B2050" t="str">
            <v>CAMUSAT</v>
          </cell>
          <cell r="C2050" t="str">
            <v>ESCO</v>
          </cell>
          <cell r="D2050" t="str">
            <v>Hybrid Solar - S3</v>
          </cell>
        </row>
        <row r="2051">
          <cell r="A2051" t="str">
            <v>OST_251</v>
          </cell>
          <cell r="B2051" t="str">
            <v>CAMUSAT</v>
          </cell>
          <cell r="C2051" t="str">
            <v>ESCO</v>
          </cell>
          <cell r="D2051" t="str">
            <v>Medium Grid + GE</v>
          </cell>
        </row>
        <row r="2052">
          <cell r="A2052" t="str">
            <v>OST_254</v>
          </cell>
          <cell r="B2052" t="str">
            <v>CAMUSAT</v>
          </cell>
          <cell r="C2052" t="str">
            <v>ESCO</v>
          </cell>
          <cell r="D2052" t="str">
            <v>Hybrid Solar - S2</v>
          </cell>
        </row>
        <row r="2053">
          <cell r="A2053" t="str">
            <v>OST_257</v>
          </cell>
          <cell r="B2053" t="str">
            <v>CAMUSAT</v>
          </cell>
          <cell r="C2053" t="str">
            <v>ESCO</v>
          </cell>
          <cell r="D2053" t="str">
            <v>Hybrid Solar - S3</v>
          </cell>
        </row>
        <row r="2054">
          <cell r="A2054" t="str">
            <v>OST_258</v>
          </cell>
          <cell r="B2054" t="str">
            <v>CAMUSAT</v>
          </cell>
          <cell r="C2054" t="str">
            <v>ESCO</v>
          </cell>
          <cell r="D2054" t="str">
            <v>Good Grid + GE</v>
          </cell>
        </row>
        <row r="2055">
          <cell r="A2055" t="str">
            <v>OST_259</v>
          </cell>
          <cell r="B2055" t="str">
            <v>CAMUSAT</v>
          </cell>
          <cell r="C2055" t="str">
            <v>ESCO</v>
          </cell>
          <cell r="D2055" t="str">
            <v>Hybrid Solar - S1</v>
          </cell>
        </row>
        <row r="2056">
          <cell r="A2056" t="str">
            <v>OST_260</v>
          </cell>
          <cell r="B2056" t="str">
            <v>CAMUSAT</v>
          </cell>
          <cell r="C2056" t="str">
            <v>ESCO</v>
          </cell>
          <cell r="D2056" t="str">
            <v>HGB</v>
          </cell>
        </row>
        <row r="2057">
          <cell r="A2057" t="str">
            <v>OST_261</v>
          </cell>
          <cell r="B2057" t="str">
            <v>CAMUSAT</v>
          </cell>
          <cell r="C2057" t="str">
            <v>ESCO</v>
          </cell>
          <cell r="D2057" t="str">
            <v>Hybrid Solar - S3</v>
          </cell>
        </row>
        <row r="2058">
          <cell r="A2058" t="str">
            <v>OST_262</v>
          </cell>
          <cell r="B2058" t="str">
            <v>CAMUSAT</v>
          </cell>
          <cell r="C2058" t="str">
            <v>ESCO</v>
          </cell>
          <cell r="D2058" t="str">
            <v>Hybrid Solar - S3</v>
          </cell>
        </row>
        <row r="2059">
          <cell r="A2059" t="str">
            <v>OST_268</v>
          </cell>
          <cell r="B2059" t="str">
            <v>CAMUSAT</v>
          </cell>
          <cell r="C2059" t="str">
            <v>ESCO</v>
          </cell>
          <cell r="D2059" t="str">
            <v>Good Grid + GE</v>
          </cell>
        </row>
        <row r="2060">
          <cell r="A2060" t="str">
            <v>OST_270</v>
          </cell>
          <cell r="B2060" t="str">
            <v>CAMUSAT</v>
          </cell>
          <cell r="C2060" t="str">
            <v>ESCO</v>
          </cell>
          <cell r="D2060" t="str">
            <v>Good Grid no GE - 8h</v>
          </cell>
        </row>
        <row r="2061">
          <cell r="A2061" t="str">
            <v>OST_272</v>
          </cell>
          <cell r="B2061" t="str">
            <v>CAMUSAT</v>
          </cell>
          <cell r="C2061" t="str">
            <v>ESCO</v>
          </cell>
          <cell r="D2061" t="str">
            <v>Hybrid Solar - S3</v>
          </cell>
        </row>
        <row r="2062">
          <cell r="A2062" t="str">
            <v>OST_273</v>
          </cell>
          <cell r="B2062" t="str">
            <v>CAMUSAT</v>
          </cell>
          <cell r="C2062" t="str">
            <v>ESCO</v>
          </cell>
          <cell r="D2062" t="str">
            <v>Medium Grid + GE</v>
          </cell>
        </row>
        <row r="2063">
          <cell r="A2063" t="str">
            <v>OST_274</v>
          </cell>
          <cell r="B2063" t="str">
            <v>CAMUSAT</v>
          </cell>
          <cell r="C2063" t="str">
            <v>ESCO</v>
          </cell>
          <cell r="D2063" t="str">
            <v>Good Grid + GE</v>
          </cell>
        </row>
        <row r="2064">
          <cell r="A2064" t="str">
            <v>OST_275</v>
          </cell>
          <cell r="B2064" t="str">
            <v>CAMUSAT</v>
          </cell>
          <cell r="C2064" t="str">
            <v>ESCO</v>
          </cell>
          <cell r="D2064" t="str">
            <v>Hybrid Solar - S3</v>
          </cell>
        </row>
        <row r="2065">
          <cell r="A2065" t="str">
            <v>OST_276</v>
          </cell>
          <cell r="B2065" t="str">
            <v>CAMUSAT</v>
          </cell>
          <cell r="C2065" t="str">
            <v>ESCO</v>
          </cell>
          <cell r="D2065" t="str">
            <v>Medium Grid + GE</v>
          </cell>
        </row>
        <row r="2066">
          <cell r="A2066" t="str">
            <v>OST_277</v>
          </cell>
          <cell r="B2066" t="str">
            <v>CAMUSAT</v>
          </cell>
          <cell r="C2066" t="str">
            <v>ESCO</v>
          </cell>
          <cell r="D2066" t="str">
            <v>Medium Grid + GE</v>
          </cell>
        </row>
        <row r="2067">
          <cell r="A2067" t="str">
            <v>OST_282</v>
          </cell>
          <cell r="B2067" t="str">
            <v>CAMUSAT</v>
          </cell>
          <cell r="C2067" t="str">
            <v>ESCO</v>
          </cell>
          <cell r="D2067" t="str">
            <v>Bad Grid + GE</v>
          </cell>
        </row>
        <row r="2068">
          <cell r="A2068" t="str">
            <v>OST_283</v>
          </cell>
          <cell r="B2068" t="str">
            <v>CAMUSAT</v>
          </cell>
          <cell r="C2068" t="str">
            <v>ESCO</v>
          </cell>
          <cell r="D2068" t="str">
            <v>Hybrid Solar - S3</v>
          </cell>
        </row>
        <row r="2069">
          <cell r="A2069" t="str">
            <v>OST_286</v>
          </cell>
          <cell r="B2069" t="str">
            <v>CAMUSAT</v>
          </cell>
          <cell r="C2069" t="str">
            <v>ESCO</v>
          </cell>
          <cell r="D2069" t="str">
            <v>Medium Grid + GE</v>
          </cell>
        </row>
        <row r="2070">
          <cell r="A2070" t="str">
            <v>OST_290</v>
          </cell>
          <cell r="B2070" t="str">
            <v>CAMUSAT</v>
          </cell>
          <cell r="C2070" t="str">
            <v>ESCO</v>
          </cell>
          <cell r="D2070" t="str">
            <v>Hybrid Solar - S3</v>
          </cell>
        </row>
        <row r="2071">
          <cell r="A2071" t="str">
            <v>OST_291</v>
          </cell>
          <cell r="B2071" t="str">
            <v>CAMUSAT</v>
          </cell>
          <cell r="C2071" t="str">
            <v>ESCO</v>
          </cell>
          <cell r="D2071" t="str">
            <v>Good Grid no GE - 8h</v>
          </cell>
        </row>
        <row r="2072">
          <cell r="A2072" t="str">
            <v>OST_293</v>
          </cell>
          <cell r="B2072" t="str">
            <v>CAMUSAT</v>
          </cell>
          <cell r="C2072" t="str">
            <v>ESCO</v>
          </cell>
          <cell r="D2072" t="str">
            <v>Hybrid Solar - S3</v>
          </cell>
        </row>
        <row r="2073">
          <cell r="A2073" t="str">
            <v>OST_294</v>
          </cell>
          <cell r="B2073" t="str">
            <v>CAMUSAT</v>
          </cell>
          <cell r="C2073" t="str">
            <v>ESCO</v>
          </cell>
          <cell r="D2073" t="str">
            <v>Hybrid Solar - S3</v>
          </cell>
        </row>
        <row r="2074">
          <cell r="A2074" t="str">
            <v>OST_296</v>
          </cell>
          <cell r="B2074" t="str">
            <v>CAMUSAT</v>
          </cell>
          <cell r="C2074" t="str">
            <v>ESCO</v>
          </cell>
          <cell r="D2074" t="str">
            <v>Medium Grid + GE</v>
          </cell>
        </row>
        <row r="2075">
          <cell r="A2075" t="str">
            <v>OST_297</v>
          </cell>
          <cell r="B2075" t="str">
            <v>CAMUSAT</v>
          </cell>
          <cell r="C2075" t="str">
            <v>ESCO</v>
          </cell>
          <cell r="D2075" t="str">
            <v>Hybrid Solar - S1</v>
          </cell>
        </row>
        <row r="2076">
          <cell r="A2076" t="str">
            <v>OST_298</v>
          </cell>
          <cell r="B2076" t="str">
            <v>CAMUSAT</v>
          </cell>
          <cell r="C2076" t="str">
            <v>ESCO</v>
          </cell>
          <cell r="D2076" t="str">
            <v>Hybrid Solar - S3</v>
          </cell>
        </row>
        <row r="2077">
          <cell r="A2077" t="str">
            <v>OST_299</v>
          </cell>
          <cell r="B2077" t="str">
            <v>CAMUSAT</v>
          </cell>
          <cell r="C2077" t="str">
            <v>ESCO</v>
          </cell>
          <cell r="D2077" t="str">
            <v>Hybrid Solar - S3</v>
          </cell>
        </row>
        <row r="2078">
          <cell r="A2078" t="str">
            <v>OST_303</v>
          </cell>
          <cell r="B2078" t="str">
            <v>CAMUSAT</v>
          </cell>
          <cell r="C2078" t="str">
            <v>ESCO</v>
          </cell>
          <cell r="D2078" t="str">
            <v>Hybrid Solar - S3</v>
          </cell>
        </row>
        <row r="2079">
          <cell r="A2079" t="str">
            <v>OST_306</v>
          </cell>
          <cell r="B2079" t="str">
            <v>CAMUSAT</v>
          </cell>
          <cell r="C2079" t="str">
            <v>ESCO</v>
          </cell>
          <cell r="D2079" t="str">
            <v>Medium Grid + GE</v>
          </cell>
        </row>
        <row r="2080">
          <cell r="A2080" t="str">
            <v>OST_307</v>
          </cell>
          <cell r="B2080" t="str">
            <v>CAMUSAT</v>
          </cell>
          <cell r="C2080" t="str">
            <v>ESCO</v>
          </cell>
          <cell r="D2080" t="str">
            <v>Medium Grid + GE</v>
          </cell>
        </row>
        <row r="2081">
          <cell r="A2081" t="str">
            <v>SUD_009</v>
          </cell>
          <cell r="B2081" t="str">
            <v>CAMUSAT</v>
          </cell>
          <cell r="C2081" t="str">
            <v>ESCO</v>
          </cell>
          <cell r="D2081" t="str">
            <v>Bad Grid + GE</v>
          </cell>
        </row>
        <row r="2082">
          <cell r="A2082" t="str">
            <v>SUD_010</v>
          </cell>
          <cell r="B2082" t="str">
            <v>CAMUSAT</v>
          </cell>
          <cell r="C2082" t="str">
            <v>ESCO</v>
          </cell>
          <cell r="D2082" t="str">
            <v>Good Grid + GE</v>
          </cell>
        </row>
        <row r="2083">
          <cell r="A2083" t="str">
            <v>SUD_014</v>
          </cell>
          <cell r="B2083" t="str">
            <v>CAMUSAT</v>
          </cell>
          <cell r="C2083" t="str">
            <v>ESCO</v>
          </cell>
          <cell r="D2083" t="str">
            <v>Medium Grid + Solar + GE</v>
          </cell>
        </row>
        <row r="2084">
          <cell r="A2084" t="str">
            <v>SUD_019</v>
          </cell>
          <cell r="B2084" t="str">
            <v>CAMUSAT</v>
          </cell>
          <cell r="C2084" t="str">
            <v>ESCO</v>
          </cell>
          <cell r="D2084" t="str">
            <v>Bad Grid + GE</v>
          </cell>
        </row>
        <row r="2085">
          <cell r="A2085" t="str">
            <v>SUD_041</v>
          </cell>
          <cell r="B2085" t="str">
            <v>CAMUSAT</v>
          </cell>
          <cell r="C2085" t="str">
            <v>ESCO</v>
          </cell>
          <cell r="D2085" t="str">
            <v>Good Grid + GE</v>
          </cell>
        </row>
        <row r="2086">
          <cell r="A2086" t="str">
            <v>SUD_055</v>
          </cell>
          <cell r="B2086" t="str">
            <v>CAMUSAT</v>
          </cell>
          <cell r="C2086" t="str">
            <v>ESCO</v>
          </cell>
          <cell r="D2086" t="str">
            <v>Good Grid no GE - 8h</v>
          </cell>
        </row>
        <row r="2087">
          <cell r="A2087" t="str">
            <v>SUD_071</v>
          </cell>
          <cell r="B2087" t="str">
            <v>CAMUSAT</v>
          </cell>
          <cell r="C2087" t="str">
            <v>ESCO</v>
          </cell>
          <cell r="D2087" t="str">
            <v>Good Grid no GE - 8h</v>
          </cell>
        </row>
        <row r="2088">
          <cell r="A2088" t="str">
            <v>SUD_073</v>
          </cell>
          <cell r="B2088" t="str">
            <v>CAMUSAT</v>
          </cell>
          <cell r="C2088" t="str">
            <v>ESCO</v>
          </cell>
          <cell r="D2088" t="str">
            <v>HGB</v>
          </cell>
        </row>
        <row r="2089">
          <cell r="A2089" t="str">
            <v>SUD_078</v>
          </cell>
          <cell r="B2089" t="str">
            <v>CAMUSAT</v>
          </cell>
          <cell r="C2089" t="str">
            <v>ESCO</v>
          </cell>
          <cell r="D2089" t="str">
            <v>Bad Grid + GE</v>
          </cell>
        </row>
        <row r="2090">
          <cell r="A2090" t="str">
            <v>SUD_079</v>
          </cell>
          <cell r="B2090" t="str">
            <v>CAMUSAT</v>
          </cell>
          <cell r="C2090" t="str">
            <v>ESCO</v>
          </cell>
          <cell r="D2090" t="str">
            <v>Medium Grid + Solar + GE</v>
          </cell>
        </row>
        <row r="2091">
          <cell r="A2091" t="str">
            <v>SUD_081</v>
          </cell>
          <cell r="B2091" t="str">
            <v>CAMUSAT</v>
          </cell>
          <cell r="C2091" t="str">
            <v>ESCO</v>
          </cell>
          <cell r="D2091" t="str">
            <v>Good Grid + Solar + GE</v>
          </cell>
        </row>
        <row r="2092">
          <cell r="A2092" t="str">
            <v>SUD_085</v>
          </cell>
          <cell r="B2092" t="str">
            <v>CAMUSAT</v>
          </cell>
          <cell r="C2092" t="str">
            <v>ESCO</v>
          </cell>
          <cell r="D2092" t="str">
            <v>Hybrid Solar - S3</v>
          </cell>
        </row>
        <row r="2093">
          <cell r="A2093" t="str">
            <v>SUD_086</v>
          </cell>
          <cell r="B2093" t="str">
            <v>CAMUSAT</v>
          </cell>
          <cell r="C2093" t="str">
            <v>ESCO</v>
          </cell>
          <cell r="D2093" t="str">
            <v>HGB</v>
          </cell>
        </row>
        <row r="2094">
          <cell r="A2094" t="str">
            <v>SUD_088</v>
          </cell>
          <cell r="B2094" t="str">
            <v>CAMUSAT</v>
          </cell>
          <cell r="C2094" t="str">
            <v>ESCO</v>
          </cell>
          <cell r="D2094" t="str">
            <v>Medium Grid + GE</v>
          </cell>
        </row>
        <row r="2095">
          <cell r="A2095" t="str">
            <v>SUD_090</v>
          </cell>
          <cell r="B2095" t="str">
            <v>CAMUSAT</v>
          </cell>
          <cell r="C2095" t="str">
            <v>ESCO</v>
          </cell>
          <cell r="D2095" t="str">
            <v>HGB</v>
          </cell>
        </row>
        <row r="2096">
          <cell r="A2096" t="str">
            <v>SUD_091</v>
          </cell>
          <cell r="B2096" t="str">
            <v>CAMUSAT</v>
          </cell>
          <cell r="C2096" t="str">
            <v>ESCO</v>
          </cell>
          <cell r="D2096" t="str">
            <v>Good Grid no GE - 8h</v>
          </cell>
        </row>
        <row r="2097">
          <cell r="A2097" t="str">
            <v>SUD_092</v>
          </cell>
          <cell r="B2097" t="str">
            <v>CAMUSAT</v>
          </cell>
          <cell r="C2097" t="str">
            <v>ESCO</v>
          </cell>
          <cell r="D2097" t="str">
            <v>Good Grid no GE - 8h</v>
          </cell>
        </row>
        <row r="2098">
          <cell r="A2098" t="str">
            <v>SUD_093</v>
          </cell>
          <cell r="B2098" t="str">
            <v>CAMUSAT</v>
          </cell>
          <cell r="C2098" t="str">
            <v>ESCO</v>
          </cell>
          <cell r="D2098" t="str">
            <v>Good Grid + GE</v>
          </cell>
        </row>
        <row r="2099">
          <cell r="A2099" t="str">
            <v>SUD_094</v>
          </cell>
          <cell r="B2099" t="str">
            <v>CAMUSAT</v>
          </cell>
          <cell r="C2099" t="str">
            <v>ESCO</v>
          </cell>
          <cell r="D2099" t="str">
            <v>Good Grid + GE</v>
          </cell>
        </row>
        <row r="2100">
          <cell r="A2100" t="str">
            <v>SUD_095</v>
          </cell>
          <cell r="B2100" t="str">
            <v>CAMUSAT</v>
          </cell>
          <cell r="C2100" t="str">
            <v>ESCO</v>
          </cell>
          <cell r="D2100" t="str">
            <v>Good Grid + GE</v>
          </cell>
        </row>
        <row r="2101">
          <cell r="A2101" t="str">
            <v>SUD_096</v>
          </cell>
          <cell r="B2101" t="str">
            <v>CAMUSAT</v>
          </cell>
          <cell r="C2101" t="str">
            <v>ESCO</v>
          </cell>
          <cell r="D2101" t="str">
            <v>Good Grid + Solar + GE</v>
          </cell>
        </row>
        <row r="2102">
          <cell r="A2102" t="str">
            <v>SUD_097</v>
          </cell>
          <cell r="B2102" t="str">
            <v>CAMUSAT</v>
          </cell>
          <cell r="C2102" t="str">
            <v>ESCO</v>
          </cell>
          <cell r="D2102" t="str">
            <v>Good Grid + GE</v>
          </cell>
        </row>
        <row r="2103">
          <cell r="A2103" t="str">
            <v>SUD_098</v>
          </cell>
          <cell r="B2103" t="str">
            <v>CAMUSAT</v>
          </cell>
          <cell r="C2103" t="str">
            <v>ESCO</v>
          </cell>
          <cell r="D2103" t="str">
            <v>Good Grid no GE - 12h</v>
          </cell>
        </row>
        <row r="2104">
          <cell r="A2104" t="str">
            <v>SUD_099</v>
          </cell>
          <cell r="B2104" t="str">
            <v>CAMUSAT</v>
          </cell>
          <cell r="C2104" t="str">
            <v>ESCO</v>
          </cell>
          <cell r="D2104" t="str">
            <v>HGB</v>
          </cell>
        </row>
        <row r="2105">
          <cell r="A2105" t="str">
            <v>SUD_100</v>
          </cell>
          <cell r="B2105" t="str">
            <v>CAMUSAT</v>
          </cell>
          <cell r="C2105" t="str">
            <v>ESCO</v>
          </cell>
          <cell r="D2105" t="str">
            <v>Medium Grid + GE</v>
          </cell>
        </row>
        <row r="2106">
          <cell r="A2106" t="str">
            <v>SUD_103</v>
          </cell>
          <cell r="B2106" t="str">
            <v>CAMUSAT</v>
          </cell>
          <cell r="C2106" t="str">
            <v>ESCO</v>
          </cell>
          <cell r="D2106" t="str">
            <v>Bad Grid + GE</v>
          </cell>
        </row>
        <row r="2107">
          <cell r="A2107" t="str">
            <v>SUD_243</v>
          </cell>
          <cell r="B2107" t="str">
            <v>CAMUSAT</v>
          </cell>
          <cell r="C2107" t="str">
            <v>ESCO</v>
          </cell>
          <cell r="D2107" t="str">
            <v>HGB</v>
          </cell>
        </row>
        <row r="2108">
          <cell r="A2108" t="str">
            <v>SUD_257</v>
          </cell>
          <cell r="B2108" t="str">
            <v>CAMUSAT</v>
          </cell>
          <cell r="C2108" t="str">
            <v>ESCO</v>
          </cell>
          <cell r="D2108" t="str">
            <v>Hybrid Solar - S3</v>
          </cell>
        </row>
        <row r="2109">
          <cell r="A2109" t="str">
            <v>SUD_260</v>
          </cell>
          <cell r="B2109" t="str">
            <v>CAMUSAT</v>
          </cell>
          <cell r="C2109" t="str">
            <v>ESCO</v>
          </cell>
          <cell r="D2109" t="str">
            <v>Good Grid + GE</v>
          </cell>
        </row>
        <row r="2110">
          <cell r="A2110" t="str">
            <v>SUO_009</v>
          </cell>
          <cell r="B2110" t="str">
            <v>CAMUSAT</v>
          </cell>
          <cell r="C2110" t="str">
            <v>ESCO</v>
          </cell>
          <cell r="D2110" t="str">
            <v>Bad Grid + GE</v>
          </cell>
        </row>
        <row r="2111">
          <cell r="A2111" t="str">
            <v>SUO_164</v>
          </cell>
          <cell r="B2111" t="str">
            <v>CAMUSAT</v>
          </cell>
          <cell r="C2111" t="str">
            <v>ESCO</v>
          </cell>
          <cell r="D2111" t="str">
            <v>Medium Grid + Solar + GE</v>
          </cell>
        </row>
        <row r="2112">
          <cell r="A2112" t="str">
            <v>SUO_173</v>
          </cell>
          <cell r="B2112" t="str">
            <v>CAMUSAT</v>
          </cell>
          <cell r="C2112" t="str">
            <v>ESCO</v>
          </cell>
          <cell r="D2112" t="str">
            <v>Good Grid no GE - 8h</v>
          </cell>
        </row>
        <row r="2113">
          <cell r="A2113" t="str">
            <v>SUO_226</v>
          </cell>
          <cell r="B2113" t="str">
            <v>CAMUSAT</v>
          </cell>
          <cell r="C2113" t="str">
            <v>ESCO</v>
          </cell>
          <cell r="D2113" t="str">
            <v>Good Grid no GE - 8h</v>
          </cell>
        </row>
        <row r="2114">
          <cell r="A2114" t="str">
            <v>SUO_227</v>
          </cell>
          <cell r="B2114" t="str">
            <v>CAMUSAT</v>
          </cell>
          <cell r="C2114" t="str">
            <v>ESCO</v>
          </cell>
          <cell r="D2114" t="str">
            <v>Good Grid no GE - 8h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euil1"/>
      <sheetName val="Teleinfra"/>
      <sheetName val="I-Eng"/>
      <sheetName val="FME"/>
      <sheetName val="H.Teli"/>
      <sheetName val="Overall"/>
      <sheetName val="Power "/>
      <sheetName val="Codification"/>
      <sheetName val="cells down 07112024 18H"/>
      <sheetName val="cells down 08112024 9H"/>
      <sheetName val="cells down 08112024 13H"/>
      <sheetName val="cells down 08112024 16H"/>
      <sheetName val="cells down 10112024 16H "/>
      <sheetName val="cells down 16112024 17H"/>
      <sheetName val="cells down 17112024 9H"/>
      <sheetName val="cells down 17112024 13H"/>
      <sheetName val="cells down 18112024 9H"/>
      <sheetName val="cells down 18112024 17H"/>
      <sheetName val="Cells down 260824 9H30 (2)"/>
      <sheetName val="cells down 01112024 9h"/>
      <sheetName val="cells down 02112024 17h "/>
      <sheetName val="cells down 03112024 9h"/>
      <sheetName val="cells down 03112024 13h"/>
      <sheetName val="cells down 03112024 17h "/>
      <sheetName val="cells down 04112024 9h"/>
      <sheetName val="cells down 04112024 16h"/>
      <sheetName val="cells down 05112024 9H"/>
      <sheetName val="cells down 05112024 16H"/>
      <sheetName val="cells down 06112024 9H"/>
      <sheetName val="cells down 06112024 13H"/>
      <sheetName val="cells down 06112024 16H"/>
      <sheetName val="cells down 07112024 9H"/>
      <sheetName val="cells down 07112024 13H"/>
      <sheetName val="cells down 07112024 16H"/>
      <sheetName val="cells down 09112024 9H30"/>
      <sheetName val="cells down 09112024 12H30 "/>
      <sheetName val="cells down 09112024 16H "/>
      <sheetName val="cells down 10112024 9H"/>
      <sheetName val="cells down 10112024 12H "/>
      <sheetName val="cells down 11112024 9H"/>
      <sheetName val="cells down 11112024 13H"/>
      <sheetName val="cells down 11112024 16H"/>
      <sheetName val="cells down 12112024 9H"/>
      <sheetName val="cells down 12112024 14H"/>
      <sheetName val="cells down 12112024 16H "/>
      <sheetName val="cells down 13112024 9H "/>
      <sheetName val="cells down 13112024 14H"/>
      <sheetName val="cells down 13112024 17H"/>
      <sheetName val="cells down 14112024 9H"/>
      <sheetName val="cells down 14112024 14H"/>
      <sheetName val="cells down 14112024 17H"/>
      <sheetName val="cells down 15112024 9H"/>
      <sheetName val="cells down 15112024 14H"/>
      <sheetName val="cells down 15112024 17H"/>
      <sheetName val="cells down 16112024 9H"/>
      <sheetName val="cells down 16112024 14H"/>
      <sheetName val="cells down 17112024 16H"/>
      <sheetName val="cells down 18112024 13H"/>
      <sheetName val="cells down 19112024 9H"/>
      <sheetName val="cells down 19112024 18H"/>
      <sheetName val="cells down 19112024 14H"/>
      <sheetName val="Breackdown-Global"/>
      <sheetName val="New"/>
      <sheetName val="UP"/>
    </sheetNames>
    <sheetDataSet>
      <sheetData sheetId="0" refreshError="1">
        <row r="1">
          <cell r="A1" t="str">
            <v>Code site</v>
          </cell>
          <cell r="B1" t="str">
            <v>Ville/localite</v>
          </cell>
        </row>
        <row r="2">
          <cell r="A2" t="str">
            <v>LIT_367</v>
          </cell>
          <cell r="B2" t="str">
            <v>Douala</v>
          </cell>
        </row>
        <row r="3">
          <cell r="A3" t="str">
            <v>CTR_124</v>
          </cell>
          <cell r="B3" t="str">
            <v>Yaounde</v>
          </cell>
        </row>
        <row r="4">
          <cell r="A4" t="str">
            <v>CTR_198</v>
          </cell>
          <cell r="B4" t="str">
            <v>Yaounde</v>
          </cell>
        </row>
        <row r="5">
          <cell r="A5" t="str">
            <v>LIT_126</v>
          </cell>
          <cell r="B5" t="str">
            <v>Douala</v>
          </cell>
        </row>
        <row r="6">
          <cell r="A6" t="str">
            <v>LIT_139</v>
          </cell>
          <cell r="B6" t="str">
            <v>Douala</v>
          </cell>
        </row>
        <row r="7">
          <cell r="A7" t="str">
            <v>LIT_045</v>
          </cell>
          <cell r="B7" t="str">
            <v>Douala</v>
          </cell>
        </row>
        <row r="8">
          <cell r="A8" t="str">
            <v>CTR_002</v>
          </cell>
          <cell r="B8" t="str">
            <v>Yaounde</v>
          </cell>
        </row>
        <row r="9">
          <cell r="A9" t="str">
            <v>CTR_240</v>
          </cell>
          <cell r="B9" t="str">
            <v>Yaounde</v>
          </cell>
        </row>
        <row r="10">
          <cell r="A10" t="str">
            <v>CTR_323</v>
          </cell>
          <cell r="B10" t="str">
            <v>Yaounde</v>
          </cell>
        </row>
        <row r="11">
          <cell r="A11" t="str">
            <v>CTR_127</v>
          </cell>
          <cell r="B11" t="str">
            <v>Yaounde</v>
          </cell>
        </row>
        <row r="12">
          <cell r="A12" t="str">
            <v>CTR_389</v>
          </cell>
          <cell r="B12" t="str">
            <v>Yaounde</v>
          </cell>
        </row>
        <row r="13">
          <cell r="A13" t="str">
            <v>LIT_244</v>
          </cell>
          <cell r="B13" t="str">
            <v>Douala</v>
          </cell>
        </row>
        <row r="14">
          <cell r="A14" t="str">
            <v>CTR_578</v>
          </cell>
          <cell r="B14" t="str">
            <v>Yaounde</v>
          </cell>
        </row>
        <row r="15">
          <cell r="A15" t="str">
            <v>CTR_102</v>
          </cell>
          <cell r="B15" t="str">
            <v>Yaounde</v>
          </cell>
        </row>
        <row r="16">
          <cell r="A16" t="str">
            <v>LIT_008</v>
          </cell>
          <cell r="B16" t="str">
            <v>Douala</v>
          </cell>
        </row>
        <row r="17">
          <cell r="A17" t="str">
            <v>CTR_377</v>
          </cell>
          <cell r="B17" t="str">
            <v>Yaounde</v>
          </cell>
        </row>
        <row r="18">
          <cell r="A18" t="str">
            <v>CTR_548</v>
          </cell>
          <cell r="B18" t="str">
            <v>Yaounde</v>
          </cell>
        </row>
        <row r="19">
          <cell r="A19" t="str">
            <v>LIT_082</v>
          </cell>
          <cell r="B19" t="str">
            <v>Douala</v>
          </cell>
        </row>
        <row r="20">
          <cell r="A20" t="str">
            <v>SUO_050</v>
          </cell>
          <cell r="B20" t="str">
            <v>Limbe</v>
          </cell>
        </row>
        <row r="21">
          <cell r="A21" t="str">
            <v>SUO_065</v>
          </cell>
          <cell r="B21" t="str">
            <v>Limbe</v>
          </cell>
        </row>
        <row r="22">
          <cell r="A22" t="str">
            <v>CTR_401</v>
          </cell>
          <cell r="B22" t="str">
            <v>Yaounde</v>
          </cell>
        </row>
        <row r="23">
          <cell r="A23" t="str">
            <v>CTR_014</v>
          </cell>
          <cell r="B23" t="str">
            <v>Yaounde</v>
          </cell>
        </row>
        <row r="24">
          <cell r="A24" t="str">
            <v>CTR_125</v>
          </cell>
          <cell r="B24" t="str">
            <v>Yaounde</v>
          </cell>
        </row>
        <row r="25">
          <cell r="A25" t="str">
            <v>CTR_373</v>
          </cell>
          <cell r="B25" t="str">
            <v>Yaounde</v>
          </cell>
        </row>
        <row r="26">
          <cell r="A26" t="str">
            <v>LIT_406</v>
          </cell>
          <cell r="B26" t="str">
            <v>Douala</v>
          </cell>
        </row>
        <row r="27">
          <cell r="A27" t="str">
            <v>LIT_525</v>
          </cell>
          <cell r="B27" t="str">
            <v>Douala</v>
          </cell>
        </row>
        <row r="28">
          <cell r="A28" t="str">
            <v>CTR_009</v>
          </cell>
          <cell r="B28" t="str">
            <v>Yaounde</v>
          </cell>
        </row>
        <row r="29">
          <cell r="A29" t="str">
            <v>CTR_011</v>
          </cell>
          <cell r="B29" t="str">
            <v>Yaounde</v>
          </cell>
        </row>
        <row r="30">
          <cell r="A30" t="str">
            <v>CTR_251</v>
          </cell>
          <cell r="B30" t="str">
            <v>Yaounde</v>
          </cell>
        </row>
        <row r="31">
          <cell r="A31" t="str">
            <v>LIT_083</v>
          </cell>
          <cell r="B31" t="str">
            <v>Douala</v>
          </cell>
        </row>
        <row r="32">
          <cell r="A32" t="str">
            <v>LIT_258</v>
          </cell>
          <cell r="B32" t="str">
            <v>Douala</v>
          </cell>
        </row>
        <row r="33">
          <cell r="A33" t="str">
            <v>NRO_016</v>
          </cell>
          <cell r="B33" t="str">
            <v>Bamenda</v>
          </cell>
        </row>
        <row r="34">
          <cell r="A34" t="str">
            <v>LIT_125</v>
          </cell>
          <cell r="B34" t="str">
            <v>Douala</v>
          </cell>
        </row>
        <row r="35">
          <cell r="A35" t="str">
            <v>CTR_372</v>
          </cell>
          <cell r="B35" t="str">
            <v>Yaounde</v>
          </cell>
        </row>
        <row r="36">
          <cell r="A36" t="str">
            <v>CTR_090</v>
          </cell>
          <cell r="B36" t="str">
            <v>Yaounde</v>
          </cell>
        </row>
        <row r="37">
          <cell r="A37" t="str">
            <v>CTR_157</v>
          </cell>
          <cell r="B37" t="str">
            <v>Yaounde</v>
          </cell>
        </row>
        <row r="38">
          <cell r="A38" t="str">
            <v>CTR_524</v>
          </cell>
          <cell r="B38" t="str">
            <v>Yaounde</v>
          </cell>
        </row>
        <row r="39">
          <cell r="A39" t="str">
            <v>CTR_074</v>
          </cell>
          <cell r="B39" t="str">
            <v>Yaounde</v>
          </cell>
        </row>
        <row r="40">
          <cell r="A40" t="str">
            <v>CTR_285</v>
          </cell>
          <cell r="B40" t="str">
            <v>Yaounde</v>
          </cell>
        </row>
        <row r="41">
          <cell r="A41" t="str">
            <v>CTR_519</v>
          </cell>
          <cell r="B41" t="str">
            <v>Yaounde</v>
          </cell>
        </row>
        <row r="42">
          <cell r="A42" t="str">
            <v>SUO_154</v>
          </cell>
          <cell r="B42" t="str">
            <v>Limbe</v>
          </cell>
        </row>
        <row r="43">
          <cell r="A43" t="str">
            <v>CTR_122</v>
          </cell>
          <cell r="B43" t="str">
            <v>Yaounde</v>
          </cell>
        </row>
        <row r="44">
          <cell r="A44" t="str">
            <v>CTR_050</v>
          </cell>
          <cell r="B44" t="str">
            <v>Yaounde</v>
          </cell>
        </row>
        <row r="45">
          <cell r="A45" t="str">
            <v>CTR_326</v>
          </cell>
          <cell r="B45" t="str">
            <v>Yaounde</v>
          </cell>
        </row>
        <row r="46">
          <cell r="A46" t="str">
            <v>CTR_543</v>
          </cell>
          <cell r="B46" t="str">
            <v>Yaounde</v>
          </cell>
        </row>
        <row r="47">
          <cell r="A47" t="str">
            <v>CTR_330</v>
          </cell>
          <cell r="B47" t="str">
            <v>Yaounde</v>
          </cell>
        </row>
        <row r="48">
          <cell r="A48" t="str">
            <v>CTR_035</v>
          </cell>
          <cell r="B48" t="str">
            <v>Yaounde</v>
          </cell>
        </row>
        <row r="49">
          <cell r="A49" t="str">
            <v>CTR_012</v>
          </cell>
          <cell r="B49" t="str">
            <v>Yaounde</v>
          </cell>
        </row>
        <row r="50">
          <cell r="A50" t="str">
            <v>LIT_056</v>
          </cell>
          <cell r="B50" t="str">
            <v>Douala</v>
          </cell>
        </row>
        <row r="51">
          <cell r="A51" t="str">
            <v>CTR_478</v>
          </cell>
          <cell r="B51" t="str">
            <v>Yaounde</v>
          </cell>
        </row>
        <row r="52">
          <cell r="A52" t="str">
            <v>LIT_153</v>
          </cell>
          <cell r="B52" t="str">
            <v>Douala</v>
          </cell>
        </row>
        <row r="53">
          <cell r="A53" t="str">
            <v>LIT_413</v>
          </cell>
          <cell r="B53" t="str">
            <v>Douala</v>
          </cell>
        </row>
        <row r="54">
          <cell r="A54" t="str">
            <v>LIT_015</v>
          </cell>
          <cell r="B54" t="str">
            <v>Douala</v>
          </cell>
        </row>
        <row r="55">
          <cell r="A55" t="str">
            <v>NRO_061</v>
          </cell>
          <cell r="B55" t="str">
            <v>Bambili</v>
          </cell>
        </row>
        <row r="56">
          <cell r="A56" t="str">
            <v>LIT_382</v>
          </cell>
          <cell r="B56" t="str">
            <v>Douala</v>
          </cell>
        </row>
        <row r="57">
          <cell r="A57" t="str">
            <v>LIT_347</v>
          </cell>
          <cell r="B57" t="str">
            <v>Douala</v>
          </cell>
        </row>
        <row r="58">
          <cell r="A58" t="str">
            <v>CTR_200</v>
          </cell>
          <cell r="B58" t="str">
            <v>Yaounde</v>
          </cell>
        </row>
        <row r="59">
          <cell r="A59" t="str">
            <v>LIT_256</v>
          </cell>
          <cell r="B59" t="str">
            <v>Douala</v>
          </cell>
        </row>
        <row r="60">
          <cell r="A60" t="str">
            <v>LIT_405</v>
          </cell>
          <cell r="B60" t="str">
            <v>Douala</v>
          </cell>
        </row>
        <row r="61">
          <cell r="A61" t="str">
            <v>LIT_412</v>
          </cell>
          <cell r="B61" t="str">
            <v>Douala</v>
          </cell>
        </row>
        <row r="62">
          <cell r="A62" t="str">
            <v>LIT_120</v>
          </cell>
          <cell r="B62" t="str">
            <v>Douala</v>
          </cell>
        </row>
        <row r="63">
          <cell r="A63" t="str">
            <v>LIT_060</v>
          </cell>
          <cell r="B63" t="str">
            <v>Douala</v>
          </cell>
        </row>
        <row r="64">
          <cell r="A64" t="str">
            <v>LIT_104</v>
          </cell>
          <cell r="B64" t="str">
            <v>Douala</v>
          </cell>
        </row>
        <row r="65">
          <cell r="A65" t="str">
            <v>LIT_410</v>
          </cell>
          <cell r="B65" t="str">
            <v>Douala</v>
          </cell>
        </row>
        <row r="66">
          <cell r="A66" t="str">
            <v>SUO_077</v>
          </cell>
          <cell r="B66" t="str">
            <v>Buea</v>
          </cell>
        </row>
        <row r="67">
          <cell r="A67" t="str">
            <v>SUO_007</v>
          </cell>
          <cell r="B67" t="str">
            <v>Buea</v>
          </cell>
        </row>
        <row r="68">
          <cell r="A68" t="str">
            <v>SUO_062</v>
          </cell>
          <cell r="B68" t="str">
            <v>Buea</v>
          </cell>
        </row>
        <row r="69">
          <cell r="A69" t="str">
            <v>LIT_311</v>
          </cell>
          <cell r="B69" t="str">
            <v>Douala</v>
          </cell>
        </row>
        <row r="70">
          <cell r="A70" t="str">
            <v>LIT_281</v>
          </cell>
          <cell r="B70" t="str">
            <v>Douala</v>
          </cell>
        </row>
        <row r="71">
          <cell r="A71" t="str">
            <v>CTR_375</v>
          </cell>
          <cell r="B71" t="str">
            <v>Yaounde</v>
          </cell>
        </row>
        <row r="72">
          <cell r="A72" t="str">
            <v>LIT_263</v>
          </cell>
          <cell r="B72" t="str">
            <v>Douala</v>
          </cell>
        </row>
        <row r="73">
          <cell r="A73" t="str">
            <v>LIT_036</v>
          </cell>
          <cell r="B73" t="str">
            <v>Douala</v>
          </cell>
        </row>
        <row r="74">
          <cell r="A74" t="str">
            <v>CTR_207</v>
          </cell>
          <cell r="B74" t="str">
            <v>Yaounde</v>
          </cell>
        </row>
        <row r="75">
          <cell r="A75" t="str">
            <v>CTR_197</v>
          </cell>
          <cell r="B75" t="str">
            <v>Yaounde</v>
          </cell>
        </row>
        <row r="76">
          <cell r="A76" t="str">
            <v>LIT_018</v>
          </cell>
          <cell r="B76" t="str">
            <v>Douala</v>
          </cell>
        </row>
        <row r="77">
          <cell r="A77" t="str">
            <v>LIT_161</v>
          </cell>
          <cell r="B77" t="str">
            <v>Douala</v>
          </cell>
        </row>
        <row r="78">
          <cell r="A78" t="str">
            <v>CTR_414</v>
          </cell>
          <cell r="B78" t="str">
            <v>Yaounde</v>
          </cell>
        </row>
        <row r="79">
          <cell r="A79" t="str">
            <v>CTR_046</v>
          </cell>
          <cell r="B79" t="str">
            <v>Yaounde</v>
          </cell>
        </row>
        <row r="80">
          <cell r="A80" t="str">
            <v>CTR_256</v>
          </cell>
          <cell r="B80" t="str">
            <v>Yaounde</v>
          </cell>
        </row>
        <row r="81">
          <cell r="A81" t="str">
            <v>CTR_209</v>
          </cell>
          <cell r="B81" t="str">
            <v>Yaounde</v>
          </cell>
        </row>
        <row r="82">
          <cell r="A82" t="str">
            <v>CTR_076</v>
          </cell>
          <cell r="B82" t="str">
            <v>Yaounde</v>
          </cell>
        </row>
        <row r="83">
          <cell r="A83" t="str">
            <v>LIT_065</v>
          </cell>
          <cell r="B83" t="str">
            <v>Douala</v>
          </cell>
        </row>
        <row r="84">
          <cell r="A84" t="str">
            <v>LIT_325</v>
          </cell>
          <cell r="B84" t="str">
            <v>Douala</v>
          </cell>
        </row>
        <row r="85">
          <cell r="A85" t="str">
            <v>LIT_248</v>
          </cell>
          <cell r="B85" t="str">
            <v>Douala</v>
          </cell>
        </row>
        <row r="86">
          <cell r="A86" t="str">
            <v>CTR_044</v>
          </cell>
          <cell r="B86" t="str">
            <v>Yaounde</v>
          </cell>
        </row>
        <row r="87">
          <cell r="A87" t="str">
            <v>LIT_099</v>
          </cell>
          <cell r="B87" t="str">
            <v>Douala</v>
          </cell>
        </row>
        <row r="88">
          <cell r="A88" t="str">
            <v>CTR_369</v>
          </cell>
          <cell r="B88" t="str">
            <v>Yaounde</v>
          </cell>
        </row>
        <row r="89">
          <cell r="A89" t="str">
            <v>LIT_303</v>
          </cell>
          <cell r="B89" t="str">
            <v>Douala</v>
          </cell>
        </row>
        <row r="90">
          <cell r="A90" t="str">
            <v>CTR_019</v>
          </cell>
          <cell r="B90" t="str">
            <v>Yaounde</v>
          </cell>
        </row>
        <row r="91">
          <cell r="A91" t="str">
            <v>LIT_009</v>
          </cell>
          <cell r="B91" t="str">
            <v>Douala</v>
          </cell>
        </row>
        <row r="92">
          <cell r="A92" t="str">
            <v>LIT_427</v>
          </cell>
          <cell r="B92" t="str">
            <v>Douala</v>
          </cell>
        </row>
        <row r="93">
          <cell r="A93" t="str">
            <v>CTR_217</v>
          </cell>
          <cell r="B93" t="str">
            <v>Yaounde</v>
          </cell>
        </row>
        <row r="94">
          <cell r="A94" t="str">
            <v>LIT_103</v>
          </cell>
          <cell r="B94" t="str">
            <v>Douala</v>
          </cell>
        </row>
        <row r="95">
          <cell r="A95" t="str">
            <v>LIT_531</v>
          </cell>
          <cell r="B95" t="str">
            <v>Douala</v>
          </cell>
        </row>
        <row r="96">
          <cell r="A96" t="str">
            <v>CTR_382</v>
          </cell>
          <cell r="B96" t="str">
            <v>Yaounde</v>
          </cell>
        </row>
        <row r="97">
          <cell r="A97" t="str">
            <v>LIT_581</v>
          </cell>
          <cell r="B97" t="str">
            <v>Douala</v>
          </cell>
        </row>
        <row r="98">
          <cell r="A98" t="str">
            <v>LIT_023</v>
          </cell>
          <cell r="B98" t="str">
            <v>Douala</v>
          </cell>
        </row>
        <row r="99">
          <cell r="A99" t="str">
            <v>LIT_373</v>
          </cell>
          <cell r="B99" t="str">
            <v>Douala</v>
          </cell>
        </row>
        <row r="100">
          <cell r="A100" t="str">
            <v>CTR_096</v>
          </cell>
          <cell r="B100" t="str">
            <v>Yaounde</v>
          </cell>
        </row>
        <row r="101">
          <cell r="A101" t="str">
            <v>LIT_010</v>
          </cell>
          <cell r="B101" t="str">
            <v>Douala</v>
          </cell>
        </row>
        <row r="102">
          <cell r="A102" t="str">
            <v>LIT_344</v>
          </cell>
          <cell r="B102" t="str">
            <v>Douala</v>
          </cell>
        </row>
        <row r="103">
          <cell r="A103" t="str">
            <v>LIT_221</v>
          </cell>
          <cell r="B103" t="str">
            <v>Douala</v>
          </cell>
        </row>
        <row r="104">
          <cell r="A104" t="str">
            <v>LIT_090</v>
          </cell>
          <cell r="B104" t="str">
            <v>Douala</v>
          </cell>
        </row>
        <row r="105">
          <cell r="A105" t="str">
            <v>LIT_095</v>
          </cell>
          <cell r="B105" t="str">
            <v>Douala</v>
          </cell>
        </row>
        <row r="106">
          <cell r="A106" t="str">
            <v>CTR_246</v>
          </cell>
          <cell r="B106" t="str">
            <v>Yaounde</v>
          </cell>
        </row>
        <row r="107">
          <cell r="A107" t="str">
            <v>CTR_333</v>
          </cell>
          <cell r="B107" t="str">
            <v>Yaounde</v>
          </cell>
        </row>
        <row r="108">
          <cell r="A108" t="str">
            <v>CTR_448</v>
          </cell>
          <cell r="B108" t="str">
            <v>Yaounde</v>
          </cell>
        </row>
        <row r="109">
          <cell r="A109" t="str">
            <v>LIT_091</v>
          </cell>
          <cell r="B109" t="str">
            <v>Douala</v>
          </cell>
        </row>
        <row r="110">
          <cell r="A110" t="str">
            <v>CTR_038</v>
          </cell>
          <cell r="B110" t="str">
            <v>Yaounde</v>
          </cell>
        </row>
        <row r="111">
          <cell r="A111" t="str">
            <v>CTR_540</v>
          </cell>
          <cell r="B111" t="str">
            <v>Yaounde</v>
          </cell>
        </row>
        <row r="112">
          <cell r="A112" t="str">
            <v>LIT_122</v>
          </cell>
          <cell r="B112" t="str">
            <v>Douala</v>
          </cell>
        </row>
        <row r="113">
          <cell r="A113" t="str">
            <v>LIT_073</v>
          </cell>
          <cell r="B113" t="str">
            <v>Douala</v>
          </cell>
        </row>
        <row r="114">
          <cell r="A114" t="str">
            <v>CTR_128</v>
          </cell>
          <cell r="B114" t="str">
            <v>Yaounde</v>
          </cell>
        </row>
        <row r="115">
          <cell r="A115" t="str">
            <v>CTR_449</v>
          </cell>
          <cell r="B115" t="str">
            <v>Yaounde</v>
          </cell>
        </row>
        <row r="116">
          <cell r="A116" t="str">
            <v>CTR_199</v>
          </cell>
          <cell r="B116" t="str">
            <v>Yaounde</v>
          </cell>
        </row>
        <row r="117">
          <cell r="A117" t="str">
            <v>CTR_210</v>
          </cell>
          <cell r="B117" t="str">
            <v>Yaounde</v>
          </cell>
        </row>
        <row r="118">
          <cell r="A118" t="str">
            <v>LIT_053</v>
          </cell>
          <cell r="B118" t="str">
            <v>Douala</v>
          </cell>
        </row>
        <row r="119">
          <cell r="A119" t="str">
            <v>LIT_407</v>
          </cell>
          <cell r="B119" t="str">
            <v>Douala</v>
          </cell>
        </row>
        <row r="120">
          <cell r="A120" t="str">
            <v>LIT_141</v>
          </cell>
          <cell r="B120" t="str">
            <v>Douala</v>
          </cell>
        </row>
        <row r="121">
          <cell r="A121" t="str">
            <v>LIT_024</v>
          </cell>
          <cell r="B121" t="str">
            <v>Douala</v>
          </cell>
        </row>
        <row r="122">
          <cell r="A122" t="str">
            <v>CTR_475</v>
          </cell>
          <cell r="B122" t="str">
            <v>Yaounde</v>
          </cell>
        </row>
        <row r="123">
          <cell r="A123" t="str">
            <v>LIT_429</v>
          </cell>
          <cell r="B123" t="str">
            <v>Douala</v>
          </cell>
        </row>
        <row r="124">
          <cell r="A124" t="str">
            <v>LIT_014</v>
          </cell>
          <cell r="B124" t="str">
            <v>Douala</v>
          </cell>
        </row>
        <row r="125">
          <cell r="A125" t="str">
            <v>LIT_025</v>
          </cell>
          <cell r="B125" t="str">
            <v>Douala</v>
          </cell>
        </row>
        <row r="126">
          <cell r="A126" t="str">
            <v>LIT_087</v>
          </cell>
          <cell r="B126" t="str">
            <v>Douala</v>
          </cell>
        </row>
        <row r="127">
          <cell r="A127" t="str">
            <v>LIT_268</v>
          </cell>
          <cell r="B127" t="str">
            <v>Douala</v>
          </cell>
        </row>
        <row r="128">
          <cell r="A128" t="str">
            <v>CTR_263</v>
          </cell>
          <cell r="B128" t="str">
            <v>Yaounde</v>
          </cell>
        </row>
        <row r="129">
          <cell r="A129" t="str">
            <v>CTR_482</v>
          </cell>
          <cell r="B129" t="str">
            <v>Yaounde</v>
          </cell>
        </row>
        <row r="130">
          <cell r="A130" t="str">
            <v>CTR_129</v>
          </cell>
          <cell r="B130" t="str">
            <v>Yaounde</v>
          </cell>
        </row>
        <row r="131">
          <cell r="A131" t="str">
            <v>CTR_195</v>
          </cell>
          <cell r="B131" t="str">
            <v>Yaounde</v>
          </cell>
        </row>
        <row r="132">
          <cell r="A132" t="str">
            <v>CTR_164</v>
          </cell>
          <cell r="B132" t="str">
            <v>Yaounde</v>
          </cell>
        </row>
        <row r="133">
          <cell r="A133" t="str">
            <v>LIT_055</v>
          </cell>
          <cell r="B133" t="str">
            <v>Douala</v>
          </cell>
        </row>
        <row r="134">
          <cell r="A134" t="str">
            <v>LIT_453</v>
          </cell>
          <cell r="B134" t="str">
            <v>Douala</v>
          </cell>
        </row>
        <row r="135">
          <cell r="A135" t="str">
            <v>CTR_168</v>
          </cell>
          <cell r="B135" t="str">
            <v>Yaounde</v>
          </cell>
        </row>
        <row r="136">
          <cell r="A136" t="str">
            <v>CTR_374</v>
          </cell>
          <cell r="B136" t="str">
            <v>Yaounde</v>
          </cell>
        </row>
        <row r="137">
          <cell r="A137" t="str">
            <v>CTR_236</v>
          </cell>
          <cell r="B137" t="str">
            <v>Yaounde</v>
          </cell>
        </row>
        <row r="138">
          <cell r="A138" t="str">
            <v>CTR_237</v>
          </cell>
          <cell r="B138" t="str">
            <v>Yaounde</v>
          </cell>
        </row>
        <row r="139">
          <cell r="A139" t="str">
            <v>CTR_474</v>
          </cell>
          <cell r="B139" t="str">
            <v>Yaounde</v>
          </cell>
        </row>
        <row r="140">
          <cell r="A140" t="str">
            <v>LIT_444</v>
          </cell>
          <cell r="B140" t="str">
            <v>Douala</v>
          </cell>
        </row>
        <row r="141">
          <cell r="A141" t="str">
            <v>LIT_127</v>
          </cell>
          <cell r="B141" t="str">
            <v>Douala</v>
          </cell>
        </row>
        <row r="142">
          <cell r="A142" t="str">
            <v>LIT_050</v>
          </cell>
          <cell r="B142" t="str">
            <v>Douala</v>
          </cell>
        </row>
        <row r="143">
          <cell r="A143" t="str">
            <v>LIT_366</v>
          </cell>
          <cell r="B143" t="str">
            <v>Douala</v>
          </cell>
        </row>
        <row r="144">
          <cell r="A144" t="str">
            <v>LIT_097</v>
          </cell>
          <cell r="B144" t="str">
            <v>Douala</v>
          </cell>
        </row>
        <row r="145">
          <cell r="A145" t="str">
            <v>LIT_524</v>
          </cell>
          <cell r="B145" t="str">
            <v>Douala</v>
          </cell>
        </row>
        <row r="146">
          <cell r="A146" t="str">
            <v>LIT_092</v>
          </cell>
          <cell r="B146" t="str">
            <v>Douala</v>
          </cell>
        </row>
        <row r="147">
          <cell r="A147" t="str">
            <v>LIT_022</v>
          </cell>
          <cell r="B147" t="str">
            <v>Douala</v>
          </cell>
        </row>
        <row r="148">
          <cell r="A148" t="str">
            <v>CTR_395</v>
          </cell>
          <cell r="B148" t="str">
            <v>Yaounde</v>
          </cell>
        </row>
        <row r="149">
          <cell r="A149" t="str">
            <v>CTR_315</v>
          </cell>
          <cell r="B149" t="str">
            <v>Yaounde</v>
          </cell>
        </row>
        <row r="150">
          <cell r="A150" t="str">
            <v>CTR_489</v>
          </cell>
          <cell r="B150" t="str">
            <v>Yaounde</v>
          </cell>
        </row>
        <row r="151">
          <cell r="A151" t="str">
            <v>LIT_044</v>
          </cell>
          <cell r="B151" t="str">
            <v>Douala</v>
          </cell>
        </row>
        <row r="152">
          <cell r="A152" t="str">
            <v>LIT_250</v>
          </cell>
          <cell r="B152" t="str">
            <v>Douala</v>
          </cell>
        </row>
        <row r="153">
          <cell r="A153" t="str">
            <v>LIT_240</v>
          </cell>
          <cell r="B153" t="str">
            <v>Douala</v>
          </cell>
        </row>
        <row r="154">
          <cell r="A154" t="str">
            <v>LIT_392</v>
          </cell>
          <cell r="B154" t="str">
            <v>Douala</v>
          </cell>
        </row>
        <row r="155">
          <cell r="A155" t="str">
            <v>LIT_362</v>
          </cell>
          <cell r="B155" t="str">
            <v>Douala</v>
          </cell>
        </row>
        <row r="156">
          <cell r="A156" t="str">
            <v>LIT_129</v>
          </cell>
          <cell r="B156" t="str">
            <v>Douala</v>
          </cell>
        </row>
        <row r="157">
          <cell r="A157" t="str">
            <v>LIT_203</v>
          </cell>
          <cell r="B157" t="str">
            <v>Douala</v>
          </cell>
        </row>
        <row r="158">
          <cell r="A158" t="str">
            <v>LIT_364</v>
          </cell>
          <cell r="B158" t="str">
            <v>Douala</v>
          </cell>
        </row>
        <row r="159">
          <cell r="A159" t="str">
            <v>LIT_130</v>
          </cell>
          <cell r="B159" t="str">
            <v>Douala</v>
          </cell>
        </row>
        <row r="160">
          <cell r="A160" t="str">
            <v>LIT_154</v>
          </cell>
          <cell r="B160" t="str">
            <v>Douala</v>
          </cell>
        </row>
        <row r="161">
          <cell r="A161" t="str">
            <v>LIT_020</v>
          </cell>
          <cell r="B161" t="str">
            <v>Douala</v>
          </cell>
        </row>
        <row r="162">
          <cell r="A162" t="str">
            <v>LIT_085</v>
          </cell>
          <cell r="B162" t="str">
            <v>Douala</v>
          </cell>
        </row>
        <row r="163">
          <cell r="A163" t="str">
            <v>LIT_435</v>
          </cell>
          <cell r="B163" t="str">
            <v>Douala</v>
          </cell>
        </row>
        <row r="164">
          <cell r="A164" t="str">
            <v>LIT_396</v>
          </cell>
          <cell r="B164" t="str">
            <v>Douala</v>
          </cell>
        </row>
        <row r="165">
          <cell r="A165" t="str">
            <v>LIT_527</v>
          </cell>
          <cell r="B165" t="str">
            <v>Douala</v>
          </cell>
        </row>
        <row r="166">
          <cell r="A166" t="str">
            <v>LIT_074</v>
          </cell>
          <cell r="B166" t="str">
            <v>Douala</v>
          </cell>
        </row>
        <row r="167">
          <cell r="A167" t="str">
            <v>LIT_379</v>
          </cell>
          <cell r="B167" t="str">
            <v>Douala</v>
          </cell>
        </row>
        <row r="168">
          <cell r="A168" t="str">
            <v>LIT_378</v>
          </cell>
          <cell r="B168" t="str">
            <v>Douala</v>
          </cell>
        </row>
        <row r="169">
          <cell r="A169" t="str">
            <v>LIT_034</v>
          </cell>
          <cell r="B169" t="str">
            <v>Douala</v>
          </cell>
        </row>
        <row r="170">
          <cell r="A170" t="str">
            <v>LIT_340</v>
          </cell>
          <cell r="B170" t="str">
            <v>Douala</v>
          </cell>
        </row>
        <row r="171">
          <cell r="A171" t="str">
            <v>CTR_321</v>
          </cell>
          <cell r="B171" t="str">
            <v>Yaounde</v>
          </cell>
        </row>
        <row r="172">
          <cell r="A172" t="str">
            <v>LIT_247</v>
          </cell>
          <cell r="B172" t="str">
            <v>Douala</v>
          </cell>
        </row>
        <row r="173">
          <cell r="A173" t="str">
            <v>LIT_446</v>
          </cell>
          <cell r="B173" t="str">
            <v>Douala</v>
          </cell>
        </row>
        <row r="174">
          <cell r="A174" t="str">
            <v>LIT_057</v>
          </cell>
          <cell r="B174" t="str">
            <v>Douala</v>
          </cell>
        </row>
        <row r="175">
          <cell r="A175" t="str">
            <v>LIT_277</v>
          </cell>
          <cell r="B175" t="str">
            <v>Douala</v>
          </cell>
        </row>
        <row r="176">
          <cell r="A176" t="str">
            <v>LIT_162</v>
          </cell>
          <cell r="B176" t="str">
            <v>Douala</v>
          </cell>
        </row>
        <row r="177">
          <cell r="A177" t="str">
            <v>CTR_070</v>
          </cell>
          <cell r="B177" t="str">
            <v>Yaounde</v>
          </cell>
        </row>
        <row r="178">
          <cell r="A178" t="str">
            <v>LIT_168</v>
          </cell>
          <cell r="B178" t="str">
            <v>Douala</v>
          </cell>
        </row>
        <row r="179">
          <cell r="A179" t="str">
            <v>LIT_084</v>
          </cell>
          <cell r="B179" t="str">
            <v>Douala</v>
          </cell>
        </row>
        <row r="180">
          <cell r="A180" t="str">
            <v>LIT_371</v>
          </cell>
          <cell r="B180" t="str">
            <v>Douala</v>
          </cell>
        </row>
        <row r="181">
          <cell r="A181" t="str">
            <v>CTR_446</v>
          </cell>
          <cell r="B181" t="str">
            <v>Yaounde</v>
          </cell>
        </row>
        <row r="182">
          <cell r="A182" t="str">
            <v>CTR_238</v>
          </cell>
          <cell r="B182" t="str">
            <v>Yaounde</v>
          </cell>
        </row>
        <row r="183">
          <cell r="A183" t="str">
            <v>CTR_339</v>
          </cell>
          <cell r="B183" t="str">
            <v>Yaounde</v>
          </cell>
        </row>
        <row r="184">
          <cell r="A184" t="str">
            <v>LIT_061</v>
          </cell>
          <cell r="B184" t="str">
            <v>Douala</v>
          </cell>
        </row>
        <row r="185">
          <cell r="A185" t="str">
            <v>LIT_442</v>
          </cell>
          <cell r="B185" t="str">
            <v>Douala</v>
          </cell>
        </row>
        <row r="186">
          <cell r="A186" t="str">
            <v>LIT_098</v>
          </cell>
          <cell r="B186" t="str">
            <v>Douala</v>
          </cell>
        </row>
        <row r="187">
          <cell r="A187" t="str">
            <v>CTR_331</v>
          </cell>
          <cell r="B187" t="str">
            <v>Yaounde</v>
          </cell>
        </row>
        <row r="188">
          <cell r="A188" t="str">
            <v>LIT_198</v>
          </cell>
          <cell r="B188" t="str">
            <v>Douala</v>
          </cell>
        </row>
        <row r="189">
          <cell r="A189" t="str">
            <v>LIT_339</v>
          </cell>
          <cell r="B189" t="str">
            <v>Douala</v>
          </cell>
        </row>
        <row r="190">
          <cell r="A190" t="str">
            <v>CTR_196</v>
          </cell>
          <cell r="B190" t="str">
            <v>Yaounde</v>
          </cell>
        </row>
        <row r="191">
          <cell r="A191" t="str">
            <v>CTR_477</v>
          </cell>
          <cell r="B191" t="str">
            <v>Yaounde</v>
          </cell>
        </row>
        <row r="192">
          <cell r="A192" t="str">
            <v>CTR_554</v>
          </cell>
          <cell r="B192" t="str">
            <v>Yaounde</v>
          </cell>
        </row>
        <row r="193">
          <cell r="A193" t="str">
            <v>CTR_265</v>
          </cell>
          <cell r="B193" t="str">
            <v>Yaounde</v>
          </cell>
        </row>
        <row r="194">
          <cell r="A194" t="str">
            <v>CTR_255</v>
          </cell>
          <cell r="B194" t="str">
            <v>Yaounde</v>
          </cell>
        </row>
        <row r="195">
          <cell r="A195" t="str">
            <v>CTR_472</v>
          </cell>
          <cell r="B195" t="str">
            <v>Yaounde</v>
          </cell>
        </row>
        <row r="196">
          <cell r="A196" t="str">
            <v>LIT_414</v>
          </cell>
          <cell r="B196" t="str">
            <v>Douala</v>
          </cell>
        </row>
        <row r="197">
          <cell r="A197" t="str">
            <v>LIT_004</v>
          </cell>
          <cell r="B197" t="str">
            <v>Douala</v>
          </cell>
        </row>
        <row r="198">
          <cell r="A198" t="str">
            <v>LIT_345</v>
          </cell>
          <cell r="B198" t="str">
            <v>Douala</v>
          </cell>
        </row>
        <row r="199">
          <cell r="A199" t="str">
            <v>LIT_245</v>
          </cell>
          <cell r="B199" t="str">
            <v>Douala</v>
          </cell>
        </row>
        <row r="200">
          <cell r="A200" t="str">
            <v>LIT_106</v>
          </cell>
          <cell r="B200" t="str">
            <v>Douala</v>
          </cell>
        </row>
        <row r="201">
          <cell r="A201" t="str">
            <v>CTR_029</v>
          </cell>
          <cell r="B201" t="str">
            <v>Yaounde</v>
          </cell>
        </row>
        <row r="202">
          <cell r="A202" t="str">
            <v>CTR_344</v>
          </cell>
          <cell r="B202" t="str">
            <v>Yaounde</v>
          </cell>
        </row>
        <row r="203">
          <cell r="A203" t="str">
            <v>LIT_046</v>
          </cell>
          <cell r="B203" t="str">
            <v>Douala</v>
          </cell>
        </row>
        <row r="204">
          <cell r="A204" t="str">
            <v>CTR_259</v>
          </cell>
          <cell r="B204" t="str">
            <v>Yaounde</v>
          </cell>
        </row>
        <row r="205">
          <cell r="A205" t="str">
            <v>CTR_465</v>
          </cell>
          <cell r="B205" t="str">
            <v>Yaounde</v>
          </cell>
        </row>
        <row r="206">
          <cell r="A206" t="str">
            <v>CTR_269</v>
          </cell>
          <cell r="B206" t="str">
            <v>Yaounde</v>
          </cell>
        </row>
        <row r="207">
          <cell r="A207" t="str">
            <v>CTR_254</v>
          </cell>
          <cell r="B207" t="str">
            <v>Yaounde</v>
          </cell>
        </row>
        <row r="208">
          <cell r="A208" t="str">
            <v>CTR_075</v>
          </cell>
          <cell r="B208" t="str">
            <v>Yaounde</v>
          </cell>
        </row>
        <row r="209">
          <cell r="A209" t="str">
            <v>CTR_131</v>
          </cell>
          <cell r="B209" t="str">
            <v>Yaounde</v>
          </cell>
        </row>
        <row r="210">
          <cell r="A210" t="str">
            <v>CTR_047</v>
          </cell>
          <cell r="B210" t="str">
            <v>Yaounde</v>
          </cell>
        </row>
        <row r="211">
          <cell r="A211" t="str">
            <v>CTR_470</v>
          </cell>
          <cell r="B211" t="str">
            <v>Yaounde</v>
          </cell>
        </row>
        <row r="212">
          <cell r="A212" t="str">
            <v>LIT_384</v>
          </cell>
          <cell r="B212" t="str">
            <v>Douala</v>
          </cell>
        </row>
        <row r="213">
          <cell r="A213" t="str">
            <v>CTR_212</v>
          </cell>
          <cell r="B213" t="str">
            <v>Yaounde</v>
          </cell>
        </row>
        <row r="214">
          <cell r="A214" t="str">
            <v>CTR_376</v>
          </cell>
          <cell r="B214" t="str">
            <v>Yaounde</v>
          </cell>
        </row>
        <row r="215">
          <cell r="A215" t="str">
            <v>CTR_242</v>
          </cell>
          <cell r="B215" t="str">
            <v>Yaounde</v>
          </cell>
        </row>
        <row r="216">
          <cell r="A216" t="str">
            <v>CTR_266</v>
          </cell>
          <cell r="B216" t="str">
            <v>Yaounde</v>
          </cell>
        </row>
        <row r="217">
          <cell r="A217" t="str">
            <v>CTR_086</v>
          </cell>
          <cell r="B217" t="str">
            <v>Yaounde</v>
          </cell>
        </row>
        <row r="218">
          <cell r="A218" t="str">
            <v>CTR_419</v>
          </cell>
          <cell r="B218" t="str">
            <v>Yaounde</v>
          </cell>
        </row>
        <row r="219">
          <cell r="A219" t="str">
            <v>LIT_417</v>
          </cell>
          <cell r="B219" t="str">
            <v>Douala</v>
          </cell>
        </row>
        <row r="220">
          <cell r="A220" t="str">
            <v>LIT_160</v>
          </cell>
          <cell r="B220" t="str">
            <v>Douala</v>
          </cell>
        </row>
        <row r="221">
          <cell r="A221" t="str">
            <v>LIT_360</v>
          </cell>
          <cell r="B221" t="str">
            <v>Douala</v>
          </cell>
        </row>
        <row r="222">
          <cell r="A222" t="str">
            <v>CTR_327</v>
          </cell>
          <cell r="B222" t="str">
            <v>Yaounde</v>
          </cell>
        </row>
        <row r="223">
          <cell r="A223" t="str">
            <v>CTR_473</v>
          </cell>
          <cell r="B223" t="str">
            <v>Yaounde</v>
          </cell>
        </row>
        <row r="224">
          <cell r="A224" t="str">
            <v>LIT_054</v>
          </cell>
          <cell r="B224" t="str">
            <v>Douala</v>
          </cell>
        </row>
        <row r="225">
          <cell r="A225" t="str">
            <v>LIT_291</v>
          </cell>
          <cell r="B225" t="str">
            <v>Douala</v>
          </cell>
        </row>
        <row r="226">
          <cell r="A226" t="str">
            <v>CTR_336</v>
          </cell>
          <cell r="B226" t="str">
            <v>Yaounde</v>
          </cell>
        </row>
        <row r="227">
          <cell r="A227" t="str">
            <v>CTR_093</v>
          </cell>
          <cell r="B227" t="str">
            <v>Yaounde</v>
          </cell>
        </row>
        <row r="228">
          <cell r="A228" t="str">
            <v>CTR_484</v>
          </cell>
          <cell r="B228" t="str">
            <v>Yaounde</v>
          </cell>
        </row>
        <row r="229">
          <cell r="A229" t="str">
            <v>CTR_017</v>
          </cell>
          <cell r="B229" t="str">
            <v>Yaounde</v>
          </cell>
        </row>
        <row r="230">
          <cell r="A230" t="str">
            <v>LIT_100</v>
          </cell>
          <cell r="B230" t="str">
            <v>Douala</v>
          </cell>
        </row>
        <row r="231">
          <cell r="A231" t="str">
            <v>LIT_254</v>
          </cell>
          <cell r="B231" t="str">
            <v>Douala</v>
          </cell>
        </row>
        <row r="232">
          <cell r="A232" t="str">
            <v>CTR_525</v>
          </cell>
          <cell r="B232" t="str">
            <v>Yaounde</v>
          </cell>
        </row>
        <row r="233">
          <cell r="A233" t="str">
            <v>CTR_088</v>
          </cell>
          <cell r="B233" t="str">
            <v>Yaounde</v>
          </cell>
        </row>
        <row r="234">
          <cell r="A234" t="str">
            <v>LIT_047</v>
          </cell>
          <cell r="B234" t="str">
            <v>Douala</v>
          </cell>
        </row>
        <row r="235">
          <cell r="A235" t="str">
            <v>LIT_079</v>
          </cell>
          <cell r="B235" t="str">
            <v>Douala</v>
          </cell>
        </row>
        <row r="236">
          <cell r="A236" t="str">
            <v>CTR_040</v>
          </cell>
          <cell r="B236" t="str">
            <v>Yaounde</v>
          </cell>
        </row>
        <row r="237">
          <cell r="A237" t="str">
            <v>LIT_246</v>
          </cell>
          <cell r="B237" t="str">
            <v>Douala</v>
          </cell>
        </row>
        <row r="238">
          <cell r="A238" t="str">
            <v>LIT_454</v>
          </cell>
          <cell r="B238" t="str">
            <v>Douala</v>
          </cell>
        </row>
        <row r="239">
          <cell r="A239" t="str">
            <v>LIT_202</v>
          </cell>
          <cell r="B239" t="str">
            <v>Douala</v>
          </cell>
        </row>
        <row r="240">
          <cell r="A240" t="str">
            <v>CTR_015</v>
          </cell>
          <cell r="B240" t="str">
            <v>Yaounde</v>
          </cell>
        </row>
        <row r="241">
          <cell r="A241" t="str">
            <v>LIT_041</v>
          </cell>
          <cell r="B241" t="str">
            <v>Douala</v>
          </cell>
        </row>
        <row r="242">
          <cell r="A242" t="str">
            <v>LIT_297</v>
          </cell>
          <cell r="B242" t="str">
            <v>Douala</v>
          </cell>
        </row>
        <row r="243">
          <cell r="A243" t="str">
            <v>LIT_058</v>
          </cell>
          <cell r="B243" t="str">
            <v>Douala</v>
          </cell>
        </row>
        <row r="244">
          <cell r="A244" t="str">
            <v>LIT_253</v>
          </cell>
          <cell r="B244" t="str">
            <v>Douala</v>
          </cell>
        </row>
        <row r="245">
          <cell r="A245" t="str">
            <v>LIT_342</v>
          </cell>
          <cell r="B245" t="str">
            <v>Douala</v>
          </cell>
        </row>
        <row r="246">
          <cell r="A246" t="str">
            <v>LIT_440</v>
          </cell>
          <cell r="B246" t="str">
            <v>Douala</v>
          </cell>
        </row>
        <row r="247">
          <cell r="A247" t="str">
            <v>LIT_274</v>
          </cell>
          <cell r="B247" t="str">
            <v>Douala</v>
          </cell>
        </row>
        <row r="248">
          <cell r="A248" t="str">
            <v>LIT_276</v>
          </cell>
          <cell r="B248" t="str">
            <v>Douala</v>
          </cell>
        </row>
        <row r="249">
          <cell r="A249" t="str">
            <v>LIT_275</v>
          </cell>
          <cell r="B249" t="str">
            <v>Douala</v>
          </cell>
        </row>
        <row r="250">
          <cell r="A250" t="str">
            <v>LIT_094</v>
          </cell>
          <cell r="B250" t="str">
            <v>Douala</v>
          </cell>
        </row>
        <row r="251">
          <cell r="A251" t="str">
            <v>LIT_488</v>
          </cell>
          <cell r="B251" t="str">
            <v>Douala</v>
          </cell>
        </row>
        <row r="252">
          <cell r="A252" t="str">
            <v>LIT_489</v>
          </cell>
          <cell r="B252" t="str">
            <v>Douala</v>
          </cell>
        </row>
        <row r="253">
          <cell r="A253" t="str">
            <v>LIT_259</v>
          </cell>
          <cell r="B253" t="str">
            <v>Douala</v>
          </cell>
        </row>
        <row r="254">
          <cell r="A254" t="str">
            <v>LIT_049</v>
          </cell>
          <cell r="B254" t="str">
            <v>Douala</v>
          </cell>
        </row>
        <row r="255">
          <cell r="A255" t="str">
            <v>CTR_071</v>
          </cell>
          <cell r="B255" t="str">
            <v>Yaounde</v>
          </cell>
        </row>
        <row r="256">
          <cell r="A256" t="str">
            <v>CTR_123</v>
          </cell>
          <cell r="B256" t="str">
            <v>Yaounde</v>
          </cell>
        </row>
        <row r="257">
          <cell r="A257" t="str">
            <v>LIT_037</v>
          </cell>
          <cell r="B257" t="str">
            <v>Douala</v>
          </cell>
        </row>
        <row r="258">
          <cell r="A258" t="str">
            <v>LIT_357</v>
          </cell>
          <cell r="B258" t="str">
            <v>Douala</v>
          </cell>
        </row>
        <row r="259">
          <cell r="A259" t="str">
            <v>LIT_397</v>
          </cell>
          <cell r="B259" t="str">
            <v>Douala</v>
          </cell>
        </row>
        <row r="260">
          <cell r="A260" t="str">
            <v>LIT_490</v>
          </cell>
          <cell r="B260" t="str">
            <v>Douala</v>
          </cell>
        </row>
        <row r="261">
          <cell r="A261" t="str">
            <v>LIT_167</v>
          </cell>
          <cell r="B261" t="str">
            <v>Douala</v>
          </cell>
        </row>
        <row r="262">
          <cell r="A262" t="str">
            <v>LIT_285</v>
          </cell>
          <cell r="B262" t="str">
            <v>Douala</v>
          </cell>
        </row>
        <row r="263">
          <cell r="A263" t="str">
            <v>LIT_401</v>
          </cell>
          <cell r="B263" t="str">
            <v>Douala</v>
          </cell>
        </row>
        <row r="264">
          <cell r="A264" t="str">
            <v>LIT_398</v>
          </cell>
          <cell r="B264" t="str">
            <v>Douala</v>
          </cell>
        </row>
        <row r="265">
          <cell r="A265" t="str">
            <v>LIT_224</v>
          </cell>
          <cell r="B265" t="str">
            <v>Douala</v>
          </cell>
        </row>
        <row r="266">
          <cell r="A266" t="str">
            <v>LIT_080</v>
          </cell>
          <cell r="B266" t="str">
            <v>Douala</v>
          </cell>
        </row>
        <row r="267">
          <cell r="A267" t="str">
            <v>LIT_449</v>
          </cell>
          <cell r="B267" t="str">
            <v>Douala</v>
          </cell>
        </row>
        <row r="268">
          <cell r="A268" t="str">
            <v>CTR_049</v>
          </cell>
          <cell r="B268" t="str">
            <v>Yaounde</v>
          </cell>
        </row>
        <row r="269">
          <cell r="A269" t="str">
            <v>LIT_236</v>
          </cell>
          <cell r="B269" t="str">
            <v>Douala</v>
          </cell>
        </row>
        <row r="270">
          <cell r="A270" t="str">
            <v>CTR_479</v>
          </cell>
          <cell r="B270" t="str">
            <v>Yaounde</v>
          </cell>
        </row>
        <row r="271">
          <cell r="A271" t="str">
            <v>CTR_020</v>
          </cell>
          <cell r="B271" t="str">
            <v>Yaounde</v>
          </cell>
        </row>
        <row r="272">
          <cell r="A272" t="str">
            <v>LIT_164</v>
          </cell>
          <cell r="B272" t="str">
            <v>Douala</v>
          </cell>
        </row>
        <row r="273">
          <cell r="A273" t="str">
            <v>CTR_006</v>
          </cell>
          <cell r="B273" t="str">
            <v>Yaounde</v>
          </cell>
        </row>
        <row r="274">
          <cell r="A274" t="str">
            <v>CTR_486</v>
          </cell>
          <cell r="B274" t="str">
            <v>Yaounde</v>
          </cell>
        </row>
        <row r="275">
          <cell r="A275" t="str">
            <v>CTR_253</v>
          </cell>
          <cell r="B275" t="str">
            <v>Yaounde</v>
          </cell>
        </row>
        <row r="276">
          <cell r="A276" t="str">
            <v>CTR_025</v>
          </cell>
          <cell r="B276" t="str">
            <v>Yaounde</v>
          </cell>
        </row>
        <row r="277">
          <cell r="A277" t="str">
            <v>CTR_476</v>
          </cell>
          <cell r="B277" t="str">
            <v>Yaounde</v>
          </cell>
        </row>
        <row r="278">
          <cell r="A278" t="str">
            <v>CTR_521</v>
          </cell>
          <cell r="B278" t="str">
            <v>Yaounde</v>
          </cell>
        </row>
        <row r="279">
          <cell r="A279" t="str">
            <v>CTR_337</v>
          </cell>
          <cell r="B279" t="str">
            <v>Yaounde</v>
          </cell>
        </row>
        <row r="280">
          <cell r="A280" t="str">
            <v>CTR_320</v>
          </cell>
          <cell r="B280" t="str">
            <v>Yaounde</v>
          </cell>
        </row>
        <row r="281">
          <cell r="A281" t="str">
            <v>CTR_570</v>
          </cell>
          <cell r="B281" t="str">
            <v>Yaounde</v>
          </cell>
        </row>
        <row r="282">
          <cell r="A282" t="str">
            <v>CTR_422</v>
          </cell>
          <cell r="B282" t="str">
            <v>Yaounde</v>
          </cell>
        </row>
        <row r="283">
          <cell r="A283" t="str">
            <v>CTR_552</v>
          </cell>
          <cell r="B283" t="str">
            <v>Yaounde</v>
          </cell>
        </row>
        <row r="284">
          <cell r="A284" t="str">
            <v>CTR_351</v>
          </cell>
          <cell r="B284" t="str">
            <v>Yaounde</v>
          </cell>
        </row>
        <row r="285">
          <cell r="A285" t="str">
            <v>CTR_245</v>
          </cell>
          <cell r="B285" t="str">
            <v>Yaounde</v>
          </cell>
        </row>
        <row r="286">
          <cell r="A286" t="str">
            <v>CTR_068</v>
          </cell>
          <cell r="B286" t="str">
            <v>Yaounde</v>
          </cell>
        </row>
        <row r="287">
          <cell r="A287" t="str">
            <v>CTR_149</v>
          </cell>
          <cell r="B287" t="str">
            <v>Yaounde</v>
          </cell>
        </row>
        <row r="288">
          <cell r="A288" t="str">
            <v>CTR_535</v>
          </cell>
          <cell r="B288" t="str">
            <v>Yaounde</v>
          </cell>
        </row>
        <row r="289">
          <cell r="A289" t="str">
            <v>CTR_270</v>
          </cell>
          <cell r="B289" t="str">
            <v>Yaounde</v>
          </cell>
        </row>
        <row r="290">
          <cell r="A290" t="str">
            <v>CTR_639</v>
          </cell>
          <cell r="B290" t="str">
            <v>Yaounde</v>
          </cell>
        </row>
        <row r="291">
          <cell r="A291" t="str">
            <v>CTR_487</v>
          </cell>
          <cell r="B291" t="str">
            <v>Yaounde</v>
          </cell>
        </row>
        <row r="292">
          <cell r="A292" t="str">
            <v>CTR_347</v>
          </cell>
          <cell r="B292" t="str">
            <v>Yaounde</v>
          </cell>
        </row>
        <row r="293">
          <cell r="A293" t="str">
            <v>CTR_016</v>
          </cell>
          <cell r="B293" t="str">
            <v>Yaounde</v>
          </cell>
        </row>
        <row r="294">
          <cell r="A294" t="str">
            <v>CTR_341</v>
          </cell>
          <cell r="B294" t="str">
            <v>Yaounde</v>
          </cell>
        </row>
        <row r="295">
          <cell r="A295" t="str">
            <v>CTR_378</v>
          </cell>
          <cell r="B295" t="str">
            <v>Yaounde</v>
          </cell>
        </row>
        <row r="296">
          <cell r="A296" t="str">
            <v>CTR_483</v>
          </cell>
          <cell r="B296" t="str">
            <v>Yaounde</v>
          </cell>
        </row>
        <row r="297">
          <cell r="A297" t="str">
            <v>CTR_310</v>
          </cell>
          <cell r="B297" t="str">
            <v>Yaounde</v>
          </cell>
        </row>
        <row r="298">
          <cell r="A298" t="str">
            <v>CTR_008</v>
          </cell>
          <cell r="B298" t="str">
            <v>Yaounde</v>
          </cell>
        </row>
        <row r="299">
          <cell r="A299" t="str">
            <v>LIT_260</v>
          </cell>
          <cell r="B299" t="str">
            <v>Douala</v>
          </cell>
        </row>
        <row r="300">
          <cell r="A300" t="str">
            <v>LIT_372</v>
          </cell>
          <cell r="B300" t="str">
            <v>Douala</v>
          </cell>
        </row>
        <row r="301">
          <cell r="A301" t="str">
            <v>LIT_264</v>
          </cell>
          <cell r="B301" t="str">
            <v>Douala</v>
          </cell>
        </row>
        <row r="302">
          <cell r="A302" t="str">
            <v>LIT_159</v>
          </cell>
          <cell r="B302" t="str">
            <v>Douala</v>
          </cell>
        </row>
        <row r="303">
          <cell r="A303" t="str">
            <v>LIT_283</v>
          </cell>
          <cell r="B303" t="str">
            <v>Douala</v>
          </cell>
        </row>
        <row r="304">
          <cell r="A304" t="str">
            <v>LIT_292</v>
          </cell>
          <cell r="B304" t="str">
            <v>Douala</v>
          </cell>
        </row>
        <row r="305">
          <cell r="A305" t="str">
            <v>LIT_038</v>
          </cell>
          <cell r="B305" t="str">
            <v>Douala</v>
          </cell>
        </row>
        <row r="306">
          <cell r="A306" t="str">
            <v>LIT_205</v>
          </cell>
          <cell r="B306" t="str">
            <v>Douala</v>
          </cell>
        </row>
        <row r="307">
          <cell r="A307" t="str">
            <v>LIT_251</v>
          </cell>
          <cell r="B307" t="str">
            <v>Douala</v>
          </cell>
        </row>
        <row r="308">
          <cell r="A308" t="str">
            <v>LIT_217</v>
          </cell>
          <cell r="B308" t="str">
            <v>Douala</v>
          </cell>
        </row>
        <row r="309">
          <cell r="A309" t="str">
            <v>LIT_395</v>
          </cell>
          <cell r="B309" t="str">
            <v>Douala</v>
          </cell>
        </row>
        <row r="310">
          <cell r="A310" t="str">
            <v>LIT_287</v>
          </cell>
          <cell r="B310" t="str">
            <v>Douala</v>
          </cell>
        </row>
        <row r="311">
          <cell r="A311" t="str">
            <v>CTR_425</v>
          </cell>
          <cell r="B311" t="str">
            <v>Yaounde</v>
          </cell>
        </row>
        <row r="312">
          <cell r="A312" t="str">
            <v>LIT_428</v>
          </cell>
          <cell r="B312" t="str">
            <v>Douala</v>
          </cell>
        </row>
        <row r="313">
          <cell r="A313" t="str">
            <v>CTR_194</v>
          </cell>
          <cell r="B313" t="str">
            <v>Yaounde</v>
          </cell>
        </row>
        <row r="314">
          <cell r="A314" t="str">
            <v>LIT_294</v>
          </cell>
          <cell r="B314" t="str">
            <v>Douala</v>
          </cell>
        </row>
        <row r="315">
          <cell r="A315" t="str">
            <v>LIT_460</v>
          </cell>
          <cell r="B315" t="str">
            <v>Douala</v>
          </cell>
        </row>
        <row r="316">
          <cell r="A316" t="str">
            <v>LIT_411</v>
          </cell>
          <cell r="B316" t="str">
            <v>Douala</v>
          </cell>
        </row>
        <row r="317">
          <cell r="A317" t="str">
            <v>CTR_379</v>
          </cell>
          <cell r="B317" t="str">
            <v>Yaounde</v>
          </cell>
        </row>
        <row r="318">
          <cell r="A318" t="str">
            <v>CTR_130</v>
          </cell>
          <cell r="B318" t="str">
            <v>Yaounde</v>
          </cell>
        </row>
        <row r="319">
          <cell r="A319" t="str">
            <v>CTR_342</v>
          </cell>
          <cell r="B319" t="str">
            <v>Yaounde</v>
          </cell>
        </row>
        <row r="320">
          <cell r="A320" t="str">
            <v>CTR_272</v>
          </cell>
          <cell r="B320" t="str">
            <v>Yaounde</v>
          </cell>
        </row>
        <row r="321">
          <cell r="A321" t="str">
            <v>CTR_084</v>
          </cell>
          <cell r="B321" t="str">
            <v>Yaounde</v>
          </cell>
        </row>
        <row r="322">
          <cell r="A322" t="str">
            <v>CTR_247</v>
          </cell>
          <cell r="B322" t="str">
            <v>Yaounde</v>
          </cell>
        </row>
        <row r="323">
          <cell r="A323" t="str">
            <v>CTR_522</v>
          </cell>
          <cell r="B323" t="str">
            <v>Yaounde</v>
          </cell>
        </row>
        <row r="324">
          <cell r="A324" t="str">
            <v>CTR_215</v>
          </cell>
          <cell r="B324" t="str">
            <v>Yaounde</v>
          </cell>
        </row>
        <row r="325">
          <cell r="A325" t="str">
            <v>CTR_262</v>
          </cell>
          <cell r="B325" t="str">
            <v>Yaounde</v>
          </cell>
        </row>
        <row r="326">
          <cell r="A326" t="str">
            <v>CTR_523</v>
          </cell>
          <cell r="B326" t="str">
            <v>Yaounde</v>
          </cell>
        </row>
        <row r="327">
          <cell r="A327" t="str">
            <v>CTR_078</v>
          </cell>
          <cell r="B327" t="str">
            <v>Yaounde</v>
          </cell>
        </row>
        <row r="328">
          <cell r="A328" t="str">
            <v>CTR_273</v>
          </cell>
          <cell r="B328" t="str">
            <v>Yaounde</v>
          </cell>
        </row>
        <row r="329">
          <cell r="A329" t="str">
            <v>CTR_109</v>
          </cell>
          <cell r="B329" t="str">
            <v>Yaounde</v>
          </cell>
        </row>
        <row r="330">
          <cell r="A330" t="str">
            <v>LIT_183</v>
          </cell>
          <cell r="B330" t="str">
            <v>Douala</v>
          </cell>
        </row>
        <row r="331">
          <cell r="A331" t="str">
            <v>LIT_439</v>
          </cell>
          <cell r="B331" t="str">
            <v>Douala</v>
          </cell>
        </row>
        <row r="332">
          <cell r="A332" t="str">
            <v>CTR_471</v>
          </cell>
          <cell r="B332" t="str">
            <v>Yaounde</v>
          </cell>
        </row>
        <row r="333">
          <cell r="A333" t="str">
            <v>CTR_105</v>
          </cell>
          <cell r="B333" t="str">
            <v>Yaounde</v>
          </cell>
        </row>
        <row r="334">
          <cell r="A334" t="str">
            <v>CTR_427</v>
          </cell>
          <cell r="B334" t="str">
            <v>Yaounde</v>
          </cell>
        </row>
        <row r="335">
          <cell r="A335" t="str">
            <v>CTR_042</v>
          </cell>
          <cell r="B335" t="str">
            <v>Yaounde</v>
          </cell>
        </row>
        <row r="336">
          <cell r="A336" t="str">
            <v>LIT_404</v>
          </cell>
          <cell r="B336" t="str">
            <v>Douala</v>
          </cell>
        </row>
        <row r="337">
          <cell r="A337" t="str">
            <v>CTR_132</v>
          </cell>
          <cell r="B337" t="str">
            <v>Yaounde</v>
          </cell>
        </row>
        <row r="338">
          <cell r="A338" t="str">
            <v>LIT_096</v>
          </cell>
          <cell r="B338" t="str">
            <v>Douala</v>
          </cell>
        </row>
        <row r="339">
          <cell r="A339" t="str">
            <v>CTR_488</v>
          </cell>
          <cell r="B339" t="str">
            <v>Yaounde</v>
          </cell>
        </row>
        <row r="340">
          <cell r="A340" t="str">
            <v>CTR_380</v>
          </cell>
          <cell r="B340" t="str">
            <v>Yaounde</v>
          </cell>
        </row>
        <row r="341">
          <cell r="A341" t="str">
            <v>LIT_445</v>
          </cell>
          <cell r="B341" t="str">
            <v>Douala</v>
          </cell>
        </row>
        <row r="342">
          <cell r="A342" t="str">
            <v>LIT_341</v>
          </cell>
          <cell r="B342" t="str">
            <v>Douala</v>
          </cell>
        </row>
        <row r="343">
          <cell r="A343" t="str">
            <v>LIT_343</v>
          </cell>
          <cell r="B343" t="str">
            <v>Douala</v>
          </cell>
        </row>
        <row r="344">
          <cell r="A344" t="str">
            <v>LIT_179</v>
          </cell>
          <cell r="B344" t="str">
            <v>Douala</v>
          </cell>
        </row>
        <row r="345">
          <cell r="A345" t="str">
            <v>LIT_076</v>
          </cell>
          <cell r="B345" t="str">
            <v>Douala</v>
          </cell>
        </row>
        <row r="346">
          <cell r="A346" t="str">
            <v>CTR_099</v>
          </cell>
          <cell r="B346" t="str">
            <v>Yaounde</v>
          </cell>
        </row>
        <row r="347">
          <cell r="A347" t="str">
            <v>CTR_213</v>
          </cell>
          <cell r="B347" t="str">
            <v>Yaounde</v>
          </cell>
        </row>
        <row r="348">
          <cell r="A348" t="str">
            <v>CTR_080</v>
          </cell>
          <cell r="B348" t="str">
            <v>Yaounde</v>
          </cell>
        </row>
        <row r="349">
          <cell r="A349" t="str">
            <v>LIT_102</v>
          </cell>
          <cell r="B349" t="str">
            <v>Douala</v>
          </cell>
        </row>
        <row r="350">
          <cell r="A350" t="str">
            <v>CTR_161</v>
          </cell>
          <cell r="B350" t="str">
            <v>Yaounde</v>
          </cell>
        </row>
        <row r="351">
          <cell r="A351" t="str">
            <v>LIT_368</v>
          </cell>
          <cell r="B351" t="str">
            <v>Douala</v>
          </cell>
        </row>
        <row r="352">
          <cell r="A352" t="str">
            <v>LIT_299</v>
          </cell>
          <cell r="B352" t="str">
            <v>Douala</v>
          </cell>
        </row>
        <row r="353">
          <cell r="A353" t="str">
            <v>CTR_340</v>
          </cell>
          <cell r="B353" t="str">
            <v>Yaounde</v>
          </cell>
        </row>
        <row r="354">
          <cell r="A354" t="str">
            <v>CTR_553</v>
          </cell>
          <cell r="B354" t="str">
            <v>Yaounde</v>
          </cell>
        </row>
        <row r="355">
          <cell r="A355" t="str">
            <v>LIT_381</v>
          </cell>
          <cell r="B355" t="str">
            <v>Douala</v>
          </cell>
        </row>
        <row r="356">
          <cell r="A356" t="str">
            <v>LIT_452</v>
          </cell>
          <cell r="B356" t="str">
            <v>Douala</v>
          </cell>
        </row>
        <row r="357">
          <cell r="A357" t="str">
            <v>LIT_447</v>
          </cell>
          <cell r="B357" t="str">
            <v>Douala</v>
          </cell>
        </row>
        <row r="358">
          <cell r="A358" t="str">
            <v>LIT_278</v>
          </cell>
          <cell r="B358" t="str">
            <v>Douala</v>
          </cell>
        </row>
        <row r="359">
          <cell r="A359" t="str">
            <v>LIT_223</v>
          </cell>
          <cell r="B359" t="str">
            <v>Douala</v>
          </cell>
        </row>
        <row r="360">
          <cell r="A360" t="str">
            <v>LIT_128</v>
          </cell>
          <cell r="B360" t="str">
            <v>Douala</v>
          </cell>
        </row>
        <row r="361">
          <cell r="A361" t="str">
            <v>LIT_261</v>
          </cell>
          <cell r="B361" t="str">
            <v>Douala</v>
          </cell>
        </row>
        <row r="362">
          <cell r="A362" t="str">
            <v>LIT_249</v>
          </cell>
          <cell r="B362" t="str">
            <v>Douala</v>
          </cell>
        </row>
        <row r="363">
          <cell r="A363" t="str">
            <v>LIT_448</v>
          </cell>
          <cell r="B363" t="str">
            <v>Douala</v>
          </cell>
        </row>
        <row r="364">
          <cell r="A364" t="str">
            <v>LIT_271</v>
          </cell>
          <cell r="B364" t="str">
            <v>Douala</v>
          </cell>
        </row>
        <row r="365">
          <cell r="A365" t="str">
            <v>LIT_234</v>
          </cell>
          <cell r="B365" t="str">
            <v>Douala</v>
          </cell>
        </row>
        <row r="366">
          <cell r="A366" t="str">
            <v>LIT_255</v>
          </cell>
          <cell r="B366" t="str">
            <v>Douala</v>
          </cell>
        </row>
        <row r="367">
          <cell r="A367" t="str">
            <v>LIT_443</v>
          </cell>
          <cell r="B367" t="str">
            <v>Douala</v>
          </cell>
        </row>
        <row r="368">
          <cell r="A368" t="str">
            <v>CTR_538</v>
          </cell>
          <cell r="B368" t="str">
            <v>Yaounde</v>
          </cell>
        </row>
        <row r="369">
          <cell r="A369" t="str">
            <v>LIT_420</v>
          </cell>
          <cell r="B369" t="str">
            <v>Douala</v>
          </cell>
        </row>
        <row r="370">
          <cell r="A370" t="str">
            <v>LIT_450</v>
          </cell>
          <cell r="B370" t="str">
            <v>Douala</v>
          </cell>
        </row>
        <row r="371">
          <cell r="A371" t="str">
            <v>LIT_048</v>
          </cell>
          <cell r="B371" t="str">
            <v>Douala</v>
          </cell>
        </row>
        <row r="372">
          <cell r="A372" t="str">
            <v>LIT_242</v>
          </cell>
          <cell r="B372" t="str">
            <v>Douala</v>
          </cell>
        </row>
        <row r="373">
          <cell r="A373" t="str">
            <v>LIT_267</v>
          </cell>
          <cell r="B373" t="str">
            <v>Douala</v>
          </cell>
        </row>
        <row r="374">
          <cell r="A374" t="str">
            <v>LIT_171</v>
          </cell>
          <cell r="B374" t="str">
            <v>Douala</v>
          </cell>
        </row>
        <row r="375">
          <cell r="A375" t="str">
            <v>CTR_163</v>
          </cell>
          <cell r="B375" t="str">
            <v>Yaounde</v>
          </cell>
        </row>
        <row r="376">
          <cell r="A376" t="str">
            <v>CTR_322</v>
          </cell>
          <cell r="B376" t="str">
            <v>Yaounde</v>
          </cell>
        </row>
        <row r="377">
          <cell r="A377" t="str">
            <v>CTR_133</v>
          </cell>
          <cell r="B377" t="str">
            <v>Yaounde</v>
          </cell>
        </row>
        <row r="378">
          <cell r="A378" t="str">
            <v>CTR_155</v>
          </cell>
          <cell r="B378" t="str">
            <v>Yaounde</v>
          </cell>
        </row>
        <row r="379">
          <cell r="A379" t="str">
            <v>LIT_739</v>
          </cell>
          <cell r="B379" t="str">
            <v>Douala</v>
          </cell>
        </row>
        <row r="380">
          <cell r="A380" t="str">
            <v>CTR_249</v>
          </cell>
          <cell r="B380" t="str">
            <v>Yaounde</v>
          </cell>
        </row>
        <row r="381">
          <cell r="A381" t="str">
            <v>CTR_056</v>
          </cell>
          <cell r="B381" t="str">
            <v>Yaounde</v>
          </cell>
        </row>
        <row r="382">
          <cell r="A382" t="str">
            <v>CTR_069</v>
          </cell>
          <cell r="B382" t="str">
            <v>Yaounde</v>
          </cell>
        </row>
        <row r="383">
          <cell r="A383" t="str">
            <v>LIT_043</v>
          </cell>
          <cell r="B383" t="str">
            <v>Douala</v>
          </cell>
        </row>
        <row r="384">
          <cell r="A384" t="str">
            <v>CTR_031</v>
          </cell>
          <cell r="B384" t="str">
            <v>Yaounde</v>
          </cell>
        </row>
        <row r="385">
          <cell r="A385" t="str">
            <v>CTR_317</v>
          </cell>
          <cell r="B385" t="str">
            <v>Yaounde</v>
          </cell>
        </row>
        <row r="386">
          <cell r="A386" t="str">
            <v>CTR_430</v>
          </cell>
          <cell r="B386" t="str">
            <v>Yaounde</v>
          </cell>
        </row>
        <row r="387">
          <cell r="A387" t="str">
            <v>CTR_431</v>
          </cell>
          <cell r="B387" t="str">
            <v>Yaounde</v>
          </cell>
        </row>
        <row r="388">
          <cell r="A388" t="str">
            <v>LIT_137</v>
          </cell>
          <cell r="B388" t="str">
            <v>Douala</v>
          </cell>
        </row>
        <row r="389">
          <cell r="A389" t="str">
            <v>CTR_261</v>
          </cell>
          <cell r="B389" t="str">
            <v>Yaounde</v>
          </cell>
        </row>
        <row r="390">
          <cell r="A390" t="str">
            <v>LIT_374</v>
          </cell>
          <cell r="B390" t="str">
            <v>Douala</v>
          </cell>
        </row>
        <row r="391">
          <cell r="A391" t="str">
            <v>LIT_300</v>
          </cell>
          <cell r="B391" t="str">
            <v>Douala</v>
          </cell>
        </row>
        <row r="392">
          <cell r="A392" t="str">
            <v>LIT_369</v>
          </cell>
          <cell r="B392" t="str">
            <v>Douala</v>
          </cell>
        </row>
        <row r="393">
          <cell r="A393" t="str">
            <v>CTR_121</v>
          </cell>
          <cell r="B393" t="str">
            <v>Yaounde</v>
          </cell>
        </row>
        <row r="394">
          <cell r="A394" t="str">
            <v>CTR_390</v>
          </cell>
          <cell r="B394" t="str">
            <v>Yaounde</v>
          </cell>
        </row>
        <row r="395">
          <cell r="A395" t="str">
            <v>LIT_437</v>
          </cell>
          <cell r="B395" t="str">
            <v>Douala</v>
          </cell>
        </row>
        <row r="396">
          <cell r="A396" t="str">
            <v>CTR_276</v>
          </cell>
          <cell r="B396" t="str">
            <v>Yaounde</v>
          </cell>
        </row>
        <row r="397">
          <cell r="A397" t="str">
            <v>CTR_833</v>
          </cell>
          <cell r="B397" t="str">
            <v>Yaounde</v>
          </cell>
        </row>
        <row r="398">
          <cell r="A398" t="str">
            <v>CTR_447</v>
          </cell>
          <cell r="B398" t="str">
            <v>Yaounde</v>
          </cell>
        </row>
        <row r="399">
          <cell r="A399" t="str">
            <v>CTR_466</v>
          </cell>
          <cell r="B399" t="str">
            <v>Yaounde</v>
          </cell>
        </row>
        <row r="400">
          <cell r="A400" t="str">
            <v>LIT_270</v>
          </cell>
          <cell r="B400" t="str">
            <v>Douala</v>
          </cell>
        </row>
        <row r="401">
          <cell r="A401" t="str">
            <v>CTR_104</v>
          </cell>
          <cell r="B401" t="str">
            <v>Yaounde</v>
          </cell>
        </row>
        <row r="402">
          <cell r="A402" t="str">
            <v>LIT_243</v>
          </cell>
          <cell r="B402" t="str">
            <v>Douala</v>
          </cell>
        </row>
        <row r="403">
          <cell r="A403" t="str">
            <v>LIT_017</v>
          </cell>
          <cell r="B403" t="str">
            <v>Douala</v>
          </cell>
        </row>
        <row r="404">
          <cell r="A404" t="str">
            <v>LIT_535</v>
          </cell>
          <cell r="B404" t="str">
            <v>Douala</v>
          </cell>
        </row>
        <row r="405">
          <cell r="A405" t="str">
            <v>LIT_418</v>
          </cell>
          <cell r="B405" t="str">
            <v>Douala</v>
          </cell>
        </row>
        <row r="406">
          <cell r="A406" t="str">
            <v>LIT_265</v>
          </cell>
          <cell r="B406" t="str">
            <v>Douala</v>
          </cell>
        </row>
        <row r="407">
          <cell r="A407" t="str">
            <v>CTR_211</v>
          </cell>
          <cell r="B407" t="str">
            <v>Yaounde</v>
          </cell>
        </row>
        <row r="408">
          <cell r="A408" t="str">
            <v>LIT_426</v>
          </cell>
          <cell r="B408" t="str">
            <v>Douala</v>
          </cell>
        </row>
        <row r="409">
          <cell r="A409" t="str">
            <v>LIT_363</v>
          </cell>
          <cell r="B409" t="str">
            <v>Douala</v>
          </cell>
        </row>
        <row r="410">
          <cell r="A410" t="str">
            <v>LIT_290</v>
          </cell>
          <cell r="B410" t="str">
            <v>Douala</v>
          </cell>
        </row>
        <row r="411">
          <cell r="A411" t="str">
            <v>LIT_433</v>
          </cell>
          <cell r="B411" t="str">
            <v>Douala</v>
          </cell>
        </row>
        <row r="412">
          <cell r="A412" t="str">
            <v>LIT_336</v>
          </cell>
          <cell r="B412" t="str">
            <v>Douala</v>
          </cell>
        </row>
        <row r="413">
          <cell r="A413" t="str">
            <v>LIT_358</v>
          </cell>
          <cell r="B413" t="str">
            <v>Douala</v>
          </cell>
        </row>
        <row r="414">
          <cell r="A414" t="str">
            <v>LIT_400</v>
          </cell>
          <cell r="B414" t="str">
            <v>Douala</v>
          </cell>
        </row>
        <row r="415">
          <cell r="A415" t="str">
            <v>LIT_081</v>
          </cell>
          <cell r="B415" t="str">
            <v>Douala</v>
          </cell>
        </row>
        <row r="416">
          <cell r="A416" t="str">
            <v>CTR_159</v>
          </cell>
          <cell r="B416" t="str">
            <v>Yaounde</v>
          </cell>
        </row>
        <row r="417">
          <cell r="A417" t="str">
            <v>LIT_003</v>
          </cell>
          <cell r="B417" t="str">
            <v>Douala</v>
          </cell>
        </row>
        <row r="418">
          <cell r="A418" t="str">
            <v>LIT_436</v>
          </cell>
          <cell r="B418" t="str">
            <v>Douala</v>
          </cell>
        </row>
        <row r="419">
          <cell r="A419" t="str">
            <v>LIT_486</v>
          </cell>
          <cell r="B419" t="str">
            <v>Douala</v>
          </cell>
        </row>
        <row r="420">
          <cell r="A420" t="str">
            <v>CTR_539</v>
          </cell>
          <cell r="B420" t="str">
            <v>Yaounde</v>
          </cell>
        </row>
        <row r="421">
          <cell r="A421" t="str">
            <v>CTR_023</v>
          </cell>
          <cell r="B421" t="str">
            <v>Yaounde</v>
          </cell>
        </row>
        <row r="422">
          <cell r="A422" t="str">
            <v>CTR_160</v>
          </cell>
          <cell r="B422" t="str">
            <v>Yaounde</v>
          </cell>
        </row>
        <row r="423">
          <cell r="A423" t="str">
            <v>CTR_064</v>
          </cell>
          <cell r="B423" t="str">
            <v>Yaounde</v>
          </cell>
        </row>
        <row r="424">
          <cell r="A424" t="str">
            <v>CTR_520</v>
          </cell>
          <cell r="B424" t="str">
            <v>Yaounde</v>
          </cell>
        </row>
        <row r="425">
          <cell r="A425" t="str">
            <v>LIT_361</v>
          </cell>
          <cell r="B425" t="str">
            <v>Douala</v>
          </cell>
        </row>
        <row r="426">
          <cell r="A426" t="str">
            <v>CTR_110</v>
          </cell>
          <cell r="B426" t="str">
            <v>Yaounde</v>
          </cell>
        </row>
        <row r="427">
          <cell r="A427" t="str">
            <v>CTR_702</v>
          </cell>
          <cell r="B427" t="str">
            <v>Yaounde</v>
          </cell>
        </row>
        <row r="428">
          <cell r="A428" t="str">
            <v>CTR_258</v>
          </cell>
          <cell r="B428" t="str">
            <v>Yaounde</v>
          </cell>
        </row>
        <row r="429">
          <cell r="A429" t="str">
            <v>LIT_019</v>
          </cell>
          <cell r="B429" t="str">
            <v>Douala</v>
          </cell>
        </row>
        <row r="430">
          <cell r="A430" t="str">
            <v>LIT_210</v>
          </cell>
          <cell r="B430" t="str">
            <v>Douala</v>
          </cell>
        </row>
        <row r="431">
          <cell r="A431" t="str">
            <v>LIT_376</v>
          </cell>
          <cell r="B431" t="str">
            <v>Douala</v>
          </cell>
        </row>
        <row r="432">
          <cell r="A432" t="str">
            <v>CTR_007</v>
          </cell>
          <cell r="B432" t="str">
            <v>Yaounde</v>
          </cell>
        </row>
        <row r="433">
          <cell r="A433" t="str">
            <v>CTR_154</v>
          </cell>
          <cell r="B433" t="str">
            <v>Yaounde</v>
          </cell>
        </row>
        <row r="434">
          <cell r="A434" t="str">
            <v>LIT_093</v>
          </cell>
          <cell r="B434" t="str">
            <v>Douala</v>
          </cell>
        </row>
        <row r="435">
          <cell r="A435" t="str">
            <v>LIT_528</v>
          </cell>
          <cell r="B435" t="str">
            <v>Douala</v>
          </cell>
        </row>
        <row r="436">
          <cell r="A436" t="str">
            <v>LIT_206</v>
          </cell>
          <cell r="B436" t="str">
            <v>Douala</v>
          </cell>
        </row>
        <row r="437">
          <cell r="A437" t="str">
            <v>LIT_377</v>
          </cell>
          <cell r="B437" t="str">
            <v>Douala</v>
          </cell>
        </row>
        <row r="438">
          <cell r="A438" t="str">
            <v>CTR_214</v>
          </cell>
          <cell r="B438" t="str">
            <v>Yaounde</v>
          </cell>
        </row>
        <row r="439">
          <cell r="A439" t="str">
            <v>CTR_469</v>
          </cell>
          <cell r="B439" t="str">
            <v>Yaounde</v>
          </cell>
        </row>
        <row r="440">
          <cell r="A440" t="str">
            <v>LIT_155</v>
          </cell>
          <cell r="B440" t="str">
            <v>Douala</v>
          </cell>
        </row>
        <row r="441">
          <cell r="A441" t="str">
            <v>CTR_010</v>
          </cell>
          <cell r="B441" t="str">
            <v>Yaounde</v>
          </cell>
        </row>
        <row r="442">
          <cell r="A442" t="str">
            <v>LIT_222</v>
          </cell>
          <cell r="B442" t="str">
            <v>Douala</v>
          </cell>
        </row>
        <row r="443">
          <cell r="A443" t="str">
            <v>LIT_403</v>
          </cell>
          <cell r="B443" t="str">
            <v>Douala</v>
          </cell>
        </row>
        <row r="444">
          <cell r="A444" t="str">
            <v>LIT_370</v>
          </cell>
          <cell r="B444" t="str">
            <v>Douala</v>
          </cell>
        </row>
        <row r="445">
          <cell r="A445" t="str">
            <v>CTR_274</v>
          </cell>
          <cell r="B445" t="str">
            <v>Yaounde</v>
          </cell>
        </row>
        <row r="446">
          <cell r="A446" t="str">
            <v>CTR_542</v>
          </cell>
          <cell r="B446" t="str">
            <v>Yaounde</v>
          </cell>
        </row>
        <row r="447">
          <cell r="A447" t="str">
            <v>LIT_563</v>
          </cell>
          <cell r="B447" t="str">
            <v>Douala</v>
          </cell>
        </row>
        <row r="448">
          <cell r="A448" t="str">
            <v>CTR_244</v>
          </cell>
          <cell r="B448" t="str">
            <v>Yaounde</v>
          </cell>
        </row>
        <row r="449">
          <cell r="A449" t="str">
            <v>LIT_089</v>
          </cell>
          <cell r="B449" t="str">
            <v>Douala</v>
          </cell>
        </row>
        <row r="450">
          <cell r="A450" t="str">
            <v>LIT_708</v>
          </cell>
          <cell r="B450" t="str">
            <v>Douala</v>
          </cell>
        </row>
        <row r="451">
          <cell r="A451" t="str">
            <v>CTR_468</v>
          </cell>
          <cell r="B451" t="str">
            <v>Yaounde</v>
          </cell>
        </row>
        <row r="452">
          <cell r="A452" t="str">
            <v>LIT_409</v>
          </cell>
          <cell r="B452" t="str">
            <v>Douala</v>
          </cell>
        </row>
        <row r="453">
          <cell r="A453" t="str">
            <v>LIT_441</v>
          </cell>
          <cell r="B453" t="str">
            <v>Douala</v>
          </cell>
        </row>
        <row r="454">
          <cell r="A454" t="str">
            <v>LIT_059</v>
          </cell>
          <cell r="B454" t="str">
            <v>Douala</v>
          </cell>
        </row>
        <row r="455">
          <cell r="A455" t="str">
            <v>LIT_033</v>
          </cell>
          <cell r="B455" t="str">
            <v>Douala</v>
          </cell>
        </row>
        <row r="456">
          <cell r="A456" t="str">
            <v>CTR_409</v>
          </cell>
          <cell r="B456" t="str">
            <v>Yaounde</v>
          </cell>
        </row>
        <row r="457">
          <cell r="A457" t="str">
            <v>LIT_451</v>
          </cell>
          <cell r="B457" t="str">
            <v>Douala</v>
          </cell>
        </row>
        <row r="458">
          <cell r="A458" t="str">
            <v>EXN_101</v>
          </cell>
          <cell r="B458" t="str">
            <v>Maroua</v>
          </cell>
        </row>
        <row r="459">
          <cell r="A459" t="str">
            <v>EXN_030</v>
          </cell>
          <cell r="B459" t="str">
            <v>Maroua</v>
          </cell>
        </row>
        <row r="460">
          <cell r="A460" t="str">
            <v>EXN_002</v>
          </cell>
          <cell r="B460" t="str">
            <v>Maroua</v>
          </cell>
        </row>
        <row r="461">
          <cell r="A461" t="str">
            <v>CTR_313</v>
          </cell>
          <cell r="B461" t="str">
            <v>Yaounde</v>
          </cell>
        </row>
        <row r="462">
          <cell r="A462" t="str">
            <v>CTR_417</v>
          </cell>
          <cell r="B462" t="str">
            <v>Yaounde</v>
          </cell>
        </row>
        <row r="463">
          <cell r="A463" t="str">
            <v>EXN_003</v>
          </cell>
          <cell r="B463" t="str">
            <v>Kousseri</v>
          </cell>
        </row>
        <row r="464">
          <cell r="A464" t="str">
            <v>EXN_031</v>
          </cell>
          <cell r="B464" t="str">
            <v>Kousseri</v>
          </cell>
        </row>
        <row r="465">
          <cell r="A465" t="str">
            <v>EXN_094</v>
          </cell>
          <cell r="B465" t="str">
            <v>Kousseri</v>
          </cell>
        </row>
        <row r="466">
          <cell r="A466" t="str">
            <v>EXN_138</v>
          </cell>
          <cell r="B466" t="str">
            <v>Kousseri</v>
          </cell>
        </row>
        <row r="467">
          <cell r="A467" t="str">
            <v>EXN_141</v>
          </cell>
          <cell r="B467" t="str">
            <v>Kousseri</v>
          </cell>
        </row>
        <row r="468">
          <cell r="A468" t="str">
            <v>EXN_010</v>
          </cell>
          <cell r="B468" t="str">
            <v>Kousseri</v>
          </cell>
        </row>
        <row r="469">
          <cell r="A469" t="str">
            <v>EXN_064</v>
          </cell>
          <cell r="B469" t="str">
            <v>Kousseri</v>
          </cell>
        </row>
        <row r="470">
          <cell r="A470" t="str">
            <v>LIT_419</v>
          </cell>
          <cell r="B470" t="str">
            <v>Douala</v>
          </cell>
        </row>
        <row r="471">
          <cell r="A471" t="str">
            <v>EXN_071</v>
          </cell>
          <cell r="B471" t="str">
            <v>Maroua</v>
          </cell>
        </row>
        <row r="472">
          <cell r="A472" t="str">
            <v>EXN_090</v>
          </cell>
          <cell r="B472" t="str">
            <v>Maroua</v>
          </cell>
        </row>
        <row r="473">
          <cell r="A473" t="str">
            <v>EXN_082</v>
          </cell>
          <cell r="B473" t="str">
            <v>Maroua</v>
          </cell>
        </row>
        <row r="474">
          <cell r="A474" t="str">
            <v>EXN_084</v>
          </cell>
          <cell r="B474" t="str">
            <v>Maroua</v>
          </cell>
        </row>
        <row r="475">
          <cell r="A475" t="str">
            <v>EXN_085</v>
          </cell>
          <cell r="B475" t="str">
            <v>Maroua</v>
          </cell>
        </row>
        <row r="476">
          <cell r="A476" t="str">
            <v>EXN_044</v>
          </cell>
          <cell r="B476" t="str">
            <v>Maroua</v>
          </cell>
        </row>
        <row r="477">
          <cell r="A477" t="str">
            <v>EXN_066</v>
          </cell>
          <cell r="B477" t="str">
            <v>Maroua</v>
          </cell>
        </row>
        <row r="478">
          <cell r="A478" t="str">
            <v>EXN_086</v>
          </cell>
          <cell r="B478" t="str">
            <v>Maroua</v>
          </cell>
        </row>
        <row r="479">
          <cell r="A479" t="str">
            <v>EXN_158</v>
          </cell>
          <cell r="B479" t="str">
            <v>Maroua</v>
          </cell>
        </row>
        <row r="480">
          <cell r="A480" t="str">
            <v>CTR_158</v>
          </cell>
          <cell r="B480" t="str">
            <v>Yaounde</v>
          </cell>
        </row>
        <row r="481">
          <cell r="A481" t="str">
            <v>LIT_365</v>
          </cell>
          <cell r="B481" t="str">
            <v>Douala</v>
          </cell>
        </row>
        <row r="482">
          <cell r="A482" t="str">
            <v>EXN_009</v>
          </cell>
          <cell r="B482" t="str">
            <v>Maroua</v>
          </cell>
        </row>
        <row r="483">
          <cell r="A483" t="str">
            <v>CTR_077</v>
          </cell>
          <cell r="B483" t="str">
            <v>Yaounde</v>
          </cell>
        </row>
        <row r="484">
          <cell r="A484" t="str">
            <v>LIT_432</v>
          </cell>
          <cell r="B484" t="str">
            <v>Douala</v>
          </cell>
        </row>
        <row r="485">
          <cell r="A485" t="str">
            <v>ADM_026</v>
          </cell>
          <cell r="B485" t="str">
            <v>Ngaoundere</v>
          </cell>
        </row>
        <row r="486">
          <cell r="A486" t="str">
            <v>ADM_035</v>
          </cell>
          <cell r="B486" t="str">
            <v>Ngaoundere</v>
          </cell>
        </row>
        <row r="487">
          <cell r="A487" t="str">
            <v>ADM_069</v>
          </cell>
          <cell r="B487" t="str">
            <v>Ngaoundere</v>
          </cell>
        </row>
        <row r="488">
          <cell r="A488" t="str">
            <v>ADM_071</v>
          </cell>
          <cell r="B488" t="str">
            <v>Ngaoundere</v>
          </cell>
        </row>
        <row r="489">
          <cell r="A489" t="str">
            <v>ADM_002</v>
          </cell>
          <cell r="B489" t="str">
            <v>Ngaoundere</v>
          </cell>
        </row>
        <row r="490">
          <cell r="A490" t="str">
            <v>ADM_072</v>
          </cell>
          <cell r="B490" t="str">
            <v>Ngaoundere</v>
          </cell>
        </row>
        <row r="491">
          <cell r="A491" t="str">
            <v>ADM_057</v>
          </cell>
          <cell r="B491" t="str">
            <v>Ngaoundere</v>
          </cell>
        </row>
        <row r="492">
          <cell r="A492" t="str">
            <v>ADM_058</v>
          </cell>
          <cell r="B492" t="str">
            <v>Ngaoundere</v>
          </cell>
        </row>
        <row r="493">
          <cell r="A493" t="str">
            <v>ADM_074</v>
          </cell>
          <cell r="B493" t="str">
            <v>Ngaoundere</v>
          </cell>
        </row>
        <row r="494">
          <cell r="A494" t="str">
            <v>ADM_003</v>
          </cell>
          <cell r="B494" t="str">
            <v>Ngaoundere</v>
          </cell>
        </row>
        <row r="495">
          <cell r="A495" t="str">
            <v>ADM_073</v>
          </cell>
          <cell r="B495" t="str">
            <v>Ngaoundere</v>
          </cell>
        </row>
        <row r="496">
          <cell r="A496" t="str">
            <v>CTR_462</v>
          </cell>
          <cell r="B496" t="str">
            <v>Yaounde</v>
          </cell>
        </row>
        <row r="497">
          <cell r="A497" t="str">
            <v>CTR_549</v>
          </cell>
          <cell r="B497" t="str">
            <v>Yaounde</v>
          </cell>
        </row>
        <row r="498">
          <cell r="A498" t="str">
            <v>CTR_513</v>
          </cell>
          <cell r="B498" t="str">
            <v>Yaounde</v>
          </cell>
        </row>
        <row r="499">
          <cell r="A499" t="str">
            <v>CTR_529</v>
          </cell>
          <cell r="B499" t="str">
            <v>Yaounde</v>
          </cell>
        </row>
        <row r="500">
          <cell r="A500" t="str">
            <v>LIT_346</v>
          </cell>
          <cell r="B500" t="str">
            <v>Douala</v>
          </cell>
        </row>
        <row r="501">
          <cell r="A501" t="str">
            <v>LIT_477</v>
          </cell>
          <cell r="B501" t="str">
            <v>Bekoko</v>
          </cell>
        </row>
        <row r="502">
          <cell r="A502" t="str">
            <v>LIT_459</v>
          </cell>
          <cell r="B502" t="str">
            <v>Douala</v>
          </cell>
        </row>
        <row r="503">
          <cell r="A503" t="str">
            <v>LIT_425</v>
          </cell>
          <cell r="B503" t="str">
            <v>Douala</v>
          </cell>
        </row>
        <row r="504">
          <cell r="A504" t="str">
            <v>CTR_556</v>
          </cell>
          <cell r="B504" t="str">
            <v>Yaounde</v>
          </cell>
        </row>
        <row r="505">
          <cell r="A505" t="str">
            <v>LIT_123</v>
          </cell>
          <cell r="B505" t="str">
            <v>Douala</v>
          </cell>
        </row>
        <row r="506">
          <cell r="A506" t="str">
            <v>LIT_157</v>
          </cell>
          <cell r="B506" t="str">
            <v>Douala</v>
          </cell>
        </row>
        <row r="507">
          <cell r="A507" t="str">
            <v>LIT_485</v>
          </cell>
          <cell r="B507" t="str">
            <v>Douala</v>
          </cell>
        </row>
        <row r="508">
          <cell r="A508" t="str">
            <v>NRD_003</v>
          </cell>
          <cell r="B508" t="str">
            <v>Garoua</v>
          </cell>
        </row>
        <row r="509">
          <cell r="A509" t="str">
            <v>CTR_387</v>
          </cell>
          <cell r="B509" t="str">
            <v>Yaounde</v>
          </cell>
        </row>
        <row r="510">
          <cell r="A510" t="str">
            <v>CTR_518</v>
          </cell>
          <cell r="B510" t="str">
            <v>Yaounde</v>
          </cell>
        </row>
        <row r="511">
          <cell r="A511" t="str">
            <v>NRD_060</v>
          </cell>
          <cell r="B511" t="str">
            <v>Garoua</v>
          </cell>
        </row>
        <row r="512">
          <cell r="A512" t="str">
            <v>NRD_049</v>
          </cell>
          <cell r="B512" t="str">
            <v>Garoua</v>
          </cell>
        </row>
        <row r="513">
          <cell r="A513" t="str">
            <v>NRD_009</v>
          </cell>
          <cell r="B513" t="str">
            <v>Garoua</v>
          </cell>
        </row>
        <row r="514">
          <cell r="A514" t="str">
            <v>NRD_075</v>
          </cell>
          <cell r="B514" t="str">
            <v>Garoua</v>
          </cell>
        </row>
        <row r="515">
          <cell r="A515" t="str">
            <v>NRD_001</v>
          </cell>
          <cell r="B515" t="str">
            <v>Garoua</v>
          </cell>
        </row>
        <row r="516">
          <cell r="A516" t="str">
            <v>NRD_053</v>
          </cell>
          <cell r="B516" t="str">
            <v>Garoua</v>
          </cell>
        </row>
        <row r="517">
          <cell r="A517" t="str">
            <v>NRD_065</v>
          </cell>
          <cell r="B517" t="str">
            <v>Garoua</v>
          </cell>
        </row>
        <row r="518">
          <cell r="A518" t="str">
            <v>NRD_082</v>
          </cell>
          <cell r="B518" t="str">
            <v>Garoua</v>
          </cell>
        </row>
        <row r="519">
          <cell r="A519" t="str">
            <v>NRD_035</v>
          </cell>
          <cell r="B519" t="str">
            <v>Garoua</v>
          </cell>
        </row>
        <row r="520">
          <cell r="A520" t="str">
            <v>EXN_181</v>
          </cell>
          <cell r="B520" t="str">
            <v>Kousseri</v>
          </cell>
        </row>
        <row r="521">
          <cell r="A521" t="str">
            <v>LIT_235</v>
          </cell>
          <cell r="B521" t="str">
            <v>Douala</v>
          </cell>
        </row>
        <row r="522">
          <cell r="A522" t="str">
            <v>LIT_479</v>
          </cell>
          <cell r="B522" t="str">
            <v>Minkwele</v>
          </cell>
        </row>
        <row r="523">
          <cell r="A523" t="str">
            <v>NRD_037</v>
          </cell>
          <cell r="B523" t="str">
            <v>Garoua</v>
          </cell>
        </row>
        <row r="524">
          <cell r="A524" t="str">
            <v>ADM_076</v>
          </cell>
          <cell r="B524" t="str">
            <v>Ngaoundere</v>
          </cell>
        </row>
        <row r="525">
          <cell r="A525" t="str">
            <v>ADM_115</v>
          </cell>
          <cell r="B525" t="str">
            <v>Ngaoundere</v>
          </cell>
        </row>
        <row r="526">
          <cell r="A526" t="str">
            <v>ADM_046</v>
          </cell>
          <cell r="B526" t="str">
            <v>Ngaoundere</v>
          </cell>
        </row>
        <row r="527">
          <cell r="A527" t="str">
            <v>ADM_036</v>
          </cell>
          <cell r="B527" t="str">
            <v>Ngaoundere</v>
          </cell>
        </row>
        <row r="528">
          <cell r="A528" t="str">
            <v>ADM_007</v>
          </cell>
          <cell r="B528" t="str">
            <v>Ngaoundere</v>
          </cell>
        </row>
        <row r="529">
          <cell r="A529" t="str">
            <v>ADM_017</v>
          </cell>
          <cell r="B529" t="str">
            <v>Ngaoundere</v>
          </cell>
        </row>
        <row r="530">
          <cell r="A530" t="str">
            <v>ADM_034</v>
          </cell>
          <cell r="B530" t="str">
            <v>Ngaoundere</v>
          </cell>
        </row>
        <row r="531">
          <cell r="A531" t="str">
            <v>ADM_018</v>
          </cell>
          <cell r="B531" t="str">
            <v>Ngaoundere</v>
          </cell>
        </row>
        <row r="532">
          <cell r="A532" t="str">
            <v>ADM_033</v>
          </cell>
          <cell r="B532" t="str">
            <v>Ngaoundere</v>
          </cell>
        </row>
        <row r="533">
          <cell r="A533" t="str">
            <v>CTR_458</v>
          </cell>
          <cell r="B533" t="str">
            <v>Yaounde</v>
          </cell>
        </row>
        <row r="534">
          <cell r="A534" t="str">
            <v>CTR_271</v>
          </cell>
          <cell r="B534" t="str">
            <v>Yaounde</v>
          </cell>
        </row>
        <row r="535">
          <cell r="A535" t="str">
            <v>CTR_559</v>
          </cell>
          <cell r="B535" t="str">
            <v>Yaounde</v>
          </cell>
        </row>
        <row r="536">
          <cell r="A536" t="str">
            <v>CTR_564</v>
          </cell>
          <cell r="B536" t="str">
            <v>Yaounde</v>
          </cell>
        </row>
        <row r="537">
          <cell r="A537" t="str">
            <v>CTR_248</v>
          </cell>
          <cell r="B537" t="str">
            <v>Yaounde</v>
          </cell>
        </row>
        <row r="538">
          <cell r="A538" t="str">
            <v>CTR_381</v>
          </cell>
          <cell r="B538" t="str">
            <v>Yaounde</v>
          </cell>
        </row>
        <row r="539">
          <cell r="A539" t="str">
            <v>CTR_383</v>
          </cell>
          <cell r="B539" t="str">
            <v>Yaounde</v>
          </cell>
        </row>
        <row r="540">
          <cell r="A540" t="str">
            <v>NRD_040</v>
          </cell>
          <cell r="B540" t="str">
            <v>Garoua</v>
          </cell>
        </row>
        <row r="541">
          <cell r="A541" t="str">
            <v>NRD_038</v>
          </cell>
          <cell r="B541" t="str">
            <v>Garoua</v>
          </cell>
        </row>
        <row r="542">
          <cell r="A542" t="str">
            <v>LIT_280</v>
          </cell>
          <cell r="B542" t="str">
            <v>Douala</v>
          </cell>
        </row>
        <row r="543">
          <cell r="A543" t="str">
            <v>LIT_482</v>
          </cell>
          <cell r="B543" t="str">
            <v>Douala</v>
          </cell>
        </row>
        <row r="544">
          <cell r="A544" t="str">
            <v>NRD_007</v>
          </cell>
          <cell r="B544" t="str">
            <v>Garoua</v>
          </cell>
        </row>
        <row r="545">
          <cell r="A545" t="str">
            <v>LIT_575</v>
          </cell>
          <cell r="B545" t="str">
            <v>Douala</v>
          </cell>
        </row>
        <row r="546">
          <cell r="A546" t="str">
            <v>LIT_181</v>
          </cell>
          <cell r="B546" t="str">
            <v>Douala</v>
          </cell>
        </row>
        <row r="547">
          <cell r="A547" t="str">
            <v>LIT_209</v>
          </cell>
          <cell r="B547" t="str">
            <v>Edea</v>
          </cell>
        </row>
        <row r="548">
          <cell r="A548" t="str">
            <v>LIT_313</v>
          </cell>
          <cell r="B548" t="str">
            <v>Edea</v>
          </cell>
        </row>
        <row r="549">
          <cell r="A549" t="str">
            <v>LIT_185</v>
          </cell>
          <cell r="B549" t="str">
            <v>Edea</v>
          </cell>
        </row>
        <row r="550">
          <cell r="A550" t="str">
            <v>LIT_078</v>
          </cell>
          <cell r="B550" t="str">
            <v>Edea</v>
          </cell>
        </row>
        <row r="551">
          <cell r="A551" t="str">
            <v>CTR_623</v>
          </cell>
          <cell r="B551" t="str">
            <v>Yaounde</v>
          </cell>
        </row>
        <row r="552">
          <cell r="A552" t="str">
            <v>NRD_047</v>
          </cell>
          <cell r="B552" t="str">
            <v>Garoua</v>
          </cell>
        </row>
        <row r="553">
          <cell r="A553" t="str">
            <v>LIT_577</v>
          </cell>
          <cell r="B553" t="str">
            <v>Douala</v>
          </cell>
        </row>
        <row r="554">
          <cell r="A554" t="str">
            <v>LIT_576</v>
          </cell>
          <cell r="B554" t="str">
            <v>Douala</v>
          </cell>
        </row>
        <row r="555">
          <cell r="A555" t="str">
            <v>ADM_127</v>
          </cell>
          <cell r="B555" t="str">
            <v>Ngaoundere</v>
          </cell>
        </row>
        <row r="556">
          <cell r="A556" t="str">
            <v>CTR_079</v>
          </cell>
          <cell r="B556" t="str">
            <v>Yaounde</v>
          </cell>
        </row>
        <row r="557">
          <cell r="A557" t="str">
            <v>NRD_002</v>
          </cell>
          <cell r="B557" t="str">
            <v>Garoua</v>
          </cell>
        </row>
        <row r="558">
          <cell r="A558" t="str">
            <v>LIT_156</v>
          </cell>
          <cell r="B558" t="str">
            <v>Douala</v>
          </cell>
        </row>
        <row r="559">
          <cell r="A559" t="str">
            <v>LIT_771</v>
          </cell>
          <cell r="B559" t="str">
            <v>Douala</v>
          </cell>
        </row>
        <row r="560">
          <cell r="A560" t="str">
            <v>CTR_621</v>
          </cell>
          <cell r="B560" t="str">
            <v>Yaounde</v>
          </cell>
        </row>
        <row r="561">
          <cell r="A561" t="str">
            <v>CTR_566</v>
          </cell>
          <cell r="B561" t="str">
            <v>Yaounde</v>
          </cell>
        </row>
        <row r="562">
          <cell r="A562" t="str">
            <v>CTR_622</v>
          </cell>
          <cell r="B562" t="str">
            <v>Yaounde</v>
          </cell>
        </row>
        <row r="563">
          <cell r="A563" t="str">
            <v>LIT_578</v>
          </cell>
          <cell r="B563" t="str">
            <v>Douala</v>
          </cell>
        </row>
        <row r="564">
          <cell r="A564" t="str">
            <v>CTR_632</v>
          </cell>
          <cell r="B564" t="str">
            <v>Yaounde</v>
          </cell>
        </row>
        <row r="565">
          <cell r="A565" t="str">
            <v>LIT_151</v>
          </cell>
          <cell r="B565" t="str">
            <v>Douala</v>
          </cell>
        </row>
        <row r="566">
          <cell r="A566" t="str">
            <v>LIT_589</v>
          </cell>
          <cell r="B566" t="str">
            <v>Douala</v>
          </cell>
        </row>
        <row r="567">
          <cell r="A567" t="str">
            <v>LIT_587</v>
          </cell>
          <cell r="B567" t="str">
            <v>Douala</v>
          </cell>
        </row>
        <row r="568">
          <cell r="A568" t="str">
            <v>LIT_588</v>
          </cell>
          <cell r="B568" t="str">
            <v>Douala</v>
          </cell>
        </row>
        <row r="569">
          <cell r="A569" t="str">
            <v>CTR_599</v>
          </cell>
          <cell r="B569" t="str">
            <v>Yaounde</v>
          </cell>
        </row>
        <row r="570">
          <cell r="A570" t="str">
            <v>CTR_635</v>
          </cell>
          <cell r="B570" t="str">
            <v>Yaounde</v>
          </cell>
        </row>
        <row r="571">
          <cell r="A571" t="str">
            <v>CTR_625</v>
          </cell>
          <cell r="B571" t="str">
            <v>Yaounde</v>
          </cell>
        </row>
        <row r="572">
          <cell r="A572" t="str">
            <v>CTR_628</v>
          </cell>
          <cell r="B572" t="str">
            <v>Yaounde</v>
          </cell>
        </row>
        <row r="573">
          <cell r="A573" t="str">
            <v>LIT_579</v>
          </cell>
          <cell r="B573" t="str">
            <v>Douala</v>
          </cell>
        </row>
        <row r="574">
          <cell r="A574" t="str">
            <v>LIT_568</v>
          </cell>
          <cell r="B574" t="str">
            <v>Douala</v>
          </cell>
        </row>
        <row r="575">
          <cell r="A575" t="str">
            <v>SUO_063</v>
          </cell>
          <cell r="B575" t="str">
            <v>Buea</v>
          </cell>
        </row>
        <row r="576">
          <cell r="A576" t="str">
            <v>SUO_163</v>
          </cell>
          <cell r="B576" t="str">
            <v>Buea</v>
          </cell>
        </row>
        <row r="577">
          <cell r="A577" t="str">
            <v>CTR_629</v>
          </cell>
          <cell r="B577" t="str">
            <v>Yaounde</v>
          </cell>
        </row>
        <row r="578">
          <cell r="A578" t="str">
            <v>SUO_066</v>
          </cell>
          <cell r="B578" t="str">
            <v>Buea</v>
          </cell>
        </row>
        <row r="579">
          <cell r="A579" t="str">
            <v>OST_109</v>
          </cell>
          <cell r="B579" t="str">
            <v>Bafoussam</v>
          </cell>
        </row>
        <row r="580">
          <cell r="A580" t="str">
            <v>OST_135</v>
          </cell>
          <cell r="B580" t="str">
            <v>Bafoussam</v>
          </cell>
        </row>
        <row r="581">
          <cell r="A581" t="str">
            <v>OST_003</v>
          </cell>
          <cell r="B581" t="str">
            <v>Bafoussam</v>
          </cell>
        </row>
        <row r="582">
          <cell r="A582" t="str">
            <v>OST_134</v>
          </cell>
          <cell r="B582" t="str">
            <v>Bafoussam</v>
          </cell>
        </row>
        <row r="583">
          <cell r="A583" t="str">
            <v>OST_078</v>
          </cell>
          <cell r="B583" t="str">
            <v>Bafoussam</v>
          </cell>
        </row>
        <row r="584">
          <cell r="A584" t="str">
            <v>OST_170</v>
          </cell>
          <cell r="B584" t="str">
            <v>Bafoussam</v>
          </cell>
        </row>
        <row r="585">
          <cell r="A585" t="str">
            <v>OST_016</v>
          </cell>
          <cell r="B585" t="str">
            <v>Bafoussam</v>
          </cell>
        </row>
        <row r="586">
          <cell r="A586" t="str">
            <v>OST_066</v>
          </cell>
          <cell r="B586" t="str">
            <v>Bafoussam</v>
          </cell>
        </row>
        <row r="587">
          <cell r="A587" t="str">
            <v>OST_002</v>
          </cell>
          <cell r="B587" t="str">
            <v>Bafoussam</v>
          </cell>
        </row>
        <row r="588">
          <cell r="A588" t="str">
            <v>OST_065</v>
          </cell>
          <cell r="B588" t="str">
            <v>Bafoussam</v>
          </cell>
        </row>
        <row r="589">
          <cell r="A589" t="str">
            <v>OST_223</v>
          </cell>
          <cell r="B589" t="str">
            <v>Bafoussam</v>
          </cell>
        </row>
        <row r="590">
          <cell r="A590" t="str">
            <v>OST_119</v>
          </cell>
          <cell r="B590" t="str">
            <v>Bafoussam</v>
          </cell>
        </row>
        <row r="591">
          <cell r="A591" t="str">
            <v>OST_107</v>
          </cell>
          <cell r="B591" t="str">
            <v>Bafoussam</v>
          </cell>
        </row>
        <row r="592">
          <cell r="A592" t="str">
            <v>OST_111</v>
          </cell>
          <cell r="B592" t="str">
            <v>Bafoussam</v>
          </cell>
        </row>
        <row r="593">
          <cell r="A593" t="str">
            <v>OST_100</v>
          </cell>
          <cell r="B593" t="str">
            <v>Bafoussam</v>
          </cell>
        </row>
        <row r="594">
          <cell r="A594" t="str">
            <v>OST_110</v>
          </cell>
          <cell r="B594" t="str">
            <v>Bafoussam</v>
          </cell>
        </row>
        <row r="595">
          <cell r="A595" t="str">
            <v>OST_019</v>
          </cell>
          <cell r="B595" t="str">
            <v>Bafoussam</v>
          </cell>
        </row>
        <row r="596">
          <cell r="A596" t="str">
            <v>OST_045</v>
          </cell>
          <cell r="B596" t="str">
            <v>Bafoussam</v>
          </cell>
        </row>
        <row r="597">
          <cell r="A597" t="str">
            <v>OST_118</v>
          </cell>
          <cell r="B597" t="str">
            <v>Bafoussam</v>
          </cell>
        </row>
        <row r="598">
          <cell r="A598" t="str">
            <v>OST_172</v>
          </cell>
          <cell r="B598" t="str">
            <v>Bafoussam</v>
          </cell>
        </row>
        <row r="599">
          <cell r="A599" t="str">
            <v>SUO_033</v>
          </cell>
          <cell r="B599" t="str">
            <v>Buea</v>
          </cell>
        </row>
        <row r="600">
          <cell r="A600" t="str">
            <v>SUO_023</v>
          </cell>
          <cell r="B600" t="str">
            <v>Buea</v>
          </cell>
        </row>
        <row r="601">
          <cell r="A601" t="str">
            <v>CTR_637</v>
          </cell>
          <cell r="B601" t="str">
            <v>Yaounde</v>
          </cell>
        </row>
        <row r="602">
          <cell r="A602" t="str">
            <v>CTR_557</v>
          </cell>
          <cell r="B602" t="str">
            <v>Yaounde</v>
          </cell>
        </row>
        <row r="603">
          <cell r="A603" t="str">
            <v>SUO_014</v>
          </cell>
          <cell r="B603" t="str">
            <v>Limbe</v>
          </cell>
        </row>
        <row r="604">
          <cell r="A604" t="str">
            <v>OST_105</v>
          </cell>
          <cell r="B604" t="str">
            <v>Dschang</v>
          </cell>
        </row>
        <row r="605">
          <cell r="A605" t="str">
            <v>OST_123</v>
          </cell>
          <cell r="B605" t="str">
            <v>Dschang</v>
          </cell>
        </row>
        <row r="606">
          <cell r="A606" t="str">
            <v>OST_112</v>
          </cell>
          <cell r="B606" t="str">
            <v>Dschang</v>
          </cell>
        </row>
        <row r="607">
          <cell r="A607" t="str">
            <v>OST_097</v>
          </cell>
          <cell r="B607" t="str">
            <v>Dschang</v>
          </cell>
        </row>
        <row r="608">
          <cell r="A608" t="str">
            <v>OST_106</v>
          </cell>
          <cell r="B608" t="str">
            <v>Dschang</v>
          </cell>
        </row>
        <row r="609">
          <cell r="A609" t="str">
            <v>OST_096</v>
          </cell>
          <cell r="B609" t="str">
            <v>Dschang</v>
          </cell>
        </row>
        <row r="610">
          <cell r="A610" t="str">
            <v>EXN_180</v>
          </cell>
          <cell r="B610" t="str">
            <v>Kousseri</v>
          </cell>
        </row>
        <row r="611">
          <cell r="A611" t="str">
            <v>EXN_182</v>
          </cell>
          <cell r="B611" t="str">
            <v>Kousseri</v>
          </cell>
        </row>
        <row r="612">
          <cell r="A612" t="str">
            <v>EXN_188</v>
          </cell>
          <cell r="B612" t="str">
            <v>Kousseri</v>
          </cell>
        </row>
        <row r="613">
          <cell r="A613" t="str">
            <v>CTR_604</v>
          </cell>
          <cell r="B613" t="str">
            <v>Yaounde</v>
          </cell>
        </row>
        <row r="614">
          <cell r="A614" t="str">
            <v>SUD_241</v>
          </cell>
          <cell r="B614" t="str">
            <v>Kribi</v>
          </cell>
        </row>
        <row r="615">
          <cell r="A615" t="str">
            <v>SUO_151</v>
          </cell>
          <cell r="B615" t="str">
            <v>Limbe</v>
          </cell>
        </row>
        <row r="616">
          <cell r="A616" t="str">
            <v>SUO_002</v>
          </cell>
          <cell r="B616" t="str">
            <v>Limbe</v>
          </cell>
        </row>
        <row r="617">
          <cell r="A617" t="str">
            <v>SUO_080</v>
          </cell>
          <cell r="B617" t="str">
            <v>Limbe</v>
          </cell>
        </row>
        <row r="618">
          <cell r="A618" t="str">
            <v>SUO_003</v>
          </cell>
          <cell r="B618" t="str">
            <v>Limbe</v>
          </cell>
        </row>
        <row r="619">
          <cell r="A619" t="str">
            <v>LIT_814</v>
          </cell>
          <cell r="B619" t="str">
            <v>Douala</v>
          </cell>
        </row>
        <row r="620">
          <cell r="A620" t="str">
            <v>LIT_547</v>
          </cell>
          <cell r="B620" t="str">
            <v>Douala</v>
          </cell>
        </row>
        <row r="621">
          <cell r="A621" t="str">
            <v>SUO_011</v>
          </cell>
          <cell r="B621" t="str">
            <v>Limbe</v>
          </cell>
        </row>
        <row r="622">
          <cell r="A622" t="str">
            <v>CTR_598</v>
          </cell>
          <cell r="B622" t="str">
            <v>Yaounde</v>
          </cell>
        </row>
        <row r="623">
          <cell r="A623" t="str">
            <v>LIT_584</v>
          </cell>
          <cell r="B623" t="str">
            <v>Douala</v>
          </cell>
        </row>
        <row r="624">
          <cell r="A624" t="str">
            <v>SUD_042</v>
          </cell>
          <cell r="B624" t="str">
            <v>Kribi</v>
          </cell>
        </row>
        <row r="625">
          <cell r="A625" t="str">
            <v>SUD_057</v>
          </cell>
          <cell r="B625" t="str">
            <v>Kribi</v>
          </cell>
        </row>
        <row r="626">
          <cell r="A626" t="str">
            <v>SUD_043</v>
          </cell>
          <cell r="B626" t="str">
            <v>Kribi</v>
          </cell>
        </row>
        <row r="627">
          <cell r="A627" t="str">
            <v>SUD_006</v>
          </cell>
          <cell r="B627" t="str">
            <v>Kribi</v>
          </cell>
        </row>
        <row r="628">
          <cell r="A628" t="str">
            <v>SUD_002</v>
          </cell>
          <cell r="B628" t="str">
            <v>Kribi</v>
          </cell>
        </row>
        <row r="629">
          <cell r="A629" t="str">
            <v>EST_001</v>
          </cell>
          <cell r="B629" t="str">
            <v>Bertoua</v>
          </cell>
        </row>
        <row r="630">
          <cell r="A630" t="str">
            <v>EST_088</v>
          </cell>
          <cell r="B630" t="str">
            <v>Bertoua</v>
          </cell>
        </row>
        <row r="631">
          <cell r="A631" t="str">
            <v>EST_087</v>
          </cell>
          <cell r="B631" t="str">
            <v>Bertoua</v>
          </cell>
        </row>
        <row r="632">
          <cell r="A632" t="str">
            <v>EST_069</v>
          </cell>
          <cell r="B632" t="str">
            <v>Bertoua</v>
          </cell>
        </row>
        <row r="633">
          <cell r="A633" t="str">
            <v>EST_107</v>
          </cell>
          <cell r="B633" t="str">
            <v>Bertoua</v>
          </cell>
        </row>
        <row r="634">
          <cell r="A634" t="str">
            <v>EST_051</v>
          </cell>
          <cell r="B634" t="str">
            <v>Bertoua</v>
          </cell>
        </row>
        <row r="635">
          <cell r="A635" t="str">
            <v>EST_108</v>
          </cell>
          <cell r="B635" t="str">
            <v>Bertoua</v>
          </cell>
        </row>
        <row r="636">
          <cell r="A636" t="str">
            <v>LIT_583</v>
          </cell>
          <cell r="B636" t="str">
            <v>Dibamba</v>
          </cell>
        </row>
        <row r="637">
          <cell r="A637" t="str">
            <v>SUD_007</v>
          </cell>
          <cell r="B637" t="str">
            <v>Ebolowa</v>
          </cell>
        </row>
        <row r="638">
          <cell r="A638" t="str">
            <v>SUD_264</v>
          </cell>
          <cell r="B638" t="str">
            <v>Ebolowa</v>
          </cell>
        </row>
        <row r="639">
          <cell r="A639" t="str">
            <v>SUD_217</v>
          </cell>
          <cell r="B639" t="str">
            <v>Ebolowa</v>
          </cell>
        </row>
        <row r="640">
          <cell r="A640" t="str">
            <v>SUD_223</v>
          </cell>
          <cell r="B640" t="str">
            <v>Ebolowa</v>
          </cell>
        </row>
        <row r="641">
          <cell r="A641" t="str">
            <v>CTR_392</v>
          </cell>
          <cell r="B641" t="str">
            <v>Ebolowa</v>
          </cell>
        </row>
        <row r="642">
          <cell r="A642" t="str">
            <v>CTR_633</v>
          </cell>
          <cell r="B642" t="str">
            <v>Yaounde</v>
          </cell>
        </row>
        <row r="643">
          <cell r="A643" t="str">
            <v>LIT_582</v>
          </cell>
          <cell r="B643" t="str">
            <v>Douala</v>
          </cell>
        </row>
        <row r="644">
          <cell r="A644" t="str">
            <v>CTR_561</v>
          </cell>
          <cell r="B644" t="str">
            <v>Yaounde</v>
          </cell>
        </row>
        <row r="645">
          <cell r="A645" t="str">
            <v>SUD_010</v>
          </cell>
          <cell r="B645" t="str">
            <v>Kribi</v>
          </cell>
        </row>
        <row r="646">
          <cell r="A646" t="str">
            <v>SUD_076</v>
          </cell>
          <cell r="B646" t="str">
            <v>Kribi</v>
          </cell>
        </row>
        <row r="647">
          <cell r="A647" t="str">
            <v>SUO_081</v>
          </cell>
          <cell r="B647" t="str">
            <v>Limbe</v>
          </cell>
        </row>
        <row r="648">
          <cell r="A648" t="str">
            <v>CTR_595</v>
          </cell>
          <cell r="B648" t="str">
            <v>Yaounde</v>
          </cell>
        </row>
        <row r="649">
          <cell r="A649" t="str">
            <v>LIT_564</v>
          </cell>
          <cell r="B649" t="str">
            <v>Douala</v>
          </cell>
        </row>
        <row r="650">
          <cell r="A650" t="str">
            <v>CTR_579</v>
          </cell>
          <cell r="B650" t="str">
            <v>Yaounde</v>
          </cell>
        </row>
        <row r="651">
          <cell r="A651" t="str">
            <v>CTR_575</v>
          </cell>
          <cell r="B651" t="str">
            <v>Yaounde</v>
          </cell>
        </row>
        <row r="652">
          <cell r="A652" t="str">
            <v>CTR_558</v>
          </cell>
          <cell r="B652" t="str">
            <v>Yaounde</v>
          </cell>
        </row>
        <row r="653">
          <cell r="A653" t="str">
            <v>CTR_583</v>
          </cell>
          <cell r="B653" t="str">
            <v>Yaounde</v>
          </cell>
        </row>
        <row r="654">
          <cell r="A654" t="str">
            <v>LIT_140</v>
          </cell>
          <cell r="B654" t="str">
            <v>Douala</v>
          </cell>
        </row>
        <row r="655">
          <cell r="A655" t="str">
            <v>LIT_585</v>
          </cell>
          <cell r="B655" t="str">
            <v>Douala</v>
          </cell>
        </row>
        <row r="656">
          <cell r="A656" t="str">
            <v>CTR_567</v>
          </cell>
          <cell r="B656" t="str">
            <v>Yaounde</v>
          </cell>
        </row>
        <row r="657">
          <cell r="A657" t="str">
            <v>LIT_539</v>
          </cell>
          <cell r="B657" t="str">
            <v>Douala</v>
          </cell>
        </row>
        <row r="658">
          <cell r="A658" t="str">
            <v>LIT_548</v>
          </cell>
          <cell r="B658" t="str">
            <v>Douala</v>
          </cell>
        </row>
        <row r="659">
          <cell r="A659" t="str">
            <v>CTR_565</v>
          </cell>
          <cell r="B659" t="str">
            <v>Yaounde</v>
          </cell>
        </row>
        <row r="660">
          <cell r="A660" t="str">
            <v>CTR_467</v>
          </cell>
          <cell r="B660" t="str">
            <v>Yaounde</v>
          </cell>
        </row>
        <row r="661">
          <cell r="A661" t="str">
            <v>CTR_563</v>
          </cell>
          <cell r="B661" t="str">
            <v>Yaounde</v>
          </cell>
        </row>
        <row r="662">
          <cell r="A662" t="str">
            <v>LIT_597</v>
          </cell>
          <cell r="B662" t="str">
            <v>Douala</v>
          </cell>
        </row>
        <row r="663">
          <cell r="A663" t="str">
            <v>LIT_580</v>
          </cell>
          <cell r="B663" t="str">
            <v>Douala</v>
          </cell>
        </row>
        <row r="664">
          <cell r="A664" t="str">
            <v>LIT_554</v>
          </cell>
          <cell r="B664" t="str">
            <v>Douala</v>
          </cell>
        </row>
        <row r="665">
          <cell r="A665" t="str">
            <v>CTR_576</v>
          </cell>
          <cell r="B665" t="str">
            <v>Yaounde</v>
          </cell>
        </row>
        <row r="666">
          <cell r="A666" t="str">
            <v>LIT_562</v>
          </cell>
          <cell r="B666" t="str">
            <v>Douala</v>
          </cell>
        </row>
        <row r="667">
          <cell r="A667" t="str">
            <v>CTR_591</v>
          </cell>
          <cell r="B667" t="str">
            <v>Yaounde</v>
          </cell>
        </row>
        <row r="668">
          <cell r="A668" t="str">
            <v>EST_060</v>
          </cell>
          <cell r="B668" t="str">
            <v>Bertoua</v>
          </cell>
        </row>
        <row r="669">
          <cell r="A669" t="str">
            <v>OST_214</v>
          </cell>
          <cell r="B669" t="str">
            <v>Bafoussam</v>
          </cell>
        </row>
        <row r="670">
          <cell r="A670" t="str">
            <v>OST_240</v>
          </cell>
          <cell r="B670" t="str">
            <v>Bafoussam</v>
          </cell>
        </row>
        <row r="671">
          <cell r="A671" t="str">
            <v>OST_064</v>
          </cell>
          <cell r="B671" t="str">
            <v>Bafoussam</v>
          </cell>
        </row>
        <row r="672">
          <cell r="A672" t="str">
            <v>EXN_054</v>
          </cell>
          <cell r="B672" t="str">
            <v>Maroua</v>
          </cell>
        </row>
        <row r="673">
          <cell r="A673" t="str">
            <v>OST_011</v>
          </cell>
          <cell r="B673" t="str">
            <v>Dschang</v>
          </cell>
        </row>
        <row r="674">
          <cell r="A674" t="str">
            <v>OST_020</v>
          </cell>
          <cell r="B674" t="str">
            <v>Dschang</v>
          </cell>
        </row>
        <row r="675">
          <cell r="A675" t="str">
            <v>SUD_227</v>
          </cell>
          <cell r="B675" t="str">
            <v>Ebolowa</v>
          </cell>
        </row>
        <row r="676">
          <cell r="A676" t="str">
            <v>CTR_596</v>
          </cell>
          <cell r="B676" t="str">
            <v>Yaounde</v>
          </cell>
        </row>
        <row r="677">
          <cell r="A677" t="str">
            <v>LIT_005</v>
          </cell>
          <cell r="B677" t="str">
            <v>EDEA</v>
          </cell>
        </row>
        <row r="678">
          <cell r="A678" t="str">
            <v>LIT_000</v>
          </cell>
          <cell r="B678" t="str">
            <v>EDEA</v>
          </cell>
        </row>
        <row r="679">
          <cell r="A679" t="str">
            <v>CTR_647</v>
          </cell>
          <cell r="B679" t="str">
            <v>Yaounde</v>
          </cell>
        </row>
        <row r="680">
          <cell r="A680" t="str">
            <v>OST_128</v>
          </cell>
          <cell r="B680" t="str">
            <v>Foumban</v>
          </cell>
        </row>
        <row r="681">
          <cell r="A681" t="str">
            <v>OST_042</v>
          </cell>
          <cell r="B681" t="str">
            <v>Foumban</v>
          </cell>
        </row>
        <row r="682">
          <cell r="A682" t="str">
            <v>OST_101</v>
          </cell>
          <cell r="B682" t="str">
            <v>Foumban</v>
          </cell>
        </row>
        <row r="683">
          <cell r="A683" t="str">
            <v>OST_125</v>
          </cell>
          <cell r="B683" t="str">
            <v>Foumbot</v>
          </cell>
        </row>
        <row r="684">
          <cell r="A684" t="str">
            <v>NRD_018</v>
          </cell>
          <cell r="B684" t="str">
            <v>Garoua</v>
          </cell>
        </row>
        <row r="685">
          <cell r="A685" t="str">
            <v>NRD_067</v>
          </cell>
          <cell r="B685" t="str">
            <v>Garoua</v>
          </cell>
        </row>
        <row r="686">
          <cell r="A686" t="str">
            <v>NRD_140</v>
          </cell>
          <cell r="B686" t="str">
            <v>Garoua</v>
          </cell>
        </row>
        <row r="687">
          <cell r="A687" t="str">
            <v>EST_125</v>
          </cell>
          <cell r="B687" t="str">
            <v>Kolomine</v>
          </cell>
        </row>
        <row r="688">
          <cell r="A688" t="str">
            <v>SUD_077</v>
          </cell>
          <cell r="B688" t="str">
            <v>Kribi</v>
          </cell>
        </row>
        <row r="689">
          <cell r="A689" t="str">
            <v>EXN_114</v>
          </cell>
          <cell r="B689" t="str">
            <v>Maroua</v>
          </cell>
        </row>
        <row r="690">
          <cell r="A690" t="str">
            <v>EXN_016</v>
          </cell>
          <cell r="B690" t="str">
            <v>Maroua</v>
          </cell>
        </row>
        <row r="691">
          <cell r="A691" t="str">
            <v>EXN_067</v>
          </cell>
          <cell r="B691" t="str">
            <v>Maroua</v>
          </cell>
        </row>
        <row r="692">
          <cell r="A692" t="str">
            <v>EXN_083</v>
          </cell>
          <cell r="B692" t="str">
            <v>Maroua</v>
          </cell>
        </row>
        <row r="693">
          <cell r="A693" t="str">
            <v>EXN_092</v>
          </cell>
          <cell r="B693" t="str">
            <v>Maroua</v>
          </cell>
        </row>
        <row r="694">
          <cell r="A694" t="str">
            <v>EXN_145</v>
          </cell>
          <cell r="B694" t="str">
            <v>Maroua</v>
          </cell>
        </row>
        <row r="695">
          <cell r="A695" t="str">
            <v>NRD_130</v>
          </cell>
          <cell r="B695" t="str">
            <v>Garoua</v>
          </cell>
        </row>
        <row r="696">
          <cell r="A696" t="str">
            <v>LIT_598</v>
          </cell>
          <cell r="B696" t="str">
            <v>Mbanga Pongo</v>
          </cell>
        </row>
        <row r="697">
          <cell r="A697" t="str">
            <v>CTR_642</v>
          </cell>
          <cell r="B697" t="str">
            <v>Yaounde</v>
          </cell>
        </row>
        <row r="698">
          <cell r="A698" t="str">
            <v>ADM_004</v>
          </cell>
          <cell r="B698" t="str">
            <v>Meiganga</v>
          </cell>
        </row>
        <row r="699">
          <cell r="A699" t="str">
            <v>ADM_106</v>
          </cell>
          <cell r="B699" t="str">
            <v>Meiganga</v>
          </cell>
        </row>
        <row r="700">
          <cell r="A700" t="str">
            <v>CTR_646</v>
          </cell>
          <cell r="B700" t="str">
            <v>Yaounde</v>
          </cell>
        </row>
        <row r="701">
          <cell r="A701" t="str">
            <v>EXN_106</v>
          </cell>
          <cell r="B701" t="str">
            <v>Mora</v>
          </cell>
        </row>
        <row r="702">
          <cell r="A702" t="str">
            <v>ADM_001</v>
          </cell>
          <cell r="B702" t="str">
            <v>Ngaoundere</v>
          </cell>
        </row>
        <row r="703">
          <cell r="A703" t="str">
            <v>ADM_087</v>
          </cell>
          <cell r="B703" t="str">
            <v>Ngaoundere</v>
          </cell>
        </row>
        <row r="704">
          <cell r="A704" t="str">
            <v>ADM_048</v>
          </cell>
          <cell r="B704" t="str">
            <v>Ngaoundere</v>
          </cell>
        </row>
        <row r="705">
          <cell r="A705" t="str">
            <v>CTR_648</v>
          </cell>
          <cell r="B705" t="str">
            <v>Yaounde</v>
          </cell>
        </row>
        <row r="706">
          <cell r="A706" t="str">
            <v>CTR_113</v>
          </cell>
          <cell r="B706" t="str">
            <v>Obala</v>
          </cell>
        </row>
        <row r="707">
          <cell r="A707" t="str">
            <v>NRD_166</v>
          </cell>
          <cell r="B707" t="str">
            <v>Sanguere</v>
          </cell>
        </row>
        <row r="708">
          <cell r="A708" t="str">
            <v>CTR_649</v>
          </cell>
          <cell r="B708" t="str">
            <v>Yaounde</v>
          </cell>
        </row>
        <row r="709">
          <cell r="A709" t="str">
            <v>EXN_004</v>
          </cell>
          <cell r="B709" t="str">
            <v>Yagoua</v>
          </cell>
        </row>
        <row r="710">
          <cell r="A710" t="str">
            <v>NRD_097</v>
          </cell>
          <cell r="B710" t="str">
            <v>Garoua</v>
          </cell>
        </row>
        <row r="711">
          <cell r="A711" t="str">
            <v>OST_227</v>
          </cell>
          <cell r="B711" t="str">
            <v>Foumbot</v>
          </cell>
        </row>
        <row r="712">
          <cell r="A712" t="str">
            <v>OST_043</v>
          </cell>
          <cell r="B712" t="str">
            <v>Foumbot</v>
          </cell>
        </row>
        <row r="713">
          <cell r="A713" t="str">
            <v>ADM_077</v>
          </cell>
          <cell r="B713" t="str">
            <v>Ngaoundere</v>
          </cell>
        </row>
        <row r="714">
          <cell r="A714" t="str">
            <v>OST_009</v>
          </cell>
          <cell r="B714" t="str">
            <v>Bandjoun</v>
          </cell>
        </row>
        <row r="715">
          <cell r="A715" t="str">
            <v>OST_239</v>
          </cell>
          <cell r="B715" t="str">
            <v>Bandjoun</v>
          </cell>
        </row>
        <row r="716">
          <cell r="A716" t="str">
            <v>OST_067</v>
          </cell>
          <cell r="B716" t="str">
            <v>Bandjoun</v>
          </cell>
        </row>
        <row r="717">
          <cell r="A717" t="str">
            <v>CTR_640</v>
          </cell>
          <cell r="B717" t="str">
            <v>Yaounde</v>
          </cell>
        </row>
        <row r="718">
          <cell r="A718" t="str">
            <v>OST_243</v>
          </cell>
          <cell r="B718" t="str">
            <v>Batcham</v>
          </cell>
        </row>
        <row r="719">
          <cell r="A719" t="str">
            <v>EST_025</v>
          </cell>
          <cell r="B719" t="str">
            <v>Bertoua</v>
          </cell>
        </row>
        <row r="720">
          <cell r="A720" t="str">
            <v>EST_120</v>
          </cell>
          <cell r="B720" t="str">
            <v>Bertoua</v>
          </cell>
        </row>
        <row r="721">
          <cell r="A721" t="str">
            <v>EST_124</v>
          </cell>
          <cell r="B721" t="str">
            <v>Bertoua</v>
          </cell>
        </row>
        <row r="722">
          <cell r="A722" t="str">
            <v>EST_079</v>
          </cell>
          <cell r="B722" t="str">
            <v>Bertoua</v>
          </cell>
        </row>
        <row r="723">
          <cell r="A723" t="str">
            <v>OST_063</v>
          </cell>
          <cell r="B723" t="str">
            <v>Bafoussam</v>
          </cell>
        </row>
        <row r="724">
          <cell r="A724" t="str">
            <v>OST_169</v>
          </cell>
          <cell r="B724" t="str">
            <v>Bafoussam</v>
          </cell>
        </row>
        <row r="725">
          <cell r="A725" t="str">
            <v>OST_024</v>
          </cell>
          <cell r="B725" t="str">
            <v>Bafoussam</v>
          </cell>
        </row>
        <row r="726">
          <cell r="A726" t="str">
            <v>OST_046</v>
          </cell>
          <cell r="B726" t="str">
            <v>Bafoussam</v>
          </cell>
        </row>
        <row r="727">
          <cell r="A727" t="str">
            <v>OST_001</v>
          </cell>
          <cell r="B727" t="str">
            <v>Bafoussam</v>
          </cell>
        </row>
        <row r="728">
          <cell r="A728" t="str">
            <v>OST_121</v>
          </cell>
          <cell r="B728" t="str">
            <v>Bafoussam</v>
          </cell>
        </row>
        <row r="729">
          <cell r="A729" t="str">
            <v>OST_166</v>
          </cell>
          <cell r="B729" t="str">
            <v>Bafoussam</v>
          </cell>
        </row>
        <row r="730">
          <cell r="A730" t="str">
            <v>OST_238</v>
          </cell>
          <cell r="B730" t="str">
            <v>Bafoussam</v>
          </cell>
        </row>
        <row r="731">
          <cell r="A731" t="str">
            <v>OST_213</v>
          </cell>
          <cell r="B731" t="str">
            <v>Bafoussam</v>
          </cell>
        </row>
        <row r="732">
          <cell r="A732" t="str">
            <v>OST_077</v>
          </cell>
          <cell r="B732" t="str">
            <v>Bafoussam</v>
          </cell>
        </row>
        <row r="733">
          <cell r="A733" t="str">
            <v>SUO_167</v>
          </cell>
          <cell r="B733" t="str">
            <v>Limbe</v>
          </cell>
        </row>
        <row r="734">
          <cell r="A734" t="str">
            <v>LIT_616</v>
          </cell>
          <cell r="B734" t="str">
            <v>Douala</v>
          </cell>
        </row>
        <row r="735">
          <cell r="A735" t="str">
            <v>OST_122</v>
          </cell>
          <cell r="B735" t="str">
            <v>Dschang</v>
          </cell>
        </row>
        <row r="736">
          <cell r="A736" t="str">
            <v>OST_074</v>
          </cell>
          <cell r="B736" t="str">
            <v>Dschang</v>
          </cell>
        </row>
        <row r="737">
          <cell r="A737" t="str">
            <v>OST_084</v>
          </cell>
          <cell r="B737" t="str">
            <v>Dschang</v>
          </cell>
        </row>
        <row r="738">
          <cell r="A738" t="str">
            <v>LIT_456</v>
          </cell>
          <cell r="B738" t="str">
            <v>Edea</v>
          </cell>
        </row>
        <row r="739">
          <cell r="A739" t="str">
            <v>CTR_370</v>
          </cell>
          <cell r="B739" t="str">
            <v>Yaounde</v>
          </cell>
        </row>
        <row r="740">
          <cell r="A740" t="str">
            <v>OST_251</v>
          </cell>
          <cell r="B740" t="str">
            <v>Dschang</v>
          </cell>
        </row>
        <row r="741">
          <cell r="A741" t="str">
            <v>OST_264</v>
          </cell>
          <cell r="B741" t="str">
            <v>Foumbot</v>
          </cell>
        </row>
        <row r="742">
          <cell r="A742" t="str">
            <v>OST_047</v>
          </cell>
          <cell r="B742" t="str">
            <v>Foumban</v>
          </cell>
        </row>
        <row r="743">
          <cell r="A743" t="str">
            <v>OST_028</v>
          </cell>
          <cell r="B743" t="str">
            <v>Foumban</v>
          </cell>
        </row>
        <row r="744">
          <cell r="A744" t="str">
            <v>NRD_076</v>
          </cell>
          <cell r="B744" t="str">
            <v>Guider</v>
          </cell>
        </row>
        <row r="745">
          <cell r="A745" t="str">
            <v>CTR_868</v>
          </cell>
          <cell r="B745" t="str">
            <v>Yaounde</v>
          </cell>
        </row>
        <row r="746">
          <cell r="A746" t="str">
            <v>SUO_165</v>
          </cell>
          <cell r="B746" t="str">
            <v>Limbe</v>
          </cell>
        </row>
        <row r="747">
          <cell r="A747" t="str">
            <v>LIT_613</v>
          </cell>
          <cell r="B747" t="str">
            <v>Douala</v>
          </cell>
        </row>
        <row r="748">
          <cell r="A748" t="str">
            <v>OST_141</v>
          </cell>
          <cell r="B748" t="str">
            <v>Mbouda</v>
          </cell>
        </row>
        <row r="749">
          <cell r="A749" t="str">
            <v>OST_142</v>
          </cell>
          <cell r="B749" t="str">
            <v>Mbouda</v>
          </cell>
        </row>
        <row r="750">
          <cell r="A750" t="str">
            <v>OST_071</v>
          </cell>
          <cell r="B750" t="str">
            <v>Mbouda</v>
          </cell>
        </row>
        <row r="751">
          <cell r="A751" t="str">
            <v>OST_144</v>
          </cell>
          <cell r="B751" t="str">
            <v>Mbouda</v>
          </cell>
        </row>
        <row r="752">
          <cell r="A752" t="str">
            <v>SUD_078</v>
          </cell>
          <cell r="B752" t="str">
            <v>Mengbwa</v>
          </cell>
        </row>
        <row r="753">
          <cell r="A753" t="str">
            <v>CTR_643</v>
          </cell>
          <cell r="B753" t="str">
            <v>Yaounde</v>
          </cell>
        </row>
        <row r="754">
          <cell r="A754" t="str">
            <v>CTR_036</v>
          </cell>
          <cell r="B754" t="str">
            <v>Mfou</v>
          </cell>
        </row>
        <row r="755">
          <cell r="A755" t="str">
            <v>CTR_464</v>
          </cell>
          <cell r="B755" t="str">
            <v>Mfou</v>
          </cell>
        </row>
        <row r="756">
          <cell r="A756" t="str">
            <v>CTR_661</v>
          </cell>
          <cell r="B756" t="str">
            <v>Yaounde</v>
          </cell>
        </row>
        <row r="757">
          <cell r="A757" t="str">
            <v>CTR_676</v>
          </cell>
          <cell r="B757" t="str">
            <v>Yaounde</v>
          </cell>
        </row>
        <row r="758">
          <cell r="A758" t="str">
            <v>CTR_062</v>
          </cell>
          <cell r="B758" t="str">
            <v>Nomayos</v>
          </cell>
        </row>
        <row r="759">
          <cell r="A759" t="str">
            <v>CTR_560</v>
          </cell>
          <cell r="B759" t="str">
            <v>Yaounde</v>
          </cell>
        </row>
        <row r="760">
          <cell r="A760" t="str">
            <v>CTR_674</v>
          </cell>
          <cell r="B760" t="str">
            <v>Yaounde</v>
          </cell>
        </row>
        <row r="761">
          <cell r="A761" t="str">
            <v>CTR_675</v>
          </cell>
          <cell r="B761" t="str">
            <v>Yaounde</v>
          </cell>
        </row>
        <row r="762">
          <cell r="A762" t="str">
            <v>SUO_166</v>
          </cell>
          <cell r="B762" t="str">
            <v>Limbe</v>
          </cell>
        </row>
        <row r="763">
          <cell r="A763" t="str">
            <v>CTR_673</v>
          </cell>
          <cell r="B763" t="str">
            <v>Yop</v>
          </cell>
        </row>
        <row r="764">
          <cell r="A764" t="str">
            <v>CTR_662</v>
          </cell>
          <cell r="B764" t="str">
            <v>Yaounde</v>
          </cell>
        </row>
        <row r="765">
          <cell r="A765" t="str">
            <v>CTR_664</v>
          </cell>
          <cell r="B765" t="str">
            <v>Yaounde</v>
          </cell>
        </row>
        <row r="766">
          <cell r="A766" t="str">
            <v>OST_126</v>
          </cell>
          <cell r="B766" t="str">
            <v>Bafang</v>
          </cell>
        </row>
        <row r="767">
          <cell r="A767" t="str">
            <v>OST_222</v>
          </cell>
          <cell r="B767" t="str">
            <v>Bafang</v>
          </cell>
        </row>
        <row r="768">
          <cell r="A768" t="str">
            <v>OST_266</v>
          </cell>
          <cell r="B768" t="str">
            <v>Bangangte</v>
          </cell>
        </row>
        <row r="769">
          <cell r="A769" t="str">
            <v>EXN_046</v>
          </cell>
          <cell r="B769" t="str">
            <v>Maroua</v>
          </cell>
        </row>
        <row r="770">
          <cell r="A770" t="str">
            <v>EST_127</v>
          </cell>
          <cell r="B770" t="str">
            <v>Bertoua</v>
          </cell>
        </row>
        <row r="771">
          <cell r="A771" t="str">
            <v>EST_128</v>
          </cell>
          <cell r="B771" t="str">
            <v>Bertoua</v>
          </cell>
        </row>
        <row r="772">
          <cell r="A772" t="str">
            <v>EST_032</v>
          </cell>
          <cell r="B772" t="str">
            <v>Bertoua</v>
          </cell>
        </row>
        <row r="773">
          <cell r="A773" t="str">
            <v>OST_120</v>
          </cell>
          <cell r="B773" t="str">
            <v>Bafoussam</v>
          </cell>
        </row>
        <row r="774">
          <cell r="A774" t="str">
            <v>OST_075</v>
          </cell>
          <cell r="B774" t="str">
            <v>Bafoussam</v>
          </cell>
        </row>
        <row r="775">
          <cell r="A775" t="str">
            <v>OST_076</v>
          </cell>
          <cell r="B775" t="str">
            <v>Bafoussam</v>
          </cell>
        </row>
        <row r="776">
          <cell r="A776" t="str">
            <v>OST_231</v>
          </cell>
          <cell r="B776" t="str">
            <v>Bafoussam</v>
          </cell>
        </row>
        <row r="777">
          <cell r="A777" t="str">
            <v>OST_232</v>
          </cell>
          <cell r="B777" t="str">
            <v>Bafoussam</v>
          </cell>
        </row>
        <row r="778">
          <cell r="A778" t="str">
            <v>NRD_039</v>
          </cell>
          <cell r="B778" t="str">
            <v>Garoua</v>
          </cell>
        </row>
        <row r="779">
          <cell r="A779" t="str">
            <v>LIT_632</v>
          </cell>
          <cell r="B779" t="str">
            <v>Douala</v>
          </cell>
        </row>
        <row r="780">
          <cell r="A780" t="str">
            <v>LIT_633</v>
          </cell>
          <cell r="B780" t="str">
            <v>Douala</v>
          </cell>
        </row>
        <row r="781">
          <cell r="A781" t="str">
            <v>LIT_498</v>
          </cell>
          <cell r="B781" t="str">
            <v>Bomono</v>
          </cell>
        </row>
        <row r="782">
          <cell r="A782" t="str">
            <v>LIT_187</v>
          </cell>
          <cell r="B782" t="str">
            <v>Dibombari</v>
          </cell>
        </row>
        <row r="783">
          <cell r="A783" t="str">
            <v>EXN_197</v>
          </cell>
          <cell r="B783" t="str">
            <v>Maroua</v>
          </cell>
        </row>
        <row r="784">
          <cell r="A784" t="str">
            <v>EXN_217</v>
          </cell>
          <cell r="B784" t="str">
            <v>Maroua</v>
          </cell>
        </row>
        <row r="785">
          <cell r="A785" t="str">
            <v>SUD_082</v>
          </cell>
          <cell r="B785" t="str">
            <v>Ebolowa</v>
          </cell>
        </row>
        <row r="786">
          <cell r="A786" t="str">
            <v>SUD_262</v>
          </cell>
          <cell r="B786" t="str">
            <v>Ebolowa</v>
          </cell>
        </row>
        <row r="787">
          <cell r="A787" t="str">
            <v>SUD_263</v>
          </cell>
          <cell r="B787" t="str">
            <v>Ebolowa</v>
          </cell>
        </row>
        <row r="788">
          <cell r="A788" t="str">
            <v>LIT_322</v>
          </cell>
          <cell r="B788" t="str">
            <v>Edea</v>
          </cell>
        </row>
        <row r="789">
          <cell r="A789" t="str">
            <v>CTR_309</v>
          </cell>
          <cell r="B789" t="str">
            <v>Ekali</v>
          </cell>
        </row>
        <row r="790">
          <cell r="A790" t="str">
            <v>CTR_694</v>
          </cell>
          <cell r="B790" t="str">
            <v>Yaounde</v>
          </cell>
        </row>
        <row r="791">
          <cell r="A791" t="str">
            <v>CTR_147</v>
          </cell>
          <cell r="B791" t="str">
            <v>Essa-Mintsang</v>
          </cell>
        </row>
        <row r="792">
          <cell r="A792" t="str">
            <v>CTR_692</v>
          </cell>
          <cell r="B792" t="str">
            <v>Yaounde</v>
          </cell>
        </row>
        <row r="793">
          <cell r="A793" t="str">
            <v>OST_177</v>
          </cell>
          <cell r="B793" t="str">
            <v>Foumban</v>
          </cell>
        </row>
        <row r="794">
          <cell r="A794" t="str">
            <v>ADM_156</v>
          </cell>
          <cell r="B794" t="str">
            <v>Garoua-Boulai</v>
          </cell>
        </row>
        <row r="795">
          <cell r="A795" t="str">
            <v>NRD_158</v>
          </cell>
          <cell r="B795" t="str">
            <v>Garoua</v>
          </cell>
        </row>
        <row r="796">
          <cell r="A796" t="str">
            <v>SUD_240</v>
          </cell>
          <cell r="B796" t="str">
            <v>Kribi</v>
          </cell>
        </row>
        <row r="797">
          <cell r="A797" t="str">
            <v>SUD_080</v>
          </cell>
          <cell r="B797" t="str">
            <v>Kribi</v>
          </cell>
        </row>
        <row r="798">
          <cell r="A798" t="str">
            <v>EXN_241</v>
          </cell>
          <cell r="B798" t="str">
            <v>Maroua</v>
          </cell>
        </row>
        <row r="799">
          <cell r="A799" t="str">
            <v>CTR_528</v>
          </cell>
          <cell r="B799" t="str">
            <v>Mbankomo</v>
          </cell>
        </row>
        <row r="800">
          <cell r="A800" t="str">
            <v>CTR_222</v>
          </cell>
          <cell r="B800" t="str">
            <v>Mbankomo</v>
          </cell>
        </row>
        <row r="801">
          <cell r="A801" t="str">
            <v>CTR_541</v>
          </cell>
          <cell r="B801" t="str">
            <v>Mbankomo</v>
          </cell>
        </row>
        <row r="802">
          <cell r="A802" t="str">
            <v>SUD_235</v>
          </cell>
          <cell r="B802" t="str">
            <v>Memiam</v>
          </cell>
        </row>
        <row r="803">
          <cell r="A803" t="str">
            <v>CTR_655</v>
          </cell>
          <cell r="B803" t="str">
            <v>Yaounde</v>
          </cell>
        </row>
        <row r="804">
          <cell r="A804" t="str">
            <v>LIT_621</v>
          </cell>
          <cell r="B804" t="str">
            <v>Douala</v>
          </cell>
        </row>
        <row r="805">
          <cell r="A805" t="str">
            <v>LIT_227</v>
          </cell>
          <cell r="B805" t="str">
            <v>Missole</v>
          </cell>
        </row>
        <row r="806">
          <cell r="A806" t="str">
            <v>LIT_306</v>
          </cell>
          <cell r="B806" t="str">
            <v>Missole</v>
          </cell>
        </row>
        <row r="807">
          <cell r="A807" t="str">
            <v>CTR_668</v>
          </cell>
          <cell r="B807" t="str">
            <v>Yaounde</v>
          </cell>
        </row>
        <row r="808">
          <cell r="A808" t="str">
            <v>SUD_237</v>
          </cell>
          <cell r="B808" t="str">
            <v>Mvoutessi</v>
          </cell>
        </row>
        <row r="809">
          <cell r="A809" t="str">
            <v>LIT_624</v>
          </cell>
          <cell r="B809" t="str">
            <v>Douala</v>
          </cell>
        </row>
        <row r="810">
          <cell r="A810" t="str">
            <v>LIT_619</v>
          </cell>
          <cell r="B810" t="str">
            <v>Douala</v>
          </cell>
        </row>
        <row r="811">
          <cell r="A811" t="str">
            <v>LIT_117</v>
          </cell>
          <cell r="B811" t="str">
            <v>Ndogkeng</v>
          </cell>
        </row>
        <row r="812">
          <cell r="A812" t="str">
            <v>LIT_634</v>
          </cell>
          <cell r="B812" t="str">
            <v>Douala</v>
          </cell>
        </row>
        <row r="813">
          <cell r="A813" t="str">
            <v>ADM_158</v>
          </cell>
          <cell r="B813" t="str">
            <v>Ngaoundere</v>
          </cell>
        </row>
        <row r="814">
          <cell r="A814" t="str">
            <v>ADM_136</v>
          </cell>
          <cell r="B814" t="str">
            <v>Ngaoundere</v>
          </cell>
        </row>
        <row r="815">
          <cell r="A815" t="str">
            <v>ADM_135</v>
          </cell>
          <cell r="B815" t="str">
            <v>Ngaoundere</v>
          </cell>
        </row>
        <row r="816">
          <cell r="A816" t="str">
            <v>ADM_157</v>
          </cell>
          <cell r="B816" t="str">
            <v>Ngaoundere</v>
          </cell>
        </row>
        <row r="817">
          <cell r="A817" t="str">
            <v>ADM_155</v>
          </cell>
          <cell r="B817" t="str">
            <v>Ngaoundere</v>
          </cell>
        </row>
        <row r="818">
          <cell r="A818" t="str">
            <v>LIT_626</v>
          </cell>
          <cell r="B818" t="str">
            <v>Douala</v>
          </cell>
        </row>
        <row r="819">
          <cell r="A819" t="str">
            <v>CTR_670</v>
          </cell>
          <cell r="B819" t="str">
            <v>Yaounde</v>
          </cell>
        </row>
        <row r="820">
          <cell r="A820" t="str">
            <v>CTR_672</v>
          </cell>
          <cell r="B820" t="str">
            <v>Nkolzie</v>
          </cell>
        </row>
        <row r="821">
          <cell r="A821" t="str">
            <v>CTR_695</v>
          </cell>
          <cell r="B821" t="str">
            <v>Yaounde</v>
          </cell>
        </row>
        <row r="822">
          <cell r="A822" t="str">
            <v>CTR_696</v>
          </cell>
          <cell r="B822" t="str">
            <v>Nkongkarak</v>
          </cell>
        </row>
        <row r="823">
          <cell r="A823" t="str">
            <v>SUD_012</v>
          </cell>
          <cell r="B823" t="str">
            <v>Nkout</v>
          </cell>
        </row>
        <row r="824">
          <cell r="A824" t="str">
            <v>CTR_527</v>
          </cell>
          <cell r="B824" t="str">
            <v>Nomayos</v>
          </cell>
        </row>
        <row r="825">
          <cell r="A825" t="str">
            <v>CTR_660</v>
          </cell>
          <cell r="B825" t="str">
            <v>Yaounde</v>
          </cell>
        </row>
        <row r="826">
          <cell r="A826" t="str">
            <v>EXN_008</v>
          </cell>
          <cell r="B826" t="str">
            <v>Salak</v>
          </cell>
        </row>
        <row r="827">
          <cell r="A827" t="str">
            <v>CTR_366</v>
          </cell>
          <cell r="B827" t="str">
            <v>Zamakoe</v>
          </cell>
        </row>
        <row r="828">
          <cell r="A828" t="str">
            <v>CTR_650</v>
          </cell>
          <cell r="B828" t="str">
            <v>Yaounde</v>
          </cell>
        </row>
        <row r="829">
          <cell r="A829" t="str">
            <v>LIT_609</v>
          </cell>
          <cell r="B829" t="str">
            <v>Douala</v>
          </cell>
        </row>
        <row r="830">
          <cell r="A830" t="str">
            <v>EST_052</v>
          </cell>
          <cell r="B830" t="str">
            <v>Bertoua</v>
          </cell>
        </row>
        <row r="831">
          <cell r="A831" t="str">
            <v>CTR_665</v>
          </cell>
          <cell r="B831" t="str">
            <v>Yaounde</v>
          </cell>
        </row>
        <row r="832">
          <cell r="A832" t="str">
            <v>OST_087</v>
          </cell>
          <cell r="B832" t="str">
            <v>Foumban</v>
          </cell>
        </row>
        <row r="833">
          <cell r="A833" t="str">
            <v>CTR_652</v>
          </cell>
          <cell r="B833" t="str">
            <v>Yaounde</v>
          </cell>
        </row>
        <row r="834">
          <cell r="A834" t="str">
            <v>LIT_611</v>
          </cell>
          <cell r="B834" t="str">
            <v>Douala</v>
          </cell>
        </row>
        <row r="835">
          <cell r="A835" t="str">
            <v>SUD_239</v>
          </cell>
          <cell r="B835" t="str">
            <v>Kpwang</v>
          </cell>
        </row>
        <row r="836">
          <cell r="A836" t="str">
            <v>CTR_667</v>
          </cell>
          <cell r="B836" t="str">
            <v>Lada</v>
          </cell>
        </row>
        <row r="837">
          <cell r="A837" t="str">
            <v>EXN_184</v>
          </cell>
          <cell r="B837" t="str">
            <v>Maroua</v>
          </cell>
        </row>
        <row r="838">
          <cell r="A838" t="str">
            <v>CTR_669</v>
          </cell>
          <cell r="B838" t="str">
            <v>Yaounde</v>
          </cell>
        </row>
        <row r="839">
          <cell r="A839" t="str">
            <v>CTR_671</v>
          </cell>
          <cell r="B839" t="str">
            <v>Yaounde</v>
          </cell>
        </row>
        <row r="840">
          <cell r="A840" t="str">
            <v>LIT_620</v>
          </cell>
          <cell r="B840" t="str">
            <v>Douala</v>
          </cell>
        </row>
        <row r="841">
          <cell r="A841" t="str">
            <v>CTR_663</v>
          </cell>
          <cell r="B841" t="str">
            <v>Akok</v>
          </cell>
        </row>
        <row r="842">
          <cell r="A842" t="str">
            <v>CTR_021</v>
          </cell>
          <cell r="B842" t="str">
            <v>Mbalmayo</v>
          </cell>
        </row>
        <row r="843">
          <cell r="A843" t="str">
            <v>CTR_393</v>
          </cell>
          <cell r="B843" t="str">
            <v>Mbalmayo</v>
          </cell>
        </row>
        <row r="844">
          <cell r="A844" t="str">
            <v>CTR_136</v>
          </cell>
          <cell r="B844" t="str">
            <v>Mbalmayo</v>
          </cell>
        </row>
        <row r="845">
          <cell r="A845" t="str">
            <v>CTR_252</v>
          </cell>
          <cell r="B845" t="str">
            <v>Mbalmayo</v>
          </cell>
        </row>
        <row r="846">
          <cell r="A846" t="str">
            <v>CTR_493</v>
          </cell>
          <cell r="B846" t="str">
            <v>Mbalmayo</v>
          </cell>
        </row>
        <row r="847">
          <cell r="A847" t="str">
            <v>CTR_033</v>
          </cell>
          <cell r="B847" t="str">
            <v>Nanga-Eboko</v>
          </cell>
        </row>
        <row r="848">
          <cell r="A848" t="str">
            <v>LIT_016</v>
          </cell>
          <cell r="B848" t="str">
            <v>Souza</v>
          </cell>
        </row>
        <row r="849">
          <cell r="A849" t="str">
            <v>OST_015</v>
          </cell>
          <cell r="B849" t="str">
            <v>Bafang</v>
          </cell>
        </row>
        <row r="850">
          <cell r="A850" t="str">
            <v>OST_004</v>
          </cell>
          <cell r="B850" t="str">
            <v>Foumban</v>
          </cell>
        </row>
        <row r="851">
          <cell r="A851" t="str">
            <v>SUD_015</v>
          </cell>
          <cell r="B851" t="str">
            <v>Kye-Ossi</v>
          </cell>
        </row>
        <row r="852">
          <cell r="A852" t="str">
            <v>SUD_026</v>
          </cell>
          <cell r="B852" t="str">
            <v>Kye-Ossi</v>
          </cell>
        </row>
        <row r="853">
          <cell r="A853" t="str">
            <v>CTR_593</v>
          </cell>
          <cell r="B853" t="str">
            <v>Leboudi</v>
          </cell>
        </row>
        <row r="854">
          <cell r="A854" t="str">
            <v>LIT_503</v>
          </cell>
          <cell r="B854" t="str">
            <v>Logbadjeck</v>
          </cell>
        </row>
        <row r="855">
          <cell r="A855" t="str">
            <v>CTR_594</v>
          </cell>
          <cell r="B855" t="str">
            <v>Ba'aba</v>
          </cell>
        </row>
        <row r="856">
          <cell r="A856" t="str">
            <v>CTR_053</v>
          </cell>
          <cell r="B856" t="str">
            <v>Metet</v>
          </cell>
        </row>
        <row r="857">
          <cell r="A857" t="str">
            <v>CTR_590</v>
          </cell>
          <cell r="B857" t="str">
            <v>Yaounde</v>
          </cell>
        </row>
        <row r="858">
          <cell r="A858" t="str">
            <v>CTR_597</v>
          </cell>
          <cell r="B858" t="str">
            <v>Yaounde</v>
          </cell>
        </row>
        <row r="859">
          <cell r="A859" t="str">
            <v>SUD_258</v>
          </cell>
          <cell r="B859" t="str">
            <v>Sangmelima</v>
          </cell>
        </row>
        <row r="860">
          <cell r="A860" t="str">
            <v>SUD_260</v>
          </cell>
          <cell r="B860" t="str">
            <v>Sangmelima</v>
          </cell>
        </row>
        <row r="861">
          <cell r="A861" t="str">
            <v>SUD_018</v>
          </cell>
          <cell r="B861" t="str">
            <v>Sangmelima</v>
          </cell>
        </row>
        <row r="862">
          <cell r="A862" t="str">
            <v>SUD_224</v>
          </cell>
          <cell r="B862" t="str">
            <v>Sangmelima</v>
          </cell>
        </row>
        <row r="863">
          <cell r="A863" t="str">
            <v>SUD_228</v>
          </cell>
          <cell r="B863" t="str">
            <v>Sangmelima</v>
          </cell>
        </row>
        <row r="864">
          <cell r="A864" t="str">
            <v>LIT_110</v>
          </cell>
          <cell r="B864" t="str">
            <v>Yabassi</v>
          </cell>
        </row>
        <row r="865">
          <cell r="A865" t="str">
            <v>CTR_100</v>
          </cell>
          <cell r="B865" t="str">
            <v>Zamengoue</v>
          </cell>
        </row>
        <row r="866">
          <cell r="A866" t="str">
            <v>SUD_083</v>
          </cell>
          <cell r="B866" t="str">
            <v>Ebolowa</v>
          </cell>
        </row>
        <row r="867">
          <cell r="A867" t="str">
            <v>LIT_596</v>
          </cell>
          <cell r="B867" t="str">
            <v>Douala</v>
          </cell>
        </row>
        <row r="868">
          <cell r="A868" t="str">
            <v>OST_012</v>
          </cell>
          <cell r="B868" t="str">
            <v>Bangangte</v>
          </cell>
        </row>
        <row r="869">
          <cell r="A869" t="str">
            <v>OST_180</v>
          </cell>
          <cell r="B869" t="str">
            <v>Bangangte</v>
          </cell>
        </row>
        <row r="870">
          <cell r="A870" t="str">
            <v>OST_018</v>
          </cell>
          <cell r="B870" t="str">
            <v>Bangangte</v>
          </cell>
        </row>
        <row r="871">
          <cell r="A871" t="str">
            <v>LIT_617</v>
          </cell>
          <cell r="B871" t="str">
            <v>Dibamba</v>
          </cell>
        </row>
        <row r="872">
          <cell r="A872" t="str">
            <v>OST_267</v>
          </cell>
          <cell r="B872" t="str">
            <v>Dschang</v>
          </cell>
        </row>
        <row r="873">
          <cell r="A873" t="str">
            <v>EST_080</v>
          </cell>
          <cell r="B873" t="str">
            <v>Garoua-Boulai</v>
          </cell>
        </row>
        <row r="874">
          <cell r="A874" t="str">
            <v>EST_118</v>
          </cell>
          <cell r="B874" t="str">
            <v>Garoua-Boulai</v>
          </cell>
        </row>
        <row r="875">
          <cell r="A875" t="str">
            <v>LIT_039</v>
          </cell>
          <cell r="B875" t="str">
            <v>Njombe</v>
          </cell>
        </row>
        <row r="876">
          <cell r="A876" t="str">
            <v>SUO_061</v>
          </cell>
          <cell r="B876" t="str">
            <v>Bekoko</v>
          </cell>
        </row>
        <row r="877">
          <cell r="A877" t="str">
            <v>LIT_029</v>
          </cell>
          <cell r="B877" t="str">
            <v>Loum</v>
          </cell>
        </row>
        <row r="878">
          <cell r="A878" t="str">
            <v>LIT_086</v>
          </cell>
          <cell r="B878" t="str">
            <v>Loum</v>
          </cell>
        </row>
        <row r="879">
          <cell r="A879" t="str">
            <v>LIT_521</v>
          </cell>
          <cell r="B879" t="str">
            <v>Loum</v>
          </cell>
        </row>
        <row r="880">
          <cell r="A880" t="str">
            <v>LIT_520</v>
          </cell>
          <cell r="B880" t="str">
            <v>Loum</v>
          </cell>
        </row>
        <row r="881">
          <cell r="A881" t="str">
            <v>LIT_021</v>
          </cell>
          <cell r="B881" t="str">
            <v>Nkongsamba</v>
          </cell>
        </row>
        <row r="882">
          <cell r="A882" t="str">
            <v>LIT_288</v>
          </cell>
          <cell r="B882" t="str">
            <v>Nkongsamba</v>
          </cell>
        </row>
        <row r="883">
          <cell r="A883" t="str">
            <v>LIT_353</v>
          </cell>
          <cell r="B883" t="str">
            <v>Nkongsamba</v>
          </cell>
        </row>
        <row r="884">
          <cell r="A884" t="str">
            <v>LIT_116</v>
          </cell>
          <cell r="B884" t="str">
            <v>Nkongsamba</v>
          </cell>
        </row>
        <row r="885">
          <cell r="A885" t="str">
            <v>LIT_558</v>
          </cell>
          <cell r="B885" t="str">
            <v>Nkongsamba</v>
          </cell>
        </row>
        <row r="886">
          <cell r="A886" t="str">
            <v>LIT_071</v>
          </cell>
          <cell r="B886" t="str">
            <v>Nkongsamba</v>
          </cell>
        </row>
        <row r="887">
          <cell r="A887" t="str">
            <v>LIT_169</v>
          </cell>
          <cell r="B887" t="str">
            <v>Nkongsamba</v>
          </cell>
        </row>
        <row r="888">
          <cell r="A888" t="str">
            <v>CTR_022</v>
          </cell>
          <cell r="B888" t="str">
            <v>Bafia</v>
          </cell>
        </row>
        <row r="889">
          <cell r="A889" t="str">
            <v>CTR_101</v>
          </cell>
          <cell r="B889" t="str">
            <v>Bafia</v>
          </cell>
        </row>
        <row r="890">
          <cell r="A890" t="str">
            <v>CTR_397</v>
          </cell>
          <cell r="B890" t="str">
            <v>Bafia</v>
          </cell>
        </row>
        <row r="891">
          <cell r="A891" t="str">
            <v>CTR_362</v>
          </cell>
          <cell r="B891" t="str">
            <v>Bafia</v>
          </cell>
        </row>
        <row r="892">
          <cell r="A892" t="str">
            <v>CTR_722</v>
          </cell>
          <cell r="B892" t="str">
            <v>Yaounde</v>
          </cell>
        </row>
        <row r="893">
          <cell r="A893" t="str">
            <v>EST_070</v>
          </cell>
          <cell r="B893" t="str">
            <v>Batouri</v>
          </cell>
        </row>
        <row r="894">
          <cell r="A894" t="str">
            <v>CTR_805</v>
          </cell>
          <cell r="B894" t="str">
            <v>Yaounde</v>
          </cell>
        </row>
        <row r="895">
          <cell r="A895" t="str">
            <v>LIT_230</v>
          </cell>
          <cell r="B895" t="str">
            <v>Edea</v>
          </cell>
        </row>
        <row r="896">
          <cell r="A896" t="str">
            <v>CTR_726</v>
          </cell>
          <cell r="B896" t="str">
            <v>Yaounde</v>
          </cell>
        </row>
        <row r="897">
          <cell r="A897" t="str">
            <v>OST_235</v>
          </cell>
          <cell r="B897" t="str">
            <v>Foumban</v>
          </cell>
        </row>
        <row r="898">
          <cell r="A898" t="str">
            <v>OST_233</v>
          </cell>
          <cell r="B898" t="str">
            <v>Foumban</v>
          </cell>
        </row>
        <row r="899">
          <cell r="A899" t="str">
            <v>OST_175</v>
          </cell>
          <cell r="B899" t="str">
            <v>Foumban</v>
          </cell>
        </row>
        <row r="900">
          <cell r="A900" t="str">
            <v>OST_083</v>
          </cell>
          <cell r="B900" t="str">
            <v>Foumban</v>
          </cell>
        </row>
        <row r="901">
          <cell r="A901" t="str">
            <v>OST_176</v>
          </cell>
          <cell r="B901" t="str">
            <v>Foumban</v>
          </cell>
        </row>
        <row r="902">
          <cell r="A902" t="str">
            <v>OST_178</v>
          </cell>
          <cell r="B902" t="str">
            <v>Foumban</v>
          </cell>
        </row>
        <row r="903">
          <cell r="A903" t="str">
            <v>OST_137</v>
          </cell>
          <cell r="B903" t="str">
            <v>Foumban</v>
          </cell>
        </row>
        <row r="904">
          <cell r="A904" t="str">
            <v>OST_082</v>
          </cell>
          <cell r="B904" t="str">
            <v>Foumban</v>
          </cell>
        </row>
        <row r="905">
          <cell r="A905" t="str">
            <v>NRD_073</v>
          </cell>
          <cell r="B905" t="str">
            <v>Garoua</v>
          </cell>
        </row>
        <row r="906">
          <cell r="A906" t="str">
            <v>NRD_045</v>
          </cell>
          <cell r="B906" t="str">
            <v>Garoua</v>
          </cell>
        </row>
        <row r="907">
          <cell r="A907" t="str">
            <v>NRD_116</v>
          </cell>
          <cell r="B907" t="str">
            <v>Garoua</v>
          </cell>
        </row>
        <row r="908">
          <cell r="A908" t="str">
            <v>NRD_145</v>
          </cell>
          <cell r="B908" t="str">
            <v>Garoua</v>
          </cell>
        </row>
        <row r="909">
          <cell r="A909" t="str">
            <v>NRD_063</v>
          </cell>
          <cell r="B909" t="str">
            <v>Garoua</v>
          </cell>
        </row>
        <row r="910">
          <cell r="A910" t="str">
            <v>NRD_142</v>
          </cell>
          <cell r="B910" t="str">
            <v>Garoua</v>
          </cell>
        </row>
        <row r="911">
          <cell r="A911" t="str">
            <v>NRD_085</v>
          </cell>
          <cell r="B911" t="str">
            <v>Garoua</v>
          </cell>
        </row>
        <row r="912">
          <cell r="A912" t="str">
            <v>NRD_146</v>
          </cell>
          <cell r="B912" t="str">
            <v>Garoua</v>
          </cell>
        </row>
        <row r="913">
          <cell r="A913" t="str">
            <v>NRD_084</v>
          </cell>
          <cell r="B913" t="str">
            <v>Garoua</v>
          </cell>
        </row>
        <row r="914">
          <cell r="A914" t="str">
            <v>NRD_138</v>
          </cell>
          <cell r="B914" t="str">
            <v>Garoua</v>
          </cell>
        </row>
        <row r="915">
          <cell r="A915" t="str">
            <v>NRD_083</v>
          </cell>
          <cell r="B915" t="str">
            <v>Garoua</v>
          </cell>
        </row>
        <row r="916">
          <cell r="A916" t="str">
            <v>NRD_143</v>
          </cell>
          <cell r="B916" t="str">
            <v>Garoua</v>
          </cell>
        </row>
        <row r="917">
          <cell r="A917" t="str">
            <v>NRD_072</v>
          </cell>
          <cell r="B917" t="str">
            <v>Garoua</v>
          </cell>
        </row>
        <row r="918">
          <cell r="A918" t="str">
            <v>EXN_018</v>
          </cell>
          <cell r="B918" t="str">
            <v>Guidiguis</v>
          </cell>
        </row>
        <row r="919">
          <cell r="A919" t="str">
            <v>EXN_011</v>
          </cell>
          <cell r="B919" t="str">
            <v>Kaele</v>
          </cell>
        </row>
        <row r="920">
          <cell r="A920" t="str">
            <v>EXN_053</v>
          </cell>
          <cell r="B920" t="str">
            <v>Maroua</v>
          </cell>
        </row>
        <row r="921">
          <cell r="A921" t="str">
            <v>SUD_071</v>
          </cell>
          <cell r="B921" t="str">
            <v>Kribi</v>
          </cell>
        </row>
        <row r="922">
          <cell r="A922" t="str">
            <v>LIT_618</v>
          </cell>
          <cell r="B922" t="str">
            <v>Douala</v>
          </cell>
        </row>
        <row r="923">
          <cell r="A923" t="str">
            <v>EXN_089</v>
          </cell>
          <cell r="B923" t="str">
            <v>Maroua</v>
          </cell>
        </row>
        <row r="924">
          <cell r="A924" t="str">
            <v>EXN_143</v>
          </cell>
          <cell r="B924" t="str">
            <v>Maroua</v>
          </cell>
        </row>
        <row r="925">
          <cell r="A925" t="str">
            <v>EXN_111</v>
          </cell>
          <cell r="B925" t="str">
            <v>Maroua</v>
          </cell>
        </row>
        <row r="926">
          <cell r="A926" t="str">
            <v>EXN_212</v>
          </cell>
          <cell r="B926" t="str">
            <v>Maroua</v>
          </cell>
        </row>
        <row r="927">
          <cell r="A927" t="str">
            <v>EXN_115</v>
          </cell>
          <cell r="B927" t="str">
            <v>Maroua</v>
          </cell>
        </row>
        <row r="928">
          <cell r="A928" t="str">
            <v>EXN_091</v>
          </cell>
          <cell r="B928" t="str">
            <v>Maroua</v>
          </cell>
        </row>
        <row r="929">
          <cell r="A929" t="str">
            <v>EXN_087</v>
          </cell>
          <cell r="B929" t="str">
            <v>Maroua</v>
          </cell>
        </row>
        <row r="930">
          <cell r="A930" t="str">
            <v>EXN_147</v>
          </cell>
          <cell r="B930" t="str">
            <v>Maroua</v>
          </cell>
        </row>
        <row r="931">
          <cell r="A931" t="str">
            <v>EXN_116</v>
          </cell>
          <cell r="B931" t="str">
            <v>Maroua</v>
          </cell>
        </row>
        <row r="932">
          <cell r="A932" t="str">
            <v>EXN_204</v>
          </cell>
          <cell r="B932" t="str">
            <v>Maroua</v>
          </cell>
        </row>
        <row r="933">
          <cell r="A933" t="str">
            <v>LIT_430</v>
          </cell>
          <cell r="B933" t="str">
            <v>Mbanga</v>
          </cell>
        </row>
        <row r="934">
          <cell r="A934" t="str">
            <v>SUD_003</v>
          </cell>
          <cell r="B934" t="str">
            <v>Meyomessala</v>
          </cell>
        </row>
        <row r="935">
          <cell r="A935" t="str">
            <v>CTR_654</v>
          </cell>
          <cell r="B935" t="str">
            <v>Yaounde</v>
          </cell>
        </row>
        <row r="936">
          <cell r="A936" t="str">
            <v>CTR_729</v>
          </cell>
          <cell r="B936" t="str">
            <v>Yaounde</v>
          </cell>
        </row>
        <row r="937">
          <cell r="A937" t="str">
            <v>ADM_084</v>
          </cell>
          <cell r="B937" t="str">
            <v>Ngaoundere</v>
          </cell>
        </row>
        <row r="938">
          <cell r="A938" t="str">
            <v>CTR_698</v>
          </cell>
          <cell r="B938" t="str">
            <v>Yaounde</v>
          </cell>
        </row>
        <row r="939">
          <cell r="A939" t="str">
            <v>CTR_220</v>
          </cell>
          <cell r="B939" t="str">
            <v>Nkoteng</v>
          </cell>
        </row>
        <row r="940">
          <cell r="A940" t="str">
            <v>CTR_627</v>
          </cell>
          <cell r="B940" t="str">
            <v>Obala</v>
          </cell>
        </row>
        <row r="941">
          <cell r="A941" t="str">
            <v>LIT_493</v>
          </cell>
          <cell r="B941" t="str">
            <v>Penja</v>
          </cell>
        </row>
        <row r="942">
          <cell r="A942" t="str">
            <v>NRD_148</v>
          </cell>
          <cell r="B942" t="str">
            <v>Garoua</v>
          </cell>
        </row>
        <row r="943">
          <cell r="A943" t="str">
            <v>SUD_091</v>
          </cell>
          <cell r="B943" t="str">
            <v>Kribi</v>
          </cell>
        </row>
        <row r="944">
          <cell r="A944" t="str">
            <v>LIT_504</v>
          </cell>
          <cell r="B944" t="str">
            <v>Kribi</v>
          </cell>
        </row>
        <row r="945">
          <cell r="A945" t="str">
            <v>EXN_239</v>
          </cell>
          <cell r="B945" t="str">
            <v>Badjouma</v>
          </cell>
        </row>
        <row r="946">
          <cell r="A946" t="str">
            <v>EST_004</v>
          </cell>
          <cell r="B946" t="str">
            <v>Bertoua</v>
          </cell>
        </row>
        <row r="947">
          <cell r="A947" t="str">
            <v>LIT_505</v>
          </cell>
          <cell r="B947" t="str">
            <v>Bissiang</v>
          </cell>
        </row>
        <row r="948">
          <cell r="A948" t="str">
            <v>CTR_193</v>
          </cell>
          <cell r="B948" t="str">
            <v>Bokito</v>
          </cell>
        </row>
        <row r="949">
          <cell r="A949" t="str">
            <v>LIT_145</v>
          </cell>
          <cell r="B949" t="str">
            <v>Bonepoupa</v>
          </cell>
        </row>
        <row r="950">
          <cell r="A950" t="str">
            <v>CTR_058</v>
          </cell>
          <cell r="B950" t="str">
            <v>Boumnyebel</v>
          </cell>
        </row>
        <row r="951">
          <cell r="A951" t="str">
            <v>LIT_496</v>
          </cell>
          <cell r="B951" t="str">
            <v>Dizangue</v>
          </cell>
        </row>
        <row r="952">
          <cell r="A952" t="str">
            <v>SUD_231</v>
          </cell>
          <cell r="B952" t="str">
            <v>Djoum</v>
          </cell>
        </row>
        <row r="953">
          <cell r="A953" t="str">
            <v>SUD_064</v>
          </cell>
          <cell r="B953" t="str">
            <v>Djoum</v>
          </cell>
        </row>
        <row r="954">
          <cell r="A954" t="str">
            <v>LIT_229</v>
          </cell>
          <cell r="B954" t="str">
            <v>Edea</v>
          </cell>
        </row>
        <row r="955">
          <cell r="A955" t="str">
            <v>CTR_221</v>
          </cell>
          <cell r="B955" t="str">
            <v>Efok</v>
          </cell>
        </row>
        <row r="956">
          <cell r="A956" t="str">
            <v>CTR_630</v>
          </cell>
          <cell r="B956" t="str">
            <v>Yaounde</v>
          </cell>
        </row>
        <row r="957">
          <cell r="A957" t="str">
            <v>CTR_348</v>
          </cell>
          <cell r="B957" t="str">
            <v>Essiezik</v>
          </cell>
        </row>
        <row r="958">
          <cell r="A958" t="str">
            <v>CTR_228</v>
          </cell>
          <cell r="B958" t="str">
            <v>Evodoula</v>
          </cell>
        </row>
        <row r="959">
          <cell r="A959" t="str">
            <v>NRD_160</v>
          </cell>
          <cell r="B959" t="str">
            <v>Garoua</v>
          </cell>
        </row>
        <row r="960">
          <cell r="A960" t="str">
            <v>NRD_141</v>
          </cell>
          <cell r="B960" t="str">
            <v>Garoua</v>
          </cell>
        </row>
        <row r="961">
          <cell r="A961" t="str">
            <v>NRD_159</v>
          </cell>
          <cell r="B961" t="str">
            <v>Garoua</v>
          </cell>
        </row>
        <row r="962">
          <cell r="A962" t="str">
            <v>NRD_162</v>
          </cell>
          <cell r="B962" t="str">
            <v>Garoua</v>
          </cell>
        </row>
        <row r="963">
          <cell r="A963" t="str">
            <v>CTR_231</v>
          </cell>
          <cell r="B963" t="str">
            <v>Goufan</v>
          </cell>
        </row>
        <row r="964">
          <cell r="A964" t="str">
            <v>NRD_134</v>
          </cell>
          <cell r="B964" t="str">
            <v>Guider</v>
          </cell>
        </row>
        <row r="965">
          <cell r="A965" t="str">
            <v>NRD_144</v>
          </cell>
          <cell r="B965" t="str">
            <v>Guidiguis</v>
          </cell>
        </row>
        <row r="966">
          <cell r="A966" t="str">
            <v>EST_045</v>
          </cell>
          <cell r="B966" t="str">
            <v>Kette</v>
          </cell>
        </row>
        <row r="967">
          <cell r="A967" t="str">
            <v>LIT_195</v>
          </cell>
          <cell r="B967" t="str">
            <v>Kiienke</v>
          </cell>
        </row>
        <row r="968">
          <cell r="A968" t="str">
            <v>EXN_113</v>
          </cell>
          <cell r="B968" t="str">
            <v>Maroua</v>
          </cell>
        </row>
        <row r="969">
          <cell r="A969" t="str">
            <v>EXN_014</v>
          </cell>
          <cell r="B969" t="str">
            <v>Maga</v>
          </cell>
        </row>
        <row r="970">
          <cell r="A970" t="str">
            <v>EXN_110</v>
          </cell>
          <cell r="B970" t="str">
            <v>Maga</v>
          </cell>
        </row>
        <row r="971">
          <cell r="A971" t="str">
            <v>LIT_592</v>
          </cell>
          <cell r="B971" t="str">
            <v>Manjo</v>
          </cell>
        </row>
        <row r="972">
          <cell r="A972" t="str">
            <v>CTR_117</v>
          </cell>
          <cell r="B972" t="str">
            <v>Manmenye</v>
          </cell>
        </row>
        <row r="973">
          <cell r="A973" t="str">
            <v>EXN_088</v>
          </cell>
          <cell r="B973" t="str">
            <v>Maroua</v>
          </cell>
        </row>
        <row r="974">
          <cell r="A974" t="str">
            <v>EXN_196</v>
          </cell>
          <cell r="B974" t="str">
            <v>Maroua</v>
          </cell>
        </row>
        <row r="975">
          <cell r="A975" t="str">
            <v>OST_057</v>
          </cell>
          <cell r="B975" t="str">
            <v>Massangam</v>
          </cell>
        </row>
        <row r="976">
          <cell r="A976" t="str">
            <v>CTR_510</v>
          </cell>
          <cell r="B976" t="str">
            <v>Mbandjock</v>
          </cell>
        </row>
        <row r="977">
          <cell r="A977" t="str">
            <v>SUD_246</v>
          </cell>
          <cell r="B977" t="str">
            <v>Mintom</v>
          </cell>
        </row>
        <row r="978">
          <cell r="A978" t="str">
            <v>CTR_202</v>
          </cell>
          <cell r="B978" t="str">
            <v>Mom</v>
          </cell>
        </row>
        <row r="979">
          <cell r="A979" t="str">
            <v>LIT_191</v>
          </cell>
          <cell r="B979" t="str">
            <v>Mouanko</v>
          </cell>
        </row>
        <row r="980">
          <cell r="A980" t="str">
            <v>CTR_183</v>
          </cell>
          <cell r="B980" t="str">
            <v>Mvoundou-Ngoke</v>
          </cell>
        </row>
        <row r="981">
          <cell r="A981" t="str">
            <v>NRD_147</v>
          </cell>
          <cell r="B981" t="str">
            <v>Nassarao</v>
          </cell>
        </row>
        <row r="982">
          <cell r="A982" t="str">
            <v>NRD_117</v>
          </cell>
          <cell r="B982" t="str">
            <v>Ngalbidje</v>
          </cell>
        </row>
        <row r="983">
          <cell r="A983" t="str">
            <v>ADM_120</v>
          </cell>
          <cell r="B983" t="str">
            <v>Ngaoundere</v>
          </cell>
        </row>
        <row r="984">
          <cell r="A984" t="str">
            <v>CTR_083</v>
          </cell>
          <cell r="B984" t="str">
            <v>Ngomo</v>
          </cell>
        </row>
        <row r="985">
          <cell r="A985" t="str">
            <v>LIT_664</v>
          </cell>
          <cell r="B985" t="str">
            <v>Ngwei</v>
          </cell>
        </row>
        <row r="986">
          <cell r="A986" t="str">
            <v>LIT_492</v>
          </cell>
          <cell r="B986" t="str">
            <v>Njombe</v>
          </cell>
        </row>
        <row r="987">
          <cell r="A987" t="str">
            <v>LIT_590</v>
          </cell>
          <cell r="B987" t="str">
            <v>Njombe</v>
          </cell>
        </row>
        <row r="988">
          <cell r="A988" t="str">
            <v>CTR_060</v>
          </cell>
          <cell r="B988" t="str">
            <v>Nkeng-likok</v>
          </cell>
        </row>
        <row r="989">
          <cell r="A989" t="str">
            <v>LIT_239</v>
          </cell>
          <cell r="B989" t="str">
            <v>Nkondjock</v>
          </cell>
        </row>
        <row r="990">
          <cell r="A990" t="str">
            <v>CTR_733</v>
          </cell>
          <cell r="B990" t="str">
            <v>Nkongtock</v>
          </cell>
        </row>
        <row r="991">
          <cell r="A991" t="str">
            <v>CTR_152</v>
          </cell>
          <cell r="B991" t="str">
            <v>Nkoteng</v>
          </cell>
        </row>
        <row r="992">
          <cell r="A992" t="str">
            <v>CTR_191</v>
          </cell>
          <cell r="B992" t="str">
            <v>Okola</v>
          </cell>
        </row>
        <row r="993">
          <cell r="A993" t="str">
            <v>EXN_055</v>
          </cell>
          <cell r="B993" t="str">
            <v>Maroua</v>
          </cell>
        </row>
        <row r="994">
          <cell r="A994" t="str">
            <v>LIT_040</v>
          </cell>
          <cell r="B994" t="str">
            <v>Dizangue</v>
          </cell>
        </row>
        <row r="995">
          <cell r="A995" t="str">
            <v>EXN_001</v>
          </cell>
          <cell r="B995" t="str">
            <v>Maroua</v>
          </cell>
        </row>
        <row r="996">
          <cell r="A996" t="str">
            <v>CTR_184</v>
          </cell>
          <cell r="B996" t="str">
            <v>Taete</v>
          </cell>
        </row>
        <row r="997">
          <cell r="A997" t="str">
            <v>OST_053</v>
          </cell>
          <cell r="B997" t="str">
            <v>Tonga</v>
          </cell>
        </row>
        <row r="998">
          <cell r="A998" t="str">
            <v>CTR_463</v>
          </cell>
          <cell r="B998" t="str">
            <v>Afanoya</v>
          </cell>
        </row>
        <row r="999">
          <cell r="A999" t="str">
            <v>CTR_063</v>
          </cell>
          <cell r="B999" t="str">
            <v>Akono</v>
          </cell>
        </row>
        <row r="1000">
          <cell r="A1000" t="str">
            <v>CTR_349</v>
          </cell>
          <cell r="B1000" t="str">
            <v>Ayoumgong</v>
          </cell>
        </row>
        <row r="1001">
          <cell r="A1001" t="str">
            <v>SUD_060</v>
          </cell>
          <cell r="B1001" t="str">
            <v>Azem</v>
          </cell>
        </row>
        <row r="1002">
          <cell r="A1002" t="str">
            <v>OST_258</v>
          </cell>
          <cell r="B1002" t="str">
            <v>Badenkop</v>
          </cell>
        </row>
        <row r="1003">
          <cell r="A1003" t="str">
            <v>OST_108</v>
          </cell>
          <cell r="B1003" t="str">
            <v>Bafou</v>
          </cell>
        </row>
        <row r="1004">
          <cell r="A1004" t="str">
            <v>OST_255</v>
          </cell>
          <cell r="B1004" t="str">
            <v>Loung</v>
          </cell>
        </row>
        <row r="1005">
          <cell r="A1005" t="str">
            <v>OST_069</v>
          </cell>
          <cell r="B1005" t="str">
            <v>Bafou</v>
          </cell>
        </row>
        <row r="1006">
          <cell r="A1006" t="str">
            <v>OST_035</v>
          </cell>
          <cell r="B1006" t="str">
            <v>Baham</v>
          </cell>
        </row>
        <row r="1007">
          <cell r="A1007" t="str">
            <v>OST_070</v>
          </cell>
          <cell r="B1007" t="str">
            <v>Baigon</v>
          </cell>
        </row>
        <row r="1008">
          <cell r="A1008" t="str">
            <v>OST_260</v>
          </cell>
          <cell r="B1008" t="str">
            <v>Bamena</v>
          </cell>
        </row>
        <row r="1009">
          <cell r="A1009" t="str">
            <v>NRO_063</v>
          </cell>
          <cell r="B1009" t="str">
            <v>Bamenda</v>
          </cell>
        </row>
        <row r="1010">
          <cell r="A1010" t="str">
            <v>OST_044</v>
          </cell>
          <cell r="B1010" t="str">
            <v>Bamendjou</v>
          </cell>
        </row>
        <row r="1011">
          <cell r="A1011" t="str">
            <v>OST_056</v>
          </cell>
          <cell r="B1011" t="str">
            <v>Bamendou</v>
          </cell>
        </row>
        <row r="1012">
          <cell r="A1012" t="str">
            <v>OST_036</v>
          </cell>
          <cell r="B1012" t="str">
            <v>Bana</v>
          </cell>
        </row>
        <row r="1013">
          <cell r="A1013" t="str">
            <v>OST_052</v>
          </cell>
          <cell r="B1013" t="str">
            <v>Banekane</v>
          </cell>
        </row>
        <row r="1014">
          <cell r="A1014" t="str">
            <v>CTR_180</v>
          </cell>
          <cell r="B1014" t="str">
            <v>Batchenga</v>
          </cell>
        </row>
        <row r="1015">
          <cell r="A1015" t="str">
            <v>CTR_699</v>
          </cell>
          <cell r="B1015" t="str">
            <v>Batchenga</v>
          </cell>
        </row>
        <row r="1016">
          <cell r="A1016" t="str">
            <v>OST_034</v>
          </cell>
          <cell r="B1016" t="str">
            <v>Batie</v>
          </cell>
        </row>
        <row r="1017">
          <cell r="A1017" t="str">
            <v>OST_051</v>
          </cell>
          <cell r="B1017" t="str">
            <v>Bayangam</v>
          </cell>
        </row>
        <row r="1018">
          <cell r="A1018" t="str">
            <v>OST_152</v>
          </cell>
          <cell r="B1018" t="str">
            <v>Bazou</v>
          </cell>
        </row>
        <row r="1019">
          <cell r="A1019" t="str">
            <v>NRO_243</v>
          </cell>
          <cell r="B1019" t="str">
            <v>Bamenda</v>
          </cell>
        </row>
        <row r="1020">
          <cell r="A1020" t="str">
            <v>NRO_254</v>
          </cell>
          <cell r="B1020" t="str">
            <v>Bamenda</v>
          </cell>
        </row>
        <row r="1021">
          <cell r="A1021" t="str">
            <v>CTR_260</v>
          </cell>
          <cell r="B1021" t="str">
            <v>Bikok</v>
          </cell>
        </row>
        <row r="1022">
          <cell r="A1022" t="str">
            <v>CTR_636</v>
          </cell>
          <cell r="B1022" t="str">
            <v>Mbandjock</v>
          </cell>
        </row>
        <row r="1023">
          <cell r="A1023" t="str">
            <v>LIT_132</v>
          </cell>
          <cell r="B1023" t="str">
            <v>Campo</v>
          </cell>
        </row>
        <row r="1024">
          <cell r="A1024" t="str">
            <v>OST_164</v>
          </cell>
          <cell r="B1024" t="str">
            <v>Batie</v>
          </cell>
        </row>
        <row r="1025">
          <cell r="A1025" t="str">
            <v>OST_088</v>
          </cell>
          <cell r="B1025" t="str">
            <v>Demdeng</v>
          </cell>
        </row>
        <row r="1026">
          <cell r="A1026" t="str">
            <v>LIT_113</v>
          </cell>
          <cell r="B1026" t="str">
            <v>Dizangue</v>
          </cell>
        </row>
        <row r="1027">
          <cell r="A1027" t="str">
            <v>CTR_003</v>
          </cell>
          <cell r="B1027" t="str">
            <v>Ebombe</v>
          </cell>
        </row>
        <row r="1028">
          <cell r="A1028" t="str">
            <v>LIT_314</v>
          </cell>
          <cell r="B1028" t="str">
            <v>Edea</v>
          </cell>
        </row>
        <row r="1029">
          <cell r="A1029" t="str">
            <v>CTR_437</v>
          </cell>
          <cell r="B1029" t="str">
            <v>Ekabita-Essele</v>
          </cell>
        </row>
        <row r="1030">
          <cell r="A1030" t="str">
            <v>CTR_225</v>
          </cell>
          <cell r="B1030" t="str">
            <v>Endom</v>
          </cell>
        </row>
        <row r="1031">
          <cell r="A1031" t="str">
            <v>CTR_185</v>
          </cell>
          <cell r="B1031" t="str">
            <v>Eseka</v>
          </cell>
        </row>
        <row r="1032">
          <cell r="A1032" t="str">
            <v>NRD_005</v>
          </cell>
          <cell r="B1032" t="str">
            <v>Figuil</v>
          </cell>
        </row>
        <row r="1033">
          <cell r="A1033" t="str">
            <v>OST_139</v>
          </cell>
          <cell r="B1033" t="str">
            <v>Fokoue</v>
          </cell>
        </row>
        <row r="1034">
          <cell r="A1034" t="str">
            <v>OST_229</v>
          </cell>
          <cell r="B1034" t="str">
            <v>Foumban</v>
          </cell>
        </row>
        <row r="1035">
          <cell r="A1035" t="str">
            <v>OST_005</v>
          </cell>
          <cell r="B1035" t="str">
            <v>Foumbot</v>
          </cell>
        </row>
        <row r="1036">
          <cell r="A1036" t="str">
            <v>NRD_094</v>
          </cell>
          <cell r="B1036" t="str">
            <v>Garoua</v>
          </cell>
        </row>
        <row r="1037">
          <cell r="A1037" t="str">
            <v>NRD_086</v>
          </cell>
          <cell r="B1037" t="str">
            <v>Garoua</v>
          </cell>
        </row>
        <row r="1038">
          <cell r="A1038" t="str">
            <v>NRD_139</v>
          </cell>
          <cell r="B1038" t="str">
            <v>Garoua</v>
          </cell>
        </row>
        <row r="1039">
          <cell r="A1039" t="str">
            <v>NRD_054</v>
          </cell>
          <cell r="B1039" t="str">
            <v>Garoua</v>
          </cell>
        </row>
        <row r="1040">
          <cell r="A1040" t="str">
            <v>NRD_062</v>
          </cell>
          <cell r="B1040" t="str">
            <v>Garoua</v>
          </cell>
        </row>
        <row r="1041">
          <cell r="A1041" t="str">
            <v>NRD_022</v>
          </cell>
          <cell r="B1041" t="str">
            <v>Gashiga</v>
          </cell>
        </row>
        <row r="1042">
          <cell r="A1042" t="str">
            <v>EXN_028</v>
          </cell>
          <cell r="B1042" t="str">
            <v>Godola</v>
          </cell>
        </row>
        <row r="1043">
          <cell r="A1043" t="str">
            <v>EXN_160</v>
          </cell>
          <cell r="B1043" t="str">
            <v>kaele</v>
          </cell>
        </row>
        <row r="1044">
          <cell r="A1044" t="str">
            <v>EXN_235</v>
          </cell>
          <cell r="B1044" t="str">
            <v>Maroua</v>
          </cell>
        </row>
        <row r="1045">
          <cell r="A1045" t="str">
            <v>OST_114</v>
          </cell>
          <cell r="B1045" t="str">
            <v>Koupa-Kagnam</v>
          </cell>
        </row>
        <row r="1046">
          <cell r="A1046" t="str">
            <v>OST_209</v>
          </cell>
          <cell r="B1046" t="str">
            <v>Koupa-Matapit</v>
          </cell>
        </row>
        <row r="1047">
          <cell r="A1047" t="str">
            <v>EXN_194</v>
          </cell>
          <cell r="B1047" t="str">
            <v>Kousseri</v>
          </cell>
        </row>
        <row r="1048">
          <cell r="A1048" t="str">
            <v>NRD_090</v>
          </cell>
          <cell r="B1048" t="str">
            <v>Lagdo</v>
          </cell>
        </row>
        <row r="1049">
          <cell r="A1049" t="str">
            <v>NRD_131</v>
          </cell>
          <cell r="B1049" t="str">
            <v>Lagdo</v>
          </cell>
        </row>
        <row r="1050">
          <cell r="A1050" t="str">
            <v>EXN_102</v>
          </cell>
          <cell r="B1050" t="str">
            <v>Lara</v>
          </cell>
        </row>
        <row r="1051">
          <cell r="A1051" t="str">
            <v>CTR_533</v>
          </cell>
          <cell r="B1051" t="str">
            <v>Yaounde</v>
          </cell>
        </row>
        <row r="1052">
          <cell r="A1052" t="str">
            <v>CTR_227</v>
          </cell>
          <cell r="B1052" t="str">
            <v>Lobo</v>
          </cell>
        </row>
        <row r="1053">
          <cell r="A1053" t="str">
            <v>EXN_051</v>
          </cell>
          <cell r="B1053" t="str">
            <v>Logone-Birni</v>
          </cell>
        </row>
        <row r="1054">
          <cell r="A1054" t="str">
            <v>OST_023</v>
          </cell>
          <cell r="B1054" t="str">
            <v>Magba</v>
          </cell>
        </row>
        <row r="1055">
          <cell r="A1055" t="str">
            <v>CTR_356</v>
          </cell>
          <cell r="B1055" t="str">
            <v>Mamb</v>
          </cell>
        </row>
        <row r="1056">
          <cell r="A1056" t="str">
            <v>LIT_062</v>
          </cell>
          <cell r="B1056" t="str">
            <v>Manjo</v>
          </cell>
        </row>
        <row r="1057">
          <cell r="A1057" t="str">
            <v>EXN_237</v>
          </cell>
          <cell r="B1057" t="str">
            <v>Maroua</v>
          </cell>
        </row>
        <row r="1058">
          <cell r="A1058" t="str">
            <v>EXN_233</v>
          </cell>
          <cell r="B1058" t="str">
            <v>Maroua</v>
          </cell>
        </row>
        <row r="1059">
          <cell r="A1059" t="str">
            <v>NRD_010</v>
          </cell>
          <cell r="B1059" t="str">
            <v>Mayo-Oulo</v>
          </cell>
        </row>
        <row r="1060">
          <cell r="A1060" t="str">
            <v>LIT_031</v>
          </cell>
          <cell r="B1060" t="str">
            <v>Mbanga</v>
          </cell>
        </row>
        <row r="1061">
          <cell r="A1061" t="str">
            <v>LIT_614</v>
          </cell>
          <cell r="B1061" t="str">
            <v>Douala</v>
          </cell>
        </row>
        <row r="1062">
          <cell r="A1062" t="str">
            <v>CTR_226</v>
          </cell>
          <cell r="B1062" t="str">
            <v>Mbangassina</v>
          </cell>
        </row>
        <row r="1063">
          <cell r="A1063" t="str">
            <v>SUD_256</v>
          </cell>
          <cell r="B1063" t="str">
            <v>Melane</v>
          </cell>
        </row>
        <row r="1064">
          <cell r="A1064" t="str">
            <v>EXN_169</v>
          </cell>
          <cell r="B1064" t="str">
            <v>Meme-II</v>
          </cell>
        </row>
        <row r="1065">
          <cell r="A1065" t="str">
            <v>CTR_306</v>
          </cell>
          <cell r="B1065" t="str">
            <v>Mengang</v>
          </cell>
        </row>
        <row r="1066">
          <cell r="A1066" t="str">
            <v>CTR_145</v>
          </cell>
          <cell r="B1066" t="str">
            <v>Meyo</v>
          </cell>
        </row>
        <row r="1067">
          <cell r="A1067" t="str">
            <v>CTR_186</v>
          </cell>
          <cell r="B1067" t="str">
            <v>Minka</v>
          </cell>
        </row>
        <row r="1068">
          <cell r="A1068" t="str">
            <v>EXN_238</v>
          </cell>
          <cell r="B1068" t="str">
            <v>Mora</v>
          </cell>
        </row>
        <row r="1069">
          <cell r="A1069" t="str">
            <v>OST_224</v>
          </cell>
          <cell r="B1069" t="str">
            <v>Moumee</v>
          </cell>
        </row>
        <row r="1070">
          <cell r="A1070" t="str">
            <v>ADM_151</v>
          </cell>
          <cell r="B1070" t="str">
            <v>Ngaoundere</v>
          </cell>
        </row>
        <row r="1071">
          <cell r="A1071" t="str">
            <v>ADM_147</v>
          </cell>
          <cell r="B1071" t="str">
            <v>Ngaoundere</v>
          </cell>
        </row>
        <row r="1072">
          <cell r="A1072" t="str">
            <v>NRD_032</v>
          </cell>
          <cell r="B1072" t="str">
            <v>Ngong</v>
          </cell>
        </row>
        <row r="1073">
          <cell r="A1073" t="str">
            <v>NRD_132</v>
          </cell>
          <cell r="B1073" t="str">
            <v>Ngong</v>
          </cell>
        </row>
        <row r="1074">
          <cell r="A1074" t="str">
            <v>NRD_088</v>
          </cell>
          <cell r="B1074" t="str">
            <v>Ngong</v>
          </cell>
        </row>
        <row r="1075">
          <cell r="A1075" t="str">
            <v>CTR_577</v>
          </cell>
          <cell r="B1075" t="str">
            <v>Ngoumou</v>
          </cell>
        </row>
        <row r="1076">
          <cell r="A1076" t="str">
            <v>SUD_005</v>
          </cell>
          <cell r="B1076" t="str">
            <v>Niete</v>
          </cell>
        </row>
        <row r="1077">
          <cell r="A1077" t="str">
            <v>OST_149</v>
          </cell>
          <cell r="B1077" t="str">
            <v>Njimom</v>
          </cell>
        </row>
        <row r="1078">
          <cell r="A1078" t="str">
            <v>CTR_531</v>
          </cell>
          <cell r="B1078" t="str">
            <v>Nkolve</v>
          </cell>
        </row>
        <row r="1079">
          <cell r="A1079" t="str">
            <v>CTR_061</v>
          </cell>
          <cell r="B1079" t="str">
            <v>Nkometou</v>
          </cell>
        </row>
        <row r="1080">
          <cell r="A1080" t="str">
            <v>OST_073</v>
          </cell>
          <cell r="B1080" t="str">
            <v>Nkong-Zem</v>
          </cell>
        </row>
        <row r="1081">
          <cell r="A1081" t="str">
            <v>NRO_222</v>
          </cell>
          <cell r="B1081" t="str">
            <v>Bamenda</v>
          </cell>
        </row>
        <row r="1082">
          <cell r="A1082" t="str">
            <v>CTR_631</v>
          </cell>
          <cell r="B1082" t="str">
            <v>Yaounde</v>
          </cell>
        </row>
        <row r="1083">
          <cell r="A1083" t="str">
            <v>NRO_002</v>
          </cell>
          <cell r="B1083" t="str">
            <v>Bamenda</v>
          </cell>
        </row>
        <row r="1084">
          <cell r="A1084" t="str">
            <v>CTR_174</v>
          </cell>
          <cell r="B1084" t="str">
            <v>Obala</v>
          </cell>
        </row>
        <row r="1085">
          <cell r="A1085" t="str">
            <v>LIT_323</v>
          </cell>
          <cell r="B1085" t="str">
            <v>Edea</v>
          </cell>
        </row>
        <row r="1086">
          <cell r="A1086" t="str">
            <v>EST_114</v>
          </cell>
          <cell r="B1086" t="str">
            <v>Ouli</v>
          </cell>
        </row>
        <row r="1087">
          <cell r="A1087" t="str">
            <v>OST_210</v>
          </cell>
          <cell r="B1087" t="str">
            <v>Penka-Michel</v>
          </cell>
        </row>
        <row r="1088">
          <cell r="A1088" t="str">
            <v>NRD_133</v>
          </cell>
          <cell r="B1088" t="str">
            <v>Pitoa</v>
          </cell>
        </row>
        <row r="1089">
          <cell r="A1089" t="str">
            <v>NRD_096</v>
          </cell>
          <cell r="B1089" t="str">
            <v>Pitoa</v>
          </cell>
        </row>
        <row r="1090">
          <cell r="A1090" t="str">
            <v>NRD_119</v>
          </cell>
          <cell r="B1090" t="str">
            <v>Poli</v>
          </cell>
        </row>
        <row r="1091">
          <cell r="A1091" t="str">
            <v>OST_038</v>
          </cell>
          <cell r="B1091" t="str">
            <v>Santchou</v>
          </cell>
        </row>
        <row r="1092">
          <cell r="A1092" t="str">
            <v>LIT_012</v>
          </cell>
          <cell r="B1092" t="str">
            <v>Sikoum</v>
          </cell>
        </row>
        <row r="1093">
          <cell r="A1093" t="str">
            <v>LIT_388</v>
          </cell>
          <cell r="B1093" t="str">
            <v>Sikoum</v>
          </cell>
        </row>
        <row r="1094">
          <cell r="A1094" t="str">
            <v>CTR_206</v>
          </cell>
          <cell r="B1094" t="str">
            <v>Talba</v>
          </cell>
        </row>
        <row r="1095">
          <cell r="A1095" t="str">
            <v>ADM_044</v>
          </cell>
          <cell r="B1095" t="str">
            <v>Tibati</v>
          </cell>
        </row>
        <row r="1096">
          <cell r="A1096" t="str">
            <v>ADM_105</v>
          </cell>
          <cell r="B1096" t="str">
            <v>Tibati</v>
          </cell>
        </row>
        <row r="1097">
          <cell r="A1097" t="str">
            <v>LIT_174</v>
          </cell>
          <cell r="B1097" t="str">
            <v>Tiko</v>
          </cell>
        </row>
        <row r="1098">
          <cell r="A1098" t="str">
            <v>NRD_112</v>
          </cell>
          <cell r="B1098" t="str">
            <v>Tongo</v>
          </cell>
        </row>
        <row r="1099">
          <cell r="A1099" t="str">
            <v>EXN_231</v>
          </cell>
          <cell r="B1099" t="str">
            <v>Tourou</v>
          </cell>
        </row>
        <row r="1100">
          <cell r="A1100" t="str">
            <v>EXN_144</v>
          </cell>
          <cell r="B1100" t="str">
            <v>Yagoua</v>
          </cell>
        </row>
        <row r="1101">
          <cell r="A1101" t="str">
            <v>EXN_236</v>
          </cell>
          <cell r="B1101" t="str">
            <v>Yagoua</v>
          </cell>
        </row>
        <row r="1102">
          <cell r="A1102" t="str">
            <v>OST_013</v>
          </cell>
          <cell r="B1102" t="str">
            <v>Yenon</v>
          </cell>
        </row>
        <row r="1103">
          <cell r="A1103" t="str">
            <v>CTR_111</v>
          </cell>
          <cell r="B1103" t="str">
            <v>Zoetele</v>
          </cell>
        </row>
        <row r="1104">
          <cell r="A1104" t="str">
            <v>SUD_070</v>
          </cell>
          <cell r="B1104" t="str">
            <v>Adjap</v>
          </cell>
        </row>
        <row r="1105">
          <cell r="A1105" t="str">
            <v>NRD_078</v>
          </cell>
          <cell r="B1105" t="str">
            <v>Adoumre</v>
          </cell>
        </row>
        <row r="1106">
          <cell r="A1106" t="str">
            <v>CTR_187</v>
          </cell>
          <cell r="B1106" t="str">
            <v>Awae</v>
          </cell>
        </row>
        <row r="1107">
          <cell r="A1107" t="str">
            <v>CTR_651</v>
          </cell>
          <cell r="B1107" t="str">
            <v>Yaounde</v>
          </cell>
        </row>
        <row r="1108">
          <cell r="A1108" t="str">
            <v>EST_018</v>
          </cell>
          <cell r="B1108" t="str">
            <v>Ayos</v>
          </cell>
        </row>
        <row r="1109">
          <cell r="A1109" t="str">
            <v>OST_060</v>
          </cell>
          <cell r="B1109" t="str">
            <v>Babadjou</v>
          </cell>
        </row>
        <row r="1110">
          <cell r="A1110" t="str">
            <v>OST_049</v>
          </cell>
          <cell r="B1110" t="str">
            <v>Balengou</v>
          </cell>
        </row>
        <row r="1111">
          <cell r="A1111" t="str">
            <v>CTR_352</v>
          </cell>
          <cell r="B1111" t="str">
            <v>Baliama</v>
          </cell>
        </row>
        <row r="1112">
          <cell r="A1112" t="str">
            <v>OST_040</v>
          </cell>
          <cell r="B1112" t="str">
            <v>Batcham</v>
          </cell>
        </row>
        <row r="1113">
          <cell r="A1113" t="str">
            <v>OST_033</v>
          </cell>
          <cell r="B1113" t="str">
            <v>Batchingou</v>
          </cell>
        </row>
        <row r="1114">
          <cell r="A1114" t="str">
            <v>NRD_020</v>
          </cell>
          <cell r="B1114" t="str">
            <v>Beka</v>
          </cell>
        </row>
        <row r="1115">
          <cell r="A1115" t="str">
            <v>EST_002</v>
          </cell>
          <cell r="B1115" t="str">
            <v>Belabo</v>
          </cell>
        </row>
        <row r="1116">
          <cell r="A1116" t="str">
            <v>CTR_286</v>
          </cell>
          <cell r="B1116" t="str">
            <v>Boumnyebel</v>
          </cell>
        </row>
        <row r="1117">
          <cell r="A1117" t="str">
            <v>EST_020</v>
          </cell>
          <cell r="B1117" t="str">
            <v>Doume</v>
          </cell>
        </row>
        <row r="1118">
          <cell r="A1118" t="str">
            <v>OST_195</v>
          </cell>
          <cell r="B1118" t="str">
            <v xml:space="preserve"> Fochieya</v>
          </cell>
        </row>
        <row r="1119">
          <cell r="A1119" t="str">
            <v>OST_059</v>
          </cell>
          <cell r="B1119" t="str">
            <v>Fokoue</v>
          </cell>
        </row>
        <row r="1120">
          <cell r="A1120" t="str">
            <v>NRD_163</v>
          </cell>
          <cell r="B1120" t="str">
            <v>Garoua</v>
          </cell>
        </row>
        <row r="1121">
          <cell r="A1121" t="str">
            <v>NRD_149</v>
          </cell>
          <cell r="B1121" t="str">
            <v>Garoua</v>
          </cell>
        </row>
        <row r="1122">
          <cell r="A1122" t="str">
            <v>NRD_031</v>
          </cell>
          <cell r="B1122" t="str">
            <v>Gouna</v>
          </cell>
        </row>
        <row r="1123">
          <cell r="A1123" t="str">
            <v>OST_103</v>
          </cell>
          <cell r="B1123" t="str">
            <v>Kekem</v>
          </cell>
        </row>
        <row r="1124">
          <cell r="A1124" t="str">
            <v>OST_261</v>
          </cell>
          <cell r="B1124" t="str">
            <v>Lemla</v>
          </cell>
        </row>
        <row r="1125">
          <cell r="A1125" t="str">
            <v>SUD_024</v>
          </cell>
          <cell r="B1125" t="str">
            <v>Lolodorf</v>
          </cell>
        </row>
        <row r="1126">
          <cell r="A1126" t="str">
            <v>EXN_234</v>
          </cell>
          <cell r="B1126" t="str">
            <v>Maroua</v>
          </cell>
        </row>
        <row r="1127">
          <cell r="A1127" t="str">
            <v>LIT_143</v>
          </cell>
          <cell r="B1127" t="str">
            <v>Mbambou</v>
          </cell>
        </row>
        <row r="1128">
          <cell r="A1128" t="str">
            <v>EXN_157</v>
          </cell>
          <cell r="B1128" t="str">
            <v>Meskin</v>
          </cell>
        </row>
        <row r="1129">
          <cell r="A1129" t="str">
            <v>EXN_037</v>
          </cell>
          <cell r="B1129" t="str">
            <v>Mindif</v>
          </cell>
        </row>
        <row r="1130">
          <cell r="A1130" t="str">
            <v>LIT_665</v>
          </cell>
          <cell r="B1130" t="str">
            <v>Douala</v>
          </cell>
        </row>
        <row r="1131">
          <cell r="A1131" t="str">
            <v>CTR_073</v>
          </cell>
          <cell r="B1131" t="str">
            <v>Monatele</v>
          </cell>
        </row>
        <row r="1132">
          <cell r="A1132" t="str">
            <v>EXN_032</v>
          </cell>
          <cell r="B1132" t="str">
            <v>Mora</v>
          </cell>
        </row>
        <row r="1133">
          <cell r="A1133" t="str">
            <v>CTR_440</v>
          </cell>
          <cell r="B1133" t="str">
            <v>Nkol-bewaa</v>
          </cell>
        </row>
        <row r="1134">
          <cell r="A1134" t="str">
            <v>CTR_506</v>
          </cell>
          <cell r="B1134" t="str">
            <v>Nkoteng</v>
          </cell>
        </row>
        <row r="1135">
          <cell r="A1135" t="str">
            <v>CTR_725</v>
          </cell>
          <cell r="B1135" t="str">
            <v>Yaounde</v>
          </cell>
        </row>
        <row r="1136">
          <cell r="A1136" t="str">
            <v>CTR_355</v>
          </cell>
          <cell r="B1136" t="str">
            <v>Ntoumba</v>
          </cell>
        </row>
        <row r="1137">
          <cell r="A1137" t="str">
            <v>LIT_138</v>
          </cell>
          <cell r="B1137" t="str">
            <v>Sacbayeme</v>
          </cell>
        </row>
        <row r="1138">
          <cell r="A1138" t="str">
            <v>CTR_013</v>
          </cell>
          <cell r="B1138" t="str">
            <v>Sombo</v>
          </cell>
        </row>
        <row r="1139">
          <cell r="A1139" t="str">
            <v>EXN_017</v>
          </cell>
          <cell r="B1139" t="str">
            <v>Tchatibali</v>
          </cell>
        </row>
        <row r="1140">
          <cell r="A1140" t="str">
            <v>EXN_230</v>
          </cell>
          <cell r="B1140" t="str">
            <v>Tekele</v>
          </cell>
        </row>
        <row r="1141">
          <cell r="A1141" t="str">
            <v>CTR_232</v>
          </cell>
          <cell r="B1141" t="str">
            <v>Yambassa</v>
          </cell>
        </row>
        <row r="1142">
          <cell r="A1142" t="str">
            <v>CTR_057</v>
          </cell>
          <cell r="B1142" t="str">
            <v>Akonolinga</v>
          </cell>
        </row>
        <row r="1143">
          <cell r="A1143" t="str">
            <v>OST_254</v>
          </cell>
          <cell r="B1143" t="str">
            <v>Bafou</v>
          </cell>
        </row>
        <row r="1144">
          <cell r="A1144" t="str">
            <v>EST_014</v>
          </cell>
          <cell r="B1144" t="str">
            <v>Betare-oya</v>
          </cell>
        </row>
        <row r="1145">
          <cell r="A1145" t="str">
            <v>LIT_610</v>
          </cell>
          <cell r="B1145" t="str">
            <v>Douala</v>
          </cell>
        </row>
        <row r="1146">
          <cell r="A1146" t="str">
            <v>CTR_204</v>
          </cell>
          <cell r="B1146" t="str">
            <v>Dibang</v>
          </cell>
        </row>
        <row r="1147">
          <cell r="A1147" t="str">
            <v>NRD_069</v>
          </cell>
          <cell r="B1147" t="str">
            <v>Djabi</v>
          </cell>
        </row>
        <row r="1148">
          <cell r="A1148" t="str">
            <v>NRD_118</v>
          </cell>
          <cell r="B1148" t="str">
            <v>Garoua</v>
          </cell>
        </row>
        <row r="1149">
          <cell r="A1149" t="str">
            <v>LIT_186</v>
          </cell>
          <cell r="B1149" t="str">
            <v>Edea</v>
          </cell>
        </row>
        <row r="1150">
          <cell r="A1150" t="str">
            <v>SUO_037</v>
          </cell>
          <cell r="B1150" t="str">
            <v>Elogbatindi</v>
          </cell>
        </row>
        <row r="1151">
          <cell r="A1151" t="str">
            <v>LIT_006</v>
          </cell>
          <cell r="B1151" t="str">
            <v>Ferme-Suisse</v>
          </cell>
        </row>
        <row r="1152">
          <cell r="A1152" t="str">
            <v>NRD_101</v>
          </cell>
          <cell r="B1152" t="str">
            <v>Garoua</v>
          </cell>
        </row>
        <row r="1153">
          <cell r="A1153" t="str">
            <v>EXN_058</v>
          </cell>
          <cell r="B1153" t="str">
            <v>Kalfou</v>
          </cell>
        </row>
        <row r="1154">
          <cell r="A1154" t="str">
            <v>OST_252</v>
          </cell>
          <cell r="B1154" t="str">
            <v>Koundoum</v>
          </cell>
        </row>
        <row r="1155">
          <cell r="A1155" t="str">
            <v>SUD_073</v>
          </cell>
          <cell r="B1155" t="str">
            <v>Kye-Ossi</v>
          </cell>
        </row>
        <row r="1156">
          <cell r="A1156" t="str">
            <v>LIT_644</v>
          </cell>
          <cell r="B1156" t="str">
            <v>Douala</v>
          </cell>
        </row>
        <row r="1157">
          <cell r="A1157" t="str">
            <v>EST_083</v>
          </cell>
          <cell r="B1157" t="str">
            <v>Lom-Pangar</v>
          </cell>
        </row>
        <row r="1158">
          <cell r="A1158" t="str">
            <v>OST_039</v>
          </cell>
          <cell r="B1158" t="str">
            <v>Malantouen</v>
          </cell>
        </row>
        <row r="1159">
          <cell r="A1159" t="str">
            <v>EST_046</v>
          </cell>
          <cell r="B1159" t="str">
            <v>Messamena</v>
          </cell>
        </row>
        <row r="1160">
          <cell r="A1160" t="str">
            <v>LIT_628</v>
          </cell>
          <cell r="B1160" t="str">
            <v>Douala</v>
          </cell>
        </row>
        <row r="1161">
          <cell r="A1161" t="str">
            <v>CTR_684</v>
          </cell>
          <cell r="B1161" t="str">
            <v>Yaounde</v>
          </cell>
        </row>
        <row r="1162">
          <cell r="A1162" t="str">
            <v>LIT_663</v>
          </cell>
          <cell r="B1162" t="str">
            <v>Douala</v>
          </cell>
        </row>
        <row r="1163">
          <cell r="A1163" t="str">
            <v>ADM_085</v>
          </cell>
          <cell r="B1163" t="str">
            <v>Ngaoundere</v>
          </cell>
        </row>
        <row r="1164">
          <cell r="A1164" t="str">
            <v>EST_024</v>
          </cell>
          <cell r="B1164" t="str">
            <v>Nguelemendouka</v>
          </cell>
        </row>
        <row r="1165">
          <cell r="A1165" t="str">
            <v>SUD_011</v>
          </cell>
          <cell r="B1165" t="str">
            <v>Niete</v>
          </cell>
        </row>
        <row r="1166">
          <cell r="A1166" t="str">
            <v>LIT_495</v>
          </cell>
          <cell r="B1166" t="str">
            <v>Niete</v>
          </cell>
        </row>
        <row r="1167">
          <cell r="A1167" t="str">
            <v>SUD_088</v>
          </cell>
          <cell r="B1167" t="str">
            <v>Nkomedzap</v>
          </cell>
        </row>
        <row r="1168">
          <cell r="A1168" t="str">
            <v>ADM_152</v>
          </cell>
          <cell r="B1168" t="str">
            <v>Poli</v>
          </cell>
        </row>
        <row r="1169">
          <cell r="A1169" t="str">
            <v>EXN_178</v>
          </cell>
          <cell r="B1169" t="str">
            <v>Torock</v>
          </cell>
        </row>
        <row r="1170">
          <cell r="A1170" t="str">
            <v>EXN_096</v>
          </cell>
          <cell r="B1170" t="str">
            <v>Yagoua</v>
          </cell>
        </row>
        <row r="1171">
          <cell r="A1171" t="str">
            <v>LIT_653</v>
          </cell>
          <cell r="B1171" t="str">
            <v>Douala</v>
          </cell>
        </row>
        <row r="1172">
          <cell r="A1172" t="str">
            <v>LIT_648</v>
          </cell>
          <cell r="B1172" t="str">
            <v>Douala</v>
          </cell>
        </row>
        <row r="1173">
          <cell r="A1173" t="str">
            <v>LIT_645</v>
          </cell>
          <cell r="B1173" t="str">
            <v>Douala</v>
          </cell>
        </row>
        <row r="1174">
          <cell r="A1174" t="str">
            <v>LIT_649</v>
          </cell>
          <cell r="B1174" t="str">
            <v>Douala</v>
          </cell>
        </row>
        <row r="1175">
          <cell r="A1175" t="str">
            <v>OST_268</v>
          </cell>
          <cell r="B1175" t="str">
            <v>Bafoussam</v>
          </cell>
        </row>
        <row r="1176">
          <cell r="A1176" t="str">
            <v>CTR_705</v>
          </cell>
          <cell r="B1176" t="str">
            <v>Yaounde</v>
          </cell>
        </row>
        <row r="1177">
          <cell r="A1177" t="str">
            <v>EXN_191</v>
          </cell>
          <cell r="B1177" t="str">
            <v>Bogo</v>
          </cell>
        </row>
        <row r="1178">
          <cell r="A1178" t="str">
            <v>LIT_641</v>
          </cell>
          <cell r="B1178" t="str">
            <v>Douala</v>
          </cell>
        </row>
        <row r="1179">
          <cell r="A1179" t="str">
            <v>ADM_162</v>
          </cell>
          <cell r="B1179" t="str">
            <v>Borongo</v>
          </cell>
        </row>
        <row r="1180">
          <cell r="A1180" t="str">
            <v>CTR_189</v>
          </cell>
          <cell r="B1180" t="str">
            <v>Botmakak</v>
          </cell>
        </row>
        <row r="1181">
          <cell r="A1181" t="str">
            <v>LIT_651</v>
          </cell>
          <cell r="B1181" t="str">
            <v>Douala</v>
          </cell>
        </row>
        <row r="1182">
          <cell r="A1182" t="str">
            <v>SUD_252</v>
          </cell>
          <cell r="B1182" t="str">
            <v>Djoum</v>
          </cell>
        </row>
        <row r="1183">
          <cell r="A1183" t="str">
            <v>EST_092</v>
          </cell>
          <cell r="B1183" t="str">
            <v>Doume</v>
          </cell>
        </row>
        <row r="1184">
          <cell r="A1184" t="str">
            <v>CTR_116</v>
          </cell>
          <cell r="B1184" t="str">
            <v>Ebeba</v>
          </cell>
        </row>
        <row r="1185">
          <cell r="A1185" t="str">
            <v>CTR_717</v>
          </cell>
          <cell r="B1185" t="str">
            <v>Ekang</v>
          </cell>
        </row>
        <row r="1186">
          <cell r="A1186" t="str">
            <v>CTR_721</v>
          </cell>
          <cell r="B1186" t="str">
            <v>Yaounde</v>
          </cell>
        </row>
        <row r="1187">
          <cell r="A1187" t="str">
            <v>CTR_715</v>
          </cell>
          <cell r="B1187" t="str">
            <v>Yaounde</v>
          </cell>
        </row>
        <row r="1188">
          <cell r="A1188" t="str">
            <v>OST_136</v>
          </cell>
          <cell r="B1188" t="str">
            <v>Foumbot</v>
          </cell>
        </row>
        <row r="1189">
          <cell r="A1189" t="str">
            <v>OST_228</v>
          </cell>
          <cell r="B1189" t="str">
            <v>Foumbot</v>
          </cell>
        </row>
        <row r="1190">
          <cell r="A1190" t="str">
            <v>LIT_646</v>
          </cell>
          <cell r="B1190" t="str">
            <v>Douala</v>
          </cell>
        </row>
        <row r="1191">
          <cell r="A1191" t="str">
            <v>LIT_657</v>
          </cell>
          <cell r="B1191" t="str">
            <v>Douala</v>
          </cell>
        </row>
        <row r="1192">
          <cell r="A1192" t="str">
            <v>SUD_079</v>
          </cell>
          <cell r="B1192" t="str">
            <v>Kribi</v>
          </cell>
        </row>
        <row r="1193">
          <cell r="A1193" t="str">
            <v>SUD_081</v>
          </cell>
          <cell r="B1193" t="str">
            <v>Kribi</v>
          </cell>
        </row>
        <row r="1194">
          <cell r="A1194" t="str">
            <v>LIT_669</v>
          </cell>
          <cell r="B1194" t="str">
            <v>Douala</v>
          </cell>
        </row>
        <row r="1195">
          <cell r="A1195" t="str">
            <v>CTR_066</v>
          </cell>
          <cell r="B1195" t="str">
            <v>Mandoumba</v>
          </cell>
        </row>
        <row r="1196">
          <cell r="A1196" t="str">
            <v>LIT_497</v>
          </cell>
          <cell r="B1196" t="str">
            <v>Manoka</v>
          </cell>
        </row>
        <row r="1197">
          <cell r="A1197" t="str">
            <v>EXN_146</v>
          </cell>
          <cell r="B1197" t="str">
            <v>Maroua</v>
          </cell>
        </row>
        <row r="1198">
          <cell r="A1198" t="str">
            <v>EXN_117</v>
          </cell>
          <cell r="B1198" t="str">
            <v>Maroua</v>
          </cell>
        </row>
        <row r="1199">
          <cell r="A1199" t="str">
            <v>EXN_170</v>
          </cell>
          <cell r="B1199" t="str">
            <v>Maroua</v>
          </cell>
        </row>
        <row r="1200">
          <cell r="A1200" t="str">
            <v>ADM_163</v>
          </cell>
          <cell r="B1200" t="str">
            <v>Mbamti</v>
          </cell>
        </row>
        <row r="1201">
          <cell r="A1201" t="str">
            <v>SUD_017</v>
          </cell>
          <cell r="B1201" t="str">
            <v>Abiete</v>
          </cell>
        </row>
        <row r="1202">
          <cell r="A1202" t="str">
            <v>LIT_674</v>
          </cell>
          <cell r="B1202" t="str">
            <v>Douala</v>
          </cell>
        </row>
        <row r="1203">
          <cell r="A1203" t="str">
            <v>CTR_689</v>
          </cell>
          <cell r="B1203" t="str">
            <v>Yaounde</v>
          </cell>
        </row>
        <row r="1204">
          <cell r="A1204" t="str">
            <v>LIT_652</v>
          </cell>
          <cell r="B1204" t="str">
            <v>Douala</v>
          </cell>
        </row>
        <row r="1205">
          <cell r="A1205" t="str">
            <v>CTR_709</v>
          </cell>
          <cell r="B1205" t="str">
            <v>Yaounde</v>
          </cell>
        </row>
        <row r="1206">
          <cell r="A1206" t="str">
            <v>LIT_193</v>
          </cell>
          <cell r="B1206" t="str">
            <v>Niete</v>
          </cell>
        </row>
        <row r="1207">
          <cell r="A1207" t="str">
            <v>CTR_708</v>
          </cell>
          <cell r="B1207" t="str">
            <v>Yaounde</v>
          </cell>
        </row>
        <row r="1208">
          <cell r="A1208" t="str">
            <v>CTR_657</v>
          </cell>
          <cell r="B1208" t="str">
            <v>Yaounde</v>
          </cell>
        </row>
        <row r="1209">
          <cell r="A1209" t="str">
            <v>CTR_658</v>
          </cell>
          <cell r="B1209" t="str">
            <v>Yaounde</v>
          </cell>
        </row>
        <row r="1210">
          <cell r="A1210" t="str">
            <v>CTR_712</v>
          </cell>
          <cell r="B1210" t="str">
            <v>Yaounde</v>
          </cell>
        </row>
        <row r="1211">
          <cell r="A1211" t="str">
            <v>CTR_659</v>
          </cell>
          <cell r="B1211" t="str">
            <v>Nkoulou</v>
          </cell>
        </row>
        <row r="1212">
          <cell r="A1212" t="str">
            <v>OST_006</v>
          </cell>
          <cell r="B1212" t="str">
            <v>Nkoundja</v>
          </cell>
        </row>
        <row r="1213">
          <cell r="A1213" t="str">
            <v>CTR_724</v>
          </cell>
          <cell r="B1213" t="str">
            <v>Yaounde</v>
          </cell>
        </row>
        <row r="1214">
          <cell r="A1214" t="str">
            <v>LIT_666</v>
          </cell>
          <cell r="B1214" t="str">
            <v>Douala</v>
          </cell>
        </row>
        <row r="1215">
          <cell r="A1215" t="str">
            <v>LIT_667</v>
          </cell>
          <cell r="B1215" t="str">
            <v>Douala</v>
          </cell>
        </row>
        <row r="1216">
          <cell r="A1216" t="str">
            <v>LIT_647</v>
          </cell>
          <cell r="B1216" t="str">
            <v>Douala</v>
          </cell>
        </row>
        <row r="1217">
          <cell r="A1217" t="str">
            <v>NRD_172</v>
          </cell>
          <cell r="B1217" t="str">
            <v>Sakdje</v>
          </cell>
        </row>
        <row r="1218">
          <cell r="A1218" t="str">
            <v>LIT_654</v>
          </cell>
          <cell r="B1218" t="str">
            <v>Douala</v>
          </cell>
        </row>
        <row r="1219">
          <cell r="A1219" t="str">
            <v>CTR_716</v>
          </cell>
          <cell r="B1219" t="str">
            <v>Yaounde</v>
          </cell>
        </row>
        <row r="1220">
          <cell r="A1220" t="str">
            <v>CTR_714</v>
          </cell>
          <cell r="B1220" t="str">
            <v>Yaounde</v>
          </cell>
        </row>
        <row r="1221">
          <cell r="A1221" t="str">
            <v>LIT_639</v>
          </cell>
          <cell r="B1221" t="str">
            <v>Douala</v>
          </cell>
        </row>
        <row r="1222">
          <cell r="A1222" t="str">
            <v>EXN_242</v>
          </cell>
          <cell r="B1222" t="str">
            <v>Zouhaye</v>
          </cell>
        </row>
        <row r="1223">
          <cell r="A1223" t="str">
            <v>EST_036</v>
          </cell>
          <cell r="B1223" t="str">
            <v>Abong-Mbang</v>
          </cell>
        </row>
        <row r="1224">
          <cell r="A1224" t="str">
            <v>CTR_277</v>
          </cell>
          <cell r="B1224" t="str">
            <v>Deuk</v>
          </cell>
        </row>
        <row r="1225">
          <cell r="A1225" t="str">
            <v>SUD_019</v>
          </cell>
          <cell r="B1225" t="str">
            <v>Ebanga-Ngoulou</v>
          </cell>
        </row>
        <row r="1226">
          <cell r="A1226" t="str">
            <v>LIT_321</v>
          </cell>
          <cell r="B1226" t="str">
            <v>Edea</v>
          </cell>
        </row>
        <row r="1227">
          <cell r="A1227" t="str">
            <v>CTR_730</v>
          </cell>
          <cell r="B1227" t="str">
            <v>Yaounde</v>
          </cell>
        </row>
        <row r="1228">
          <cell r="A1228" t="str">
            <v>CTR_723</v>
          </cell>
          <cell r="B1228" t="str">
            <v>Yaounde</v>
          </cell>
        </row>
        <row r="1229">
          <cell r="A1229" t="str">
            <v>CTR_719</v>
          </cell>
          <cell r="B1229" t="str">
            <v>Yaounde</v>
          </cell>
        </row>
        <row r="1230">
          <cell r="A1230" t="str">
            <v>CTR_852</v>
          </cell>
          <cell r="B1230" t="str">
            <v>Yaounde</v>
          </cell>
        </row>
        <row r="1231">
          <cell r="A1231" t="str">
            <v>CTR_735</v>
          </cell>
          <cell r="B1231" t="str">
            <v>Yaounde</v>
          </cell>
        </row>
        <row r="1232">
          <cell r="A1232" t="str">
            <v>EXN_243</v>
          </cell>
          <cell r="B1232" t="str">
            <v>Kossehone</v>
          </cell>
        </row>
        <row r="1233">
          <cell r="A1233" t="str">
            <v>LIT_612</v>
          </cell>
          <cell r="B1233" t="str">
            <v>Douala</v>
          </cell>
        </row>
        <row r="1234">
          <cell r="A1234" t="str">
            <v>LIT_107</v>
          </cell>
          <cell r="B1234" t="str">
            <v>Kribi</v>
          </cell>
        </row>
        <row r="1235">
          <cell r="A1235" t="str">
            <v>NRD_077</v>
          </cell>
          <cell r="B1235" t="str">
            <v>Lagdo</v>
          </cell>
        </row>
        <row r="1236">
          <cell r="A1236" t="str">
            <v>SUD_086</v>
          </cell>
          <cell r="B1236" t="str">
            <v>Kribi</v>
          </cell>
        </row>
        <row r="1237">
          <cell r="A1237" t="str">
            <v>LIT_673</v>
          </cell>
          <cell r="B1237" t="str">
            <v>Douala</v>
          </cell>
        </row>
        <row r="1238">
          <cell r="A1238" t="str">
            <v>LIT_599</v>
          </cell>
          <cell r="B1238" t="str">
            <v>Douala</v>
          </cell>
        </row>
        <row r="1239">
          <cell r="A1239" t="str">
            <v>CTR_713</v>
          </cell>
          <cell r="B1239" t="str">
            <v>Yaounde</v>
          </cell>
        </row>
        <row r="1240">
          <cell r="A1240" t="str">
            <v>CTR_737</v>
          </cell>
          <cell r="B1240" t="str">
            <v>Yaounde</v>
          </cell>
        </row>
        <row r="1241">
          <cell r="A1241" t="str">
            <v>LIT_630</v>
          </cell>
          <cell r="B1241" t="str">
            <v>Douala</v>
          </cell>
        </row>
        <row r="1242">
          <cell r="A1242" t="str">
            <v>CTR_707</v>
          </cell>
          <cell r="B1242" t="str">
            <v>Yaounde</v>
          </cell>
        </row>
        <row r="1243">
          <cell r="A1243" t="str">
            <v>CTR_095</v>
          </cell>
          <cell r="B1243" t="str">
            <v>Ombessa</v>
          </cell>
        </row>
        <row r="1244">
          <cell r="A1244" t="str">
            <v>CTR_718</v>
          </cell>
          <cell r="B1244" t="str">
            <v>Yaounde</v>
          </cell>
        </row>
        <row r="1245">
          <cell r="A1245" t="str">
            <v>NRD_171</v>
          </cell>
          <cell r="B1245" t="str">
            <v>Pitchoumba</v>
          </cell>
        </row>
        <row r="1246">
          <cell r="A1246" t="str">
            <v>SUD_092</v>
          </cell>
          <cell r="B1246" t="str">
            <v>Kribi</v>
          </cell>
        </row>
        <row r="1247">
          <cell r="A1247" t="str">
            <v>LIT_642</v>
          </cell>
          <cell r="B1247" t="str">
            <v>Douala</v>
          </cell>
        </row>
        <row r="1248">
          <cell r="A1248" t="str">
            <v>CTR_517</v>
          </cell>
          <cell r="B1248" t="str">
            <v>Akoeman</v>
          </cell>
        </row>
        <row r="1249">
          <cell r="A1249" t="str">
            <v>SUD_054</v>
          </cell>
          <cell r="B1249" t="str">
            <v>Akom II</v>
          </cell>
        </row>
        <row r="1250">
          <cell r="A1250" t="str">
            <v>CTR_112</v>
          </cell>
          <cell r="B1250" t="str">
            <v>Awae</v>
          </cell>
        </row>
        <row r="1251">
          <cell r="A1251" t="str">
            <v>OST_257</v>
          </cell>
          <cell r="B1251" t="str">
            <v>Babette</v>
          </cell>
        </row>
        <row r="1252">
          <cell r="A1252" t="str">
            <v>EXN_036</v>
          </cell>
          <cell r="B1252" t="str">
            <v>Balaza</v>
          </cell>
        </row>
        <row r="1253">
          <cell r="A1253" t="str">
            <v>ADM_132</v>
          </cell>
          <cell r="B1253" t="str">
            <v>Ngaoundere</v>
          </cell>
        </row>
        <row r="1254">
          <cell r="A1254" t="str">
            <v>CTR_443</v>
          </cell>
          <cell r="B1254" t="str">
            <v>Biakoa</v>
          </cell>
        </row>
        <row r="1255">
          <cell r="A1255" t="str">
            <v>CTR_304</v>
          </cell>
          <cell r="B1255" t="str">
            <v>Biba</v>
          </cell>
        </row>
        <row r="1256">
          <cell r="A1256" t="str">
            <v>LIT_643</v>
          </cell>
          <cell r="B1256" t="str">
            <v>Douala</v>
          </cell>
        </row>
        <row r="1257">
          <cell r="A1257" t="str">
            <v>NRD_074</v>
          </cell>
          <cell r="B1257" t="str">
            <v>Figuil</v>
          </cell>
        </row>
        <row r="1258">
          <cell r="A1258" t="str">
            <v>EXN_118</v>
          </cell>
          <cell r="B1258" t="str">
            <v>Doreissou</v>
          </cell>
        </row>
        <row r="1259">
          <cell r="A1259" t="str">
            <v>NRD_095</v>
          </cell>
          <cell r="B1259" t="str">
            <v>Garoua</v>
          </cell>
        </row>
        <row r="1260">
          <cell r="A1260" t="str">
            <v>EXN_245</v>
          </cell>
          <cell r="B1260" t="str">
            <v>Hougno</v>
          </cell>
        </row>
        <row r="1261">
          <cell r="A1261" t="str">
            <v>EXN_026</v>
          </cell>
          <cell r="B1261" t="str">
            <v>Katoual</v>
          </cell>
        </row>
        <row r="1262">
          <cell r="A1262" t="str">
            <v>OST_138</v>
          </cell>
          <cell r="B1262" t="str">
            <v>Koutaba</v>
          </cell>
        </row>
        <row r="1263">
          <cell r="A1263" t="str">
            <v>CTR_081</v>
          </cell>
          <cell r="B1263" t="str">
            <v>Makenene</v>
          </cell>
        </row>
        <row r="1264">
          <cell r="A1264" t="str">
            <v>CTR_360</v>
          </cell>
          <cell r="B1264" t="str">
            <v>Makoda</v>
          </cell>
        </row>
        <row r="1265">
          <cell r="A1265" t="str">
            <v>CTR_005</v>
          </cell>
          <cell r="B1265" t="str">
            <v>Matomb</v>
          </cell>
        </row>
        <row r="1266">
          <cell r="A1266" t="str">
            <v>ADM_161</v>
          </cell>
          <cell r="B1266" t="str">
            <v>Mbaka</v>
          </cell>
        </row>
        <row r="1267">
          <cell r="A1267" t="str">
            <v>LIT_063</v>
          </cell>
          <cell r="B1267" t="str">
            <v>Melong</v>
          </cell>
        </row>
        <row r="1268">
          <cell r="A1268" t="str">
            <v>LIT_662</v>
          </cell>
          <cell r="B1268" t="str">
            <v>Douala</v>
          </cell>
        </row>
        <row r="1269">
          <cell r="A1269" t="str">
            <v>CTR_690</v>
          </cell>
          <cell r="B1269" t="str">
            <v>Yaounde</v>
          </cell>
        </row>
        <row r="1270">
          <cell r="A1270" t="str">
            <v>CTR_059</v>
          </cell>
          <cell r="B1270" t="str">
            <v>Ndokok</v>
          </cell>
        </row>
        <row r="1271">
          <cell r="A1271" t="str">
            <v>LIT_308</v>
          </cell>
          <cell r="B1271" t="str">
            <v>Ndokoma</v>
          </cell>
        </row>
        <row r="1272">
          <cell r="A1272" t="str">
            <v>CTR_299</v>
          </cell>
          <cell r="B1272" t="str">
            <v>Nguila</v>
          </cell>
        </row>
        <row r="1273">
          <cell r="A1273" t="str">
            <v>LIT_108</v>
          </cell>
          <cell r="B1273" t="str">
            <v>Ngwei</v>
          </cell>
        </row>
        <row r="1274">
          <cell r="A1274" t="str">
            <v>LIT_194</v>
          </cell>
          <cell r="B1274" t="str">
            <v>Niete</v>
          </cell>
        </row>
        <row r="1275">
          <cell r="A1275" t="str">
            <v>SUD_038</v>
          </cell>
          <cell r="B1275" t="str">
            <v>Olamze</v>
          </cell>
        </row>
        <row r="1276">
          <cell r="A1276" t="str">
            <v>NRD_013</v>
          </cell>
          <cell r="B1276" t="str">
            <v>Pitoa</v>
          </cell>
        </row>
        <row r="1277">
          <cell r="A1277" t="str">
            <v>LIT_069</v>
          </cell>
          <cell r="B1277" t="str">
            <v>Pouma</v>
          </cell>
        </row>
        <row r="1278">
          <cell r="A1278" t="str">
            <v>NRD_089</v>
          </cell>
          <cell r="B1278" t="str">
            <v>Guider</v>
          </cell>
        </row>
        <row r="1279">
          <cell r="A1279" t="str">
            <v>NRD_025</v>
          </cell>
          <cell r="B1279" t="str">
            <v>Ngong</v>
          </cell>
        </row>
        <row r="1280">
          <cell r="A1280" t="str">
            <v>NRD_137</v>
          </cell>
          <cell r="B1280" t="str">
            <v>Touboro</v>
          </cell>
        </row>
        <row r="1281">
          <cell r="A1281" t="str">
            <v>OST_099</v>
          </cell>
          <cell r="B1281" t="str">
            <v>Bafang</v>
          </cell>
        </row>
        <row r="1282">
          <cell r="A1282" t="str">
            <v>CTR_720</v>
          </cell>
          <cell r="B1282" t="str">
            <v>Yaounde</v>
          </cell>
        </row>
        <row r="1283">
          <cell r="A1283" t="str">
            <v>LIT_656</v>
          </cell>
          <cell r="B1283" t="str">
            <v>Douala</v>
          </cell>
        </row>
        <row r="1284">
          <cell r="A1284" t="str">
            <v>CTR_740</v>
          </cell>
          <cell r="B1284" t="str">
            <v>Yaounde</v>
          </cell>
        </row>
        <row r="1285">
          <cell r="A1285" t="str">
            <v>EST_126</v>
          </cell>
          <cell r="B1285" t="str">
            <v>Gomala</v>
          </cell>
        </row>
        <row r="1286">
          <cell r="A1286" t="str">
            <v>NRD_012</v>
          </cell>
          <cell r="B1286" t="str">
            <v>Lagdo</v>
          </cell>
        </row>
        <row r="1287">
          <cell r="A1287" t="str">
            <v>LIT_678</v>
          </cell>
          <cell r="B1287" t="str">
            <v>Douala</v>
          </cell>
        </row>
        <row r="1288">
          <cell r="A1288" t="str">
            <v>CTR_680</v>
          </cell>
          <cell r="B1288" t="str">
            <v>Yaounde</v>
          </cell>
        </row>
        <row r="1289">
          <cell r="A1289" t="str">
            <v>CTR_653</v>
          </cell>
          <cell r="B1289" t="str">
            <v>Mfou</v>
          </cell>
        </row>
        <row r="1290">
          <cell r="A1290" t="str">
            <v>NRD_157</v>
          </cell>
          <cell r="B1290" t="str">
            <v>Nakong</v>
          </cell>
        </row>
        <row r="1291">
          <cell r="A1291" t="str">
            <v>LIT_671</v>
          </cell>
          <cell r="B1291" t="str">
            <v>Douala</v>
          </cell>
        </row>
        <row r="1292">
          <cell r="A1292" t="str">
            <v>LIT_683</v>
          </cell>
          <cell r="B1292" t="str">
            <v>Douala</v>
          </cell>
        </row>
        <row r="1293">
          <cell r="A1293" t="str">
            <v>CTR_757</v>
          </cell>
          <cell r="B1293" t="str">
            <v>Ndokoa</v>
          </cell>
        </row>
        <row r="1294">
          <cell r="A1294" t="str">
            <v>ADM_083</v>
          </cell>
          <cell r="B1294" t="str">
            <v>Ngaoundere</v>
          </cell>
        </row>
        <row r="1295">
          <cell r="A1295" t="str">
            <v>LIT_231</v>
          </cell>
          <cell r="B1295" t="str">
            <v>Mapubbi</v>
          </cell>
        </row>
        <row r="1296">
          <cell r="A1296" t="str">
            <v>SUD_249</v>
          </cell>
          <cell r="B1296" t="str">
            <v>Nyazanga</v>
          </cell>
        </row>
        <row r="1297">
          <cell r="A1297" t="str">
            <v>CTR_747</v>
          </cell>
          <cell r="B1297" t="str">
            <v>Yaounde</v>
          </cell>
        </row>
        <row r="1298">
          <cell r="A1298" t="str">
            <v>CTR_298</v>
          </cell>
          <cell r="B1298" t="str">
            <v>Olounou</v>
          </cell>
        </row>
        <row r="1299">
          <cell r="A1299" t="str">
            <v>CTR_843</v>
          </cell>
          <cell r="B1299" t="str">
            <v>Yaounde</v>
          </cell>
        </row>
        <row r="1300">
          <cell r="A1300" t="str">
            <v>LIT_233</v>
          </cell>
          <cell r="B1300" t="str">
            <v>Mbanga</v>
          </cell>
        </row>
        <row r="1301">
          <cell r="A1301" t="str">
            <v>ADM_008</v>
          </cell>
          <cell r="B1301" t="str">
            <v>Baiboum</v>
          </cell>
        </row>
        <row r="1302">
          <cell r="A1302" t="str">
            <v>NRO_070</v>
          </cell>
          <cell r="B1302" t="str">
            <v>Bamenda</v>
          </cell>
        </row>
        <row r="1303">
          <cell r="A1303" t="str">
            <v>NRO_062</v>
          </cell>
          <cell r="B1303" t="str">
            <v>Bamenda</v>
          </cell>
        </row>
        <row r="1304">
          <cell r="A1304" t="str">
            <v>NRO_226</v>
          </cell>
          <cell r="B1304" t="str">
            <v>Bamenda</v>
          </cell>
        </row>
        <row r="1305">
          <cell r="A1305" t="str">
            <v>OST_113</v>
          </cell>
          <cell r="B1305" t="str">
            <v>Bamenda</v>
          </cell>
        </row>
        <row r="1306">
          <cell r="A1306" t="str">
            <v>EXN_135</v>
          </cell>
          <cell r="B1306" t="str">
            <v>Bougoudoum</v>
          </cell>
        </row>
        <row r="1307">
          <cell r="A1307" t="str">
            <v>NRD_105</v>
          </cell>
          <cell r="B1307" t="str">
            <v>Boula-Ibi</v>
          </cell>
        </row>
        <row r="1308">
          <cell r="A1308" t="str">
            <v>LIT_675</v>
          </cell>
          <cell r="B1308" t="str">
            <v>Douala</v>
          </cell>
        </row>
        <row r="1309">
          <cell r="A1309" t="str">
            <v>EXN_190</v>
          </cell>
          <cell r="B1309" t="str">
            <v>Dargala</v>
          </cell>
        </row>
        <row r="1310">
          <cell r="A1310" t="str">
            <v>NRO_028</v>
          </cell>
          <cell r="B1310" t="str">
            <v>Bamenda</v>
          </cell>
        </row>
        <row r="1311">
          <cell r="A1311" t="str">
            <v>SUO_006</v>
          </cell>
          <cell r="B1311" t="str">
            <v>Kumba</v>
          </cell>
        </row>
        <row r="1312">
          <cell r="A1312" t="str">
            <v>SUO_109</v>
          </cell>
          <cell r="B1312" t="str">
            <v>Kumba</v>
          </cell>
        </row>
        <row r="1313">
          <cell r="A1313" t="str">
            <v>SUO_071</v>
          </cell>
          <cell r="B1313" t="str">
            <v>Kumba</v>
          </cell>
        </row>
        <row r="1314">
          <cell r="A1314" t="str">
            <v>SUO_114</v>
          </cell>
          <cell r="B1314" t="str">
            <v>Kumba</v>
          </cell>
        </row>
        <row r="1315">
          <cell r="A1315" t="str">
            <v>SUO_111</v>
          </cell>
          <cell r="B1315" t="str">
            <v>Kumba</v>
          </cell>
        </row>
        <row r="1316">
          <cell r="A1316" t="str">
            <v>SUO_126</v>
          </cell>
          <cell r="B1316" t="str">
            <v>Kumba</v>
          </cell>
        </row>
        <row r="1317">
          <cell r="A1317" t="str">
            <v>SUD_090</v>
          </cell>
          <cell r="B1317" t="str">
            <v>Kribi</v>
          </cell>
        </row>
        <row r="1318">
          <cell r="A1318" t="str">
            <v>LIT_677</v>
          </cell>
          <cell r="B1318" t="str">
            <v>Douala</v>
          </cell>
        </row>
        <row r="1319">
          <cell r="A1319" t="str">
            <v>ADM_107</v>
          </cell>
          <cell r="B1319" t="str">
            <v>Meiganga</v>
          </cell>
        </row>
        <row r="1320">
          <cell r="A1320" t="str">
            <v>LIT_679</v>
          </cell>
          <cell r="B1320" t="str">
            <v>Melong</v>
          </cell>
        </row>
        <row r="1321">
          <cell r="A1321" t="str">
            <v>CTR_746</v>
          </cell>
          <cell r="B1321" t="str">
            <v>Yaounde</v>
          </cell>
        </row>
        <row r="1322">
          <cell r="A1322" t="str">
            <v>CTR_739</v>
          </cell>
          <cell r="B1322" t="str">
            <v>Yaounde</v>
          </cell>
        </row>
        <row r="1323">
          <cell r="A1323" t="str">
            <v>LIT_684</v>
          </cell>
          <cell r="B1323" t="str">
            <v>Douala</v>
          </cell>
        </row>
        <row r="1324">
          <cell r="A1324" t="str">
            <v>CTR_278</v>
          </cell>
          <cell r="B1324" t="str">
            <v>Ngoro</v>
          </cell>
        </row>
        <row r="1325">
          <cell r="A1325" t="str">
            <v>LIT_067</v>
          </cell>
          <cell r="B1325" t="str">
            <v>Ngoulmepa</v>
          </cell>
        </row>
        <row r="1326">
          <cell r="A1326" t="str">
            <v>LIT_051</v>
          </cell>
          <cell r="B1326" t="str">
            <v>Nkapa</v>
          </cell>
        </row>
        <row r="1327">
          <cell r="A1327" t="str">
            <v>CTR_711</v>
          </cell>
          <cell r="B1327" t="str">
            <v>Yaounde</v>
          </cell>
        </row>
        <row r="1328">
          <cell r="A1328" t="str">
            <v>NRO_244</v>
          </cell>
          <cell r="B1328" t="str">
            <v>Bamenda</v>
          </cell>
        </row>
        <row r="1329">
          <cell r="A1329" t="str">
            <v>LIT_685</v>
          </cell>
          <cell r="B1329" t="str">
            <v>Douala</v>
          </cell>
        </row>
        <row r="1330">
          <cell r="A1330" t="str">
            <v>ADM_160</v>
          </cell>
          <cell r="B1330" t="str">
            <v>Phacochere</v>
          </cell>
        </row>
        <row r="1331">
          <cell r="A1331" t="str">
            <v>CTR_745</v>
          </cell>
          <cell r="B1331" t="str">
            <v>Yaounde</v>
          </cell>
        </row>
        <row r="1332">
          <cell r="A1332" t="str">
            <v>NRO_068</v>
          </cell>
          <cell r="B1332" t="str">
            <v>Bambili</v>
          </cell>
        </row>
        <row r="1333">
          <cell r="A1333" t="str">
            <v>NRO_064</v>
          </cell>
          <cell r="B1333" t="str">
            <v>Bamenda</v>
          </cell>
        </row>
        <row r="1334">
          <cell r="A1334" t="str">
            <v>NRO_008</v>
          </cell>
          <cell r="B1334" t="str">
            <v>Bamenda</v>
          </cell>
        </row>
        <row r="1335">
          <cell r="A1335" t="str">
            <v>NRO_066</v>
          </cell>
          <cell r="B1335" t="str">
            <v>Bamenda</v>
          </cell>
        </row>
        <row r="1336">
          <cell r="A1336" t="str">
            <v>NRO_253</v>
          </cell>
          <cell r="B1336" t="str">
            <v>Bamenda</v>
          </cell>
        </row>
        <row r="1337">
          <cell r="A1337" t="str">
            <v>LIT_687</v>
          </cell>
          <cell r="B1337" t="str">
            <v>Douala</v>
          </cell>
        </row>
        <row r="1338">
          <cell r="A1338" t="str">
            <v>EST_130</v>
          </cell>
          <cell r="B1338" t="str">
            <v>Borongoue</v>
          </cell>
        </row>
        <row r="1339">
          <cell r="A1339" t="str">
            <v>SUO_169</v>
          </cell>
          <cell r="B1339" t="str">
            <v>Buea</v>
          </cell>
        </row>
        <row r="1340">
          <cell r="A1340" t="str">
            <v>SUO_170</v>
          </cell>
          <cell r="B1340" t="str">
            <v>Buea</v>
          </cell>
        </row>
        <row r="1341">
          <cell r="A1341" t="str">
            <v>CTR_767</v>
          </cell>
          <cell r="B1341" t="str">
            <v>Yaounde</v>
          </cell>
        </row>
        <row r="1342">
          <cell r="A1342" t="str">
            <v>CTR_759</v>
          </cell>
          <cell r="B1342" t="str">
            <v>Yaounde</v>
          </cell>
        </row>
        <row r="1343">
          <cell r="A1343" t="str">
            <v>CTR_682</v>
          </cell>
          <cell r="B1343" t="str">
            <v>Yaounde</v>
          </cell>
        </row>
        <row r="1344">
          <cell r="A1344" t="str">
            <v>EXN_209</v>
          </cell>
          <cell r="B1344" t="str">
            <v>Mindif</v>
          </cell>
        </row>
        <row r="1345">
          <cell r="A1345" t="str">
            <v>EXN_192</v>
          </cell>
          <cell r="B1345" t="str">
            <v>Kar-Hay</v>
          </cell>
        </row>
        <row r="1346">
          <cell r="A1346" t="str">
            <v>CTR_738</v>
          </cell>
          <cell r="B1346" t="str">
            <v>Yaounde</v>
          </cell>
        </row>
        <row r="1347">
          <cell r="A1347" t="str">
            <v>ADM_164</v>
          </cell>
          <cell r="B1347" t="str">
            <v>Ngaoundere</v>
          </cell>
        </row>
        <row r="1348">
          <cell r="A1348" t="str">
            <v>NRO_221</v>
          </cell>
          <cell r="B1348" t="str">
            <v>Bamenda</v>
          </cell>
        </row>
        <row r="1349">
          <cell r="A1349" t="str">
            <v>EST_017</v>
          </cell>
          <cell r="B1349" t="str">
            <v>Atok</v>
          </cell>
        </row>
        <row r="1350">
          <cell r="A1350" t="str">
            <v>LIT_681</v>
          </cell>
          <cell r="B1350" t="str">
            <v>Douala</v>
          </cell>
        </row>
        <row r="1351">
          <cell r="A1351" t="str">
            <v>CTR_453</v>
          </cell>
          <cell r="B1351" t="str">
            <v>Mbankomo</v>
          </cell>
        </row>
        <row r="1352">
          <cell r="A1352" t="str">
            <v>LIT_615</v>
          </cell>
          <cell r="B1352" t="str">
            <v>Douala</v>
          </cell>
        </row>
        <row r="1353">
          <cell r="A1353" t="str">
            <v>CTR_842</v>
          </cell>
          <cell r="B1353" t="str">
            <v>Yaounde</v>
          </cell>
        </row>
        <row r="1354">
          <cell r="A1354" t="str">
            <v>LIT_385</v>
          </cell>
          <cell r="B1354" t="str">
            <v>Douala</v>
          </cell>
        </row>
        <row r="1355">
          <cell r="A1355" t="str">
            <v>SUD_098</v>
          </cell>
          <cell r="B1355" t="str">
            <v>Dikoum</v>
          </cell>
        </row>
        <row r="1356">
          <cell r="A1356" t="str">
            <v>EST_016</v>
          </cell>
          <cell r="B1356" t="str">
            <v>Kenzou</v>
          </cell>
        </row>
        <row r="1357">
          <cell r="A1357" t="str">
            <v>EXN_244</v>
          </cell>
          <cell r="B1357" t="str">
            <v>Kosseoua</v>
          </cell>
        </row>
        <row r="1358">
          <cell r="A1358" t="str">
            <v>SUO_113</v>
          </cell>
          <cell r="B1358" t="str">
            <v>Kumba</v>
          </cell>
        </row>
        <row r="1359">
          <cell r="A1359" t="str">
            <v>CTR_710</v>
          </cell>
          <cell r="B1359" t="str">
            <v>Mbankomo</v>
          </cell>
        </row>
        <row r="1360">
          <cell r="A1360" t="str">
            <v>EXN_027</v>
          </cell>
          <cell r="B1360" t="str">
            <v>Moutourwa</v>
          </cell>
        </row>
        <row r="1361">
          <cell r="A1361" t="str">
            <v>CTR_748</v>
          </cell>
          <cell r="B1361" t="str">
            <v>Yaounde</v>
          </cell>
        </row>
        <row r="1362">
          <cell r="A1362" t="str">
            <v>LIT_637</v>
          </cell>
          <cell r="B1362" t="str">
            <v>Douala</v>
          </cell>
        </row>
        <row r="1363">
          <cell r="A1363" t="str">
            <v>CTR_728</v>
          </cell>
          <cell r="B1363" t="str">
            <v>Yaounde</v>
          </cell>
        </row>
        <row r="1364">
          <cell r="A1364" t="str">
            <v>LIT_682</v>
          </cell>
          <cell r="B1364" t="str">
            <v>Douala</v>
          </cell>
        </row>
        <row r="1365">
          <cell r="A1365" t="str">
            <v>LIT_686</v>
          </cell>
          <cell r="B1365" t="str">
            <v>Douala</v>
          </cell>
        </row>
        <row r="1366">
          <cell r="A1366" t="str">
            <v>LIT_655</v>
          </cell>
          <cell r="B1366" t="str">
            <v>Douala</v>
          </cell>
        </row>
        <row r="1367">
          <cell r="A1367" t="str">
            <v>CTR_766</v>
          </cell>
          <cell r="B1367" t="str">
            <v>Yaounde</v>
          </cell>
        </row>
        <row r="1368">
          <cell r="A1368" t="str">
            <v>LIT_698</v>
          </cell>
          <cell r="B1368" t="str">
            <v>Douala</v>
          </cell>
        </row>
        <row r="1369">
          <cell r="A1369" t="str">
            <v>EST_131</v>
          </cell>
          <cell r="B1369" t="str">
            <v>Bertoua</v>
          </cell>
        </row>
        <row r="1370">
          <cell r="A1370" t="str">
            <v>OST_270</v>
          </cell>
          <cell r="B1370" t="str">
            <v>Bafoussam</v>
          </cell>
        </row>
        <row r="1371">
          <cell r="A1371" t="str">
            <v>LIT_690</v>
          </cell>
          <cell r="B1371" t="str">
            <v>Douala</v>
          </cell>
        </row>
        <row r="1372">
          <cell r="A1372" t="str">
            <v>LIT_676</v>
          </cell>
          <cell r="B1372" t="str">
            <v>Douala</v>
          </cell>
        </row>
        <row r="1373">
          <cell r="A1373" t="str">
            <v>LIT_694</v>
          </cell>
          <cell r="B1373" t="str">
            <v>Douala</v>
          </cell>
        </row>
        <row r="1374">
          <cell r="A1374" t="str">
            <v>SUD_097</v>
          </cell>
          <cell r="B1374" t="str">
            <v>Ebolowa</v>
          </cell>
        </row>
        <row r="1375">
          <cell r="A1375" t="str">
            <v>CTR_749</v>
          </cell>
          <cell r="B1375" t="str">
            <v>Essazok</v>
          </cell>
        </row>
        <row r="1376">
          <cell r="A1376" t="str">
            <v>SUD_093</v>
          </cell>
          <cell r="B1376" t="str">
            <v>Kribi</v>
          </cell>
        </row>
        <row r="1377">
          <cell r="A1377" t="str">
            <v>SUD_053</v>
          </cell>
          <cell r="B1377" t="str">
            <v>Kribi</v>
          </cell>
        </row>
        <row r="1378">
          <cell r="A1378" t="str">
            <v>SUO_078</v>
          </cell>
          <cell r="B1378" t="str">
            <v>Limbe</v>
          </cell>
        </row>
        <row r="1379">
          <cell r="A1379" t="str">
            <v>NRO_029</v>
          </cell>
          <cell r="B1379" t="str">
            <v>Bamenda</v>
          </cell>
        </row>
        <row r="1380">
          <cell r="A1380" t="str">
            <v>NRO_229</v>
          </cell>
          <cell r="B1380" t="str">
            <v>Bamenda</v>
          </cell>
        </row>
        <row r="1381">
          <cell r="A1381" t="str">
            <v>SUO_021</v>
          </cell>
          <cell r="B1381" t="str">
            <v>Limbe</v>
          </cell>
        </row>
        <row r="1382">
          <cell r="A1382" t="str">
            <v>SUD_099</v>
          </cell>
          <cell r="B1382" t="str">
            <v>Mimbo</v>
          </cell>
        </row>
        <row r="1383">
          <cell r="A1383" t="str">
            <v>CTR_772</v>
          </cell>
          <cell r="B1383" t="str">
            <v>Yaounde</v>
          </cell>
        </row>
        <row r="1384">
          <cell r="A1384" t="str">
            <v>LIT_693</v>
          </cell>
          <cell r="B1384" t="str">
            <v>Douala</v>
          </cell>
        </row>
        <row r="1385">
          <cell r="A1385" t="str">
            <v>LIT_109</v>
          </cell>
          <cell r="B1385" t="str">
            <v>Ndoungue</v>
          </cell>
        </row>
        <row r="1386">
          <cell r="A1386" t="str">
            <v>ADM_165</v>
          </cell>
          <cell r="B1386" t="str">
            <v>Ngaoundere</v>
          </cell>
        </row>
        <row r="1387">
          <cell r="A1387" t="str">
            <v>ADM_166</v>
          </cell>
          <cell r="B1387" t="str">
            <v>Ngaoundere</v>
          </cell>
        </row>
        <row r="1388">
          <cell r="A1388" t="str">
            <v>CTR_761</v>
          </cell>
          <cell r="B1388" t="str">
            <v>Yaounde</v>
          </cell>
        </row>
        <row r="1389">
          <cell r="A1389" t="str">
            <v>CTR_441</v>
          </cell>
          <cell r="B1389" t="str">
            <v>Olama</v>
          </cell>
        </row>
        <row r="1390">
          <cell r="A1390" t="str">
            <v>CTR_201</v>
          </cell>
          <cell r="B1390" t="str">
            <v>Otele</v>
          </cell>
        </row>
        <row r="1391">
          <cell r="A1391" t="str">
            <v>LIT_765</v>
          </cell>
          <cell r="B1391" t="str">
            <v>Douala</v>
          </cell>
        </row>
        <row r="1392">
          <cell r="A1392" t="str">
            <v>CTR_743</v>
          </cell>
          <cell r="B1392" t="str">
            <v>Ozom</v>
          </cell>
        </row>
        <row r="1393">
          <cell r="A1393" t="str">
            <v>LIT_208</v>
          </cell>
          <cell r="B1393" t="str">
            <v>Penja</v>
          </cell>
        </row>
        <row r="1394">
          <cell r="A1394" t="str">
            <v>LIT_594</v>
          </cell>
          <cell r="B1394" t="str">
            <v>Penja</v>
          </cell>
        </row>
        <row r="1395">
          <cell r="A1395" t="str">
            <v>NRD_174</v>
          </cell>
          <cell r="B1395" t="str">
            <v>Garoua</v>
          </cell>
        </row>
        <row r="1396">
          <cell r="A1396" t="str">
            <v>SUO_004</v>
          </cell>
          <cell r="B1396" t="str">
            <v>Tiko</v>
          </cell>
        </row>
        <row r="1397">
          <cell r="A1397" t="str">
            <v>SUO_104</v>
          </cell>
          <cell r="B1397" t="str">
            <v>Tiko</v>
          </cell>
        </row>
        <row r="1398">
          <cell r="A1398" t="str">
            <v>CTR_758</v>
          </cell>
          <cell r="B1398" t="str">
            <v>Yaounde</v>
          </cell>
        </row>
        <row r="1399">
          <cell r="A1399" t="str">
            <v>NRO_112</v>
          </cell>
          <cell r="B1399" t="str">
            <v>Bamenda</v>
          </cell>
        </row>
        <row r="1400">
          <cell r="A1400" t="str">
            <v>NRO_113</v>
          </cell>
          <cell r="B1400" t="str">
            <v>Bamenda</v>
          </cell>
        </row>
        <row r="1401">
          <cell r="A1401" t="str">
            <v>OST_274</v>
          </cell>
          <cell r="B1401" t="str">
            <v>Bamoungoum</v>
          </cell>
        </row>
        <row r="1402">
          <cell r="A1402" t="str">
            <v>OST_022</v>
          </cell>
          <cell r="B1402" t="str">
            <v>Bandja</v>
          </cell>
        </row>
        <row r="1403">
          <cell r="A1403" t="str">
            <v>OST_273</v>
          </cell>
          <cell r="B1403" t="str">
            <v>Bato</v>
          </cell>
        </row>
        <row r="1404">
          <cell r="A1404" t="str">
            <v>OST_277</v>
          </cell>
          <cell r="B1404" t="str">
            <v>Batoufam</v>
          </cell>
        </row>
        <row r="1405">
          <cell r="A1405" t="str">
            <v>CTR_205</v>
          </cell>
          <cell r="B1405" t="str">
            <v>Bondjock</v>
          </cell>
        </row>
        <row r="1406">
          <cell r="A1406" t="str">
            <v>CTR_762</v>
          </cell>
          <cell r="B1406" t="str">
            <v>Yaounde</v>
          </cell>
        </row>
        <row r="1407">
          <cell r="A1407" t="str">
            <v>OST_153</v>
          </cell>
          <cell r="B1407" t="str">
            <v>Fotouni</v>
          </cell>
        </row>
        <row r="1408">
          <cell r="A1408" t="str">
            <v>NRD_175</v>
          </cell>
          <cell r="B1408" t="str">
            <v>Garoua</v>
          </cell>
        </row>
        <row r="1409">
          <cell r="A1409" t="str">
            <v>LIT_695</v>
          </cell>
          <cell r="B1409" t="str">
            <v>Douala</v>
          </cell>
        </row>
        <row r="1410">
          <cell r="A1410" t="str">
            <v>CTR_354</v>
          </cell>
          <cell r="B1410" t="str">
            <v>Mengueme</v>
          </cell>
        </row>
        <row r="1411">
          <cell r="A1411" t="str">
            <v>EXN_186</v>
          </cell>
          <cell r="B1411" t="str">
            <v>Mouda</v>
          </cell>
        </row>
        <row r="1412">
          <cell r="A1412" t="str">
            <v>SUD_062</v>
          </cell>
          <cell r="B1412" t="str">
            <v>Ndonkol</v>
          </cell>
        </row>
        <row r="1413">
          <cell r="A1413" t="str">
            <v>CTR_750</v>
          </cell>
          <cell r="B1413" t="str">
            <v>Yaounde</v>
          </cell>
        </row>
        <row r="1414">
          <cell r="A1414" t="str">
            <v>NRD_168</v>
          </cell>
          <cell r="B1414" t="str">
            <v>Reserve Benoue</v>
          </cell>
        </row>
        <row r="1415">
          <cell r="A1415" t="str">
            <v>OST_092</v>
          </cell>
          <cell r="B1415" t="str">
            <v>Taram</v>
          </cell>
        </row>
        <row r="1416">
          <cell r="A1416" t="str">
            <v>LIT_696</v>
          </cell>
          <cell r="B1416" t="str">
            <v>Douala</v>
          </cell>
        </row>
        <row r="1417">
          <cell r="A1417" t="str">
            <v>CTR_755</v>
          </cell>
          <cell r="B1417" t="str">
            <v>Yaounde</v>
          </cell>
        </row>
        <row r="1418">
          <cell r="A1418" t="str">
            <v>NRD_107</v>
          </cell>
          <cell r="B1418" t="str">
            <v>Badankali</v>
          </cell>
        </row>
        <row r="1419">
          <cell r="A1419" t="str">
            <v>NRO_067</v>
          </cell>
          <cell r="B1419" t="str">
            <v>Bambili</v>
          </cell>
        </row>
        <row r="1420">
          <cell r="A1420" t="str">
            <v>OST_294</v>
          </cell>
          <cell r="B1420" t="str">
            <v>Bangoua</v>
          </cell>
        </row>
        <row r="1421">
          <cell r="A1421" t="str">
            <v>LIT_112</v>
          </cell>
          <cell r="B1421" t="str">
            <v>Bare</v>
          </cell>
        </row>
        <row r="1422">
          <cell r="A1422" t="str">
            <v>CTR_769</v>
          </cell>
          <cell r="B1422" t="str">
            <v>Yaounde</v>
          </cell>
        </row>
        <row r="1423">
          <cell r="A1423" t="str">
            <v>EST_143</v>
          </cell>
          <cell r="B1423" t="str">
            <v>Bertoua</v>
          </cell>
        </row>
        <row r="1424">
          <cell r="A1424" t="str">
            <v>SUD_001</v>
          </cell>
          <cell r="B1424" t="str">
            <v>Bipaga</v>
          </cell>
        </row>
        <row r="1425">
          <cell r="A1425" t="str">
            <v>SUD_040</v>
          </cell>
          <cell r="B1425" t="str">
            <v>Bipindi</v>
          </cell>
        </row>
        <row r="1426">
          <cell r="A1426" t="str">
            <v>EXN_006</v>
          </cell>
          <cell r="B1426" t="str">
            <v>Bogo</v>
          </cell>
        </row>
        <row r="1427">
          <cell r="A1427" t="str">
            <v>EST_003</v>
          </cell>
          <cell r="B1427" t="str">
            <v>Bouam</v>
          </cell>
        </row>
        <row r="1428">
          <cell r="A1428" t="str">
            <v>NRD_167</v>
          </cell>
          <cell r="B1428" t="str">
            <v>Bouba-Ndjida</v>
          </cell>
        </row>
        <row r="1429">
          <cell r="A1429" t="str">
            <v>LIT_494</v>
          </cell>
          <cell r="B1429" t="str">
            <v>Campo</v>
          </cell>
        </row>
        <row r="1430">
          <cell r="A1430" t="str">
            <v>LIT_697</v>
          </cell>
          <cell r="B1430" t="str">
            <v>Douala</v>
          </cell>
        </row>
        <row r="1431">
          <cell r="A1431" t="str">
            <v>NRD_030</v>
          </cell>
          <cell r="B1431" t="str">
            <v>Djarako</v>
          </cell>
        </row>
        <row r="1432">
          <cell r="A1432" t="str">
            <v>EXN_247</v>
          </cell>
          <cell r="B1432" t="str">
            <v>Maroua</v>
          </cell>
        </row>
        <row r="1433">
          <cell r="A1433" t="str">
            <v>SUD_100</v>
          </cell>
          <cell r="B1433" t="str">
            <v>Ebolowa</v>
          </cell>
        </row>
        <row r="1434">
          <cell r="A1434" t="str">
            <v>LIT_689</v>
          </cell>
          <cell r="B1434" t="str">
            <v>Douala</v>
          </cell>
        </row>
        <row r="1435">
          <cell r="A1435" t="str">
            <v>EST_101</v>
          </cell>
          <cell r="B1435" t="str">
            <v>Gbiti</v>
          </cell>
        </row>
        <row r="1436">
          <cell r="A1436" t="str">
            <v>EXN_205</v>
          </cell>
          <cell r="B1436" t="str">
            <v>Kalfou</v>
          </cell>
        </row>
        <row r="1437">
          <cell r="A1437" t="str">
            <v>SUO_173</v>
          </cell>
          <cell r="B1437" t="str">
            <v>Jabane</v>
          </cell>
        </row>
        <row r="1438">
          <cell r="A1438" t="str">
            <v>SUD_094</v>
          </cell>
          <cell r="B1438" t="str">
            <v>Kribi</v>
          </cell>
        </row>
        <row r="1439">
          <cell r="A1439" t="str">
            <v>LIT_680</v>
          </cell>
          <cell r="B1439" t="str">
            <v>Douala</v>
          </cell>
        </row>
        <row r="1440">
          <cell r="A1440" t="str">
            <v>LIT_638</v>
          </cell>
          <cell r="B1440" t="str">
            <v>Douala</v>
          </cell>
        </row>
        <row r="1441">
          <cell r="A1441" t="str">
            <v>LIT_650</v>
          </cell>
          <cell r="B1441" t="str">
            <v>Douala</v>
          </cell>
        </row>
        <row r="1442">
          <cell r="A1442" t="str">
            <v>EST_112</v>
          </cell>
          <cell r="B1442" t="str">
            <v>Bertoua</v>
          </cell>
        </row>
        <row r="1443">
          <cell r="A1443" t="str">
            <v>EXN_250</v>
          </cell>
          <cell r="B1443" t="str">
            <v>Maroua</v>
          </cell>
        </row>
        <row r="1444">
          <cell r="A1444" t="str">
            <v>EXN_249</v>
          </cell>
          <cell r="B1444" t="str">
            <v>Maroua</v>
          </cell>
        </row>
        <row r="1445">
          <cell r="A1445" t="str">
            <v>NRO_065</v>
          </cell>
          <cell r="B1445" t="str">
            <v>Mbatu</v>
          </cell>
        </row>
        <row r="1446">
          <cell r="A1446" t="str">
            <v>LIT_480</v>
          </cell>
          <cell r="B1446" t="str">
            <v>Mbongo</v>
          </cell>
        </row>
        <row r="1447">
          <cell r="A1447" t="str">
            <v>CTR_763</v>
          </cell>
          <cell r="B1447" t="str">
            <v>Yaounde</v>
          </cell>
        </row>
        <row r="1448">
          <cell r="A1448" t="str">
            <v>CTR_146</v>
          </cell>
          <cell r="B1448" t="str">
            <v>Mekouda</v>
          </cell>
        </row>
        <row r="1449">
          <cell r="A1449" t="str">
            <v>OST_189</v>
          </cell>
          <cell r="B1449" t="str">
            <v>Mfessang</v>
          </cell>
        </row>
        <row r="1450">
          <cell r="A1450" t="str">
            <v>EXN_155</v>
          </cell>
          <cell r="B1450" t="str">
            <v>Minawao</v>
          </cell>
        </row>
        <row r="1451">
          <cell r="A1451" t="str">
            <v>EXN_134</v>
          </cell>
          <cell r="B1451" t="str">
            <v>Mora</v>
          </cell>
        </row>
        <row r="1452">
          <cell r="A1452" t="str">
            <v>LIT_670</v>
          </cell>
          <cell r="B1452" t="str">
            <v>Moulanga</v>
          </cell>
        </row>
        <row r="1453">
          <cell r="A1453" t="str">
            <v>EXN_073</v>
          </cell>
          <cell r="B1453" t="str">
            <v>Ndoukoula</v>
          </cell>
        </row>
        <row r="1454">
          <cell r="A1454" t="str">
            <v>OST_207</v>
          </cell>
          <cell r="B1454" t="str">
            <v>Ndoumkain</v>
          </cell>
        </row>
        <row r="1455">
          <cell r="A1455" t="str">
            <v>ADM_167</v>
          </cell>
          <cell r="B1455" t="str">
            <v>Ngaoundere</v>
          </cell>
        </row>
        <row r="1456">
          <cell r="A1456" t="str">
            <v>CTR_771</v>
          </cell>
          <cell r="B1456" t="str">
            <v>Yaounde</v>
          </cell>
        </row>
        <row r="1457">
          <cell r="A1457" t="str">
            <v>EST_133</v>
          </cell>
          <cell r="B1457" t="str">
            <v>Nyabi</v>
          </cell>
        </row>
        <row r="1458">
          <cell r="A1458" t="str">
            <v>NRD_124</v>
          </cell>
          <cell r="B1458" t="str">
            <v>Ouro-Be</v>
          </cell>
        </row>
        <row r="1459">
          <cell r="A1459" t="str">
            <v>CTR_799</v>
          </cell>
          <cell r="B1459" t="str">
            <v>Yaounde</v>
          </cell>
        </row>
        <row r="1460">
          <cell r="A1460" t="str">
            <v>OST_140</v>
          </cell>
          <cell r="B1460" t="str">
            <v>Santchou</v>
          </cell>
        </row>
        <row r="1461">
          <cell r="A1461" t="str">
            <v>EXN_218</v>
          </cell>
          <cell r="B1461" t="str">
            <v>Sedek</v>
          </cell>
        </row>
        <row r="1462">
          <cell r="A1462" t="str">
            <v>NRD_099</v>
          </cell>
          <cell r="B1462" t="str">
            <v>Sorawel</v>
          </cell>
        </row>
        <row r="1463">
          <cell r="A1463" t="str">
            <v>NRD_180</v>
          </cell>
          <cell r="B1463" t="str">
            <v>Tchollire</v>
          </cell>
        </row>
        <row r="1464">
          <cell r="A1464" t="str">
            <v>EXN_127</v>
          </cell>
          <cell r="B1464" t="str">
            <v>Wina</v>
          </cell>
        </row>
        <row r="1465">
          <cell r="A1465" t="str">
            <v>LIT_766</v>
          </cell>
          <cell r="B1465" t="str">
            <v>Douala</v>
          </cell>
        </row>
        <row r="1466">
          <cell r="A1466" t="str">
            <v>CTR_335</v>
          </cell>
          <cell r="B1466" t="str">
            <v>Yoko</v>
          </cell>
        </row>
        <row r="1467">
          <cell r="A1467" t="str">
            <v>EXN_154</v>
          </cell>
          <cell r="B1467" t="str">
            <v>Zidim</v>
          </cell>
        </row>
        <row r="1468">
          <cell r="A1468" t="str">
            <v>NRD_126</v>
          </cell>
          <cell r="B1468" t="str">
            <v>Adoumri</v>
          </cell>
        </row>
        <row r="1469">
          <cell r="A1469" t="str">
            <v>SUD_236</v>
          </cell>
          <cell r="B1469" t="str">
            <v>Avebe</v>
          </cell>
        </row>
        <row r="1470">
          <cell r="A1470" t="str">
            <v>EXN_109</v>
          </cell>
          <cell r="B1470" t="str">
            <v>Double(Djakaramani)</v>
          </cell>
        </row>
        <row r="1471">
          <cell r="A1471" t="str">
            <v>EXN_126</v>
          </cell>
          <cell r="B1471" t="str">
            <v>Guere</v>
          </cell>
        </row>
        <row r="1472">
          <cell r="A1472" t="str">
            <v>SUD_095</v>
          </cell>
          <cell r="B1472" t="str">
            <v>Kribi</v>
          </cell>
        </row>
        <row r="1473">
          <cell r="A1473" t="str">
            <v>SUD_096</v>
          </cell>
          <cell r="B1473" t="str">
            <v>Kribi</v>
          </cell>
        </row>
        <row r="1474">
          <cell r="A1474" t="str">
            <v>SUO_082</v>
          </cell>
          <cell r="B1474" t="str">
            <v>Limbe</v>
          </cell>
        </row>
        <row r="1475">
          <cell r="A1475" t="str">
            <v>EXN_035</v>
          </cell>
          <cell r="B1475" t="str">
            <v>Maltam</v>
          </cell>
        </row>
        <row r="1476">
          <cell r="A1476" t="str">
            <v>OST_272</v>
          </cell>
          <cell r="B1476" t="str">
            <v>Mamegnam</v>
          </cell>
        </row>
        <row r="1477">
          <cell r="A1477" t="str">
            <v>LIT_178</v>
          </cell>
          <cell r="B1477" t="str">
            <v>misselele</v>
          </cell>
        </row>
        <row r="1478">
          <cell r="A1478" t="str">
            <v>SUO_064</v>
          </cell>
          <cell r="B1478" t="str">
            <v>Mutengene</v>
          </cell>
        </row>
        <row r="1479">
          <cell r="A1479" t="str">
            <v>CTR_138</v>
          </cell>
          <cell r="B1479" t="str">
            <v>Nanga-Eboko</v>
          </cell>
        </row>
        <row r="1480">
          <cell r="A1480" t="str">
            <v>OST_165</v>
          </cell>
          <cell r="B1480" t="str">
            <v>Ndjeleng</v>
          </cell>
        </row>
        <row r="1481">
          <cell r="A1481" t="str">
            <v>LIT_431</v>
          </cell>
          <cell r="B1481" t="str">
            <v>Ndoulou</v>
          </cell>
        </row>
        <row r="1482">
          <cell r="A1482" t="str">
            <v>SUO_029</v>
          </cell>
          <cell r="B1482" t="str">
            <v>Ngambe</v>
          </cell>
        </row>
        <row r="1483">
          <cell r="A1483" t="str">
            <v>ADM_119</v>
          </cell>
          <cell r="B1483" t="str">
            <v>Ngaoundal</v>
          </cell>
        </row>
        <row r="1484">
          <cell r="A1484" t="str">
            <v>EXN_199</v>
          </cell>
          <cell r="B1484" t="str">
            <v>Ouro Zangui</v>
          </cell>
        </row>
        <row r="1485">
          <cell r="A1485" t="str">
            <v>SUO_105</v>
          </cell>
          <cell r="B1485" t="str">
            <v>Tiko</v>
          </cell>
        </row>
        <row r="1486">
          <cell r="A1486" t="str">
            <v>NRO_128</v>
          </cell>
          <cell r="B1486" t="str">
            <v>Bamenda</v>
          </cell>
        </row>
        <row r="1487">
          <cell r="A1487" t="str">
            <v>ADM_096</v>
          </cell>
          <cell r="B1487" t="str">
            <v>Belel</v>
          </cell>
        </row>
        <row r="1488">
          <cell r="A1488" t="str">
            <v>SUO_181</v>
          </cell>
          <cell r="B1488" t="str">
            <v>Buea</v>
          </cell>
        </row>
        <row r="1489">
          <cell r="A1489" t="str">
            <v>SUO_184</v>
          </cell>
          <cell r="B1489" t="str">
            <v>Buea</v>
          </cell>
        </row>
        <row r="1490">
          <cell r="A1490" t="str">
            <v>SUO_194</v>
          </cell>
          <cell r="B1490" t="str">
            <v>Limbe</v>
          </cell>
        </row>
        <row r="1491">
          <cell r="A1491" t="str">
            <v>SUO_191</v>
          </cell>
          <cell r="B1491" t="str">
            <v>Limbe</v>
          </cell>
        </row>
        <row r="1492">
          <cell r="A1492" t="str">
            <v>SUO_164</v>
          </cell>
          <cell r="B1492" t="str">
            <v>Mutengene</v>
          </cell>
        </row>
        <row r="1493">
          <cell r="A1493" t="str">
            <v>EXN_039</v>
          </cell>
          <cell r="B1493" t="str">
            <v>Pette</v>
          </cell>
        </row>
        <row r="1494">
          <cell r="A1494" t="str">
            <v>NRO_119</v>
          </cell>
          <cell r="B1494" t="str">
            <v>Bamenda</v>
          </cell>
        </row>
        <row r="1495">
          <cell r="A1495" t="str">
            <v>OST_007</v>
          </cell>
          <cell r="B1495" t="str">
            <v>Bana</v>
          </cell>
        </row>
        <row r="1496">
          <cell r="A1496" t="str">
            <v>ADM_012</v>
          </cell>
          <cell r="B1496" t="str">
            <v>Bankim</v>
          </cell>
        </row>
        <row r="1497">
          <cell r="A1497" t="str">
            <v>NRO_227</v>
          </cell>
          <cell r="B1497" t="str">
            <v>Bamenda</v>
          </cell>
        </row>
        <row r="1498">
          <cell r="A1498" t="str">
            <v>SUO_180</v>
          </cell>
          <cell r="B1498" t="str">
            <v>Buea</v>
          </cell>
        </row>
        <row r="1499">
          <cell r="A1499" t="str">
            <v>LIT_173</v>
          </cell>
          <cell r="B1499" t="str">
            <v>CDC-Delmonte</v>
          </cell>
        </row>
        <row r="1500">
          <cell r="A1500" t="str">
            <v>EST_057</v>
          </cell>
          <cell r="B1500" t="str">
            <v>Kobdombo</v>
          </cell>
        </row>
        <row r="1501">
          <cell r="A1501" t="str">
            <v>EXN_223</v>
          </cell>
          <cell r="B1501" t="str">
            <v>Mada</v>
          </cell>
        </row>
        <row r="1502">
          <cell r="A1502" t="str">
            <v>CTR_233</v>
          </cell>
          <cell r="B1502" t="str">
            <v>Minta</v>
          </cell>
        </row>
        <row r="1503">
          <cell r="A1503" t="str">
            <v>SUO_189</v>
          </cell>
          <cell r="B1503" t="str">
            <v>Buea</v>
          </cell>
        </row>
        <row r="1504">
          <cell r="A1504" t="str">
            <v>SUO_190</v>
          </cell>
          <cell r="B1504" t="str">
            <v>Buea</v>
          </cell>
        </row>
        <row r="1505">
          <cell r="A1505" t="str">
            <v>EST_116</v>
          </cell>
          <cell r="B1505" t="str">
            <v>Tongo-Ngandima</v>
          </cell>
        </row>
        <row r="1506">
          <cell r="A1506" t="str">
            <v>SUO_193</v>
          </cell>
          <cell r="B1506" t="str">
            <v>Limbe</v>
          </cell>
        </row>
        <row r="1507">
          <cell r="A1507" t="str">
            <v>EST_009</v>
          </cell>
          <cell r="B1507" t="str">
            <v>Abong-Mbang</v>
          </cell>
        </row>
        <row r="1508">
          <cell r="A1508" t="str">
            <v>NRD_029</v>
          </cell>
          <cell r="B1508" t="str">
            <v>Banda</v>
          </cell>
        </row>
        <row r="1509">
          <cell r="A1509" t="str">
            <v>NRO_059</v>
          </cell>
          <cell r="B1509" t="str">
            <v>Bamenda</v>
          </cell>
        </row>
        <row r="1510">
          <cell r="A1510" t="str">
            <v>EXN_097</v>
          </cell>
          <cell r="B1510" t="str">
            <v>Bogo</v>
          </cell>
        </row>
        <row r="1511">
          <cell r="A1511" t="str">
            <v>LIT_734</v>
          </cell>
          <cell r="B1511" t="str">
            <v>Douala</v>
          </cell>
        </row>
        <row r="1512">
          <cell r="A1512" t="str">
            <v>EXN_130</v>
          </cell>
          <cell r="B1512" t="str">
            <v>Gazawa</v>
          </cell>
        </row>
        <row r="1513">
          <cell r="A1513" t="str">
            <v>EXN_098</v>
          </cell>
          <cell r="B1513" t="str">
            <v>Guirvidig</v>
          </cell>
        </row>
        <row r="1514">
          <cell r="A1514" t="str">
            <v>SUO_192</v>
          </cell>
          <cell r="B1514" t="str">
            <v>Limbe</v>
          </cell>
        </row>
        <row r="1515">
          <cell r="A1515" t="str">
            <v>SUO_212</v>
          </cell>
          <cell r="B1515" t="str">
            <v>Limbe</v>
          </cell>
        </row>
        <row r="1516">
          <cell r="A1516" t="str">
            <v>CTR_030</v>
          </cell>
          <cell r="B1516" t="str">
            <v>Mbandjock</v>
          </cell>
        </row>
        <row r="1517">
          <cell r="A1517" t="str">
            <v>ADM_101</v>
          </cell>
          <cell r="B1517" t="str">
            <v>Ngaoundere</v>
          </cell>
        </row>
        <row r="1518">
          <cell r="A1518" t="str">
            <v>SUD_055</v>
          </cell>
          <cell r="B1518" t="str">
            <v>Niete</v>
          </cell>
        </row>
        <row r="1519">
          <cell r="A1519" t="str">
            <v>SUO_205</v>
          </cell>
          <cell r="B1519" t="str">
            <v>Tiko</v>
          </cell>
        </row>
        <row r="1520">
          <cell r="A1520" t="str">
            <v>EXN_069</v>
          </cell>
          <cell r="B1520" t="str">
            <v>Yagoua</v>
          </cell>
        </row>
        <row r="1521">
          <cell r="A1521" t="str">
            <v>EST_005</v>
          </cell>
          <cell r="B1521" t="str">
            <v>Batouri</v>
          </cell>
        </row>
        <row r="1522">
          <cell r="A1522" t="str">
            <v>SUO_201</v>
          </cell>
          <cell r="B1522" t="str">
            <v>Buea</v>
          </cell>
        </row>
        <row r="1523">
          <cell r="A1523" t="str">
            <v>SUO_182</v>
          </cell>
          <cell r="B1523" t="str">
            <v>Buea</v>
          </cell>
        </row>
        <row r="1524">
          <cell r="A1524" t="str">
            <v>LIT_726</v>
          </cell>
          <cell r="B1524" t="str">
            <v>Douala</v>
          </cell>
        </row>
        <row r="1525">
          <cell r="A1525" t="str">
            <v>LIT_768</v>
          </cell>
          <cell r="B1525" t="str">
            <v>Loum</v>
          </cell>
        </row>
        <row r="1526">
          <cell r="A1526" t="str">
            <v>SUO_183</v>
          </cell>
          <cell r="B1526" t="str">
            <v>Buea</v>
          </cell>
        </row>
        <row r="1527">
          <cell r="A1527" t="str">
            <v>SUO_179</v>
          </cell>
          <cell r="B1527" t="str">
            <v>Buea</v>
          </cell>
        </row>
        <row r="1528">
          <cell r="A1528" t="str">
            <v>SUO_211</v>
          </cell>
          <cell r="B1528" t="str">
            <v>Mutengene</v>
          </cell>
        </row>
        <row r="1529">
          <cell r="A1529" t="str">
            <v>CTR_820</v>
          </cell>
          <cell r="B1529" t="str">
            <v>Yaounde</v>
          </cell>
        </row>
        <row r="1530">
          <cell r="A1530" t="str">
            <v>OST_300</v>
          </cell>
          <cell r="B1530" t="str">
            <v>Bahouan</v>
          </cell>
        </row>
        <row r="1531">
          <cell r="A1531" t="str">
            <v>NRO_121</v>
          </cell>
          <cell r="B1531" t="str">
            <v>Bamenda</v>
          </cell>
        </row>
        <row r="1532">
          <cell r="A1532" t="str">
            <v>NRO_125</v>
          </cell>
          <cell r="B1532" t="str">
            <v>Bamenda</v>
          </cell>
        </row>
        <row r="1533">
          <cell r="A1533" t="str">
            <v>NRO_118</v>
          </cell>
          <cell r="B1533" t="str">
            <v>Bamenda</v>
          </cell>
        </row>
        <row r="1534">
          <cell r="A1534" t="str">
            <v>OST_286</v>
          </cell>
          <cell r="B1534" t="str">
            <v>Banka</v>
          </cell>
        </row>
        <row r="1535">
          <cell r="A1535" t="str">
            <v>OST_301</v>
          </cell>
          <cell r="B1535" t="str">
            <v>Bantoum</v>
          </cell>
        </row>
        <row r="1536">
          <cell r="A1536" t="str">
            <v>SUO_197</v>
          </cell>
          <cell r="B1536" t="str">
            <v>Bokwai</v>
          </cell>
        </row>
        <row r="1537">
          <cell r="A1537" t="str">
            <v>SUO_199</v>
          </cell>
          <cell r="B1537" t="str">
            <v>Buea</v>
          </cell>
        </row>
        <row r="1538">
          <cell r="A1538" t="str">
            <v>SUO_200</v>
          </cell>
          <cell r="B1538" t="str">
            <v>Buea</v>
          </cell>
        </row>
        <row r="1539">
          <cell r="A1539" t="str">
            <v>LIT_727</v>
          </cell>
          <cell r="B1539" t="str">
            <v>Douala</v>
          </cell>
        </row>
        <row r="1540">
          <cell r="A1540" t="str">
            <v>SUO_116</v>
          </cell>
          <cell r="B1540" t="str">
            <v>Kumba</v>
          </cell>
        </row>
        <row r="1541">
          <cell r="A1541" t="str">
            <v>EXN_045</v>
          </cell>
          <cell r="B1541" t="str">
            <v>Maroua</v>
          </cell>
        </row>
        <row r="1542">
          <cell r="A1542" t="str">
            <v>SUO_209</v>
          </cell>
          <cell r="B1542" t="str">
            <v>Tiko</v>
          </cell>
        </row>
        <row r="1543">
          <cell r="A1543" t="str">
            <v>CTR_830</v>
          </cell>
          <cell r="B1543" t="str">
            <v>Bafia</v>
          </cell>
        </row>
        <row r="1544">
          <cell r="A1544" t="str">
            <v>OST_017</v>
          </cell>
          <cell r="B1544" t="str">
            <v>Bafou</v>
          </cell>
        </row>
        <row r="1545">
          <cell r="A1545" t="str">
            <v>NRO_130</v>
          </cell>
          <cell r="B1545" t="str">
            <v>Bamenda</v>
          </cell>
        </row>
        <row r="1546">
          <cell r="A1546" t="str">
            <v>OST_276</v>
          </cell>
          <cell r="B1546" t="str">
            <v>Bandjoun</v>
          </cell>
        </row>
        <row r="1547">
          <cell r="A1547" t="str">
            <v>CTR_067</v>
          </cell>
          <cell r="B1547" t="str">
            <v>Eseka</v>
          </cell>
        </row>
        <row r="1548">
          <cell r="A1548" t="str">
            <v>NRO_126</v>
          </cell>
          <cell r="B1548" t="str">
            <v>Bamenda</v>
          </cell>
        </row>
        <row r="1549">
          <cell r="A1549" t="str">
            <v>NRD_006</v>
          </cell>
          <cell r="B1549" t="str">
            <v>Guider</v>
          </cell>
        </row>
        <row r="1550">
          <cell r="A1550" t="str">
            <v>NRD_100</v>
          </cell>
          <cell r="B1550" t="str">
            <v>Guider</v>
          </cell>
        </row>
        <row r="1551">
          <cell r="A1551" t="str">
            <v>EXN_095</v>
          </cell>
          <cell r="B1551" t="str">
            <v>Kaele</v>
          </cell>
        </row>
        <row r="1552">
          <cell r="A1552" t="str">
            <v>EXN_050</v>
          </cell>
          <cell r="B1552" t="str">
            <v>Kay-Kay</v>
          </cell>
        </row>
        <row r="1553">
          <cell r="A1553" t="str">
            <v>OST_027</v>
          </cell>
          <cell r="B1553" t="str">
            <v>Lamape</v>
          </cell>
        </row>
        <row r="1554">
          <cell r="A1554" t="str">
            <v>SUO_188</v>
          </cell>
          <cell r="B1554" t="str">
            <v>Limbe</v>
          </cell>
        </row>
        <row r="1555">
          <cell r="A1555" t="str">
            <v>LIT_730</v>
          </cell>
          <cell r="B1555" t="str">
            <v>Douala</v>
          </cell>
        </row>
        <row r="1556">
          <cell r="A1556" t="str">
            <v>OST_275</v>
          </cell>
          <cell r="B1556" t="str">
            <v>Malanden</v>
          </cell>
        </row>
        <row r="1557">
          <cell r="A1557" t="str">
            <v>EXN_023</v>
          </cell>
          <cell r="B1557" t="str">
            <v>Meri</v>
          </cell>
        </row>
        <row r="1558">
          <cell r="A1558" t="str">
            <v>EXN_012</v>
          </cell>
          <cell r="B1558" t="str">
            <v>Mokolo</v>
          </cell>
        </row>
        <row r="1559">
          <cell r="A1559" t="str">
            <v>EXN_156</v>
          </cell>
          <cell r="B1559" t="str">
            <v>Maroua</v>
          </cell>
        </row>
        <row r="1560">
          <cell r="A1560" t="str">
            <v>NRO_120</v>
          </cell>
          <cell r="B1560" t="str">
            <v>Bamenda</v>
          </cell>
        </row>
        <row r="1561">
          <cell r="A1561" t="str">
            <v>NRO_122</v>
          </cell>
          <cell r="B1561" t="str">
            <v>Bamenda</v>
          </cell>
        </row>
        <row r="1562">
          <cell r="A1562" t="str">
            <v>CTR_832</v>
          </cell>
          <cell r="B1562" t="str">
            <v>Yaounde</v>
          </cell>
        </row>
        <row r="1563">
          <cell r="A1563" t="str">
            <v>CTR_778</v>
          </cell>
          <cell r="B1563" t="str">
            <v>Yaounde</v>
          </cell>
        </row>
        <row r="1564">
          <cell r="A1564" t="str">
            <v>LIT_767</v>
          </cell>
          <cell r="B1564" t="str">
            <v>Penja</v>
          </cell>
        </row>
        <row r="1565">
          <cell r="A1565" t="str">
            <v>LIT_731</v>
          </cell>
          <cell r="B1565" t="str">
            <v>Douala</v>
          </cell>
        </row>
        <row r="1566">
          <cell r="A1566" t="str">
            <v>ADM_016</v>
          </cell>
          <cell r="B1566" t="str">
            <v>Tchabal</v>
          </cell>
        </row>
        <row r="1567">
          <cell r="A1567" t="str">
            <v>ADM_005</v>
          </cell>
          <cell r="B1567" t="str">
            <v>Touboro</v>
          </cell>
        </row>
        <row r="1568">
          <cell r="A1568" t="str">
            <v>CTR_770</v>
          </cell>
          <cell r="B1568" t="str">
            <v>Yegeassi</v>
          </cell>
        </row>
        <row r="1569">
          <cell r="A1569" t="str">
            <v>CTR_784</v>
          </cell>
          <cell r="B1569" t="str">
            <v>Akonolinga</v>
          </cell>
        </row>
        <row r="1570">
          <cell r="A1570" t="str">
            <v>LIT_512</v>
          </cell>
          <cell r="B1570" t="str">
            <v>Apouh</v>
          </cell>
        </row>
        <row r="1571">
          <cell r="A1571" t="str">
            <v>CTR_828</v>
          </cell>
          <cell r="B1571" t="str">
            <v>Bafia</v>
          </cell>
        </row>
        <row r="1572">
          <cell r="A1572" t="str">
            <v>NRO_127</v>
          </cell>
          <cell r="B1572" t="str">
            <v>Bamenda</v>
          </cell>
        </row>
        <row r="1573">
          <cell r="A1573" t="str">
            <v>NRO_117</v>
          </cell>
          <cell r="B1573" t="str">
            <v>Bamenda</v>
          </cell>
        </row>
        <row r="1574">
          <cell r="A1574" t="str">
            <v>SUO_186</v>
          </cell>
          <cell r="B1574" t="str">
            <v>Buea</v>
          </cell>
        </row>
        <row r="1575">
          <cell r="A1575" t="str">
            <v>SUO_215</v>
          </cell>
          <cell r="B1575" t="str">
            <v>Buea</v>
          </cell>
        </row>
        <row r="1576">
          <cell r="A1576" t="str">
            <v>SUO_185</v>
          </cell>
          <cell r="B1576" t="str">
            <v>Buea</v>
          </cell>
        </row>
        <row r="1577">
          <cell r="A1577" t="str">
            <v>OST_296</v>
          </cell>
          <cell r="B1577" t="str">
            <v>Bafoussam</v>
          </cell>
        </row>
        <row r="1578">
          <cell r="A1578" t="str">
            <v>LIT_111</v>
          </cell>
          <cell r="B1578" t="str">
            <v>Kompigna</v>
          </cell>
        </row>
        <row r="1579">
          <cell r="A1579" t="str">
            <v>SUO_207</v>
          </cell>
          <cell r="B1579" t="str">
            <v>Limbe</v>
          </cell>
        </row>
        <row r="1580">
          <cell r="A1580" t="str">
            <v>LIT_356</v>
          </cell>
          <cell r="B1580" t="str">
            <v>Manengole</v>
          </cell>
        </row>
        <row r="1581">
          <cell r="A1581" t="str">
            <v>SUO_214</v>
          </cell>
          <cell r="B1581" t="str">
            <v>Moliwe</v>
          </cell>
        </row>
        <row r="1582">
          <cell r="A1582" t="str">
            <v>SUO_213</v>
          </cell>
          <cell r="B1582" t="str">
            <v>Buea</v>
          </cell>
        </row>
        <row r="1583">
          <cell r="A1583" t="str">
            <v>EXN_038</v>
          </cell>
          <cell r="B1583" t="str">
            <v>Moulvoudaye</v>
          </cell>
        </row>
        <row r="1584">
          <cell r="A1584" t="str">
            <v>SUO_210</v>
          </cell>
          <cell r="B1584" t="str">
            <v>Mutengene</v>
          </cell>
        </row>
        <row r="1585">
          <cell r="A1585" t="str">
            <v>CTR_837</v>
          </cell>
          <cell r="B1585" t="str">
            <v>Yaounde</v>
          </cell>
        </row>
        <row r="1586">
          <cell r="A1586" t="str">
            <v>LIT_735</v>
          </cell>
          <cell r="B1586" t="str">
            <v>Nkongsamba</v>
          </cell>
        </row>
        <row r="1587">
          <cell r="A1587" t="str">
            <v>CTR_836</v>
          </cell>
          <cell r="B1587" t="str">
            <v>Yaounde</v>
          </cell>
        </row>
        <row r="1588">
          <cell r="A1588" t="str">
            <v>EXN_251</v>
          </cell>
          <cell r="B1588" t="str">
            <v>Mozogo</v>
          </cell>
        </row>
        <row r="1589">
          <cell r="A1589" t="str">
            <v>EST_134</v>
          </cell>
          <cell r="B1589" t="str">
            <v>Adouma</v>
          </cell>
        </row>
        <row r="1590">
          <cell r="A1590" t="str">
            <v>CTR_394</v>
          </cell>
          <cell r="B1590" t="str">
            <v>Ambam</v>
          </cell>
        </row>
        <row r="1591">
          <cell r="A1591" t="str">
            <v>ADM_172</v>
          </cell>
          <cell r="B1591" t="str">
            <v>Ngaoundere</v>
          </cell>
        </row>
        <row r="1592">
          <cell r="A1592" t="str">
            <v>CTR_234</v>
          </cell>
          <cell r="B1592" t="str">
            <v>Boga-Mahole</v>
          </cell>
        </row>
        <row r="1593">
          <cell r="A1593" t="str">
            <v>LIT_738</v>
          </cell>
          <cell r="B1593" t="str">
            <v>Douala</v>
          </cell>
        </row>
        <row r="1594">
          <cell r="A1594" t="str">
            <v>SUD_014</v>
          </cell>
          <cell r="B1594" t="str">
            <v>Djoum</v>
          </cell>
        </row>
        <row r="1595">
          <cell r="A1595" t="str">
            <v>SUD_215</v>
          </cell>
          <cell r="B1595" t="str">
            <v>Fifinda</v>
          </cell>
        </row>
        <row r="1596">
          <cell r="A1596" t="str">
            <v>SUO_036</v>
          </cell>
          <cell r="B1596" t="str">
            <v>Idenau</v>
          </cell>
        </row>
        <row r="1597">
          <cell r="A1597" t="str">
            <v>LIT_733</v>
          </cell>
          <cell r="B1597" t="str">
            <v>Douala</v>
          </cell>
        </row>
        <row r="1598">
          <cell r="A1598" t="str">
            <v>SUO_187</v>
          </cell>
          <cell r="B1598" t="str">
            <v>Limbe</v>
          </cell>
        </row>
        <row r="1599">
          <cell r="A1599" t="str">
            <v>LIT_737</v>
          </cell>
          <cell r="B1599" t="str">
            <v>Douala</v>
          </cell>
        </row>
        <row r="1600">
          <cell r="A1600" t="str">
            <v>LIT_593</v>
          </cell>
          <cell r="B1600" t="str">
            <v>Loum</v>
          </cell>
        </row>
        <row r="1601">
          <cell r="A1601" t="str">
            <v>ADM_092</v>
          </cell>
          <cell r="B1601" t="str">
            <v>Mbe</v>
          </cell>
        </row>
        <row r="1602">
          <cell r="A1602" t="str">
            <v>OST_297</v>
          </cell>
          <cell r="B1602" t="str">
            <v>Mbouda</v>
          </cell>
        </row>
        <row r="1603">
          <cell r="A1603" t="str">
            <v>SUD_021</v>
          </cell>
          <cell r="B1603" t="str">
            <v>Mpoloungoue</v>
          </cell>
        </row>
        <row r="1604">
          <cell r="A1604" t="str">
            <v>SUO_149</v>
          </cell>
          <cell r="B1604" t="str">
            <v>Mutengene</v>
          </cell>
        </row>
        <row r="1605">
          <cell r="A1605" t="str">
            <v>CTR_544</v>
          </cell>
          <cell r="B1605" t="str">
            <v>Ndikinimeki</v>
          </cell>
        </row>
        <row r="1606">
          <cell r="A1606" t="str">
            <v>CTR_115</v>
          </cell>
          <cell r="B1606" t="str">
            <v>Ngoung</v>
          </cell>
        </row>
        <row r="1607">
          <cell r="A1607" t="str">
            <v>CTR_114</v>
          </cell>
          <cell r="B1607" t="str">
            <v>Ntui</v>
          </cell>
        </row>
        <row r="1608">
          <cell r="A1608" t="str">
            <v>CTR_192</v>
          </cell>
          <cell r="B1608" t="str">
            <v>Saa</v>
          </cell>
        </row>
        <row r="1609">
          <cell r="A1609" t="str">
            <v>LIT_742</v>
          </cell>
          <cell r="B1609" t="str">
            <v>Douala</v>
          </cell>
        </row>
        <row r="1610">
          <cell r="A1610" t="str">
            <v>NRD_008</v>
          </cell>
          <cell r="B1610" t="str">
            <v>Tchollire</v>
          </cell>
        </row>
        <row r="1611">
          <cell r="A1611" t="str">
            <v>SUO_127</v>
          </cell>
          <cell r="B1611" t="str">
            <v>Wotutu</v>
          </cell>
        </row>
        <row r="1612">
          <cell r="A1612" t="str">
            <v>NRO_131</v>
          </cell>
          <cell r="B1612" t="str">
            <v>Bamenda</v>
          </cell>
        </row>
        <row r="1613">
          <cell r="A1613" t="str">
            <v>OST_298</v>
          </cell>
          <cell r="B1613" t="str">
            <v>Bamendjou</v>
          </cell>
        </row>
        <row r="1614">
          <cell r="A1614" t="str">
            <v>OST_090</v>
          </cell>
          <cell r="B1614" t="str">
            <v>Bangourain</v>
          </cell>
        </row>
        <row r="1615">
          <cell r="A1615" t="str">
            <v>LIT_591</v>
          </cell>
          <cell r="B1615" t="str">
            <v>Dehane</v>
          </cell>
        </row>
        <row r="1616">
          <cell r="A1616" t="str">
            <v>NRO_123</v>
          </cell>
          <cell r="B1616" t="str">
            <v>Bamenda</v>
          </cell>
        </row>
        <row r="1617">
          <cell r="A1617" t="str">
            <v>EXN_048</v>
          </cell>
          <cell r="B1617" t="str">
            <v>Gobo</v>
          </cell>
        </row>
        <row r="1618">
          <cell r="A1618" t="str">
            <v>OST_146</v>
          </cell>
          <cell r="B1618" t="str">
            <v>Kamkop</v>
          </cell>
        </row>
        <row r="1619">
          <cell r="A1619" t="str">
            <v>OST_058</v>
          </cell>
          <cell r="B1619" t="str">
            <v>Kouoptamo</v>
          </cell>
        </row>
        <row r="1620">
          <cell r="A1620" t="str">
            <v>SUO_218</v>
          </cell>
          <cell r="B1620" t="str">
            <v>Kumba</v>
          </cell>
        </row>
        <row r="1621">
          <cell r="A1621" t="str">
            <v>SUO_216</v>
          </cell>
          <cell r="B1621" t="str">
            <v>Kumba</v>
          </cell>
        </row>
        <row r="1622">
          <cell r="A1622" t="str">
            <v>SUO_219</v>
          </cell>
          <cell r="B1622" t="str">
            <v>Limbe</v>
          </cell>
        </row>
        <row r="1623">
          <cell r="A1623" t="str">
            <v>CTR_831</v>
          </cell>
          <cell r="B1623" t="str">
            <v>Yaounde</v>
          </cell>
        </row>
        <row r="1624">
          <cell r="A1624" t="str">
            <v>LIT_736</v>
          </cell>
          <cell r="B1624" t="str">
            <v>Douala</v>
          </cell>
        </row>
        <row r="1625">
          <cell r="A1625" t="str">
            <v>ADM_171</v>
          </cell>
          <cell r="B1625" t="str">
            <v>Meiganga</v>
          </cell>
        </row>
        <row r="1626">
          <cell r="A1626" t="str">
            <v>SUO_005</v>
          </cell>
          <cell r="B1626" t="str">
            <v>Mutengene</v>
          </cell>
        </row>
        <row r="1627">
          <cell r="A1627" t="str">
            <v>OST_031</v>
          </cell>
          <cell r="B1627" t="str">
            <v>Ngambe-Tikar</v>
          </cell>
        </row>
        <row r="1628">
          <cell r="A1628" t="str">
            <v>CTR_776</v>
          </cell>
          <cell r="B1628" t="str">
            <v>Yaounde</v>
          </cell>
        </row>
        <row r="1629">
          <cell r="A1629" t="str">
            <v>CTR_551</v>
          </cell>
          <cell r="B1629" t="str">
            <v>Yaounde</v>
          </cell>
        </row>
        <row r="1630">
          <cell r="A1630" t="str">
            <v>SUD_004</v>
          </cell>
          <cell r="B1630" t="str">
            <v>Pama</v>
          </cell>
        </row>
        <row r="1631">
          <cell r="A1631" t="str">
            <v>CTR_829</v>
          </cell>
          <cell r="B1631" t="str">
            <v>Saa</v>
          </cell>
        </row>
        <row r="1632">
          <cell r="A1632" t="str">
            <v>SUD_103</v>
          </cell>
          <cell r="B1632" t="str">
            <v>Sangmelima</v>
          </cell>
        </row>
        <row r="1633">
          <cell r="A1633" t="str">
            <v>NRO_124</v>
          </cell>
          <cell r="B1633" t="str">
            <v>Bamenda</v>
          </cell>
        </row>
        <row r="1634">
          <cell r="A1634" t="str">
            <v>SUO_195</v>
          </cell>
          <cell r="B1634" t="str">
            <v>Buea</v>
          </cell>
        </row>
        <row r="1635">
          <cell r="A1635" t="str">
            <v>OST_290</v>
          </cell>
          <cell r="B1635" t="str">
            <v>Batsaa</v>
          </cell>
        </row>
        <row r="1636">
          <cell r="A1636" t="str">
            <v>SUO_132</v>
          </cell>
          <cell r="B1636" t="str">
            <v>Bonakanda</v>
          </cell>
        </row>
        <row r="1637">
          <cell r="A1637" t="str">
            <v>CTR_774</v>
          </cell>
          <cell r="B1637" t="str">
            <v>Yaounde</v>
          </cell>
        </row>
        <row r="1638">
          <cell r="A1638" t="str">
            <v>CTR_821</v>
          </cell>
          <cell r="B1638" t="str">
            <v>Yaounde</v>
          </cell>
        </row>
        <row r="1639">
          <cell r="A1639" t="str">
            <v>NRD_091</v>
          </cell>
          <cell r="B1639" t="str">
            <v>Gor</v>
          </cell>
        </row>
        <row r="1640">
          <cell r="A1640" t="str">
            <v>SUO_217</v>
          </cell>
          <cell r="B1640" t="str">
            <v>Kumba</v>
          </cell>
        </row>
        <row r="1641">
          <cell r="A1641" t="str">
            <v>SUD_214</v>
          </cell>
          <cell r="B1641" t="str">
            <v>Mbongouen</v>
          </cell>
        </row>
        <row r="1642">
          <cell r="A1642" t="str">
            <v>NRD_023</v>
          </cell>
          <cell r="B1642" t="str">
            <v>Rey-bouba</v>
          </cell>
        </row>
        <row r="1643">
          <cell r="A1643" t="str">
            <v>LIT_729</v>
          </cell>
          <cell r="B1643" t="str">
            <v>Douala</v>
          </cell>
        </row>
        <row r="1644">
          <cell r="A1644" t="str">
            <v>OST_299</v>
          </cell>
          <cell r="B1644" t="str">
            <v>Bansoa</v>
          </cell>
        </row>
        <row r="1645">
          <cell r="A1645" t="str">
            <v>EST_139</v>
          </cell>
          <cell r="B1645" t="str">
            <v>Batouri</v>
          </cell>
        </row>
        <row r="1646">
          <cell r="A1646" t="str">
            <v>CTR_841</v>
          </cell>
          <cell r="B1646" t="str">
            <v>Yaounde</v>
          </cell>
        </row>
        <row r="1647">
          <cell r="A1647" t="str">
            <v>LIT_746</v>
          </cell>
          <cell r="B1647" t="str">
            <v>Douala</v>
          </cell>
        </row>
        <row r="1648">
          <cell r="A1648" t="str">
            <v>CTR_134</v>
          </cell>
          <cell r="B1648" t="str">
            <v>Esse</v>
          </cell>
        </row>
        <row r="1649">
          <cell r="A1649" t="str">
            <v>SUO_223</v>
          </cell>
          <cell r="B1649" t="str">
            <v>Buea</v>
          </cell>
        </row>
        <row r="1650">
          <cell r="A1650" t="str">
            <v>EST_054</v>
          </cell>
          <cell r="B1650" t="str">
            <v>Ndokayo</v>
          </cell>
        </row>
        <row r="1651">
          <cell r="A1651" t="str">
            <v>CTR_780</v>
          </cell>
          <cell r="B1651" t="str">
            <v>Nkolafamba</v>
          </cell>
        </row>
        <row r="1652">
          <cell r="A1652" t="str">
            <v>EXN_153</v>
          </cell>
          <cell r="B1652" t="str">
            <v>Salak</v>
          </cell>
        </row>
        <row r="1653">
          <cell r="A1653" t="str">
            <v>LIT_705</v>
          </cell>
          <cell r="B1653" t="str">
            <v>Douala</v>
          </cell>
        </row>
        <row r="1654">
          <cell r="A1654" t="str">
            <v>NRO_129</v>
          </cell>
          <cell r="B1654" t="str">
            <v>Bambili</v>
          </cell>
        </row>
        <row r="1655">
          <cell r="A1655" t="str">
            <v>LIT_700</v>
          </cell>
          <cell r="B1655" t="str">
            <v>Douala</v>
          </cell>
        </row>
        <row r="1656">
          <cell r="A1656" t="str">
            <v>LIT_718</v>
          </cell>
          <cell r="B1656" t="str">
            <v>Douala</v>
          </cell>
        </row>
        <row r="1657">
          <cell r="A1657" t="str">
            <v>SUO_222</v>
          </cell>
          <cell r="B1657" t="str">
            <v>Buéa</v>
          </cell>
        </row>
        <row r="1658">
          <cell r="A1658" t="str">
            <v>EST_144</v>
          </cell>
          <cell r="B1658" t="str">
            <v>Garoua-Boulai</v>
          </cell>
        </row>
        <row r="1659">
          <cell r="A1659" t="str">
            <v>NRD_178</v>
          </cell>
          <cell r="B1659" t="str">
            <v>Guider</v>
          </cell>
        </row>
        <row r="1660">
          <cell r="A1660" t="str">
            <v>EXN_168</v>
          </cell>
          <cell r="B1660" t="str">
            <v>Kingui</v>
          </cell>
        </row>
        <row r="1661">
          <cell r="A1661" t="str">
            <v>SUD_105</v>
          </cell>
          <cell r="B1661" t="str">
            <v>Mbomela</v>
          </cell>
        </row>
        <row r="1662">
          <cell r="A1662" t="str">
            <v>LIT_732</v>
          </cell>
          <cell r="B1662" t="str">
            <v>Douala</v>
          </cell>
        </row>
        <row r="1663">
          <cell r="A1663" t="str">
            <v>NRD_164</v>
          </cell>
          <cell r="B1663" t="str">
            <v>Padarme</v>
          </cell>
        </row>
        <row r="1664">
          <cell r="A1664" t="str">
            <v>SUO_221</v>
          </cell>
          <cell r="B1664" t="str">
            <v>Buea</v>
          </cell>
        </row>
        <row r="1665">
          <cell r="A1665" t="str">
            <v>SUO_230</v>
          </cell>
          <cell r="B1665" t="str">
            <v>Kumba</v>
          </cell>
        </row>
        <row r="1666">
          <cell r="A1666" t="str">
            <v>SUO_231</v>
          </cell>
          <cell r="B1666" t="str">
            <v>Kumba</v>
          </cell>
        </row>
        <row r="1667">
          <cell r="A1667" t="str">
            <v>SUO_224</v>
          </cell>
          <cell r="B1667" t="str">
            <v>Limbe</v>
          </cell>
        </row>
        <row r="1668">
          <cell r="A1668" t="str">
            <v>EXN_020</v>
          </cell>
          <cell r="B1668" t="str">
            <v>Makary</v>
          </cell>
        </row>
        <row r="1669">
          <cell r="A1669" t="str">
            <v>LIT_740</v>
          </cell>
          <cell r="B1669" t="str">
            <v>Douala</v>
          </cell>
        </row>
        <row r="1670">
          <cell r="A1670" t="str">
            <v>SUO_220</v>
          </cell>
          <cell r="B1670" t="str">
            <v>Buea</v>
          </cell>
        </row>
        <row r="1671">
          <cell r="A1671" t="str">
            <v>SUO_028</v>
          </cell>
          <cell r="B1671" t="str">
            <v>Ndom</v>
          </cell>
        </row>
        <row r="1672">
          <cell r="A1672" t="str">
            <v>CTR_826</v>
          </cell>
          <cell r="B1672" t="str">
            <v>Ntui</v>
          </cell>
        </row>
        <row r="1673">
          <cell r="A1673" t="str">
            <v>EXN_189</v>
          </cell>
          <cell r="B1673" t="str">
            <v>Pouss</v>
          </cell>
        </row>
        <row r="1674">
          <cell r="A1674" t="str">
            <v>LIT_741</v>
          </cell>
          <cell r="B1674" t="str">
            <v>Douala</v>
          </cell>
        </row>
        <row r="1675">
          <cell r="A1675" t="str">
            <v>CTR_838</v>
          </cell>
          <cell r="B1675" t="str">
            <v>Yaounde</v>
          </cell>
        </row>
        <row r="1676">
          <cell r="A1676" t="str">
            <v>LIT_748</v>
          </cell>
          <cell r="B1676" t="str">
            <v>Douala</v>
          </cell>
        </row>
        <row r="1677">
          <cell r="A1677" t="str">
            <v>OST_303</v>
          </cell>
          <cell r="B1677" t="str">
            <v>Badoumguia</v>
          </cell>
        </row>
        <row r="1678">
          <cell r="A1678" t="str">
            <v>OST_282</v>
          </cell>
          <cell r="B1678" t="str">
            <v>Bafang</v>
          </cell>
        </row>
        <row r="1679">
          <cell r="A1679" t="str">
            <v>LIT_753</v>
          </cell>
          <cell r="B1679" t="str">
            <v>Douala</v>
          </cell>
        </row>
        <row r="1680">
          <cell r="A1680" t="str">
            <v>LIT_749</v>
          </cell>
          <cell r="B1680" t="str">
            <v>Edea</v>
          </cell>
        </row>
        <row r="1681">
          <cell r="A1681" t="str">
            <v>LIT_725</v>
          </cell>
          <cell r="B1681" t="str">
            <v>Douala</v>
          </cell>
        </row>
        <row r="1682">
          <cell r="A1682" t="str">
            <v>LIT_750</v>
          </cell>
          <cell r="B1682" t="str">
            <v>Missole</v>
          </cell>
        </row>
        <row r="1683">
          <cell r="A1683" t="str">
            <v>SUO_202</v>
          </cell>
          <cell r="B1683" t="str">
            <v>Buea</v>
          </cell>
        </row>
        <row r="1684">
          <cell r="A1684" t="str">
            <v>SUO_225</v>
          </cell>
          <cell r="B1684" t="str">
            <v>Mutengene</v>
          </cell>
        </row>
        <row r="1685">
          <cell r="A1685" t="str">
            <v>LIT_751</v>
          </cell>
          <cell r="B1685" t="str">
            <v>Douala</v>
          </cell>
        </row>
        <row r="1686">
          <cell r="A1686" t="str">
            <v>NRD_183</v>
          </cell>
          <cell r="B1686" t="str">
            <v>Pitoa</v>
          </cell>
        </row>
        <row r="1687">
          <cell r="A1687" t="str">
            <v>NRD_028</v>
          </cell>
          <cell r="B1687" t="str">
            <v>Ribao</v>
          </cell>
        </row>
        <row r="1688">
          <cell r="A1688" t="str">
            <v>SUD_020</v>
          </cell>
          <cell r="B1688" t="str">
            <v>Ambam</v>
          </cell>
        </row>
        <row r="1689">
          <cell r="A1689" t="str">
            <v>NRD_026</v>
          </cell>
          <cell r="B1689" t="str">
            <v>Badjouma</v>
          </cell>
        </row>
        <row r="1690">
          <cell r="A1690" t="str">
            <v>ADM_174</v>
          </cell>
          <cell r="B1690" t="str">
            <v>Banyo</v>
          </cell>
        </row>
        <row r="1691">
          <cell r="A1691" t="str">
            <v>OST_306</v>
          </cell>
          <cell r="B1691" t="str">
            <v>Bafoussam</v>
          </cell>
        </row>
        <row r="1692">
          <cell r="A1692" t="str">
            <v>EXN_047</v>
          </cell>
          <cell r="B1692" t="str">
            <v>Hina</v>
          </cell>
        </row>
        <row r="1693">
          <cell r="A1693" t="str">
            <v>EXN_022</v>
          </cell>
          <cell r="B1693" t="str">
            <v>Kar-Hay</v>
          </cell>
        </row>
        <row r="1694">
          <cell r="A1694" t="str">
            <v>LIT_713</v>
          </cell>
          <cell r="B1694" t="str">
            <v>Douala</v>
          </cell>
        </row>
        <row r="1695">
          <cell r="A1695" t="str">
            <v>LIT_712</v>
          </cell>
          <cell r="B1695" t="str">
            <v>Douala</v>
          </cell>
        </row>
        <row r="1696">
          <cell r="A1696" t="str">
            <v>CTR_824</v>
          </cell>
          <cell r="B1696" t="str">
            <v>Yaounde</v>
          </cell>
        </row>
        <row r="1697">
          <cell r="A1697" t="str">
            <v>CTR_846</v>
          </cell>
          <cell r="B1697" t="str">
            <v>Yaounde</v>
          </cell>
        </row>
        <row r="1698">
          <cell r="A1698" t="str">
            <v>CTR_098</v>
          </cell>
          <cell r="B1698" t="str">
            <v>Ngoumou</v>
          </cell>
        </row>
        <row r="1699">
          <cell r="A1699" t="str">
            <v>CTR_848</v>
          </cell>
          <cell r="B1699" t="str">
            <v>Yaounde</v>
          </cell>
        </row>
        <row r="1700">
          <cell r="A1700" t="str">
            <v>CTR_825</v>
          </cell>
          <cell r="B1700" t="str">
            <v>Nkometou</v>
          </cell>
        </row>
        <row r="1701">
          <cell r="A1701" t="str">
            <v>LIT_728</v>
          </cell>
          <cell r="B1701" t="str">
            <v>Douala</v>
          </cell>
        </row>
        <row r="1702">
          <cell r="A1702" t="str">
            <v>ADM_011</v>
          </cell>
          <cell r="B1702" t="str">
            <v>Tignere</v>
          </cell>
        </row>
        <row r="1703">
          <cell r="A1703" t="str">
            <v>OST_291</v>
          </cell>
          <cell r="B1703" t="str">
            <v>Bafoussam</v>
          </cell>
        </row>
        <row r="1704">
          <cell r="A1704" t="str">
            <v>CTR_794</v>
          </cell>
          <cell r="B1704" t="str">
            <v>Yaounde</v>
          </cell>
        </row>
        <row r="1705">
          <cell r="A1705" t="str">
            <v>EXN_074</v>
          </cell>
          <cell r="B1705" t="str">
            <v>Dziguilao</v>
          </cell>
        </row>
        <row r="1706">
          <cell r="A1706" t="str">
            <v>CTR_773</v>
          </cell>
          <cell r="B1706" t="str">
            <v>Yaounde</v>
          </cell>
        </row>
        <row r="1707">
          <cell r="A1707" t="str">
            <v>EXN_013</v>
          </cell>
          <cell r="B1707" t="str">
            <v>Fotokol</v>
          </cell>
        </row>
        <row r="1708">
          <cell r="A1708" t="str">
            <v>CTR_849</v>
          </cell>
          <cell r="B1708" t="str">
            <v>Yaounde</v>
          </cell>
        </row>
        <row r="1709">
          <cell r="A1709" t="str">
            <v>NRD_135</v>
          </cell>
          <cell r="B1709" t="str">
            <v>Maga</v>
          </cell>
        </row>
        <row r="1710">
          <cell r="A1710" t="str">
            <v>CTR_861</v>
          </cell>
          <cell r="B1710" t="str">
            <v>Yaounde</v>
          </cell>
        </row>
        <row r="1711">
          <cell r="A1711" t="str">
            <v>EXN_015</v>
          </cell>
          <cell r="B1711" t="str">
            <v>Tokombere</v>
          </cell>
        </row>
        <row r="1712">
          <cell r="A1712" t="str">
            <v>CTR_851</v>
          </cell>
          <cell r="B1712" t="str">
            <v>Yaounde</v>
          </cell>
        </row>
        <row r="1713">
          <cell r="A1713" t="str">
            <v>NRD_021</v>
          </cell>
          <cell r="B1713" t="str">
            <v>Bibemi</v>
          </cell>
        </row>
        <row r="1714">
          <cell r="A1714" t="str">
            <v>CTR_850</v>
          </cell>
          <cell r="B1714" t="str">
            <v>Yaounde</v>
          </cell>
        </row>
        <row r="1715">
          <cell r="A1715" t="str">
            <v>LIT_756</v>
          </cell>
          <cell r="B1715" t="str">
            <v>Douala</v>
          </cell>
        </row>
        <row r="1716">
          <cell r="A1716" t="str">
            <v>SUO_226</v>
          </cell>
          <cell r="B1716" t="str">
            <v>Buea</v>
          </cell>
        </row>
        <row r="1717">
          <cell r="A1717" t="str">
            <v>EXN_259</v>
          </cell>
          <cell r="B1717" t="str">
            <v>Fotokol</v>
          </cell>
        </row>
        <row r="1718">
          <cell r="A1718" t="str">
            <v>CTR_869</v>
          </cell>
          <cell r="B1718" t="str">
            <v>Monatele</v>
          </cell>
        </row>
        <row r="1719">
          <cell r="A1719" t="str">
            <v>EXN_258</v>
          </cell>
          <cell r="B1719" t="str">
            <v>Mora</v>
          </cell>
        </row>
        <row r="1720">
          <cell r="A1720" t="str">
            <v>ADM_010</v>
          </cell>
          <cell r="B1720" t="str">
            <v>Ngaoundal</v>
          </cell>
        </row>
        <row r="1721">
          <cell r="A1721" t="str">
            <v>CTR_791</v>
          </cell>
          <cell r="B1721" t="str">
            <v>Yaounde</v>
          </cell>
        </row>
        <row r="1722">
          <cell r="A1722" t="str">
            <v>NRD_115</v>
          </cell>
          <cell r="B1722" t="str">
            <v>Gara-Guider</v>
          </cell>
        </row>
        <row r="1723">
          <cell r="A1723" t="str">
            <v>NRD_186</v>
          </cell>
          <cell r="B1723" t="str">
            <v>Garoua</v>
          </cell>
        </row>
        <row r="1724">
          <cell r="A1724" t="str">
            <v>EXN_246</v>
          </cell>
          <cell r="B1724" t="str">
            <v>Kousseri</v>
          </cell>
        </row>
        <row r="1725">
          <cell r="A1725" t="str">
            <v>LIT_752</v>
          </cell>
          <cell r="B1725" t="str">
            <v>Douala</v>
          </cell>
        </row>
        <row r="1726">
          <cell r="A1726" t="str">
            <v>CTR_777</v>
          </cell>
          <cell r="B1726" t="str">
            <v>Yaounde</v>
          </cell>
        </row>
        <row r="1727">
          <cell r="A1727" t="str">
            <v>SUD_244</v>
          </cell>
          <cell r="B1727" t="str">
            <v>Avobengon</v>
          </cell>
        </row>
        <row r="1728">
          <cell r="A1728" t="str">
            <v>CTR_526</v>
          </cell>
          <cell r="B1728" t="str">
            <v>Yaounde</v>
          </cell>
        </row>
        <row r="1729">
          <cell r="A1729" t="str">
            <v>OST_307</v>
          </cell>
          <cell r="B1729" t="str">
            <v>Bafoussam</v>
          </cell>
        </row>
        <row r="1730">
          <cell r="A1730" t="str">
            <v>EST_147</v>
          </cell>
          <cell r="B1730" t="str">
            <v>Gadji</v>
          </cell>
        </row>
        <row r="1731">
          <cell r="A1731" t="str">
            <v>SUO_227</v>
          </cell>
          <cell r="B1731" t="str">
            <v>Limbe</v>
          </cell>
        </row>
        <row r="1732">
          <cell r="A1732" t="str">
            <v>CTR_866</v>
          </cell>
          <cell r="B1732" t="str">
            <v>Yaounde</v>
          </cell>
        </row>
        <row r="1733">
          <cell r="A1733" t="str">
            <v>LIT_757</v>
          </cell>
          <cell r="B1733" t="str">
            <v>Douala</v>
          </cell>
        </row>
        <row r="1734">
          <cell r="A1734" t="str">
            <v>CTR_835</v>
          </cell>
          <cell r="B1734" t="str">
            <v>Elat</v>
          </cell>
        </row>
        <row r="1735">
          <cell r="A1735" t="str">
            <v>CTR_822</v>
          </cell>
          <cell r="B1735" t="str">
            <v>Ebebda</v>
          </cell>
        </row>
        <row r="1736">
          <cell r="A1736" t="str">
            <v>CTR_795</v>
          </cell>
          <cell r="B1736" t="str">
            <v>Edzendouan</v>
          </cell>
        </row>
        <row r="1737">
          <cell r="A1737" t="str">
            <v>SUD_107</v>
          </cell>
          <cell r="B1737" t="str">
            <v>Eminevom</v>
          </cell>
        </row>
        <row r="1738">
          <cell r="A1738" t="str">
            <v>CTR_882</v>
          </cell>
          <cell r="B1738" t="str">
            <v>Yaounde</v>
          </cell>
        </row>
        <row r="1739">
          <cell r="A1739" t="str">
            <v>CTR_823</v>
          </cell>
          <cell r="B1739" t="str">
            <v>Koundou</v>
          </cell>
        </row>
        <row r="1740">
          <cell r="A1740" t="str">
            <v>CTR_875</v>
          </cell>
          <cell r="B1740" t="str">
            <v>Ebolmadzom</v>
          </cell>
        </row>
        <row r="1741">
          <cell r="A1741" t="str">
            <v>CTR_865</v>
          </cell>
          <cell r="B1741" t="str">
            <v>Yaounde</v>
          </cell>
        </row>
        <row r="1742">
          <cell r="A1742" t="str">
            <v>SUO_171</v>
          </cell>
          <cell r="B1742" t="str">
            <v>Limbé</v>
          </cell>
        </row>
        <row r="1743">
          <cell r="A1743" t="str">
            <v>LIT_758</v>
          </cell>
          <cell r="B1743" t="str">
            <v>Douala</v>
          </cell>
        </row>
        <row r="1744">
          <cell r="A1744" t="str">
            <v>NRD_188</v>
          </cell>
          <cell r="B1744" t="str">
            <v>Garoua</v>
          </cell>
        </row>
        <row r="1745">
          <cell r="A1745" t="str">
            <v>ADM_176</v>
          </cell>
          <cell r="B1745" t="str">
            <v>Ngaoundéré</v>
          </cell>
        </row>
        <row r="1746">
          <cell r="A1746" t="str">
            <v>CTR_870</v>
          </cell>
          <cell r="B1746" t="str">
            <v>Mengue Bibey</v>
          </cell>
        </row>
        <row r="1747">
          <cell r="A1747" t="str">
            <v>CTR_872</v>
          </cell>
          <cell r="B1747" t="str">
            <v>Abom</v>
          </cell>
        </row>
        <row r="1748">
          <cell r="A1748" t="str">
            <v>CTR_867</v>
          </cell>
          <cell r="B1748" t="str">
            <v>Ebogo</v>
          </cell>
        </row>
        <row r="1749">
          <cell r="A1749" t="str">
            <v>LIT_763</v>
          </cell>
          <cell r="B1749" t="str">
            <v>Douala</v>
          </cell>
        </row>
        <row r="1750">
          <cell r="A1750" t="str">
            <v>SUD_112</v>
          </cell>
          <cell r="B1750" t="str">
            <v>Akom</v>
          </cell>
        </row>
        <row r="1751">
          <cell r="A1751" t="str">
            <v>CTR_881</v>
          </cell>
          <cell r="B1751" t="str">
            <v>Yaounde</v>
          </cell>
        </row>
        <row r="1752">
          <cell r="A1752" t="str">
            <v>CTR_874</v>
          </cell>
          <cell r="B1752" t="str">
            <v>Yaounde</v>
          </cell>
        </row>
        <row r="1753">
          <cell r="A1753" t="str">
            <v>LIT_761</v>
          </cell>
          <cell r="B1753" t="str">
            <v>Douala</v>
          </cell>
        </row>
        <row r="1754">
          <cell r="A1754" t="str">
            <v>NRO_019</v>
          </cell>
          <cell r="B1754" t="str">
            <v>Jakiri</v>
          </cell>
        </row>
        <row r="1755">
          <cell r="A1755" t="str">
            <v>LIT_319</v>
          </cell>
          <cell r="B1755" t="str">
            <v>Botko</v>
          </cell>
        </row>
        <row r="1756">
          <cell r="A1756" t="str">
            <v>SUO_052</v>
          </cell>
          <cell r="B1756" t="str">
            <v>Kumba</v>
          </cell>
        </row>
        <row r="1757">
          <cell r="A1757" t="str">
            <v>SUO_054</v>
          </cell>
          <cell r="B1757" t="str">
            <v>Kumba</v>
          </cell>
        </row>
        <row r="1758">
          <cell r="A1758" t="str">
            <v>SUO_125</v>
          </cell>
          <cell r="B1758" t="str">
            <v>Kumba</v>
          </cell>
        </row>
        <row r="1759">
          <cell r="A1759" t="str">
            <v>SUO_108</v>
          </cell>
          <cell r="B1759" t="str">
            <v>Kumba</v>
          </cell>
        </row>
        <row r="1760">
          <cell r="A1760" t="str">
            <v>SUO_027</v>
          </cell>
          <cell r="B1760" t="str">
            <v>Kumba</v>
          </cell>
        </row>
        <row r="1761">
          <cell r="A1761" t="str">
            <v>SUO_112</v>
          </cell>
          <cell r="B1761" t="str">
            <v>Kumba</v>
          </cell>
        </row>
        <row r="1762">
          <cell r="A1762" t="str">
            <v>NRO_134</v>
          </cell>
          <cell r="B1762" t="str">
            <v>Buea</v>
          </cell>
        </row>
        <row r="1763">
          <cell r="A1763" t="str">
            <v>NRO_142</v>
          </cell>
          <cell r="B1763" t="str">
            <v>Buea</v>
          </cell>
        </row>
        <row r="1764">
          <cell r="A1764" t="str">
            <v>SUO_079</v>
          </cell>
          <cell r="B1764" t="str">
            <v>Mile14</v>
          </cell>
        </row>
        <row r="1765">
          <cell r="A1765" t="str">
            <v>SUO_242</v>
          </cell>
          <cell r="B1765" t="str">
            <v>Buea</v>
          </cell>
        </row>
        <row r="1766">
          <cell r="A1766" t="str">
            <v>SUO_243</v>
          </cell>
          <cell r="B1766" t="str">
            <v>Buea</v>
          </cell>
        </row>
        <row r="1767">
          <cell r="A1767" t="str">
            <v>SUO_237</v>
          </cell>
          <cell r="B1767" t="str">
            <v>Kumba</v>
          </cell>
        </row>
        <row r="1768">
          <cell r="A1768" t="str">
            <v>CTR_879</v>
          </cell>
          <cell r="B1768" t="str">
            <v>Baaba</v>
          </cell>
        </row>
        <row r="1769">
          <cell r="A1769" t="str">
            <v>LIT_778</v>
          </cell>
          <cell r="B1769" t="str">
            <v>Douala</v>
          </cell>
        </row>
        <row r="1770">
          <cell r="A1770" t="str">
            <v>SUO_115</v>
          </cell>
          <cell r="B1770" t="str">
            <v>Kumba</v>
          </cell>
        </row>
        <row r="1771">
          <cell r="A1771" t="str">
            <v>NRO_133</v>
          </cell>
          <cell r="B1771" t="str">
            <v>Bamenda</v>
          </cell>
        </row>
        <row r="1772">
          <cell r="A1772" t="str">
            <v>NRO_136</v>
          </cell>
          <cell r="B1772" t="str">
            <v>Ndop</v>
          </cell>
        </row>
        <row r="1773">
          <cell r="A1773" t="str">
            <v>NRO_137</v>
          </cell>
          <cell r="B1773" t="str">
            <v>Ndop</v>
          </cell>
        </row>
        <row r="1774">
          <cell r="A1774" t="str">
            <v>SUO_038</v>
          </cell>
          <cell r="B1774" t="str">
            <v>Buea</v>
          </cell>
        </row>
        <row r="1775">
          <cell r="A1775" t="str">
            <v>SUD_108</v>
          </cell>
          <cell r="B1775" t="str">
            <v>Ekombitié</v>
          </cell>
        </row>
        <row r="1776">
          <cell r="A1776" t="str">
            <v>SUD_126</v>
          </cell>
          <cell r="B1776" t="str">
            <v>Minton</v>
          </cell>
        </row>
        <row r="1777">
          <cell r="A1777" t="str">
            <v>SUO_238</v>
          </cell>
          <cell r="B1777" t="str">
            <v>Kumba</v>
          </cell>
        </row>
        <row r="1778">
          <cell r="A1778" t="str">
            <v>SUO_110</v>
          </cell>
          <cell r="B1778" t="str">
            <v>Kumba</v>
          </cell>
        </row>
        <row r="1779">
          <cell r="A1779" t="str">
            <v>EST_062</v>
          </cell>
          <cell r="B1779" t="str">
            <v>Motcheboum</v>
          </cell>
        </row>
        <row r="1780">
          <cell r="A1780" t="str">
            <v>CTR_407</v>
          </cell>
          <cell r="B1780" t="str">
            <v>Meba</v>
          </cell>
        </row>
        <row r="1781">
          <cell r="A1781" t="str">
            <v>CTR_143</v>
          </cell>
          <cell r="B1781" t="str">
            <v>Enganme</v>
          </cell>
        </row>
        <row r="1782">
          <cell r="A1782" t="str">
            <v>CTR_141</v>
          </cell>
          <cell r="B1782" t="str">
            <v>Ndandouck</v>
          </cell>
        </row>
        <row r="1783">
          <cell r="A1783" t="str">
            <v>EST_089</v>
          </cell>
          <cell r="B1783" t="str">
            <v>Badongoue</v>
          </cell>
        </row>
        <row r="1784">
          <cell r="A1784" t="str">
            <v>EST_029</v>
          </cell>
          <cell r="B1784" t="str">
            <v>Bigoens</v>
          </cell>
        </row>
        <row r="1785">
          <cell r="A1785" t="str">
            <v>CTR_358</v>
          </cell>
          <cell r="B1785" t="str">
            <v>Angongo</v>
          </cell>
        </row>
        <row r="1786">
          <cell r="A1786" t="str">
            <v>CTR_092</v>
          </cell>
          <cell r="B1786" t="str">
            <v>Boutourou</v>
          </cell>
        </row>
        <row r="1787">
          <cell r="A1787" t="str">
            <v>CTR_054</v>
          </cell>
          <cell r="B1787" t="str">
            <v>Ndoussan</v>
          </cell>
        </row>
        <row r="1788">
          <cell r="A1788" t="str">
            <v>CTR_041</v>
          </cell>
          <cell r="B1788" t="str">
            <v>Nkog-Edzen</v>
          </cell>
        </row>
        <row r="1789">
          <cell r="A1789" t="str">
            <v>OST_010</v>
          </cell>
          <cell r="B1789" t="str">
            <v>Bantoum</v>
          </cell>
        </row>
        <row r="1790">
          <cell r="A1790" t="str">
            <v>SUO_152</v>
          </cell>
          <cell r="B1790" t="str">
            <v>Buea</v>
          </cell>
        </row>
        <row r="1791">
          <cell r="A1791" t="str">
            <v>CTR_897</v>
          </cell>
          <cell r="B1791" t="str">
            <v>Yaounde</v>
          </cell>
        </row>
        <row r="1792">
          <cell r="A1792" t="str">
            <v>OST_221</v>
          </cell>
          <cell r="B1792" t="str">
            <v>Bamendjing</v>
          </cell>
        </row>
        <row r="1793">
          <cell r="A1793" t="str">
            <v>EST_022</v>
          </cell>
          <cell r="B1793" t="str">
            <v>Nkoum</v>
          </cell>
        </row>
        <row r="1794">
          <cell r="A1794" t="str">
            <v>SUD_243</v>
          </cell>
          <cell r="B1794" t="str">
            <v>Yembon</v>
          </cell>
        </row>
        <row r="1795">
          <cell r="A1795" t="str">
            <v>SUD_238</v>
          </cell>
          <cell r="B1795" t="str">
            <v>Abouta</v>
          </cell>
        </row>
        <row r="1796">
          <cell r="A1796" t="str">
            <v>ADM_006</v>
          </cell>
          <cell r="B1796" t="str">
            <v>Banyo</v>
          </cell>
        </row>
        <row r="1797">
          <cell r="A1797" t="str">
            <v>EXN_100</v>
          </cell>
          <cell r="B1797" t="str">
            <v>Kaele</v>
          </cell>
        </row>
        <row r="1798">
          <cell r="A1798" t="str">
            <v>NRO_001</v>
          </cell>
          <cell r="B1798" t="str">
            <v>Akum</v>
          </cell>
        </row>
        <row r="1799">
          <cell r="A1799" t="str">
            <v>LIT_789</v>
          </cell>
          <cell r="B1799" t="str">
            <v>Mouyouka</v>
          </cell>
        </row>
        <row r="1800">
          <cell r="A1800" t="str">
            <v>OST_030</v>
          </cell>
          <cell r="B1800" t="str">
            <v>Bamendjing</v>
          </cell>
        </row>
        <row r="1801">
          <cell r="A1801" t="str">
            <v>SUO_241</v>
          </cell>
          <cell r="B1801" t="str">
            <v>Kumba</v>
          </cell>
        </row>
        <row r="1802">
          <cell r="A1802" t="str">
            <v>OST_183</v>
          </cell>
          <cell r="B1802" t="str">
            <v>Bamenda</v>
          </cell>
        </row>
        <row r="1803">
          <cell r="A1803" t="str">
            <v>SUO_010</v>
          </cell>
          <cell r="B1803" t="str">
            <v>Bamenda</v>
          </cell>
        </row>
        <row r="1804">
          <cell r="A1804" t="str">
            <v>SUO_035</v>
          </cell>
          <cell r="B1804" t="str">
            <v>Bamenda</v>
          </cell>
        </row>
        <row r="1805">
          <cell r="A1805" t="str">
            <v>LIT_509</v>
          </cell>
          <cell r="B1805" t="str">
            <v>Douala</v>
          </cell>
        </row>
        <row r="1806">
          <cell r="A1806" t="str">
            <v>SUO_246</v>
          </cell>
          <cell r="B1806" t="str">
            <v>Bamenda</v>
          </cell>
        </row>
        <row r="1807">
          <cell r="A1807" t="str">
            <v>CTR_139</v>
          </cell>
          <cell r="B1807" t="str">
            <v>Yaounde</v>
          </cell>
        </row>
        <row r="1808">
          <cell r="A1808" t="str">
            <v>EST_067</v>
          </cell>
          <cell r="B1808" t="str">
            <v>Ebolmadzom</v>
          </cell>
        </row>
        <row r="1809">
          <cell r="A1809" t="str">
            <v>SUD_248</v>
          </cell>
          <cell r="B1809" t="str">
            <v>Bamenda</v>
          </cell>
        </row>
        <row r="1810">
          <cell r="A1810" t="str">
            <v>CTR_091</v>
          </cell>
          <cell r="B1810" t="str">
            <v>Yaounde</v>
          </cell>
        </row>
        <row r="1811">
          <cell r="A1811" t="str">
            <v>SUD_044</v>
          </cell>
          <cell r="B1811" t="str">
            <v>Bamenda</v>
          </cell>
        </row>
        <row r="1812">
          <cell r="A1812" t="str">
            <v>SUD_106</v>
          </cell>
          <cell r="B1812" t="str">
            <v>Bamenda</v>
          </cell>
        </row>
        <row r="1813">
          <cell r="A1813" t="str">
            <v>NRO_135</v>
          </cell>
          <cell r="B1813" t="str">
            <v>Bamenda</v>
          </cell>
        </row>
        <row r="1814">
          <cell r="A1814" t="str">
            <v>EXN_033</v>
          </cell>
          <cell r="B1814" t="str">
            <v>Ebolmadzom</v>
          </cell>
        </row>
        <row r="1815">
          <cell r="A1815" t="str">
            <v>ADM_022</v>
          </cell>
          <cell r="B1815" t="str">
            <v>Djohong</v>
          </cell>
        </row>
        <row r="1816">
          <cell r="A1816" t="str">
            <v>NRO_053</v>
          </cell>
          <cell r="B1816" t="str">
            <v>Mbengwi</v>
          </cell>
        </row>
        <row r="1817">
          <cell r="A1817" t="str">
            <v>CTR_880</v>
          </cell>
          <cell r="B1817" t="str">
            <v>Ebolmadzom</v>
          </cell>
        </row>
        <row r="1818">
          <cell r="A1818" t="str">
            <v>LIT_764</v>
          </cell>
          <cell r="B1818" t="str">
            <v>Baaba</v>
          </cell>
        </row>
        <row r="1819">
          <cell r="A1819" t="str">
            <v>CTR_856</v>
          </cell>
          <cell r="B1819" t="str">
            <v>Binguela</v>
          </cell>
        </row>
        <row r="1820">
          <cell r="A1820" t="str">
            <v>SUD_125</v>
          </cell>
          <cell r="B1820" t="str">
            <v>Bamenda</v>
          </cell>
        </row>
        <row r="1821">
          <cell r="A1821" t="str">
            <v>OST_025</v>
          </cell>
          <cell r="B1821" t="str">
            <v>Bamenda</v>
          </cell>
        </row>
        <row r="1822">
          <cell r="A1822" t="str">
            <v>EST_075</v>
          </cell>
          <cell r="B1822" t="str">
            <v>Ndemba</v>
          </cell>
        </row>
        <row r="1823">
          <cell r="A1823" t="str">
            <v>NRO_017</v>
          </cell>
          <cell r="B1823" t="str">
            <v>Bali</v>
          </cell>
        </row>
        <row r="1824">
          <cell r="A1824" t="str">
            <v>NRO_013</v>
          </cell>
          <cell r="B1824" t="str">
            <v>Oku</v>
          </cell>
        </row>
        <row r="1825">
          <cell r="A1825" t="str">
            <v>NRO_020</v>
          </cell>
          <cell r="B1825" t="str">
            <v>Kumbo</v>
          </cell>
        </row>
        <row r="1826">
          <cell r="A1826" t="str">
            <v>NRO_011</v>
          </cell>
          <cell r="B1826" t="str">
            <v>Mbengwi</v>
          </cell>
        </row>
        <row r="1827">
          <cell r="A1827" t="str">
            <v>LIT_225</v>
          </cell>
          <cell r="B1827" t="str">
            <v>Tombel</v>
          </cell>
        </row>
        <row r="1828">
          <cell r="A1828" t="str">
            <v>NRO_036</v>
          </cell>
          <cell r="B1828" t="str">
            <v>Bafut</v>
          </cell>
        </row>
        <row r="1829">
          <cell r="A1829" t="str">
            <v>NRO_007</v>
          </cell>
          <cell r="B1829" t="str">
            <v>Wum</v>
          </cell>
        </row>
        <row r="1830">
          <cell r="A1830" t="str">
            <v>NRO_005</v>
          </cell>
          <cell r="B1830" t="str">
            <v>Nkambe</v>
          </cell>
        </row>
        <row r="1831">
          <cell r="A1831" t="str">
            <v>LIT_501</v>
          </cell>
          <cell r="B1831" t="str">
            <v>Sohock</v>
          </cell>
        </row>
        <row r="1832">
          <cell r="A1832" t="str">
            <v>SUO_009</v>
          </cell>
          <cell r="B1832" t="str">
            <v>Mamfe</v>
          </cell>
        </row>
        <row r="1833">
          <cell r="A1833" t="str">
            <v>SUO_018</v>
          </cell>
          <cell r="B1833" t="str">
            <v>Bakassi</v>
          </cell>
        </row>
        <row r="1834">
          <cell r="A1834" t="str">
            <v>SUO_073</v>
          </cell>
          <cell r="B1834" t="str">
            <v>Mamfe</v>
          </cell>
        </row>
        <row r="1835">
          <cell r="A1835" t="str">
            <v>NRO_037</v>
          </cell>
          <cell r="B1835" t="str">
            <v>Kumbo</v>
          </cell>
        </row>
        <row r="1836">
          <cell r="A1836" t="str">
            <v>NRO_006</v>
          </cell>
          <cell r="B1836" t="str">
            <v>Ndop</v>
          </cell>
        </row>
        <row r="1837">
          <cell r="A1837" t="str">
            <v>ADM_014</v>
          </cell>
          <cell r="B1837" t="str">
            <v>Bawa</v>
          </cell>
        </row>
        <row r="1838">
          <cell r="A1838" t="str">
            <v>ADM_028</v>
          </cell>
          <cell r="B1838" t="str">
            <v>Galle</v>
          </cell>
        </row>
        <row r="1839">
          <cell r="A1839" t="str">
            <v>ADM_054</v>
          </cell>
          <cell r="B1839" t="str">
            <v>Meidjamba</v>
          </cell>
        </row>
        <row r="1840">
          <cell r="A1840" t="str">
            <v>ADM_109</v>
          </cell>
          <cell r="B1840" t="str">
            <v>Mbakaou</v>
          </cell>
        </row>
        <row r="1841">
          <cell r="A1841" t="str">
            <v>NRD_024</v>
          </cell>
          <cell r="B1841" t="str">
            <v>Dembo</v>
          </cell>
        </row>
        <row r="1842">
          <cell r="A1842" t="str">
            <v>ADM_079</v>
          </cell>
          <cell r="B1842" t="str">
            <v>Mbidou</v>
          </cell>
        </row>
        <row r="1843">
          <cell r="A1843" t="str">
            <v>ADM_108</v>
          </cell>
          <cell r="B1843" t="str">
            <v>Telo</v>
          </cell>
        </row>
        <row r="1844">
          <cell r="A1844" t="str">
            <v>ADM_052</v>
          </cell>
          <cell r="B1844" t="str">
            <v>Bagodo</v>
          </cell>
        </row>
        <row r="1845">
          <cell r="A1845" t="str">
            <v>EXN_172</v>
          </cell>
          <cell r="B1845" t="str">
            <v>Zouvoul</v>
          </cell>
        </row>
        <row r="1846">
          <cell r="A1846" t="str">
            <v>EXN_049</v>
          </cell>
          <cell r="B1846" t="str">
            <v>Gueme</v>
          </cell>
        </row>
        <row r="1847">
          <cell r="A1847" t="str">
            <v>EXN_161</v>
          </cell>
          <cell r="B1847" t="str">
            <v>Mokong</v>
          </cell>
        </row>
        <row r="1848">
          <cell r="A1848" t="str">
            <v>EXN_142</v>
          </cell>
          <cell r="B1848" t="str">
            <v>Mokola</v>
          </cell>
        </row>
        <row r="1849">
          <cell r="A1849" t="str">
            <v>NRD_111</v>
          </cell>
          <cell r="B1849" t="str">
            <v>Hamalade</v>
          </cell>
        </row>
        <row r="1850">
          <cell r="A1850" t="str">
            <v>NRD_109</v>
          </cell>
          <cell r="B1850" t="str">
            <v>Kapanyaye</v>
          </cell>
        </row>
        <row r="1851">
          <cell r="A1851" t="str">
            <v>NRD_059</v>
          </cell>
          <cell r="B1851" t="str">
            <v>Gamba</v>
          </cell>
        </row>
        <row r="1852">
          <cell r="A1852" t="str">
            <v>NRD_092</v>
          </cell>
          <cell r="B1852" t="str">
            <v>Boudva</v>
          </cell>
        </row>
        <row r="1853">
          <cell r="A1853" t="str">
            <v>NRD_128</v>
          </cell>
          <cell r="B1853" t="str">
            <v>Djaba</v>
          </cell>
        </row>
        <row r="1854">
          <cell r="A1854" t="str">
            <v>ADM_029</v>
          </cell>
          <cell r="B1854" t="str">
            <v>Mboulai</v>
          </cell>
        </row>
        <row r="1855">
          <cell r="A1855" t="str">
            <v>ADM_080</v>
          </cell>
          <cell r="B1855" t="str">
            <v>Limbon</v>
          </cell>
        </row>
        <row r="1856">
          <cell r="A1856" t="str">
            <v>ADM_051</v>
          </cell>
          <cell r="B1856" t="str">
            <v>Lokoti</v>
          </cell>
        </row>
        <row r="1857">
          <cell r="A1857" t="str">
            <v>EST_013</v>
          </cell>
          <cell r="B1857" t="str">
            <v>Yokadouma</v>
          </cell>
        </row>
        <row r="1858">
          <cell r="A1858" t="str">
            <v>ADM_111</v>
          </cell>
          <cell r="B1858" t="str">
            <v>Deone</v>
          </cell>
        </row>
        <row r="1859">
          <cell r="A1859" t="str">
            <v>ADM_094</v>
          </cell>
          <cell r="B1859" t="str">
            <v>Tournigal</v>
          </cell>
        </row>
        <row r="1860">
          <cell r="A1860" t="str">
            <v>ADM_045</v>
          </cell>
          <cell r="B1860" t="str">
            <v>Dobiri</v>
          </cell>
        </row>
        <row r="1861">
          <cell r="A1861" t="str">
            <v>ADM_082</v>
          </cell>
          <cell r="B1861" t="str">
            <v>Deena</v>
          </cell>
        </row>
        <row r="1862">
          <cell r="A1862" t="str">
            <v>ADM_081</v>
          </cell>
          <cell r="B1862" t="str">
            <v>Ngaouyanga</v>
          </cell>
        </row>
        <row r="1863">
          <cell r="A1863" t="str">
            <v>ADM_038</v>
          </cell>
          <cell r="B1863" t="str">
            <v>Pang</v>
          </cell>
        </row>
        <row r="1864">
          <cell r="A1864" t="str">
            <v>ADM_143</v>
          </cell>
          <cell r="B1864" t="str">
            <v>Bawa</v>
          </cell>
        </row>
        <row r="1865">
          <cell r="A1865" t="str">
            <v>NRD_070</v>
          </cell>
          <cell r="B1865" t="str">
            <v>Kongkong</v>
          </cell>
        </row>
        <row r="1866">
          <cell r="A1866" t="str">
            <v>NRD_087</v>
          </cell>
          <cell r="B1866" t="str">
            <v>Sanguere</v>
          </cell>
        </row>
        <row r="1867">
          <cell r="A1867" t="str">
            <v>LIT_200</v>
          </cell>
          <cell r="B1867" t="str">
            <v>Songloulou</v>
          </cell>
        </row>
        <row r="1868">
          <cell r="A1868" t="str">
            <v>ADM_031</v>
          </cell>
          <cell r="B1868" t="str">
            <v>Galdi</v>
          </cell>
        </row>
        <row r="1869">
          <cell r="A1869" t="str">
            <v>ADM_137</v>
          </cell>
          <cell r="B1869" t="str">
            <v>Nganha</v>
          </cell>
        </row>
        <row r="1870">
          <cell r="A1870" t="str">
            <v>ADM_138</v>
          </cell>
          <cell r="B1870" t="str">
            <v>Goro</v>
          </cell>
        </row>
        <row r="1871">
          <cell r="A1871" t="str">
            <v>ADM_023</v>
          </cell>
          <cell r="B1871" t="str">
            <v>Ngam</v>
          </cell>
        </row>
        <row r="1872">
          <cell r="A1872" t="str">
            <v>ADM_024</v>
          </cell>
          <cell r="B1872" t="str">
            <v>Galim-Tignere</v>
          </cell>
        </row>
        <row r="1873">
          <cell r="A1873" t="str">
            <v>ADM_142</v>
          </cell>
          <cell r="B1873" t="str">
            <v>Yarban Gaziya</v>
          </cell>
        </row>
        <row r="1874">
          <cell r="A1874" t="str">
            <v>CTR_097</v>
          </cell>
          <cell r="B1874" t="str">
            <v>Mambine</v>
          </cell>
        </row>
        <row r="1875">
          <cell r="A1875" t="str">
            <v>ADM_015</v>
          </cell>
          <cell r="B1875" t="str">
            <v>Makor</v>
          </cell>
        </row>
        <row r="1876">
          <cell r="A1876" t="str">
            <v>ADM_122</v>
          </cell>
          <cell r="B1876" t="str">
            <v>Danfili</v>
          </cell>
        </row>
        <row r="1877">
          <cell r="A1877" t="str">
            <v>OST_259</v>
          </cell>
          <cell r="B1877" t="str">
            <v>Bapa</v>
          </cell>
        </row>
        <row r="1878">
          <cell r="A1878" t="str">
            <v>EXN_224</v>
          </cell>
          <cell r="B1878" t="str">
            <v>Hile-Alifa</v>
          </cell>
        </row>
        <row r="1879">
          <cell r="A1879" t="str">
            <v>EXN_229</v>
          </cell>
          <cell r="B1879" t="str">
            <v>Balda</v>
          </cell>
        </row>
        <row r="1880">
          <cell r="A1880" t="str">
            <v>EXN_052</v>
          </cell>
          <cell r="B1880" t="str">
            <v>Soulede</v>
          </cell>
        </row>
        <row r="1881">
          <cell r="A1881" t="str">
            <v>EXN_125</v>
          </cell>
          <cell r="B1881" t="str">
            <v>Touloum</v>
          </cell>
        </row>
        <row r="1882">
          <cell r="A1882" t="str">
            <v>NRD_155</v>
          </cell>
          <cell r="B1882" t="str">
            <v>Gaba</v>
          </cell>
        </row>
        <row r="1883">
          <cell r="A1883" t="str">
            <v>EXN_136</v>
          </cell>
          <cell r="B1883" t="str">
            <v>Mousgoy</v>
          </cell>
        </row>
        <row r="1884">
          <cell r="A1884" t="str">
            <v>ADM_154</v>
          </cell>
          <cell r="B1884" t="str">
            <v>Mbamti</v>
          </cell>
        </row>
        <row r="1885">
          <cell r="A1885" t="str">
            <v>ADM_066</v>
          </cell>
          <cell r="B1885" t="str">
            <v>Lewa</v>
          </cell>
        </row>
        <row r="1886">
          <cell r="A1886" t="str">
            <v>ADM_032</v>
          </cell>
          <cell r="B1886" t="str">
            <v>Dibi</v>
          </cell>
        </row>
        <row r="1887">
          <cell r="A1887" t="str">
            <v>ADM_095</v>
          </cell>
          <cell r="B1887" t="str">
            <v>Djerkoka</v>
          </cell>
        </row>
        <row r="1888">
          <cell r="A1888" t="str">
            <v>ADM_060</v>
          </cell>
          <cell r="B1888" t="str">
            <v>Martap</v>
          </cell>
        </row>
        <row r="1889">
          <cell r="A1889" t="str">
            <v>ADM_078</v>
          </cell>
          <cell r="B1889" t="str">
            <v>Wakwa</v>
          </cell>
        </row>
        <row r="1890">
          <cell r="A1890" t="str">
            <v>EXN_226</v>
          </cell>
          <cell r="B1890" t="str">
            <v>Mazera</v>
          </cell>
        </row>
        <row r="1891">
          <cell r="A1891" t="str">
            <v>EXN_021</v>
          </cell>
          <cell r="B1891" t="str">
            <v>Goulfey</v>
          </cell>
        </row>
        <row r="1892">
          <cell r="A1892" t="str">
            <v>NRO_111</v>
          </cell>
          <cell r="B1892" t="str">
            <v>Jikejem</v>
          </cell>
        </row>
        <row r="1893">
          <cell r="A1893" t="str">
            <v>ADM_144</v>
          </cell>
          <cell r="B1893" t="str">
            <v>Sambo Lambo</v>
          </cell>
        </row>
        <row r="1894">
          <cell r="A1894" t="str">
            <v>ADM_153</v>
          </cell>
          <cell r="B1894" t="str">
            <v>Darra salam</v>
          </cell>
        </row>
        <row r="1895">
          <cell r="A1895" t="str">
            <v>ADM_112</v>
          </cell>
          <cell r="B1895" t="str">
            <v>Home</v>
          </cell>
        </row>
        <row r="1896">
          <cell r="A1896" t="str">
            <v>ADM_141</v>
          </cell>
          <cell r="B1896" t="str">
            <v>Batoua-Godole</v>
          </cell>
        </row>
        <row r="1897">
          <cell r="A1897" t="str">
            <v>ADM_021</v>
          </cell>
          <cell r="B1897" t="str">
            <v>Dir</v>
          </cell>
        </row>
        <row r="1898">
          <cell r="A1898" t="str">
            <v>EXN_108</v>
          </cell>
          <cell r="B1898" t="str">
            <v>Roua</v>
          </cell>
        </row>
        <row r="1899">
          <cell r="A1899" t="str">
            <v>ADM_037</v>
          </cell>
          <cell r="B1899" t="str">
            <v>Ngaoui</v>
          </cell>
        </row>
        <row r="1900">
          <cell r="A1900" t="str">
            <v>NRD_154</v>
          </cell>
          <cell r="B1900" t="str">
            <v>Ndiam-badji</v>
          </cell>
        </row>
        <row r="1901">
          <cell r="A1901" t="str">
            <v>EXN_225</v>
          </cell>
          <cell r="B1901" t="str">
            <v>Tchika</v>
          </cell>
        </row>
        <row r="1902">
          <cell r="A1902" t="str">
            <v>LIT_586</v>
          </cell>
          <cell r="B1902" t="str">
            <v>Yabassi</v>
          </cell>
        </row>
        <row r="1903">
          <cell r="A1903" t="str">
            <v>OST_211</v>
          </cell>
          <cell r="B1903" t="str">
            <v>Bangam</v>
          </cell>
        </row>
        <row r="1904">
          <cell r="A1904" t="str">
            <v>OST_212</v>
          </cell>
          <cell r="B1904" t="str">
            <v>Bangang</v>
          </cell>
        </row>
        <row r="1905">
          <cell r="A1905" t="str">
            <v>OST_208</v>
          </cell>
          <cell r="B1905" t="str">
            <v>Fondjomekwet</v>
          </cell>
        </row>
        <row r="1906">
          <cell r="A1906" t="str">
            <v>OST_089</v>
          </cell>
          <cell r="B1906" t="str">
            <v>Bantoum</v>
          </cell>
        </row>
        <row r="1907">
          <cell r="A1907" t="str">
            <v>OST_048</v>
          </cell>
          <cell r="B1907" t="str">
            <v>Bambit</v>
          </cell>
        </row>
        <row r="1908">
          <cell r="A1908" t="str">
            <v>OST_161</v>
          </cell>
          <cell r="B1908" t="str">
            <v>Bankwop</v>
          </cell>
        </row>
        <row r="1909">
          <cell r="A1909" t="str">
            <v>ADM_093</v>
          </cell>
          <cell r="B1909" t="str">
            <v>Laore</v>
          </cell>
        </row>
        <row r="1910">
          <cell r="A1910" t="str">
            <v>OST_145</v>
          </cell>
          <cell r="B1910" t="str">
            <v>Bangou</v>
          </cell>
        </row>
        <row r="1911">
          <cell r="A1911" t="str">
            <v>CTR_188</v>
          </cell>
          <cell r="B1911" t="str">
            <v>Ngomedzap</v>
          </cell>
        </row>
        <row r="1912">
          <cell r="A1912" t="str">
            <v>CTR_532</v>
          </cell>
          <cell r="B1912" t="str">
            <v>Ngomedzap</v>
          </cell>
        </row>
        <row r="1913">
          <cell r="A1913" t="str">
            <v>CTR_144</v>
          </cell>
          <cell r="B1913" t="str">
            <v>Makak</v>
          </cell>
        </row>
        <row r="1914">
          <cell r="A1914" t="str">
            <v>EST_015</v>
          </cell>
          <cell r="B1914" t="str">
            <v>Moloundou</v>
          </cell>
        </row>
        <row r="1915">
          <cell r="A1915" t="str">
            <v>CTR_305</v>
          </cell>
          <cell r="B1915" t="str">
            <v>Andom</v>
          </cell>
        </row>
        <row r="1916">
          <cell r="A1916" t="str">
            <v>SUD_232</v>
          </cell>
          <cell r="B1916" t="str">
            <v>Bikoula</v>
          </cell>
        </row>
        <row r="1917">
          <cell r="A1917" t="str">
            <v>SUD_233</v>
          </cell>
          <cell r="B1917" t="str">
            <v>Boulou</v>
          </cell>
        </row>
        <row r="1918">
          <cell r="A1918" t="str">
            <v>SUD_056</v>
          </cell>
          <cell r="B1918" t="str">
            <v>Memve-Ele</v>
          </cell>
        </row>
        <row r="1919">
          <cell r="A1919" t="str">
            <v>SUD_052</v>
          </cell>
          <cell r="B1919" t="str">
            <v>Bengbis</v>
          </cell>
        </row>
        <row r="1920">
          <cell r="A1920" t="str">
            <v>EST_010</v>
          </cell>
          <cell r="B1920" t="str">
            <v>Lomie</v>
          </cell>
        </row>
        <row r="1921">
          <cell r="A1921" t="str">
            <v>EST_082</v>
          </cell>
          <cell r="B1921" t="str">
            <v>Bagofit</v>
          </cell>
        </row>
        <row r="1922">
          <cell r="A1922" t="str">
            <v>EST_073</v>
          </cell>
          <cell r="B1922" t="str">
            <v>Bonga</v>
          </cell>
        </row>
        <row r="1923">
          <cell r="A1923" t="str">
            <v>EST_076</v>
          </cell>
          <cell r="B1923" t="str">
            <v>Diang</v>
          </cell>
        </row>
        <row r="1924">
          <cell r="A1924" t="str">
            <v>EST_055</v>
          </cell>
          <cell r="B1924" t="str">
            <v>Gado-Badzere</v>
          </cell>
        </row>
        <row r="1925">
          <cell r="A1925" t="str">
            <v>EST_123</v>
          </cell>
          <cell r="B1925" t="str">
            <v>Guiwa-Yangamo</v>
          </cell>
        </row>
        <row r="1926">
          <cell r="A1926" t="str">
            <v>EST_063</v>
          </cell>
          <cell r="B1926" t="str">
            <v>Letta</v>
          </cell>
        </row>
        <row r="1927">
          <cell r="A1927" t="str">
            <v>EST_072</v>
          </cell>
          <cell r="B1927" t="str">
            <v>Longtimbi</v>
          </cell>
        </row>
        <row r="1928">
          <cell r="A1928" t="str">
            <v>EST_074</v>
          </cell>
          <cell r="B1928" t="str">
            <v>Mazabe</v>
          </cell>
        </row>
        <row r="1929">
          <cell r="A1929" t="str">
            <v>EST_064</v>
          </cell>
          <cell r="B1929" t="str">
            <v>Garga-Salari</v>
          </cell>
        </row>
        <row r="1930">
          <cell r="A1930" t="str">
            <v>SUD_037</v>
          </cell>
          <cell r="B1930" t="str">
            <v>Maan</v>
          </cell>
        </row>
        <row r="1931">
          <cell r="A1931" t="str">
            <v>CTR_363</v>
          </cell>
          <cell r="B1931" t="str">
            <v>Ndjore-Luxe</v>
          </cell>
        </row>
        <row r="1932">
          <cell r="A1932" t="str">
            <v>CTR_181</v>
          </cell>
          <cell r="B1932" t="str">
            <v>Nanga-Eboko</v>
          </cell>
        </row>
        <row r="1933">
          <cell r="A1933" t="str">
            <v>CTR_230</v>
          </cell>
          <cell r="B1933" t="str">
            <v>Ezezang</v>
          </cell>
        </row>
        <row r="1934">
          <cell r="A1934" t="str">
            <v>CTR_223</v>
          </cell>
          <cell r="B1934" t="str">
            <v>Botatango</v>
          </cell>
        </row>
        <row r="1935">
          <cell r="A1935" t="str">
            <v>CTR_190</v>
          </cell>
          <cell r="B1935" t="str">
            <v>Kiiki</v>
          </cell>
        </row>
        <row r="1936">
          <cell r="A1936" t="str">
            <v>CTR_135</v>
          </cell>
          <cell r="B1936" t="str">
            <v>Monatele</v>
          </cell>
        </row>
        <row r="1937">
          <cell r="A1937" t="str">
            <v>CTR_032</v>
          </cell>
          <cell r="B1937" t="str">
            <v>Batchenga</v>
          </cell>
        </row>
        <row r="1938">
          <cell r="A1938" t="str">
            <v>OST_037</v>
          </cell>
          <cell r="B1938" t="str">
            <v>Bazou</v>
          </cell>
        </row>
        <row r="1939">
          <cell r="A1939" t="str">
            <v>EST_071</v>
          </cell>
          <cell r="B1939" t="str">
            <v>Kouen</v>
          </cell>
        </row>
        <row r="1940">
          <cell r="A1940" t="str">
            <v>CTR_297</v>
          </cell>
          <cell r="B1940" t="str">
            <v>Nomale</v>
          </cell>
        </row>
        <row r="1941">
          <cell r="A1941" t="str">
            <v>EST_007</v>
          </cell>
          <cell r="B1941" t="str">
            <v>Tabene</v>
          </cell>
        </row>
        <row r="1942">
          <cell r="A1942" t="str">
            <v>CTR_365</v>
          </cell>
          <cell r="B1942" t="str">
            <v>Afambassi</v>
          </cell>
        </row>
        <row r="1943">
          <cell r="A1943" t="str">
            <v>CTR_547</v>
          </cell>
          <cell r="B1943" t="str">
            <v>Elig-Mfomo</v>
          </cell>
        </row>
        <row r="1944">
          <cell r="A1944" t="str">
            <v>SUO_168</v>
          </cell>
          <cell r="B1944" t="str">
            <v>Bachuo</v>
          </cell>
        </row>
        <row r="1945">
          <cell r="A1945" t="str">
            <v>SUD_028</v>
          </cell>
          <cell r="B1945" t="str">
            <v>Ndom</v>
          </cell>
        </row>
        <row r="1946">
          <cell r="A1946" t="str">
            <v>CTR_546</v>
          </cell>
          <cell r="B1946" t="str">
            <v>Ngog-Mapubi</v>
          </cell>
        </row>
        <row r="1947">
          <cell r="A1947" t="str">
            <v>NRD_125</v>
          </cell>
          <cell r="B1947" t="str">
            <v>So-Djay</v>
          </cell>
        </row>
        <row r="1948">
          <cell r="A1948" t="str">
            <v>CTR_170</v>
          </cell>
          <cell r="B1948" t="str">
            <v>Balissa</v>
          </cell>
        </row>
        <row r="1949">
          <cell r="A1949" t="str">
            <v>OST_265</v>
          </cell>
          <cell r="B1949" t="str">
            <v>Kombou</v>
          </cell>
        </row>
        <row r="1950">
          <cell r="A1950" t="str">
            <v>EST_053</v>
          </cell>
          <cell r="B1950" t="str">
            <v>Mbele-Mbeke</v>
          </cell>
        </row>
        <row r="1951">
          <cell r="A1951" t="str">
            <v>NRO_093</v>
          </cell>
          <cell r="B1951" t="str">
            <v>Bamengwi</v>
          </cell>
        </row>
        <row r="1952">
          <cell r="A1952" t="str">
            <v>SUD_041</v>
          </cell>
          <cell r="B1952" t="str">
            <v>Ebolowa</v>
          </cell>
        </row>
        <row r="1953">
          <cell r="A1953" t="str">
            <v>OST_256</v>
          </cell>
          <cell r="B1953" t="str">
            <v>Dschang</v>
          </cell>
        </row>
        <row r="1954">
          <cell r="A1954" t="str">
            <v>EXN_152</v>
          </cell>
          <cell r="B1954" t="str">
            <v>Badjonre</v>
          </cell>
        </row>
        <row r="1955">
          <cell r="A1955" t="str">
            <v>NRD_027</v>
          </cell>
          <cell r="B1955" t="str">
            <v>Bidzar</v>
          </cell>
        </row>
        <row r="1956">
          <cell r="A1956" t="str">
            <v>NRD_014</v>
          </cell>
          <cell r="B1956" t="str">
            <v>Boukoula</v>
          </cell>
        </row>
        <row r="1957">
          <cell r="A1957" t="str">
            <v>EXN_807</v>
          </cell>
          <cell r="B1957" t="str">
            <v>Dabanga</v>
          </cell>
        </row>
        <row r="1958">
          <cell r="A1958" t="str">
            <v>EXN_211</v>
          </cell>
          <cell r="B1958" t="str">
            <v>Dakana</v>
          </cell>
        </row>
        <row r="1959">
          <cell r="A1959" t="str">
            <v>EXN_171</v>
          </cell>
          <cell r="B1959" t="str">
            <v>Dogba</v>
          </cell>
        </row>
        <row r="1960">
          <cell r="A1960" t="str">
            <v>NRD_122</v>
          </cell>
          <cell r="B1960" t="str">
            <v>Douroum</v>
          </cell>
        </row>
        <row r="1961">
          <cell r="A1961" t="str">
            <v>EXN_200</v>
          </cell>
          <cell r="B1961" t="str">
            <v>Kalfou</v>
          </cell>
        </row>
        <row r="1962">
          <cell r="A1962" t="str">
            <v>NRD_058</v>
          </cell>
          <cell r="B1962" t="str">
            <v>Guidjiba</v>
          </cell>
        </row>
        <row r="1963">
          <cell r="A1963" t="str">
            <v>ADM_100</v>
          </cell>
          <cell r="B1963" t="str">
            <v>Kaladi</v>
          </cell>
        </row>
        <row r="1964">
          <cell r="A1964" t="str">
            <v>ADM_041</v>
          </cell>
          <cell r="B1964" t="str">
            <v>Kanje-I</v>
          </cell>
        </row>
        <row r="1965">
          <cell r="A1965" t="str">
            <v>EXN_104</v>
          </cell>
          <cell r="B1965" t="str">
            <v>Kolofata</v>
          </cell>
        </row>
        <row r="1966">
          <cell r="A1966" t="str">
            <v>EXN_107</v>
          </cell>
          <cell r="B1966" t="str">
            <v>Laf</v>
          </cell>
        </row>
        <row r="1967">
          <cell r="A1967" t="str">
            <v>ADM_149</v>
          </cell>
          <cell r="B1967" t="str">
            <v>Libong</v>
          </cell>
        </row>
        <row r="1968">
          <cell r="A1968" t="str">
            <v>ADM_098</v>
          </cell>
          <cell r="B1968" t="str">
            <v>Maakola</v>
          </cell>
        </row>
        <row r="1969">
          <cell r="A1969" t="str">
            <v>NRD_123</v>
          </cell>
          <cell r="B1969" t="str">
            <v>Mandama</v>
          </cell>
        </row>
        <row r="1970">
          <cell r="A1970" t="str">
            <v>ADM_055</v>
          </cell>
          <cell r="B1970" t="str">
            <v>Mbantinbang</v>
          </cell>
        </row>
        <row r="1971">
          <cell r="A1971" t="str">
            <v>ADM_042</v>
          </cell>
          <cell r="B1971" t="str">
            <v>Mbong</v>
          </cell>
        </row>
        <row r="1972">
          <cell r="A1972" t="str">
            <v>ADM_030</v>
          </cell>
          <cell r="B1972" t="str">
            <v>Soukounga</v>
          </cell>
        </row>
        <row r="1973">
          <cell r="A1973" t="str">
            <v>ADM_099</v>
          </cell>
          <cell r="B1973" t="str">
            <v>Wada</v>
          </cell>
        </row>
        <row r="1974">
          <cell r="A1974" t="str">
            <v>EXN_131</v>
          </cell>
          <cell r="B1974" t="str">
            <v>Zanay</v>
          </cell>
        </row>
        <row r="1975">
          <cell r="A1975" t="str">
            <v>EXN_034</v>
          </cell>
          <cell r="B1975" t="str">
            <v>Zigague</v>
          </cell>
        </row>
        <row r="1976">
          <cell r="A1976" t="str">
            <v>ADM_043</v>
          </cell>
          <cell r="B1976" t="str">
            <v>Mayo-Tolere</v>
          </cell>
        </row>
        <row r="1977">
          <cell r="A1977" t="str">
            <v>OST_150</v>
          </cell>
          <cell r="B1977" t="str">
            <v>Bafounda</v>
          </cell>
        </row>
        <row r="1978">
          <cell r="A1978" t="str">
            <v>OST_160</v>
          </cell>
          <cell r="B1978" t="str">
            <v>Bagam</v>
          </cell>
        </row>
        <row r="1979">
          <cell r="A1979" t="str">
            <v>OST_182</v>
          </cell>
          <cell r="B1979" t="str">
            <v>Bakou</v>
          </cell>
        </row>
        <row r="1980">
          <cell r="A1980" t="str">
            <v>OST_008</v>
          </cell>
          <cell r="B1980" t="str">
            <v>Balessing</v>
          </cell>
        </row>
        <row r="1981">
          <cell r="A1981" t="str">
            <v>OST_167</v>
          </cell>
          <cell r="B1981" t="str">
            <v>Baloum</v>
          </cell>
        </row>
        <row r="1982">
          <cell r="A1982" t="str">
            <v>OST_162</v>
          </cell>
          <cell r="B1982" t="str">
            <v>Bameka</v>
          </cell>
        </row>
        <row r="1983">
          <cell r="A1983" t="str">
            <v>OST_205</v>
          </cell>
          <cell r="B1983" t="str">
            <v>Bangambi</v>
          </cell>
        </row>
        <row r="1984">
          <cell r="A1984" t="str">
            <v>OST_151</v>
          </cell>
          <cell r="B1984" t="str">
            <v>Bansoa</v>
          </cell>
        </row>
        <row r="1985">
          <cell r="A1985" t="str">
            <v>OST_143</v>
          </cell>
          <cell r="B1985" t="str">
            <v>Bassamba</v>
          </cell>
        </row>
        <row r="1986">
          <cell r="A1986" t="str">
            <v>CTR_364</v>
          </cell>
          <cell r="B1986" t="str">
            <v>Bayomen-Kalong</v>
          </cell>
        </row>
        <row r="1987">
          <cell r="A1987" t="str">
            <v>LIT_517</v>
          </cell>
          <cell r="B1987" t="str">
            <v>Bihaing</v>
          </cell>
        </row>
        <row r="1988">
          <cell r="A1988" t="str">
            <v>EXN_041</v>
          </cell>
          <cell r="B1988" t="str">
            <v>Blangoua</v>
          </cell>
        </row>
        <row r="1989">
          <cell r="A1989" t="str">
            <v>LIT_296</v>
          </cell>
          <cell r="B1989" t="str">
            <v>Bonalea</v>
          </cell>
        </row>
        <row r="1990">
          <cell r="A1990" t="str">
            <v>EST_096</v>
          </cell>
          <cell r="B1990" t="str">
            <v>Boubara</v>
          </cell>
        </row>
        <row r="1991">
          <cell r="A1991" t="str">
            <v>EST_056</v>
          </cell>
          <cell r="B1991" t="str">
            <v>Brigaya</v>
          </cell>
        </row>
        <row r="1992">
          <cell r="A1992" t="str">
            <v>LIT_133</v>
          </cell>
          <cell r="B1992" t="str">
            <v>Ebodje</v>
          </cell>
        </row>
        <row r="1993">
          <cell r="A1993" t="str">
            <v>EST_093</v>
          </cell>
          <cell r="B1993" t="str">
            <v>Deng-Deng</v>
          </cell>
        </row>
        <row r="1994">
          <cell r="A1994" t="str">
            <v>EST_008</v>
          </cell>
          <cell r="B1994" t="str">
            <v>Djangane</v>
          </cell>
        </row>
        <row r="1995">
          <cell r="A1995" t="str">
            <v>CTR_166</v>
          </cell>
          <cell r="B1995" t="str">
            <v>Donga</v>
          </cell>
        </row>
        <row r="1996">
          <cell r="A1996" t="str">
            <v>CTR_167</v>
          </cell>
          <cell r="B1996" t="str">
            <v>Dong</v>
          </cell>
        </row>
        <row r="1997">
          <cell r="A1997" t="str">
            <v>CTR_302</v>
          </cell>
          <cell r="B1997" t="str">
            <v>Doume</v>
          </cell>
        </row>
        <row r="1998">
          <cell r="A1998" t="str">
            <v>EST_023</v>
          </cell>
          <cell r="B1998" t="str">
            <v>Goyoum</v>
          </cell>
        </row>
        <row r="1999">
          <cell r="A1999" t="str">
            <v>EST_084</v>
          </cell>
          <cell r="B1999" t="str">
            <v>Fio</v>
          </cell>
        </row>
        <row r="2000">
          <cell r="A2000" t="str">
            <v>OST_158</v>
          </cell>
          <cell r="B2000" t="str">
            <v>Fondjanti</v>
          </cell>
        </row>
        <row r="2001">
          <cell r="A2001" t="str">
            <v>OST_156</v>
          </cell>
          <cell r="B2001" t="str">
            <v>Foyemtcha</v>
          </cell>
        </row>
        <row r="2002">
          <cell r="A2002" t="str">
            <v>OST_026</v>
          </cell>
          <cell r="B2002" t="str">
            <v>Galim</v>
          </cell>
        </row>
        <row r="2003">
          <cell r="A2003" t="str">
            <v>EST_048</v>
          </cell>
          <cell r="B2003" t="str">
            <v>Gari-Gombo</v>
          </cell>
        </row>
        <row r="2004">
          <cell r="A2004" t="str">
            <v>EST_028</v>
          </cell>
          <cell r="B2004" t="str">
            <v>Kambolepi</v>
          </cell>
        </row>
        <row r="2005">
          <cell r="A2005" t="str">
            <v>LIT_510</v>
          </cell>
          <cell r="B2005" t="str">
            <v>Massock-Songloulou</v>
          </cell>
        </row>
        <row r="2006">
          <cell r="A2006" t="str">
            <v>EST_094</v>
          </cell>
          <cell r="B2006" t="str">
            <v>Kouba</v>
          </cell>
        </row>
        <row r="2007">
          <cell r="A2007" t="str">
            <v>LIT_502</v>
          </cell>
          <cell r="B2007" t="str">
            <v>Kouedjou</v>
          </cell>
        </row>
        <row r="2008">
          <cell r="A2008" t="str">
            <v>EXN_208</v>
          </cell>
          <cell r="B2008" t="str">
            <v>Kuruda</v>
          </cell>
        </row>
        <row r="2009">
          <cell r="A2009" t="str">
            <v>LIT_508</v>
          </cell>
          <cell r="B2009" t="str">
            <v>Logbong</v>
          </cell>
        </row>
        <row r="2010">
          <cell r="A2010" t="str">
            <v>NRD_036</v>
          </cell>
          <cell r="B2010" t="str">
            <v>Madingring</v>
          </cell>
        </row>
        <row r="2011">
          <cell r="A2011" t="str">
            <v>LIT_519</v>
          </cell>
          <cell r="B2011" t="str">
            <v>Mandjap</v>
          </cell>
        </row>
        <row r="2012">
          <cell r="A2012" t="str">
            <v>EXN_128</v>
          </cell>
          <cell r="B2012" t="str">
            <v>Magada</v>
          </cell>
        </row>
        <row r="2013">
          <cell r="A2013" t="str">
            <v>EXN_029</v>
          </cell>
          <cell r="B2013" t="str">
            <v>Makalingai</v>
          </cell>
        </row>
        <row r="2014">
          <cell r="A2014" t="str">
            <v>OST_245</v>
          </cell>
          <cell r="B2014" t="str">
            <v>Mankouotmbou</v>
          </cell>
        </row>
        <row r="2015">
          <cell r="A2015" t="str">
            <v>OST_200</v>
          </cell>
          <cell r="B2015" t="str">
            <v>Mantoum</v>
          </cell>
        </row>
        <row r="2016">
          <cell r="A2016" t="str">
            <v>OST_201</v>
          </cell>
          <cell r="B2016" t="str">
            <v>Mantoum</v>
          </cell>
        </row>
        <row r="2017">
          <cell r="A2017" t="str">
            <v>EXN_207</v>
          </cell>
          <cell r="B2017" t="str">
            <v>Matafal</v>
          </cell>
        </row>
        <row r="2018">
          <cell r="A2018" t="str">
            <v>CTR_301</v>
          </cell>
          <cell r="B2018" t="str">
            <v>Matsari</v>
          </cell>
        </row>
        <row r="2019">
          <cell r="A2019" t="str">
            <v>OST_093</v>
          </cell>
          <cell r="B2019" t="str">
            <v>Mayo-Djinga</v>
          </cell>
        </row>
        <row r="2020">
          <cell r="A2020" t="str">
            <v>CTR_303</v>
          </cell>
          <cell r="B2020" t="str">
            <v>Mbam</v>
          </cell>
        </row>
        <row r="2021">
          <cell r="A2021" t="str">
            <v>CTR_385</v>
          </cell>
          <cell r="B2021" t="str">
            <v>Mbeng</v>
          </cell>
        </row>
        <row r="2022">
          <cell r="A2022" t="str">
            <v>SUD_069</v>
          </cell>
          <cell r="B2022" t="str">
            <v>Mbile</v>
          </cell>
        </row>
        <row r="2023">
          <cell r="A2023" t="str">
            <v>EST_105</v>
          </cell>
          <cell r="B2023" t="str">
            <v>Betare-Oya</v>
          </cell>
        </row>
        <row r="2024">
          <cell r="A2024" t="str">
            <v>CTR_142</v>
          </cell>
          <cell r="B2024" t="str">
            <v>Menganme</v>
          </cell>
        </row>
        <row r="2025">
          <cell r="A2025" t="str">
            <v>SUD_247</v>
          </cell>
          <cell r="B2025" t="str">
            <v>Messam</v>
          </cell>
        </row>
        <row r="2026">
          <cell r="A2026" t="str">
            <v>CTR_451</v>
          </cell>
          <cell r="B2026" t="str">
            <v>Eseka</v>
          </cell>
        </row>
        <row r="2027">
          <cell r="A2027" t="str">
            <v>CTR_307</v>
          </cell>
          <cell r="B2027" t="str">
            <v>Miende</v>
          </cell>
        </row>
        <row r="2028">
          <cell r="A2028" t="str">
            <v>LIT_134</v>
          </cell>
          <cell r="B2028" t="str">
            <v>Messondo</v>
          </cell>
        </row>
        <row r="2029">
          <cell r="A2029" t="str">
            <v>SUD_245</v>
          </cell>
          <cell r="B2029" t="str">
            <v>Mvoula</v>
          </cell>
        </row>
        <row r="2030">
          <cell r="A2030" t="str">
            <v>EST_041</v>
          </cell>
          <cell r="B2030" t="str">
            <v>Ndelele</v>
          </cell>
        </row>
        <row r="2031">
          <cell r="A2031" t="str">
            <v>LIT_121</v>
          </cell>
          <cell r="B2031" t="str">
            <v>Ngog-Mbog</v>
          </cell>
        </row>
        <row r="2032">
          <cell r="A2032" t="str">
            <v>LIT_135</v>
          </cell>
          <cell r="B2032" t="str">
            <v>Ngonga</v>
          </cell>
        </row>
        <row r="2033">
          <cell r="A2033" t="str">
            <v>CTR_300</v>
          </cell>
          <cell r="B2033" t="str">
            <v>Ngouetou</v>
          </cell>
        </row>
        <row r="2034">
          <cell r="A2034" t="str">
            <v>CTR_367</v>
          </cell>
          <cell r="B2034" t="str">
            <v>Ngoum-II</v>
          </cell>
        </row>
        <row r="2035">
          <cell r="A2035" t="str">
            <v>EST_077</v>
          </cell>
          <cell r="B2035" t="str">
            <v>Nguem</v>
          </cell>
        </row>
        <row r="2036">
          <cell r="A2036" t="str">
            <v>CTR_353</v>
          </cell>
          <cell r="B2036" t="str">
            <v>Nguinda</v>
          </cell>
        </row>
        <row r="2037">
          <cell r="A2037" t="str">
            <v>CTR_177</v>
          </cell>
          <cell r="B2037" t="str">
            <v>Nitoukou</v>
          </cell>
        </row>
        <row r="2038">
          <cell r="A2038" t="str">
            <v>LIT_514</v>
          </cell>
          <cell r="B2038" t="str">
            <v>Nkan</v>
          </cell>
        </row>
        <row r="2039">
          <cell r="A2039" t="str">
            <v>SUD_016</v>
          </cell>
          <cell r="B2039" t="str">
            <v>Nkomekui</v>
          </cell>
        </row>
        <row r="2040">
          <cell r="A2040" t="str">
            <v>SUD_050</v>
          </cell>
          <cell r="B2040" t="str">
            <v>Nkoumadjap</v>
          </cell>
        </row>
        <row r="2041">
          <cell r="A2041" t="str">
            <v>LIT_349</v>
          </cell>
          <cell r="B2041" t="str">
            <v>Nyanon</v>
          </cell>
        </row>
        <row r="2042">
          <cell r="A2042" t="str">
            <v>CTR_169</v>
          </cell>
          <cell r="B2042" t="str">
            <v>Nyazoro</v>
          </cell>
        </row>
        <row r="2043">
          <cell r="A2043" t="str">
            <v>LIT_136</v>
          </cell>
          <cell r="B2043" t="str">
            <v>Omeng</v>
          </cell>
        </row>
        <row r="2044">
          <cell r="A2044" t="str">
            <v>CTR_405</v>
          </cell>
          <cell r="B2044" t="str">
            <v>Ossombe</v>
          </cell>
        </row>
        <row r="2045">
          <cell r="A2045" t="str">
            <v>LIT_201</v>
          </cell>
          <cell r="B2045" t="str">
            <v>Pouma</v>
          </cell>
        </row>
        <row r="2046">
          <cell r="A2046" t="str">
            <v>LIT_513</v>
          </cell>
          <cell r="B2046" t="str">
            <v>Poutkak</v>
          </cell>
        </row>
        <row r="2047">
          <cell r="A2047" t="str">
            <v>LIT_507</v>
          </cell>
          <cell r="B2047" t="str">
            <v>Sibongo</v>
          </cell>
        </row>
        <row r="2048">
          <cell r="A2048" t="str">
            <v>LIT_515</v>
          </cell>
          <cell r="B2048" t="str">
            <v>Sodibanga</v>
          </cell>
        </row>
        <row r="2049">
          <cell r="A2049" t="str">
            <v>LIT_506</v>
          </cell>
          <cell r="B2049" t="str">
            <v>Sokelle</v>
          </cell>
        </row>
        <row r="2050">
          <cell r="A2050" t="str">
            <v>LIT_212</v>
          </cell>
          <cell r="B2050" t="str">
            <v>Sole</v>
          </cell>
        </row>
        <row r="2051">
          <cell r="A2051" t="str">
            <v>CTR_311</v>
          </cell>
          <cell r="B2051" t="str">
            <v>Song-Bong</v>
          </cell>
        </row>
        <row r="2052">
          <cell r="A2052" t="str">
            <v>EST_040</v>
          </cell>
          <cell r="B2052" t="str">
            <v>Tikondi</v>
          </cell>
        </row>
        <row r="2053">
          <cell r="A2053" t="str">
            <v>ADM_103</v>
          </cell>
          <cell r="B2053" t="str">
            <v>Wadjiri</v>
          </cell>
        </row>
        <row r="2054">
          <cell r="A2054" t="str">
            <v>EST_106</v>
          </cell>
          <cell r="B2054" t="str">
            <v>Yola</v>
          </cell>
        </row>
        <row r="2055">
          <cell r="A2055" t="str">
            <v>LIT_536</v>
          </cell>
          <cell r="B2055" t="str">
            <v>Yoyo</v>
          </cell>
        </row>
        <row r="2056">
          <cell r="A2056" t="str">
            <v>OST_262</v>
          </cell>
          <cell r="B2056" t="str">
            <v>Zemda</v>
          </cell>
        </row>
        <row r="2057">
          <cell r="A2057" t="str">
            <v>OST_220</v>
          </cell>
          <cell r="B2057" t="str">
            <v>Ngambouo</v>
          </cell>
        </row>
        <row r="2058">
          <cell r="A2058" t="str">
            <v>EXN_167</v>
          </cell>
          <cell r="B2058" t="str">
            <v>Bariki</v>
          </cell>
        </row>
        <row r="2059">
          <cell r="A2059" t="str">
            <v>EXN_210</v>
          </cell>
          <cell r="B2059" t="str">
            <v>Moulvoudaye</v>
          </cell>
        </row>
        <row r="2060">
          <cell r="A2060" t="str">
            <v>OST_215</v>
          </cell>
          <cell r="B2060" t="str">
            <v>Bati</v>
          </cell>
        </row>
        <row r="2061">
          <cell r="A2061" t="str">
            <v>EXN_163</v>
          </cell>
          <cell r="B2061" t="str">
            <v>Gamdougoum</v>
          </cell>
        </row>
        <row r="2062">
          <cell r="A2062" t="str">
            <v>OST_186</v>
          </cell>
          <cell r="B2062" t="str">
            <v>Bamenyam</v>
          </cell>
        </row>
        <row r="2063">
          <cell r="A2063" t="str">
            <v>OST_263</v>
          </cell>
          <cell r="B2063" t="str">
            <v>Santchou</v>
          </cell>
        </row>
        <row r="2064">
          <cell r="A2064" t="str">
            <v>EXN_162</v>
          </cell>
          <cell r="B2064" t="str">
            <v xml:space="preserve">Mayo-Kaba </v>
          </cell>
        </row>
        <row r="2065">
          <cell r="A2065" t="str">
            <v>NRD_129</v>
          </cell>
          <cell r="B2065" t="str">
            <v>Boussa</v>
          </cell>
        </row>
        <row r="2066">
          <cell r="A2066" t="str">
            <v>OST_193</v>
          </cell>
          <cell r="B2066" t="str">
            <v>Banefo-Baleng</v>
          </cell>
        </row>
        <row r="2067">
          <cell r="A2067" t="str">
            <v>EXN_139</v>
          </cell>
          <cell r="B2067" t="str">
            <v>Rhumsiki</v>
          </cell>
        </row>
        <row r="2068">
          <cell r="A2068" t="str">
            <v>OST_163</v>
          </cell>
          <cell r="B2068" t="str">
            <v>Bamoungoum</v>
          </cell>
        </row>
        <row r="2069">
          <cell r="A2069" t="str">
            <v>EXN_075</v>
          </cell>
          <cell r="B2069" t="str">
            <v>Datcheka</v>
          </cell>
        </row>
        <row r="2070">
          <cell r="A2070" t="str">
            <v>LIT_402</v>
          </cell>
          <cell r="B2070" t="str">
            <v>Messondo</v>
          </cell>
        </row>
        <row r="2071">
          <cell r="A2071" t="str">
            <v>CTR_457</v>
          </cell>
          <cell r="B2071" t="str">
            <v>Minta</v>
          </cell>
        </row>
        <row r="2072">
          <cell r="A2072" t="str">
            <v>OST_219</v>
          </cell>
          <cell r="B2072" t="str">
            <v>Ngbetnsouen</v>
          </cell>
        </row>
        <row r="2073">
          <cell r="A2073" t="str">
            <v>EXN_185</v>
          </cell>
          <cell r="B2073" t="str">
            <v>Moude</v>
          </cell>
        </row>
        <row r="2074">
          <cell r="A2074" t="str">
            <v>EXN_165</v>
          </cell>
          <cell r="B2074" t="str">
            <v>Doumo</v>
          </cell>
        </row>
        <row r="2075">
          <cell r="A2075" t="str">
            <v>EXN_174</v>
          </cell>
          <cell r="B2075" t="str">
            <v>Zileng</v>
          </cell>
        </row>
        <row r="2076">
          <cell r="A2076" t="str">
            <v>OST_155</v>
          </cell>
          <cell r="B2076" t="str">
            <v>Bamenkombo</v>
          </cell>
        </row>
        <row r="2077">
          <cell r="A2077" t="str">
            <v>EXN_007</v>
          </cell>
          <cell r="B2077" t="str">
            <v>Amchide</v>
          </cell>
        </row>
        <row r="2078">
          <cell r="A2078" t="str">
            <v>EXN_173</v>
          </cell>
          <cell r="B2078" t="str">
            <v>Guili</v>
          </cell>
        </row>
        <row r="2079">
          <cell r="A2079" t="str">
            <v>SUO_157</v>
          </cell>
          <cell r="B2079" t="str">
            <v>Tiko</v>
          </cell>
        </row>
        <row r="2080">
          <cell r="A2080" t="str">
            <v>EXN_042</v>
          </cell>
          <cell r="B2080" t="str">
            <v>Mozogo</v>
          </cell>
        </row>
        <row r="2081">
          <cell r="A2081" t="str">
            <v>ADM_114</v>
          </cell>
          <cell r="B2081" t="str">
            <v>Pangar</v>
          </cell>
        </row>
        <row r="2082">
          <cell r="A2082" t="str">
            <v>NRD_136</v>
          </cell>
          <cell r="B2082" t="str">
            <v>Pouss</v>
          </cell>
        </row>
        <row r="2083">
          <cell r="A2083" t="str">
            <v>CTR_434</v>
          </cell>
          <cell r="B2083" t="str">
            <v>Mekin</v>
          </cell>
        </row>
        <row r="2084">
          <cell r="A2084" t="str">
            <v>EST_021</v>
          </cell>
          <cell r="B2084" t="str">
            <v>Ngoura</v>
          </cell>
        </row>
        <row r="2085">
          <cell r="A2085" t="str">
            <v>ADM_063</v>
          </cell>
          <cell r="B2085" t="str">
            <v>Febadi</v>
          </cell>
        </row>
        <row r="2086">
          <cell r="A2086" t="str">
            <v>EXN_202</v>
          </cell>
          <cell r="B2086" t="str">
            <v>Bagarao</v>
          </cell>
        </row>
        <row r="2087">
          <cell r="A2087" t="str">
            <v>CTR_406</v>
          </cell>
          <cell r="B2087" t="str">
            <v>Mbimbim</v>
          </cell>
        </row>
        <row r="2088">
          <cell r="A2088" t="str">
            <v>LIT_500</v>
          </cell>
          <cell r="B2088" t="str">
            <v>Ndjockloumbe</v>
          </cell>
        </row>
        <row r="2089">
          <cell r="A2089" t="str">
            <v>LIT_658</v>
          </cell>
          <cell r="B2089" t="str">
            <v>Nkeng-Likok</v>
          </cell>
        </row>
        <row r="2090">
          <cell r="A2090" t="str">
            <v>CTR_454</v>
          </cell>
          <cell r="B2090" t="str">
            <v>Ouassa-Bamvele</v>
          </cell>
        </row>
        <row r="2091">
          <cell r="A2091" t="str">
            <v>EXN_043</v>
          </cell>
          <cell r="B2091" t="str">
            <v>Koza</v>
          </cell>
        </row>
        <row r="2092">
          <cell r="A2092" t="str">
            <v>EXN_133</v>
          </cell>
          <cell r="B2092" t="str">
            <v>Darrack</v>
          </cell>
        </row>
        <row r="2093">
          <cell r="A2093" t="str">
            <v>ADM_064</v>
          </cell>
          <cell r="B2093" t="str">
            <v>Koba</v>
          </cell>
        </row>
        <row r="2094">
          <cell r="A2094" t="str">
            <v>ADM_067</v>
          </cell>
          <cell r="B2094" t="str">
            <v>Doualayel</v>
          </cell>
        </row>
        <row r="2095">
          <cell r="A2095" t="str">
            <v>CTR_455</v>
          </cell>
          <cell r="B2095" t="str">
            <v>Mengue-Bibey</v>
          </cell>
        </row>
        <row r="2096">
          <cell r="A2096" t="str">
            <v>LIT_389</v>
          </cell>
          <cell r="B2096" t="str">
            <v>Dibamba</v>
          </cell>
        </row>
        <row r="2097">
          <cell r="A2097" t="str">
            <v>EXN_215</v>
          </cell>
          <cell r="B2097" t="str">
            <v>Kalfou</v>
          </cell>
        </row>
        <row r="2098">
          <cell r="A2098" t="str">
            <v>EST_011</v>
          </cell>
          <cell r="B2098" t="str">
            <v>Mbang</v>
          </cell>
        </row>
        <row r="2099">
          <cell r="A2099" t="str">
            <v>EXN_227</v>
          </cell>
          <cell r="B2099" t="str">
            <v>Tchevi</v>
          </cell>
        </row>
        <row r="2100">
          <cell r="A2100" t="str">
            <v>EST_104</v>
          </cell>
          <cell r="B2100" t="str">
            <v>Tete-d-elephant</v>
          </cell>
        </row>
        <row r="2101">
          <cell r="A2101" t="str">
            <v>OST_293</v>
          </cell>
          <cell r="B2101" t="str">
            <v>Mansouen</v>
          </cell>
        </row>
        <row r="2102">
          <cell r="A2102" t="str">
            <v>NRO_024</v>
          </cell>
          <cell r="B2102" t="str">
            <v>Babessi</v>
          </cell>
        </row>
        <row r="2103">
          <cell r="A2103" t="str">
            <v>NRO_092</v>
          </cell>
          <cell r="B2103" t="str">
            <v>Fundong</v>
          </cell>
        </row>
        <row r="2104">
          <cell r="A2104" t="str">
            <v>NRO_038</v>
          </cell>
          <cell r="B2104" t="str">
            <v>Bamessing</v>
          </cell>
        </row>
        <row r="2105">
          <cell r="A2105" t="str">
            <v>NRO_034</v>
          </cell>
          <cell r="B2105" t="str">
            <v>Balikumbat</v>
          </cell>
        </row>
        <row r="2106">
          <cell r="A2106" t="str">
            <v>NRO_240</v>
          </cell>
          <cell r="B2106" t="str">
            <v>Akum</v>
          </cell>
        </row>
        <row r="2107">
          <cell r="A2107" t="str">
            <v>SUO_131</v>
          </cell>
          <cell r="B2107" t="str">
            <v>Bonjongo</v>
          </cell>
        </row>
        <row r="2108">
          <cell r="A2108" t="str">
            <v>SUO_090</v>
          </cell>
          <cell r="B2108" t="str">
            <v>Mbongue</v>
          </cell>
        </row>
        <row r="2109">
          <cell r="A2109" t="str">
            <v>SUO_030</v>
          </cell>
          <cell r="B2109" t="str">
            <v>Bashuo-Ntai</v>
          </cell>
        </row>
        <row r="2110">
          <cell r="A2110" t="str">
            <v>NRO_094</v>
          </cell>
          <cell r="B2110" t="str">
            <v>Songkolong</v>
          </cell>
        </row>
        <row r="2111">
          <cell r="A2111" t="str">
            <v>NRO_027</v>
          </cell>
          <cell r="B2111" t="str">
            <v>Balatchi</v>
          </cell>
        </row>
        <row r="2112">
          <cell r="A2112" t="str">
            <v>NRO_041</v>
          </cell>
          <cell r="B2112" t="str">
            <v>Fundong</v>
          </cell>
        </row>
        <row r="2113">
          <cell r="A2113" t="str">
            <v>NRO_101</v>
          </cell>
          <cell r="B2113" t="str">
            <v>Ebal</v>
          </cell>
        </row>
        <row r="2114">
          <cell r="A2114" t="str">
            <v>NRO_031</v>
          </cell>
          <cell r="B2114" t="str">
            <v>Mbingo</v>
          </cell>
        </row>
        <row r="2115">
          <cell r="A2115" t="str">
            <v>NRO_245</v>
          </cell>
          <cell r="B2115" t="str">
            <v>Ntumbaw</v>
          </cell>
        </row>
        <row r="2116">
          <cell r="A2116" t="str">
            <v>NRO_033</v>
          </cell>
          <cell r="B2116" t="str">
            <v>Balikumbat</v>
          </cell>
        </row>
        <row r="2117">
          <cell r="A2117" t="str">
            <v>SUO_107</v>
          </cell>
          <cell r="B2117" t="str">
            <v>Mamfe</v>
          </cell>
        </row>
        <row r="2118">
          <cell r="A2118" t="str">
            <v>NRO_015</v>
          </cell>
          <cell r="B2118" t="str">
            <v>Fundong</v>
          </cell>
        </row>
        <row r="2119">
          <cell r="A2119" t="str">
            <v>NRO_248</v>
          </cell>
          <cell r="B2119" t="str">
            <v>Awing</v>
          </cell>
        </row>
        <row r="2120">
          <cell r="A2120" t="str">
            <v>NRO_085</v>
          </cell>
          <cell r="B2120" t="str">
            <v>Baba-Babungo</v>
          </cell>
        </row>
        <row r="2121">
          <cell r="A2121" t="str">
            <v>NRO_047</v>
          </cell>
          <cell r="B2121" t="str">
            <v>Bafmeng</v>
          </cell>
        </row>
        <row r="2122">
          <cell r="A2122" t="str">
            <v>SUO_013</v>
          </cell>
          <cell r="B2122" t="str">
            <v>Banguem</v>
          </cell>
        </row>
        <row r="2123">
          <cell r="A2123" t="str">
            <v>NRO_023</v>
          </cell>
          <cell r="B2123" t="str">
            <v>Binka</v>
          </cell>
        </row>
        <row r="2124">
          <cell r="A2124" t="str">
            <v>NRO_246</v>
          </cell>
          <cell r="B2124" t="str">
            <v>Mbot</v>
          </cell>
        </row>
        <row r="2125">
          <cell r="A2125" t="str">
            <v>NRO_237</v>
          </cell>
          <cell r="B2125" t="str">
            <v>Misaje</v>
          </cell>
        </row>
        <row r="2126">
          <cell r="A2126" t="str">
            <v>NRO_009</v>
          </cell>
          <cell r="B2126" t="str">
            <v>NDU</v>
          </cell>
        </row>
        <row r="2127">
          <cell r="A2127" t="str">
            <v>NRO_089</v>
          </cell>
          <cell r="B2127" t="str">
            <v>Ndu-Mbakfu</v>
          </cell>
        </row>
        <row r="2128">
          <cell r="A2128" t="str">
            <v>NRO_056</v>
          </cell>
          <cell r="B2128" t="str">
            <v>Ntem</v>
          </cell>
        </row>
        <row r="2129">
          <cell r="A2129" t="str">
            <v>NRO_018</v>
          </cell>
          <cell r="B2129" t="str">
            <v>Tadu</v>
          </cell>
        </row>
        <row r="2130">
          <cell r="A2130" t="str">
            <v>NRO_073</v>
          </cell>
          <cell r="B2130" t="str">
            <v>Tatum</v>
          </cell>
        </row>
        <row r="2131">
          <cell r="A2131" t="str">
            <v>NRO_039</v>
          </cell>
          <cell r="B2131" t="str">
            <v>Vikovi</v>
          </cell>
        </row>
        <row r="2132">
          <cell r="A2132" t="str">
            <v>NRO_259</v>
          </cell>
          <cell r="B2132" t="str">
            <v>Baba</v>
          </cell>
        </row>
        <row r="2133">
          <cell r="A2133" t="str">
            <v>NRO_044</v>
          </cell>
          <cell r="B2133" t="str">
            <v>Laising</v>
          </cell>
        </row>
        <row r="2134">
          <cell r="A2134" t="str">
            <v>SUO_091</v>
          </cell>
          <cell r="B2134" t="str">
            <v>Mbongue</v>
          </cell>
        </row>
        <row r="2135">
          <cell r="A2135" t="str">
            <v>NRO_032</v>
          </cell>
          <cell r="B2135" t="str">
            <v>Belo</v>
          </cell>
        </row>
        <row r="2136">
          <cell r="A2136" t="str">
            <v>SUO_016</v>
          </cell>
          <cell r="B2136" t="str">
            <v>Eyumojock</v>
          </cell>
        </row>
        <row r="2137">
          <cell r="A2137" t="str">
            <v>NRO_104</v>
          </cell>
          <cell r="B2137" t="str">
            <v>Santa</v>
          </cell>
        </row>
        <row r="2138">
          <cell r="A2138" t="str">
            <v>NRO_256</v>
          </cell>
          <cell r="B2138" t="str">
            <v>Aguli</v>
          </cell>
        </row>
        <row r="2139">
          <cell r="A2139" t="str">
            <v>NRO_255</v>
          </cell>
          <cell r="B2139" t="str">
            <v>Mbakong</v>
          </cell>
        </row>
        <row r="2140">
          <cell r="A2140" t="str">
            <v>NRO_239</v>
          </cell>
          <cell r="B2140" t="str">
            <v>Befang</v>
          </cell>
        </row>
        <row r="2141">
          <cell r="A2141" t="str">
            <v>NRO_233</v>
          </cell>
          <cell r="B2141" t="str">
            <v>Benakuma</v>
          </cell>
        </row>
        <row r="2142">
          <cell r="A2142" t="str">
            <v>SUO_101</v>
          </cell>
          <cell r="B2142" t="str">
            <v>Ebonji</v>
          </cell>
        </row>
        <row r="2143">
          <cell r="A2143" t="str">
            <v>SUO_048</v>
          </cell>
          <cell r="B2143" t="str">
            <v>Ikiliwindi</v>
          </cell>
        </row>
        <row r="2144">
          <cell r="A2144" t="str">
            <v>NRO_081</v>
          </cell>
          <cell r="B2144" t="str">
            <v>Njinikom</v>
          </cell>
        </row>
        <row r="2145">
          <cell r="A2145" t="str">
            <v>SUO_097</v>
          </cell>
          <cell r="B2145" t="str">
            <v>Gamoko</v>
          </cell>
        </row>
        <row r="2146">
          <cell r="A2146" t="str">
            <v>OST_029</v>
          </cell>
          <cell r="B2146" t="str">
            <v>Meguia</v>
          </cell>
        </row>
        <row r="2147">
          <cell r="A2147" t="str">
            <v>NRO_110</v>
          </cell>
          <cell r="B2147" t="str">
            <v>Oku</v>
          </cell>
        </row>
        <row r="2148">
          <cell r="A2148" t="str">
            <v>NRO_079</v>
          </cell>
          <cell r="B2148" t="str">
            <v>Abuh</v>
          </cell>
        </row>
        <row r="2149">
          <cell r="A2149" t="str">
            <v>NRO_050</v>
          </cell>
          <cell r="B2149" t="str">
            <v>Bangolan</v>
          </cell>
        </row>
        <row r="2150">
          <cell r="A2150" t="str">
            <v>SUO_017</v>
          </cell>
          <cell r="B2150" t="str">
            <v>Fontem</v>
          </cell>
        </row>
        <row r="2151">
          <cell r="A2151" t="str">
            <v>NRO_021</v>
          </cell>
          <cell r="B2151" t="str">
            <v>Ma</v>
          </cell>
        </row>
        <row r="2152">
          <cell r="A2152" t="str">
            <v>NRO_057</v>
          </cell>
          <cell r="B2152" t="str">
            <v>Mbonso</v>
          </cell>
        </row>
        <row r="2153">
          <cell r="A2153" t="str">
            <v>NRO_088</v>
          </cell>
          <cell r="B2153" t="str">
            <v>Nchum</v>
          </cell>
        </row>
        <row r="2154">
          <cell r="A2154" t="str">
            <v>NRO_230</v>
          </cell>
          <cell r="B2154" t="str">
            <v>Sabongari</v>
          </cell>
        </row>
        <row r="2155">
          <cell r="A2155" t="str">
            <v>NRO_234</v>
          </cell>
          <cell r="B2155" t="str">
            <v>ESSU</v>
          </cell>
        </row>
        <row r="2156">
          <cell r="A2156" t="str">
            <v>NRO_046</v>
          </cell>
          <cell r="B2156" t="str">
            <v>Dumbu</v>
          </cell>
        </row>
        <row r="2157">
          <cell r="A2157" t="str">
            <v>NRO_048</v>
          </cell>
          <cell r="B2157" t="str">
            <v>Sabga</v>
          </cell>
        </row>
        <row r="2158">
          <cell r="A2158" t="str">
            <v>ADM_065</v>
          </cell>
          <cell r="B2158" t="str">
            <v>Likok</v>
          </cell>
        </row>
        <row r="2159">
          <cell r="A2159" t="str">
            <v>EXN_019</v>
          </cell>
          <cell r="B2159" t="str">
            <v>Bourrah</v>
          </cell>
        </row>
        <row r="2160">
          <cell r="A2160" t="str">
            <v>EST_019</v>
          </cell>
          <cell r="B2160" t="str">
            <v>Dimako</v>
          </cell>
        </row>
        <row r="2161">
          <cell r="A2161" t="str">
            <v>LIT_114</v>
          </cell>
          <cell r="B2161" t="str">
            <v>Makondo</v>
          </cell>
        </row>
        <row r="2162">
          <cell r="A2162" t="str">
            <v>NRO_090</v>
          </cell>
          <cell r="B2162" t="str">
            <v>Nkambe</v>
          </cell>
        </row>
        <row r="2163">
          <cell r="A2163" t="str">
            <v>LIT_703</v>
          </cell>
          <cell r="B2163" t="str">
            <v>Douala</v>
          </cell>
        </row>
        <row r="2164">
          <cell r="A2164" t="str">
            <v>EXN_005</v>
          </cell>
          <cell r="B2164" t="str">
            <v>Mora</v>
          </cell>
        </row>
        <row r="2165">
          <cell r="A2165" t="str">
            <v>SUO_012</v>
          </cell>
          <cell r="B2165" t="str">
            <v>Muyuka</v>
          </cell>
        </row>
        <row r="2166">
          <cell r="A2166" t="str">
            <v>EST_012</v>
          </cell>
          <cell r="B2166" t="str">
            <v>Mindourou</v>
          </cell>
        </row>
        <row r="2167">
          <cell r="A2167" t="str">
            <v>SUO_015</v>
          </cell>
          <cell r="B2167" t="str">
            <v>Ekok</v>
          </cell>
        </row>
        <row r="2168">
          <cell r="A2168" t="str">
            <v>NRO_012</v>
          </cell>
          <cell r="B2168" t="str">
            <v>Mwa</v>
          </cell>
        </row>
        <row r="2169">
          <cell r="A2169" t="str">
            <v>NRO_010</v>
          </cell>
          <cell r="B2169" t="str">
            <v>Batibo</v>
          </cell>
        </row>
        <row r="2170">
          <cell r="A2170" t="str">
            <v>SUO_020</v>
          </cell>
          <cell r="B2170" t="str">
            <v>Mundemba</v>
          </cell>
        </row>
        <row r="2171">
          <cell r="A2171" t="str">
            <v>SUO_022</v>
          </cell>
          <cell r="B2171" t="str">
            <v>Nguti</v>
          </cell>
        </row>
        <row r="2172">
          <cell r="A2172" t="str">
            <v>SUO_019</v>
          </cell>
          <cell r="B2172" t="str">
            <v>Ekondo-Titi</v>
          </cell>
        </row>
        <row r="2173">
          <cell r="A2173" t="str">
            <v>SUO_032</v>
          </cell>
          <cell r="B2173" t="str">
            <v>Konye</v>
          </cell>
        </row>
        <row r="2174">
          <cell r="A2174" t="str">
            <v>EST_043</v>
          </cell>
          <cell r="B2174" t="str">
            <v>Ngola</v>
          </cell>
        </row>
        <row r="2175">
          <cell r="A2175" t="str">
            <v>SUO_034</v>
          </cell>
          <cell r="B2175" t="str">
            <v>Kurume</v>
          </cell>
        </row>
        <row r="2176">
          <cell r="A2176" t="str">
            <v>EST_042</v>
          </cell>
          <cell r="B2176" t="str">
            <v>Lokomo</v>
          </cell>
        </row>
        <row r="2177">
          <cell r="A2177" t="str">
            <v>EXN_024</v>
          </cell>
          <cell r="B2177" t="str">
            <v>Mogode</v>
          </cell>
        </row>
        <row r="2178">
          <cell r="A2178" t="str">
            <v>SUO_039</v>
          </cell>
          <cell r="B2178" t="str">
            <v>Nyassosso</v>
          </cell>
        </row>
        <row r="2179">
          <cell r="A2179" t="str">
            <v>ADM_027</v>
          </cell>
          <cell r="B2179" t="str">
            <v>Bata</v>
          </cell>
        </row>
        <row r="2180">
          <cell r="A2180" t="str">
            <v>SUD_226</v>
          </cell>
          <cell r="B2180" t="str">
            <v>Mvengue</v>
          </cell>
        </row>
        <row r="2181">
          <cell r="A2181" t="str">
            <v>SUO_040</v>
          </cell>
          <cell r="B2181" t="str">
            <v>Tinto</v>
          </cell>
        </row>
        <row r="2182">
          <cell r="A2182" t="str">
            <v>NRO_231</v>
          </cell>
          <cell r="B2182" t="str">
            <v>Ako</v>
          </cell>
        </row>
        <row r="2183">
          <cell r="A2183" t="str">
            <v>SUO_043</v>
          </cell>
          <cell r="B2183" t="str">
            <v>Loe</v>
          </cell>
        </row>
        <row r="2184">
          <cell r="A2184" t="str">
            <v>SUO_045</v>
          </cell>
          <cell r="B2184" t="str">
            <v>Ekindi</v>
          </cell>
        </row>
        <row r="2185">
          <cell r="A2185" t="str">
            <v>SUO_047</v>
          </cell>
          <cell r="B2185" t="str">
            <v>Ekondo-Nege</v>
          </cell>
        </row>
        <row r="2186">
          <cell r="A2186" t="str">
            <v>SUO_046</v>
          </cell>
          <cell r="B2186" t="str">
            <v>Ilor</v>
          </cell>
        </row>
        <row r="2187">
          <cell r="A2187" t="str">
            <v>SUO_049</v>
          </cell>
          <cell r="B2187" t="str">
            <v>Mbakwa</v>
          </cell>
        </row>
        <row r="2188">
          <cell r="A2188" t="str">
            <v>EST_061</v>
          </cell>
          <cell r="B2188" t="str">
            <v>Mombal</v>
          </cell>
        </row>
        <row r="2189">
          <cell r="A2189" t="str">
            <v>NRO_218</v>
          </cell>
          <cell r="B2189" t="str">
            <v>Andek</v>
          </cell>
        </row>
        <row r="2190">
          <cell r="A2190" t="str">
            <v>NRO_219</v>
          </cell>
          <cell r="B2190" t="str">
            <v>Widikum</v>
          </cell>
        </row>
        <row r="2191">
          <cell r="A2191" t="str">
            <v>SUO_070</v>
          </cell>
          <cell r="B2191" t="str">
            <v>Yoke</v>
          </cell>
        </row>
        <row r="2192">
          <cell r="A2192" t="str">
            <v>SUD_257</v>
          </cell>
          <cell r="B2192" t="str">
            <v>Memve-ele</v>
          </cell>
        </row>
        <row r="2193">
          <cell r="A2193" t="str">
            <v>NRD_057</v>
          </cell>
          <cell r="B2193" t="str">
            <v>Dourbeye</v>
          </cell>
        </row>
        <row r="2194">
          <cell r="A2194" t="str">
            <v>SUD_255</v>
          </cell>
          <cell r="B2194" t="str">
            <v>Ke-Eke</v>
          </cell>
        </row>
        <row r="2195">
          <cell r="A2195" t="str">
            <v>NRD_056</v>
          </cell>
          <cell r="B2195" t="str">
            <v>Baikwa-Bere</v>
          </cell>
        </row>
        <row r="2196">
          <cell r="A2196" t="str">
            <v>NRD_055</v>
          </cell>
          <cell r="B2196" t="str">
            <v>Chamber-Wangai</v>
          </cell>
        </row>
        <row r="2197">
          <cell r="A2197" t="str">
            <v>ADM_062</v>
          </cell>
          <cell r="B2197" t="str">
            <v>Meidougou</v>
          </cell>
        </row>
        <row r="2198">
          <cell r="A2198" t="str">
            <v>SUO_085</v>
          </cell>
          <cell r="B2198" t="str">
            <v>Ngongo</v>
          </cell>
        </row>
        <row r="2199">
          <cell r="A2199" t="str">
            <v>SUO_089</v>
          </cell>
          <cell r="B2199" t="str">
            <v>Ashum</v>
          </cell>
        </row>
        <row r="2200">
          <cell r="A2200" t="str">
            <v>SUO_087</v>
          </cell>
          <cell r="B2200" t="str">
            <v>Ekona</v>
          </cell>
        </row>
        <row r="2201">
          <cell r="A2201" t="str">
            <v>ADM_068</v>
          </cell>
          <cell r="B2201" t="str">
            <v>Mayo-Darle</v>
          </cell>
        </row>
        <row r="2202">
          <cell r="A2202" t="str">
            <v>OST_116</v>
          </cell>
          <cell r="B2202" t="str">
            <v>Doumofe</v>
          </cell>
        </row>
        <row r="2203">
          <cell r="A2203" t="str">
            <v>SUD_222</v>
          </cell>
          <cell r="B2203" t="str">
            <v>Mbalam</v>
          </cell>
        </row>
        <row r="2204">
          <cell r="A2204" t="str">
            <v>NRO_261</v>
          </cell>
          <cell r="B2204" t="str">
            <v>Number49</v>
          </cell>
        </row>
        <row r="2205">
          <cell r="A2205" t="str">
            <v>OST_115</v>
          </cell>
          <cell r="B2205" t="str">
            <v>Pangari</v>
          </cell>
        </row>
        <row r="2206">
          <cell r="A2206" t="str">
            <v>NRO_258</v>
          </cell>
          <cell r="B2206" t="str">
            <v>Sop</v>
          </cell>
        </row>
        <row r="2207">
          <cell r="A2207" t="str">
            <v>SUO_086</v>
          </cell>
          <cell r="B2207" t="str">
            <v>Bombe-Bakundu</v>
          </cell>
        </row>
        <row r="2208">
          <cell r="A2208" t="str">
            <v>SUO_088</v>
          </cell>
          <cell r="B2208" t="str">
            <v>Kumbe</v>
          </cell>
        </row>
        <row r="2209">
          <cell r="A2209" t="str">
            <v>SUO_093</v>
          </cell>
          <cell r="B2209" t="str">
            <v>Mbongue</v>
          </cell>
        </row>
        <row r="2210">
          <cell r="A2210" t="str">
            <v>SUO_098</v>
          </cell>
          <cell r="B2210" t="str">
            <v>Muyengue</v>
          </cell>
        </row>
        <row r="2211">
          <cell r="A2211" t="str">
            <v>SUO_026</v>
          </cell>
          <cell r="B2211" t="str">
            <v>Muyengue</v>
          </cell>
        </row>
        <row r="2212">
          <cell r="A2212" t="str">
            <v>SUO_095</v>
          </cell>
          <cell r="B2212" t="str">
            <v>Mbongue</v>
          </cell>
        </row>
        <row r="2213">
          <cell r="A2213" t="str">
            <v>NRD_015</v>
          </cell>
          <cell r="B2213" t="str">
            <v>Bascheo</v>
          </cell>
        </row>
        <row r="2214">
          <cell r="A2214" t="str">
            <v>NRO_026</v>
          </cell>
          <cell r="B2214" t="str">
            <v>Kembong</v>
          </cell>
        </row>
        <row r="2215">
          <cell r="A2215" t="str">
            <v>ADM_075</v>
          </cell>
          <cell r="B2215" t="str">
            <v>Mayo-Baleo</v>
          </cell>
        </row>
        <row r="2216">
          <cell r="A2216" t="str">
            <v>SUO_099</v>
          </cell>
          <cell r="B2216" t="str">
            <v>Babensi</v>
          </cell>
        </row>
        <row r="2217">
          <cell r="A2217" t="str">
            <v>SUO_096</v>
          </cell>
          <cell r="B2217" t="str">
            <v>Bekondo</v>
          </cell>
        </row>
        <row r="2218">
          <cell r="A2218" t="str">
            <v>SUO_128</v>
          </cell>
          <cell r="B2218" t="str">
            <v>Ekona</v>
          </cell>
        </row>
        <row r="2219">
          <cell r="A2219" t="str">
            <v>SUO_102</v>
          </cell>
          <cell r="B2219" t="str">
            <v>Mile29</v>
          </cell>
        </row>
        <row r="2220">
          <cell r="A2220" t="str">
            <v>LIT_176</v>
          </cell>
          <cell r="B2220" t="str">
            <v>Muyengue</v>
          </cell>
        </row>
        <row r="2221">
          <cell r="A2221" t="str">
            <v>LIT_175</v>
          </cell>
          <cell r="B2221" t="str">
            <v>Muyengue</v>
          </cell>
        </row>
        <row r="2222">
          <cell r="A2222" t="str">
            <v>SUO_100</v>
          </cell>
          <cell r="B2222" t="str">
            <v>Ossing</v>
          </cell>
        </row>
        <row r="2223">
          <cell r="A2223" t="str">
            <v>SUO_092</v>
          </cell>
          <cell r="B2223" t="str">
            <v>Akwaya</v>
          </cell>
        </row>
        <row r="2224">
          <cell r="A2224" t="str">
            <v>NRO_022</v>
          </cell>
          <cell r="B2224" t="str">
            <v>Njikwa</v>
          </cell>
        </row>
        <row r="2225">
          <cell r="A2225" t="str">
            <v>NRO_052</v>
          </cell>
          <cell r="B2225" t="str">
            <v>Kumbo-Bangam</v>
          </cell>
        </row>
        <row r="2226">
          <cell r="A2226" t="str">
            <v>EST_102</v>
          </cell>
          <cell r="B2226" t="str">
            <v>Deng</v>
          </cell>
        </row>
        <row r="2227">
          <cell r="A2227" t="str">
            <v>SUO_133</v>
          </cell>
          <cell r="B2227" t="str">
            <v>Alou</v>
          </cell>
        </row>
        <row r="2228">
          <cell r="A2228" t="str">
            <v>NRO_058</v>
          </cell>
          <cell r="B2228" t="str">
            <v>Babanki</v>
          </cell>
        </row>
        <row r="2229">
          <cell r="A2229" t="str">
            <v>SUO_136</v>
          </cell>
          <cell r="B2229" t="str">
            <v>Fongo-Tongo</v>
          </cell>
        </row>
        <row r="2230">
          <cell r="A2230" t="str">
            <v>EST_103</v>
          </cell>
          <cell r="B2230" t="str">
            <v>SALAPOUMBE</v>
          </cell>
        </row>
        <row r="2231">
          <cell r="A2231" t="str">
            <v>NRO_051</v>
          </cell>
          <cell r="B2231" t="str">
            <v>Bafanji</v>
          </cell>
        </row>
        <row r="2232">
          <cell r="A2232" t="str">
            <v>CTR_442</v>
          </cell>
          <cell r="B2232" t="str">
            <v>Nkolmeyang</v>
          </cell>
        </row>
        <row r="2233">
          <cell r="A2233" t="str">
            <v>SUO_025</v>
          </cell>
          <cell r="B2233" t="str">
            <v>Bova-Bokombo</v>
          </cell>
        </row>
        <row r="2234">
          <cell r="A2234" t="str">
            <v>SUO_134</v>
          </cell>
          <cell r="B2234" t="str">
            <v>Mbonge</v>
          </cell>
        </row>
        <row r="2235">
          <cell r="A2235" t="str">
            <v>LIT_180</v>
          </cell>
          <cell r="B2235" t="str">
            <v>Yingui</v>
          </cell>
        </row>
        <row r="2236">
          <cell r="A2236" t="str">
            <v>NRO_045</v>
          </cell>
          <cell r="B2236" t="str">
            <v>Abuenshie</v>
          </cell>
        </row>
        <row r="2237">
          <cell r="A2237" t="str">
            <v>CTR_436</v>
          </cell>
          <cell r="B2237" t="str">
            <v>Akongo</v>
          </cell>
        </row>
        <row r="2238">
          <cell r="A2238" t="str">
            <v>NRO_238</v>
          </cell>
          <cell r="B2238" t="str">
            <v>Nkor</v>
          </cell>
        </row>
        <row r="2239">
          <cell r="A2239" t="str">
            <v>NRO_076</v>
          </cell>
          <cell r="B2239" t="str">
            <v>Tugi</v>
          </cell>
        </row>
        <row r="2240">
          <cell r="A2240" t="str">
            <v>NRO_236</v>
          </cell>
          <cell r="B2240" t="str">
            <v>Mbiame</v>
          </cell>
        </row>
        <row r="2241">
          <cell r="A2241" t="str">
            <v>NRO_030</v>
          </cell>
          <cell r="B2241" t="str">
            <v>Fungom</v>
          </cell>
        </row>
        <row r="2242">
          <cell r="A2242" t="str">
            <v>NRO_043</v>
          </cell>
          <cell r="B2242" t="str">
            <v>Fonfuka</v>
          </cell>
        </row>
        <row r="2243">
          <cell r="A2243" t="str">
            <v>NRO_071</v>
          </cell>
          <cell r="B2243" t="str">
            <v>Jikejem</v>
          </cell>
        </row>
        <row r="2244">
          <cell r="A2244" t="str">
            <v>NRO_086</v>
          </cell>
          <cell r="B2244" t="str">
            <v>Berore</v>
          </cell>
        </row>
        <row r="2245">
          <cell r="A2245" t="str">
            <v>SUO_153</v>
          </cell>
          <cell r="B2245" t="str">
            <v>Bai-Kuke</v>
          </cell>
        </row>
        <row r="2246">
          <cell r="A2246" t="str">
            <v>SUO_150</v>
          </cell>
          <cell r="B2246" t="str">
            <v>Banguem</v>
          </cell>
        </row>
        <row r="2247">
          <cell r="A2247" t="str">
            <v>LIT_462</v>
          </cell>
          <cell r="B2247" t="str">
            <v>Malende</v>
          </cell>
        </row>
        <row r="2248">
          <cell r="A2248" t="str">
            <v>NRO_087</v>
          </cell>
          <cell r="B2248" t="str">
            <v>Mendji</v>
          </cell>
        </row>
        <row r="2249">
          <cell r="A2249" t="str">
            <v>NRO_091</v>
          </cell>
          <cell r="B2249" t="str">
            <v>Pinyi-Ngali</v>
          </cell>
        </row>
        <row r="2250">
          <cell r="A2250" t="str">
            <v>NRO_102</v>
          </cell>
          <cell r="B2250" t="str">
            <v>Bafut</v>
          </cell>
        </row>
        <row r="2251">
          <cell r="A2251" t="str">
            <v>NRO_100</v>
          </cell>
          <cell r="B2251" t="str">
            <v>Bambalang</v>
          </cell>
        </row>
        <row r="2252">
          <cell r="A2252" t="str">
            <v>SUD_066</v>
          </cell>
          <cell r="B2252" t="str">
            <v>Mvangan</v>
          </cell>
        </row>
        <row r="2253">
          <cell r="A2253" t="str">
            <v>ADM_128</v>
          </cell>
          <cell r="B2253" t="str">
            <v>Dogba</v>
          </cell>
        </row>
        <row r="2254">
          <cell r="A2254" t="str">
            <v>NRD_110</v>
          </cell>
          <cell r="B2254" t="str">
            <v>Bardake</v>
          </cell>
        </row>
        <row r="2255">
          <cell r="A2255" t="str">
            <v>NRD_106</v>
          </cell>
          <cell r="B2255" t="str">
            <v>Mayo-Nonde</v>
          </cell>
        </row>
        <row r="2256">
          <cell r="A2256" t="str">
            <v>LIT_499</v>
          </cell>
          <cell r="B2256" t="str">
            <v>Ndogbessol</v>
          </cell>
        </row>
        <row r="2257">
          <cell r="A2257" t="str">
            <v>NRO_096</v>
          </cell>
          <cell r="B2257" t="str">
            <v>Kwaja</v>
          </cell>
        </row>
        <row r="2258">
          <cell r="A2258" t="str">
            <v>EST_115</v>
          </cell>
          <cell r="B2258" t="str">
            <v>Kika</v>
          </cell>
        </row>
        <row r="2259">
          <cell r="A2259" t="str">
            <v>NRO_247</v>
          </cell>
          <cell r="B2259" t="str">
            <v>Pinyin</v>
          </cell>
        </row>
        <row r="2260">
          <cell r="A2260" t="str">
            <v>CTR_452</v>
          </cell>
          <cell r="B2260" t="str">
            <v>Ngoumou</v>
          </cell>
        </row>
        <row r="2261">
          <cell r="A2261" t="str">
            <v>ADM_133</v>
          </cell>
          <cell r="B2261" t="str">
            <v>Nganha</v>
          </cell>
        </row>
        <row r="2262">
          <cell r="A2262" t="str">
            <v>ADM_130</v>
          </cell>
          <cell r="B2262" t="str">
            <v>Kontcha</v>
          </cell>
        </row>
        <row r="2263">
          <cell r="A2263" t="str">
            <v>EST_122</v>
          </cell>
          <cell r="B2263" t="str">
            <v>Mindourou</v>
          </cell>
        </row>
        <row r="2264">
          <cell r="A2264" t="str">
            <v>EXN_232</v>
          </cell>
          <cell r="B2264" t="str">
            <v>Gossi</v>
          </cell>
        </row>
        <row r="2265">
          <cell r="A2265" t="str">
            <v>NRD_152</v>
          </cell>
          <cell r="B2265" t="str">
            <v>Doumo</v>
          </cell>
        </row>
        <row r="2266">
          <cell r="A2266" t="str">
            <v>ADM_148</v>
          </cell>
          <cell r="B2266" t="str">
            <v>Oura-Dara</v>
          </cell>
        </row>
        <row r="2267">
          <cell r="A2267" t="str">
            <v>NRD_153</v>
          </cell>
          <cell r="B2267" t="str">
            <v>Foubarka</v>
          </cell>
        </row>
        <row r="2268">
          <cell r="A2268" t="str">
            <v>SUD_085</v>
          </cell>
          <cell r="B2268" t="str">
            <v>Campo</v>
          </cell>
        </row>
        <row r="2269">
          <cell r="A2269" t="str">
            <v>NRO_098</v>
          </cell>
          <cell r="B2269" t="str">
            <v>Djottin</v>
          </cell>
        </row>
        <row r="2270">
          <cell r="A2270" t="str">
            <v>SUO_008</v>
          </cell>
          <cell r="B2270" t="str">
            <v>Mpenda-Mbocko</v>
          </cell>
        </row>
        <row r="2271">
          <cell r="A2271" t="str">
            <v>EST_152</v>
          </cell>
          <cell r="B2271" t="str">
            <v>Bertoua</v>
          </cell>
        </row>
        <row r="2272">
          <cell r="A2272"/>
          <cell r="B2272"/>
        </row>
        <row r="2273">
          <cell r="A2273"/>
          <cell r="B2273"/>
        </row>
        <row r="2274">
          <cell r="A2274"/>
          <cell r="B2274"/>
        </row>
        <row r="2275">
          <cell r="A2275"/>
          <cell r="B2275"/>
        </row>
        <row r="2276">
          <cell r="A2276"/>
          <cell r="B2276"/>
        </row>
        <row r="2277">
          <cell r="A2277"/>
          <cell r="B2277"/>
        </row>
        <row r="2278">
          <cell r="A2278"/>
          <cell r="B2278"/>
        </row>
        <row r="2279">
          <cell r="A2279"/>
          <cell r="B227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ll downs 11052026 8h40"/>
      <sheetName val="cell downs 11052026 13h40"/>
      <sheetName val="cell downs 11052026 16h10"/>
      <sheetName val="cell downs 12052026 8h38"/>
      <sheetName val="cell downs 12052026 12h30"/>
      <sheetName val="cell downs 12052026 17h40"/>
      <sheetName val="cell downs 13052026 8h26"/>
      <sheetName val="cell downs 13052026 13h05"/>
      <sheetName val="cell downs 13052026 17h05"/>
      <sheetName val="cell downs 15052026 8h40"/>
      <sheetName val="cell downs 15052026 12h06"/>
      <sheetName val="cell downs 15052026 17h20"/>
      <sheetName val="cell downs 16052026 8h40"/>
      <sheetName val="cell downs 16052026 13h20"/>
      <sheetName val="cell downs 16052026 16h"/>
      <sheetName val="cell downs 17052026 9h20"/>
      <sheetName val="cell downs 18052026 8h38"/>
      <sheetName val="cell downs 18052026 12h37"/>
      <sheetName val="cell downs 18052026 17h40"/>
      <sheetName val="cell downs 19052026 8h38"/>
      <sheetName val="cell downs 19052026 14h14"/>
      <sheetName val="cell downs 19052026 16h46 "/>
      <sheetName val="cell downs 20052026 9h00"/>
      <sheetName val="cell downs 20052026 14h30"/>
      <sheetName val="cell downs 21052026 8h34"/>
      <sheetName val="cell downs 21052026 12h46"/>
      <sheetName val="cell downs 21052026 16h07"/>
      <sheetName val="Sheet2"/>
      <sheetName val="Rapport"/>
      <sheetName val="Breackdown-Global"/>
      <sheetName val="TREND Cell Nokia"/>
      <sheetName val="New"/>
      <sheetName val="UP"/>
      <sheetName val="cell downs 20052026 9h0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24">
          <cell r="B24" t="str">
            <v>EXN_174</v>
          </cell>
        </row>
        <row r="84">
          <cell r="B84" t="str">
            <v>SUO_131</v>
          </cell>
        </row>
        <row r="85">
          <cell r="B85" t="str">
            <v>SUO_131</v>
          </cell>
        </row>
        <row r="86">
          <cell r="B86" t="str">
            <v>ADM_021</v>
          </cell>
        </row>
        <row r="87">
          <cell r="B87" t="str">
            <v>SUD_066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DC4C-E3F3-476E-957F-7737F4ED7D11}">
  <sheetPr codeName="Sheet27">
    <tabColor theme="5"/>
  </sheetPr>
  <dimension ref="A1:AE55"/>
  <sheetViews>
    <sheetView zoomScale="58" zoomScaleNormal="58" workbookViewId="0">
      <pane xSplit="6" topLeftCell="O1" activePane="topRight" state="frozen"/>
      <selection activeCell="AB4" sqref="AB4"/>
      <selection pane="topRight" activeCell="E1" sqref="E1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0.0898437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88" x14ac:dyDescent="0.45">
      <c r="A2" s="61" t="s">
        <v>1733</v>
      </c>
      <c r="B2" s="61" t="s">
        <v>1734</v>
      </c>
      <c r="C2" s="65"/>
      <c r="D2" s="61"/>
      <c r="E2" s="61" t="s">
        <v>1749</v>
      </c>
      <c r="F2" s="70" t="e">
        <f>VLOOKUP(B2,'[2]Power '!$A:$C,3,0)</f>
        <v>#N/A</v>
      </c>
      <c r="G2" s="70" t="e">
        <f>VLOOKUP(B2,'[2]Power '!$A:$D,4,0)</f>
        <v>#N/A</v>
      </c>
      <c r="H2" s="67">
        <v>46161.848611111112</v>
      </c>
      <c r="I2" s="75">
        <f ca="1">NOW()-H2</f>
        <v>18.820081365738588</v>
      </c>
      <c r="J2" s="61"/>
      <c r="K2" s="61"/>
      <c r="L2" s="61"/>
      <c r="M2" s="61" t="s">
        <v>1750</v>
      </c>
      <c r="N2" s="61" t="s">
        <v>1751</v>
      </c>
      <c r="O2" s="61"/>
      <c r="P2" s="61"/>
      <c r="Q2" s="61"/>
      <c r="R2" s="84" t="s">
        <v>2008</v>
      </c>
      <c r="S2" s="61" t="s">
        <v>84</v>
      </c>
      <c r="T2" s="61" t="s">
        <v>1898</v>
      </c>
      <c r="U2" s="61" t="s">
        <v>1898</v>
      </c>
      <c r="V2" s="61" t="str">
        <f>VLOOKUP(B2,[2]Overall!$A:$D,4,0)</f>
        <v>TELEINFRA CENTRE</v>
      </c>
      <c r="W2" s="61" t="str">
        <f>VLOOKUP(B2,[3]Sheet1!$A:$B,2,0)</f>
        <v>Batchenga</v>
      </c>
      <c r="X2" s="61" t="str">
        <f>LEFT('[4]cell downs 21052026 8h34'!B84,3)</f>
        <v>SUO</v>
      </c>
      <c r="Y2" s="80" t="str">
        <f t="shared" ref="Y2:Y21" ca="1" si="0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21" si="1">IF(OR(E2="", E2="affected_cells=unknown"), "", LEN(E2)-LEN(SUBSTITUTE(E2, ",", "")) + LEN(E2)-LEN(SUBSTITUTE(E2, ";", "")) + 1)</f>
        <v>1</v>
      </c>
      <c r="AA2" s="61" t="s">
        <v>1566</v>
      </c>
      <c r="AB2" s="84" t="s">
        <v>1554</v>
      </c>
      <c r="AC2" s="84" t="s">
        <v>1995</v>
      </c>
      <c r="AD2" s="84" t="s">
        <v>1994</v>
      </c>
      <c r="AE2" s="61"/>
    </row>
    <row r="3" spans="1:31" ht="88" x14ac:dyDescent="0.45">
      <c r="A3" s="61" t="s">
        <v>1733</v>
      </c>
      <c r="B3" s="61" t="s">
        <v>1734</v>
      </c>
      <c r="C3" s="65"/>
      <c r="D3" s="61"/>
      <c r="E3" s="61" t="s">
        <v>1752</v>
      </c>
      <c r="F3" s="70" t="e">
        <f>VLOOKUP(B3,'[2]Power '!$A:$C,3,0)</f>
        <v>#N/A</v>
      </c>
      <c r="G3" s="70" t="e">
        <f>VLOOKUP(B3,'[2]Power '!$A:$D,4,0)</f>
        <v>#N/A</v>
      </c>
      <c r="H3" s="67">
        <v>46161.848611111112</v>
      </c>
      <c r="I3" s="75">
        <f t="shared" ref="I3:I55" ca="1" si="2">NOW()-H3</f>
        <v>18.820081365738588</v>
      </c>
      <c r="J3" s="61"/>
      <c r="K3" s="61"/>
      <c r="L3" s="61"/>
      <c r="M3" s="61" t="s">
        <v>1750</v>
      </c>
      <c r="N3" s="61" t="s">
        <v>1751</v>
      </c>
      <c r="O3" s="61"/>
      <c r="P3" s="61"/>
      <c r="Q3" s="61"/>
      <c r="R3" s="84" t="s">
        <v>2008</v>
      </c>
      <c r="S3" s="61" t="s">
        <v>84</v>
      </c>
      <c r="T3" s="61" t="s">
        <v>1898</v>
      </c>
      <c r="U3" s="61" t="s">
        <v>1898</v>
      </c>
      <c r="V3" s="61" t="str">
        <f>VLOOKUP(B3,[2]Overall!$A:$D,4,0)</f>
        <v>TELEINFRA CENTRE</v>
      </c>
      <c r="W3" s="61" t="str">
        <f>VLOOKUP(B3,[3]Sheet1!$A:$B,2,0)</f>
        <v>Batchenga</v>
      </c>
      <c r="X3" s="61" t="str">
        <f>LEFT('[4]cell downs 21052026 8h34'!B85,3)</f>
        <v>SUO</v>
      </c>
      <c r="Y3" s="80" t="str">
        <f t="shared" ca="1" si="0"/>
        <v>T&gt;72H</v>
      </c>
      <c r="Z3" s="61">
        <f t="shared" si="1"/>
        <v>1</v>
      </c>
      <c r="AA3" s="61" t="s">
        <v>1566</v>
      </c>
      <c r="AB3" s="84" t="s">
        <v>1554</v>
      </c>
      <c r="AC3" s="84" t="s">
        <v>1995</v>
      </c>
      <c r="AD3" s="84" t="s">
        <v>1994</v>
      </c>
      <c r="AE3" s="61"/>
    </row>
    <row r="4" spans="1:31" ht="88" x14ac:dyDescent="0.45">
      <c r="A4" s="61" t="s">
        <v>1733</v>
      </c>
      <c r="B4" s="61" t="s">
        <v>1734</v>
      </c>
      <c r="C4" s="65"/>
      <c r="D4" s="61"/>
      <c r="E4" s="61" t="s">
        <v>1753</v>
      </c>
      <c r="F4" s="70" t="e">
        <f>VLOOKUP(B4,'[2]Power '!$A:$C,3,0)</f>
        <v>#N/A</v>
      </c>
      <c r="G4" s="70" t="e">
        <f>VLOOKUP(B4,'[2]Power '!$A:$D,4,0)</f>
        <v>#N/A</v>
      </c>
      <c r="H4" s="67">
        <v>46161.848611111112</v>
      </c>
      <c r="I4" s="75">
        <f t="shared" ca="1" si="2"/>
        <v>18.820081365738588</v>
      </c>
      <c r="J4" s="61"/>
      <c r="K4" s="61"/>
      <c r="L4" s="61"/>
      <c r="M4" s="61" t="s">
        <v>1750</v>
      </c>
      <c r="N4" s="61" t="s">
        <v>1751</v>
      </c>
      <c r="O4" s="61"/>
      <c r="P4" s="61"/>
      <c r="Q4" s="61"/>
      <c r="R4" s="84" t="s">
        <v>2008</v>
      </c>
      <c r="S4" s="61" t="s">
        <v>84</v>
      </c>
      <c r="T4" s="61" t="s">
        <v>1898</v>
      </c>
      <c r="U4" s="61" t="s">
        <v>1898</v>
      </c>
      <c r="V4" s="61" t="str">
        <f>VLOOKUP(B4,[2]Overall!$A:$D,4,0)</f>
        <v>TELEINFRA CENTRE</v>
      </c>
      <c r="W4" s="61" t="str">
        <f>VLOOKUP(B4,[3]Sheet1!$A:$B,2,0)</f>
        <v>Batchenga</v>
      </c>
      <c r="X4" s="61" t="str">
        <f>LEFT('[4]cell downs 21052026 8h34'!B86,3)</f>
        <v>ADM</v>
      </c>
      <c r="Y4" s="80" t="str">
        <f t="shared" ca="1" si="0"/>
        <v>T&gt;72H</v>
      </c>
      <c r="Z4" s="61">
        <f t="shared" si="1"/>
        <v>1</v>
      </c>
      <c r="AA4" s="61" t="s">
        <v>1566</v>
      </c>
      <c r="AB4" s="84" t="s">
        <v>1554</v>
      </c>
      <c r="AC4" s="84" t="s">
        <v>1995</v>
      </c>
      <c r="AD4" s="84" t="s">
        <v>1994</v>
      </c>
      <c r="AE4" s="61"/>
    </row>
    <row r="5" spans="1:31" ht="378" x14ac:dyDescent="0.45">
      <c r="A5" s="61" t="s">
        <v>1710</v>
      </c>
      <c r="B5" s="61" t="s">
        <v>1711</v>
      </c>
      <c r="C5" s="65"/>
      <c r="D5" s="61"/>
      <c r="E5" s="61" t="s">
        <v>49</v>
      </c>
      <c r="F5" s="70" t="str">
        <f>VLOOKUP(B5,'[2]Power '!$A:$C,3,0)</f>
        <v>TowerCo</v>
      </c>
      <c r="G5" s="70" t="str">
        <f>VLOOKUP(B5,'[2]Power '!$A:$D,4,0)</f>
        <v>Solar-Gen</v>
      </c>
      <c r="H5" s="67">
        <v>46163.5</v>
      </c>
      <c r="I5" s="75">
        <f t="shared" ca="1" si="2"/>
        <v>17.168692476850993</v>
      </c>
      <c r="J5" s="61"/>
      <c r="K5" s="61"/>
      <c r="L5" s="61"/>
      <c r="M5" s="61" t="s">
        <v>38</v>
      </c>
      <c r="N5" s="61" t="s">
        <v>1714</v>
      </c>
      <c r="O5" s="61"/>
      <c r="P5" s="61"/>
      <c r="Q5" s="61"/>
      <c r="R5" s="84" t="s">
        <v>2010</v>
      </c>
      <c r="S5" s="84" t="s">
        <v>50</v>
      </c>
      <c r="T5" s="61" t="s">
        <v>1688</v>
      </c>
      <c r="U5" s="61" t="s">
        <v>1688</v>
      </c>
      <c r="V5" s="61" t="str">
        <f>VLOOKUP(B5,[2]Overall!$A:$D,4,0)</f>
        <v>TELEINFRA NORD</v>
      </c>
      <c r="W5" s="61" t="str">
        <f>VLOOKUP(B5,[3]Sheet1!$A:$B,2,0)</f>
        <v>Martap</v>
      </c>
      <c r="X5" s="61" t="str">
        <f>LEFT('[4]cell downs 21052026 8h34'!B87,3)</f>
        <v>SUD</v>
      </c>
      <c r="Y5" s="80" t="str">
        <f t="shared" ca="1" si="0"/>
        <v>T&gt;72H</v>
      </c>
      <c r="Z5" s="61">
        <f t="shared" si="1"/>
        <v>1</v>
      </c>
      <c r="AA5" s="61" t="s">
        <v>1566</v>
      </c>
      <c r="AB5" s="84" t="s">
        <v>1554</v>
      </c>
      <c r="AC5" s="84" t="s">
        <v>1995</v>
      </c>
      <c r="AD5" s="84" t="s">
        <v>1994</v>
      </c>
      <c r="AE5" s="61"/>
    </row>
    <row r="6" spans="1:31" ht="409.6" x14ac:dyDescent="0.45">
      <c r="A6" s="61" t="s">
        <v>1624</v>
      </c>
      <c r="B6" s="61" t="s">
        <v>1625</v>
      </c>
      <c r="C6" s="65"/>
      <c r="D6" s="61"/>
      <c r="E6" s="61" t="s">
        <v>1709</v>
      </c>
      <c r="F6" s="70" t="str">
        <f>VLOOKUP(B6,'[2]Power '!$A:$C,3,0)</f>
        <v>TowerCo</v>
      </c>
      <c r="G6" s="70" t="str">
        <f>VLOOKUP(B6,'[2]Power '!$A:$D,4,0)</f>
        <v>Grid-Gen</v>
      </c>
      <c r="H6" s="67">
        <v>46163.574305555558</v>
      </c>
      <c r="I6" s="75">
        <f t="shared" ca="1" si="2"/>
        <v>17.094386921293335</v>
      </c>
      <c r="J6" s="61"/>
      <c r="K6" s="61"/>
      <c r="L6" s="61"/>
      <c r="M6" s="61" t="s">
        <v>33</v>
      </c>
      <c r="N6" s="61" t="s">
        <v>1626</v>
      </c>
      <c r="O6" s="61"/>
      <c r="P6" s="61"/>
      <c r="Q6" s="61"/>
      <c r="R6" s="84" t="s">
        <v>1998</v>
      </c>
      <c r="S6" s="61" t="s">
        <v>32</v>
      </c>
      <c r="T6" s="61" t="s">
        <v>1900</v>
      </c>
      <c r="U6" s="61" t="s">
        <v>1900</v>
      </c>
      <c r="V6" s="61" t="str">
        <f>VLOOKUP(B6,[2]Overall!$A:$D,4,0)</f>
        <v xml:space="preserve">I-ENG </v>
      </c>
      <c r="W6" s="61" t="str">
        <f>VLOOKUP(B6,[3]Sheet1!$A:$B,2,0)</f>
        <v>Kembong</v>
      </c>
      <c r="X6" s="61" t="str">
        <f>LEFT('[4]cell downs 21052026 8h34'!B85,3)</f>
        <v>SUO</v>
      </c>
      <c r="Y6" s="80" t="str">
        <f t="shared" ca="1" si="0"/>
        <v>T&gt;72H</v>
      </c>
      <c r="Z6" s="61">
        <f t="shared" si="1"/>
        <v>2</v>
      </c>
      <c r="AA6" s="61" t="s">
        <v>1566</v>
      </c>
      <c r="AB6" s="84" t="s">
        <v>1554</v>
      </c>
      <c r="AC6" s="84" t="s">
        <v>1995</v>
      </c>
      <c r="AD6" s="84" t="s">
        <v>1994</v>
      </c>
      <c r="AE6" s="61"/>
    </row>
    <row r="7" spans="1:31" ht="88" x14ac:dyDescent="0.45">
      <c r="A7" s="61" t="s">
        <v>1783</v>
      </c>
      <c r="B7" s="61" t="s">
        <v>1784</v>
      </c>
      <c r="C7" s="65"/>
      <c r="D7" s="61"/>
      <c r="E7" s="61" t="s">
        <v>1785</v>
      </c>
      <c r="F7" s="70" t="str">
        <f>VLOOKUP(B7,'[2]Power '!$A:$C,3,0)</f>
        <v>TowerCo</v>
      </c>
      <c r="G7" s="70" t="str">
        <f>VLOOKUP(B7,'[2]Power '!$A:$D,4,0)</f>
        <v>Solar-Gen</v>
      </c>
      <c r="H7" s="67">
        <v>46167.751388888886</v>
      </c>
      <c r="I7" s="75">
        <f t="shared" ca="1" si="2"/>
        <v>12.917303587964852</v>
      </c>
      <c r="J7" s="61"/>
      <c r="K7" s="61"/>
      <c r="L7" s="61"/>
      <c r="M7" s="61" t="s">
        <v>1605</v>
      </c>
      <c r="N7" s="61" t="s">
        <v>1786</v>
      </c>
      <c r="O7" s="61"/>
      <c r="P7" s="61"/>
      <c r="Q7" s="61"/>
      <c r="R7" s="86" t="s">
        <v>2014</v>
      </c>
      <c r="S7" s="82" t="s">
        <v>71</v>
      </c>
      <c r="T7" s="82" t="s">
        <v>1895</v>
      </c>
      <c r="U7" s="82" t="s">
        <v>1896</v>
      </c>
      <c r="V7" s="61" t="str">
        <f>VLOOKUP(B7,[2]Overall!$A:$D,4,0)</f>
        <v>TELEINFRA CENTRE</v>
      </c>
      <c r="W7" s="61" t="str">
        <f>VLOOKUP(B7,[3]Sheet1!$A:$B,2,0)</f>
        <v>Song-Bong</v>
      </c>
      <c r="X7" s="61" t="str">
        <f>LEFT('[4]cell downs 21052026 8h34'!B87,3)</f>
        <v>SUD</v>
      </c>
      <c r="Y7" s="80" t="str">
        <f t="shared" ca="1" si="0"/>
        <v>T&gt;72H</v>
      </c>
      <c r="Z7" s="61">
        <f t="shared" si="1"/>
        <v>4</v>
      </c>
      <c r="AA7" s="61" t="s">
        <v>1566</v>
      </c>
      <c r="AB7" s="84" t="s">
        <v>1555</v>
      </c>
      <c r="AC7" s="84" t="s">
        <v>1995</v>
      </c>
      <c r="AD7" s="84" t="s">
        <v>1994</v>
      </c>
      <c r="AE7" s="61"/>
    </row>
    <row r="8" spans="1:31" ht="88" x14ac:dyDescent="0.45">
      <c r="A8" s="61" t="s">
        <v>1783</v>
      </c>
      <c r="B8" s="61" t="s">
        <v>1784</v>
      </c>
      <c r="C8" s="65"/>
      <c r="D8" s="61"/>
      <c r="E8" s="61" t="s">
        <v>1787</v>
      </c>
      <c r="F8" s="70" t="str">
        <f>VLOOKUP(B8,'[2]Power '!$A:$C,3,0)</f>
        <v>TowerCo</v>
      </c>
      <c r="G8" s="70" t="str">
        <f>VLOOKUP(B8,'[2]Power '!$A:$D,4,0)</f>
        <v>Solar-Gen</v>
      </c>
      <c r="H8" s="67">
        <v>46167.765972222223</v>
      </c>
      <c r="I8" s="75">
        <f t="shared" ca="1" si="2"/>
        <v>12.902720254627638</v>
      </c>
      <c r="J8" s="61"/>
      <c r="K8" s="61"/>
      <c r="L8" s="61"/>
      <c r="M8" s="61" t="s">
        <v>1605</v>
      </c>
      <c r="N8" s="61" t="s">
        <v>1788</v>
      </c>
      <c r="O8" s="61"/>
      <c r="P8" s="61"/>
      <c r="Q8" s="61"/>
      <c r="R8" s="86" t="s">
        <v>2014</v>
      </c>
      <c r="S8" s="82" t="s">
        <v>71</v>
      </c>
      <c r="T8" s="82" t="s">
        <v>1895</v>
      </c>
      <c r="U8" s="82" t="s">
        <v>1896</v>
      </c>
      <c r="V8" s="61" t="str">
        <f>VLOOKUP(B8,[2]Overall!$A:$D,4,0)</f>
        <v>TELEINFRA CENTRE</v>
      </c>
      <c r="W8" s="61" t="str">
        <f>VLOOKUP(B8,[3]Sheet1!$A:$B,2,0)</f>
        <v>Song-Bong</v>
      </c>
      <c r="X8" s="61" t="str">
        <f>LEFT('[4]cell downs 21052026 8h34'!B85,3)</f>
        <v>SUO</v>
      </c>
      <c r="Y8" s="80" t="str">
        <f t="shared" ca="1" si="0"/>
        <v>T&gt;72H</v>
      </c>
      <c r="Z8" s="61">
        <f t="shared" si="1"/>
        <v>2</v>
      </c>
      <c r="AA8" s="61" t="s">
        <v>1566</v>
      </c>
      <c r="AB8" s="84" t="s">
        <v>1555</v>
      </c>
      <c r="AC8" s="84" t="s">
        <v>1995</v>
      </c>
      <c r="AD8" s="84" t="s">
        <v>1994</v>
      </c>
      <c r="AE8" s="61"/>
    </row>
    <row r="9" spans="1:31" ht="88" x14ac:dyDescent="0.45">
      <c r="A9" s="61" t="s">
        <v>1913</v>
      </c>
      <c r="B9" s="61" t="s">
        <v>1914</v>
      </c>
      <c r="C9" s="65"/>
      <c r="D9" s="61"/>
      <c r="E9" s="61" t="s">
        <v>43</v>
      </c>
      <c r="F9" s="70" t="str">
        <f>VLOOKUP(B9,'[2]Power '!$A:$C,3,0)</f>
        <v>TowerCo</v>
      </c>
      <c r="G9" s="70" t="str">
        <f>VLOOKUP(B9,'[2]Power '!$A:$D,4,0)</f>
        <v>Gen Only</v>
      </c>
      <c r="H9" s="67">
        <v>46168.17083333333</v>
      </c>
      <c r="I9" s="75">
        <f t="shared" ca="1" si="2"/>
        <v>12.497859143521055</v>
      </c>
      <c r="J9" s="61"/>
      <c r="K9" s="61"/>
      <c r="L9" s="61"/>
      <c r="M9" s="61" t="s">
        <v>31</v>
      </c>
      <c r="N9" s="61" t="s">
        <v>1915</v>
      </c>
      <c r="O9" s="61"/>
      <c r="P9" s="61"/>
      <c r="Q9" s="61"/>
      <c r="R9" s="84" t="s">
        <v>2006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Dogba</v>
      </c>
      <c r="X9" s="61" t="str">
        <f>LEFT('[4]cell downs 21052026 8h34'!B85,3)</f>
        <v>SUO</v>
      </c>
      <c r="Y9" s="80" t="str">
        <f t="shared" ca="1" si="0"/>
        <v>T&gt;72H</v>
      </c>
      <c r="Z9" s="61">
        <f t="shared" si="1"/>
        <v>4</v>
      </c>
      <c r="AA9" s="61" t="s">
        <v>1566</v>
      </c>
      <c r="AB9" s="84" t="s">
        <v>1554</v>
      </c>
      <c r="AC9" s="84" t="s">
        <v>1995</v>
      </c>
      <c r="AD9" s="84" t="s">
        <v>1994</v>
      </c>
      <c r="AE9" s="61"/>
    </row>
    <row r="10" spans="1:31" ht="88" x14ac:dyDescent="0.45">
      <c r="A10" s="61" t="s">
        <v>1913</v>
      </c>
      <c r="B10" s="61" t="s">
        <v>1914</v>
      </c>
      <c r="C10" s="65"/>
      <c r="D10" s="61"/>
      <c r="E10" s="61" t="s">
        <v>35</v>
      </c>
      <c r="F10" s="70" t="str">
        <f>VLOOKUP(B10,'[2]Power '!$A:$C,3,0)</f>
        <v>TowerCo</v>
      </c>
      <c r="G10" s="70" t="str">
        <f>VLOOKUP(B10,'[2]Power '!$A:$D,4,0)</f>
        <v>Gen Only</v>
      </c>
      <c r="H10" s="67">
        <v>46168.17083333333</v>
      </c>
      <c r="I10" s="75">
        <f t="shared" ca="1" si="2"/>
        <v>12.497859143521055</v>
      </c>
      <c r="J10" s="61"/>
      <c r="K10" s="61"/>
      <c r="L10" s="61"/>
      <c r="M10" s="61" t="s">
        <v>31</v>
      </c>
      <c r="N10" s="61" t="s">
        <v>1916</v>
      </c>
      <c r="O10" s="61"/>
      <c r="P10" s="61"/>
      <c r="Q10" s="61"/>
      <c r="R10" s="84" t="s">
        <v>2006</v>
      </c>
      <c r="S10" s="61" t="s">
        <v>40</v>
      </c>
      <c r="T10" s="61" t="s">
        <v>1898</v>
      </c>
      <c r="U10" s="61" t="s">
        <v>1898</v>
      </c>
      <c r="V10" s="61" t="str">
        <f>VLOOKUP(B10,[2]Overall!$A:$D,4,0)</f>
        <v>TELEINFRA NORD</v>
      </c>
      <c r="W10" s="61" t="str">
        <f>VLOOKUP(B10,[3]Sheet1!$A:$B,2,0)</f>
        <v>Dogba</v>
      </c>
      <c r="X10" s="61" t="str">
        <f>LEFT('[4]cell downs 21052026 8h34'!B85,3)</f>
        <v>SUO</v>
      </c>
      <c r="Y10" s="80" t="str">
        <f t="shared" ca="1" si="0"/>
        <v>T&gt;72H</v>
      </c>
      <c r="Z10" s="61">
        <f t="shared" si="1"/>
        <v>3</v>
      </c>
      <c r="AA10" s="61" t="s">
        <v>1566</v>
      </c>
      <c r="AB10" s="84" t="s">
        <v>1554</v>
      </c>
      <c r="AC10" s="84" t="s">
        <v>1995</v>
      </c>
      <c r="AD10" s="84" t="s">
        <v>1994</v>
      </c>
      <c r="AE10" s="61"/>
    </row>
    <row r="11" spans="1:31" ht="88" x14ac:dyDescent="0.45">
      <c r="A11" s="61" t="s">
        <v>1828</v>
      </c>
      <c r="B11" s="61" t="s">
        <v>1829</v>
      </c>
      <c r="C11" s="65"/>
      <c r="D11" s="61"/>
      <c r="E11" s="61" t="s">
        <v>39</v>
      </c>
      <c r="F11" s="70" t="str">
        <f>VLOOKUP(B11,'[2]Power '!$A:$C,3,0)</f>
        <v>TowerCo</v>
      </c>
      <c r="G11" s="70" t="str">
        <f>VLOOKUP(B11,'[2]Power '!$A:$D,4,0)</f>
        <v>Solar-Grid-Gen</v>
      </c>
      <c r="H11" s="67">
        <v>46168.536111111112</v>
      </c>
      <c r="I11" s="75">
        <f t="shared" ca="1" si="2"/>
        <v>12.132581365738588</v>
      </c>
      <c r="J11" s="61"/>
      <c r="K11" s="61"/>
      <c r="L11" s="61"/>
      <c r="M11" s="61" t="s">
        <v>1712</v>
      </c>
      <c r="N11" s="61" t="s">
        <v>1830</v>
      </c>
      <c r="O11" s="61"/>
      <c r="P11" s="61"/>
      <c r="Q11" s="61"/>
      <c r="R11" s="61" t="s">
        <v>1934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Zigague</v>
      </c>
      <c r="X11" s="61" t="str">
        <f>LEFT('[4]cell downs 21052026 8h34'!B86,3)</f>
        <v>ADM</v>
      </c>
      <c r="Y11" s="80" t="str">
        <f t="shared" ca="1" si="0"/>
        <v>T&gt;72H</v>
      </c>
      <c r="Z11" s="61">
        <f t="shared" si="1"/>
        <v>1</v>
      </c>
      <c r="AA11" s="61" t="s">
        <v>1566</v>
      </c>
      <c r="AB11" s="84" t="s">
        <v>1554</v>
      </c>
      <c r="AC11" s="84" t="s">
        <v>1995</v>
      </c>
      <c r="AD11" s="84" t="s">
        <v>1994</v>
      </c>
      <c r="AE11" s="61"/>
    </row>
    <row r="12" spans="1:31" ht="117" x14ac:dyDescent="0.45">
      <c r="A12" s="61" t="s">
        <v>1834</v>
      </c>
      <c r="B12" s="61" t="s">
        <v>1835</v>
      </c>
      <c r="C12" s="65"/>
      <c r="D12" s="61"/>
      <c r="E12" s="61" t="s">
        <v>39</v>
      </c>
      <c r="F12" s="70" t="str">
        <f>VLOOKUP(B12,'[2]Power '!$A:$C,3,0)</f>
        <v>TowerCo</v>
      </c>
      <c r="G12" s="70" t="str">
        <f>VLOOKUP(B12,'[2]Power '!$A:$D,4,0)</f>
        <v>Grid-Gen</v>
      </c>
      <c r="H12" s="67">
        <v>46168.908333333333</v>
      </c>
      <c r="I12" s="75">
        <f t="shared" ca="1" si="2"/>
        <v>11.760359143518144</v>
      </c>
      <c r="J12" s="61"/>
      <c r="K12" s="61"/>
      <c r="L12" s="61"/>
      <c r="M12" s="61" t="s">
        <v>1836</v>
      </c>
      <c r="N12" s="61" t="s">
        <v>1837</v>
      </c>
      <c r="O12" s="61"/>
      <c r="P12" s="61"/>
      <c r="Q12" s="61"/>
      <c r="R12" s="61" t="s">
        <v>1966</v>
      </c>
      <c r="S12" s="61" t="s">
        <v>85</v>
      </c>
      <c r="T12" s="61" t="s">
        <v>1899</v>
      </c>
      <c r="U12" s="61" t="s">
        <v>1899</v>
      </c>
      <c r="V12" s="61" t="str">
        <f>VLOOKUP(B12,[2]Overall!$A:$D,4,0)</f>
        <v>H-TELI</v>
      </c>
      <c r="W12" s="61" t="str">
        <f>VLOOKUP(B12,[3]Sheet1!$A:$B,2,0)</f>
        <v>Ebonji</v>
      </c>
      <c r="X12" s="61" t="str">
        <f>LEFT('[4]cell downs 21052026 8h34'!B87,3)</f>
        <v>SUD</v>
      </c>
      <c r="Y12" s="80" t="str">
        <f t="shared" ca="1" si="0"/>
        <v>T&gt;72H</v>
      </c>
      <c r="Z12" s="61">
        <f t="shared" si="1"/>
        <v>1</v>
      </c>
      <c r="AA12" s="61" t="s">
        <v>1566</v>
      </c>
      <c r="AB12" s="84" t="s">
        <v>1554</v>
      </c>
      <c r="AC12" s="84" t="s">
        <v>1995</v>
      </c>
      <c r="AD12" s="84" t="s">
        <v>1994</v>
      </c>
      <c r="AE12" s="61"/>
    </row>
    <row r="13" spans="1:31" ht="117" x14ac:dyDescent="0.45">
      <c r="A13" s="61" t="s">
        <v>1803</v>
      </c>
      <c r="B13" s="61" t="s">
        <v>1804</v>
      </c>
      <c r="C13" s="65"/>
      <c r="D13" s="61"/>
      <c r="E13" s="61" t="s">
        <v>1936</v>
      </c>
      <c r="F13" s="70" t="str">
        <f>VLOOKUP(B13,'[2]Power '!$A:$C,3,0)</f>
        <v>TowerCo</v>
      </c>
      <c r="G13" s="70" t="str">
        <f>VLOOKUP(B13,'[2]Power '!$A:$D,4,0)</f>
        <v>Hybrid-Gen</v>
      </c>
      <c r="H13" s="67">
        <v>46169.260416666664</v>
      </c>
      <c r="I13" s="75">
        <f t="shared" ca="1" si="2"/>
        <v>11.408275810186751</v>
      </c>
      <c r="J13" s="61"/>
      <c r="K13" s="61"/>
      <c r="L13" s="61"/>
      <c r="M13" s="61" t="s">
        <v>1627</v>
      </c>
      <c r="N13" s="61" t="s">
        <v>1806</v>
      </c>
      <c r="O13" s="61"/>
      <c r="P13" s="61"/>
      <c r="Q13" s="61"/>
      <c r="R13" s="84" t="s">
        <v>2012</v>
      </c>
      <c r="S13" s="61" t="s">
        <v>45</v>
      </c>
      <c r="T13" s="61" t="s">
        <v>1898</v>
      </c>
      <c r="U13" s="61" t="s">
        <v>1898</v>
      </c>
      <c r="V13" s="61" t="str">
        <f>VLOOKUP(B13,[2]Overall!$A:$D,4,0)</f>
        <v>TELEINFRA CENTRE</v>
      </c>
      <c r="W13" s="61" t="str">
        <f>VLOOKUP(B13,[3]Sheet1!$A:$B,2,0)</f>
        <v>SALAPOUMBE</v>
      </c>
      <c r="X13" s="88" t="str">
        <f>LEFT(B3,3)</f>
        <v>CTR</v>
      </c>
      <c r="Y13" s="80" t="str">
        <f t="shared" ca="1" si="0"/>
        <v>T&gt;72H</v>
      </c>
      <c r="Z13" s="61">
        <f t="shared" si="1"/>
        <v>2</v>
      </c>
      <c r="AA13" s="61" t="s">
        <v>1566</v>
      </c>
      <c r="AB13" s="84" t="s">
        <v>1554</v>
      </c>
      <c r="AC13" s="84" t="s">
        <v>1995</v>
      </c>
      <c r="AD13" s="84" t="s">
        <v>1994</v>
      </c>
      <c r="AE13" s="61"/>
    </row>
    <row r="14" spans="1:31" ht="146" x14ac:dyDescent="0.45">
      <c r="A14" s="61" t="s">
        <v>1776</v>
      </c>
      <c r="B14" s="61" t="s">
        <v>1777</v>
      </c>
      <c r="C14" s="65"/>
      <c r="D14" s="61"/>
      <c r="E14" s="61" t="s">
        <v>35</v>
      </c>
      <c r="F14" s="70" t="str">
        <f>VLOOKUP(B14,'[2]Power '!$A:$C,3,0)</f>
        <v>TowerCo</v>
      </c>
      <c r="G14" s="70" t="str">
        <f>VLOOKUP(B14,'[2]Power '!$A:$D,4,0)</f>
        <v>Hybrid-Gen</v>
      </c>
      <c r="H14" s="67">
        <v>46169.529861111114</v>
      </c>
      <c r="I14" s="75">
        <f t="shared" ca="1" si="2"/>
        <v>11.138831365737133</v>
      </c>
      <c r="J14" s="61"/>
      <c r="K14" s="61"/>
      <c r="L14" s="61"/>
      <c r="M14" s="61" t="s">
        <v>31</v>
      </c>
      <c r="N14" s="61" t="s">
        <v>1778</v>
      </c>
      <c r="O14" s="61"/>
      <c r="P14" s="61"/>
      <c r="Q14" s="61"/>
      <c r="R14" s="84" t="s">
        <v>1999</v>
      </c>
      <c r="S14" s="61" t="s">
        <v>32</v>
      </c>
      <c r="T14" s="61" t="s">
        <v>1898</v>
      </c>
      <c r="U14" s="61" t="s">
        <v>1898</v>
      </c>
      <c r="V14" s="61" t="str">
        <f>VLOOKUP(B14,[2]Overall!$A:$D,4,0)</f>
        <v xml:space="preserve">I-ENG </v>
      </c>
      <c r="W14" s="61" t="str">
        <f>VLOOKUP(B14,[3]Sheet1!$A:$B,2,0)</f>
        <v>Bafmeng</v>
      </c>
      <c r="X14" s="88" t="str">
        <f>LEFT(B4,3)</f>
        <v>CTR</v>
      </c>
      <c r="Y14" s="80" t="str">
        <f t="shared" ca="1" si="0"/>
        <v>T&gt;72H</v>
      </c>
      <c r="Z14" s="61">
        <f t="shared" si="1"/>
        <v>3</v>
      </c>
      <c r="AA14" s="61" t="s">
        <v>1566</v>
      </c>
      <c r="AB14" s="84" t="s">
        <v>1555</v>
      </c>
      <c r="AC14" s="84" t="s">
        <v>1995</v>
      </c>
      <c r="AD14" s="84" t="s">
        <v>1994</v>
      </c>
      <c r="AE14" s="61"/>
    </row>
    <row r="15" spans="1:31" ht="189.5" x14ac:dyDescent="0.45">
      <c r="A15" s="61" t="s">
        <v>1838</v>
      </c>
      <c r="B15" s="61" t="s">
        <v>1839</v>
      </c>
      <c r="C15" s="65"/>
      <c r="D15" s="61"/>
      <c r="E15" s="61" t="s">
        <v>35</v>
      </c>
      <c r="F15" s="70" t="str">
        <f>VLOOKUP(B15,'[2]Power '!$A:$C,3,0)</f>
        <v>ESCO</v>
      </c>
      <c r="G15" s="70" t="str">
        <f>VLOOKUP(B15,'[2]Power '!$A:$D,4,0)</f>
        <v>Good Grid + Solar + GE</v>
      </c>
      <c r="H15" s="67">
        <v>46170.251388888886</v>
      </c>
      <c r="I15" s="75">
        <f t="shared" ca="1" si="2"/>
        <v>10.417303587964852</v>
      </c>
      <c r="J15" s="61"/>
      <c r="K15" s="61"/>
      <c r="L15" s="61"/>
      <c r="M15" s="61" t="s">
        <v>31</v>
      </c>
      <c r="N15" s="61" t="s">
        <v>1842</v>
      </c>
      <c r="O15" s="61"/>
      <c r="P15" s="61"/>
      <c r="Q15" s="61"/>
      <c r="R15" s="84" t="s">
        <v>1997</v>
      </c>
      <c r="S15" s="61" t="s">
        <v>45</v>
      </c>
      <c r="T15" s="61" t="s">
        <v>1898</v>
      </c>
      <c r="U15" s="61" t="s">
        <v>1898</v>
      </c>
      <c r="V15" s="61" t="str">
        <f>VLOOKUP(B15,[2]Overall!$A:$D,4,0)</f>
        <v>TELEINFRA CENTRE</v>
      </c>
      <c r="W15" s="61" t="str">
        <f>VLOOKUP(B15,[3]Sheet1!$A:$B,2,0)</f>
        <v>Yokadouma</v>
      </c>
      <c r="X15" s="88" t="str">
        <f>LEFT(B5,3)</f>
        <v>ADM</v>
      </c>
      <c r="Y15" s="80" t="str">
        <f t="shared" ca="1" si="0"/>
        <v>T&gt;72H</v>
      </c>
      <c r="Z15" s="61">
        <f t="shared" si="1"/>
        <v>3</v>
      </c>
      <c r="AA15" s="61" t="s">
        <v>1566</v>
      </c>
      <c r="AB15" s="84" t="s">
        <v>1554</v>
      </c>
      <c r="AC15" s="84" t="s">
        <v>1995</v>
      </c>
      <c r="AD15" s="84" t="s">
        <v>1994</v>
      </c>
      <c r="AE15" s="61"/>
    </row>
    <row r="16" spans="1:31" ht="378" x14ac:dyDescent="0.45">
      <c r="A16" s="61" t="s">
        <v>1917</v>
      </c>
      <c r="B16" s="61" t="s">
        <v>1711</v>
      </c>
      <c r="C16" s="65"/>
      <c r="D16" s="61"/>
      <c r="E16" s="61" t="s">
        <v>49</v>
      </c>
      <c r="F16" s="70" t="str">
        <f>VLOOKUP(B16,'[2]Power '!$A:$C,3,0)</f>
        <v>TowerCo</v>
      </c>
      <c r="G16" s="70" t="str">
        <f>VLOOKUP(B16,'[2]Power '!$A:$D,4,0)</f>
        <v>Solar-Gen</v>
      </c>
      <c r="H16" s="67">
        <v>46170.731249999997</v>
      </c>
      <c r="I16" s="75">
        <f t="shared" ca="1" si="2"/>
        <v>9.9374424768539029</v>
      </c>
      <c r="J16" s="61"/>
      <c r="K16" s="61"/>
      <c r="L16" s="61"/>
      <c r="M16" s="61" t="s">
        <v>38</v>
      </c>
      <c r="N16" s="61" t="s">
        <v>1918</v>
      </c>
      <c r="O16" s="61"/>
      <c r="P16" s="61"/>
      <c r="Q16" s="61"/>
      <c r="R16" s="84" t="s">
        <v>2010</v>
      </c>
      <c r="S16" s="84" t="s">
        <v>50</v>
      </c>
      <c r="T16" s="61" t="s">
        <v>1688</v>
      </c>
      <c r="U16" s="61" t="s">
        <v>1688</v>
      </c>
      <c r="V16" s="61" t="str">
        <f>VLOOKUP(B16,[2]Overall!$A:$D,4,0)</f>
        <v>TELEINFRA NORD</v>
      </c>
      <c r="W16" s="61" t="str">
        <f>VLOOKUP(B16,[3]Sheet1!$A:$B,2,0)</f>
        <v>Martap</v>
      </c>
      <c r="X16" s="88" t="str">
        <f>LEFT(B6,3)</f>
        <v>NRO</v>
      </c>
      <c r="Y16" s="80" t="str">
        <f t="shared" ca="1" si="0"/>
        <v>T&gt;72H</v>
      </c>
      <c r="Z16" s="61">
        <f t="shared" si="1"/>
        <v>1</v>
      </c>
      <c r="AA16" s="61" t="s">
        <v>1566</v>
      </c>
      <c r="AB16" s="84" t="s">
        <v>1554</v>
      </c>
      <c r="AC16" s="84" t="s">
        <v>1995</v>
      </c>
      <c r="AD16" s="84" t="s">
        <v>1994</v>
      </c>
      <c r="AE16" s="61"/>
    </row>
    <row r="17" spans="1:31" ht="102.5" x14ac:dyDescent="0.45">
      <c r="A17" s="61" t="s">
        <v>1843</v>
      </c>
      <c r="B17" s="61" t="s">
        <v>1844</v>
      </c>
      <c r="C17" s="65"/>
      <c r="D17" s="61"/>
      <c r="E17" s="61" t="s">
        <v>1879</v>
      </c>
      <c r="F17" s="70" t="str">
        <f>VLOOKUP(B17,'[2]Power '!$A:$C,3,0)</f>
        <v>TowerCo</v>
      </c>
      <c r="G17" s="70" t="str">
        <f>VLOOKUP(B17,'[2]Power '!$A:$D,4,0)</f>
        <v>Solar-Gen</v>
      </c>
      <c r="H17" s="67">
        <v>46170.776388888888</v>
      </c>
      <c r="I17" s="75">
        <f t="shared" ca="1" si="2"/>
        <v>9.8923035879633971</v>
      </c>
      <c r="J17" s="61"/>
      <c r="K17" s="61"/>
      <c r="L17" s="61"/>
      <c r="M17" s="61" t="s">
        <v>38</v>
      </c>
      <c r="N17" s="61" t="s">
        <v>1845</v>
      </c>
      <c r="O17" s="61"/>
      <c r="P17" s="61"/>
      <c r="Q17" s="61"/>
      <c r="R17" s="84" t="s">
        <v>2005</v>
      </c>
      <c r="S17" s="84" t="s">
        <v>75</v>
      </c>
      <c r="T17" s="61" t="s">
        <v>1901</v>
      </c>
      <c r="U17" s="61" t="s">
        <v>1901</v>
      </c>
      <c r="V17" s="61" t="str">
        <f>VLOOKUP(B17,[2]Overall!$A:$D,4,0)</f>
        <v>TELEINFRA NORD</v>
      </c>
      <c r="W17" s="61" t="str">
        <f>VLOOKUP(B17,[3]Sheet1!$A:$B,2,0)</f>
        <v>Mayo-Nonde</v>
      </c>
      <c r="X17" s="88" t="str">
        <f>LEFT(B7,3)</f>
        <v>CTR</v>
      </c>
      <c r="Y17" s="80" t="str">
        <f t="shared" ca="1" si="0"/>
        <v>T&gt;72H</v>
      </c>
      <c r="Z17" s="61">
        <f t="shared" si="1"/>
        <v>3</v>
      </c>
      <c r="AA17" s="61" t="s">
        <v>1566</v>
      </c>
      <c r="AB17" s="84" t="s">
        <v>1554</v>
      </c>
      <c r="AC17" s="84" t="s">
        <v>1995</v>
      </c>
      <c r="AD17" s="84" t="s">
        <v>1994</v>
      </c>
      <c r="AE17" s="61"/>
    </row>
    <row r="18" spans="1:31" ht="73.5" x14ac:dyDescent="0.45">
      <c r="A18" s="63" t="s">
        <v>1959</v>
      </c>
      <c r="B18" s="63" t="s">
        <v>1960</v>
      </c>
      <c r="C18" s="68"/>
      <c r="D18" s="63"/>
      <c r="E18" s="63" t="s">
        <v>1961</v>
      </c>
      <c r="F18" s="71" t="str">
        <f>VLOOKUP(B18,'[2]Power '!$A:$C,3,0)</f>
        <v>TowerCo</v>
      </c>
      <c r="G18" s="71" t="str">
        <f>VLOOKUP(B18,'[2]Power '!$A:$D,4,0)</f>
        <v>Hybrid-Gen</v>
      </c>
      <c r="H18" s="69">
        <v>46171.70416666667</v>
      </c>
      <c r="I18" s="77">
        <f t="shared" ca="1" si="2"/>
        <v>8.9645258101809304</v>
      </c>
      <c r="J18" s="63"/>
      <c r="K18" s="63"/>
      <c r="L18" s="63"/>
      <c r="M18" s="63" t="s">
        <v>38</v>
      </c>
      <c r="N18" s="63" t="s">
        <v>1962</v>
      </c>
      <c r="O18" s="63"/>
      <c r="P18" s="63" t="s">
        <v>1906</v>
      </c>
      <c r="Q18" s="90">
        <v>46028</v>
      </c>
      <c r="R18" s="63" t="s">
        <v>1964</v>
      </c>
      <c r="S18" s="63" t="s">
        <v>51</v>
      </c>
      <c r="T18" s="63" t="s">
        <v>1898</v>
      </c>
      <c r="U18" s="63" t="s">
        <v>1898</v>
      </c>
      <c r="V18" s="63" t="str">
        <f>VLOOKUP(B18,[2]Overall!$A:$D,4,0)</f>
        <v xml:space="preserve">I-ENG </v>
      </c>
      <c r="W18" s="63" t="str">
        <f>VLOOKUP(B18,[3]Sheet1!$A:$B,2,0)</f>
        <v>Sabongari</v>
      </c>
      <c r="X18" s="89" t="str">
        <f>LEFT(B3,3)</f>
        <v>CTR</v>
      </c>
      <c r="Y18" s="81" t="str">
        <f t="shared" ca="1" si="0"/>
        <v>T&gt;72H</v>
      </c>
      <c r="Z18" s="63">
        <f t="shared" si="1"/>
        <v>2</v>
      </c>
      <c r="AA18" s="63" t="s">
        <v>77</v>
      </c>
      <c r="AB18" s="85" t="s">
        <v>1554</v>
      </c>
      <c r="AC18" s="85" t="s">
        <v>1995</v>
      </c>
      <c r="AD18" s="85" t="s">
        <v>1994</v>
      </c>
      <c r="AE18" s="63"/>
    </row>
    <row r="19" spans="1:31" ht="102.5" x14ac:dyDescent="0.45">
      <c r="A19" s="61" t="s">
        <v>1581</v>
      </c>
      <c r="B19" s="61" t="s">
        <v>1582</v>
      </c>
      <c r="C19" s="65"/>
      <c r="D19" s="61"/>
      <c r="E19" s="61" t="s">
        <v>1937</v>
      </c>
      <c r="F19" s="70" t="str">
        <f>VLOOKUP(B19,'[2]Power '!$A:$C,3,0)</f>
        <v>TowerCo</v>
      </c>
      <c r="G19" s="70" t="str">
        <f>VLOOKUP(B19,'[2]Power '!$A:$D,4,0)</f>
        <v>Grid-Gen</v>
      </c>
      <c r="H19" s="67">
        <v>46172.45</v>
      </c>
      <c r="I19" s="75">
        <f t="shared" ca="1" si="2"/>
        <v>8.2186924768539029</v>
      </c>
      <c r="J19" s="61"/>
      <c r="K19" s="61"/>
      <c r="L19" s="61"/>
      <c r="M19" s="61" t="s">
        <v>41</v>
      </c>
      <c r="N19" s="61" t="s">
        <v>1938</v>
      </c>
      <c r="O19" s="61"/>
      <c r="P19" s="61"/>
      <c r="Q19" s="61"/>
      <c r="R19" s="84" t="s">
        <v>2000</v>
      </c>
      <c r="S19" s="61" t="s">
        <v>32</v>
      </c>
      <c r="T19" s="61" t="s">
        <v>1840</v>
      </c>
      <c r="U19" s="61" t="s">
        <v>1840</v>
      </c>
      <c r="V19" s="61" t="str">
        <f>VLOOKUP(B19,[2]Overall!$A:$D,4,0)</f>
        <v xml:space="preserve">I-ENG </v>
      </c>
      <c r="W19" s="61" t="str">
        <f>VLOOKUP(B19,[3]Sheet1!$A:$B,2,0)</f>
        <v>Batibo</v>
      </c>
      <c r="X19" s="88" t="str">
        <f t="shared" ref="X19:X29" si="3">LEFT(B9,3)</f>
        <v>EXN</v>
      </c>
      <c r="Y19" s="80" t="str">
        <f t="shared" ca="1" si="0"/>
        <v>T&gt;72H</v>
      </c>
      <c r="Z19" s="61">
        <f t="shared" si="1"/>
        <v>1</v>
      </c>
      <c r="AA19" s="61" t="s">
        <v>1566</v>
      </c>
      <c r="AB19" s="84" t="s">
        <v>1554</v>
      </c>
      <c r="AC19" s="84" t="s">
        <v>1995</v>
      </c>
      <c r="AD19" s="84" t="s">
        <v>1994</v>
      </c>
      <c r="AE19" s="61"/>
    </row>
    <row r="20" spans="1:31" ht="44.5" x14ac:dyDescent="0.45">
      <c r="A20" s="61" t="s">
        <v>1930</v>
      </c>
      <c r="B20" s="61" t="s">
        <v>1931</v>
      </c>
      <c r="C20" s="65"/>
      <c r="D20" s="61"/>
      <c r="E20" s="61" t="s">
        <v>34</v>
      </c>
      <c r="F20" s="70" t="str">
        <f>VLOOKUP(B20,'[2]Power '!$A:$C,3,0)</f>
        <v>TowerCo</v>
      </c>
      <c r="G20" s="70" t="str">
        <f>VLOOKUP(B20,'[2]Power '!$A:$D,4,0)</f>
        <v>Hybrid-Gen</v>
      </c>
      <c r="H20" s="67">
        <v>46172.53402777778</v>
      </c>
      <c r="I20" s="75">
        <f t="shared" ca="1" si="2"/>
        <v>8.1346646990714362</v>
      </c>
      <c r="J20" s="61"/>
      <c r="K20" s="61"/>
      <c r="L20" s="61"/>
      <c r="M20" s="61" t="s">
        <v>1929</v>
      </c>
      <c r="N20" s="61" t="s">
        <v>1932</v>
      </c>
      <c r="O20" s="61"/>
      <c r="P20" s="61"/>
      <c r="Q20" s="61"/>
      <c r="R20" s="61" t="s">
        <v>1967</v>
      </c>
      <c r="S20" s="61" t="s">
        <v>40</v>
      </c>
      <c r="T20" s="61" t="s">
        <v>1898</v>
      </c>
      <c r="U20" s="61" t="s">
        <v>1898</v>
      </c>
      <c r="V20" s="61" t="str">
        <f>VLOOKUP(B20,[2]Overall!$A:$D,4,0)</f>
        <v>TELEINFRA NORD</v>
      </c>
      <c r="W20" s="61" t="str">
        <f>VLOOKUP(B20,[3]Sheet1!$A:$B,2,0)</f>
        <v>Mazera</v>
      </c>
      <c r="X20" s="88" t="str">
        <f t="shared" si="3"/>
        <v>EXN</v>
      </c>
      <c r="Y20" s="80" t="str">
        <f t="shared" ca="1" si="0"/>
        <v>T&gt;72H</v>
      </c>
      <c r="Z20" s="61">
        <f t="shared" si="1"/>
        <v>1</v>
      </c>
      <c r="AA20" s="61" t="s">
        <v>1566</v>
      </c>
      <c r="AB20" s="84" t="s">
        <v>1554</v>
      </c>
      <c r="AC20" s="84" t="s">
        <v>1995</v>
      </c>
      <c r="AD20" s="84" t="s">
        <v>1994</v>
      </c>
      <c r="AE20" s="61"/>
    </row>
    <row r="21" spans="1:31" ht="102.5" x14ac:dyDescent="0.45">
      <c r="A21" s="61" t="s">
        <v>1920</v>
      </c>
      <c r="B21" s="61" t="s">
        <v>1921</v>
      </c>
      <c r="C21" s="65"/>
      <c r="D21" s="61"/>
      <c r="E21" s="61" t="s">
        <v>1922</v>
      </c>
      <c r="F21" s="70" t="str">
        <f>VLOOKUP(B21,'[2]Power '!$A:$C,3,0)</f>
        <v>TowerCo</v>
      </c>
      <c r="G21" s="70" t="str">
        <f>VLOOKUP(B21,'[2]Power '!$A:$D,4,0)</f>
        <v>Grid-Gen</v>
      </c>
      <c r="H21" s="67">
        <v>46172.580555555556</v>
      </c>
      <c r="I21" s="75">
        <f t="shared" ca="1" si="2"/>
        <v>8.0881369212947902</v>
      </c>
      <c r="J21" s="61"/>
      <c r="K21" s="61"/>
      <c r="L21" s="61"/>
      <c r="M21" s="61" t="s">
        <v>31</v>
      </c>
      <c r="N21" s="61" t="s">
        <v>1923</v>
      </c>
      <c r="O21" s="61"/>
      <c r="P21" s="61"/>
      <c r="Q21" s="61"/>
      <c r="R21" s="61" t="s">
        <v>1968</v>
      </c>
      <c r="S21" s="61" t="s">
        <v>40</v>
      </c>
      <c r="T21" s="61" t="s">
        <v>1898</v>
      </c>
      <c r="U21" s="61" t="s">
        <v>1898</v>
      </c>
      <c r="V21" s="61" t="str">
        <f>VLOOKUP(B21,[2]Overall!$A:$D,4,0)</f>
        <v>TELEINFRA NORD</v>
      </c>
      <c r="W21" s="61" t="str">
        <f>VLOOKUP(B21,[3]Sheet1!$A:$B,2,0)</f>
        <v>Mbidou</v>
      </c>
      <c r="X21" s="88" t="str">
        <f t="shared" si="3"/>
        <v>EXN</v>
      </c>
      <c r="Y21" s="80" t="str">
        <f t="shared" ca="1" si="0"/>
        <v>T&gt;72H</v>
      </c>
      <c r="Z21" s="61">
        <f t="shared" si="1"/>
        <v>3</v>
      </c>
      <c r="AA21" s="61" t="s">
        <v>1566</v>
      </c>
      <c r="AB21" s="84" t="s">
        <v>1554</v>
      </c>
      <c r="AC21" s="84" t="s">
        <v>1995</v>
      </c>
      <c r="AD21" s="84" t="s">
        <v>1994</v>
      </c>
      <c r="AE21" s="61"/>
    </row>
    <row r="22" spans="1:31" ht="102.5" x14ac:dyDescent="0.45">
      <c r="A22" s="61" t="s">
        <v>1920</v>
      </c>
      <c r="B22" s="61" t="s">
        <v>1921</v>
      </c>
      <c r="C22" s="65"/>
      <c r="D22" s="61"/>
      <c r="E22" s="61" t="s">
        <v>1922</v>
      </c>
      <c r="F22" s="70" t="str">
        <f>VLOOKUP(B22,'[2]Power '!$A:$C,3,0)</f>
        <v>TowerCo</v>
      </c>
      <c r="G22" s="70" t="str">
        <f>VLOOKUP(B22,'[2]Power '!$A:$D,4,0)</f>
        <v>Grid-Gen</v>
      </c>
      <c r="H22" s="67">
        <v>46172.588194444441</v>
      </c>
      <c r="I22" s="75">
        <f t="shared" ca="1" si="2"/>
        <v>8.0804980324101052</v>
      </c>
      <c r="J22" s="61"/>
      <c r="K22" s="61"/>
      <c r="L22" s="61"/>
      <c r="M22" s="61" t="s">
        <v>1713</v>
      </c>
      <c r="N22" s="61" t="s">
        <v>1952</v>
      </c>
      <c r="O22" s="61"/>
      <c r="P22" s="61"/>
      <c r="Q22" s="61"/>
      <c r="R22" s="61" t="s">
        <v>1968</v>
      </c>
      <c r="S22" s="61" t="s">
        <v>40</v>
      </c>
      <c r="T22" s="61" t="s">
        <v>1898</v>
      </c>
      <c r="U22" s="61" t="s">
        <v>1898</v>
      </c>
      <c r="V22" s="61" t="str">
        <f>VLOOKUP(B22,[2]Overall!$A:$D,4,0)</f>
        <v>TELEINFRA NORD</v>
      </c>
      <c r="W22" s="61" t="str">
        <f>VLOOKUP(B22,[3]Sheet1!$A:$B,2,0)</f>
        <v>Mbidou</v>
      </c>
      <c r="X22" s="88" t="str">
        <f t="shared" si="3"/>
        <v>SUO</v>
      </c>
      <c r="Y22" s="80" t="str">
        <f t="shared" ref="Y22:Y55" ca="1" si="4">IF(I22 &lt; 1/24, "T&lt;1H", IF(AND(I22&lt;2/24, I22&gt;1/24), "1H&lt;T&lt;2H", IF(AND(I22&lt;4/24, I22&gt;2/24), "2H&lt;T&lt;4H", IF(AND(I22&lt;8/24, I22&gt;4/24), "4H&lt;T&lt;8H", IF(AND(I22&lt;16/24, I22&gt;8/24), "8H&lt;T&lt;16H",IF(AND(I22&lt;24/24, I22&gt;16/24),"16H&lt;T&lt;24H", IF(AND(I22&lt;48/24, I22&gt;24/24),"24H&lt;T&lt;48H",IF(AND(I22&lt;72/24, I22&gt;24/24),"48H&lt;T&lt;72H", "T&gt;72H"))))))))</f>
        <v>T&gt;72H</v>
      </c>
      <c r="Z22" s="61">
        <f t="shared" ref="Z22:Z55" si="5">IF(OR(E22="", E22="affected_cells=unknown"), "", LEN(E22)-LEN(SUBSTITUTE(E22, ",", "")) + LEN(E22)-LEN(SUBSTITUTE(E22, ";", "")) + 1)</f>
        <v>3</v>
      </c>
      <c r="AA22" s="61" t="s">
        <v>1566</v>
      </c>
      <c r="AB22" s="84" t="s">
        <v>1554</v>
      </c>
      <c r="AC22" s="84" t="s">
        <v>1995</v>
      </c>
      <c r="AD22" s="84" t="s">
        <v>1994</v>
      </c>
      <c r="AE22" s="61"/>
    </row>
    <row r="23" spans="1:31" ht="175" x14ac:dyDescent="0.45">
      <c r="A23" s="61" t="s">
        <v>1779</v>
      </c>
      <c r="B23" s="61" t="s">
        <v>1780</v>
      </c>
      <c r="C23" s="65"/>
      <c r="D23" s="61"/>
      <c r="E23" s="61" t="s">
        <v>37</v>
      </c>
      <c r="F23" s="70" t="str">
        <f>VLOOKUP(B23,'[2]Power '!$A:$C,3,0)</f>
        <v>TowerCo</v>
      </c>
      <c r="G23" s="70" t="str">
        <f>VLOOKUP(B23,'[2]Power '!$A:$D,4,0)</f>
        <v>Solar-Gen</v>
      </c>
      <c r="H23" s="67">
        <v>46172.679166666669</v>
      </c>
      <c r="I23" s="75">
        <f t="shared" ca="1" si="2"/>
        <v>7.9895258101823856</v>
      </c>
      <c r="J23" s="61"/>
      <c r="K23" s="61"/>
      <c r="L23" s="61"/>
      <c r="M23" s="61" t="s">
        <v>41</v>
      </c>
      <c r="N23" s="61" t="s">
        <v>1781</v>
      </c>
      <c r="O23" s="61"/>
      <c r="P23" s="61"/>
      <c r="Q23" s="61"/>
      <c r="R23" s="84" t="s">
        <v>2007</v>
      </c>
      <c r="S23" s="61" t="s">
        <v>40</v>
      </c>
      <c r="T23" s="61" t="s">
        <v>1883</v>
      </c>
      <c r="U23" s="61" t="s">
        <v>1883</v>
      </c>
      <c r="V23" s="61" t="str">
        <f>VLOOKUP(B23,[2]Overall!$A:$D,4,0)</f>
        <v>TELEINFRA NORD</v>
      </c>
      <c r="W23" s="61" t="str">
        <f>VLOOKUP(B23,[3]Sheet1!$A:$B,2,0)</f>
        <v>Badjonre</v>
      </c>
      <c r="X23" s="88" t="str">
        <f t="shared" si="3"/>
        <v>EST</v>
      </c>
      <c r="Y23" s="80" t="str">
        <f t="shared" ca="1" si="4"/>
        <v>T&gt;72H</v>
      </c>
      <c r="Z23" s="61">
        <f t="shared" si="5"/>
        <v>1</v>
      </c>
      <c r="AA23" s="61" t="s">
        <v>1566</v>
      </c>
      <c r="AB23" s="84" t="s">
        <v>1554</v>
      </c>
      <c r="AC23" s="84" t="s">
        <v>1995</v>
      </c>
      <c r="AD23" s="84" t="s">
        <v>1994</v>
      </c>
      <c r="AE23" s="61"/>
    </row>
    <row r="24" spans="1:31" ht="334.5" x14ac:dyDescent="0.45">
      <c r="A24" s="61" t="s">
        <v>1773</v>
      </c>
      <c r="B24" s="61" t="s">
        <v>1774</v>
      </c>
      <c r="C24" s="65"/>
      <c r="D24" s="61"/>
      <c r="E24" s="61" t="s">
        <v>1956</v>
      </c>
      <c r="F24" s="70" t="str">
        <f>VLOOKUP(B24,'[2]Power '!$A:$C,3,0)</f>
        <v>TowerCo</v>
      </c>
      <c r="G24" s="70" t="str">
        <f>VLOOKUP(B24,'[2]Power '!$A:$D,4,0)</f>
        <v>Solar-Gen</v>
      </c>
      <c r="H24" s="67">
        <v>46172.719444444447</v>
      </c>
      <c r="I24" s="75">
        <f t="shared" ca="1" si="2"/>
        <v>7.9492480324042845</v>
      </c>
      <c r="J24" s="61"/>
      <c r="K24" s="61"/>
      <c r="L24" s="61"/>
      <c r="M24" s="61" t="s">
        <v>31</v>
      </c>
      <c r="N24" s="61" t="s">
        <v>1957</v>
      </c>
      <c r="O24" s="61"/>
      <c r="P24" s="61"/>
      <c r="Q24" s="61"/>
      <c r="R24" s="84" t="s">
        <v>2004</v>
      </c>
      <c r="S24" s="61" t="s">
        <v>40</v>
      </c>
      <c r="T24" s="61" t="s">
        <v>1898</v>
      </c>
      <c r="U24" s="61" t="s">
        <v>1898</v>
      </c>
      <c r="V24" s="61" t="str">
        <f>VLOOKUP(B24,[2]Overall!$A:$D,4,0)</f>
        <v>TELEINFRA NORD</v>
      </c>
      <c r="W24" s="61" t="str">
        <f>VLOOKUP(B24,[3]Sheet1!$A:$B,2,0)</f>
        <v>Hamalade</v>
      </c>
      <c r="X24" s="88" t="str">
        <f t="shared" si="3"/>
        <v>NRO</v>
      </c>
      <c r="Y24" s="80" t="str">
        <f t="shared" ca="1" si="4"/>
        <v>T&gt;72H</v>
      </c>
      <c r="Z24" s="61">
        <f t="shared" si="5"/>
        <v>3</v>
      </c>
      <c r="AA24" s="61" t="s">
        <v>1566</v>
      </c>
      <c r="AB24" s="84" t="s">
        <v>1554</v>
      </c>
      <c r="AC24" s="84" t="s">
        <v>1995</v>
      </c>
      <c r="AD24" s="84" t="s">
        <v>1994</v>
      </c>
      <c r="AE24" s="61"/>
    </row>
    <row r="25" spans="1:31" ht="334.5" x14ac:dyDescent="0.45">
      <c r="A25" s="61" t="s">
        <v>1773</v>
      </c>
      <c r="B25" s="61" t="s">
        <v>1774</v>
      </c>
      <c r="C25" s="65"/>
      <c r="D25" s="61"/>
      <c r="E25" s="61" t="s">
        <v>35</v>
      </c>
      <c r="F25" s="70" t="str">
        <f>VLOOKUP(B25,'[2]Power '!$A:$C,3,0)</f>
        <v>TowerCo</v>
      </c>
      <c r="G25" s="70" t="str">
        <f>VLOOKUP(B25,'[2]Power '!$A:$D,4,0)</f>
        <v>Solar-Gen</v>
      </c>
      <c r="H25" s="67">
        <v>46172.719444444447</v>
      </c>
      <c r="I25" s="75">
        <f t="shared" ca="1" si="2"/>
        <v>7.9492480324042845</v>
      </c>
      <c r="J25" s="61"/>
      <c r="K25" s="61"/>
      <c r="L25" s="61"/>
      <c r="M25" s="61" t="s">
        <v>31</v>
      </c>
      <c r="N25" s="61" t="s">
        <v>1775</v>
      </c>
      <c r="O25" s="61"/>
      <c r="P25" s="61"/>
      <c r="Q25" s="61"/>
      <c r="R25" s="84" t="s">
        <v>2004</v>
      </c>
      <c r="S25" s="61" t="s">
        <v>40</v>
      </c>
      <c r="T25" s="61" t="s">
        <v>1898</v>
      </c>
      <c r="U25" s="61" t="s">
        <v>1898</v>
      </c>
      <c r="V25" s="61" t="str">
        <f>VLOOKUP(B25,[2]Overall!$A:$D,4,0)</f>
        <v>TELEINFRA NORD</v>
      </c>
      <c r="W25" s="61" t="str">
        <f>VLOOKUP(B25,[3]Sheet1!$A:$B,2,0)</f>
        <v>Hamalade</v>
      </c>
      <c r="X25" s="88" t="str">
        <f t="shared" si="3"/>
        <v>EST</v>
      </c>
      <c r="Y25" s="80" t="str">
        <f t="shared" ca="1" si="4"/>
        <v>T&gt;72H</v>
      </c>
      <c r="Z25" s="61">
        <f t="shared" si="5"/>
        <v>3</v>
      </c>
      <c r="AA25" s="61" t="s">
        <v>1566</v>
      </c>
      <c r="AB25" s="84" t="s">
        <v>1554</v>
      </c>
      <c r="AC25" s="84" t="s">
        <v>1995</v>
      </c>
      <c r="AD25" s="84" t="s">
        <v>1994</v>
      </c>
      <c r="AE25" s="61"/>
    </row>
    <row r="26" spans="1:31" ht="334.5" x14ac:dyDescent="0.45">
      <c r="A26" s="61" t="s">
        <v>1773</v>
      </c>
      <c r="B26" s="61" t="s">
        <v>1774</v>
      </c>
      <c r="C26" s="65"/>
      <c r="D26" s="61"/>
      <c r="E26" s="61" t="s">
        <v>1954</v>
      </c>
      <c r="F26" s="70" t="str">
        <f>VLOOKUP(B26,'[2]Power '!$A:$C,3,0)</f>
        <v>TowerCo</v>
      </c>
      <c r="G26" s="70" t="str">
        <f>VLOOKUP(B26,'[2]Power '!$A:$D,4,0)</f>
        <v>Solar-Gen</v>
      </c>
      <c r="H26" s="67">
        <v>46172.724305555559</v>
      </c>
      <c r="I26" s="75">
        <f t="shared" ca="1" si="2"/>
        <v>7.9443869212918798</v>
      </c>
      <c r="J26" s="61"/>
      <c r="K26" s="61"/>
      <c r="L26" s="61"/>
      <c r="M26" s="61" t="s">
        <v>1750</v>
      </c>
      <c r="N26" s="61" t="s">
        <v>1751</v>
      </c>
      <c r="O26" s="61"/>
      <c r="P26" s="61"/>
      <c r="Q26" s="61"/>
      <c r="R26" s="84" t="s">
        <v>2004</v>
      </c>
      <c r="S26" s="61" t="s">
        <v>40</v>
      </c>
      <c r="T26" s="61" t="s">
        <v>1898</v>
      </c>
      <c r="U26" s="61" t="s">
        <v>1898</v>
      </c>
      <c r="V26" s="61" t="str">
        <f>VLOOKUP(B26,[2]Overall!$A:$D,4,0)</f>
        <v>TELEINFRA NORD</v>
      </c>
      <c r="W26" s="61" t="str">
        <f>VLOOKUP(B26,[3]Sheet1!$A:$B,2,0)</f>
        <v>Hamalade</v>
      </c>
      <c r="X26" s="88" t="str">
        <f t="shared" si="3"/>
        <v>ADM</v>
      </c>
      <c r="Y26" s="80" t="str">
        <f t="shared" ca="1" si="4"/>
        <v>T&gt;72H</v>
      </c>
      <c r="Z26" s="61">
        <f t="shared" si="5"/>
        <v>1</v>
      </c>
      <c r="AA26" s="61" t="s">
        <v>1566</v>
      </c>
      <c r="AB26" s="84" t="s">
        <v>1554</v>
      </c>
      <c r="AC26" s="84" t="s">
        <v>1995</v>
      </c>
      <c r="AD26" s="84" t="s">
        <v>1994</v>
      </c>
      <c r="AE26" s="61"/>
    </row>
    <row r="27" spans="1:31" ht="334.5" x14ac:dyDescent="0.45">
      <c r="A27" s="61" t="s">
        <v>1773</v>
      </c>
      <c r="B27" s="61" t="s">
        <v>1774</v>
      </c>
      <c r="C27" s="65"/>
      <c r="D27" s="61"/>
      <c r="E27" s="61" t="s">
        <v>1955</v>
      </c>
      <c r="F27" s="70" t="str">
        <f>VLOOKUP(B27,'[2]Power '!$A:$C,3,0)</f>
        <v>TowerCo</v>
      </c>
      <c r="G27" s="70" t="str">
        <f>VLOOKUP(B27,'[2]Power '!$A:$D,4,0)</f>
        <v>Solar-Gen</v>
      </c>
      <c r="H27" s="67">
        <v>46172.724305555559</v>
      </c>
      <c r="I27" s="75">
        <f t="shared" ca="1" si="2"/>
        <v>7.9443869212918798</v>
      </c>
      <c r="J27" s="61"/>
      <c r="K27" s="61"/>
      <c r="L27" s="61"/>
      <c r="M27" s="61" t="s">
        <v>1750</v>
      </c>
      <c r="N27" s="61" t="s">
        <v>1751</v>
      </c>
      <c r="O27" s="61"/>
      <c r="P27" s="61"/>
      <c r="Q27" s="61"/>
      <c r="R27" s="84" t="s">
        <v>2004</v>
      </c>
      <c r="S27" s="61" t="s">
        <v>40</v>
      </c>
      <c r="T27" s="61" t="s">
        <v>1898</v>
      </c>
      <c r="U27" s="61" t="s">
        <v>1898</v>
      </c>
      <c r="V27" s="61" t="str">
        <f>VLOOKUP(B27,[2]Overall!$A:$D,4,0)</f>
        <v>TELEINFRA NORD</v>
      </c>
      <c r="W27" s="61" t="str">
        <f>VLOOKUP(B27,[3]Sheet1!$A:$B,2,0)</f>
        <v>Hamalade</v>
      </c>
      <c r="X27" s="88" t="str">
        <f t="shared" si="3"/>
        <v>NRD</v>
      </c>
      <c r="Y27" s="80" t="str">
        <f t="shared" ca="1" si="4"/>
        <v>T&gt;72H</v>
      </c>
      <c r="Z27" s="61">
        <f t="shared" si="5"/>
        <v>1</v>
      </c>
      <c r="AA27" s="61" t="s">
        <v>1566</v>
      </c>
      <c r="AB27" s="84" t="s">
        <v>1554</v>
      </c>
      <c r="AC27" s="84" t="s">
        <v>1995</v>
      </c>
      <c r="AD27" s="84" t="s">
        <v>1994</v>
      </c>
      <c r="AE27" s="61"/>
    </row>
    <row r="28" spans="1:31" ht="334.5" x14ac:dyDescent="0.45">
      <c r="A28" s="61" t="s">
        <v>1773</v>
      </c>
      <c r="B28" s="61" t="s">
        <v>1774</v>
      </c>
      <c r="C28" s="65"/>
      <c r="D28" s="61"/>
      <c r="E28" s="61" t="s">
        <v>1953</v>
      </c>
      <c r="F28" s="70" t="str">
        <f>VLOOKUP(B28,'[2]Power '!$A:$C,3,0)</f>
        <v>TowerCo</v>
      </c>
      <c r="G28" s="70" t="str">
        <f>VLOOKUP(B28,'[2]Power '!$A:$D,4,0)</f>
        <v>Solar-Gen</v>
      </c>
      <c r="H28" s="67">
        <v>46172.724305555559</v>
      </c>
      <c r="I28" s="75">
        <f t="shared" ca="1" si="2"/>
        <v>7.9443869212918798</v>
      </c>
      <c r="J28" s="61"/>
      <c r="K28" s="61"/>
      <c r="L28" s="61"/>
      <c r="M28" s="61" t="s">
        <v>1750</v>
      </c>
      <c r="N28" s="61" t="s">
        <v>1751</v>
      </c>
      <c r="O28" s="61"/>
      <c r="P28" s="61"/>
      <c r="Q28" s="61"/>
      <c r="R28" s="84" t="s">
        <v>2004</v>
      </c>
      <c r="S28" s="61" t="s">
        <v>40</v>
      </c>
      <c r="T28" s="61" t="s">
        <v>1898</v>
      </c>
      <c r="U28" s="61" t="s">
        <v>1898</v>
      </c>
      <c r="V28" s="61" t="str">
        <f>VLOOKUP(B28,[2]Overall!$A:$D,4,0)</f>
        <v>TELEINFRA NORD</v>
      </c>
      <c r="W28" s="61" t="str">
        <f>VLOOKUP(B28,[3]Sheet1!$A:$B,2,0)</f>
        <v>Hamalade</v>
      </c>
      <c r="X28" s="88" t="str">
        <f t="shared" si="3"/>
        <v>NRO</v>
      </c>
      <c r="Y28" s="80" t="str">
        <f t="shared" ca="1" si="4"/>
        <v>T&gt;72H</v>
      </c>
      <c r="Z28" s="61">
        <f t="shared" si="5"/>
        <v>1</v>
      </c>
      <c r="AA28" s="61" t="s">
        <v>1566</v>
      </c>
      <c r="AB28" s="84" t="s">
        <v>1554</v>
      </c>
      <c r="AC28" s="84" t="s">
        <v>1995</v>
      </c>
      <c r="AD28" s="84" t="s">
        <v>1994</v>
      </c>
      <c r="AE28" s="61"/>
    </row>
    <row r="29" spans="1:31" ht="320" x14ac:dyDescent="0.45">
      <c r="A29" s="61" t="s">
        <v>1724</v>
      </c>
      <c r="B29" s="61" t="s">
        <v>1725</v>
      </c>
      <c r="C29" s="65"/>
      <c r="D29" s="61"/>
      <c r="E29" s="61" t="s">
        <v>1726</v>
      </c>
      <c r="F29" s="70" t="str">
        <f>VLOOKUP(B29,'[2]Power '!$A:$C,3,0)</f>
        <v>TowerCo</v>
      </c>
      <c r="G29" s="70" t="str">
        <f>VLOOKUP(B29,'[2]Power '!$A:$D,4,0)</f>
        <v>Hybrid-Gen</v>
      </c>
      <c r="H29" s="67">
        <v>46172.767361111109</v>
      </c>
      <c r="I29" s="75">
        <f t="shared" ca="1" si="2"/>
        <v>7.9013313657414983</v>
      </c>
      <c r="J29" s="61"/>
      <c r="K29" s="61"/>
      <c r="L29" s="61"/>
      <c r="M29" s="61" t="s">
        <v>33</v>
      </c>
      <c r="N29" s="61" t="s">
        <v>1635</v>
      </c>
      <c r="O29" s="61"/>
      <c r="P29" s="61"/>
      <c r="Q29" s="61"/>
      <c r="R29" s="84" t="s">
        <v>2001</v>
      </c>
      <c r="S29" s="61" t="s">
        <v>32</v>
      </c>
      <c r="T29" s="61" t="s">
        <v>1898</v>
      </c>
      <c r="U29" s="61" t="s">
        <v>1898</v>
      </c>
      <c r="V29" s="61" t="str">
        <f>VLOOKUP(B29,[2]Overall!$A:$D,4,0)</f>
        <v xml:space="preserve">I-ENG </v>
      </c>
      <c r="W29" s="61" t="str">
        <f>VLOOKUP(B29,[3]Sheet1!$A:$B,2,0)</f>
        <v>Mbakong</v>
      </c>
      <c r="X29" s="88" t="str">
        <f t="shared" si="3"/>
        <v>NRO</v>
      </c>
      <c r="Y29" s="80" t="str">
        <f t="shared" ca="1" si="4"/>
        <v>T&gt;72H</v>
      </c>
      <c r="Z29" s="61">
        <f t="shared" si="5"/>
        <v>2</v>
      </c>
      <c r="AA29" s="61" t="s">
        <v>1566</v>
      </c>
      <c r="AB29" s="84" t="s">
        <v>1554</v>
      </c>
      <c r="AC29" s="84" t="s">
        <v>1995</v>
      </c>
      <c r="AD29" s="84" t="s">
        <v>1994</v>
      </c>
      <c r="AE29" s="61"/>
    </row>
    <row r="30" spans="1:31" ht="73.5" x14ac:dyDescent="0.45">
      <c r="A30" s="61" t="s">
        <v>1939</v>
      </c>
      <c r="B30" s="61" t="s">
        <v>1940</v>
      </c>
      <c r="C30" s="65"/>
      <c r="D30" s="61"/>
      <c r="E30" s="61" t="s">
        <v>1941</v>
      </c>
      <c r="F30" s="70" t="str">
        <f>VLOOKUP(B30,'[2]Power '!$A:$C,3,0)</f>
        <v>TowerCo</v>
      </c>
      <c r="G30" s="70" t="str">
        <f>VLOOKUP(B30,'[2]Power '!$A:$D,4,0)</f>
        <v>Vandalized</v>
      </c>
      <c r="H30" s="67">
        <v>46173.003472222219</v>
      </c>
      <c r="I30" s="75">
        <f t="shared" ca="1" si="2"/>
        <v>7.6652202546320041</v>
      </c>
      <c r="J30" s="61"/>
      <c r="K30" s="61"/>
      <c r="L30" s="61"/>
      <c r="M30" s="61" t="s">
        <v>38</v>
      </c>
      <c r="N30" s="61" t="s">
        <v>1942</v>
      </c>
      <c r="O30" s="61"/>
      <c r="P30" s="61"/>
      <c r="Q30" s="61"/>
      <c r="R30" s="61" t="s">
        <v>1933</v>
      </c>
      <c r="S30" s="61" t="s">
        <v>51</v>
      </c>
      <c r="T30" s="61" t="s">
        <v>1898</v>
      </c>
      <c r="U30" s="61" t="s">
        <v>1898</v>
      </c>
      <c r="V30" s="61" t="str">
        <f>VLOOKUP(B30,[2]Overall!$A:$D,4,0)</f>
        <v xml:space="preserve">I-ENG </v>
      </c>
      <c r="W30" s="61" t="str">
        <f>VLOOKUP(B30,[3]Sheet1!$A:$B,2,0)</f>
        <v>Widikum</v>
      </c>
      <c r="X30" s="88" t="str">
        <f>LEFT(B15,3)</f>
        <v>EST</v>
      </c>
      <c r="Y30" s="80" t="str">
        <f t="shared" ca="1" si="4"/>
        <v>T&gt;72H</v>
      </c>
      <c r="Z30" s="61">
        <f t="shared" si="5"/>
        <v>2</v>
      </c>
      <c r="AA30" s="61" t="s">
        <v>1566</v>
      </c>
      <c r="AB30" s="84" t="s">
        <v>1554</v>
      </c>
      <c r="AC30" s="84" t="s">
        <v>1995</v>
      </c>
      <c r="AD30" s="84" t="s">
        <v>1994</v>
      </c>
      <c r="AE30" s="61"/>
    </row>
    <row r="31" spans="1:31" ht="73.5" x14ac:dyDescent="0.45">
      <c r="A31" s="63" t="s">
        <v>1969</v>
      </c>
      <c r="B31" s="63" t="s">
        <v>1970</v>
      </c>
      <c r="C31" s="68"/>
      <c r="D31" s="63"/>
      <c r="E31" s="63" t="s">
        <v>1971</v>
      </c>
      <c r="F31" s="71" t="str">
        <f>VLOOKUP(B31,'[2]Power '!$A:$C,3,0)</f>
        <v>ESCO</v>
      </c>
      <c r="G31" s="71" t="str">
        <f>VLOOKUP(B31,'[2]Power '!$A:$D,4,0)</f>
        <v>Hybrid Solar - S3</v>
      </c>
      <c r="H31" s="69">
        <v>46173.005555555559</v>
      </c>
      <c r="I31" s="77">
        <f t="shared" ca="1" si="2"/>
        <v>7.6631369212918798</v>
      </c>
      <c r="J31" s="63"/>
      <c r="K31" s="63"/>
      <c r="L31" s="63"/>
      <c r="M31" s="63" t="s">
        <v>46</v>
      </c>
      <c r="N31" s="63" t="s">
        <v>1972</v>
      </c>
      <c r="O31" s="63"/>
      <c r="P31" s="63" t="s">
        <v>1906</v>
      </c>
      <c r="Q31" s="90">
        <v>46028</v>
      </c>
      <c r="R31" s="85" t="s">
        <v>1996</v>
      </c>
      <c r="S31" s="63" t="s">
        <v>51</v>
      </c>
      <c r="T31" s="63" t="s">
        <v>1898</v>
      </c>
      <c r="U31" s="63" t="s">
        <v>1898</v>
      </c>
      <c r="V31" s="63" t="str">
        <f>VLOOKUP(B31,[2]Overall!$A:$D,4,0)</f>
        <v>TELEINFRA NORD</v>
      </c>
      <c r="W31" s="63" t="str">
        <f>VLOOKUP(B31,[3]Sheet1!$A:$B,2,0)</f>
        <v>Gaba</v>
      </c>
      <c r="X31" s="89" t="str">
        <f>LEFT(B16,3)</f>
        <v>ADM</v>
      </c>
      <c r="Y31" s="81" t="str">
        <f t="shared" ca="1" si="4"/>
        <v>T&gt;72H</v>
      </c>
      <c r="Z31" s="63">
        <f t="shared" si="5"/>
        <v>1</v>
      </c>
      <c r="AA31" s="63" t="s">
        <v>77</v>
      </c>
      <c r="AB31" s="85" t="s">
        <v>1555</v>
      </c>
      <c r="AC31" s="85" t="s">
        <v>1995</v>
      </c>
      <c r="AD31" s="85" t="s">
        <v>1994</v>
      </c>
      <c r="AE31" s="63"/>
    </row>
    <row r="32" spans="1:31" ht="73.5" x14ac:dyDescent="0.45">
      <c r="A32" s="61" t="s">
        <v>1763</v>
      </c>
      <c r="B32" s="61" t="s">
        <v>1764</v>
      </c>
      <c r="C32" s="65"/>
      <c r="D32" s="61"/>
      <c r="E32" s="61" t="s">
        <v>34</v>
      </c>
      <c r="F32" s="70" t="str">
        <f>VLOOKUP(B32,'[2]Power '!$A:$C,3,0)</f>
        <v>TowerCo</v>
      </c>
      <c r="G32" s="70" t="str">
        <f>VLOOKUP(B32,'[2]Power '!$A:$D,4,0)</f>
        <v>Grid-Hybrid-Gen</v>
      </c>
      <c r="H32" s="67">
        <v>46173.336111111108</v>
      </c>
      <c r="I32" s="75">
        <f t="shared" ca="1" si="2"/>
        <v>7.3325813657429535</v>
      </c>
      <c r="J32" s="61"/>
      <c r="K32" s="61"/>
      <c r="L32" s="61"/>
      <c r="M32" s="61" t="s">
        <v>31</v>
      </c>
      <c r="N32" s="61" t="s">
        <v>1765</v>
      </c>
      <c r="O32" s="61"/>
      <c r="P32" s="61"/>
      <c r="Q32" s="61"/>
      <c r="R32" s="61" t="s">
        <v>1935</v>
      </c>
      <c r="S32" s="61" t="s">
        <v>51</v>
      </c>
      <c r="T32" s="61" t="s">
        <v>1898</v>
      </c>
      <c r="U32" s="61" t="s">
        <v>1898</v>
      </c>
      <c r="V32" s="61" t="str">
        <f>VLOOKUP(B32,[2]Overall!$A:$D,4,0)</f>
        <v>TELEINFRA NORD</v>
      </c>
      <c r="W32" s="61" t="str">
        <f>VLOOKUP(B32,[3]Sheet1!$A:$B,2,0)</f>
        <v>Telo</v>
      </c>
      <c r="X32" s="88" t="str">
        <f>LEFT(B17,3)</f>
        <v>NRD</v>
      </c>
      <c r="Y32" s="80" t="str">
        <f t="shared" ca="1" si="4"/>
        <v>T&gt;72H</v>
      </c>
      <c r="Z32" s="61">
        <f t="shared" si="5"/>
        <v>1</v>
      </c>
      <c r="AA32" s="61" t="s">
        <v>1566</v>
      </c>
      <c r="AB32" s="84" t="s">
        <v>1554</v>
      </c>
      <c r="AC32" s="84" t="s">
        <v>1995</v>
      </c>
      <c r="AD32" s="84" t="s">
        <v>1994</v>
      </c>
      <c r="AE32" s="61"/>
    </row>
    <row r="33" spans="1:31" ht="73.5" x14ac:dyDescent="0.45">
      <c r="A33" s="61" t="s">
        <v>1678</v>
      </c>
      <c r="B33" s="61" t="s">
        <v>1679</v>
      </c>
      <c r="C33" s="65"/>
      <c r="D33" s="61"/>
      <c r="E33" s="61" t="s">
        <v>35</v>
      </c>
      <c r="F33" s="70" t="str">
        <f>VLOOKUP(B33,'[2]Power '!$A:$C,3,0)</f>
        <v>TowerCo</v>
      </c>
      <c r="G33" s="70" t="str">
        <f>VLOOKUP(B33,'[2]Power '!$A:$D,4,0)</f>
        <v>Grid-Gen</v>
      </c>
      <c r="H33" s="67">
        <v>46173.667361111111</v>
      </c>
      <c r="I33" s="75">
        <f t="shared" ca="1" si="2"/>
        <v>7.0013313657400431</v>
      </c>
      <c r="J33" s="61"/>
      <c r="K33" s="61"/>
      <c r="L33" s="61"/>
      <c r="M33" s="61" t="s">
        <v>31</v>
      </c>
      <c r="N33" s="61" t="s">
        <v>1680</v>
      </c>
      <c r="O33" s="61"/>
      <c r="P33" s="61"/>
      <c r="Q33" s="61"/>
      <c r="R33" s="84" t="s">
        <v>2002</v>
      </c>
      <c r="S33" s="61" t="s">
        <v>32</v>
      </c>
      <c r="T33" s="61" t="s">
        <v>1898</v>
      </c>
      <c r="U33" s="61" t="s">
        <v>1898</v>
      </c>
      <c r="V33" s="61" t="str">
        <f>VLOOKUP(B33,[2]Overall!$A:$D,4,0)</f>
        <v xml:space="preserve">I-ENG </v>
      </c>
      <c r="W33" s="61" t="str">
        <f>VLOOKUP(B33,[3]Sheet1!$A:$B,2,0)</f>
        <v>Babessi</v>
      </c>
      <c r="X33" s="88" t="str">
        <f>LEFT(B23,3)</f>
        <v>EXN</v>
      </c>
      <c r="Y33" s="80" t="str">
        <f t="shared" ca="1" si="4"/>
        <v>T&gt;72H</v>
      </c>
      <c r="Z33" s="61">
        <f t="shared" si="5"/>
        <v>3</v>
      </c>
      <c r="AA33" s="61" t="s">
        <v>1566</v>
      </c>
      <c r="AB33" s="84" t="s">
        <v>1555</v>
      </c>
      <c r="AC33" s="84" t="s">
        <v>1995</v>
      </c>
      <c r="AD33" s="84" t="s">
        <v>1994</v>
      </c>
      <c r="AE33" s="61"/>
    </row>
    <row r="34" spans="1:31" ht="88" x14ac:dyDescent="0.45">
      <c r="A34" s="63" t="s">
        <v>1973</v>
      </c>
      <c r="B34" s="63" t="s">
        <v>1974</v>
      </c>
      <c r="C34" s="68"/>
      <c r="D34" s="63"/>
      <c r="E34" s="63" t="s">
        <v>1975</v>
      </c>
      <c r="F34" s="71" t="e">
        <f>VLOOKUP(B34,'[2]Power '!$A:$C,3,0)</f>
        <v>#N/A</v>
      </c>
      <c r="G34" s="71" t="e">
        <f>VLOOKUP(B34,'[2]Power '!$A:$D,4,0)</f>
        <v>#N/A</v>
      </c>
      <c r="H34" s="69">
        <v>46173.718055555553</v>
      </c>
      <c r="I34" s="77">
        <f t="shared" ca="1" si="2"/>
        <v>6.9506369212977006</v>
      </c>
      <c r="J34" s="63"/>
      <c r="K34" s="63"/>
      <c r="L34" s="63"/>
      <c r="M34" s="63" t="s">
        <v>41</v>
      </c>
      <c r="N34" s="63" t="s">
        <v>42</v>
      </c>
      <c r="O34" s="63"/>
      <c r="P34" s="63" t="s">
        <v>1906</v>
      </c>
      <c r="Q34" s="90">
        <v>46028</v>
      </c>
      <c r="R34" s="85" t="s">
        <v>1996</v>
      </c>
      <c r="S34" s="63" t="s">
        <v>51</v>
      </c>
      <c r="T34" s="63" t="s">
        <v>1898</v>
      </c>
      <c r="U34" s="63" t="s">
        <v>1898</v>
      </c>
      <c r="V34" s="63" t="str">
        <f>VLOOKUP(B34,[2]Overall!$A:$D,4,0)</f>
        <v>TELEINFRA NORD</v>
      </c>
      <c r="W34" s="63" t="str">
        <f>VLOOKUP(B34,[3]Sheet1!$A:$B,2,0)</f>
        <v>Makor</v>
      </c>
      <c r="X34" s="89" t="str">
        <f t="shared" ref="X34:X39" si="6">LEFT(B19,3)</f>
        <v>NRO</v>
      </c>
      <c r="Y34" s="81" t="str">
        <f t="shared" ca="1" si="4"/>
        <v>T&gt;72H</v>
      </c>
      <c r="Z34" s="63">
        <f t="shared" si="5"/>
        <v>1</v>
      </c>
      <c r="AA34" s="63" t="s">
        <v>77</v>
      </c>
      <c r="AB34" s="85" t="s">
        <v>1555</v>
      </c>
      <c r="AC34" s="85" t="s">
        <v>1995</v>
      </c>
      <c r="AD34" s="85" t="s">
        <v>1994</v>
      </c>
      <c r="AE34" s="63"/>
    </row>
    <row r="35" spans="1:31" ht="88" x14ac:dyDescent="0.45">
      <c r="A35" s="63" t="s">
        <v>1973</v>
      </c>
      <c r="B35" s="63" t="s">
        <v>1974</v>
      </c>
      <c r="C35" s="68"/>
      <c r="D35" s="63"/>
      <c r="E35" s="63" t="s">
        <v>1976</v>
      </c>
      <c r="F35" s="71" t="e">
        <f>VLOOKUP(B35,'[2]Power '!$A:$C,3,0)</f>
        <v>#N/A</v>
      </c>
      <c r="G35" s="71" t="e">
        <f>VLOOKUP(B35,'[2]Power '!$A:$D,4,0)</f>
        <v>#N/A</v>
      </c>
      <c r="H35" s="69">
        <v>46173.718055555553</v>
      </c>
      <c r="I35" s="77">
        <f t="shared" ca="1" si="2"/>
        <v>6.9506369212977006</v>
      </c>
      <c r="J35" s="63"/>
      <c r="K35" s="63"/>
      <c r="L35" s="63"/>
      <c r="M35" s="63" t="s">
        <v>41</v>
      </c>
      <c r="N35" s="63" t="s">
        <v>42</v>
      </c>
      <c r="O35" s="63"/>
      <c r="P35" s="63" t="s">
        <v>1906</v>
      </c>
      <c r="Q35" s="90">
        <v>46028</v>
      </c>
      <c r="R35" s="85" t="s">
        <v>1996</v>
      </c>
      <c r="S35" s="63" t="s">
        <v>51</v>
      </c>
      <c r="T35" s="63" t="s">
        <v>1898</v>
      </c>
      <c r="U35" s="63" t="s">
        <v>1898</v>
      </c>
      <c r="V35" s="63" t="str">
        <f>VLOOKUP(B35,[2]Overall!$A:$D,4,0)</f>
        <v>TELEINFRA NORD</v>
      </c>
      <c r="W35" s="63" t="str">
        <f>VLOOKUP(B35,[3]Sheet1!$A:$B,2,0)</f>
        <v>Makor</v>
      </c>
      <c r="X35" s="89" t="str">
        <f t="shared" si="6"/>
        <v>EXN</v>
      </c>
      <c r="Y35" s="81" t="str">
        <f t="shared" ca="1" si="4"/>
        <v>T&gt;72H</v>
      </c>
      <c r="Z35" s="63">
        <f t="shared" si="5"/>
        <v>1</v>
      </c>
      <c r="AA35" s="63" t="s">
        <v>77</v>
      </c>
      <c r="AB35" s="85" t="s">
        <v>1555</v>
      </c>
      <c r="AC35" s="85" t="s">
        <v>1995</v>
      </c>
      <c r="AD35" s="85" t="s">
        <v>1994</v>
      </c>
      <c r="AE35" s="63"/>
    </row>
    <row r="36" spans="1:31" ht="88" x14ac:dyDescent="0.45">
      <c r="A36" s="63" t="s">
        <v>1973</v>
      </c>
      <c r="B36" s="63" t="s">
        <v>1974</v>
      </c>
      <c r="C36" s="68"/>
      <c r="D36" s="63"/>
      <c r="E36" s="63" t="s">
        <v>1977</v>
      </c>
      <c r="F36" s="71" t="e">
        <f>VLOOKUP(B36,'[2]Power '!$A:$C,3,0)</f>
        <v>#N/A</v>
      </c>
      <c r="G36" s="71" t="e">
        <f>VLOOKUP(B36,'[2]Power '!$A:$D,4,0)</f>
        <v>#N/A</v>
      </c>
      <c r="H36" s="69">
        <v>46173.718055555553</v>
      </c>
      <c r="I36" s="77">
        <f t="shared" ca="1" si="2"/>
        <v>6.9506369212977006</v>
      </c>
      <c r="J36" s="63"/>
      <c r="K36" s="63"/>
      <c r="L36" s="63"/>
      <c r="M36" s="63" t="s">
        <v>41</v>
      </c>
      <c r="N36" s="63" t="s">
        <v>42</v>
      </c>
      <c r="O36" s="63"/>
      <c r="P36" s="63" t="s">
        <v>1906</v>
      </c>
      <c r="Q36" s="90">
        <v>46028</v>
      </c>
      <c r="R36" s="85" t="s">
        <v>1996</v>
      </c>
      <c r="S36" s="63" t="s">
        <v>51</v>
      </c>
      <c r="T36" s="63" t="s">
        <v>1898</v>
      </c>
      <c r="U36" s="63" t="s">
        <v>1898</v>
      </c>
      <c r="V36" s="63" t="str">
        <f>VLOOKUP(B36,[2]Overall!$A:$D,4,0)</f>
        <v>TELEINFRA NORD</v>
      </c>
      <c r="W36" s="63" t="str">
        <f>VLOOKUP(B36,[3]Sheet1!$A:$B,2,0)</f>
        <v>Makor</v>
      </c>
      <c r="X36" s="89" t="str">
        <f t="shared" si="6"/>
        <v>ADM</v>
      </c>
      <c r="Y36" s="81" t="str">
        <f t="shared" ca="1" si="4"/>
        <v>T&gt;72H</v>
      </c>
      <c r="Z36" s="63">
        <f t="shared" si="5"/>
        <v>1</v>
      </c>
      <c r="AA36" s="63" t="s">
        <v>77</v>
      </c>
      <c r="AB36" s="85" t="s">
        <v>1555</v>
      </c>
      <c r="AC36" s="85" t="s">
        <v>1995</v>
      </c>
      <c r="AD36" s="85" t="s">
        <v>1994</v>
      </c>
      <c r="AE36" s="63"/>
    </row>
    <row r="37" spans="1:31" ht="88" x14ac:dyDescent="0.45">
      <c r="A37" s="63" t="s">
        <v>1973</v>
      </c>
      <c r="B37" s="63" t="s">
        <v>1974</v>
      </c>
      <c r="C37" s="68"/>
      <c r="D37" s="63"/>
      <c r="E37" s="63" t="s">
        <v>1978</v>
      </c>
      <c r="F37" s="71" t="e">
        <f>VLOOKUP(B37,'[2]Power '!$A:$C,3,0)</f>
        <v>#N/A</v>
      </c>
      <c r="G37" s="71" t="e">
        <f>VLOOKUP(B37,'[2]Power '!$A:$D,4,0)</f>
        <v>#N/A</v>
      </c>
      <c r="H37" s="69">
        <v>46173.718055555553</v>
      </c>
      <c r="I37" s="77">
        <f t="shared" ca="1" si="2"/>
        <v>6.9506369212977006</v>
      </c>
      <c r="J37" s="63"/>
      <c r="K37" s="63"/>
      <c r="L37" s="63"/>
      <c r="M37" s="63" t="s">
        <v>41</v>
      </c>
      <c r="N37" s="63" t="s">
        <v>42</v>
      </c>
      <c r="O37" s="63"/>
      <c r="P37" s="63" t="s">
        <v>1906</v>
      </c>
      <c r="Q37" s="90">
        <v>46028</v>
      </c>
      <c r="R37" s="85" t="s">
        <v>1996</v>
      </c>
      <c r="S37" s="63" t="s">
        <v>51</v>
      </c>
      <c r="T37" s="63" t="s">
        <v>1898</v>
      </c>
      <c r="U37" s="63" t="s">
        <v>1898</v>
      </c>
      <c r="V37" s="63" t="str">
        <f>VLOOKUP(B37,[2]Overall!$A:$D,4,0)</f>
        <v>TELEINFRA NORD</v>
      </c>
      <c r="W37" s="63" t="str">
        <f>VLOOKUP(B37,[3]Sheet1!$A:$B,2,0)</f>
        <v>Makor</v>
      </c>
      <c r="X37" s="89" t="str">
        <f t="shared" si="6"/>
        <v>ADM</v>
      </c>
      <c r="Y37" s="81" t="str">
        <f t="shared" ca="1" si="4"/>
        <v>T&gt;72H</v>
      </c>
      <c r="Z37" s="63">
        <f t="shared" si="5"/>
        <v>1</v>
      </c>
      <c r="AA37" s="63" t="s">
        <v>77</v>
      </c>
      <c r="AB37" s="85" t="s">
        <v>1555</v>
      </c>
      <c r="AC37" s="85" t="s">
        <v>1995</v>
      </c>
      <c r="AD37" s="85" t="s">
        <v>1994</v>
      </c>
      <c r="AE37" s="63"/>
    </row>
    <row r="38" spans="1:31" ht="88" x14ac:dyDescent="0.45">
      <c r="A38" s="63" t="s">
        <v>1973</v>
      </c>
      <c r="B38" s="63" t="s">
        <v>1974</v>
      </c>
      <c r="C38" s="68"/>
      <c r="D38" s="63"/>
      <c r="E38" s="63" t="s">
        <v>1979</v>
      </c>
      <c r="F38" s="71" t="e">
        <f>VLOOKUP(B38,'[2]Power '!$A:$C,3,0)</f>
        <v>#N/A</v>
      </c>
      <c r="G38" s="71" t="e">
        <f>VLOOKUP(B38,'[2]Power '!$A:$D,4,0)</f>
        <v>#N/A</v>
      </c>
      <c r="H38" s="69">
        <v>46173.718055555553</v>
      </c>
      <c r="I38" s="77">
        <f t="shared" ca="1" si="2"/>
        <v>6.9506369212977006</v>
      </c>
      <c r="J38" s="63"/>
      <c r="K38" s="63"/>
      <c r="L38" s="63"/>
      <c r="M38" s="63" t="s">
        <v>41</v>
      </c>
      <c r="N38" s="63" t="s">
        <v>42</v>
      </c>
      <c r="O38" s="63"/>
      <c r="P38" s="63" t="s">
        <v>1906</v>
      </c>
      <c r="Q38" s="90">
        <v>46028</v>
      </c>
      <c r="R38" s="85" t="s">
        <v>1996</v>
      </c>
      <c r="S38" s="63" t="s">
        <v>51</v>
      </c>
      <c r="T38" s="63" t="s">
        <v>1898</v>
      </c>
      <c r="U38" s="63" t="s">
        <v>1898</v>
      </c>
      <c r="V38" s="63" t="str">
        <f>VLOOKUP(B38,[2]Overall!$A:$D,4,0)</f>
        <v>TELEINFRA NORD</v>
      </c>
      <c r="W38" s="63" t="str">
        <f>VLOOKUP(B38,[3]Sheet1!$A:$B,2,0)</f>
        <v>Makor</v>
      </c>
      <c r="X38" s="89" t="str">
        <f t="shared" si="6"/>
        <v>EXN</v>
      </c>
      <c r="Y38" s="81" t="str">
        <f t="shared" ca="1" si="4"/>
        <v>T&gt;72H</v>
      </c>
      <c r="Z38" s="63">
        <f t="shared" si="5"/>
        <v>1</v>
      </c>
      <c r="AA38" s="63" t="s">
        <v>77</v>
      </c>
      <c r="AB38" s="85" t="s">
        <v>1555</v>
      </c>
      <c r="AC38" s="85" t="s">
        <v>1995</v>
      </c>
      <c r="AD38" s="85" t="s">
        <v>1994</v>
      </c>
      <c r="AE38" s="63"/>
    </row>
    <row r="39" spans="1:31" ht="88" x14ac:dyDescent="0.45">
      <c r="A39" s="63" t="s">
        <v>1973</v>
      </c>
      <c r="B39" s="63" t="s">
        <v>1974</v>
      </c>
      <c r="C39" s="68"/>
      <c r="D39" s="63"/>
      <c r="E39" s="63" t="s">
        <v>1980</v>
      </c>
      <c r="F39" s="71" t="e">
        <f>VLOOKUP(B39,'[2]Power '!$A:$C,3,0)</f>
        <v>#N/A</v>
      </c>
      <c r="G39" s="71" t="e">
        <f>VLOOKUP(B39,'[2]Power '!$A:$D,4,0)</f>
        <v>#N/A</v>
      </c>
      <c r="H39" s="69">
        <v>46173.718055555553</v>
      </c>
      <c r="I39" s="77">
        <f t="shared" ca="1" si="2"/>
        <v>6.9506369212977006</v>
      </c>
      <c r="J39" s="63"/>
      <c r="K39" s="63"/>
      <c r="L39" s="63"/>
      <c r="M39" s="63" t="s">
        <v>41</v>
      </c>
      <c r="N39" s="63" t="s">
        <v>42</v>
      </c>
      <c r="O39" s="63"/>
      <c r="P39" s="63" t="s">
        <v>1906</v>
      </c>
      <c r="Q39" s="90">
        <v>46028</v>
      </c>
      <c r="R39" s="85" t="s">
        <v>1996</v>
      </c>
      <c r="S39" s="63" t="s">
        <v>51</v>
      </c>
      <c r="T39" s="63" t="s">
        <v>1898</v>
      </c>
      <c r="U39" s="63" t="s">
        <v>1898</v>
      </c>
      <c r="V39" s="63" t="str">
        <f>VLOOKUP(B39,[2]Overall!$A:$D,4,0)</f>
        <v>TELEINFRA NORD</v>
      </c>
      <c r="W39" s="63" t="str">
        <f>VLOOKUP(B39,[3]Sheet1!$A:$B,2,0)</f>
        <v>Makor</v>
      </c>
      <c r="X39" s="89" t="str">
        <f t="shared" si="6"/>
        <v>NRD</v>
      </c>
      <c r="Y39" s="81" t="str">
        <f t="shared" ca="1" si="4"/>
        <v>T&gt;72H</v>
      </c>
      <c r="Z39" s="63">
        <f t="shared" si="5"/>
        <v>1</v>
      </c>
      <c r="AA39" s="63" t="s">
        <v>77</v>
      </c>
      <c r="AB39" s="85" t="s">
        <v>1555</v>
      </c>
      <c r="AC39" s="85" t="s">
        <v>1995</v>
      </c>
      <c r="AD39" s="85" t="s">
        <v>1994</v>
      </c>
      <c r="AE39" s="63"/>
    </row>
    <row r="40" spans="1:31" ht="117" x14ac:dyDescent="0.45">
      <c r="A40" s="61" t="s">
        <v>1727</v>
      </c>
      <c r="B40" s="61" t="s">
        <v>1728</v>
      </c>
      <c r="C40" s="65"/>
      <c r="D40" s="61"/>
      <c r="E40" s="61" t="s">
        <v>1729</v>
      </c>
      <c r="F40" s="70" t="str">
        <f>VLOOKUP(B40,'[2]Power '!$A:$C,3,0)</f>
        <v>TowerCo</v>
      </c>
      <c r="G40" s="70" t="str">
        <f>VLOOKUP(B40,'[2]Power '!$A:$D,4,0)</f>
        <v>Hybrid-Gen</v>
      </c>
      <c r="H40" s="67">
        <v>46173.749305555553</v>
      </c>
      <c r="I40" s="75">
        <f t="shared" ca="1" si="2"/>
        <v>6.9193869212977006</v>
      </c>
      <c r="J40" s="61"/>
      <c r="K40" s="61"/>
      <c r="L40" s="61"/>
      <c r="M40" s="61" t="s">
        <v>1730</v>
      </c>
      <c r="N40" s="61" t="s">
        <v>1731</v>
      </c>
      <c r="O40" s="61"/>
      <c r="P40" s="61"/>
      <c r="Q40" s="61"/>
      <c r="R40" s="61" t="s">
        <v>1884</v>
      </c>
      <c r="S40" s="61" t="s">
        <v>40</v>
      </c>
      <c r="T40" s="61" t="s">
        <v>1885</v>
      </c>
      <c r="U40" s="61" t="s">
        <v>1885</v>
      </c>
      <c r="V40" s="61" t="str">
        <f>VLOOKUP(B40,[2]Overall!$A:$D,4,0)</f>
        <v>TELEINFRA NORD</v>
      </c>
      <c r="W40" s="61" t="str">
        <f>VLOOKUP(B40,[3]Sheet1!$A:$B,2,0)</f>
        <v>Kuruda</v>
      </c>
      <c r="X40" s="88" t="str">
        <f>LEFT(B30,3)</f>
        <v>NRO</v>
      </c>
      <c r="Y40" s="80" t="str">
        <f t="shared" ca="1" si="4"/>
        <v>T&gt;72H</v>
      </c>
      <c r="Z40" s="61">
        <f t="shared" si="5"/>
        <v>2</v>
      </c>
      <c r="AA40" s="61" t="s">
        <v>1566</v>
      </c>
      <c r="AB40" s="84" t="s">
        <v>1554</v>
      </c>
      <c r="AC40" s="84" t="s">
        <v>1995</v>
      </c>
      <c r="AD40" s="84" t="s">
        <v>1994</v>
      </c>
      <c r="AE40" s="61"/>
    </row>
    <row r="41" spans="1:31" ht="117" x14ac:dyDescent="0.45">
      <c r="A41" s="84" t="s">
        <v>1981</v>
      </c>
      <c r="B41" s="61" t="s">
        <v>1982</v>
      </c>
      <c r="C41" s="65"/>
      <c r="D41" s="61"/>
      <c r="E41" s="61" t="s">
        <v>39</v>
      </c>
      <c r="F41" s="70" t="str">
        <f>VLOOKUP(B41,'[2]Power '!$A:$C,3,0)</f>
        <v>TowerCo</v>
      </c>
      <c r="G41" s="70" t="str">
        <f>VLOOKUP(B41,'[2]Power '!$A:$D,4,0)</f>
        <v>Grid-Gen</v>
      </c>
      <c r="H41" s="67">
        <v>46173.813888888886</v>
      </c>
      <c r="I41" s="75">
        <f t="shared" ca="1" si="2"/>
        <v>6.8548035879648523</v>
      </c>
      <c r="J41" s="61"/>
      <c r="K41" s="61"/>
      <c r="L41" s="61"/>
      <c r="M41" s="61" t="s">
        <v>1686</v>
      </c>
      <c r="N41" s="61" t="s">
        <v>1983</v>
      </c>
      <c r="O41" s="61"/>
      <c r="P41" s="61"/>
      <c r="Q41" s="61"/>
      <c r="R41" s="86" t="s">
        <v>2013</v>
      </c>
      <c r="S41" s="86" t="s">
        <v>71</v>
      </c>
      <c r="T41" s="86" t="s">
        <v>1902</v>
      </c>
      <c r="U41" s="86" t="s">
        <v>1896</v>
      </c>
      <c r="V41" s="61" t="str">
        <f>VLOOKUP(B41,[2]Overall!$A:$D,4,0)</f>
        <v>H-TELI</v>
      </c>
      <c r="W41" s="61" t="str">
        <f>VLOOKUP(B41,[3]Sheet1!$A:$B,2,0)</f>
        <v>Santchou</v>
      </c>
      <c r="X41" s="88" t="str">
        <f>LEFT(B31,3)</f>
        <v>NRD</v>
      </c>
      <c r="Y41" s="80" t="str">
        <f t="shared" ca="1" si="4"/>
        <v>T&gt;72H</v>
      </c>
      <c r="Z41" s="61">
        <f t="shared" si="5"/>
        <v>1</v>
      </c>
      <c r="AA41" s="61" t="s">
        <v>1566</v>
      </c>
      <c r="AB41" s="84" t="s">
        <v>1555</v>
      </c>
      <c r="AC41" s="84" t="s">
        <v>1995</v>
      </c>
      <c r="AD41" s="84" t="s">
        <v>1994</v>
      </c>
      <c r="AE41" s="61"/>
    </row>
    <row r="42" spans="1:31" ht="102.5" x14ac:dyDescent="0.45">
      <c r="A42" s="63" t="s">
        <v>1984</v>
      </c>
      <c r="B42" s="63" t="s">
        <v>1985</v>
      </c>
      <c r="C42" s="68"/>
      <c r="D42" s="63"/>
      <c r="E42" s="63" t="s">
        <v>49</v>
      </c>
      <c r="F42" s="71" t="str">
        <f>VLOOKUP(B42,'[2]Power '!$A:$C,3,0)</f>
        <v>TowerCo</v>
      </c>
      <c r="G42" s="71" t="str">
        <f>VLOOKUP(B42,'[2]Power '!$A:$D,4,0)</f>
        <v>Grid-Gen</v>
      </c>
      <c r="H42" s="69">
        <v>46173.817361111112</v>
      </c>
      <c r="I42" s="77">
        <f t="shared" ca="1" si="2"/>
        <v>6.8513313657385879</v>
      </c>
      <c r="J42" s="63"/>
      <c r="K42" s="63"/>
      <c r="L42" s="63"/>
      <c r="M42" s="63" t="s">
        <v>41</v>
      </c>
      <c r="N42" s="63" t="s">
        <v>1633</v>
      </c>
      <c r="O42" s="63"/>
      <c r="P42" s="63" t="s">
        <v>1906</v>
      </c>
      <c r="Q42" s="90">
        <v>46028</v>
      </c>
      <c r="R42" s="85" t="s">
        <v>1996</v>
      </c>
      <c r="S42" s="63" t="s">
        <v>51</v>
      </c>
      <c r="T42" s="63" t="s">
        <v>1898</v>
      </c>
      <c r="U42" s="63" t="s">
        <v>1898</v>
      </c>
      <c r="V42" s="63" t="str">
        <f>VLOOKUP(B42,[2]Overall!$A:$D,4,0)</f>
        <v xml:space="preserve">I-ENG </v>
      </c>
      <c r="W42" s="63" t="str">
        <f>VLOOKUP(B42,[3]Sheet1!$A:$B,2,0)</f>
        <v>Fundong</v>
      </c>
      <c r="X42" s="89" t="str">
        <f>LEFT(B27,3)</f>
        <v>NRD</v>
      </c>
      <c r="Y42" s="81" t="str">
        <f t="shared" ca="1" si="4"/>
        <v>T&gt;72H</v>
      </c>
      <c r="Z42" s="63">
        <f t="shared" si="5"/>
        <v>1</v>
      </c>
      <c r="AA42" s="63" t="s">
        <v>77</v>
      </c>
      <c r="AB42" s="85" t="s">
        <v>1555</v>
      </c>
      <c r="AC42" s="85" t="s">
        <v>1995</v>
      </c>
      <c r="AD42" s="85" t="s">
        <v>1994</v>
      </c>
      <c r="AE42" s="63"/>
    </row>
    <row r="43" spans="1:31" ht="88" x14ac:dyDescent="0.45">
      <c r="A43" s="63" t="s">
        <v>1986</v>
      </c>
      <c r="B43" s="63" t="s">
        <v>1985</v>
      </c>
      <c r="C43" s="68"/>
      <c r="D43" s="63"/>
      <c r="E43" s="63" t="s">
        <v>1987</v>
      </c>
      <c r="F43" s="71" t="str">
        <f>VLOOKUP(B43,'[2]Power '!$A:$C,3,0)</f>
        <v>TowerCo</v>
      </c>
      <c r="G43" s="71" t="str">
        <f>VLOOKUP(B43,'[2]Power '!$A:$D,4,0)</f>
        <v>Grid-Gen</v>
      </c>
      <c r="H43" s="69">
        <v>46173.818055555559</v>
      </c>
      <c r="I43" s="77">
        <f t="shared" ca="1" si="2"/>
        <v>6.8506369212918798</v>
      </c>
      <c r="J43" s="63"/>
      <c r="K43" s="63"/>
      <c r="L43" s="63"/>
      <c r="M43" s="63" t="s">
        <v>41</v>
      </c>
      <c r="N43" s="63" t="s">
        <v>42</v>
      </c>
      <c r="O43" s="63"/>
      <c r="P43" s="63" t="s">
        <v>1906</v>
      </c>
      <c r="Q43" s="90">
        <v>46028</v>
      </c>
      <c r="R43" s="85" t="s">
        <v>1996</v>
      </c>
      <c r="S43" s="63" t="s">
        <v>51</v>
      </c>
      <c r="T43" s="63" t="s">
        <v>1898</v>
      </c>
      <c r="U43" s="63" t="s">
        <v>1898</v>
      </c>
      <c r="V43" s="63" t="str">
        <f>VLOOKUP(B43,[2]Overall!$A:$D,4,0)</f>
        <v xml:space="preserve">I-ENG </v>
      </c>
      <c r="W43" s="63" t="str">
        <f>VLOOKUP(B43,[3]Sheet1!$A:$B,2,0)</f>
        <v>Fundong</v>
      </c>
      <c r="X43" s="89" t="str">
        <f>LEFT(B28,3)</f>
        <v>NRD</v>
      </c>
      <c r="Y43" s="81" t="str">
        <f t="shared" ca="1" si="4"/>
        <v>T&gt;72H</v>
      </c>
      <c r="Z43" s="63">
        <f t="shared" si="5"/>
        <v>1</v>
      </c>
      <c r="AA43" s="63" t="s">
        <v>77</v>
      </c>
      <c r="AB43" s="85" t="s">
        <v>1555</v>
      </c>
      <c r="AC43" s="85" t="s">
        <v>1995</v>
      </c>
      <c r="AD43" s="85" t="s">
        <v>1994</v>
      </c>
      <c r="AE43" s="63"/>
    </row>
    <row r="44" spans="1:31" ht="117" x14ac:dyDescent="0.45">
      <c r="A44" s="61" t="s">
        <v>1981</v>
      </c>
      <c r="B44" s="61" t="s">
        <v>1982</v>
      </c>
      <c r="C44" s="65"/>
      <c r="D44" s="61"/>
      <c r="E44" s="61" t="s">
        <v>1988</v>
      </c>
      <c r="F44" s="70" t="str">
        <f>VLOOKUP(B44,'[2]Power '!$A:$C,3,0)</f>
        <v>TowerCo</v>
      </c>
      <c r="G44" s="70" t="str">
        <f>VLOOKUP(B44,'[2]Power '!$A:$D,4,0)</f>
        <v>Grid-Gen</v>
      </c>
      <c r="H44" s="67">
        <v>46173.818749999999</v>
      </c>
      <c r="I44" s="75">
        <f t="shared" ca="1" si="2"/>
        <v>6.8499424768524477</v>
      </c>
      <c r="J44" s="61"/>
      <c r="K44" s="61"/>
      <c r="L44" s="61"/>
      <c r="M44" s="61" t="s">
        <v>41</v>
      </c>
      <c r="N44" s="61" t="s">
        <v>1989</v>
      </c>
      <c r="O44" s="61"/>
      <c r="P44" s="61"/>
      <c r="Q44" s="61"/>
      <c r="R44" s="86" t="s">
        <v>2013</v>
      </c>
      <c r="S44" s="86" t="s">
        <v>71</v>
      </c>
      <c r="T44" s="86" t="s">
        <v>1902</v>
      </c>
      <c r="U44" s="86" t="s">
        <v>1896</v>
      </c>
      <c r="V44" s="61" t="str">
        <f>VLOOKUP(B44,[2]Overall!$A:$D,4,0)</f>
        <v>H-TELI</v>
      </c>
      <c r="W44" s="61" t="str">
        <f>VLOOKUP(B44,[3]Sheet1!$A:$B,2,0)</f>
        <v>Santchou</v>
      </c>
      <c r="X44" s="88" t="str">
        <f t="shared" ref="X44:X54" si="7">LEFT(B34,3)</f>
        <v>ADM</v>
      </c>
      <c r="Y44" s="80" t="str">
        <f t="shared" ca="1" si="4"/>
        <v>T&gt;72H</v>
      </c>
      <c r="Z44" s="61">
        <f t="shared" si="5"/>
        <v>1</v>
      </c>
      <c r="AA44" s="61" t="s">
        <v>1566</v>
      </c>
      <c r="AB44" s="84" t="s">
        <v>1555</v>
      </c>
      <c r="AC44" s="84" t="s">
        <v>1995</v>
      </c>
      <c r="AD44" s="84" t="s">
        <v>1994</v>
      </c>
      <c r="AE44" s="61"/>
    </row>
    <row r="45" spans="1:31" ht="88" x14ac:dyDescent="0.45">
      <c r="A45" s="61" t="s">
        <v>1740</v>
      </c>
      <c r="B45" s="61" t="s">
        <v>1739</v>
      </c>
      <c r="C45" s="65"/>
      <c r="D45" s="61"/>
      <c r="E45" s="61" t="s">
        <v>1746</v>
      </c>
      <c r="F45" s="70" t="str">
        <f>VLOOKUP(B45,'[2]Power '!$A:$C,3,0)</f>
        <v>TowerCo</v>
      </c>
      <c r="G45" s="70" t="str">
        <f>VLOOKUP(B45,'[2]Power '!$A:$D,4,0)</f>
        <v>Grid-Gen</v>
      </c>
      <c r="H45" s="67">
        <v>46173.861111111109</v>
      </c>
      <c r="I45" s="75">
        <f t="shared" ca="1" si="2"/>
        <v>6.8075813657414983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84" t="s">
        <v>1996</v>
      </c>
      <c r="S45" s="61" t="s">
        <v>51</v>
      </c>
      <c r="T45" s="84" t="s">
        <v>1898</v>
      </c>
      <c r="U45" s="84" t="s">
        <v>1898</v>
      </c>
      <c r="V45" s="61" t="e">
        <f>VLOOKUP(B45,[2]Overall!$A:$D,4,0)</f>
        <v>#N/A</v>
      </c>
      <c r="W45" s="61" t="str">
        <f>VLOOKUP(B45,[3]Sheet1!$A:$B,2,0)</f>
        <v>Bamengwi</v>
      </c>
      <c r="X45" s="88" t="str">
        <f t="shared" si="7"/>
        <v>ADM</v>
      </c>
      <c r="Y45" s="80" t="str">
        <f t="shared" ca="1" si="4"/>
        <v>T&gt;72H</v>
      </c>
      <c r="Z45" s="61">
        <f t="shared" si="5"/>
        <v>1</v>
      </c>
      <c r="AA45" s="61" t="s">
        <v>1566</v>
      </c>
      <c r="AB45" s="84" t="s">
        <v>1555</v>
      </c>
      <c r="AC45" s="84" t="s">
        <v>1995</v>
      </c>
      <c r="AD45" s="84" t="s">
        <v>1994</v>
      </c>
      <c r="AE45" s="61"/>
    </row>
    <row r="46" spans="1:31" ht="88" x14ac:dyDescent="0.45">
      <c r="A46" s="61" t="s">
        <v>1740</v>
      </c>
      <c r="B46" s="61" t="s">
        <v>1739</v>
      </c>
      <c r="C46" s="65"/>
      <c r="D46" s="61"/>
      <c r="E46" s="61" t="s">
        <v>1742</v>
      </c>
      <c r="F46" s="70" t="str">
        <f>VLOOKUP(B46,'[2]Power '!$A:$C,3,0)</f>
        <v>TowerCo</v>
      </c>
      <c r="G46" s="70" t="str">
        <f>VLOOKUP(B46,'[2]Power '!$A:$D,4,0)</f>
        <v>Grid-Gen</v>
      </c>
      <c r="H46" s="67">
        <v>46173.861805555556</v>
      </c>
      <c r="I46" s="75">
        <f t="shared" ca="1" si="2"/>
        <v>6.8068869212947902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84" t="s">
        <v>1996</v>
      </c>
      <c r="S46" s="61" t="s">
        <v>51</v>
      </c>
      <c r="T46" s="84" t="s">
        <v>1898</v>
      </c>
      <c r="U46" s="84" t="s">
        <v>1898</v>
      </c>
      <c r="V46" s="61" t="e">
        <f>VLOOKUP(B46,[2]Overall!$A:$D,4,0)</f>
        <v>#N/A</v>
      </c>
      <c r="W46" s="61" t="str">
        <f>VLOOKUP(B46,[3]Sheet1!$A:$B,2,0)</f>
        <v>Bamengwi</v>
      </c>
      <c r="X46" s="88" t="str">
        <f t="shared" si="7"/>
        <v>ADM</v>
      </c>
      <c r="Y46" s="80" t="str">
        <f t="shared" ca="1" si="4"/>
        <v>T&gt;72H</v>
      </c>
      <c r="Z46" s="61">
        <f t="shared" si="5"/>
        <v>1</v>
      </c>
      <c r="AA46" s="61" t="s">
        <v>1566</v>
      </c>
      <c r="AB46" s="84" t="s">
        <v>1555</v>
      </c>
      <c r="AC46" s="84" t="s">
        <v>1995</v>
      </c>
      <c r="AD46" s="84" t="s">
        <v>1994</v>
      </c>
      <c r="AE46" s="61"/>
    </row>
    <row r="47" spans="1:31" ht="88" x14ac:dyDescent="0.45">
      <c r="A47" s="61" t="s">
        <v>1740</v>
      </c>
      <c r="B47" s="61" t="s">
        <v>1739</v>
      </c>
      <c r="C47" s="65"/>
      <c r="D47" s="61"/>
      <c r="E47" s="61" t="s">
        <v>1744</v>
      </c>
      <c r="F47" s="70" t="str">
        <f>VLOOKUP(B47,'[2]Power '!$A:$C,3,0)</f>
        <v>TowerCo</v>
      </c>
      <c r="G47" s="70" t="str">
        <f>VLOOKUP(B47,'[2]Power '!$A:$D,4,0)</f>
        <v>Grid-Gen</v>
      </c>
      <c r="H47" s="67">
        <v>46173.861805555556</v>
      </c>
      <c r="I47" s="75">
        <f t="shared" ca="1" si="2"/>
        <v>6.8068869212947902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84" t="s">
        <v>1996</v>
      </c>
      <c r="S47" s="61" t="s">
        <v>51</v>
      </c>
      <c r="T47" s="84" t="s">
        <v>1898</v>
      </c>
      <c r="U47" s="84" t="s">
        <v>1898</v>
      </c>
      <c r="V47" s="61" t="e">
        <f>VLOOKUP(B47,[2]Overall!$A:$D,4,0)</f>
        <v>#N/A</v>
      </c>
      <c r="W47" s="61" t="str">
        <f>VLOOKUP(B47,[3]Sheet1!$A:$B,2,0)</f>
        <v>Bamengwi</v>
      </c>
      <c r="X47" s="88" t="str">
        <f t="shared" si="7"/>
        <v>ADM</v>
      </c>
      <c r="Y47" s="80" t="str">
        <f t="shared" ca="1" si="4"/>
        <v>T&gt;72H</v>
      </c>
      <c r="Z47" s="61">
        <f t="shared" si="5"/>
        <v>1</v>
      </c>
      <c r="AA47" s="61" t="s">
        <v>1566</v>
      </c>
      <c r="AB47" s="84" t="s">
        <v>1555</v>
      </c>
      <c r="AC47" s="84" t="s">
        <v>1995</v>
      </c>
      <c r="AD47" s="84" t="s">
        <v>1994</v>
      </c>
      <c r="AE47" s="61"/>
    </row>
    <row r="48" spans="1:31" ht="88" x14ac:dyDescent="0.45">
      <c r="A48" s="61" t="s">
        <v>1740</v>
      </c>
      <c r="B48" s="61" t="s">
        <v>1739</v>
      </c>
      <c r="C48" s="65"/>
      <c r="D48" s="61"/>
      <c r="E48" s="61" t="s">
        <v>1741</v>
      </c>
      <c r="F48" s="70" t="str">
        <f>VLOOKUP(B48,'[2]Power '!$A:$C,3,0)</f>
        <v>TowerCo</v>
      </c>
      <c r="G48" s="70" t="str">
        <f>VLOOKUP(B48,'[2]Power '!$A:$D,4,0)</f>
        <v>Grid-Gen</v>
      </c>
      <c r="H48" s="67">
        <v>46173.861805555556</v>
      </c>
      <c r="I48" s="75">
        <f t="shared" ca="1" si="2"/>
        <v>6.8068869212947902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84" t="s">
        <v>1996</v>
      </c>
      <c r="S48" s="61" t="s">
        <v>51</v>
      </c>
      <c r="T48" s="84" t="s">
        <v>1898</v>
      </c>
      <c r="U48" s="84" t="s">
        <v>1898</v>
      </c>
      <c r="V48" s="61" t="e">
        <f>VLOOKUP(B48,[2]Overall!$A:$D,4,0)</f>
        <v>#N/A</v>
      </c>
      <c r="W48" s="61" t="str">
        <f>VLOOKUP(B48,[3]Sheet1!$A:$B,2,0)</f>
        <v>Bamengwi</v>
      </c>
      <c r="X48" s="88" t="str">
        <f t="shared" si="7"/>
        <v>ADM</v>
      </c>
      <c r="Y48" s="80" t="str">
        <f t="shared" ca="1" si="4"/>
        <v>T&gt;72H</v>
      </c>
      <c r="Z48" s="61">
        <f t="shared" si="5"/>
        <v>1</v>
      </c>
      <c r="AA48" s="61" t="s">
        <v>1566</v>
      </c>
      <c r="AB48" s="84" t="s">
        <v>1555</v>
      </c>
      <c r="AC48" s="84" t="s">
        <v>1995</v>
      </c>
      <c r="AD48" s="84" t="s">
        <v>1994</v>
      </c>
      <c r="AE48" s="61"/>
    </row>
    <row r="49" spans="1:31" ht="88" x14ac:dyDescent="0.45">
      <c r="A49" s="61" t="s">
        <v>1740</v>
      </c>
      <c r="B49" s="61" t="s">
        <v>1739</v>
      </c>
      <c r="C49" s="65"/>
      <c r="D49" s="61"/>
      <c r="E49" s="61" t="s">
        <v>1743</v>
      </c>
      <c r="F49" s="70" t="str">
        <f>VLOOKUP(B49,'[2]Power '!$A:$C,3,0)</f>
        <v>TowerCo</v>
      </c>
      <c r="G49" s="70" t="str">
        <f>VLOOKUP(B49,'[2]Power '!$A:$D,4,0)</f>
        <v>Grid-Gen</v>
      </c>
      <c r="H49" s="67">
        <v>46173.861805555556</v>
      </c>
      <c r="I49" s="75">
        <f t="shared" ca="1" si="2"/>
        <v>6.8068869212947902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84" t="s">
        <v>1996</v>
      </c>
      <c r="S49" s="61" t="s">
        <v>51</v>
      </c>
      <c r="T49" s="84" t="s">
        <v>1898</v>
      </c>
      <c r="U49" s="84" t="s">
        <v>1898</v>
      </c>
      <c r="V49" s="61" t="e">
        <f>VLOOKUP(B49,[2]Overall!$A:$D,4,0)</f>
        <v>#N/A</v>
      </c>
      <c r="W49" s="61" t="str">
        <f>VLOOKUP(B49,[3]Sheet1!$A:$B,2,0)</f>
        <v>Bamengwi</v>
      </c>
      <c r="X49" s="88" t="str">
        <f t="shared" si="7"/>
        <v>ADM</v>
      </c>
      <c r="Y49" s="80" t="str">
        <f t="shared" ca="1" si="4"/>
        <v>T&gt;72H</v>
      </c>
      <c r="Z49" s="61">
        <f t="shared" si="5"/>
        <v>1</v>
      </c>
      <c r="AA49" s="61" t="s">
        <v>1566</v>
      </c>
      <c r="AB49" s="84" t="s">
        <v>1555</v>
      </c>
      <c r="AC49" s="84" t="s">
        <v>1995</v>
      </c>
      <c r="AD49" s="84" t="s">
        <v>1994</v>
      </c>
      <c r="AE49" s="61"/>
    </row>
    <row r="50" spans="1:31" ht="88" x14ac:dyDescent="0.45">
      <c r="A50" s="61" t="s">
        <v>1740</v>
      </c>
      <c r="B50" s="61" t="s">
        <v>1739</v>
      </c>
      <c r="C50" s="65"/>
      <c r="D50" s="61"/>
      <c r="E50" s="61" t="s">
        <v>1745</v>
      </c>
      <c r="F50" s="70" t="str">
        <f>VLOOKUP(B50,'[2]Power '!$A:$C,3,0)</f>
        <v>TowerCo</v>
      </c>
      <c r="G50" s="70" t="str">
        <f>VLOOKUP(B50,'[2]Power '!$A:$D,4,0)</f>
        <v>Grid-Gen</v>
      </c>
      <c r="H50" s="67">
        <v>46173.861805555556</v>
      </c>
      <c r="I50" s="75">
        <f t="shared" ca="1" si="2"/>
        <v>6.8068869212947902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84" t="s">
        <v>1996</v>
      </c>
      <c r="S50" s="61" t="s">
        <v>51</v>
      </c>
      <c r="T50" s="84" t="s">
        <v>1898</v>
      </c>
      <c r="U50" s="84" t="s">
        <v>1898</v>
      </c>
      <c r="V50" s="61" t="e">
        <f>VLOOKUP(B50,[2]Overall!$A:$D,4,0)</f>
        <v>#N/A</v>
      </c>
      <c r="W50" s="61" t="str">
        <f>VLOOKUP(B50,[3]Sheet1!$A:$B,2,0)</f>
        <v>Bamengwi</v>
      </c>
      <c r="X50" s="88" t="str">
        <f t="shared" si="7"/>
        <v>EXN</v>
      </c>
      <c r="Y50" s="80" t="str">
        <f t="shared" ca="1" si="4"/>
        <v>T&gt;72H</v>
      </c>
      <c r="Z50" s="61">
        <f t="shared" si="5"/>
        <v>1</v>
      </c>
      <c r="AA50" s="61" t="s">
        <v>1566</v>
      </c>
      <c r="AB50" s="84" t="s">
        <v>1555</v>
      </c>
      <c r="AC50" s="84" t="s">
        <v>1995</v>
      </c>
      <c r="AD50" s="84" t="s">
        <v>1994</v>
      </c>
      <c r="AE50" s="61"/>
    </row>
    <row r="51" spans="1:31" ht="88" x14ac:dyDescent="0.45">
      <c r="A51" s="61" t="s">
        <v>1919</v>
      </c>
      <c r="B51" s="61" t="s">
        <v>1914</v>
      </c>
      <c r="C51" s="65"/>
      <c r="D51" s="61"/>
      <c r="E51" s="61" t="s">
        <v>39</v>
      </c>
      <c r="F51" s="70" t="str">
        <f>VLOOKUP(B51,'[2]Power '!$A:$C,3,0)</f>
        <v>TowerCo</v>
      </c>
      <c r="G51" s="70" t="str">
        <f>VLOOKUP(B51,'[2]Power '!$A:$D,4,0)</f>
        <v>Gen Only</v>
      </c>
      <c r="H51" s="67">
        <v>46173.970833333333</v>
      </c>
      <c r="I51" s="75">
        <f t="shared" ca="1" si="2"/>
        <v>6.6978591435181443</v>
      </c>
      <c r="J51" s="61"/>
      <c r="K51" s="61"/>
      <c r="L51" s="61"/>
      <c r="M51" s="61" t="s">
        <v>1712</v>
      </c>
      <c r="N51" s="61" t="s">
        <v>1990</v>
      </c>
      <c r="O51" s="61"/>
      <c r="P51" s="61"/>
      <c r="Q51" s="61"/>
      <c r="R51" s="84" t="s">
        <v>2006</v>
      </c>
      <c r="S51" s="61" t="s">
        <v>40</v>
      </c>
      <c r="T51" s="61" t="s">
        <v>1898</v>
      </c>
      <c r="U51" s="61" t="s">
        <v>1898</v>
      </c>
      <c r="V51" s="61" t="str">
        <f>VLOOKUP(B51,[2]Overall!$A:$D,4,0)</f>
        <v>TELEINFRA NORD</v>
      </c>
      <c r="W51" s="61" t="str">
        <f>VLOOKUP(B51,[3]Sheet1!$A:$B,2,0)</f>
        <v>Dogba</v>
      </c>
      <c r="X51" s="88" t="str">
        <f t="shared" si="7"/>
        <v>OST</v>
      </c>
      <c r="Y51" s="80" t="str">
        <f t="shared" ca="1" si="4"/>
        <v>T&gt;72H</v>
      </c>
      <c r="Z51" s="61">
        <f t="shared" si="5"/>
        <v>1</v>
      </c>
      <c r="AA51" s="61" t="s">
        <v>1566</v>
      </c>
      <c r="AB51" s="84" t="s">
        <v>1554</v>
      </c>
      <c r="AC51" s="84" t="s">
        <v>1995</v>
      </c>
      <c r="AD51" s="84" t="s">
        <v>1994</v>
      </c>
      <c r="AE51" s="61"/>
    </row>
    <row r="52" spans="1:31" ht="88" x14ac:dyDescent="0.45">
      <c r="A52" s="61" t="s">
        <v>1919</v>
      </c>
      <c r="B52" s="61" t="s">
        <v>1914</v>
      </c>
      <c r="C52" s="65"/>
      <c r="D52" s="61"/>
      <c r="E52" s="61" t="s">
        <v>34</v>
      </c>
      <c r="F52" s="70" t="str">
        <f>VLOOKUP(B52,'[2]Power '!$A:$C,3,0)</f>
        <v>TowerCo</v>
      </c>
      <c r="G52" s="70" t="str">
        <f>VLOOKUP(B52,'[2]Power '!$A:$D,4,0)</f>
        <v>Gen Only</v>
      </c>
      <c r="H52" s="67">
        <v>46173.977083333331</v>
      </c>
      <c r="I52" s="75">
        <f t="shared" ca="1" si="2"/>
        <v>6.6916091435195995</v>
      </c>
      <c r="J52" s="61"/>
      <c r="K52" s="61"/>
      <c r="L52" s="61"/>
      <c r="M52" s="61" t="s">
        <v>31</v>
      </c>
      <c r="N52" s="61" t="s">
        <v>1963</v>
      </c>
      <c r="O52" s="61"/>
      <c r="P52" s="61"/>
      <c r="Q52" s="61"/>
      <c r="R52" s="84" t="s">
        <v>2006</v>
      </c>
      <c r="S52" s="61" t="s">
        <v>40</v>
      </c>
      <c r="T52" s="61" t="s">
        <v>1898</v>
      </c>
      <c r="U52" s="61" t="s">
        <v>1898</v>
      </c>
      <c r="V52" s="61" t="str">
        <f>VLOOKUP(B52,[2]Overall!$A:$D,4,0)</f>
        <v>TELEINFRA NORD</v>
      </c>
      <c r="W52" s="61" t="str">
        <f>VLOOKUP(B52,[3]Sheet1!$A:$B,2,0)</f>
        <v>Dogba</v>
      </c>
      <c r="X52" s="88" t="str">
        <f t="shared" si="7"/>
        <v>NRO</v>
      </c>
      <c r="Y52" s="80" t="str">
        <f t="shared" ca="1" si="4"/>
        <v>T&gt;72H</v>
      </c>
      <c r="Z52" s="61">
        <f t="shared" si="5"/>
        <v>1</v>
      </c>
      <c r="AA52" s="61" t="s">
        <v>1566</v>
      </c>
      <c r="AB52" s="84" t="s">
        <v>1554</v>
      </c>
      <c r="AC52" s="84" t="s">
        <v>1995</v>
      </c>
      <c r="AD52" s="84" t="s">
        <v>1994</v>
      </c>
      <c r="AE52" s="61"/>
    </row>
    <row r="53" spans="1:31" ht="117" x14ac:dyDescent="0.45">
      <c r="A53" s="61" t="s">
        <v>1881</v>
      </c>
      <c r="B53" s="61" t="s">
        <v>1880</v>
      </c>
      <c r="C53" s="65"/>
      <c r="D53" s="61"/>
      <c r="E53" s="61" t="s">
        <v>1991</v>
      </c>
      <c r="F53" s="70" t="str">
        <f>VLOOKUP(B53,'[2]Power '!$A:$C,3,0)</f>
        <v>TowerCo</v>
      </c>
      <c r="G53" s="70" t="str">
        <f>VLOOKUP(B53,'[2]Power '!$A:$D,4,0)</f>
        <v>Hybrid-Gen</v>
      </c>
      <c r="H53" s="67">
        <v>46174.26666666667</v>
      </c>
      <c r="I53" s="75">
        <f t="shared" ca="1" si="2"/>
        <v>6.4020258101809304</v>
      </c>
      <c r="J53" s="61"/>
      <c r="K53" s="61"/>
      <c r="L53" s="61"/>
      <c r="M53" s="61" t="s">
        <v>1769</v>
      </c>
      <c r="N53" s="61" t="s">
        <v>1770</v>
      </c>
      <c r="O53" s="61"/>
      <c r="P53" s="61"/>
      <c r="Q53" s="61"/>
      <c r="R53" s="84" t="s">
        <v>2003</v>
      </c>
      <c r="S53" s="61" t="s">
        <v>32</v>
      </c>
      <c r="T53" s="61" t="s">
        <v>1898</v>
      </c>
      <c r="U53" s="61" t="s">
        <v>1898</v>
      </c>
      <c r="V53" s="61" t="str">
        <f>VLOOKUP(B53,[2]Overall!$A:$D,4,0)</f>
        <v xml:space="preserve">I-ENG </v>
      </c>
      <c r="W53" s="61" t="str">
        <f>VLOOKUP(B53,[3]Sheet1!$A:$B,2,0)</f>
        <v>Fundong</v>
      </c>
      <c r="X53" s="88" t="str">
        <f t="shared" si="7"/>
        <v>NRO</v>
      </c>
      <c r="Y53" s="80" t="str">
        <f t="shared" ca="1" si="4"/>
        <v>T&gt;72H</v>
      </c>
      <c r="Z53" s="61">
        <f t="shared" si="5"/>
        <v>1</v>
      </c>
      <c r="AA53" s="61" t="s">
        <v>1566</v>
      </c>
      <c r="AB53" s="84" t="s">
        <v>1555</v>
      </c>
      <c r="AC53" s="84" t="s">
        <v>1995</v>
      </c>
      <c r="AD53" s="84" t="s">
        <v>1994</v>
      </c>
      <c r="AE53" s="61"/>
    </row>
    <row r="54" spans="1:31" ht="117" x14ac:dyDescent="0.45">
      <c r="A54" s="63" t="s">
        <v>1892</v>
      </c>
      <c r="B54" s="63" t="s">
        <v>1893</v>
      </c>
      <c r="C54" s="68"/>
      <c r="D54" s="63"/>
      <c r="E54" s="63" t="s">
        <v>1992</v>
      </c>
      <c r="F54" s="71" t="str">
        <f>VLOOKUP(B54,'[2]Power '!$A:$C,3,0)</f>
        <v>TowerCo</v>
      </c>
      <c r="G54" s="71" t="str">
        <f>VLOOKUP(B54,'[2]Power '!$A:$D,4,0)</f>
        <v>Grid-Gen</v>
      </c>
      <c r="H54" s="69">
        <v>46174.341666666667</v>
      </c>
      <c r="I54" s="77">
        <f t="shared" ca="1" si="2"/>
        <v>6.3270258101838408</v>
      </c>
      <c r="J54" s="63"/>
      <c r="K54" s="63"/>
      <c r="L54" s="63"/>
      <c r="M54" s="63" t="s">
        <v>31</v>
      </c>
      <c r="N54" s="63" t="s">
        <v>1993</v>
      </c>
      <c r="O54" s="63"/>
      <c r="P54" s="63" t="s">
        <v>1906</v>
      </c>
      <c r="Q54" s="90">
        <v>46028</v>
      </c>
      <c r="R54" s="85" t="s">
        <v>2013</v>
      </c>
      <c r="S54" s="85" t="s">
        <v>71</v>
      </c>
      <c r="T54" s="85" t="s">
        <v>1902</v>
      </c>
      <c r="U54" s="85" t="s">
        <v>1896</v>
      </c>
      <c r="V54" s="63" t="str">
        <f>VLOOKUP(B54,[2]Overall!$A:$D,4,0)</f>
        <v>H-TELI</v>
      </c>
      <c r="W54" s="63" t="str">
        <f>VLOOKUP(B54,[3]Sheet1!$A:$B,2,0)</f>
        <v>Santchou</v>
      </c>
      <c r="X54" s="89" t="str">
        <f t="shared" si="7"/>
        <v>OST</v>
      </c>
      <c r="Y54" s="81" t="str">
        <f t="shared" ca="1" si="4"/>
        <v>T&gt;72H</v>
      </c>
      <c r="Z54" s="63">
        <f t="shared" si="5"/>
        <v>9</v>
      </c>
      <c r="AA54" s="63" t="s">
        <v>77</v>
      </c>
      <c r="AB54" s="85" t="s">
        <v>1555</v>
      </c>
      <c r="AC54" s="85" t="s">
        <v>1995</v>
      </c>
      <c r="AD54" s="85" t="s">
        <v>1994</v>
      </c>
      <c r="AE54" s="63"/>
    </row>
    <row r="55" spans="1:31" ht="73.5" x14ac:dyDescent="0.45">
      <c r="A55" s="61" t="s">
        <v>1876</v>
      </c>
      <c r="B55" s="61" t="s">
        <v>1911</v>
      </c>
      <c r="C55" s="65"/>
      <c r="D55" s="61"/>
      <c r="E55" s="61" t="s">
        <v>1875</v>
      </c>
      <c r="F55" s="70" t="e">
        <f>VLOOKUP(B55,'[2]Power '!$A:$C,3,0)</f>
        <v>#N/A</v>
      </c>
      <c r="G55" s="70" t="e">
        <f>VLOOKUP(B55,'[2]Power '!$A:$D,4,0)</f>
        <v>#N/A</v>
      </c>
      <c r="H55" s="67">
        <v>46139.612500000003</v>
      </c>
      <c r="I55" s="75">
        <f t="shared" ca="1" si="2"/>
        <v>41.056192476848082</v>
      </c>
      <c r="J55" s="61"/>
      <c r="K55" s="61"/>
      <c r="L55" s="61"/>
      <c r="M55" s="61" t="s">
        <v>31</v>
      </c>
      <c r="N55" s="61" t="s">
        <v>1874</v>
      </c>
      <c r="O55" s="61"/>
      <c r="P55" s="61"/>
      <c r="Q55" s="61"/>
      <c r="R55" s="84" t="s">
        <v>2011</v>
      </c>
      <c r="S55" s="61" t="s">
        <v>51</v>
      </c>
      <c r="T55" s="61" t="s">
        <v>1898</v>
      </c>
      <c r="U55" s="61" t="s">
        <v>1898</v>
      </c>
      <c r="V55" s="61" t="e">
        <f>VLOOKUP(B55,[2]Overall!$A:$D,4,0)</f>
        <v>#N/A</v>
      </c>
      <c r="W55" s="61" t="e">
        <f>VLOOKUP(B55,[3]Sheet1!$A:$B,2,0)</f>
        <v>#N/A</v>
      </c>
      <c r="X55" s="88" t="str">
        <f>LEFT(B40,3)</f>
        <v>EXN</v>
      </c>
      <c r="Y55" s="80" t="str">
        <f t="shared" ca="1" si="4"/>
        <v>T&gt;72H</v>
      </c>
      <c r="Z55" s="61">
        <f t="shared" si="5"/>
        <v>4</v>
      </c>
      <c r="AA55" s="61" t="s">
        <v>1566</v>
      </c>
      <c r="AB55" s="84" t="s">
        <v>1555</v>
      </c>
      <c r="AC55" s="84" t="s">
        <v>1995</v>
      </c>
      <c r="AD55" s="84" t="s">
        <v>1994</v>
      </c>
      <c r="AE55" s="61"/>
    </row>
  </sheetData>
  <autoFilter ref="A1:AE55" xr:uid="{483BDC4C-E3F3-476E-957F-7737F4ED7D11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9BD-9946-482B-B380-A12FFD7478F6}">
  <sheetPr codeName="Sheet29">
    <tabColor rgb="FF0070C0"/>
  </sheetPr>
  <dimension ref="A1:AE49"/>
  <sheetViews>
    <sheetView zoomScale="59" zoomScaleNormal="100" workbookViewId="0">
      <pane xSplit="6" topLeftCell="N1" activePane="topRight" state="frozen"/>
      <selection activeCell="AB4" sqref="AB4"/>
      <selection pane="topRight" activeCell="O3" sqref="O3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0.0898437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73.5" x14ac:dyDescent="0.45">
      <c r="A2" s="61" t="s">
        <v>1678</v>
      </c>
      <c r="B2" s="61" t="s">
        <v>1679</v>
      </c>
      <c r="C2" s="65"/>
      <c r="D2" s="61"/>
      <c r="E2" s="61" t="s">
        <v>35</v>
      </c>
      <c r="F2" s="70" t="str">
        <f>VLOOKUP(B2,'[2]Power '!$A:$C,3,0)</f>
        <v>TowerCo</v>
      </c>
      <c r="G2" s="70" t="str">
        <f>VLOOKUP(B2,'[2]Power '!$A:$D,4,0)</f>
        <v>Grid-Gen</v>
      </c>
      <c r="H2" s="67">
        <v>46173.667939814812</v>
      </c>
      <c r="I2" s="75">
        <f t="shared" ref="I2:I49" ca="1" si="0">NOW()-H2</f>
        <v>7.0007526620393037</v>
      </c>
      <c r="J2" s="61"/>
      <c r="K2" s="61"/>
      <c r="L2" s="61"/>
      <c r="M2" s="61" t="s">
        <v>31</v>
      </c>
      <c r="N2" s="61" t="s">
        <v>1680</v>
      </c>
      <c r="O2" s="61"/>
      <c r="P2" s="61"/>
      <c r="Q2" s="61"/>
      <c r="R2" s="61" t="s">
        <v>2002</v>
      </c>
      <c r="S2" s="61" t="s">
        <v>32</v>
      </c>
      <c r="T2" s="61" t="s">
        <v>1898</v>
      </c>
      <c r="U2" s="61" t="s">
        <v>1898</v>
      </c>
      <c r="V2" s="61" t="str">
        <f>VLOOKUP(B2,[2]Overall!$A:$D,4,0)</f>
        <v xml:space="preserve">I-ENG </v>
      </c>
      <c r="W2" s="61" t="str">
        <f>VLOOKUP(B2,[3]Sheet1!$A:$B,2,0)</f>
        <v>Babessi</v>
      </c>
      <c r="X2" s="88" t="str">
        <f>LEFT(B3,3)</f>
        <v>EXN</v>
      </c>
      <c r="Y2" s="80" t="str">
        <f t="shared" ref="Y2:Y49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49" si="2">IF(OR(E2="", E2="affected_cells=unknown"), "", LEN(E2)-LEN(SUBSTITUTE(E2, ",", "")) + LEN(E2)-LEN(SUBSTITUTE(E2, ";", "")) + 1)</f>
        <v>3</v>
      </c>
      <c r="AA2" s="61" t="s">
        <v>1925</v>
      </c>
      <c r="AB2" s="61" t="s">
        <v>1554</v>
      </c>
      <c r="AC2" s="84" t="s">
        <v>2018</v>
      </c>
      <c r="AD2" s="84" t="s">
        <v>1994</v>
      </c>
      <c r="AE2" s="61"/>
    </row>
    <row r="3" spans="1:31" ht="175" x14ac:dyDescent="0.45">
      <c r="A3" s="61" t="s">
        <v>1779</v>
      </c>
      <c r="B3" s="61" t="s">
        <v>1780</v>
      </c>
      <c r="C3" s="65"/>
      <c r="D3" s="61"/>
      <c r="E3" s="61" t="s">
        <v>37</v>
      </c>
      <c r="F3" s="70" t="str">
        <f>VLOOKUP(B3,'[2]Power '!$A:$C,3,0)</f>
        <v>TowerCo</v>
      </c>
      <c r="G3" s="70" t="str">
        <f>VLOOKUP(B3,'[2]Power '!$A:$D,4,0)</f>
        <v>Solar-Gen</v>
      </c>
      <c r="H3" s="67">
        <v>46172.67931712963</v>
      </c>
      <c r="I3" s="75">
        <f t="shared" ca="1" si="0"/>
        <v>7.9893753472206299</v>
      </c>
      <c r="J3" s="61"/>
      <c r="K3" s="61"/>
      <c r="L3" s="61"/>
      <c r="M3" s="61" t="s">
        <v>41</v>
      </c>
      <c r="N3" s="61" t="s">
        <v>1781</v>
      </c>
      <c r="O3" s="61"/>
      <c r="P3" s="61"/>
      <c r="Q3" s="61"/>
      <c r="R3" s="61" t="s">
        <v>2007</v>
      </c>
      <c r="S3" s="61" t="s">
        <v>40</v>
      </c>
      <c r="T3" s="61" t="s">
        <v>1883</v>
      </c>
      <c r="U3" s="61" t="s">
        <v>1883</v>
      </c>
      <c r="V3" s="61" t="str">
        <f>VLOOKUP(B3,[2]Overall!$A:$D,4,0)</f>
        <v>TELEINFRA NORD</v>
      </c>
      <c r="W3" s="61" t="str">
        <f>VLOOKUP(B3,[3]Sheet1!$A:$B,2,0)</f>
        <v>Badjonre</v>
      </c>
      <c r="X3" s="88" t="str">
        <f>LEFT(B4,3)</f>
        <v>NRO</v>
      </c>
      <c r="Y3" s="80" t="str">
        <f t="shared" ca="1" si="1"/>
        <v>T&gt;72H</v>
      </c>
      <c r="Z3" s="61">
        <f t="shared" si="2"/>
        <v>1</v>
      </c>
      <c r="AA3" s="61" t="s">
        <v>1925</v>
      </c>
      <c r="AB3" s="61" t="s">
        <v>1554</v>
      </c>
      <c r="AC3" s="84" t="s">
        <v>2018</v>
      </c>
      <c r="AD3" s="84" t="s">
        <v>1994</v>
      </c>
      <c r="AE3" s="61"/>
    </row>
    <row r="4" spans="1:31" ht="146" x14ac:dyDescent="0.45">
      <c r="A4" s="61" t="s">
        <v>1776</v>
      </c>
      <c r="B4" s="61" t="s">
        <v>1777</v>
      </c>
      <c r="C4" s="65"/>
      <c r="D4" s="61"/>
      <c r="E4" s="61" t="s">
        <v>35</v>
      </c>
      <c r="F4" s="70" t="str">
        <f>VLOOKUP(B4,'[2]Power '!$A:$C,3,0)</f>
        <v>TowerCo</v>
      </c>
      <c r="G4" s="70" t="str">
        <f>VLOOKUP(B4,'[2]Power '!$A:$D,4,0)</f>
        <v>Hybrid-Gen</v>
      </c>
      <c r="H4" s="67">
        <v>46169.530451388891</v>
      </c>
      <c r="I4" s="75">
        <f t="shared" ca="1" si="0"/>
        <v>11.138241087959614</v>
      </c>
      <c r="J4" s="61"/>
      <c r="K4" s="61"/>
      <c r="L4" s="61"/>
      <c r="M4" s="61" t="s">
        <v>31</v>
      </c>
      <c r="N4" s="61" t="s">
        <v>1778</v>
      </c>
      <c r="O4" s="61"/>
      <c r="P4" s="61"/>
      <c r="Q4" s="61"/>
      <c r="R4" s="61" t="s">
        <v>1999</v>
      </c>
      <c r="S4" s="61" t="s">
        <v>32</v>
      </c>
      <c r="T4" s="61" t="s">
        <v>1898</v>
      </c>
      <c r="U4" s="61" t="s">
        <v>1898</v>
      </c>
      <c r="V4" s="61" t="str">
        <f>VLOOKUP(B4,[2]Overall!$A:$D,4,0)</f>
        <v xml:space="preserve">I-ENG </v>
      </c>
      <c r="W4" s="61" t="str">
        <f>VLOOKUP(B4,[3]Sheet1!$A:$B,2,0)</f>
        <v>Bafmeng</v>
      </c>
      <c r="X4" s="88" t="e">
        <f>LEFT(#REF!,3)</f>
        <v>#REF!</v>
      </c>
      <c r="Y4" s="80" t="str">
        <f t="shared" ca="1" si="1"/>
        <v>T&gt;72H</v>
      </c>
      <c r="Z4" s="61">
        <f t="shared" si="2"/>
        <v>3</v>
      </c>
      <c r="AA4" s="61" t="s">
        <v>1925</v>
      </c>
      <c r="AB4" s="61" t="s">
        <v>1554</v>
      </c>
      <c r="AC4" s="84" t="s">
        <v>2018</v>
      </c>
      <c r="AD4" s="84" t="s">
        <v>1994</v>
      </c>
      <c r="AE4" s="61"/>
    </row>
    <row r="5" spans="1:31" ht="88" x14ac:dyDescent="0.45">
      <c r="A5" s="63" t="s">
        <v>1740</v>
      </c>
      <c r="B5" s="63" t="s">
        <v>1739</v>
      </c>
      <c r="C5" s="68"/>
      <c r="D5" s="63"/>
      <c r="E5" s="63" t="s">
        <v>1746</v>
      </c>
      <c r="F5" s="71" t="str">
        <f>VLOOKUP(B5,'[2]Power '!$A:$C,3,0)</f>
        <v>TowerCo</v>
      </c>
      <c r="G5" s="71" t="str">
        <f>VLOOKUP(B5,'[2]Power '!$A:$D,4,0)</f>
        <v>Grid-Gen</v>
      </c>
      <c r="H5" s="69">
        <v>46173.861793981479</v>
      </c>
      <c r="I5" s="77">
        <f t="shared" ca="1" si="0"/>
        <v>6.8068984953715699</v>
      </c>
      <c r="J5" s="63"/>
      <c r="K5" s="63"/>
      <c r="L5" s="63"/>
      <c r="M5" s="63" t="s">
        <v>41</v>
      </c>
      <c r="N5" s="63" t="s">
        <v>42</v>
      </c>
      <c r="O5" s="63"/>
      <c r="P5" s="63" t="s">
        <v>1906</v>
      </c>
      <c r="Q5" s="90">
        <v>46028</v>
      </c>
      <c r="R5" s="63" t="s">
        <v>2042</v>
      </c>
      <c r="S5" s="63" t="s">
        <v>51</v>
      </c>
      <c r="T5" s="63" t="s">
        <v>1898</v>
      </c>
      <c r="U5" s="63" t="s">
        <v>1898</v>
      </c>
      <c r="V5" s="63" t="e">
        <f>VLOOKUP(B5,[2]Overall!$A:$D,4,0)</f>
        <v>#N/A</v>
      </c>
      <c r="W5" s="63" t="str">
        <f>VLOOKUP(B5,[3]Sheet1!$A:$B,2,0)</f>
        <v>Bamengwi</v>
      </c>
      <c r="X5" s="89" t="str">
        <f t="shared" ref="X5:X20" si="3">LEFT(B6,3)</f>
        <v>NRO</v>
      </c>
      <c r="Y5" s="81" t="str">
        <f t="shared" ca="1" si="1"/>
        <v>T&gt;72H</v>
      </c>
      <c r="Z5" s="63">
        <f t="shared" si="2"/>
        <v>1</v>
      </c>
      <c r="AA5" s="63" t="s">
        <v>77</v>
      </c>
      <c r="AB5" s="63" t="s">
        <v>1554</v>
      </c>
      <c r="AC5" s="85" t="s">
        <v>2018</v>
      </c>
      <c r="AD5" s="85" t="s">
        <v>1994</v>
      </c>
      <c r="AE5" s="63"/>
    </row>
    <row r="6" spans="1:31" ht="88" x14ac:dyDescent="0.45">
      <c r="A6" s="63" t="s">
        <v>1740</v>
      </c>
      <c r="B6" s="63" t="s">
        <v>1739</v>
      </c>
      <c r="C6" s="68"/>
      <c r="D6" s="63"/>
      <c r="E6" s="63" t="s">
        <v>1742</v>
      </c>
      <c r="F6" s="71" t="str">
        <f>VLOOKUP(B6,'[2]Power '!$A:$C,3,0)</f>
        <v>TowerCo</v>
      </c>
      <c r="G6" s="71" t="str">
        <f>VLOOKUP(B6,'[2]Power '!$A:$D,4,0)</f>
        <v>Grid-Gen</v>
      </c>
      <c r="H6" s="69">
        <v>46173.861805555556</v>
      </c>
      <c r="I6" s="77">
        <f t="shared" ca="1" si="0"/>
        <v>6.8068869212947902</v>
      </c>
      <c r="J6" s="63"/>
      <c r="K6" s="63"/>
      <c r="L6" s="63"/>
      <c r="M6" s="63" t="s">
        <v>41</v>
      </c>
      <c r="N6" s="63" t="s">
        <v>42</v>
      </c>
      <c r="O6" s="63"/>
      <c r="P6" s="63" t="s">
        <v>1906</v>
      </c>
      <c r="Q6" s="90">
        <v>46028</v>
      </c>
      <c r="R6" s="63" t="s">
        <v>2042</v>
      </c>
      <c r="S6" s="63" t="s">
        <v>51</v>
      </c>
      <c r="T6" s="63" t="s">
        <v>1898</v>
      </c>
      <c r="U6" s="63" t="s">
        <v>1898</v>
      </c>
      <c r="V6" s="63" t="e">
        <f>VLOOKUP(B6,[2]Overall!$A:$D,4,0)</f>
        <v>#N/A</v>
      </c>
      <c r="W6" s="63" t="str">
        <f>VLOOKUP(B6,[3]Sheet1!$A:$B,2,0)</f>
        <v>Bamengwi</v>
      </c>
      <c r="X6" s="89" t="str">
        <f t="shared" si="3"/>
        <v>NRO</v>
      </c>
      <c r="Y6" s="81" t="str">
        <f t="shared" ca="1" si="1"/>
        <v>T&gt;72H</v>
      </c>
      <c r="Z6" s="63">
        <f t="shared" si="2"/>
        <v>1</v>
      </c>
      <c r="AA6" s="63" t="s">
        <v>77</v>
      </c>
      <c r="AB6" s="63" t="s">
        <v>1554</v>
      </c>
      <c r="AC6" s="85" t="s">
        <v>2018</v>
      </c>
      <c r="AD6" s="85" t="s">
        <v>1994</v>
      </c>
      <c r="AE6" s="63"/>
    </row>
    <row r="7" spans="1:31" ht="88" x14ac:dyDescent="0.45">
      <c r="A7" s="63" t="s">
        <v>1740</v>
      </c>
      <c r="B7" s="63" t="s">
        <v>1739</v>
      </c>
      <c r="C7" s="68"/>
      <c r="D7" s="63"/>
      <c r="E7" s="63" t="s">
        <v>1744</v>
      </c>
      <c r="F7" s="71" t="str">
        <f>VLOOKUP(B7,'[2]Power '!$A:$C,3,0)</f>
        <v>TowerCo</v>
      </c>
      <c r="G7" s="71" t="str">
        <f>VLOOKUP(B7,'[2]Power '!$A:$D,4,0)</f>
        <v>Grid-Gen</v>
      </c>
      <c r="H7" s="69">
        <v>46173.861805555556</v>
      </c>
      <c r="I7" s="77">
        <f t="shared" ca="1" si="0"/>
        <v>6.8068869212947902</v>
      </c>
      <c r="J7" s="63"/>
      <c r="K7" s="63"/>
      <c r="L7" s="63"/>
      <c r="M7" s="63" t="s">
        <v>41</v>
      </c>
      <c r="N7" s="63" t="s">
        <v>42</v>
      </c>
      <c r="O7" s="63"/>
      <c r="P7" s="63" t="s">
        <v>1906</v>
      </c>
      <c r="Q7" s="90">
        <v>46028</v>
      </c>
      <c r="R7" s="63" t="s">
        <v>2042</v>
      </c>
      <c r="S7" s="63" t="s">
        <v>51</v>
      </c>
      <c r="T7" s="63" t="s">
        <v>1898</v>
      </c>
      <c r="U7" s="63" t="s">
        <v>1898</v>
      </c>
      <c r="V7" s="63" t="e">
        <f>VLOOKUP(B7,[2]Overall!$A:$D,4,0)</f>
        <v>#N/A</v>
      </c>
      <c r="W7" s="63" t="str">
        <f>VLOOKUP(B7,[3]Sheet1!$A:$B,2,0)</f>
        <v>Bamengwi</v>
      </c>
      <c r="X7" s="89" t="str">
        <f t="shared" si="3"/>
        <v>NRO</v>
      </c>
      <c r="Y7" s="81" t="str">
        <f t="shared" ca="1" si="1"/>
        <v>T&gt;72H</v>
      </c>
      <c r="Z7" s="63">
        <f t="shared" si="2"/>
        <v>1</v>
      </c>
      <c r="AA7" s="63" t="s">
        <v>77</v>
      </c>
      <c r="AB7" s="63" t="s">
        <v>1554</v>
      </c>
      <c r="AC7" s="85" t="s">
        <v>2018</v>
      </c>
      <c r="AD7" s="85" t="s">
        <v>1994</v>
      </c>
      <c r="AE7" s="63"/>
    </row>
    <row r="8" spans="1:31" ht="88" x14ac:dyDescent="0.45">
      <c r="A8" s="63" t="s">
        <v>1740</v>
      </c>
      <c r="B8" s="63" t="s">
        <v>1739</v>
      </c>
      <c r="C8" s="68"/>
      <c r="D8" s="63"/>
      <c r="E8" s="63" t="s">
        <v>1741</v>
      </c>
      <c r="F8" s="71" t="str">
        <f>VLOOKUP(B8,'[2]Power '!$A:$C,3,0)</f>
        <v>TowerCo</v>
      </c>
      <c r="G8" s="71" t="str">
        <f>VLOOKUP(B8,'[2]Power '!$A:$D,4,0)</f>
        <v>Grid-Gen</v>
      </c>
      <c r="H8" s="69">
        <v>46173.861805555556</v>
      </c>
      <c r="I8" s="77">
        <f t="shared" ca="1" si="0"/>
        <v>6.8068869212947902</v>
      </c>
      <c r="J8" s="63"/>
      <c r="K8" s="63"/>
      <c r="L8" s="63"/>
      <c r="M8" s="63" t="s">
        <v>41</v>
      </c>
      <c r="N8" s="63" t="s">
        <v>42</v>
      </c>
      <c r="O8" s="63"/>
      <c r="P8" s="63" t="s">
        <v>1906</v>
      </c>
      <c r="Q8" s="90">
        <v>46028</v>
      </c>
      <c r="R8" s="63" t="s">
        <v>2042</v>
      </c>
      <c r="S8" s="63" t="s">
        <v>51</v>
      </c>
      <c r="T8" s="63" t="s">
        <v>1898</v>
      </c>
      <c r="U8" s="63" t="s">
        <v>1898</v>
      </c>
      <c r="V8" s="63" t="e">
        <f>VLOOKUP(B8,[2]Overall!$A:$D,4,0)</f>
        <v>#N/A</v>
      </c>
      <c r="W8" s="63" t="str">
        <f>VLOOKUP(B8,[3]Sheet1!$A:$B,2,0)</f>
        <v>Bamengwi</v>
      </c>
      <c r="X8" s="89" t="str">
        <f t="shared" si="3"/>
        <v>NRO</v>
      </c>
      <c r="Y8" s="81" t="str">
        <f t="shared" ca="1" si="1"/>
        <v>T&gt;72H</v>
      </c>
      <c r="Z8" s="63">
        <f t="shared" si="2"/>
        <v>1</v>
      </c>
      <c r="AA8" s="63" t="s">
        <v>77</v>
      </c>
      <c r="AB8" s="63" t="s">
        <v>1554</v>
      </c>
      <c r="AC8" s="85" t="s">
        <v>2018</v>
      </c>
      <c r="AD8" s="85" t="s">
        <v>1994</v>
      </c>
      <c r="AE8" s="63"/>
    </row>
    <row r="9" spans="1:31" ht="88" x14ac:dyDescent="0.45">
      <c r="A9" s="63" t="s">
        <v>1740</v>
      </c>
      <c r="B9" s="63" t="s">
        <v>1739</v>
      </c>
      <c r="C9" s="68"/>
      <c r="D9" s="63"/>
      <c r="E9" s="63" t="s">
        <v>1743</v>
      </c>
      <c r="F9" s="71" t="str">
        <f>VLOOKUP(B9,'[2]Power '!$A:$C,3,0)</f>
        <v>TowerCo</v>
      </c>
      <c r="G9" s="71" t="str">
        <f>VLOOKUP(B9,'[2]Power '!$A:$D,4,0)</f>
        <v>Grid-Gen</v>
      </c>
      <c r="H9" s="69">
        <v>46173.861805555556</v>
      </c>
      <c r="I9" s="77">
        <f t="shared" ca="1" si="0"/>
        <v>6.8068869212947902</v>
      </c>
      <c r="J9" s="63"/>
      <c r="K9" s="63"/>
      <c r="L9" s="63"/>
      <c r="M9" s="63" t="s">
        <v>41</v>
      </c>
      <c r="N9" s="63" t="s">
        <v>42</v>
      </c>
      <c r="O9" s="63"/>
      <c r="P9" s="63" t="s">
        <v>1906</v>
      </c>
      <c r="Q9" s="90">
        <v>46028</v>
      </c>
      <c r="R9" s="63" t="s">
        <v>2042</v>
      </c>
      <c r="S9" s="63" t="s">
        <v>51</v>
      </c>
      <c r="T9" s="63" t="s">
        <v>1898</v>
      </c>
      <c r="U9" s="63" t="s">
        <v>1898</v>
      </c>
      <c r="V9" s="63" t="e">
        <f>VLOOKUP(B9,[2]Overall!$A:$D,4,0)</f>
        <v>#N/A</v>
      </c>
      <c r="W9" s="63" t="str">
        <f>VLOOKUP(B9,[3]Sheet1!$A:$B,2,0)</f>
        <v>Bamengwi</v>
      </c>
      <c r="X9" s="89" t="str">
        <f t="shared" si="3"/>
        <v>NRO</v>
      </c>
      <c r="Y9" s="81" t="str">
        <f t="shared" ca="1" si="1"/>
        <v>T&gt;72H</v>
      </c>
      <c r="Z9" s="63">
        <f t="shared" si="2"/>
        <v>1</v>
      </c>
      <c r="AA9" s="63" t="s">
        <v>77</v>
      </c>
      <c r="AB9" s="63" t="s">
        <v>1554</v>
      </c>
      <c r="AC9" s="85" t="s">
        <v>2018</v>
      </c>
      <c r="AD9" s="85" t="s">
        <v>1994</v>
      </c>
      <c r="AE9" s="63"/>
    </row>
    <row r="10" spans="1:31" ht="88" x14ac:dyDescent="0.45">
      <c r="A10" s="63" t="s">
        <v>1740</v>
      </c>
      <c r="B10" s="63" t="s">
        <v>1739</v>
      </c>
      <c r="C10" s="68"/>
      <c r="D10" s="63"/>
      <c r="E10" s="63" t="s">
        <v>1745</v>
      </c>
      <c r="F10" s="71" t="str">
        <f>VLOOKUP(B10,'[2]Power '!$A:$C,3,0)</f>
        <v>TowerCo</v>
      </c>
      <c r="G10" s="71" t="str">
        <f>VLOOKUP(B10,'[2]Power '!$A:$D,4,0)</f>
        <v>Grid-Gen</v>
      </c>
      <c r="H10" s="69">
        <v>46173.861805555556</v>
      </c>
      <c r="I10" s="77">
        <f t="shared" ca="1" si="0"/>
        <v>6.8068869212947902</v>
      </c>
      <c r="J10" s="63"/>
      <c r="K10" s="63"/>
      <c r="L10" s="63"/>
      <c r="M10" s="63" t="s">
        <v>41</v>
      </c>
      <c r="N10" s="63" t="s">
        <v>42</v>
      </c>
      <c r="O10" s="63"/>
      <c r="P10" s="63" t="s">
        <v>1906</v>
      </c>
      <c r="Q10" s="90">
        <v>46028</v>
      </c>
      <c r="R10" s="63" t="s">
        <v>2042</v>
      </c>
      <c r="S10" s="63" t="s">
        <v>51</v>
      </c>
      <c r="T10" s="63" t="s">
        <v>1898</v>
      </c>
      <c r="U10" s="63" t="s">
        <v>1898</v>
      </c>
      <c r="V10" s="63" t="e">
        <f>VLOOKUP(B10,[2]Overall!$A:$D,4,0)</f>
        <v>#N/A</v>
      </c>
      <c r="W10" s="63" t="str">
        <f>VLOOKUP(B10,[3]Sheet1!$A:$B,2,0)</f>
        <v>Bamengwi</v>
      </c>
      <c r="X10" s="89" t="str">
        <f t="shared" si="3"/>
        <v>EST</v>
      </c>
      <c r="Y10" s="81" t="str">
        <f t="shared" ca="1" si="1"/>
        <v>T&gt;72H</v>
      </c>
      <c r="Z10" s="63">
        <f t="shared" si="2"/>
        <v>1</v>
      </c>
      <c r="AA10" s="63" t="s">
        <v>77</v>
      </c>
      <c r="AB10" s="63" t="s">
        <v>1554</v>
      </c>
      <c r="AC10" s="85" t="s">
        <v>2018</v>
      </c>
      <c r="AD10" s="85" t="s">
        <v>1994</v>
      </c>
      <c r="AE10" s="63"/>
    </row>
    <row r="11" spans="1:31" ht="59" x14ac:dyDescent="0.45">
      <c r="A11" s="61" t="s">
        <v>2026</v>
      </c>
      <c r="B11" s="61" t="s">
        <v>2027</v>
      </c>
      <c r="C11" s="65"/>
      <c r="D11" s="61"/>
      <c r="E11" s="61" t="s">
        <v>2028</v>
      </c>
      <c r="F11" s="70" t="e">
        <f>VLOOKUP(B11,'[2]Power '!$A:$C,3,0)</f>
        <v>#N/A</v>
      </c>
      <c r="G11" s="70" t="e">
        <f>VLOOKUP(B11,'[2]Power '!$A:$D,4,0)</f>
        <v>#N/A</v>
      </c>
      <c r="H11" s="67">
        <v>46174.521689814814</v>
      </c>
      <c r="I11" s="75">
        <f t="shared" ca="1" si="0"/>
        <v>6.1470026620372664</v>
      </c>
      <c r="J11" s="61"/>
      <c r="K11" s="61"/>
      <c r="L11" s="61"/>
      <c r="M11" s="61" t="s">
        <v>33</v>
      </c>
      <c r="N11" s="61" t="s">
        <v>1866</v>
      </c>
      <c r="O11" s="61"/>
      <c r="P11" s="61"/>
      <c r="Q11" s="61"/>
      <c r="R11" s="84" t="s">
        <v>1996</v>
      </c>
      <c r="S11" s="61" t="s">
        <v>51</v>
      </c>
      <c r="T11" s="61" t="s">
        <v>1898</v>
      </c>
      <c r="U11" s="61" t="s">
        <v>1898</v>
      </c>
      <c r="V11" s="61" t="e">
        <f>VLOOKUP(B11,[2]Overall!$A:$D,4,0)</f>
        <v>#N/A</v>
      </c>
      <c r="W11" s="61" t="e">
        <f>VLOOKUP(B11,[3]Sheet1!$A:$B,2,0)</f>
        <v>#N/A</v>
      </c>
      <c r="X11" s="88" t="str">
        <f t="shared" si="3"/>
        <v>EST</v>
      </c>
      <c r="Y11" s="80" t="str">
        <f t="shared" ca="1" si="1"/>
        <v>T&gt;72H</v>
      </c>
      <c r="Z11" s="61">
        <f t="shared" si="2"/>
        <v>1</v>
      </c>
      <c r="AA11" s="61" t="s">
        <v>1925</v>
      </c>
      <c r="AB11" s="61" t="s">
        <v>76</v>
      </c>
      <c r="AC11" s="84" t="s">
        <v>2018</v>
      </c>
      <c r="AD11" s="84" t="s">
        <v>1994</v>
      </c>
      <c r="AE11" s="61"/>
    </row>
    <row r="12" spans="1:31" ht="59" x14ac:dyDescent="0.45">
      <c r="A12" s="61" t="s">
        <v>2026</v>
      </c>
      <c r="B12" s="61" t="s">
        <v>2027</v>
      </c>
      <c r="C12" s="65"/>
      <c r="D12" s="61"/>
      <c r="E12" s="61" t="s">
        <v>2029</v>
      </c>
      <c r="F12" s="70" t="e">
        <f>VLOOKUP(B12,'[2]Power '!$A:$C,3,0)</f>
        <v>#N/A</v>
      </c>
      <c r="G12" s="70" t="e">
        <f>VLOOKUP(B12,'[2]Power '!$A:$D,4,0)</f>
        <v>#N/A</v>
      </c>
      <c r="H12" s="67">
        <v>46174.521747685183</v>
      </c>
      <c r="I12" s="75">
        <f t="shared" ca="1" si="0"/>
        <v>6.1469447916679201</v>
      </c>
      <c r="J12" s="61"/>
      <c r="K12" s="61"/>
      <c r="L12" s="61"/>
      <c r="M12" s="61" t="s">
        <v>33</v>
      </c>
      <c r="N12" s="61" t="s">
        <v>2030</v>
      </c>
      <c r="O12" s="61"/>
      <c r="P12" s="61"/>
      <c r="Q12" s="61"/>
      <c r="R12" s="84" t="s">
        <v>1996</v>
      </c>
      <c r="S12" s="61" t="s">
        <v>51</v>
      </c>
      <c r="T12" s="61" t="s">
        <v>1898</v>
      </c>
      <c r="U12" s="61" t="s">
        <v>1898</v>
      </c>
      <c r="V12" s="61" t="e">
        <f>VLOOKUP(B12,[2]Overall!$A:$D,4,0)</f>
        <v>#N/A</v>
      </c>
      <c r="W12" s="61" t="e">
        <f>VLOOKUP(B12,[3]Sheet1!$A:$B,2,0)</f>
        <v>#N/A</v>
      </c>
      <c r="X12" s="88" t="str">
        <f t="shared" si="3"/>
        <v>EST</v>
      </c>
      <c r="Y12" s="80" t="str">
        <f t="shared" ca="1" si="1"/>
        <v>T&gt;72H</v>
      </c>
      <c r="Z12" s="61">
        <f t="shared" si="2"/>
        <v>1</v>
      </c>
      <c r="AA12" s="61" t="s">
        <v>1925</v>
      </c>
      <c r="AB12" s="61" t="s">
        <v>76</v>
      </c>
      <c r="AC12" s="84" t="s">
        <v>2018</v>
      </c>
      <c r="AD12" s="84" t="s">
        <v>1994</v>
      </c>
      <c r="AE12" s="61"/>
    </row>
    <row r="13" spans="1:31" ht="59" x14ac:dyDescent="0.45">
      <c r="A13" s="61" t="s">
        <v>2026</v>
      </c>
      <c r="B13" s="61" t="s">
        <v>2027</v>
      </c>
      <c r="C13" s="65"/>
      <c r="D13" s="61"/>
      <c r="E13" s="61" t="s">
        <v>1636</v>
      </c>
      <c r="F13" s="70" t="e">
        <f>VLOOKUP(B13,'[2]Power '!$A:$C,3,0)</f>
        <v>#N/A</v>
      </c>
      <c r="G13" s="70" t="e">
        <f>VLOOKUP(B13,'[2]Power '!$A:$D,4,0)</f>
        <v>#N/A</v>
      </c>
      <c r="H13" s="67">
        <v>46174.521886574075</v>
      </c>
      <c r="I13" s="75">
        <f t="shared" ca="1" si="0"/>
        <v>6.1468059027756681</v>
      </c>
      <c r="J13" s="61"/>
      <c r="K13" s="61"/>
      <c r="L13" s="61"/>
      <c r="M13" s="61" t="s">
        <v>33</v>
      </c>
      <c r="N13" s="61" t="s">
        <v>2031</v>
      </c>
      <c r="O13" s="61"/>
      <c r="P13" s="61"/>
      <c r="Q13" s="61"/>
      <c r="R13" s="84" t="s">
        <v>1996</v>
      </c>
      <c r="S13" s="61" t="s">
        <v>51</v>
      </c>
      <c r="T13" s="61" t="s">
        <v>1898</v>
      </c>
      <c r="U13" s="61" t="s">
        <v>1898</v>
      </c>
      <c r="V13" s="61" t="e">
        <f>VLOOKUP(B13,[2]Overall!$A:$D,4,0)</f>
        <v>#N/A</v>
      </c>
      <c r="W13" s="61" t="e">
        <f>VLOOKUP(B13,[3]Sheet1!$A:$B,2,0)</f>
        <v>#N/A</v>
      </c>
      <c r="X13" s="88" t="str">
        <f t="shared" si="3"/>
        <v>EST</v>
      </c>
      <c r="Y13" s="80" t="str">
        <f t="shared" ca="1" si="1"/>
        <v>T&gt;72H</v>
      </c>
      <c r="Z13" s="61">
        <f t="shared" si="2"/>
        <v>1</v>
      </c>
      <c r="AA13" s="61" t="s">
        <v>1925</v>
      </c>
      <c r="AB13" s="61" t="s">
        <v>76</v>
      </c>
      <c r="AC13" s="84" t="s">
        <v>2018</v>
      </c>
      <c r="AD13" s="84" t="s">
        <v>1994</v>
      </c>
      <c r="AE13" s="61"/>
    </row>
    <row r="14" spans="1:31" ht="59" x14ac:dyDescent="0.45">
      <c r="A14" s="61" t="s">
        <v>2026</v>
      </c>
      <c r="B14" s="61" t="s">
        <v>2027</v>
      </c>
      <c r="C14" s="65"/>
      <c r="D14" s="61"/>
      <c r="E14" s="61" t="s">
        <v>1641</v>
      </c>
      <c r="F14" s="70" t="e">
        <f>VLOOKUP(B14,'[2]Power '!$A:$C,3,0)</f>
        <v>#N/A</v>
      </c>
      <c r="G14" s="70" t="e">
        <f>VLOOKUP(B14,'[2]Power '!$A:$D,4,0)</f>
        <v>#N/A</v>
      </c>
      <c r="H14" s="67">
        <v>46174.521944444445</v>
      </c>
      <c r="I14" s="75">
        <f t="shared" ca="1" si="0"/>
        <v>6.1467480324063217</v>
      </c>
      <c r="J14" s="61"/>
      <c r="K14" s="61"/>
      <c r="L14" s="61"/>
      <c r="M14" s="61" t="s">
        <v>33</v>
      </c>
      <c r="N14" s="61" t="s">
        <v>2032</v>
      </c>
      <c r="O14" s="61"/>
      <c r="P14" s="61"/>
      <c r="Q14" s="61"/>
      <c r="R14" s="84" t="s">
        <v>1996</v>
      </c>
      <c r="S14" s="61" t="s">
        <v>51</v>
      </c>
      <c r="T14" s="61" t="s">
        <v>1898</v>
      </c>
      <c r="U14" s="61" t="s">
        <v>1898</v>
      </c>
      <c r="V14" s="61" t="e">
        <f>VLOOKUP(B14,[2]Overall!$A:$D,4,0)</f>
        <v>#N/A</v>
      </c>
      <c r="W14" s="61" t="e">
        <f>VLOOKUP(B14,[3]Sheet1!$A:$B,2,0)</f>
        <v>#N/A</v>
      </c>
      <c r="X14" s="88" t="str">
        <f t="shared" si="3"/>
        <v>CTR</v>
      </c>
      <c r="Y14" s="80" t="str">
        <f t="shared" ca="1" si="1"/>
        <v>T&gt;72H</v>
      </c>
      <c r="Z14" s="61">
        <f t="shared" si="2"/>
        <v>1</v>
      </c>
      <c r="AA14" s="61" t="s">
        <v>1925</v>
      </c>
      <c r="AB14" s="61" t="s">
        <v>76</v>
      </c>
      <c r="AC14" s="84" t="s">
        <v>2018</v>
      </c>
      <c r="AD14" s="84" t="s">
        <v>1994</v>
      </c>
      <c r="AE14" s="61"/>
    </row>
    <row r="15" spans="1:31" ht="88" x14ac:dyDescent="0.45">
      <c r="A15" s="61" t="s">
        <v>1733</v>
      </c>
      <c r="B15" s="61" t="s">
        <v>1734</v>
      </c>
      <c r="C15" s="65"/>
      <c r="D15" s="61"/>
      <c r="E15" s="61" t="s">
        <v>1749</v>
      </c>
      <c r="F15" s="70" t="e">
        <f>VLOOKUP(B15,'[2]Power '!$A:$C,3,0)</f>
        <v>#N/A</v>
      </c>
      <c r="G15" s="70" t="e">
        <f>VLOOKUP(B15,'[2]Power '!$A:$D,4,0)</f>
        <v>#N/A</v>
      </c>
      <c r="H15" s="67">
        <v>46161.849050925928</v>
      </c>
      <c r="I15" s="75">
        <f t="shared" ca="1" si="0"/>
        <v>18.819641550922825</v>
      </c>
      <c r="J15" s="61"/>
      <c r="K15" s="61"/>
      <c r="L15" s="61"/>
      <c r="M15" s="61" t="s">
        <v>1750</v>
      </c>
      <c r="N15" s="61" t="s">
        <v>1751</v>
      </c>
      <c r="O15" s="61"/>
      <c r="P15" s="61"/>
      <c r="Q15" s="61"/>
      <c r="R15" s="61" t="s">
        <v>2008</v>
      </c>
      <c r="S15" s="61" t="s">
        <v>84</v>
      </c>
      <c r="T15" s="61" t="s">
        <v>1898</v>
      </c>
      <c r="U15" s="61" t="s">
        <v>1898</v>
      </c>
      <c r="V15" s="61" t="str">
        <f>VLOOKUP(B15,[2]Overall!$A:$D,4,0)</f>
        <v>TELEINFRA CENTRE</v>
      </c>
      <c r="W15" s="61" t="str">
        <f>VLOOKUP(B15,[3]Sheet1!$A:$B,2,0)</f>
        <v>Batchenga</v>
      </c>
      <c r="X15" s="88" t="str">
        <f t="shared" si="3"/>
        <v>CTR</v>
      </c>
      <c r="Y15" s="80" t="str">
        <f t="shared" ca="1" si="1"/>
        <v>T&gt;72H</v>
      </c>
      <c r="Z15" s="61">
        <f t="shared" si="2"/>
        <v>1</v>
      </c>
      <c r="AA15" s="61" t="s">
        <v>1925</v>
      </c>
      <c r="AB15" s="61" t="s">
        <v>1554</v>
      </c>
      <c r="AC15" s="84" t="s">
        <v>2018</v>
      </c>
      <c r="AD15" s="84" t="s">
        <v>1994</v>
      </c>
      <c r="AE15" s="61"/>
    </row>
    <row r="16" spans="1:31" ht="88" x14ac:dyDescent="0.45">
      <c r="A16" s="61" t="s">
        <v>1733</v>
      </c>
      <c r="B16" s="61" t="s">
        <v>1734</v>
      </c>
      <c r="C16" s="65"/>
      <c r="D16" s="61"/>
      <c r="E16" s="61" t="s">
        <v>1752</v>
      </c>
      <c r="F16" s="70" t="e">
        <f>VLOOKUP(B16,'[2]Power '!$A:$C,3,0)</f>
        <v>#N/A</v>
      </c>
      <c r="G16" s="70" t="e">
        <f>VLOOKUP(B16,'[2]Power '!$A:$D,4,0)</f>
        <v>#N/A</v>
      </c>
      <c r="H16" s="67">
        <v>46161.849050925928</v>
      </c>
      <c r="I16" s="75">
        <f t="shared" ca="1" si="0"/>
        <v>18.819641550922825</v>
      </c>
      <c r="J16" s="61"/>
      <c r="K16" s="61"/>
      <c r="L16" s="61"/>
      <c r="M16" s="61" t="s">
        <v>1750</v>
      </c>
      <c r="N16" s="61" t="s">
        <v>1751</v>
      </c>
      <c r="O16" s="61"/>
      <c r="P16" s="61"/>
      <c r="Q16" s="61"/>
      <c r="R16" s="61" t="s">
        <v>2008</v>
      </c>
      <c r="S16" s="61" t="s">
        <v>84</v>
      </c>
      <c r="T16" s="61" t="s">
        <v>1898</v>
      </c>
      <c r="U16" s="61" t="s">
        <v>1898</v>
      </c>
      <c r="V16" s="61" t="str">
        <f>VLOOKUP(B16,[2]Overall!$A:$D,4,0)</f>
        <v>TELEINFRA CENTRE</v>
      </c>
      <c r="W16" s="61" t="str">
        <f>VLOOKUP(B16,[3]Sheet1!$A:$B,2,0)</f>
        <v>Batchenga</v>
      </c>
      <c r="X16" s="88" t="str">
        <f t="shared" si="3"/>
        <v>CTR</v>
      </c>
      <c r="Y16" s="80" t="str">
        <f t="shared" ca="1" si="1"/>
        <v>T&gt;72H</v>
      </c>
      <c r="Z16" s="61">
        <f t="shared" si="2"/>
        <v>1</v>
      </c>
      <c r="AA16" s="61" t="s">
        <v>1925</v>
      </c>
      <c r="AB16" s="61" t="s">
        <v>1554</v>
      </c>
      <c r="AC16" s="84" t="s">
        <v>2018</v>
      </c>
      <c r="AD16" s="84" t="s">
        <v>1994</v>
      </c>
      <c r="AE16" s="61"/>
    </row>
    <row r="17" spans="1:31" ht="88" x14ac:dyDescent="0.45">
      <c r="A17" s="61" t="s">
        <v>1733</v>
      </c>
      <c r="B17" s="61" t="s">
        <v>1734</v>
      </c>
      <c r="C17" s="65"/>
      <c r="D17" s="61"/>
      <c r="E17" s="61" t="s">
        <v>1753</v>
      </c>
      <c r="F17" s="70" t="e">
        <f>VLOOKUP(B17,'[2]Power '!$A:$C,3,0)</f>
        <v>#N/A</v>
      </c>
      <c r="G17" s="70" t="e">
        <f>VLOOKUP(B17,'[2]Power '!$A:$D,4,0)</f>
        <v>#N/A</v>
      </c>
      <c r="H17" s="67">
        <v>46161.849050925928</v>
      </c>
      <c r="I17" s="75">
        <f t="shared" ca="1" si="0"/>
        <v>18.819641550922825</v>
      </c>
      <c r="J17" s="61"/>
      <c r="K17" s="61"/>
      <c r="L17" s="61"/>
      <c r="M17" s="61" t="s">
        <v>1750</v>
      </c>
      <c r="N17" s="61" t="s">
        <v>1751</v>
      </c>
      <c r="O17" s="61"/>
      <c r="P17" s="61"/>
      <c r="Q17" s="61"/>
      <c r="R17" s="61" t="s">
        <v>2008</v>
      </c>
      <c r="S17" s="61" t="s">
        <v>84</v>
      </c>
      <c r="T17" s="61" t="s">
        <v>1898</v>
      </c>
      <c r="U17" s="61" t="s">
        <v>1898</v>
      </c>
      <c r="V17" s="61" t="str">
        <f>VLOOKUP(B17,[2]Overall!$A:$D,4,0)</f>
        <v>TELEINFRA CENTRE</v>
      </c>
      <c r="W17" s="61" t="str">
        <f>VLOOKUP(B17,[3]Sheet1!$A:$B,2,0)</f>
        <v>Batchenga</v>
      </c>
      <c r="X17" s="88" t="str">
        <f t="shared" si="3"/>
        <v>NRO</v>
      </c>
      <c r="Y17" s="80" t="str">
        <f t="shared" ca="1" si="1"/>
        <v>T&gt;72H</v>
      </c>
      <c r="Z17" s="61">
        <f t="shared" si="2"/>
        <v>1</v>
      </c>
      <c r="AA17" s="61" t="s">
        <v>1925</v>
      </c>
      <c r="AB17" s="61" t="s">
        <v>1554</v>
      </c>
      <c r="AC17" s="84" t="s">
        <v>2018</v>
      </c>
      <c r="AD17" s="84" t="s">
        <v>1994</v>
      </c>
      <c r="AE17" s="61"/>
    </row>
    <row r="18" spans="1:31" ht="102.5" x14ac:dyDescent="0.45">
      <c r="A18" s="61" t="s">
        <v>1581</v>
      </c>
      <c r="B18" s="61" t="s">
        <v>1582</v>
      </c>
      <c r="C18" s="65"/>
      <c r="D18" s="61"/>
      <c r="E18" s="61" t="s">
        <v>1937</v>
      </c>
      <c r="F18" s="70" t="str">
        <f>VLOOKUP(B18,'[2]Power '!$A:$C,3,0)</f>
        <v>TowerCo</v>
      </c>
      <c r="G18" s="70" t="str">
        <f>VLOOKUP(B18,'[2]Power '!$A:$D,4,0)</f>
        <v>Grid-Gen</v>
      </c>
      <c r="H18" s="67">
        <v>46172.450324074074</v>
      </c>
      <c r="I18" s="75">
        <f t="shared" ca="1" si="0"/>
        <v>8.2183684027768322</v>
      </c>
      <c r="J18" s="61"/>
      <c r="K18" s="61"/>
      <c r="L18" s="61"/>
      <c r="M18" s="61" t="s">
        <v>41</v>
      </c>
      <c r="N18" s="61" t="s">
        <v>1938</v>
      </c>
      <c r="O18" s="61"/>
      <c r="P18" s="61"/>
      <c r="Q18" s="61"/>
      <c r="R18" s="61" t="s">
        <v>2000</v>
      </c>
      <c r="S18" s="61" t="s">
        <v>32</v>
      </c>
      <c r="T18" s="61" t="s">
        <v>1840</v>
      </c>
      <c r="U18" s="61" t="s">
        <v>1840</v>
      </c>
      <c r="V18" s="61" t="str">
        <f>VLOOKUP(B18,[2]Overall!$A:$D,4,0)</f>
        <v xml:space="preserve">I-ENG </v>
      </c>
      <c r="W18" s="61" t="str">
        <f>VLOOKUP(B18,[3]Sheet1!$A:$B,2,0)</f>
        <v>Batibo</v>
      </c>
      <c r="X18" s="88" t="str">
        <f t="shared" si="3"/>
        <v>EXN</v>
      </c>
      <c r="Y18" s="80" t="str">
        <f t="shared" ca="1" si="1"/>
        <v>T&gt;72H</v>
      </c>
      <c r="Z18" s="61">
        <f t="shared" si="2"/>
        <v>1</v>
      </c>
      <c r="AA18" s="61" t="s">
        <v>1925</v>
      </c>
      <c r="AB18" s="61" t="s">
        <v>1554</v>
      </c>
      <c r="AC18" s="84" t="s">
        <v>2018</v>
      </c>
      <c r="AD18" s="84" t="s">
        <v>1994</v>
      </c>
      <c r="AE18" s="61"/>
    </row>
    <row r="19" spans="1:31" ht="88" x14ac:dyDescent="0.45">
      <c r="A19" s="61" t="s">
        <v>1913</v>
      </c>
      <c r="B19" s="61" t="s">
        <v>1914</v>
      </c>
      <c r="C19" s="65"/>
      <c r="D19" s="61"/>
      <c r="E19" s="61" t="s">
        <v>43</v>
      </c>
      <c r="F19" s="70" t="str">
        <f>VLOOKUP(B19,'[2]Power '!$A:$C,3,0)</f>
        <v>TowerCo</v>
      </c>
      <c r="G19" s="70" t="str">
        <f>VLOOKUP(B19,'[2]Power '!$A:$D,4,0)</f>
        <v>Gen Only</v>
      </c>
      <c r="H19" s="67">
        <v>46168.171053240738</v>
      </c>
      <c r="I19" s="75">
        <f t="shared" ca="1" si="0"/>
        <v>12.497639236113173</v>
      </c>
      <c r="J19" s="61"/>
      <c r="K19" s="61"/>
      <c r="L19" s="61"/>
      <c r="M19" s="61" t="s">
        <v>31</v>
      </c>
      <c r="N19" s="61" t="s">
        <v>1915</v>
      </c>
      <c r="O19" s="61"/>
      <c r="P19" s="61"/>
      <c r="Q19" s="61"/>
      <c r="R19" s="61" t="s">
        <v>2019</v>
      </c>
      <c r="S19" s="61" t="s">
        <v>40</v>
      </c>
      <c r="T19" s="61" t="s">
        <v>1898</v>
      </c>
      <c r="U19" s="61" t="s">
        <v>1898</v>
      </c>
      <c r="V19" s="61" t="str">
        <f>VLOOKUP(B19,[2]Overall!$A:$D,4,0)</f>
        <v>TELEINFRA NORD</v>
      </c>
      <c r="W19" s="61" t="str">
        <f>VLOOKUP(B19,[3]Sheet1!$A:$B,2,0)</f>
        <v>Dogba</v>
      </c>
      <c r="X19" s="88" t="str">
        <f t="shared" si="3"/>
        <v>EXN</v>
      </c>
      <c r="Y19" s="80" t="str">
        <f t="shared" ca="1" si="1"/>
        <v>T&gt;72H</v>
      </c>
      <c r="Z19" s="61">
        <f t="shared" si="2"/>
        <v>4</v>
      </c>
      <c r="AA19" s="61" t="s">
        <v>1925</v>
      </c>
      <c r="AB19" s="61" t="s">
        <v>1554</v>
      </c>
      <c r="AC19" s="84" t="s">
        <v>2018</v>
      </c>
      <c r="AD19" s="84" t="s">
        <v>1994</v>
      </c>
      <c r="AE19" s="61"/>
    </row>
    <row r="20" spans="1:31" ht="88" x14ac:dyDescent="0.45">
      <c r="A20" s="61" t="s">
        <v>1913</v>
      </c>
      <c r="B20" s="61" t="s">
        <v>1914</v>
      </c>
      <c r="C20" s="65"/>
      <c r="D20" s="61"/>
      <c r="E20" s="61" t="s">
        <v>35</v>
      </c>
      <c r="F20" s="70" t="str">
        <f>VLOOKUP(B20,'[2]Power '!$A:$C,3,0)</f>
        <v>TowerCo</v>
      </c>
      <c r="G20" s="70" t="str">
        <f>VLOOKUP(B20,'[2]Power '!$A:$D,4,0)</f>
        <v>Gen Only</v>
      </c>
      <c r="H20" s="67">
        <v>46168.171064814815</v>
      </c>
      <c r="I20" s="75">
        <f t="shared" ca="1" si="0"/>
        <v>12.497627662036393</v>
      </c>
      <c r="J20" s="61"/>
      <c r="K20" s="61"/>
      <c r="L20" s="61"/>
      <c r="M20" s="61" t="s">
        <v>31</v>
      </c>
      <c r="N20" s="61" t="s">
        <v>1916</v>
      </c>
      <c r="O20" s="61"/>
      <c r="P20" s="61"/>
      <c r="Q20" s="61"/>
      <c r="R20" s="61" t="s">
        <v>2019</v>
      </c>
      <c r="S20" s="61" t="s">
        <v>40</v>
      </c>
      <c r="T20" s="61" t="s">
        <v>1898</v>
      </c>
      <c r="U20" s="61" t="s">
        <v>1898</v>
      </c>
      <c r="V20" s="61" t="str">
        <f>VLOOKUP(B20,[2]Overall!$A:$D,4,0)</f>
        <v>TELEINFRA NORD</v>
      </c>
      <c r="W20" s="61" t="str">
        <f>VLOOKUP(B20,[3]Sheet1!$A:$B,2,0)</f>
        <v>Dogba</v>
      </c>
      <c r="X20" s="88" t="str">
        <f t="shared" si="3"/>
        <v>EXN</v>
      </c>
      <c r="Y20" s="80" t="str">
        <f t="shared" ca="1" si="1"/>
        <v>T&gt;72H</v>
      </c>
      <c r="Z20" s="61">
        <f t="shared" si="2"/>
        <v>3</v>
      </c>
      <c r="AA20" s="61" t="s">
        <v>1925</v>
      </c>
      <c r="AB20" s="61" t="s">
        <v>1554</v>
      </c>
      <c r="AC20" s="84" t="s">
        <v>2018</v>
      </c>
      <c r="AD20" s="84" t="s">
        <v>1994</v>
      </c>
      <c r="AE20" s="61"/>
    </row>
    <row r="21" spans="1:31" ht="88" x14ac:dyDescent="0.45">
      <c r="A21" s="61" t="s">
        <v>1919</v>
      </c>
      <c r="B21" s="61" t="s">
        <v>1914</v>
      </c>
      <c r="C21" s="65"/>
      <c r="D21" s="61"/>
      <c r="E21" s="61" t="s">
        <v>1948</v>
      </c>
      <c r="F21" s="70" t="str">
        <f>VLOOKUP(B21,'[2]Power '!$A:$C,3,0)</f>
        <v>TowerCo</v>
      </c>
      <c r="G21" s="70" t="str">
        <f>VLOOKUP(B21,'[2]Power '!$A:$D,4,0)</f>
        <v>Gen Only</v>
      </c>
      <c r="H21" s="67">
        <v>46174.444849537038</v>
      </c>
      <c r="I21" s="75">
        <f t="shared" ca="1" si="0"/>
        <v>6.2238429398130393</v>
      </c>
      <c r="J21" s="61"/>
      <c r="K21" s="61"/>
      <c r="L21" s="61"/>
      <c r="M21" s="61" t="s">
        <v>31</v>
      </c>
      <c r="N21" s="61" t="s">
        <v>1963</v>
      </c>
      <c r="O21" s="61"/>
      <c r="P21" s="61"/>
      <c r="Q21" s="61"/>
      <c r="R21" s="61" t="s">
        <v>2006</v>
      </c>
      <c r="S21" s="61" t="s">
        <v>40</v>
      </c>
      <c r="T21" s="61" t="s">
        <v>1898</v>
      </c>
      <c r="U21" s="61" t="s">
        <v>1898</v>
      </c>
      <c r="V21" s="61" t="str">
        <f>VLOOKUP(B21,[2]Overall!$A:$D,4,0)</f>
        <v>TELEINFRA NORD</v>
      </c>
      <c r="W21" s="61" t="str">
        <f>VLOOKUP(B21,[3]Sheet1!$A:$B,2,0)</f>
        <v>Dogba</v>
      </c>
      <c r="X21" s="88" t="e">
        <f>LEFT(#REF!,3)</f>
        <v>#REF!</v>
      </c>
      <c r="Y21" s="80" t="str">
        <f t="shared" ca="1" si="1"/>
        <v>T&gt;72H</v>
      </c>
      <c r="Z21" s="61">
        <f t="shared" si="2"/>
        <v>4</v>
      </c>
      <c r="AA21" s="61" t="s">
        <v>1925</v>
      </c>
      <c r="AB21" s="61" t="s">
        <v>1554</v>
      </c>
      <c r="AC21" s="84" t="s">
        <v>2018</v>
      </c>
      <c r="AD21" s="84" t="s">
        <v>1994</v>
      </c>
      <c r="AE21" s="61"/>
    </row>
    <row r="22" spans="1:31" ht="117" x14ac:dyDescent="0.45">
      <c r="A22" s="61" t="s">
        <v>1834</v>
      </c>
      <c r="B22" s="61" t="s">
        <v>1835</v>
      </c>
      <c r="C22" s="65"/>
      <c r="D22" s="61"/>
      <c r="E22" s="61" t="s">
        <v>39</v>
      </c>
      <c r="F22" s="70" t="str">
        <f>VLOOKUP(B22,'[2]Power '!$A:$C,3,0)</f>
        <v>TowerCo</v>
      </c>
      <c r="G22" s="70" t="str">
        <f>VLOOKUP(B22,'[2]Power '!$A:$D,4,0)</f>
        <v>Grid-Gen</v>
      </c>
      <c r="H22" s="67">
        <v>46168.908518518518</v>
      </c>
      <c r="I22" s="75">
        <f t="shared" ca="1" si="0"/>
        <v>11.760173958333326</v>
      </c>
      <c r="J22" s="61"/>
      <c r="K22" s="61"/>
      <c r="L22" s="61"/>
      <c r="M22" s="61" t="s">
        <v>1836</v>
      </c>
      <c r="N22" s="61" t="s">
        <v>1837</v>
      </c>
      <c r="O22" s="61"/>
      <c r="P22" s="61"/>
      <c r="Q22" s="61"/>
      <c r="R22" s="61" t="s">
        <v>1966</v>
      </c>
      <c r="S22" s="61" t="s">
        <v>85</v>
      </c>
      <c r="T22" s="61" t="s">
        <v>1899</v>
      </c>
      <c r="U22" s="61" t="s">
        <v>1899</v>
      </c>
      <c r="V22" s="61" t="str">
        <f>VLOOKUP(B22,[2]Overall!$A:$D,4,0)</f>
        <v>H-TELI</v>
      </c>
      <c r="W22" s="61" t="str">
        <f>VLOOKUP(B22,[3]Sheet1!$A:$B,2,0)</f>
        <v>Ebonji</v>
      </c>
      <c r="X22" s="88" t="str">
        <f t="shared" ref="X22:X28" si="4">LEFT(B23,3)</f>
        <v>NRO</v>
      </c>
      <c r="Y22" s="80" t="str">
        <f t="shared" ca="1" si="1"/>
        <v>T&gt;72H</v>
      </c>
      <c r="Z22" s="61">
        <f t="shared" si="2"/>
        <v>1</v>
      </c>
      <c r="AA22" s="61" t="s">
        <v>1925</v>
      </c>
      <c r="AB22" s="61" t="s">
        <v>1554</v>
      </c>
      <c r="AC22" s="84" t="s">
        <v>2018</v>
      </c>
      <c r="AD22" s="84" t="s">
        <v>1994</v>
      </c>
      <c r="AE22" s="61"/>
    </row>
    <row r="23" spans="1:31" ht="117" x14ac:dyDescent="0.45">
      <c r="A23" s="61" t="s">
        <v>1881</v>
      </c>
      <c r="B23" s="61" t="s">
        <v>1880</v>
      </c>
      <c r="C23" s="65"/>
      <c r="D23" s="61"/>
      <c r="E23" s="61" t="s">
        <v>1991</v>
      </c>
      <c r="F23" s="70" t="str">
        <f>VLOOKUP(B23,'[2]Power '!$A:$C,3,0)</f>
        <v>TowerCo</v>
      </c>
      <c r="G23" s="70" t="str">
        <f>VLOOKUP(B23,'[2]Power '!$A:$D,4,0)</f>
        <v>Hybrid-Gen</v>
      </c>
      <c r="H23" s="67">
        <v>46174.267314814817</v>
      </c>
      <c r="I23" s="75">
        <f t="shared" ca="1" si="0"/>
        <v>6.401377662034065</v>
      </c>
      <c r="J23" s="61"/>
      <c r="K23" s="61"/>
      <c r="L23" s="61"/>
      <c r="M23" s="61" t="s">
        <v>1769</v>
      </c>
      <c r="N23" s="61" t="s">
        <v>1770</v>
      </c>
      <c r="O23" s="61"/>
      <c r="P23" s="61"/>
      <c r="Q23" s="61"/>
      <c r="R23" s="61" t="s">
        <v>2003</v>
      </c>
      <c r="S23" s="61" t="s">
        <v>32</v>
      </c>
      <c r="T23" s="61" t="s">
        <v>1898</v>
      </c>
      <c r="U23" s="61" t="s">
        <v>1898</v>
      </c>
      <c r="V23" s="61" t="str">
        <f>VLOOKUP(B23,[2]Overall!$A:$D,4,0)</f>
        <v xml:space="preserve">I-ENG </v>
      </c>
      <c r="W23" s="61" t="str">
        <f>VLOOKUP(B23,[3]Sheet1!$A:$B,2,0)</f>
        <v>Fundong</v>
      </c>
      <c r="X23" s="88" t="str">
        <f t="shared" si="4"/>
        <v>NRD</v>
      </c>
      <c r="Y23" s="80" t="str">
        <f t="shared" ca="1" si="1"/>
        <v>T&gt;72H</v>
      </c>
      <c r="Z23" s="61">
        <f t="shared" si="2"/>
        <v>1</v>
      </c>
      <c r="AA23" s="61" t="s">
        <v>1925</v>
      </c>
      <c r="AB23" s="61" t="s">
        <v>1554</v>
      </c>
      <c r="AC23" s="84" t="s">
        <v>2018</v>
      </c>
      <c r="AD23" s="84" t="s">
        <v>1994</v>
      </c>
      <c r="AE23" s="61"/>
    </row>
    <row r="24" spans="1:31" ht="334.5" x14ac:dyDescent="0.45">
      <c r="A24" s="61" t="s">
        <v>1773</v>
      </c>
      <c r="B24" s="61" t="s">
        <v>1774</v>
      </c>
      <c r="C24" s="65"/>
      <c r="D24" s="61"/>
      <c r="E24" s="61" t="s">
        <v>1956</v>
      </c>
      <c r="F24" s="70" t="str">
        <f>VLOOKUP(B24,'[2]Power '!$A:$C,3,0)</f>
        <v>TowerCo</v>
      </c>
      <c r="G24" s="70" t="str">
        <f>VLOOKUP(B24,'[2]Power '!$A:$D,4,0)</f>
        <v>Solar-Gen</v>
      </c>
      <c r="H24" s="67">
        <v>46172.719837962963</v>
      </c>
      <c r="I24" s="75">
        <f t="shared" ca="1" si="0"/>
        <v>7.9488545138883637</v>
      </c>
      <c r="J24" s="61"/>
      <c r="K24" s="61"/>
      <c r="L24" s="61"/>
      <c r="M24" s="61" t="s">
        <v>31</v>
      </c>
      <c r="N24" s="61" t="s">
        <v>1957</v>
      </c>
      <c r="O24" s="61"/>
      <c r="P24" s="61"/>
      <c r="Q24" s="61"/>
      <c r="R24" s="61" t="s">
        <v>2004</v>
      </c>
      <c r="S24" s="61" t="s">
        <v>40</v>
      </c>
      <c r="T24" s="61" t="s">
        <v>1898</v>
      </c>
      <c r="U24" s="61" t="s">
        <v>1898</v>
      </c>
      <c r="V24" s="61" t="str">
        <f>VLOOKUP(B24,[2]Overall!$A:$D,4,0)</f>
        <v>TELEINFRA NORD</v>
      </c>
      <c r="W24" s="61" t="str">
        <f>VLOOKUP(B24,[3]Sheet1!$A:$B,2,0)</f>
        <v>Hamalade</v>
      </c>
      <c r="X24" s="88" t="str">
        <f t="shared" si="4"/>
        <v>NRD</v>
      </c>
      <c r="Y24" s="80" t="str">
        <f t="shared" ca="1" si="1"/>
        <v>T&gt;72H</v>
      </c>
      <c r="Z24" s="61">
        <f t="shared" si="2"/>
        <v>3</v>
      </c>
      <c r="AA24" s="61" t="s">
        <v>1925</v>
      </c>
      <c r="AB24" s="61" t="s">
        <v>1554</v>
      </c>
      <c r="AC24" s="84" t="s">
        <v>2018</v>
      </c>
      <c r="AD24" s="84" t="s">
        <v>1994</v>
      </c>
      <c r="AE24" s="61"/>
    </row>
    <row r="25" spans="1:31" ht="334.5" x14ac:dyDescent="0.45">
      <c r="A25" s="61" t="s">
        <v>1773</v>
      </c>
      <c r="B25" s="61" t="s">
        <v>1774</v>
      </c>
      <c r="C25" s="65"/>
      <c r="D25" s="61"/>
      <c r="E25" s="61" t="s">
        <v>35</v>
      </c>
      <c r="F25" s="70" t="str">
        <f>VLOOKUP(B25,'[2]Power '!$A:$C,3,0)</f>
        <v>TowerCo</v>
      </c>
      <c r="G25" s="70" t="str">
        <f>VLOOKUP(B25,'[2]Power '!$A:$D,4,0)</f>
        <v>Solar-Gen</v>
      </c>
      <c r="H25" s="67">
        <v>46172.719837962963</v>
      </c>
      <c r="I25" s="75">
        <f t="shared" ca="1" si="0"/>
        <v>7.9488545138883637</v>
      </c>
      <c r="J25" s="61"/>
      <c r="K25" s="61"/>
      <c r="L25" s="61"/>
      <c r="M25" s="61" t="s">
        <v>31</v>
      </c>
      <c r="N25" s="61" t="s">
        <v>1775</v>
      </c>
      <c r="O25" s="61"/>
      <c r="P25" s="61"/>
      <c r="Q25" s="61"/>
      <c r="R25" s="61" t="s">
        <v>2004</v>
      </c>
      <c r="S25" s="61" t="s">
        <v>40</v>
      </c>
      <c r="T25" s="61" t="s">
        <v>1898</v>
      </c>
      <c r="U25" s="61" t="s">
        <v>1898</v>
      </c>
      <c r="V25" s="61" t="str">
        <f>VLOOKUP(B25,[2]Overall!$A:$D,4,0)</f>
        <v>TELEINFRA NORD</v>
      </c>
      <c r="W25" s="61" t="str">
        <f>VLOOKUP(B25,[3]Sheet1!$A:$B,2,0)</f>
        <v>Hamalade</v>
      </c>
      <c r="X25" s="88" t="str">
        <f t="shared" si="4"/>
        <v>NRD</v>
      </c>
      <c r="Y25" s="80" t="str">
        <f t="shared" ca="1" si="1"/>
        <v>T&gt;72H</v>
      </c>
      <c r="Z25" s="61">
        <f t="shared" si="2"/>
        <v>3</v>
      </c>
      <c r="AA25" s="61" t="s">
        <v>1925</v>
      </c>
      <c r="AB25" s="61" t="s">
        <v>1554</v>
      </c>
      <c r="AC25" s="84" t="s">
        <v>2018</v>
      </c>
      <c r="AD25" s="84" t="s">
        <v>1994</v>
      </c>
      <c r="AE25" s="61"/>
    </row>
    <row r="26" spans="1:31" ht="334.5" x14ac:dyDescent="0.45">
      <c r="A26" s="61" t="s">
        <v>1773</v>
      </c>
      <c r="B26" s="61" t="s">
        <v>1774</v>
      </c>
      <c r="C26" s="65"/>
      <c r="D26" s="61"/>
      <c r="E26" s="61" t="s">
        <v>1954</v>
      </c>
      <c r="F26" s="70" t="str">
        <f>VLOOKUP(B26,'[2]Power '!$A:$C,3,0)</f>
        <v>TowerCo</v>
      </c>
      <c r="G26" s="70" t="str">
        <f>VLOOKUP(B26,'[2]Power '!$A:$D,4,0)</f>
        <v>Solar-Gen</v>
      </c>
      <c r="H26" s="67">
        <v>46172.724965277775</v>
      </c>
      <c r="I26" s="75">
        <f t="shared" ca="1" si="0"/>
        <v>7.9437271990755107</v>
      </c>
      <c r="J26" s="61"/>
      <c r="K26" s="61"/>
      <c r="L26" s="61"/>
      <c r="M26" s="61" t="s">
        <v>1750</v>
      </c>
      <c r="N26" s="61" t="s">
        <v>1751</v>
      </c>
      <c r="O26" s="61"/>
      <c r="P26" s="61"/>
      <c r="Q26" s="61"/>
      <c r="R26" s="61" t="s">
        <v>2004</v>
      </c>
      <c r="S26" s="61" t="s">
        <v>40</v>
      </c>
      <c r="T26" s="61" t="s">
        <v>1898</v>
      </c>
      <c r="U26" s="61" t="s">
        <v>1898</v>
      </c>
      <c r="V26" s="61" t="str">
        <f>VLOOKUP(B26,[2]Overall!$A:$D,4,0)</f>
        <v>TELEINFRA NORD</v>
      </c>
      <c r="W26" s="61" t="str">
        <f>VLOOKUP(B26,[3]Sheet1!$A:$B,2,0)</f>
        <v>Hamalade</v>
      </c>
      <c r="X26" s="88" t="str">
        <f t="shared" si="4"/>
        <v>NRD</v>
      </c>
      <c r="Y26" s="80" t="str">
        <f t="shared" ca="1" si="1"/>
        <v>T&gt;72H</v>
      </c>
      <c r="Z26" s="61">
        <f t="shared" si="2"/>
        <v>1</v>
      </c>
      <c r="AA26" s="61" t="s">
        <v>1925</v>
      </c>
      <c r="AB26" s="61" t="s">
        <v>1554</v>
      </c>
      <c r="AC26" s="84" t="s">
        <v>2018</v>
      </c>
      <c r="AD26" s="84" t="s">
        <v>1994</v>
      </c>
      <c r="AE26" s="61"/>
    </row>
    <row r="27" spans="1:31" ht="334.5" x14ac:dyDescent="0.45">
      <c r="A27" s="61" t="s">
        <v>1773</v>
      </c>
      <c r="B27" s="61" t="s">
        <v>1774</v>
      </c>
      <c r="C27" s="65"/>
      <c r="D27" s="61"/>
      <c r="E27" s="61" t="s">
        <v>1955</v>
      </c>
      <c r="F27" s="70" t="str">
        <f>VLOOKUP(B27,'[2]Power '!$A:$C,3,0)</f>
        <v>TowerCo</v>
      </c>
      <c r="G27" s="70" t="str">
        <f>VLOOKUP(B27,'[2]Power '!$A:$D,4,0)</f>
        <v>Solar-Gen</v>
      </c>
      <c r="H27" s="67">
        <v>46172.724965277775</v>
      </c>
      <c r="I27" s="75">
        <f t="shared" ca="1" si="0"/>
        <v>7.9437271990755107</v>
      </c>
      <c r="J27" s="61"/>
      <c r="K27" s="61"/>
      <c r="L27" s="61"/>
      <c r="M27" s="61" t="s">
        <v>1750</v>
      </c>
      <c r="N27" s="61" t="s">
        <v>1751</v>
      </c>
      <c r="O27" s="61"/>
      <c r="P27" s="61"/>
      <c r="Q27" s="61"/>
      <c r="R27" s="61" t="s">
        <v>2004</v>
      </c>
      <c r="S27" s="61" t="s">
        <v>40</v>
      </c>
      <c r="T27" s="61" t="s">
        <v>1898</v>
      </c>
      <c r="U27" s="61" t="s">
        <v>1898</v>
      </c>
      <c r="V27" s="61" t="str">
        <f>VLOOKUP(B27,[2]Overall!$A:$D,4,0)</f>
        <v>TELEINFRA NORD</v>
      </c>
      <c r="W27" s="61" t="str">
        <f>VLOOKUP(B27,[3]Sheet1!$A:$B,2,0)</f>
        <v>Hamalade</v>
      </c>
      <c r="X27" s="88" t="str">
        <f t="shared" si="4"/>
        <v>NRD</v>
      </c>
      <c r="Y27" s="80" t="str">
        <f t="shared" ca="1" si="1"/>
        <v>T&gt;72H</v>
      </c>
      <c r="Z27" s="61">
        <f t="shared" si="2"/>
        <v>1</v>
      </c>
      <c r="AA27" s="61" t="s">
        <v>1925</v>
      </c>
      <c r="AB27" s="61" t="s">
        <v>1554</v>
      </c>
      <c r="AC27" s="84" t="s">
        <v>2018</v>
      </c>
      <c r="AD27" s="84" t="s">
        <v>1994</v>
      </c>
      <c r="AE27" s="61"/>
    </row>
    <row r="28" spans="1:31" ht="334.5" x14ac:dyDescent="0.45">
      <c r="A28" s="61" t="s">
        <v>1773</v>
      </c>
      <c r="B28" s="61" t="s">
        <v>1774</v>
      </c>
      <c r="C28" s="65"/>
      <c r="D28" s="61"/>
      <c r="E28" s="61" t="s">
        <v>1953</v>
      </c>
      <c r="F28" s="70" t="str">
        <f>VLOOKUP(B28,'[2]Power '!$A:$C,3,0)</f>
        <v>TowerCo</v>
      </c>
      <c r="G28" s="70" t="str">
        <f>VLOOKUP(B28,'[2]Power '!$A:$D,4,0)</f>
        <v>Solar-Gen</v>
      </c>
      <c r="H28" s="67">
        <v>46172.724965277775</v>
      </c>
      <c r="I28" s="75">
        <f t="shared" ca="1" si="0"/>
        <v>7.9437271990755107</v>
      </c>
      <c r="J28" s="61"/>
      <c r="K28" s="61"/>
      <c r="L28" s="61"/>
      <c r="M28" s="61" t="s">
        <v>1750</v>
      </c>
      <c r="N28" s="61" t="s">
        <v>1751</v>
      </c>
      <c r="O28" s="61"/>
      <c r="P28" s="61"/>
      <c r="Q28" s="61"/>
      <c r="R28" s="61" t="s">
        <v>2004</v>
      </c>
      <c r="S28" s="61" t="s">
        <v>40</v>
      </c>
      <c r="T28" s="61" t="s">
        <v>1898</v>
      </c>
      <c r="U28" s="61" t="s">
        <v>1898</v>
      </c>
      <c r="V28" s="61" t="str">
        <f>VLOOKUP(B28,[2]Overall!$A:$D,4,0)</f>
        <v>TELEINFRA NORD</v>
      </c>
      <c r="W28" s="61" t="str">
        <f>VLOOKUP(B28,[3]Sheet1!$A:$B,2,0)</f>
        <v>Hamalade</v>
      </c>
      <c r="X28" s="88" t="str">
        <f t="shared" si="4"/>
        <v>NRO</v>
      </c>
      <c r="Y28" s="80" t="str">
        <f t="shared" ca="1" si="1"/>
        <v>T&gt;72H</v>
      </c>
      <c r="Z28" s="61">
        <f t="shared" si="2"/>
        <v>1</v>
      </c>
      <c r="AA28" s="61" t="s">
        <v>1925</v>
      </c>
      <c r="AB28" s="61" t="s">
        <v>1554</v>
      </c>
      <c r="AC28" s="84" t="s">
        <v>2018</v>
      </c>
      <c r="AD28" s="84" t="s">
        <v>1994</v>
      </c>
      <c r="AE28" s="61"/>
    </row>
    <row r="29" spans="1:31" ht="409.6" x14ac:dyDescent="0.45">
      <c r="A29" s="61" t="s">
        <v>1624</v>
      </c>
      <c r="B29" s="61" t="s">
        <v>1625</v>
      </c>
      <c r="C29" s="65"/>
      <c r="D29" s="61"/>
      <c r="E29" s="61" t="s">
        <v>1709</v>
      </c>
      <c r="F29" s="70" t="str">
        <f>VLOOKUP(B29,'[2]Power '!$A:$C,3,0)</f>
        <v>TowerCo</v>
      </c>
      <c r="G29" s="70" t="str">
        <f>VLOOKUP(B29,'[2]Power '!$A:$D,4,0)</f>
        <v>Grid-Gen</v>
      </c>
      <c r="H29" s="67">
        <v>46163.574861111112</v>
      </c>
      <c r="I29" s="75">
        <f t="shared" ca="1" si="0"/>
        <v>17.093831365738879</v>
      </c>
      <c r="J29" s="61"/>
      <c r="K29" s="61"/>
      <c r="L29" s="61"/>
      <c r="M29" s="61" t="s">
        <v>33</v>
      </c>
      <c r="N29" s="61" t="s">
        <v>1626</v>
      </c>
      <c r="O29" s="61"/>
      <c r="P29" s="61"/>
      <c r="Q29" s="61"/>
      <c r="R29" s="61" t="s">
        <v>1998</v>
      </c>
      <c r="S29" s="61" t="s">
        <v>32</v>
      </c>
      <c r="T29" s="61" t="s">
        <v>1900</v>
      </c>
      <c r="U29" s="61" t="s">
        <v>1900</v>
      </c>
      <c r="V29" s="61" t="str">
        <f>VLOOKUP(B29,[2]Overall!$A:$D,4,0)</f>
        <v xml:space="preserve">I-ENG </v>
      </c>
      <c r="W29" s="61" t="str">
        <f>VLOOKUP(B29,[3]Sheet1!$A:$B,2,0)</f>
        <v>Kembong</v>
      </c>
      <c r="X29" s="88" t="e">
        <f>LEFT(#REF!,3)</f>
        <v>#REF!</v>
      </c>
      <c r="Y29" s="80" t="str">
        <f t="shared" ca="1" si="1"/>
        <v>T&gt;72H</v>
      </c>
      <c r="Z29" s="61">
        <f t="shared" si="2"/>
        <v>2</v>
      </c>
      <c r="AA29" s="61" t="s">
        <v>1925</v>
      </c>
      <c r="AB29" s="61" t="s">
        <v>1554</v>
      </c>
      <c r="AC29" s="84" t="s">
        <v>2018</v>
      </c>
      <c r="AD29" s="84" t="s">
        <v>1994</v>
      </c>
      <c r="AE29" s="61"/>
    </row>
    <row r="30" spans="1:31" ht="117" x14ac:dyDescent="0.45">
      <c r="A30" s="61" t="s">
        <v>1727</v>
      </c>
      <c r="B30" s="61" t="s">
        <v>1728</v>
      </c>
      <c r="C30" s="65"/>
      <c r="D30" s="61"/>
      <c r="E30" s="61" t="s">
        <v>1729</v>
      </c>
      <c r="F30" s="70" t="str">
        <f>VLOOKUP(B30,'[2]Power '!$A:$C,3,0)</f>
        <v>TowerCo</v>
      </c>
      <c r="G30" s="70" t="str">
        <f>VLOOKUP(B30,'[2]Power '!$A:$D,4,0)</f>
        <v>Hybrid-Gen</v>
      </c>
      <c r="H30" s="67">
        <v>46173.749571759261</v>
      </c>
      <c r="I30" s="75">
        <f t="shared" ca="1" si="0"/>
        <v>6.9191207175899763</v>
      </c>
      <c r="J30" s="61"/>
      <c r="K30" s="61"/>
      <c r="L30" s="61"/>
      <c r="M30" s="61" t="s">
        <v>1730</v>
      </c>
      <c r="N30" s="61" t="s">
        <v>1731</v>
      </c>
      <c r="O30" s="61"/>
      <c r="P30" s="61"/>
      <c r="Q30" s="61"/>
      <c r="R30" s="61" t="s">
        <v>1884</v>
      </c>
      <c r="S30" s="61" t="s">
        <v>40</v>
      </c>
      <c r="T30" s="61" t="s">
        <v>1885</v>
      </c>
      <c r="U30" s="61" t="s">
        <v>1885</v>
      </c>
      <c r="V30" s="61" t="str">
        <f>VLOOKUP(B30,[2]Overall!$A:$D,4,0)</f>
        <v>TELEINFRA NORD</v>
      </c>
      <c r="W30" s="61" t="str">
        <f>VLOOKUP(B30,[3]Sheet1!$A:$B,2,0)</f>
        <v>Kuruda</v>
      </c>
      <c r="X30" s="88" t="str">
        <f>LEFT(B31,3)</f>
        <v>ADM</v>
      </c>
      <c r="Y30" s="80" t="str">
        <f t="shared" ca="1" si="1"/>
        <v>T&gt;72H</v>
      </c>
      <c r="Z30" s="61">
        <f t="shared" si="2"/>
        <v>2</v>
      </c>
      <c r="AA30" s="61" t="s">
        <v>1925</v>
      </c>
      <c r="AB30" s="61" t="s">
        <v>1554</v>
      </c>
      <c r="AC30" s="84" t="s">
        <v>2018</v>
      </c>
      <c r="AD30" s="84" t="s">
        <v>1994</v>
      </c>
      <c r="AE30" s="61"/>
    </row>
    <row r="31" spans="1:31" ht="378" x14ac:dyDescent="0.45">
      <c r="A31" s="61" t="s">
        <v>1710</v>
      </c>
      <c r="B31" s="61" t="s">
        <v>1711</v>
      </c>
      <c r="C31" s="65"/>
      <c r="D31" s="61"/>
      <c r="E31" s="61" t="s">
        <v>49</v>
      </c>
      <c r="F31" s="70" t="str">
        <f>VLOOKUP(B31,'[2]Power '!$A:$C,3,0)</f>
        <v>TowerCo</v>
      </c>
      <c r="G31" s="70" t="str">
        <f>VLOOKUP(B31,'[2]Power '!$A:$D,4,0)</f>
        <v>Solar-Gen</v>
      </c>
      <c r="H31" s="67">
        <v>46163.500115740739</v>
      </c>
      <c r="I31" s="75">
        <f t="shared" ca="1" si="0"/>
        <v>17.1685767361123</v>
      </c>
      <c r="J31" s="61"/>
      <c r="K31" s="61"/>
      <c r="L31" s="61"/>
      <c r="M31" s="61" t="s">
        <v>38</v>
      </c>
      <c r="N31" s="61" t="s">
        <v>1714</v>
      </c>
      <c r="O31" s="61"/>
      <c r="P31" s="61"/>
      <c r="Q31" s="61"/>
      <c r="R31" s="61" t="s">
        <v>2010</v>
      </c>
      <c r="S31" s="61" t="s">
        <v>50</v>
      </c>
      <c r="T31" s="61" t="s">
        <v>1688</v>
      </c>
      <c r="U31" s="61" t="s">
        <v>1688</v>
      </c>
      <c r="V31" s="61" t="str">
        <f>VLOOKUP(B31,[2]Overall!$A:$D,4,0)</f>
        <v>TELEINFRA NORD</v>
      </c>
      <c r="W31" s="61" t="str">
        <f>VLOOKUP(B31,[3]Sheet1!$A:$B,2,0)</f>
        <v>Martap</v>
      </c>
      <c r="X31" s="88" t="str">
        <f>LEFT(B32,3)</f>
        <v>ADM</v>
      </c>
      <c r="Y31" s="80" t="str">
        <f t="shared" ca="1" si="1"/>
        <v>T&gt;72H</v>
      </c>
      <c r="Z31" s="61">
        <f t="shared" si="2"/>
        <v>1</v>
      </c>
      <c r="AA31" s="61" t="s">
        <v>1925</v>
      </c>
      <c r="AB31" s="61" t="s">
        <v>1554</v>
      </c>
      <c r="AC31" s="84" t="s">
        <v>2018</v>
      </c>
      <c r="AD31" s="84" t="s">
        <v>1994</v>
      </c>
      <c r="AE31" s="61"/>
    </row>
    <row r="32" spans="1:31" ht="378" x14ac:dyDescent="0.45">
      <c r="A32" s="61" t="s">
        <v>1917</v>
      </c>
      <c r="B32" s="61" t="s">
        <v>1711</v>
      </c>
      <c r="C32" s="65"/>
      <c r="D32" s="61"/>
      <c r="E32" s="61" t="s">
        <v>49</v>
      </c>
      <c r="F32" s="70" t="str">
        <f>VLOOKUP(B32,'[2]Power '!$A:$C,3,0)</f>
        <v>TowerCo</v>
      </c>
      <c r="G32" s="70" t="str">
        <f>VLOOKUP(B32,'[2]Power '!$A:$D,4,0)</f>
        <v>Solar-Gen</v>
      </c>
      <c r="H32" s="67">
        <v>46170.731886574074</v>
      </c>
      <c r="I32" s="75">
        <f t="shared" ca="1" si="0"/>
        <v>9.9368059027765412</v>
      </c>
      <c r="J32" s="61"/>
      <c r="K32" s="61"/>
      <c r="L32" s="61"/>
      <c r="M32" s="61" t="s">
        <v>38</v>
      </c>
      <c r="N32" s="61" t="s">
        <v>1918</v>
      </c>
      <c r="O32" s="61"/>
      <c r="P32" s="61"/>
      <c r="Q32" s="61"/>
      <c r="R32" s="61" t="s">
        <v>2010</v>
      </c>
      <c r="S32" s="61" t="s">
        <v>50</v>
      </c>
      <c r="T32" s="61" t="s">
        <v>1688</v>
      </c>
      <c r="U32" s="61" t="s">
        <v>1688</v>
      </c>
      <c r="V32" s="61" t="str">
        <f>VLOOKUP(B32,[2]Overall!$A:$D,4,0)</f>
        <v>TELEINFRA NORD</v>
      </c>
      <c r="W32" s="61" t="str">
        <f>VLOOKUP(B32,[3]Sheet1!$A:$B,2,0)</f>
        <v>Martap</v>
      </c>
      <c r="X32" s="88" t="str">
        <f>LEFT(B33,3)</f>
        <v>NRD</v>
      </c>
      <c r="Y32" s="80" t="str">
        <f t="shared" ca="1" si="1"/>
        <v>T&gt;72H</v>
      </c>
      <c r="Z32" s="61">
        <f t="shared" si="2"/>
        <v>1</v>
      </c>
      <c r="AA32" s="61" t="s">
        <v>1925</v>
      </c>
      <c r="AB32" s="61" t="s">
        <v>1554</v>
      </c>
      <c r="AC32" s="84" t="s">
        <v>2018</v>
      </c>
      <c r="AD32" s="84" t="s">
        <v>1994</v>
      </c>
      <c r="AE32" s="61"/>
    </row>
    <row r="33" spans="1:31" ht="102.5" x14ac:dyDescent="0.45">
      <c r="A33" s="61" t="s">
        <v>1843</v>
      </c>
      <c r="B33" s="61" t="s">
        <v>1844</v>
      </c>
      <c r="C33" s="65"/>
      <c r="D33" s="61"/>
      <c r="E33" s="61" t="s">
        <v>1879</v>
      </c>
      <c r="F33" s="70" t="str">
        <f>VLOOKUP(B33,'[2]Power '!$A:$C,3,0)</f>
        <v>TowerCo</v>
      </c>
      <c r="G33" s="70" t="str">
        <f>VLOOKUP(B33,'[2]Power '!$A:$D,4,0)</f>
        <v>Solar-Gen</v>
      </c>
      <c r="H33" s="67">
        <v>46170.776631944442</v>
      </c>
      <c r="I33" s="75">
        <f t="shared" ca="1" si="0"/>
        <v>9.8920605324092321</v>
      </c>
      <c r="J33" s="61"/>
      <c r="K33" s="61"/>
      <c r="L33" s="61"/>
      <c r="M33" s="61" t="s">
        <v>38</v>
      </c>
      <c r="N33" s="61" t="s">
        <v>1845</v>
      </c>
      <c r="O33" s="61"/>
      <c r="P33" s="61"/>
      <c r="Q33" s="61"/>
      <c r="R33" s="61" t="s">
        <v>2005</v>
      </c>
      <c r="S33" s="61" t="s">
        <v>75</v>
      </c>
      <c r="T33" s="61" t="s">
        <v>1901</v>
      </c>
      <c r="U33" s="61" t="s">
        <v>1901</v>
      </c>
      <c r="V33" s="61" t="str">
        <f>VLOOKUP(B33,[2]Overall!$A:$D,4,0)</f>
        <v>TELEINFRA NORD</v>
      </c>
      <c r="W33" s="61" t="str">
        <f>VLOOKUP(B33,[3]Sheet1!$A:$B,2,0)</f>
        <v>Mayo-Nonde</v>
      </c>
      <c r="X33" s="88" t="e">
        <f>LEFT(#REF!,3)</f>
        <v>#REF!</v>
      </c>
      <c r="Y33" s="80" t="str">
        <f t="shared" ca="1" si="1"/>
        <v>T&gt;72H</v>
      </c>
      <c r="Z33" s="61">
        <f t="shared" si="2"/>
        <v>3</v>
      </c>
      <c r="AA33" s="61" t="s">
        <v>1925</v>
      </c>
      <c r="AB33" s="61" t="s">
        <v>1554</v>
      </c>
      <c r="AC33" s="84" t="s">
        <v>2018</v>
      </c>
      <c r="AD33" s="84" t="s">
        <v>1994</v>
      </c>
      <c r="AE33" s="61"/>
    </row>
    <row r="34" spans="1:31" ht="44.5" x14ac:dyDescent="0.45">
      <c r="A34" s="61" t="s">
        <v>1930</v>
      </c>
      <c r="B34" s="61" t="s">
        <v>1931</v>
      </c>
      <c r="C34" s="65"/>
      <c r="D34" s="61"/>
      <c r="E34" s="61" t="s">
        <v>34</v>
      </c>
      <c r="F34" s="70" t="str">
        <f>VLOOKUP(B34,'[2]Power '!$A:$C,3,0)</f>
        <v>TowerCo</v>
      </c>
      <c r="G34" s="70" t="str">
        <f>VLOOKUP(B34,'[2]Power '!$A:$D,4,0)</f>
        <v>Hybrid-Gen</v>
      </c>
      <c r="H34" s="67">
        <v>46172.534074074072</v>
      </c>
      <c r="I34" s="75">
        <f t="shared" ca="1" si="0"/>
        <v>8.1346184027788695</v>
      </c>
      <c r="J34" s="61"/>
      <c r="K34" s="61"/>
      <c r="L34" s="61"/>
      <c r="M34" s="61" t="s">
        <v>1929</v>
      </c>
      <c r="N34" s="61" t="s">
        <v>1932</v>
      </c>
      <c r="O34" s="61"/>
      <c r="P34" s="61"/>
      <c r="Q34" s="61"/>
      <c r="R34" s="61" t="s">
        <v>1967</v>
      </c>
      <c r="S34" s="61" t="s">
        <v>40</v>
      </c>
      <c r="T34" s="61" t="s">
        <v>1898</v>
      </c>
      <c r="U34" s="61" t="s">
        <v>1898</v>
      </c>
      <c r="V34" s="61" t="str">
        <f>VLOOKUP(B34,[2]Overall!$A:$D,4,0)</f>
        <v>TELEINFRA NORD</v>
      </c>
      <c r="W34" s="61" t="str">
        <f>VLOOKUP(B34,[3]Sheet1!$A:$B,2,0)</f>
        <v>Mazera</v>
      </c>
      <c r="X34" s="88" t="str">
        <f>LEFT(B35,3)</f>
        <v>NRO</v>
      </c>
      <c r="Y34" s="80" t="str">
        <f t="shared" ca="1" si="1"/>
        <v>T&gt;72H</v>
      </c>
      <c r="Z34" s="61">
        <f t="shared" si="2"/>
        <v>1</v>
      </c>
      <c r="AA34" s="61" t="s">
        <v>1925</v>
      </c>
      <c r="AB34" s="61" t="s">
        <v>1554</v>
      </c>
      <c r="AC34" s="84" t="s">
        <v>2018</v>
      </c>
      <c r="AD34" s="84" t="s">
        <v>1994</v>
      </c>
      <c r="AE34" s="61"/>
    </row>
    <row r="35" spans="1:31" ht="320" x14ac:dyDescent="0.45">
      <c r="A35" s="61" t="s">
        <v>1724</v>
      </c>
      <c r="B35" s="61" t="s">
        <v>1725</v>
      </c>
      <c r="C35" s="65"/>
      <c r="D35" s="61"/>
      <c r="E35" s="61" t="s">
        <v>1726</v>
      </c>
      <c r="F35" s="70" t="str">
        <f>VLOOKUP(B35,'[2]Power '!$A:$C,3,0)</f>
        <v>TowerCo</v>
      </c>
      <c r="G35" s="70" t="str">
        <f>VLOOKUP(B35,'[2]Power '!$A:$D,4,0)</f>
        <v>Hybrid-Gen</v>
      </c>
      <c r="H35" s="67">
        <v>46172.76761574074</v>
      </c>
      <c r="I35" s="75">
        <f t="shared" ca="1" si="0"/>
        <v>7.9010767361105536</v>
      </c>
      <c r="J35" s="61"/>
      <c r="K35" s="61"/>
      <c r="L35" s="61"/>
      <c r="M35" s="61" t="s">
        <v>33</v>
      </c>
      <c r="N35" s="61" t="s">
        <v>1635</v>
      </c>
      <c r="O35" s="61"/>
      <c r="P35" s="61"/>
      <c r="Q35" s="61"/>
      <c r="R35" s="61" t="s">
        <v>2001</v>
      </c>
      <c r="S35" s="61" t="s">
        <v>32</v>
      </c>
      <c r="T35" s="61" t="s">
        <v>1898</v>
      </c>
      <c r="U35" s="61" t="s">
        <v>1898</v>
      </c>
      <c r="V35" s="61" t="str">
        <f>VLOOKUP(B35,[2]Overall!$A:$D,4,0)</f>
        <v xml:space="preserve">I-ENG </v>
      </c>
      <c r="W35" s="61" t="str">
        <f>VLOOKUP(B35,[3]Sheet1!$A:$B,2,0)</f>
        <v>Mbakong</v>
      </c>
      <c r="X35" s="88" t="e">
        <f>LEFT(#REF!,3)</f>
        <v>#REF!</v>
      </c>
      <c r="Y35" s="80" t="str">
        <f t="shared" ca="1" si="1"/>
        <v>T&gt;72H</v>
      </c>
      <c r="Z35" s="61">
        <f t="shared" si="2"/>
        <v>2</v>
      </c>
      <c r="AA35" s="61" t="s">
        <v>1925</v>
      </c>
      <c r="AB35" s="61" t="s">
        <v>1554</v>
      </c>
      <c r="AC35" s="84" t="s">
        <v>2018</v>
      </c>
      <c r="AD35" s="84" t="s">
        <v>1994</v>
      </c>
      <c r="AE35" s="61"/>
    </row>
    <row r="36" spans="1:31" ht="102.5" x14ac:dyDescent="0.45">
      <c r="A36" s="61" t="s">
        <v>1920</v>
      </c>
      <c r="B36" s="61" t="s">
        <v>1921</v>
      </c>
      <c r="C36" s="65"/>
      <c r="D36" s="61"/>
      <c r="E36" s="61" t="s">
        <v>1922</v>
      </c>
      <c r="F36" s="70" t="str">
        <f>VLOOKUP(B36,'[2]Power '!$A:$C,3,0)</f>
        <v>TowerCo</v>
      </c>
      <c r="G36" s="70" t="str">
        <f>VLOOKUP(B36,'[2]Power '!$A:$D,4,0)</f>
        <v>Grid-Gen</v>
      </c>
      <c r="H36" s="67">
        <v>46172.580775462964</v>
      </c>
      <c r="I36" s="75">
        <f t="shared" ca="1" si="0"/>
        <v>8.0879170138869085</v>
      </c>
      <c r="J36" s="61"/>
      <c r="K36" s="61"/>
      <c r="L36" s="61"/>
      <c r="M36" s="61" t="s">
        <v>31</v>
      </c>
      <c r="N36" s="61" t="s">
        <v>1923</v>
      </c>
      <c r="O36" s="61"/>
      <c r="P36" s="61"/>
      <c r="Q36" s="61"/>
      <c r="R36" s="61" t="s">
        <v>1968</v>
      </c>
      <c r="S36" s="61" t="s">
        <v>40</v>
      </c>
      <c r="T36" s="61" t="s">
        <v>1898</v>
      </c>
      <c r="U36" s="61" t="s">
        <v>1898</v>
      </c>
      <c r="V36" s="61" t="str">
        <f>VLOOKUP(B36,[2]Overall!$A:$D,4,0)</f>
        <v>TELEINFRA NORD</v>
      </c>
      <c r="W36" s="61" t="str">
        <f>VLOOKUP(B36,[3]Sheet1!$A:$B,2,0)</f>
        <v>Mbidou</v>
      </c>
      <c r="X36" s="88" t="str">
        <f>LEFT(B37,3)</f>
        <v>ADM</v>
      </c>
      <c r="Y36" s="80" t="str">
        <f t="shared" ca="1" si="1"/>
        <v>T&gt;72H</v>
      </c>
      <c r="Z36" s="61">
        <f t="shared" si="2"/>
        <v>3</v>
      </c>
      <c r="AA36" s="61" t="s">
        <v>1925</v>
      </c>
      <c r="AB36" s="61" t="s">
        <v>1554</v>
      </c>
      <c r="AC36" s="84" t="s">
        <v>2018</v>
      </c>
      <c r="AD36" s="84" t="s">
        <v>1994</v>
      </c>
      <c r="AE36" s="61"/>
    </row>
    <row r="37" spans="1:31" ht="102.5" x14ac:dyDescent="0.45">
      <c r="A37" s="61" t="s">
        <v>1920</v>
      </c>
      <c r="B37" s="61" t="s">
        <v>1921</v>
      </c>
      <c r="C37" s="65"/>
      <c r="D37" s="61"/>
      <c r="E37" s="61" t="s">
        <v>1922</v>
      </c>
      <c r="F37" s="70" t="str">
        <f>VLOOKUP(B37,'[2]Power '!$A:$C,3,0)</f>
        <v>TowerCo</v>
      </c>
      <c r="G37" s="70" t="str">
        <f>VLOOKUP(B37,'[2]Power '!$A:$D,4,0)</f>
        <v>Grid-Gen</v>
      </c>
      <c r="H37" s="67">
        <v>46172.588692129626</v>
      </c>
      <c r="I37" s="75">
        <f t="shared" ca="1" si="0"/>
        <v>8.0800003472249955</v>
      </c>
      <c r="J37" s="61"/>
      <c r="K37" s="61"/>
      <c r="L37" s="61"/>
      <c r="M37" s="61" t="s">
        <v>1713</v>
      </c>
      <c r="N37" s="61" t="s">
        <v>1952</v>
      </c>
      <c r="O37" s="61"/>
      <c r="P37" s="61"/>
      <c r="Q37" s="61"/>
      <c r="R37" s="61" t="s">
        <v>1968</v>
      </c>
      <c r="S37" s="61" t="s">
        <v>40</v>
      </c>
      <c r="T37" s="61" t="s">
        <v>1898</v>
      </c>
      <c r="U37" s="61" t="s">
        <v>1898</v>
      </c>
      <c r="V37" s="61" t="str">
        <f>VLOOKUP(B37,[2]Overall!$A:$D,4,0)</f>
        <v>TELEINFRA NORD</v>
      </c>
      <c r="W37" s="61" t="str">
        <f>VLOOKUP(B37,[3]Sheet1!$A:$B,2,0)</f>
        <v>Mbidou</v>
      </c>
      <c r="X37" s="88" t="e">
        <f>LEFT(#REF!,3)</f>
        <v>#REF!</v>
      </c>
      <c r="Y37" s="80" t="str">
        <f t="shared" ca="1" si="1"/>
        <v>T&gt;72H</v>
      </c>
      <c r="Z37" s="61">
        <f t="shared" si="2"/>
        <v>3</v>
      </c>
      <c r="AA37" s="61" t="s">
        <v>1925</v>
      </c>
      <c r="AB37" s="61" t="s">
        <v>1554</v>
      </c>
      <c r="AC37" s="84" t="s">
        <v>2018</v>
      </c>
      <c r="AD37" s="84" t="s">
        <v>1994</v>
      </c>
      <c r="AE37" s="61"/>
    </row>
    <row r="38" spans="1:31" ht="117" x14ac:dyDescent="0.45">
      <c r="A38" s="61" t="s">
        <v>1803</v>
      </c>
      <c r="B38" s="61" t="s">
        <v>1804</v>
      </c>
      <c r="C38" s="65"/>
      <c r="D38" s="61"/>
      <c r="E38" s="61" t="s">
        <v>1936</v>
      </c>
      <c r="F38" s="70" t="str">
        <f>VLOOKUP(B38,'[2]Power '!$A:$C,3,0)</f>
        <v>TowerCo</v>
      </c>
      <c r="G38" s="70" t="str">
        <f>VLOOKUP(B38,'[2]Power '!$A:$D,4,0)</f>
        <v>Hybrid-Gen</v>
      </c>
      <c r="H38" s="67">
        <v>46169.260462962964</v>
      </c>
      <c r="I38" s="75">
        <f t="shared" ca="1" si="0"/>
        <v>11.408229513886909</v>
      </c>
      <c r="J38" s="61"/>
      <c r="K38" s="61"/>
      <c r="L38" s="61"/>
      <c r="M38" s="61" t="s">
        <v>1627</v>
      </c>
      <c r="N38" s="61" t="s">
        <v>1806</v>
      </c>
      <c r="O38" s="61"/>
      <c r="P38" s="61"/>
      <c r="Q38" s="61"/>
      <c r="R38" s="61" t="s">
        <v>2012</v>
      </c>
      <c r="S38" s="61" t="s">
        <v>45</v>
      </c>
      <c r="T38" s="61" t="s">
        <v>1898</v>
      </c>
      <c r="U38" s="61" t="s">
        <v>1898</v>
      </c>
      <c r="V38" s="61" t="str">
        <f>VLOOKUP(B38,[2]Overall!$A:$D,4,0)</f>
        <v>TELEINFRA CENTRE</v>
      </c>
      <c r="W38" s="61" t="str">
        <f>VLOOKUP(B38,[3]Sheet1!$A:$B,2,0)</f>
        <v>SALAPOUMBE</v>
      </c>
      <c r="X38" s="88" t="e">
        <f>LEFT(#REF!,3)</f>
        <v>#REF!</v>
      </c>
      <c r="Y38" s="80" t="str">
        <f t="shared" ca="1" si="1"/>
        <v>T&gt;72H</v>
      </c>
      <c r="Z38" s="61">
        <f t="shared" si="2"/>
        <v>2</v>
      </c>
      <c r="AA38" s="61" t="s">
        <v>1925</v>
      </c>
      <c r="AB38" s="61" t="s">
        <v>1554</v>
      </c>
      <c r="AC38" s="84" t="s">
        <v>2018</v>
      </c>
      <c r="AD38" s="84" t="s">
        <v>1994</v>
      </c>
      <c r="AE38" s="61"/>
    </row>
    <row r="39" spans="1:31" ht="117" x14ac:dyDescent="0.45">
      <c r="A39" s="61" t="s">
        <v>1981</v>
      </c>
      <c r="B39" s="61" t="s">
        <v>1982</v>
      </c>
      <c r="C39" s="65"/>
      <c r="D39" s="61"/>
      <c r="E39" s="61" t="s">
        <v>39</v>
      </c>
      <c r="F39" s="70" t="str">
        <f>VLOOKUP(B39,'[2]Power '!$A:$C,3,0)</f>
        <v>TowerCo</v>
      </c>
      <c r="G39" s="70" t="str">
        <f>VLOOKUP(B39,'[2]Power '!$A:$D,4,0)</f>
        <v>Grid-Gen</v>
      </c>
      <c r="H39" s="67">
        <v>46173.814502314817</v>
      </c>
      <c r="I39" s="75">
        <f t="shared" ca="1" si="0"/>
        <v>6.854190162033774</v>
      </c>
      <c r="J39" s="61"/>
      <c r="K39" s="61"/>
      <c r="L39" s="61"/>
      <c r="M39" s="61" t="s">
        <v>1686</v>
      </c>
      <c r="N39" s="61" t="s">
        <v>1983</v>
      </c>
      <c r="O39" s="61"/>
      <c r="P39" s="61"/>
      <c r="Q39" s="61"/>
      <c r="R39" s="61" t="s">
        <v>2013</v>
      </c>
      <c r="S39" s="61" t="s">
        <v>71</v>
      </c>
      <c r="T39" s="61" t="s">
        <v>1902</v>
      </c>
      <c r="U39" s="61" t="s">
        <v>1896</v>
      </c>
      <c r="V39" s="61" t="str">
        <f>VLOOKUP(B39,[2]Overall!$A:$D,4,0)</f>
        <v>H-TELI</v>
      </c>
      <c r="W39" s="61" t="str">
        <f>VLOOKUP(B39,[3]Sheet1!$A:$B,2,0)</f>
        <v>Santchou</v>
      </c>
      <c r="X39" s="88" t="str">
        <f>LEFT(B40,3)</f>
        <v>OST</v>
      </c>
      <c r="Y39" s="80" t="str">
        <f t="shared" ca="1" si="1"/>
        <v>T&gt;72H</v>
      </c>
      <c r="Z39" s="61">
        <f t="shared" si="2"/>
        <v>1</v>
      </c>
      <c r="AA39" s="61" t="s">
        <v>1925</v>
      </c>
      <c r="AB39" s="61" t="s">
        <v>1554</v>
      </c>
      <c r="AC39" s="84" t="s">
        <v>2018</v>
      </c>
      <c r="AD39" s="84" t="s">
        <v>1994</v>
      </c>
      <c r="AE39" s="61"/>
    </row>
    <row r="40" spans="1:31" ht="117" x14ac:dyDescent="0.45">
      <c r="A40" s="61" t="s">
        <v>1981</v>
      </c>
      <c r="B40" s="61" t="s">
        <v>1982</v>
      </c>
      <c r="C40" s="65"/>
      <c r="D40" s="61"/>
      <c r="E40" s="61" t="s">
        <v>1988</v>
      </c>
      <c r="F40" s="70" t="str">
        <f>VLOOKUP(B40,'[2]Power '!$A:$C,3,0)</f>
        <v>TowerCo</v>
      </c>
      <c r="G40" s="70" t="str">
        <f>VLOOKUP(B40,'[2]Power '!$A:$D,4,0)</f>
        <v>Grid-Gen</v>
      </c>
      <c r="H40" s="67">
        <v>46173.819432870368</v>
      </c>
      <c r="I40" s="75">
        <f t="shared" ca="1" si="0"/>
        <v>6.8492596064825193</v>
      </c>
      <c r="J40" s="61"/>
      <c r="K40" s="61"/>
      <c r="L40" s="61"/>
      <c r="M40" s="61" t="s">
        <v>41</v>
      </c>
      <c r="N40" s="61" t="s">
        <v>1989</v>
      </c>
      <c r="O40" s="61"/>
      <c r="P40" s="61"/>
      <c r="Q40" s="61"/>
      <c r="R40" s="61" t="s">
        <v>2013</v>
      </c>
      <c r="S40" s="61" t="s">
        <v>71</v>
      </c>
      <c r="T40" s="61" t="s">
        <v>1902</v>
      </c>
      <c r="U40" s="61" t="s">
        <v>1896</v>
      </c>
      <c r="V40" s="61" t="str">
        <f>VLOOKUP(B40,[2]Overall!$A:$D,4,0)</f>
        <v>H-TELI</v>
      </c>
      <c r="W40" s="61" t="str">
        <f>VLOOKUP(B40,[3]Sheet1!$A:$B,2,0)</f>
        <v>Santchou</v>
      </c>
      <c r="X40" s="88" t="str">
        <f>LEFT(B41,3)</f>
        <v>CTR</v>
      </c>
      <c r="Y40" s="80" t="str">
        <f t="shared" ca="1" si="1"/>
        <v>T&gt;72H</v>
      </c>
      <c r="Z40" s="61">
        <f t="shared" si="2"/>
        <v>1</v>
      </c>
      <c r="AA40" s="61" t="s">
        <v>1925</v>
      </c>
      <c r="AB40" s="61" t="s">
        <v>1554</v>
      </c>
      <c r="AC40" s="84" t="s">
        <v>2018</v>
      </c>
      <c r="AD40" s="84" t="s">
        <v>1994</v>
      </c>
      <c r="AE40" s="61"/>
    </row>
    <row r="41" spans="1:31" ht="73.5" x14ac:dyDescent="0.45">
      <c r="A41" s="63" t="s">
        <v>1876</v>
      </c>
      <c r="B41" s="63" t="s">
        <v>2016</v>
      </c>
      <c r="C41" s="68"/>
      <c r="D41" s="63"/>
      <c r="E41" s="63" t="s">
        <v>1875</v>
      </c>
      <c r="F41" s="71" t="e">
        <f>VLOOKUP(B41,'[2]Power '!$A:$C,3,0)</f>
        <v>#N/A</v>
      </c>
      <c r="G41" s="71" t="e">
        <f>VLOOKUP(B41,'[2]Power '!$A:$D,4,0)</f>
        <v>#N/A</v>
      </c>
      <c r="H41" s="69">
        <v>46139.613136574073</v>
      </c>
      <c r="I41" s="77">
        <f t="shared" ca="1" si="0"/>
        <v>41.055555902777996</v>
      </c>
      <c r="J41" s="63"/>
      <c r="K41" s="63"/>
      <c r="L41" s="63"/>
      <c r="M41" s="63" t="s">
        <v>31</v>
      </c>
      <c r="N41" s="63" t="s">
        <v>1874</v>
      </c>
      <c r="O41" s="63"/>
      <c r="P41" s="63" t="s">
        <v>1906</v>
      </c>
      <c r="Q41" s="90">
        <v>46028</v>
      </c>
      <c r="R41" s="63" t="s">
        <v>2017</v>
      </c>
      <c r="S41" s="63" t="s">
        <v>45</v>
      </c>
      <c r="T41" s="63" t="s">
        <v>1898</v>
      </c>
      <c r="U41" s="63" t="s">
        <v>1898</v>
      </c>
      <c r="V41" s="63" t="e">
        <f>VLOOKUP(B41,[2]Overall!$A:$D,4,0)</f>
        <v>#N/A</v>
      </c>
      <c r="W41" s="63" t="e">
        <f>VLOOKUP(B41,[3]Sheet1!$A:$B,2,0)</f>
        <v>#N/A</v>
      </c>
      <c r="X41" s="89" t="str">
        <f>LEFT(B42,3)</f>
        <v>CTR</v>
      </c>
      <c r="Y41" s="81" t="str">
        <f t="shared" ca="1" si="1"/>
        <v>T&gt;72H</v>
      </c>
      <c r="Z41" s="63">
        <f t="shared" si="2"/>
        <v>4</v>
      </c>
      <c r="AA41" s="63" t="s">
        <v>77</v>
      </c>
      <c r="AB41" s="63" t="s">
        <v>1554</v>
      </c>
      <c r="AC41" s="85" t="s">
        <v>2018</v>
      </c>
      <c r="AD41" s="85" t="s">
        <v>1994</v>
      </c>
      <c r="AE41" s="63"/>
    </row>
    <row r="42" spans="1:31" ht="88" x14ac:dyDescent="0.45">
      <c r="A42" s="61" t="s">
        <v>1783</v>
      </c>
      <c r="B42" s="61" t="s">
        <v>1784</v>
      </c>
      <c r="C42" s="65"/>
      <c r="D42" s="61"/>
      <c r="E42" s="61" t="s">
        <v>1785</v>
      </c>
      <c r="F42" s="70" t="str">
        <f>VLOOKUP(B42,'[2]Power '!$A:$C,3,0)</f>
        <v>TowerCo</v>
      </c>
      <c r="G42" s="70" t="str">
        <f>VLOOKUP(B42,'[2]Power '!$A:$D,4,0)</f>
        <v>Solar-Gen</v>
      </c>
      <c r="H42" s="67">
        <v>46167.751979166664</v>
      </c>
      <c r="I42" s="75">
        <f t="shared" ca="1" si="0"/>
        <v>12.916713310187333</v>
      </c>
      <c r="J42" s="61"/>
      <c r="K42" s="61"/>
      <c r="L42" s="61"/>
      <c r="M42" s="61" t="s">
        <v>1605</v>
      </c>
      <c r="N42" s="61" t="s">
        <v>1786</v>
      </c>
      <c r="O42" s="61"/>
      <c r="P42" s="61"/>
      <c r="Q42" s="61"/>
      <c r="R42" s="61" t="s">
        <v>2014</v>
      </c>
      <c r="S42" s="61" t="s">
        <v>71</v>
      </c>
      <c r="T42" s="61" t="s">
        <v>1895</v>
      </c>
      <c r="U42" s="61" t="s">
        <v>1896</v>
      </c>
      <c r="V42" s="61" t="str">
        <f>VLOOKUP(B42,[2]Overall!$A:$D,4,0)</f>
        <v>TELEINFRA CENTRE</v>
      </c>
      <c r="W42" s="61" t="str">
        <f>VLOOKUP(B42,[3]Sheet1!$A:$B,2,0)</f>
        <v>Song-Bong</v>
      </c>
      <c r="X42" s="88" t="str">
        <f>LEFT(B43,3)</f>
        <v>CTR</v>
      </c>
      <c r="Y42" s="80" t="str">
        <f t="shared" ca="1" si="1"/>
        <v>T&gt;72H</v>
      </c>
      <c r="Z42" s="61">
        <f t="shared" si="2"/>
        <v>4</v>
      </c>
      <c r="AA42" s="61" t="s">
        <v>1925</v>
      </c>
      <c r="AB42" s="61" t="s">
        <v>1554</v>
      </c>
      <c r="AC42" s="84" t="s">
        <v>2018</v>
      </c>
      <c r="AD42" s="84" t="s">
        <v>1994</v>
      </c>
      <c r="AE42" s="61"/>
    </row>
    <row r="43" spans="1:31" ht="88" x14ac:dyDescent="0.45">
      <c r="A43" s="61" t="s">
        <v>1783</v>
      </c>
      <c r="B43" s="61" t="s">
        <v>1784</v>
      </c>
      <c r="C43" s="65"/>
      <c r="D43" s="61"/>
      <c r="E43" s="61" t="s">
        <v>1787</v>
      </c>
      <c r="F43" s="70" t="str">
        <f>VLOOKUP(B43,'[2]Power '!$A:$C,3,0)</f>
        <v>TowerCo</v>
      </c>
      <c r="G43" s="70" t="str">
        <f>VLOOKUP(B43,'[2]Power '!$A:$D,4,0)</f>
        <v>Solar-Gen</v>
      </c>
      <c r="H43" s="67">
        <v>46167.766516203701</v>
      </c>
      <c r="I43" s="75">
        <f t="shared" ca="1" si="0"/>
        <v>12.902176273149962</v>
      </c>
      <c r="J43" s="61"/>
      <c r="K43" s="61"/>
      <c r="L43" s="61"/>
      <c r="M43" s="61" t="s">
        <v>1605</v>
      </c>
      <c r="N43" s="61" t="s">
        <v>1788</v>
      </c>
      <c r="O43" s="61"/>
      <c r="P43" s="61"/>
      <c r="Q43" s="61"/>
      <c r="R43" s="61" t="s">
        <v>2014</v>
      </c>
      <c r="S43" s="61" t="s">
        <v>71</v>
      </c>
      <c r="T43" s="61" t="s">
        <v>1895</v>
      </c>
      <c r="U43" s="61" t="s">
        <v>1896</v>
      </c>
      <c r="V43" s="61" t="str">
        <f>VLOOKUP(B43,[2]Overall!$A:$D,4,0)</f>
        <v>TELEINFRA CENTRE</v>
      </c>
      <c r="W43" s="61" t="str">
        <f>VLOOKUP(B43,[3]Sheet1!$A:$B,2,0)</f>
        <v>Song-Bong</v>
      </c>
      <c r="X43" s="88" t="str">
        <f>LEFT(B44,3)</f>
        <v>ADM</v>
      </c>
      <c r="Y43" s="80" t="str">
        <f t="shared" ca="1" si="1"/>
        <v>T&gt;72H</v>
      </c>
      <c r="Z43" s="61">
        <f t="shared" si="2"/>
        <v>2</v>
      </c>
      <c r="AA43" s="61" t="s">
        <v>1925</v>
      </c>
      <c r="AB43" s="61" t="s">
        <v>1554</v>
      </c>
      <c r="AC43" s="84" t="s">
        <v>2018</v>
      </c>
      <c r="AD43" s="84" t="s">
        <v>1994</v>
      </c>
      <c r="AE43" s="61"/>
    </row>
    <row r="44" spans="1:31" ht="73.5" x14ac:dyDescent="0.45">
      <c r="A44" s="61" t="s">
        <v>1763</v>
      </c>
      <c r="B44" s="61" t="s">
        <v>1764</v>
      </c>
      <c r="C44" s="65"/>
      <c r="D44" s="61"/>
      <c r="E44" s="61" t="s">
        <v>34</v>
      </c>
      <c r="F44" s="70" t="str">
        <f>VLOOKUP(B44,'[2]Power '!$A:$C,3,0)</f>
        <v>TowerCo</v>
      </c>
      <c r="G44" s="70" t="str">
        <f>VLOOKUP(B44,'[2]Power '!$A:$D,4,0)</f>
        <v>Grid-Hybrid-Gen</v>
      </c>
      <c r="H44" s="67">
        <v>46174.52244212963</v>
      </c>
      <c r="I44" s="75">
        <f t="shared" ca="1" si="0"/>
        <v>6.146250347221212</v>
      </c>
      <c r="J44" s="61"/>
      <c r="K44" s="61"/>
      <c r="L44" s="61"/>
      <c r="M44" s="61" t="s">
        <v>31</v>
      </c>
      <c r="N44" s="61" t="s">
        <v>1765</v>
      </c>
      <c r="O44" s="61"/>
      <c r="P44" s="61"/>
      <c r="Q44" s="61"/>
      <c r="R44" s="61" t="s">
        <v>2033</v>
      </c>
      <c r="S44" s="61" t="s">
        <v>51</v>
      </c>
      <c r="T44" s="61" t="s">
        <v>1898</v>
      </c>
      <c r="U44" s="61" t="s">
        <v>1898</v>
      </c>
      <c r="V44" s="61" t="str">
        <f>VLOOKUP(B44,[2]Overall!$A:$D,4,0)</f>
        <v>TELEINFRA NORD</v>
      </c>
      <c r="W44" s="61" t="str">
        <f>VLOOKUP(B44,[3]Sheet1!$A:$B,2,0)</f>
        <v>Telo</v>
      </c>
      <c r="X44" s="88" t="e">
        <f>LEFT(#REF!,3)</f>
        <v>#REF!</v>
      </c>
      <c r="Y44" s="80" t="str">
        <f t="shared" ca="1" si="1"/>
        <v>T&gt;72H</v>
      </c>
      <c r="Z44" s="61">
        <f t="shared" si="2"/>
        <v>1</v>
      </c>
      <c r="AA44" s="61" t="s">
        <v>1925</v>
      </c>
      <c r="AB44" s="61" t="s">
        <v>1554</v>
      </c>
      <c r="AC44" s="84" t="s">
        <v>2018</v>
      </c>
      <c r="AD44" s="84" t="s">
        <v>1994</v>
      </c>
      <c r="AE44" s="61"/>
    </row>
    <row r="45" spans="1:31" ht="73.5" x14ac:dyDescent="0.45">
      <c r="A45" s="61" t="s">
        <v>2020</v>
      </c>
      <c r="B45" s="61" t="s">
        <v>2021</v>
      </c>
      <c r="C45" s="65"/>
      <c r="D45" s="61"/>
      <c r="E45" s="61" t="s">
        <v>1823</v>
      </c>
      <c r="F45" s="70" t="e">
        <f>VLOOKUP(B45,'[2]Power '!$A:$C,3,0)</f>
        <v>#N/A</v>
      </c>
      <c r="G45" s="70" t="e">
        <f>VLOOKUP(B45,'[2]Power '!$A:$D,4,0)</f>
        <v>#N/A</v>
      </c>
      <c r="H45" s="67">
        <v>46174.494421296295</v>
      </c>
      <c r="I45" s="75">
        <f t="shared" ca="1" si="0"/>
        <v>6.1742711805563886</v>
      </c>
      <c r="J45" s="61"/>
      <c r="K45" s="61"/>
      <c r="L45" s="61"/>
      <c r="M45" s="61" t="s">
        <v>31</v>
      </c>
      <c r="N45" s="61" t="s">
        <v>2022</v>
      </c>
      <c r="O45" s="61"/>
      <c r="P45" s="61"/>
      <c r="Q45" s="61"/>
      <c r="R45" s="61" t="s">
        <v>2023</v>
      </c>
      <c r="S45" s="61" t="s">
        <v>40</v>
      </c>
      <c r="T45" s="61" t="s">
        <v>1898</v>
      </c>
      <c r="U45" s="61" t="s">
        <v>1898</v>
      </c>
      <c r="V45" s="61" t="e">
        <f>VLOOKUP(B45,[2]Overall!$A:$D,4,0)</f>
        <v>#N/A</v>
      </c>
      <c r="W45" s="61" t="e">
        <f>VLOOKUP(B45,[3]Sheet1!$A:$B,2,0)</f>
        <v>#N/A</v>
      </c>
      <c r="X45" s="88" t="str">
        <f>LEFT(B46,3)</f>
        <v>EXN</v>
      </c>
      <c r="Y45" s="80" t="str">
        <f t="shared" ca="1" si="1"/>
        <v>T&gt;72H</v>
      </c>
      <c r="Z45" s="61">
        <f t="shared" si="2"/>
        <v>2</v>
      </c>
      <c r="AA45" s="61" t="s">
        <v>1925</v>
      </c>
      <c r="AB45" s="61" t="s">
        <v>76</v>
      </c>
      <c r="AC45" s="84" t="s">
        <v>2018</v>
      </c>
      <c r="AD45" s="84" t="s">
        <v>1994</v>
      </c>
      <c r="AE45" s="61"/>
    </row>
    <row r="46" spans="1:31" ht="73.5" x14ac:dyDescent="0.45">
      <c r="A46" s="61" t="s">
        <v>2020</v>
      </c>
      <c r="B46" s="61" t="s">
        <v>2021</v>
      </c>
      <c r="C46" s="65"/>
      <c r="D46" s="61"/>
      <c r="E46" s="61" t="s">
        <v>30</v>
      </c>
      <c r="F46" s="70" t="e">
        <f>VLOOKUP(B46,'[2]Power '!$A:$C,3,0)</f>
        <v>#N/A</v>
      </c>
      <c r="G46" s="70" t="e">
        <f>VLOOKUP(B46,'[2]Power '!$A:$D,4,0)</f>
        <v>#N/A</v>
      </c>
      <c r="H46" s="67">
        <v>46174.494421296295</v>
      </c>
      <c r="I46" s="75">
        <f t="shared" ca="1" si="0"/>
        <v>6.1742711805563886</v>
      </c>
      <c r="J46" s="61"/>
      <c r="K46" s="61"/>
      <c r="L46" s="61"/>
      <c r="M46" s="61" t="s">
        <v>31</v>
      </c>
      <c r="N46" s="61" t="s">
        <v>2024</v>
      </c>
      <c r="O46" s="61"/>
      <c r="P46" s="61"/>
      <c r="Q46" s="61"/>
      <c r="R46" s="61" t="s">
        <v>2023</v>
      </c>
      <c r="S46" s="61" t="s">
        <v>40</v>
      </c>
      <c r="T46" s="61" t="s">
        <v>1898</v>
      </c>
      <c r="U46" s="61" t="s">
        <v>1898</v>
      </c>
      <c r="V46" s="61" t="e">
        <f>VLOOKUP(B46,[2]Overall!$A:$D,4,0)</f>
        <v>#N/A</v>
      </c>
      <c r="W46" s="61" t="e">
        <f>VLOOKUP(B46,[3]Sheet1!$A:$B,2,0)</f>
        <v>#N/A</v>
      </c>
      <c r="X46" s="88" t="str">
        <f>LEFT(B47,3)</f>
        <v>NRO</v>
      </c>
      <c r="Y46" s="80" t="str">
        <f t="shared" ca="1" si="1"/>
        <v>T&gt;72H</v>
      </c>
      <c r="Z46" s="61">
        <f t="shared" si="2"/>
        <v>1</v>
      </c>
      <c r="AA46" s="61" t="s">
        <v>1925</v>
      </c>
      <c r="AB46" s="61" t="s">
        <v>76</v>
      </c>
      <c r="AC46" s="84" t="s">
        <v>2018</v>
      </c>
      <c r="AD46" s="84" t="s">
        <v>1994</v>
      </c>
      <c r="AE46" s="61"/>
    </row>
    <row r="47" spans="1:31" ht="73.5" x14ac:dyDescent="0.45">
      <c r="A47" s="61" t="s">
        <v>1939</v>
      </c>
      <c r="B47" s="61" t="s">
        <v>1940</v>
      </c>
      <c r="C47" s="65"/>
      <c r="D47" s="61"/>
      <c r="E47" s="61" t="s">
        <v>37</v>
      </c>
      <c r="F47" s="70" t="str">
        <f>VLOOKUP(B47,'[2]Power '!$A:$C,3,0)</f>
        <v>TowerCo</v>
      </c>
      <c r="G47" s="70" t="str">
        <f>VLOOKUP(B47,'[2]Power '!$A:$D,4,0)</f>
        <v>Vandalized</v>
      </c>
      <c r="H47" s="67">
        <v>46174.506562499999</v>
      </c>
      <c r="I47" s="75">
        <f t="shared" ca="1" si="0"/>
        <v>6.1621299768521567</v>
      </c>
      <c r="J47" s="61"/>
      <c r="K47" s="61"/>
      <c r="L47" s="61"/>
      <c r="M47" s="61" t="s">
        <v>38</v>
      </c>
      <c r="N47" s="61" t="s">
        <v>1942</v>
      </c>
      <c r="O47" s="61"/>
      <c r="P47" s="61"/>
      <c r="Q47" s="61"/>
      <c r="R47" s="61" t="s">
        <v>2025</v>
      </c>
      <c r="S47" s="61" t="s">
        <v>32</v>
      </c>
      <c r="T47" s="61" t="s">
        <v>1898</v>
      </c>
      <c r="U47" s="61" t="s">
        <v>1898</v>
      </c>
      <c r="V47" s="61" t="str">
        <f>VLOOKUP(B47,[2]Overall!$A:$D,4,0)</f>
        <v xml:space="preserve">I-ENG </v>
      </c>
      <c r="W47" s="61" t="str">
        <f>VLOOKUP(B47,[3]Sheet1!$A:$B,2,0)</f>
        <v>Widikum</v>
      </c>
      <c r="X47" s="88" t="str">
        <f>LEFT(B48,3)</f>
        <v>EST</v>
      </c>
      <c r="Y47" s="80" t="str">
        <f t="shared" ca="1" si="1"/>
        <v>T&gt;72H</v>
      </c>
      <c r="Z47" s="61">
        <f t="shared" si="2"/>
        <v>1</v>
      </c>
      <c r="AA47" s="61" t="s">
        <v>1925</v>
      </c>
      <c r="AB47" s="61" t="s">
        <v>1554</v>
      </c>
      <c r="AC47" s="84" t="s">
        <v>2018</v>
      </c>
      <c r="AD47" s="84" t="s">
        <v>1994</v>
      </c>
      <c r="AE47" s="61"/>
    </row>
    <row r="48" spans="1:31" ht="189.5" x14ac:dyDescent="0.45">
      <c r="A48" s="61" t="s">
        <v>1838</v>
      </c>
      <c r="B48" s="61" t="s">
        <v>1839</v>
      </c>
      <c r="C48" s="65"/>
      <c r="D48" s="61"/>
      <c r="E48" s="61" t="s">
        <v>35</v>
      </c>
      <c r="F48" s="70" t="str">
        <f>VLOOKUP(B48,'[2]Power '!$A:$C,3,0)</f>
        <v>ESCO</v>
      </c>
      <c r="G48" s="70" t="str">
        <f>VLOOKUP(B48,'[2]Power '!$A:$D,4,0)</f>
        <v>Good Grid + Solar + GE</v>
      </c>
      <c r="H48" s="67">
        <v>46170.251458333332</v>
      </c>
      <c r="I48" s="75">
        <f t="shared" ca="1" si="0"/>
        <v>10.417234143518726</v>
      </c>
      <c r="J48" s="61"/>
      <c r="K48" s="61"/>
      <c r="L48" s="61"/>
      <c r="M48" s="61" t="s">
        <v>31</v>
      </c>
      <c r="N48" s="61" t="s">
        <v>1842</v>
      </c>
      <c r="O48" s="61"/>
      <c r="P48" s="61"/>
      <c r="Q48" s="61"/>
      <c r="R48" s="61" t="s">
        <v>1997</v>
      </c>
      <c r="S48" s="61" t="s">
        <v>45</v>
      </c>
      <c r="T48" s="61" t="s">
        <v>1898</v>
      </c>
      <c r="U48" s="61" t="s">
        <v>1898</v>
      </c>
      <c r="V48" s="61" t="str">
        <f>VLOOKUP(B48,[2]Overall!$A:$D,4,0)</f>
        <v>TELEINFRA CENTRE</v>
      </c>
      <c r="W48" s="61" t="str">
        <f>VLOOKUP(B48,[3]Sheet1!$A:$B,2,0)</f>
        <v>Yokadouma</v>
      </c>
      <c r="X48" s="88" t="e">
        <f>LEFT(#REF!,3)</f>
        <v>#REF!</v>
      </c>
      <c r="Y48" s="80" t="str">
        <f t="shared" ca="1" si="1"/>
        <v>T&gt;72H</v>
      </c>
      <c r="Z48" s="61">
        <f t="shared" si="2"/>
        <v>3</v>
      </c>
      <c r="AA48" s="61" t="s">
        <v>1925</v>
      </c>
      <c r="AB48" s="61" t="s">
        <v>1554</v>
      </c>
      <c r="AC48" s="84" t="s">
        <v>2018</v>
      </c>
      <c r="AD48" s="84" t="s">
        <v>1994</v>
      </c>
      <c r="AE48" s="61"/>
    </row>
    <row r="49" spans="1:31" ht="88" x14ac:dyDescent="0.45">
      <c r="A49" s="61" t="s">
        <v>1828</v>
      </c>
      <c r="B49" s="61" t="s">
        <v>1829</v>
      </c>
      <c r="C49" s="65"/>
      <c r="D49" s="61"/>
      <c r="E49" s="61" t="s">
        <v>39</v>
      </c>
      <c r="F49" s="70" t="str">
        <f>VLOOKUP(B49,'[2]Power '!$A:$C,3,0)</f>
        <v>TowerCo</v>
      </c>
      <c r="G49" s="70" t="str">
        <f>VLOOKUP(B49,'[2]Power '!$A:$D,4,0)</f>
        <v>Solar-Grid-Gen</v>
      </c>
      <c r="H49" s="67">
        <v>46168.536261574074</v>
      </c>
      <c r="I49" s="75">
        <f t="shared" ca="1" si="0"/>
        <v>12.132430902776832</v>
      </c>
      <c r="J49" s="61"/>
      <c r="K49" s="61"/>
      <c r="L49" s="61"/>
      <c r="M49" s="61" t="s">
        <v>1712</v>
      </c>
      <c r="N49" s="61" t="s">
        <v>1830</v>
      </c>
      <c r="O49" s="61"/>
      <c r="P49" s="61"/>
      <c r="Q49" s="61"/>
      <c r="R49" s="61" t="s">
        <v>1934</v>
      </c>
      <c r="S49" s="61" t="s">
        <v>40</v>
      </c>
      <c r="T49" s="61" t="s">
        <v>1898</v>
      </c>
      <c r="U49" s="61" t="s">
        <v>1898</v>
      </c>
      <c r="V49" s="61" t="str">
        <f>VLOOKUP(B49,[2]Overall!$A:$D,4,0)</f>
        <v>TELEINFRA NORD</v>
      </c>
      <c r="W49" s="61" t="str">
        <f>VLOOKUP(B49,[3]Sheet1!$A:$B,2,0)</f>
        <v>Zigague</v>
      </c>
      <c r="X49" s="88" t="str">
        <f>LEFT(B50,3)</f>
        <v/>
      </c>
      <c r="Y49" s="80" t="str">
        <f t="shared" ca="1" si="1"/>
        <v>T&gt;72H</v>
      </c>
      <c r="Z49" s="61">
        <f t="shared" si="2"/>
        <v>1</v>
      </c>
      <c r="AA49" s="61" t="s">
        <v>1925</v>
      </c>
      <c r="AB49" s="61" t="s">
        <v>1554</v>
      </c>
      <c r="AC49" s="84" t="s">
        <v>2018</v>
      </c>
      <c r="AD49" s="84" t="s">
        <v>1994</v>
      </c>
      <c r="AE49" s="61"/>
    </row>
  </sheetData>
  <autoFilter ref="A1:AE49" xr:uid="{798069BD-9946-482B-B380-A12FFD7478F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BD9D-97A4-4E77-9C50-E55662058626}">
  <sheetPr codeName="Sheet32">
    <tabColor rgb="FFFFFF00"/>
  </sheetPr>
  <dimension ref="A1:AE47"/>
  <sheetViews>
    <sheetView zoomScale="70" zoomScaleNormal="70" workbookViewId="0">
      <pane xSplit="6" topLeftCell="N1" activePane="topRight" state="frozen"/>
      <selection activeCell="AB4" sqref="AB4"/>
      <selection pane="topRight" activeCell="R16" sqref="R16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0.0898437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88" x14ac:dyDescent="0.45">
      <c r="A2" s="61" t="s">
        <v>1733</v>
      </c>
      <c r="B2" s="61" t="s">
        <v>1734</v>
      </c>
      <c r="C2" s="65"/>
      <c r="D2" s="61"/>
      <c r="E2" s="61" t="s">
        <v>1749</v>
      </c>
      <c r="F2" s="70" t="e">
        <f>VLOOKUP(B2,'[2]Power '!$A:$C,3,0)</f>
        <v>#N/A</v>
      </c>
      <c r="G2" s="70" t="e">
        <f>VLOOKUP(B2,'[2]Power '!$A:$D,4,0)</f>
        <v>#N/A</v>
      </c>
      <c r="H2" s="67">
        <v>46161.849050925928</v>
      </c>
      <c r="I2" s="75">
        <f ca="1">NOW()-H2</f>
        <v>18.819641550922825</v>
      </c>
      <c r="J2" s="61"/>
      <c r="K2" s="61"/>
      <c r="L2" s="61"/>
      <c r="M2" s="61" t="s">
        <v>1750</v>
      </c>
      <c r="N2" s="61" t="s">
        <v>1751</v>
      </c>
      <c r="O2" s="61"/>
      <c r="P2" s="61"/>
      <c r="Q2" s="61"/>
      <c r="R2" s="61" t="s">
        <v>2008</v>
      </c>
      <c r="S2" s="61" t="s">
        <v>84</v>
      </c>
      <c r="T2" s="61" t="s">
        <v>1898</v>
      </c>
      <c r="U2" s="61" t="s">
        <v>1898</v>
      </c>
      <c r="V2" s="61" t="str">
        <f>VLOOKUP(B2,[2]Overall!$A:$D,4,0)</f>
        <v>TELEINFRA CENTRE</v>
      </c>
      <c r="W2" s="61" t="str">
        <f>VLOOKUP(B2,[3]Sheet1!$A:$B,2,0)</f>
        <v>Batchenga</v>
      </c>
      <c r="X2" s="88" t="str">
        <f>LEFT(B5,3)</f>
        <v>ADM</v>
      </c>
      <c r="Y2" s="80" t="str">
        <f t="shared" ref="Y2:Y15" ca="1" si="0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15" si="1">IF(OR(E2="", E2="affected_cells=unknown"), "", LEN(E2)-LEN(SUBSTITUTE(E2, ",", "")) + LEN(E2)-LEN(SUBSTITUTE(E2, ";", "")) + 1)</f>
        <v>1</v>
      </c>
      <c r="AA2" s="61" t="s">
        <v>1566</v>
      </c>
      <c r="AB2" s="84" t="s">
        <v>1554</v>
      </c>
      <c r="AC2" s="84" t="s">
        <v>2041</v>
      </c>
      <c r="AD2" s="84" t="s">
        <v>1994</v>
      </c>
      <c r="AE2" s="61"/>
    </row>
    <row r="3" spans="1:31" ht="88" x14ac:dyDescent="0.45">
      <c r="A3" s="61" t="s">
        <v>1733</v>
      </c>
      <c r="B3" s="61" t="s">
        <v>1734</v>
      </c>
      <c r="C3" s="65"/>
      <c r="D3" s="61"/>
      <c r="E3" s="61" t="s">
        <v>1752</v>
      </c>
      <c r="F3" s="70" t="e">
        <f>VLOOKUP(B3,'[2]Power '!$A:$C,3,0)</f>
        <v>#N/A</v>
      </c>
      <c r="G3" s="70" t="e">
        <f>VLOOKUP(B3,'[2]Power '!$A:$D,4,0)</f>
        <v>#N/A</v>
      </c>
      <c r="H3" s="67">
        <v>46161.849050925928</v>
      </c>
      <c r="I3" s="75">
        <f t="shared" ref="I3:I47" ca="1" si="2">NOW()-H3</f>
        <v>18.819641550922825</v>
      </c>
      <c r="J3" s="61"/>
      <c r="K3" s="61"/>
      <c r="L3" s="61"/>
      <c r="M3" s="61" t="s">
        <v>1750</v>
      </c>
      <c r="N3" s="61" t="s">
        <v>1751</v>
      </c>
      <c r="O3" s="61"/>
      <c r="P3" s="61"/>
      <c r="Q3" s="61"/>
      <c r="R3" s="61" t="s">
        <v>2008</v>
      </c>
      <c r="S3" s="61" t="s">
        <v>84</v>
      </c>
      <c r="T3" s="61" t="s">
        <v>1898</v>
      </c>
      <c r="U3" s="61" t="s">
        <v>1898</v>
      </c>
      <c r="V3" s="61" t="str">
        <f>VLOOKUP(B3,[2]Overall!$A:$D,4,0)</f>
        <v>TELEINFRA CENTRE</v>
      </c>
      <c r="W3" s="61" t="str">
        <f>VLOOKUP(B3,[3]Sheet1!$A:$B,2,0)</f>
        <v>Batchenga</v>
      </c>
      <c r="X3" s="88" t="str">
        <f t="shared" ref="X3:X44" si="3">LEFT(B6,3)</f>
        <v>NRO</v>
      </c>
      <c r="Y3" s="80" t="str">
        <f t="shared" ca="1" si="0"/>
        <v>T&gt;72H</v>
      </c>
      <c r="Z3" s="61">
        <f t="shared" si="1"/>
        <v>1</v>
      </c>
      <c r="AA3" s="61" t="s">
        <v>1566</v>
      </c>
      <c r="AB3" s="84" t="s">
        <v>1554</v>
      </c>
      <c r="AC3" s="84" t="s">
        <v>2041</v>
      </c>
      <c r="AD3" s="84" t="s">
        <v>1994</v>
      </c>
      <c r="AE3" s="61"/>
    </row>
    <row r="4" spans="1:31" ht="88" x14ac:dyDescent="0.45">
      <c r="A4" s="61" t="s">
        <v>1733</v>
      </c>
      <c r="B4" s="61" t="s">
        <v>1734</v>
      </c>
      <c r="C4" s="65"/>
      <c r="D4" s="61"/>
      <c r="E4" s="61" t="s">
        <v>1753</v>
      </c>
      <c r="F4" s="70" t="e">
        <f>VLOOKUP(B4,'[2]Power '!$A:$C,3,0)</f>
        <v>#N/A</v>
      </c>
      <c r="G4" s="70" t="e">
        <f>VLOOKUP(B4,'[2]Power '!$A:$D,4,0)</f>
        <v>#N/A</v>
      </c>
      <c r="H4" s="67">
        <v>46161.849050925928</v>
      </c>
      <c r="I4" s="75">
        <f t="shared" ca="1" si="2"/>
        <v>18.819641550922825</v>
      </c>
      <c r="J4" s="61"/>
      <c r="K4" s="61"/>
      <c r="L4" s="61"/>
      <c r="M4" s="61" t="s">
        <v>1750</v>
      </c>
      <c r="N4" s="61" t="s">
        <v>1751</v>
      </c>
      <c r="O4" s="61"/>
      <c r="P4" s="61"/>
      <c r="Q4" s="61"/>
      <c r="R4" s="61" t="s">
        <v>2008</v>
      </c>
      <c r="S4" s="61" t="s">
        <v>84</v>
      </c>
      <c r="T4" s="61" t="s">
        <v>1898</v>
      </c>
      <c r="U4" s="61" t="s">
        <v>1898</v>
      </c>
      <c r="V4" s="61" t="str">
        <f>VLOOKUP(B4,[2]Overall!$A:$D,4,0)</f>
        <v>TELEINFRA CENTRE</v>
      </c>
      <c r="W4" s="61" t="str">
        <f>VLOOKUP(B4,[3]Sheet1!$A:$B,2,0)</f>
        <v>Batchenga</v>
      </c>
      <c r="X4" s="88" t="str">
        <f t="shared" si="3"/>
        <v>CTR</v>
      </c>
      <c r="Y4" s="80" t="str">
        <f t="shared" ca="1" si="0"/>
        <v>T&gt;72H</v>
      </c>
      <c r="Z4" s="61">
        <f t="shared" si="1"/>
        <v>1</v>
      </c>
      <c r="AA4" s="61" t="s">
        <v>1566</v>
      </c>
      <c r="AB4" s="84" t="s">
        <v>1554</v>
      </c>
      <c r="AC4" s="84" t="s">
        <v>2041</v>
      </c>
      <c r="AD4" s="84" t="s">
        <v>1994</v>
      </c>
      <c r="AE4" s="61"/>
    </row>
    <row r="5" spans="1:31" ht="378" x14ac:dyDescent="0.45">
      <c r="A5" s="61" t="s">
        <v>1710</v>
      </c>
      <c r="B5" s="61" t="s">
        <v>1711</v>
      </c>
      <c r="C5" s="65"/>
      <c r="D5" s="61"/>
      <c r="E5" s="61" t="s">
        <v>49</v>
      </c>
      <c r="F5" s="70" t="str">
        <f>VLOOKUP(B5,'[2]Power '!$A:$C,3,0)</f>
        <v>TowerCo</v>
      </c>
      <c r="G5" s="70" t="str">
        <f>VLOOKUP(B5,'[2]Power '!$A:$D,4,0)</f>
        <v>Solar-Gen</v>
      </c>
      <c r="H5" s="67">
        <v>46163.500115740739</v>
      </c>
      <c r="I5" s="75">
        <f t="shared" ca="1" si="2"/>
        <v>17.1685767361123</v>
      </c>
      <c r="J5" s="61"/>
      <c r="K5" s="61"/>
      <c r="L5" s="61"/>
      <c r="M5" s="61" t="s">
        <v>38</v>
      </c>
      <c r="N5" s="61" t="s">
        <v>1714</v>
      </c>
      <c r="O5" s="61"/>
      <c r="P5" s="61"/>
      <c r="Q5" s="61"/>
      <c r="R5" s="61" t="s">
        <v>2010</v>
      </c>
      <c r="S5" s="61" t="s">
        <v>50</v>
      </c>
      <c r="T5" s="61" t="s">
        <v>1688</v>
      </c>
      <c r="U5" s="61" t="s">
        <v>1688</v>
      </c>
      <c r="V5" s="61" t="str">
        <f>VLOOKUP(B5,[2]Overall!$A:$D,4,0)</f>
        <v>TELEINFRA NORD</v>
      </c>
      <c r="W5" s="61" t="str">
        <f>VLOOKUP(B5,[3]Sheet1!$A:$B,2,0)</f>
        <v>Martap</v>
      </c>
      <c r="X5" s="88" t="str">
        <f t="shared" si="3"/>
        <v>CTR</v>
      </c>
      <c r="Y5" s="80" t="str">
        <f t="shared" ca="1" si="0"/>
        <v>T&gt;72H</v>
      </c>
      <c r="Z5" s="61">
        <f t="shared" si="1"/>
        <v>1</v>
      </c>
      <c r="AA5" s="61" t="s">
        <v>1566</v>
      </c>
      <c r="AB5" s="84" t="s">
        <v>1554</v>
      </c>
      <c r="AC5" s="84" t="s">
        <v>2041</v>
      </c>
      <c r="AD5" s="84" t="s">
        <v>1994</v>
      </c>
      <c r="AE5" s="61"/>
    </row>
    <row r="6" spans="1:31" ht="409.6" x14ac:dyDescent="0.45">
      <c r="A6" s="61" t="s">
        <v>1624</v>
      </c>
      <c r="B6" s="61" t="s">
        <v>1625</v>
      </c>
      <c r="C6" s="65"/>
      <c r="D6" s="61"/>
      <c r="E6" s="61" t="s">
        <v>1709</v>
      </c>
      <c r="F6" s="70" t="str">
        <f>VLOOKUP(B6,'[2]Power '!$A:$C,3,0)</f>
        <v>TowerCo</v>
      </c>
      <c r="G6" s="70" t="str">
        <f>VLOOKUP(B6,'[2]Power '!$A:$D,4,0)</f>
        <v>Grid-Gen</v>
      </c>
      <c r="H6" s="67">
        <v>46163.574861111112</v>
      </c>
      <c r="I6" s="75">
        <f t="shared" ca="1" si="2"/>
        <v>17.093831365738879</v>
      </c>
      <c r="J6" s="61"/>
      <c r="K6" s="61"/>
      <c r="L6" s="61"/>
      <c r="M6" s="61" t="s">
        <v>33</v>
      </c>
      <c r="N6" s="61" t="s">
        <v>1626</v>
      </c>
      <c r="O6" s="61"/>
      <c r="P6" s="61"/>
      <c r="Q6" s="61"/>
      <c r="R6" s="61" t="s">
        <v>1998</v>
      </c>
      <c r="S6" s="61" t="s">
        <v>32</v>
      </c>
      <c r="T6" s="61" t="s">
        <v>1900</v>
      </c>
      <c r="U6" s="61" t="s">
        <v>1900</v>
      </c>
      <c r="V6" s="61" t="str">
        <f>VLOOKUP(B6,[2]Overall!$A:$D,4,0)</f>
        <v xml:space="preserve">I-ENG </v>
      </c>
      <c r="W6" s="61" t="str">
        <f>VLOOKUP(B6,[3]Sheet1!$A:$B,2,0)</f>
        <v>Kembong</v>
      </c>
      <c r="X6" s="88" t="str">
        <f t="shared" si="3"/>
        <v>EXN</v>
      </c>
      <c r="Y6" s="80" t="str">
        <f t="shared" ca="1" si="0"/>
        <v>T&gt;72H</v>
      </c>
      <c r="Z6" s="61">
        <f t="shared" si="1"/>
        <v>2</v>
      </c>
      <c r="AA6" s="61" t="s">
        <v>1566</v>
      </c>
      <c r="AB6" s="84" t="s">
        <v>1554</v>
      </c>
      <c r="AC6" s="84" t="s">
        <v>2041</v>
      </c>
      <c r="AD6" s="84" t="s">
        <v>1994</v>
      </c>
      <c r="AE6" s="61"/>
    </row>
    <row r="7" spans="1:31" ht="88" x14ac:dyDescent="0.45">
      <c r="A7" s="61" t="s">
        <v>1783</v>
      </c>
      <c r="B7" s="61" t="s">
        <v>1784</v>
      </c>
      <c r="C7" s="65"/>
      <c r="D7" s="61"/>
      <c r="E7" s="61" t="s">
        <v>1785</v>
      </c>
      <c r="F7" s="70" t="str">
        <f>VLOOKUP(B7,'[2]Power '!$A:$C,3,0)</f>
        <v>TowerCo</v>
      </c>
      <c r="G7" s="70" t="str">
        <f>VLOOKUP(B7,'[2]Power '!$A:$D,4,0)</f>
        <v>Solar-Gen</v>
      </c>
      <c r="H7" s="67">
        <v>46167.751979166664</v>
      </c>
      <c r="I7" s="75">
        <f t="shared" ca="1" si="2"/>
        <v>12.916713310187333</v>
      </c>
      <c r="J7" s="61"/>
      <c r="K7" s="61"/>
      <c r="L7" s="61"/>
      <c r="M7" s="61" t="s">
        <v>1605</v>
      </c>
      <c r="N7" s="61" t="s">
        <v>1786</v>
      </c>
      <c r="O7" s="61"/>
      <c r="P7" s="61"/>
      <c r="Q7" s="61"/>
      <c r="R7" s="61" t="s">
        <v>2014</v>
      </c>
      <c r="S7" s="61" t="s">
        <v>71</v>
      </c>
      <c r="T7" s="61" t="s">
        <v>1895</v>
      </c>
      <c r="U7" s="61" t="s">
        <v>1896</v>
      </c>
      <c r="V7" s="61" t="str">
        <f>VLOOKUP(B7,[2]Overall!$A:$D,4,0)</f>
        <v>TELEINFRA CENTRE</v>
      </c>
      <c r="W7" s="61" t="str">
        <f>VLOOKUP(B7,[3]Sheet1!$A:$B,2,0)</f>
        <v>Song-Bong</v>
      </c>
      <c r="X7" s="88" t="str">
        <f t="shared" si="3"/>
        <v>EXN</v>
      </c>
      <c r="Y7" s="80" t="str">
        <f t="shared" ca="1" si="0"/>
        <v>T&gt;72H</v>
      </c>
      <c r="Z7" s="61">
        <f t="shared" si="1"/>
        <v>4</v>
      </c>
      <c r="AA7" s="61" t="s">
        <v>1566</v>
      </c>
      <c r="AB7" s="84" t="s">
        <v>1554</v>
      </c>
      <c r="AC7" s="84" t="s">
        <v>2041</v>
      </c>
      <c r="AD7" s="84" t="s">
        <v>1994</v>
      </c>
      <c r="AE7" s="61"/>
    </row>
    <row r="8" spans="1:31" ht="88" x14ac:dyDescent="0.45">
      <c r="A8" s="61" t="s">
        <v>1783</v>
      </c>
      <c r="B8" s="61" t="s">
        <v>1784</v>
      </c>
      <c r="C8" s="65"/>
      <c r="D8" s="61"/>
      <c r="E8" s="61" t="s">
        <v>1787</v>
      </c>
      <c r="F8" s="70" t="str">
        <f>VLOOKUP(B8,'[2]Power '!$A:$C,3,0)</f>
        <v>TowerCo</v>
      </c>
      <c r="G8" s="70" t="str">
        <f>VLOOKUP(B8,'[2]Power '!$A:$D,4,0)</f>
        <v>Solar-Gen</v>
      </c>
      <c r="H8" s="67">
        <v>46167.766516203701</v>
      </c>
      <c r="I8" s="75">
        <f t="shared" ca="1" si="2"/>
        <v>12.902176273149962</v>
      </c>
      <c r="J8" s="61"/>
      <c r="K8" s="61"/>
      <c r="L8" s="61"/>
      <c r="M8" s="61" t="s">
        <v>1605</v>
      </c>
      <c r="N8" s="61" t="s">
        <v>1788</v>
      </c>
      <c r="O8" s="61"/>
      <c r="P8" s="61"/>
      <c r="Q8" s="61"/>
      <c r="R8" s="61" t="s">
        <v>2014</v>
      </c>
      <c r="S8" s="61" t="s">
        <v>71</v>
      </c>
      <c r="T8" s="61" t="s">
        <v>1895</v>
      </c>
      <c r="U8" s="61" t="s">
        <v>1896</v>
      </c>
      <c r="V8" s="61" t="str">
        <f>VLOOKUP(B8,[2]Overall!$A:$D,4,0)</f>
        <v>TELEINFRA CENTRE</v>
      </c>
      <c r="W8" s="61" t="str">
        <f>VLOOKUP(B8,[3]Sheet1!$A:$B,2,0)</f>
        <v>Song-Bong</v>
      </c>
      <c r="X8" s="88" t="str">
        <f t="shared" si="3"/>
        <v>EXN</v>
      </c>
      <c r="Y8" s="80" t="str">
        <f t="shared" ca="1" si="0"/>
        <v>T&gt;72H</v>
      </c>
      <c r="Z8" s="61">
        <f t="shared" si="1"/>
        <v>2</v>
      </c>
      <c r="AA8" s="61" t="s">
        <v>1566</v>
      </c>
      <c r="AB8" s="84" t="s">
        <v>1554</v>
      </c>
      <c r="AC8" s="84" t="s">
        <v>2041</v>
      </c>
      <c r="AD8" s="84" t="s">
        <v>1994</v>
      </c>
      <c r="AE8" s="61"/>
    </row>
    <row r="9" spans="1:31" ht="102.5" x14ac:dyDescent="0.45">
      <c r="A9" s="61" t="s">
        <v>1913</v>
      </c>
      <c r="B9" s="61" t="s">
        <v>1914</v>
      </c>
      <c r="C9" s="65"/>
      <c r="D9" s="61"/>
      <c r="E9" s="61" t="s">
        <v>43</v>
      </c>
      <c r="F9" s="70" t="str">
        <f>VLOOKUP(B9,'[2]Power '!$A:$C,3,0)</f>
        <v>TowerCo</v>
      </c>
      <c r="G9" s="70" t="str">
        <f>VLOOKUP(B9,'[2]Power '!$A:$D,4,0)</f>
        <v>Gen Only</v>
      </c>
      <c r="H9" s="67">
        <v>46168.171053240738</v>
      </c>
      <c r="I9" s="75">
        <f t="shared" ca="1" si="2"/>
        <v>12.497639236113173</v>
      </c>
      <c r="J9" s="61"/>
      <c r="K9" s="61"/>
      <c r="L9" s="61"/>
      <c r="M9" s="61" t="s">
        <v>31</v>
      </c>
      <c r="N9" s="61" t="s">
        <v>1915</v>
      </c>
      <c r="O9" s="61"/>
      <c r="P9" s="61"/>
      <c r="Q9" s="61"/>
      <c r="R9" s="61" t="s">
        <v>2047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Dogba</v>
      </c>
      <c r="X9" s="88" t="str">
        <f t="shared" si="3"/>
        <v>SUO</v>
      </c>
      <c r="Y9" s="80" t="str">
        <f t="shared" ca="1" si="0"/>
        <v>T&gt;72H</v>
      </c>
      <c r="Z9" s="61">
        <f t="shared" si="1"/>
        <v>4</v>
      </c>
      <c r="AA9" s="61" t="s">
        <v>1566</v>
      </c>
      <c r="AB9" s="84" t="s">
        <v>1554</v>
      </c>
      <c r="AC9" s="84" t="s">
        <v>2041</v>
      </c>
      <c r="AD9" s="84" t="s">
        <v>1994</v>
      </c>
      <c r="AE9" s="61"/>
    </row>
    <row r="10" spans="1:31" ht="102.5" x14ac:dyDescent="0.45">
      <c r="A10" s="61" t="s">
        <v>1913</v>
      </c>
      <c r="B10" s="61" t="s">
        <v>1914</v>
      </c>
      <c r="C10" s="65"/>
      <c r="D10" s="61"/>
      <c r="E10" s="61" t="s">
        <v>35</v>
      </c>
      <c r="F10" s="70" t="str">
        <f>VLOOKUP(B10,'[2]Power '!$A:$C,3,0)</f>
        <v>TowerCo</v>
      </c>
      <c r="G10" s="70" t="str">
        <f>VLOOKUP(B10,'[2]Power '!$A:$D,4,0)</f>
        <v>Gen Only</v>
      </c>
      <c r="H10" s="67">
        <v>46168.171064814815</v>
      </c>
      <c r="I10" s="75">
        <f t="shared" ca="1" si="2"/>
        <v>12.497627662036393</v>
      </c>
      <c r="J10" s="61"/>
      <c r="K10" s="61"/>
      <c r="L10" s="61"/>
      <c r="M10" s="61" t="s">
        <v>31</v>
      </c>
      <c r="N10" s="61" t="s">
        <v>1916</v>
      </c>
      <c r="O10" s="61"/>
      <c r="P10" s="61"/>
      <c r="Q10" s="61"/>
      <c r="R10" s="61" t="s">
        <v>2047</v>
      </c>
      <c r="S10" s="61" t="s">
        <v>40</v>
      </c>
      <c r="T10" s="61" t="s">
        <v>1898</v>
      </c>
      <c r="U10" s="61" t="s">
        <v>1898</v>
      </c>
      <c r="V10" s="61" t="str">
        <f>VLOOKUP(B10,[2]Overall!$A:$D,4,0)</f>
        <v>TELEINFRA NORD</v>
      </c>
      <c r="W10" s="61" t="str">
        <f>VLOOKUP(B10,[3]Sheet1!$A:$B,2,0)</f>
        <v>Dogba</v>
      </c>
      <c r="X10" s="88" t="str">
        <f t="shared" si="3"/>
        <v>NRO</v>
      </c>
      <c r="Y10" s="80" t="str">
        <f t="shared" ca="1" si="0"/>
        <v>T&gt;72H</v>
      </c>
      <c r="Z10" s="61">
        <f t="shared" si="1"/>
        <v>3</v>
      </c>
      <c r="AA10" s="61" t="s">
        <v>1566</v>
      </c>
      <c r="AB10" s="84" t="s">
        <v>1554</v>
      </c>
      <c r="AC10" s="84" t="s">
        <v>2041</v>
      </c>
      <c r="AD10" s="84" t="s">
        <v>1994</v>
      </c>
      <c r="AE10" s="61"/>
    </row>
    <row r="11" spans="1:31" ht="88" x14ac:dyDescent="0.45">
      <c r="A11" s="61" t="s">
        <v>1828</v>
      </c>
      <c r="B11" s="61" t="s">
        <v>1829</v>
      </c>
      <c r="C11" s="65"/>
      <c r="D11" s="61"/>
      <c r="E11" s="61" t="s">
        <v>39</v>
      </c>
      <c r="F11" s="70" t="str">
        <f>VLOOKUP(B11,'[2]Power '!$A:$C,3,0)</f>
        <v>TowerCo</v>
      </c>
      <c r="G11" s="70" t="str">
        <f>VLOOKUP(B11,'[2]Power '!$A:$D,4,0)</f>
        <v>Solar-Grid-Gen</v>
      </c>
      <c r="H11" s="67">
        <v>46168.536261574074</v>
      </c>
      <c r="I11" s="75">
        <f t="shared" ca="1" si="2"/>
        <v>12.132430902776832</v>
      </c>
      <c r="J11" s="61"/>
      <c r="K11" s="61"/>
      <c r="L11" s="61"/>
      <c r="M11" s="61" t="s">
        <v>1712</v>
      </c>
      <c r="N11" s="61" t="s">
        <v>1830</v>
      </c>
      <c r="O11" s="61"/>
      <c r="P11" s="61"/>
      <c r="Q11" s="61"/>
      <c r="R11" s="61" t="s">
        <v>1934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Zigague</v>
      </c>
      <c r="X11" s="88" t="str">
        <f t="shared" si="3"/>
        <v>EST</v>
      </c>
      <c r="Y11" s="80" t="str">
        <f t="shared" ca="1" si="0"/>
        <v>T&gt;72H</v>
      </c>
      <c r="Z11" s="61">
        <f t="shared" si="1"/>
        <v>1</v>
      </c>
      <c r="AA11" s="61" t="s">
        <v>1566</v>
      </c>
      <c r="AB11" s="84" t="s">
        <v>1554</v>
      </c>
      <c r="AC11" s="84" t="s">
        <v>2041</v>
      </c>
      <c r="AD11" s="84" t="s">
        <v>1994</v>
      </c>
      <c r="AE11" s="61"/>
    </row>
    <row r="12" spans="1:31" ht="117" x14ac:dyDescent="0.45">
      <c r="A12" s="61" t="s">
        <v>1834</v>
      </c>
      <c r="B12" s="61" t="s">
        <v>1835</v>
      </c>
      <c r="C12" s="65"/>
      <c r="D12" s="61"/>
      <c r="E12" s="61" t="s">
        <v>39</v>
      </c>
      <c r="F12" s="70" t="str">
        <f>VLOOKUP(B12,'[2]Power '!$A:$C,3,0)</f>
        <v>TowerCo</v>
      </c>
      <c r="G12" s="70" t="str">
        <f>VLOOKUP(B12,'[2]Power '!$A:$D,4,0)</f>
        <v>Grid-Gen</v>
      </c>
      <c r="H12" s="67">
        <v>46168.908518518518</v>
      </c>
      <c r="I12" s="75">
        <f t="shared" ca="1" si="2"/>
        <v>11.760173958333326</v>
      </c>
      <c r="J12" s="61"/>
      <c r="K12" s="61"/>
      <c r="L12" s="61"/>
      <c r="M12" s="61" t="s">
        <v>1836</v>
      </c>
      <c r="N12" s="61" t="s">
        <v>1837</v>
      </c>
      <c r="O12" s="61"/>
      <c r="P12" s="61"/>
      <c r="Q12" s="61"/>
      <c r="R12" s="61" t="s">
        <v>1966</v>
      </c>
      <c r="S12" s="61" t="s">
        <v>85</v>
      </c>
      <c r="T12" s="61" t="s">
        <v>1899</v>
      </c>
      <c r="U12" s="61" t="s">
        <v>1899</v>
      </c>
      <c r="V12" s="61" t="str">
        <f>VLOOKUP(B12,[2]Overall!$A:$D,4,0)</f>
        <v>H-TELI</v>
      </c>
      <c r="W12" s="61" t="str">
        <f>VLOOKUP(B12,[3]Sheet1!$A:$B,2,0)</f>
        <v>Ebonji</v>
      </c>
      <c r="X12" s="88" t="str">
        <f t="shared" si="3"/>
        <v>ADM</v>
      </c>
      <c r="Y12" s="80" t="str">
        <f t="shared" ca="1" si="0"/>
        <v>T&gt;72H</v>
      </c>
      <c r="Z12" s="61">
        <f t="shared" si="1"/>
        <v>1</v>
      </c>
      <c r="AA12" s="61" t="s">
        <v>1566</v>
      </c>
      <c r="AB12" s="84" t="s">
        <v>1554</v>
      </c>
      <c r="AC12" s="84" t="s">
        <v>2041</v>
      </c>
      <c r="AD12" s="84" t="s">
        <v>1994</v>
      </c>
      <c r="AE12" s="61"/>
    </row>
    <row r="13" spans="1:31" ht="146" x14ac:dyDescent="0.45">
      <c r="A13" s="61" t="s">
        <v>1776</v>
      </c>
      <c r="B13" s="61" t="s">
        <v>1777</v>
      </c>
      <c r="C13" s="65"/>
      <c r="D13" s="61"/>
      <c r="E13" s="61" t="s">
        <v>35</v>
      </c>
      <c r="F13" s="70" t="str">
        <f>VLOOKUP(B13,'[2]Power '!$A:$C,3,0)</f>
        <v>TowerCo</v>
      </c>
      <c r="G13" s="70" t="str">
        <f>VLOOKUP(B13,'[2]Power '!$A:$D,4,0)</f>
        <v>Hybrid-Gen</v>
      </c>
      <c r="H13" s="67">
        <v>46169.530451388891</v>
      </c>
      <c r="I13" s="75">
        <f t="shared" ca="1" si="2"/>
        <v>11.138241087959614</v>
      </c>
      <c r="J13" s="61"/>
      <c r="K13" s="61"/>
      <c r="L13" s="61"/>
      <c r="M13" s="61" t="s">
        <v>31</v>
      </c>
      <c r="N13" s="61" t="s">
        <v>1778</v>
      </c>
      <c r="O13" s="61"/>
      <c r="P13" s="61"/>
      <c r="Q13" s="61"/>
      <c r="R13" s="61" t="s">
        <v>1999</v>
      </c>
      <c r="S13" s="61" t="s">
        <v>32</v>
      </c>
      <c r="T13" s="61" t="s">
        <v>1898</v>
      </c>
      <c r="U13" s="61" t="s">
        <v>1898</v>
      </c>
      <c r="V13" s="61" t="str">
        <f>VLOOKUP(B13,[2]Overall!$A:$D,4,0)</f>
        <v xml:space="preserve">I-ENG </v>
      </c>
      <c r="W13" s="61" t="str">
        <f>VLOOKUP(B13,[3]Sheet1!$A:$B,2,0)</f>
        <v>Bafmeng</v>
      </c>
      <c r="X13" s="88" t="str">
        <f t="shared" si="3"/>
        <v>NRD</v>
      </c>
      <c r="Y13" s="80" t="str">
        <f t="shared" ca="1" si="0"/>
        <v>T&gt;72H</v>
      </c>
      <c r="Z13" s="61">
        <f t="shared" si="1"/>
        <v>3</v>
      </c>
      <c r="AA13" s="61" t="s">
        <v>1566</v>
      </c>
      <c r="AB13" s="84" t="s">
        <v>1554</v>
      </c>
      <c r="AC13" s="84" t="s">
        <v>2041</v>
      </c>
      <c r="AD13" s="84" t="s">
        <v>1994</v>
      </c>
      <c r="AE13" s="61"/>
    </row>
    <row r="14" spans="1:31" ht="204" x14ac:dyDescent="0.45">
      <c r="A14" s="61" t="s">
        <v>1838</v>
      </c>
      <c r="B14" s="61" t="s">
        <v>1839</v>
      </c>
      <c r="C14" s="65"/>
      <c r="D14" s="61"/>
      <c r="E14" s="61" t="s">
        <v>35</v>
      </c>
      <c r="F14" s="70" t="str">
        <f>VLOOKUP(B14,'[2]Power '!$A:$C,3,0)</f>
        <v>ESCO</v>
      </c>
      <c r="G14" s="70" t="str">
        <f>VLOOKUP(B14,'[2]Power '!$A:$D,4,0)</f>
        <v>Good Grid + Solar + GE</v>
      </c>
      <c r="H14" s="67">
        <v>46170.251458333332</v>
      </c>
      <c r="I14" s="75">
        <f t="shared" ca="1" si="2"/>
        <v>10.417234143518726</v>
      </c>
      <c r="J14" s="61"/>
      <c r="K14" s="61"/>
      <c r="L14" s="61"/>
      <c r="M14" s="61" t="s">
        <v>31</v>
      </c>
      <c r="N14" s="61" t="s">
        <v>1842</v>
      </c>
      <c r="O14" s="61"/>
      <c r="P14" s="61"/>
      <c r="Q14" s="61"/>
      <c r="R14" s="61" t="s">
        <v>2043</v>
      </c>
      <c r="S14" s="61" t="s">
        <v>45</v>
      </c>
      <c r="T14" s="61" t="s">
        <v>1898</v>
      </c>
      <c r="U14" s="61" t="s">
        <v>1898</v>
      </c>
      <c r="V14" s="61" t="str">
        <f>VLOOKUP(B14,[2]Overall!$A:$D,4,0)</f>
        <v>TELEINFRA CENTRE</v>
      </c>
      <c r="W14" s="61" t="str">
        <f>VLOOKUP(B14,[3]Sheet1!$A:$B,2,0)</f>
        <v>Yokadouma</v>
      </c>
      <c r="X14" s="88" t="str">
        <f t="shared" si="3"/>
        <v>NRO</v>
      </c>
      <c r="Y14" s="80" t="str">
        <f t="shared" ca="1" si="0"/>
        <v>T&gt;72H</v>
      </c>
      <c r="Z14" s="61">
        <f t="shared" si="1"/>
        <v>3</v>
      </c>
      <c r="AA14" s="61" t="s">
        <v>1566</v>
      </c>
      <c r="AB14" s="84" t="s">
        <v>1554</v>
      </c>
      <c r="AC14" s="84" t="s">
        <v>2041</v>
      </c>
      <c r="AD14" s="84" t="s">
        <v>1994</v>
      </c>
      <c r="AE14" s="61"/>
    </row>
    <row r="15" spans="1:31" ht="378" x14ac:dyDescent="0.45">
      <c r="A15" s="63" t="s">
        <v>1917</v>
      </c>
      <c r="B15" s="63" t="s">
        <v>1711</v>
      </c>
      <c r="C15" s="68"/>
      <c r="D15" s="63"/>
      <c r="E15" s="63" t="s">
        <v>49</v>
      </c>
      <c r="F15" s="71" t="str">
        <f>VLOOKUP(B15,'[2]Power '!$A:$C,3,0)</f>
        <v>TowerCo</v>
      </c>
      <c r="G15" s="71" t="str">
        <f>VLOOKUP(B15,'[2]Power '!$A:$D,4,0)</f>
        <v>Solar-Gen</v>
      </c>
      <c r="H15" s="69">
        <v>46170.731886574074</v>
      </c>
      <c r="I15" s="77">
        <f t="shared" ca="1" si="2"/>
        <v>9.9368059027765412</v>
      </c>
      <c r="J15" s="63"/>
      <c r="K15" s="63"/>
      <c r="L15" s="63"/>
      <c r="M15" s="63" t="s">
        <v>38</v>
      </c>
      <c r="N15" s="63" t="s">
        <v>1918</v>
      </c>
      <c r="O15" s="63"/>
      <c r="P15" s="63" t="s">
        <v>1906</v>
      </c>
      <c r="Q15" s="63"/>
      <c r="R15" s="63" t="s">
        <v>2010</v>
      </c>
      <c r="S15" s="63" t="s">
        <v>50</v>
      </c>
      <c r="T15" s="63" t="s">
        <v>1688</v>
      </c>
      <c r="U15" s="63" t="s">
        <v>1688</v>
      </c>
      <c r="V15" s="63" t="str">
        <f>VLOOKUP(B15,[2]Overall!$A:$D,4,0)</f>
        <v>TELEINFRA NORD</v>
      </c>
      <c r="W15" s="63" t="str">
        <f>VLOOKUP(B15,[3]Sheet1!$A:$B,2,0)</f>
        <v>Martap</v>
      </c>
      <c r="X15" s="89" t="str">
        <f t="shared" si="3"/>
        <v>EXN</v>
      </c>
      <c r="Y15" s="81" t="str">
        <f t="shared" ca="1" si="0"/>
        <v>T&gt;72H</v>
      </c>
      <c r="Z15" s="63">
        <f t="shared" si="1"/>
        <v>1</v>
      </c>
      <c r="AA15" s="63" t="s">
        <v>77</v>
      </c>
      <c r="AB15" s="85" t="s">
        <v>1554</v>
      </c>
      <c r="AC15" s="85" t="s">
        <v>2041</v>
      </c>
      <c r="AD15" s="85" t="s">
        <v>1994</v>
      </c>
      <c r="AE15" s="63"/>
    </row>
    <row r="16" spans="1:31" ht="102.5" x14ac:dyDescent="0.45">
      <c r="A16" s="63" t="s">
        <v>1843</v>
      </c>
      <c r="B16" s="63" t="s">
        <v>1844</v>
      </c>
      <c r="C16" s="68"/>
      <c r="D16" s="63"/>
      <c r="E16" s="63" t="s">
        <v>1879</v>
      </c>
      <c r="F16" s="71" t="str">
        <f>VLOOKUP(B16,'[2]Power '!$A:$C,3,0)</f>
        <v>TowerCo</v>
      </c>
      <c r="G16" s="71" t="str">
        <f>VLOOKUP(B16,'[2]Power '!$A:$D,4,0)</f>
        <v>Solar-Gen</v>
      </c>
      <c r="H16" s="69">
        <v>46170.776631944442</v>
      </c>
      <c r="I16" s="77">
        <f t="shared" ca="1" si="2"/>
        <v>9.8920605324092321</v>
      </c>
      <c r="J16" s="63"/>
      <c r="K16" s="63"/>
      <c r="L16" s="63"/>
      <c r="M16" s="63" t="s">
        <v>38</v>
      </c>
      <c r="N16" s="63" t="s">
        <v>1845</v>
      </c>
      <c r="O16" s="63"/>
      <c r="P16" s="63" t="s">
        <v>1906</v>
      </c>
      <c r="Q16" s="63"/>
      <c r="R16" s="63" t="s">
        <v>2005</v>
      </c>
      <c r="S16" s="63" t="s">
        <v>75</v>
      </c>
      <c r="T16" s="63" t="s">
        <v>1901</v>
      </c>
      <c r="U16" s="63" t="s">
        <v>1901</v>
      </c>
      <c r="V16" s="63" t="str">
        <f>VLOOKUP(B16,[2]Overall!$A:$D,4,0)</f>
        <v>TELEINFRA NORD</v>
      </c>
      <c r="W16" s="63" t="str">
        <f>VLOOKUP(B16,[3]Sheet1!$A:$B,2,0)</f>
        <v>Mayo-Nonde</v>
      </c>
      <c r="X16" s="89" t="str">
        <f t="shared" si="3"/>
        <v>ADM</v>
      </c>
      <c r="Y16" s="81" t="str">
        <f t="shared" ref="Y16:Y47" ca="1" si="4">IF(I16 &lt; 1/24, "T&lt;1H", IF(AND(I16&lt;2/24, I16&gt;1/24), "1H&lt;T&lt;2H", IF(AND(I16&lt;4/24, I16&gt;2/24), "2H&lt;T&lt;4H", IF(AND(I16&lt;8/24, I16&gt;4/24), "4H&lt;T&lt;8H", IF(AND(I16&lt;16/24, I16&gt;8/24), "8H&lt;T&lt;16H",IF(AND(I16&lt;24/24, I16&gt;16/24),"16H&lt;T&lt;24H", IF(AND(I16&lt;48/24, I16&gt;24/24),"24H&lt;T&lt;48H",IF(AND(I16&lt;72/24, I16&gt;24/24),"48H&lt;T&lt;72H", "T&gt;72H"))))))))</f>
        <v>T&gt;72H</v>
      </c>
      <c r="Z16" s="63">
        <f t="shared" ref="Z16:Z47" si="5">IF(OR(E16="", E16="affected_cells=unknown"), "", LEN(E16)-LEN(SUBSTITUTE(E16, ",", "")) + LEN(E16)-LEN(SUBSTITUTE(E16, ";", "")) + 1)</f>
        <v>3</v>
      </c>
      <c r="AA16" s="63" t="s">
        <v>77</v>
      </c>
      <c r="AB16" s="85" t="s">
        <v>1554</v>
      </c>
      <c r="AC16" s="85" t="s">
        <v>2041</v>
      </c>
      <c r="AD16" s="85" t="s">
        <v>1994</v>
      </c>
      <c r="AE16" s="63"/>
    </row>
    <row r="17" spans="1:31" ht="102.5" x14ac:dyDescent="0.45">
      <c r="A17" s="61" t="s">
        <v>1581</v>
      </c>
      <c r="B17" s="61" t="s">
        <v>1582</v>
      </c>
      <c r="C17" s="65"/>
      <c r="D17" s="61"/>
      <c r="E17" s="61" t="s">
        <v>1937</v>
      </c>
      <c r="F17" s="70" t="str">
        <f>VLOOKUP(B17,'[2]Power '!$A:$C,3,0)</f>
        <v>TowerCo</v>
      </c>
      <c r="G17" s="70" t="str">
        <f>VLOOKUP(B17,'[2]Power '!$A:$D,4,0)</f>
        <v>Grid-Gen</v>
      </c>
      <c r="H17" s="67">
        <v>46172.450324074074</v>
      </c>
      <c r="I17" s="75">
        <f t="shared" ca="1" si="2"/>
        <v>8.2183684027768322</v>
      </c>
      <c r="J17" s="61"/>
      <c r="K17" s="61"/>
      <c r="L17" s="61"/>
      <c r="M17" s="61" t="s">
        <v>41</v>
      </c>
      <c r="N17" s="61" t="s">
        <v>1938</v>
      </c>
      <c r="O17" s="61"/>
      <c r="P17" s="61"/>
      <c r="Q17" s="61"/>
      <c r="R17" s="61" t="s">
        <v>2000</v>
      </c>
      <c r="S17" s="61" t="s">
        <v>32</v>
      </c>
      <c r="T17" s="61" t="s">
        <v>1840</v>
      </c>
      <c r="U17" s="61" t="s">
        <v>1840</v>
      </c>
      <c r="V17" s="61" t="str">
        <f>VLOOKUP(B17,[2]Overall!$A:$D,4,0)</f>
        <v xml:space="preserve">I-ENG </v>
      </c>
      <c r="W17" s="61" t="str">
        <f>VLOOKUP(B17,[3]Sheet1!$A:$B,2,0)</f>
        <v>Batibo</v>
      </c>
      <c r="X17" s="88" t="str">
        <f t="shared" si="3"/>
        <v>ADM</v>
      </c>
      <c r="Y17" s="80" t="str">
        <f t="shared" ca="1" si="4"/>
        <v>T&gt;72H</v>
      </c>
      <c r="Z17" s="61">
        <f t="shared" si="5"/>
        <v>1</v>
      </c>
      <c r="AA17" s="61" t="s">
        <v>1566</v>
      </c>
      <c r="AB17" s="84" t="s">
        <v>1554</v>
      </c>
      <c r="AC17" s="84" t="s">
        <v>2041</v>
      </c>
      <c r="AD17" s="84" t="s">
        <v>1994</v>
      </c>
      <c r="AE17" s="61"/>
    </row>
    <row r="18" spans="1:31" ht="73.5" x14ac:dyDescent="0.45">
      <c r="A18" s="61" t="s">
        <v>1930</v>
      </c>
      <c r="B18" s="61" t="s">
        <v>1931</v>
      </c>
      <c r="C18" s="65"/>
      <c r="D18" s="61"/>
      <c r="E18" s="61" t="s">
        <v>34</v>
      </c>
      <c r="F18" s="70" t="str">
        <f>VLOOKUP(B18,'[2]Power '!$A:$C,3,0)</f>
        <v>TowerCo</v>
      </c>
      <c r="G18" s="70" t="str">
        <f>VLOOKUP(B18,'[2]Power '!$A:$D,4,0)</f>
        <v>Hybrid-Gen</v>
      </c>
      <c r="H18" s="67">
        <v>46172.534074074072</v>
      </c>
      <c r="I18" s="75">
        <f t="shared" ca="1" si="2"/>
        <v>8.1346184027788695</v>
      </c>
      <c r="J18" s="61"/>
      <c r="K18" s="61"/>
      <c r="L18" s="61"/>
      <c r="M18" s="61" t="s">
        <v>1929</v>
      </c>
      <c r="N18" s="61" t="s">
        <v>1932</v>
      </c>
      <c r="O18" s="61"/>
      <c r="P18" s="61"/>
      <c r="Q18" s="61"/>
      <c r="R18" s="61" t="s">
        <v>2048</v>
      </c>
      <c r="S18" s="61" t="s">
        <v>40</v>
      </c>
      <c r="T18" s="61" t="s">
        <v>1898</v>
      </c>
      <c r="U18" s="61" t="s">
        <v>1898</v>
      </c>
      <c r="V18" s="61" t="str">
        <f>VLOOKUP(B18,[2]Overall!$A:$D,4,0)</f>
        <v>TELEINFRA NORD</v>
      </c>
      <c r="W18" s="61" t="str">
        <f>VLOOKUP(B18,[3]Sheet1!$A:$B,2,0)</f>
        <v>Mazera</v>
      </c>
      <c r="X18" s="88" t="str">
        <f t="shared" si="3"/>
        <v>NRD</v>
      </c>
      <c r="Y18" s="80" t="str">
        <f t="shared" ca="1" si="4"/>
        <v>T&gt;72H</v>
      </c>
      <c r="Z18" s="61">
        <f t="shared" si="5"/>
        <v>1</v>
      </c>
      <c r="AA18" s="61" t="s">
        <v>1566</v>
      </c>
      <c r="AB18" s="84" t="s">
        <v>1554</v>
      </c>
      <c r="AC18" s="84" t="s">
        <v>2041</v>
      </c>
      <c r="AD18" s="84" t="s">
        <v>1994</v>
      </c>
      <c r="AE18" s="61"/>
    </row>
    <row r="19" spans="1:31" ht="131.5" x14ac:dyDescent="0.45">
      <c r="A19" s="61" t="s">
        <v>1920</v>
      </c>
      <c r="B19" s="61" t="s">
        <v>1921</v>
      </c>
      <c r="C19" s="65"/>
      <c r="D19" s="61"/>
      <c r="E19" s="61" t="s">
        <v>1922</v>
      </c>
      <c r="F19" s="70" t="str">
        <f>VLOOKUP(B19,'[2]Power '!$A:$C,3,0)</f>
        <v>TowerCo</v>
      </c>
      <c r="G19" s="70" t="str">
        <f>VLOOKUP(B19,'[2]Power '!$A:$D,4,0)</f>
        <v>Grid-Gen</v>
      </c>
      <c r="H19" s="67">
        <v>46172.580775462964</v>
      </c>
      <c r="I19" s="75">
        <f t="shared" ca="1" si="2"/>
        <v>8.0879170138869085</v>
      </c>
      <c r="J19" s="61"/>
      <c r="K19" s="61"/>
      <c r="L19" s="61"/>
      <c r="M19" s="61" t="s">
        <v>31</v>
      </c>
      <c r="N19" s="61" t="s">
        <v>1923</v>
      </c>
      <c r="O19" s="61"/>
      <c r="P19" s="61"/>
      <c r="Q19" s="61"/>
      <c r="R19" s="61" t="s">
        <v>2049</v>
      </c>
      <c r="S19" s="61" t="s">
        <v>40</v>
      </c>
      <c r="T19" s="61" t="s">
        <v>1898</v>
      </c>
      <c r="U19" s="61" t="s">
        <v>1898</v>
      </c>
      <c r="V19" s="61" t="str">
        <f>VLOOKUP(B19,[2]Overall!$A:$D,4,0)</f>
        <v>TELEINFRA NORD</v>
      </c>
      <c r="W19" s="61" t="str">
        <f>VLOOKUP(B19,[3]Sheet1!$A:$B,2,0)</f>
        <v>Mbidou</v>
      </c>
      <c r="X19" s="88" t="str">
        <f t="shared" si="3"/>
        <v>NRD</v>
      </c>
      <c r="Y19" s="80" t="str">
        <f t="shared" ca="1" si="4"/>
        <v>T&gt;72H</v>
      </c>
      <c r="Z19" s="61">
        <f t="shared" si="5"/>
        <v>3</v>
      </c>
      <c r="AA19" s="61" t="s">
        <v>1566</v>
      </c>
      <c r="AB19" s="84" t="s">
        <v>1554</v>
      </c>
      <c r="AC19" s="84" t="s">
        <v>2041</v>
      </c>
      <c r="AD19" s="84" t="s">
        <v>1994</v>
      </c>
      <c r="AE19" s="61"/>
    </row>
    <row r="20" spans="1:31" ht="131.5" x14ac:dyDescent="0.45">
      <c r="A20" s="61" t="s">
        <v>1920</v>
      </c>
      <c r="B20" s="61" t="s">
        <v>1921</v>
      </c>
      <c r="C20" s="65"/>
      <c r="D20" s="61"/>
      <c r="E20" s="61" t="s">
        <v>1922</v>
      </c>
      <c r="F20" s="70" t="str">
        <f>VLOOKUP(B20,'[2]Power '!$A:$C,3,0)</f>
        <v>TowerCo</v>
      </c>
      <c r="G20" s="70" t="str">
        <f>VLOOKUP(B20,'[2]Power '!$A:$D,4,0)</f>
        <v>Grid-Gen</v>
      </c>
      <c r="H20" s="67">
        <v>46172.588692129626</v>
      </c>
      <c r="I20" s="75">
        <f t="shared" ca="1" si="2"/>
        <v>8.0800003472249955</v>
      </c>
      <c r="J20" s="61"/>
      <c r="K20" s="61"/>
      <c r="L20" s="61"/>
      <c r="M20" s="61" t="s">
        <v>1713</v>
      </c>
      <c r="N20" s="61" t="s">
        <v>1952</v>
      </c>
      <c r="O20" s="61"/>
      <c r="P20" s="61"/>
      <c r="Q20" s="61"/>
      <c r="R20" s="61" t="s">
        <v>2049</v>
      </c>
      <c r="S20" s="61" t="s">
        <v>40</v>
      </c>
      <c r="T20" s="61" t="s">
        <v>1898</v>
      </c>
      <c r="U20" s="61" t="s">
        <v>1898</v>
      </c>
      <c r="V20" s="61" t="str">
        <f>VLOOKUP(B20,[2]Overall!$A:$D,4,0)</f>
        <v>TELEINFRA NORD</v>
      </c>
      <c r="W20" s="61" t="str">
        <f>VLOOKUP(B20,[3]Sheet1!$A:$B,2,0)</f>
        <v>Mbidou</v>
      </c>
      <c r="X20" s="88" t="str">
        <f t="shared" si="3"/>
        <v>NRD</v>
      </c>
      <c r="Y20" s="80" t="str">
        <f t="shared" ca="1" si="4"/>
        <v>T&gt;72H</v>
      </c>
      <c r="Z20" s="61">
        <f t="shared" si="5"/>
        <v>3</v>
      </c>
      <c r="AA20" s="61" t="s">
        <v>1566</v>
      </c>
      <c r="AB20" s="84" t="s">
        <v>1554</v>
      </c>
      <c r="AC20" s="84" t="s">
        <v>2041</v>
      </c>
      <c r="AD20" s="84" t="s">
        <v>1994</v>
      </c>
      <c r="AE20" s="61"/>
    </row>
    <row r="21" spans="1:31" ht="334.5" x14ac:dyDescent="0.45">
      <c r="A21" s="63" t="s">
        <v>1773</v>
      </c>
      <c r="B21" s="63" t="s">
        <v>1774</v>
      </c>
      <c r="C21" s="68"/>
      <c r="D21" s="63"/>
      <c r="E21" s="63" t="s">
        <v>1956</v>
      </c>
      <c r="F21" s="71" t="str">
        <f>VLOOKUP(B21,'[2]Power '!$A:$C,3,0)</f>
        <v>TowerCo</v>
      </c>
      <c r="G21" s="71" t="str">
        <f>VLOOKUP(B21,'[2]Power '!$A:$D,4,0)</f>
        <v>Solar-Gen</v>
      </c>
      <c r="H21" s="69">
        <v>46172.719837962963</v>
      </c>
      <c r="I21" s="77">
        <f t="shared" ca="1" si="2"/>
        <v>7.9488545138883637</v>
      </c>
      <c r="J21" s="63"/>
      <c r="K21" s="63"/>
      <c r="L21" s="63"/>
      <c r="M21" s="63" t="s">
        <v>31</v>
      </c>
      <c r="N21" s="63" t="s">
        <v>1957</v>
      </c>
      <c r="O21" s="63"/>
      <c r="P21" s="63" t="s">
        <v>1906</v>
      </c>
      <c r="Q21" s="63"/>
      <c r="R21" s="63" t="s">
        <v>2004</v>
      </c>
      <c r="S21" s="63" t="s">
        <v>40</v>
      </c>
      <c r="T21" s="63" t="s">
        <v>1898</v>
      </c>
      <c r="U21" s="63" t="s">
        <v>1898</v>
      </c>
      <c r="V21" s="63" t="str">
        <f>VLOOKUP(B21,[2]Overall!$A:$D,4,0)</f>
        <v>TELEINFRA NORD</v>
      </c>
      <c r="W21" s="63" t="str">
        <f>VLOOKUP(B21,[3]Sheet1!$A:$B,2,0)</f>
        <v>Hamalade</v>
      </c>
      <c r="X21" s="89" t="str">
        <f t="shared" si="3"/>
        <v>NRD</v>
      </c>
      <c r="Y21" s="81" t="str">
        <f t="shared" ca="1" si="4"/>
        <v>T&gt;72H</v>
      </c>
      <c r="Z21" s="63">
        <f t="shared" si="5"/>
        <v>3</v>
      </c>
      <c r="AA21" s="63" t="s">
        <v>77</v>
      </c>
      <c r="AB21" s="85" t="s">
        <v>1554</v>
      </c>
      <c r="AC21" s="85" t="s">
        <v>2041</v>
      </c>
      <c r="AD21" s="85" t="s">
        <v>1994</v>
      </c>
      <c r="AE21" s="63"/>
    </row>
    <row r="22" spans="1:31" ht="334.5" x14ac:dyDescent="0.45">
      <c r="A22" s="63" t="s">
        <v>1773</v>
      </c>
      <c r="B22" s="63" t="s">
        <v>1774</v>
      </c>
      <c r="C22" s="68"/>
      <c r="D22" s="63"/>
      <c r="E22" s="63" t="s">
        <v>35</v>
      </c>
      <c r="F22" s="71" t="str">
        <f>VLOOKUP(B22,'[2]Power '!$A:$C,3,0)</f>
        <v>TowerCo</v>
      </c>
      <c r="G22" s="71" t="str">
        <f>VLOOKUP(B22,'[2]Power '!$A:$D,4,0)</f>
        <v>Solar-Gen</v>
      </c>
      <c r="H22" s="69">
        <v>46172.719837962963</v>
      </c>
      <c r="I22" s="77">
        <f t="shared" ca="1" si="2"/>
        <v>7.9488545138883637</v>
      </c>
      <c r="J22" s="63"/>
      <c r="K22" s="63"/>
      <c r="L22" s="63"/>
      <c r="M22" s="63" t="s">
        <v>31</v>
      </c>
      <c r="N22" s="63" t="s">
        <v>1775</v>
      </c>
      <c r="O22" s="63"/>
      <c r="P22" s="63" t="s">
        <v>1906</v>
      </c>
      <c r="Q22" s="63"/>
      <c r="R22" s="63" t="s">
        <v>2004</v>
      </c>
      <c r="S22" s="63" t="s">
        <v>40</v>
      </c>
      <c r="T22" s="63" t="s">
        <v>1898</v>
      </c>
      <c r="U22" s="63" t="s">
        <v>1898</v>
      </c>
      <c r="V22" s="63" t="str">
        <f>VLOOKUP(B22,[2]Overall!$A:$D,4,0)</f>
        <v>TELEINFRA NORD</v>
      </c>
      <c r="W22" s="63" t="str">
        <f>VLOOKUP(B22,[3]Sheet1!$A:$B,2,0)</f>
        <v>Hamalade</v>
      </c>
      <c r="X22" s="89" t="str">
        <f t="shared" si="3"/>
        <v>NRD</v>
      </c>
      <c r="Y22" s="81" t="str">
        <f t="shared" ca="1" si="4"/>
        <v>T&gt;72H</v>
      </c>
      <c r="Z22" s="63">
        <f t="shared" si="5"/>
        <v>3</v>
      </c>
      <c r="AA22" s="63" t="s">
        <v>77</v>
      </c>
      <c r="AB22" s="85" t="s">
        <v>1554</v>
      </c>
      <c r="AC22" s="85" t="s">
        <v>2041</v>
      </c>
      <c r="AD22" s="85" t="s">
        <v>1994</v>
      </c>
      <c r="AE22" s="63"/>
    </row>
    <row r="23" spans="1:31" ht="334.5" x14ac:dyDescent="0.45">
      <c r="A23" s="63" t="s">
        <v>1773</v>
      </c>
      <c r="B23" s="63" t="s">
        <v>1774</v>
      </c>
      <c r="C23" s="68"/>
      <c r="D23" s="63"/>
      <c r="E23" s="63" t="s">
        <v>1954</v>
      </c>
      <c r="F23" s="71" t="str">
        <f>VLOOKUP(B23,'[2]Power '!$A:$C,3,0)</f>
        <v>TowerCo</v>
      </c>
      <c r="G23" s="71" t="str">
        <f>VLOOKUP(B23,'[2]Power '!$A:$D,4,0)</f>
        <v>Solar-Gen</v>
      </c>
      <c r="H23" s="69">
        <v>46172.724965277775</v>
      </c>
      <c r="I23" s="77">
        <f t="shared" ca="1" si="2"/>
        <v>7.9437271990755107</v>
      </c>
      <c r="J23" s="63"/>
      <c r="K23" s="63"/>
      <c r="L23" s="63"/>
      <c r="M23" s="63" t="s">
        <v>1750</v>
      </c>
      <c r="N23" s="63" t="s">
        <v>1751</v>
      </c>
      <c r="O23" s="63"/>
      <c r="P23" s="63" t="s">
        <v>1906</v>
      </c>
      <c r="Q23" s="63"/>
      <c r="R23" s="63" t="s">
        <v>2004</v>
      </c>
      <c r="S23" s="63" t="s">
        <v>40</v>
      </c>
      <c r="T23" s="63" t="s">
        <v>1898</v>
      </c>
      <c r="U23" s="63" t="s">
        <v>1898</v>
      </c>
      <c r="V23" s="63" t="str">
        <f>VLOOKUP(B23,[2]Overall!$A:$D,4,0)</f>
        <v>TELEINFRA NORD</v>
      </c>
      <c r="W23" s="63" t="str">
        <f>VLOOKUP(B23,[3]Sheet1!$A:$B,2,0)</f>
        <v>Hamalade</v>
      </c>
      <c r="X23" s="89" t="str">
        <f t="shared" si="3"/>
        <v>NRO</v>
      </c>
      <c r="Y23" s="81" t="str">
        <f t="shared" ca="1" si="4"/>
        <v>T&gt;72H</v>
      </c>
      <c r="Z23" s="63">
        <f t="shared" si="5"/>
        <v>1</v>
      </c>
      <c r="AA23" s="63" t="s">
        <v>77</v>
      </c>
      <c r="AB23" s="85" t="s">
        <v>1554</v>
      </c>
      <c r="AC23" s="85" t="s">
        <v>2041</v>
      </c>
      <c r="AD23" s="85" t="s">
        <v>1994</v>
      </c>
      <c r="AE23" s="63"/>
    </row>
    <row r="24" spans="1:31" ht="334.5" x14ac:dyDescent="0.45">
      <c r="A24" s="63" t="s">
        <v>1773</v>
      </c>
      <c r="B24" s="63" t="s">
        <v>1774</v>
      </c>
      <c r="C24" s="68"/>
      <c r="D24" s="63"/>
      <c r="E24" s="63" t="s">
        <v>1955</v>
      </c>
      <c r="F24" s="71" t="str">
        <f>VLOOKUP(B24,'[2]Power '!$A:$C,3,0)</f>
        <v>TowerCo</v>
      </c>
      <c r="G24" s="71" t="str">
        <f>VLOOKUP(B24,'[2]Power '!$A:$D,4,0)</f>
        <v>Solar-Gen</v>
      </c>
      <c r="H24" s="69">
        <v>46172.724965277775</v>
      </c>
      <c r="I24" s="77">
        <f t="shared" ca="1" si="2"/>
        <v>7.9437271990755107</v>
      </c>
      <c r="J24" s="63"/>
      <c r="K24" s="63"/>
      <c r="L24" s="63"/>
      <c r="M24" s="63" t="s">
        <v>1750</v>
      </c>
      <c r="N24" s="63" t="s">
        <v>1751</v>
      </c>
      <c r="O24" s="63"/>
      <c r="P24" s="63" t="s">
        <v>1906</v>
      </c>
      <c r="Q24" s="63"/>
      <c r="R24" s="63" t="s">
        <v>2004</v>
      </c>
      <c r="S24" s="63" t="s">
        <v>40</v>
      </c>
      <c r="T24" s="63" t="s">
        <v>1898</v>
      </c>
      <c r="U24" s="63" t="s">
        <v>1898</v>
      </c>
      <c r="V24" s="63" t="str">
        <f>VLOOKUP(B24,[2]Overall!$A:$D,4,0)</f>
        <v>TELEINFRA NORD</v>
      </c>
      <c r="W24" s="63" t="str">
        <f>VLOOKUP(B24,[3]Sheet1!$A:$B,2,0)</f>
        <v>Hamalade</v>
      </c>
      <c r="X24" s="89" t="str">
        <f t="shared" si="3"/>
        <v>NRO</v>
      </c>
      <c r="Y24" s="81" t="str">
        <f t="shared" ca="1" si="4"/>
        <v>T&gt;72H</v>
      </c>
      <c r="Z24" s="63">
        <f t="shared" si="5"/>
        <v>1</v>
      </c>
      <c r="AA24" s="63" t="s">
        <v>77</v>
      </c>
      <c r="AB24" s="85" t="s">
        <v>1554</v>
      </c>
      <c r="AC24" s="85" t="s">
        <v>2041</v>
      </c>
      <c r="AD24" s="85" t="s">
        <v>1994</v>
      </c>
      <c r="AE24" s="63"/>
    </row>
    <row r="25" spans="1:31" ht="334.5" x14ac:dyDescent="0.45">
      <c r="A25" s="63" t="s">
        <v>1773</v>
      </c>
      <c r="B25" s="63" t="s">
        <v>1774</v>
      </c>
      <c r="C25" s="68"/>
      <c r="D25" s="63"/>
      <c r="E25" s="63" t="s">
        <v>1953</v>
      </c>
      <c r="F25" s="71" t="str">
        <f>VLOOKUP(B25,'[2]Power '!$A:$C,3,0)</f>
        <v>TowerCo</v>
      </c>
      <c r="G25" s="71" t="str">
        <f>VLOOKUP(B25,'[2]Power '!$A:$D,4,0)</f>
        <v>Solar-Gen</v>
      </c>
      <c r="H25" s="69">
        <v>46172.724965277775</v>
      </c>
      <c r="I25" s="77">
        <f t="shared" ca="1" si="2"/>
        <v>7.9437271990755107</v>
      </c>
      <c r="J25" s="63"/>
      <c r="K25" s="63"/>
      <c r="L25" s="63"/>
      <c r="M25" s="63" t="s">
        <v>1750</v>
      </c>
      <c r="N25" s="63" t="s">
        <v>1751</v>
      </c>
      <c r="O25" s="63"/>
      <c r="P25" s="63" t="s">
        <v>1906</v>
      </c>
      <c r="Q25" s="63"/>
      <c r="R25" s="63" t="s">
        <v>2004</v>
      </c>
      <c r="S25" s="63" t="s">
        <v>40</v>
      </c>
      <c r="T25" s="63" t="s">
        <v>1898</v>
      </c>
      <c r="U25" s="63" t="s">
        <v>1898</v>
      </c>
      <c r="V25" s="63" t="str">
        <f>VLOOKUP(B25,[2]Overall!$A:$D,4,0)</f>
        <v>TELEINFRA NORD</v>
      </c>
      <c r="W25" s="63" t="str">
        <f>VLOOKUP(B25,[3]Sheet1!$A:$B,2,0)</f>
        <v>Hamalade</v>
      </c>
      <c r="X25" s="89" t="str">
        <f t="shared" si="3"/>
        <v>EXN</v>
      </c>
      <c r="Y25" s="81" t="str">
        <f t="shared" ca="1" si="4"/>
        <v>T&gt;72H</v>
      </c>
      <c r="Z25" s="63">
        <f t="shared" si="5"/>
        <v>1</v>
      </c>
      <c r="AA25" s="63" t="s">
        <v>77</v>
      </c>
      <c r="AB25" s="85" t="s">
        <v>1554</v>
      </c>
      <c r="AC25" s="85" t="s">
        <v>2041</v>
      </c>
      <c r="AD25" s="85" t="s">
        <v>1994</v>
      </c>
      <c r="AE25" s="63"/>
    </row>
    <row r="26" spans="1:31" ht="320" x14ac:dyDescent="0.45">
      <c r="A26" s="61" t="s">
        <v>1724</v>
      </c>
      <c r="B26" s="61" t="s">
        <v>1725</v>
      </c>
      <c r="C26" s="65"/>
      <c r="D26" s="61"/>
      <c r="E26" s="61" t="s">
        <v>1726</v>
      </c>
      <c r="F26" s="70" t="str">
        <f>VLOOKUP(B26,'[2]Power '!$A:$C,3,0)</f>
        <v>TowerCo</v>
      </c>
      <c r="G26" s="70" t="str">
        <f>VLOOKUP(B26,'[2]Power '!$A:$D,4,0)</f>
        <v>Hybrid-Gen</v>
      </c>
      <c r="H26" s="67">
        <v>46172.76761574074</v>
      </c>
      <c r="I26" s="75">
        <f t="shared" ca="1" si="2"/>
        <v>7.9010767361105536</v>
      </c>
      <c r="J26" s="61"/>
      <c r="K26" s="61"/>
      <c r="L26" s="61"/>
      <c r="M26" s="61" t="s">
        <v>33</v>
      </c>
      <c r="N26" s="61" t="s">
        <v>1635</v>
      </c>
      <c r="O26" s="61"/>
      <c r="P26" s="61"/>
      <c r="Q26" s="61"/>
      <c r="R26" s="61" t="s">
        <v>2001</v>
      </c>
      <c r="S26" s="61" t="s">
        <v>32</v>
      </c>
      <c r="T26" s="61" t="s">
        <v>1898</v>
      </c>
      <c r="U26" s="61" t="s">
        <v>1898</v>
      </c>
      <c r="V26" s="61" t="str">
        <f>VLOOKUP(B26,[2]Overall!$A:$D,4,0)</f>
        <v xml:space="preserve">I-ENG </v>
      </c>
      <c r="W26" s="61" t="str">
        <f>VLOOKUP(B26,[3]Sheet1!$A:$B,2,0)</f>
        <v>Mbakong</v>
      </c>
      <c r="X26" s="88" t="str">
        <f t="shared" si="3"/>
        <v>OST</v>
      </c>
      <c r="Y26" s="80" t="str">
        <f t="shared" ca="1" si="4"/>
        <v>T&gt;72H</v>
      </c>
      <c r="Z26" s="61">
        <f t="shared" si="5"/>
        <v>2</v>
      </c>
      <c r="AA26" s="61" t="s">
        <v>1566</v>
      </c>
      <c r="AB26" s="84" t="s">
        <v>1554</v>
      </c>
      <c r="AC26" s="84" t="s">
        <v>2041</v>
      </c>
      <c r="AD26" s="84" t="s">
        <v>1994</v>
      </c>
      <c r="AE26" s="61"/>
    </row>
    <row r="27" spans="1:31" ht="73.5" x14ac:dyDescent="0.45">
      <c r="A27" s="61" t="s">
        <v>1678</v>
      </c>
      <c r="B27" s="61" t="s">
        <v>1679</v>
      </c>
      <c r="C27" s="65"/>
      <c r="D27" s="61"/>
      <c r="E27" s="61" t="s">
        <v>35</v>
      </c>
      <c r="F27" s="70" t="str">
        <f>VLOOKUP(B27,'[2]Power '!$A:$C,3,0)</f>
        <v>TowerCo</v>
      </c>
      <c r="G27" s="70" t="str">
        <f>VLOOKUP(B27,'[2]Power '!$A:$D,4,0)</f>
        <v>Grid-Gen</v>
      </c>
      <c r="H27" s="67">
        <v>46173.667939814812</v>
      </c>
      <c r="I27" s="75">
        <f t="shared" ca="1" si="2"/>
        <v>7.0007526620393037</v>
      </c>
      <c r="J27" s="61"/>
      <c r="K27" s="61"/>
      <c r="L27" s="61"/>
      <c r="M27" s="61" t="s">
        <v>31</v>
      </c>
      <c r="N27" s="61" t="s">
        <v>1680</v>
      </c>
      <c r="O27" s="61"/>
      <c r="P27" s="61"/>
      <c r="Q27" s="61"/>
      <c r="R27" s="61" t="s">
        <v>2002</v>
      </c>
      <c r="S27" s="61" t="s">
        <v>32</v>
      </c>
      <c r="T27" s="61" t="s">
        <v>1898</v>
      </c>
      <c r="U27" s="61" t="s">
        <v>1898</v>
      </c>
      <c r="V27" s="61" t="str">
        <f>VLOOKUP(B27,[2]Overall!$A:$D,4,0)</f>
        <v xml:space="preserve">I-ENG </v>
      </c>
      <c r="W27" s="61" t="str">
        <f>VLOOKUP(B27,[3]Sheet1!$A:$B,2,0)</f>
        <v>Babessi</v>
      </c>
      <c r="X27" s="88" t="str">
        <f t="shared" si="3"/>
        <v>OST</v>
      </c>
      <c r="Y27" s="80" t="str">
        <f t="shared" ca="1" si="4"/>
        <v>T&gt;72H</v>
      </c>
      <c r="Z27" s="61">
        <f t="shared" si="5"/>
        <v>3</v>
      </c>
      <c r="AA27" s="61" t="s">
        <v>1566</v>
      </c>
      <c r="AB27" s="84" t="s">
        <v>1554</v>
      </c>
      <c r="AC27" s="84" t="s">
        <v>2041</v>
      </c>
      <c r="AD27" s="84" t="s">
        <v>1994</v>
      </c>
      <c r="AE27" s="61"/>
    </row>
    <row r="28" spans="1:31" ht="117" x14ac:dyDescent="0.45">
      <c r="A28" s="61" t="s">
        <v>1727</v>
      </c>
      <c r="B28" s="61" t="s">
        <v>1728</v>
      </c>
      <c r="C28" s="65"/>
      <c r="D28" s="61"/>
      <c r="E28" s="61" t="s">
        <v>1729</v>
      </c>
      <c r="F28" s="70" t="str">
        <f>VLOOKUP(B28,'[2]Power '!$A:$C,3,0)</f>
        <v>TowerCo</v>
      </c>
      <c r="G28" s="70" t="str">
        <f>VLOOKUP(B28,'[2]Power '!$A:$D,4,0)</f>
        <v>Hybrid-Gen</v>
      </c>
      <c r="H28" s="67">
        <v>46173.749571759261</v>
      </c>
      <c r="I28" s="75">
        <f t="shared" ca="1" si="2"/>
        <v>6.9191207175899763</v>
      </c>
      <c r="J28" s="61"/>
      <c r="K28" s="61"/>
      <c r="L28" s="61"/>
      <c r="M28" s="61" t="s">
        <v>1730</v>
      </c>
      <c r="N28" s="61" t="s">
        <v>1731</v>
      </c>
      <c r="O28" s="61"/>
      <c r="P28" s="61"/>
      <c r="Q28" s="61"/>
      <c r="R28" s="61" t="s">
        <v>1884</v>
      </c>
      <c r="S28" s="61" t="s">
        <v>40</v>
      </c>
      <c r="T28" s="61" t="s">
        <v>1885</v>
      </c>
      <c r="U28" s="61" t="s">
        <v>1885</v>
      </c>
      <c r="V28" s="61" t="str">
        <f>VLOOKUP(B28,[2]Overall!$A:$D,4,0)</f>
        <v>TELEINFRA NORD</v>
      </c>
      <c r="W28" s="61" t="str">
        <f>VLOOKUP(B28,[3]Sheet1!$A:$B,2,0)</f>
        <v>Kuruda</v>
      </c>
      <c r="X28" s="88" t="str">
        <f t="shared" si="3"/>
        <v>NRO</v>
      </c>
      <c r="Y28" s="80" t="str">
        <f t="shared" ca="1" si="4"/>
        <v>T&gt;72H</v>
      </c>
      <c r="Z28" s="61">
        <f t="shared" si="5"/>
        <v>2</v>
      </c>
      <c r="AA28" s="61" t="s">
        <v>1566</v>
      </c>
      <c r="AB28" s="84" t="s">
        <v>1554</v>
      </c>
      <c r="AC28" s="84" t="s">
        <v>2041</v>
      </c>
      <c r="AD28" s="84" t="s">
        <v>1994</v>
      </c>
      <c r="AE28" s="61"/>
    </row>
    <row r="29" spans="1:31" ht="117" x14ac:dyDescent="0.45">
      <c r="A29" s="61" t="s">
        <v>1981</v>
      </c>
      <c r="B29" s="61" t="s">
        <v>1982</v>
      </c>
      <c r="C29" s="65"/>
      <c r="D29" s="61"/>
      <c r="E29" s="61" t="s">
        <v>39</v>
      </c>
      <c r="F29" s="70" t="str">
        <f>VLOOKUP(B29,'[2]Power '!$A:$C,3,0)</f>
        <v>TowerCo</v>
      </c>
      <c r="G29" s="70" t="str">
        <f>VLOOKUP(B29,'[2]Power '!$A:$D,4,0)</f>
        <v>Grid-Gen</v>
      </c>
      <c r="H29" s="67">
        <v>46173.814502314817</v>
      </c>
      <c r="I29" s="75">
        <f t="shared" ca="1" si="2"/>
        <v>6.854190162033774</v>
      </c>
      <c r="J29" s="61"/>
      <c r="K29" s="61"/>
      <c r="L29" s="61"/>
      <c r="M29" s="61" t="s">
        <v>1686</v>
      </c>
      <c r="N29" s="61" t="s">
        <v>1983</v>
      </c>
      <c r="O29" s="61"/>
      <c r="P29" s="61"/>
      <c r="Q29" s="61"/>
      <c r="R29" s="61" t="s">
        <v>2013</v>
      </c>
      <c r="S29" s="61" t="s">
        <v>71</v>
      </c>
      <c r="T29" s="61" t="s">
        <v>1902</v>
      </c>
      <c r="U29" s="61" t="s">
        <v>1896</v>
      </c>
      <c r="V29" s="61" t="str">
        <f>VLOOKUP(B29,[2]Overall!$A:$D,4,0)</f>
        <v>H-TELI</v>
      </c>
      <c r="W29" s="61" t="str">
        <f>VLOOKUP(B29,[3]Sheet1!$A:$B,2,0)</f>
        <v>Santchou</v>
      </c>
      <c r="X29" s="88" t="str">
        <f t="shared" si="3"/>
        <v>EXN</v>
      </c>
      <c r="Y29" s="80" t="str">
        <f t="shared" ca="1" si="4"/>
        <v>T&gt;72H</v>
      </c>
      <c r="Z29" s="61">
        <f t="shared" si="5"/>
        <v>1</v>
      </c>
      <c r="AA29" s="61" t="s">
        <v>1566</v>
      </c>
      <c r="AB29" s="84" t="s">
        <v>1554</v>
      </c>
      <c r="AC29" s="84" t="s">
        <v>2041</v>
      </c>
      <c r="AD29" s="84" t="s">
        <v>1994</v>
      </c>
      <c r="AE29" s="61"/>
    </row>
    <row r="30" spans="1:31" ht="117" x14ac:dyDescent="0.45">
      <c r="A30" s="61" t="s">
        <v>1981</v>
      </c>
      <c r="B30" s="61" t="s">
        <v>1982</v>
      </c>
      <c r="C30" s="65"/>
      <c r="D30" s="61"/>
      <c r="E30" s="61" t="s">
        <v>1988</v>
      </c>
      <c r="F30" s="70" t="str">
        <f>VLOOKUP(B30,'[2]Power '!$A:$C,3,0)</f>
        <v>TowerCo</v>
      </c>
      <c r="G30" s="70" t="str">
        <f>VLOOKUP(B30,'[2]Power '!$A:$D,4,0)</f>
        <v>Grid-Gen</v>
      </c>
      <c r="H30" s="67">
        <v>46173.819432870368</v>
      </c>
      <c r="I30" s="75">
        <f t="shared" ca="1" si="2"/>
        <v>6.8492596064825193</v>
      </c>
      <c r="J30" s="61"/>
      <c r="K30" s="61"/>
      <c r="L30" s="61"/>
      <c r="M30" s="61" t="s">
        <v>41</v>
      </c>
      <c r="N30" s="61" t="s">
        <v>1989</v>
      </c>
      <c r="O30" s="61"/>
      <c r="P30" s="61"/>
      <c r="Q30" s="61"/>
      <c r="R30" s="61" t="s">
        <v>2013</v>
      </c>
      <c r="S30" s="61" t="s">
        <v>71</v>
      </c>
      <c r="T30" s="61" t="s">
        <v>1902</v>
      </c>
      <c r="U30" s="61" t="s">
        <v>1896</v>
      </c>
      <c r="V30" s="61" t="str">
        <f>VLOOKUP(B30,[2]Overall!$A:$D,4,0)</f>
        <v>H-TELI</v>
      </c>
      <c r="W30" s="61" t="str">
        <f>VLOOKUP(B30,[3]Sheet1!$A:$B,2,0)</f>
        <v>Santchou</v>
      </c>
      <c r="X30" s="88" t="str">
        <f t="shared" si="3"/>
        <v>EXN</v>
      </c>
      <c r="Y30" s="80" t="str">
        <f t="shared" ca="1" si="4"/>
        <v>T&gt;72H</v>
      </c>
      <c r="Z30" s="61">
        <f t="shared" si="5"/>
        <v>1</v>
      </c>
      <c r="AA30" s="61" t="s">
        <v>1566</v>
      </c>
      <c r="AB30" s="84" t="s">
        <v>1554</v>
      </c>
      <c r="AC30" s="84" t="s">
        <v>2041</v>
      </c>
      <c r="AD30" s="84" t="s">
        <v>1994</v>
      </c>
      <c r="AE30" s="61"/>
    </row>
    <row r="31" spans="1:31" ht="117" x14ac:dyDescent="0.45">
      <c r="A31" s="61" t="s">
        <v>1881</v>
      </c>
      <c r="B31" s="61" t="s">
        <v>1880</v>
      </c>
      <c r="C31" s="65"/>
      <c r="D31" s="61"/>
      <c r="E31" s="61" t="s">
        <v>1991</v>
      </c>
      <c r="F31" s="70" t="str">
        <f>VLOOKUP(B31,'[2]Power '!$A:$C,3,0)</f>
        <v>TowerCo</v>
      </c>
      <c r="G31" s="70" t="str">
        <f>VLOOKUP(B31,'[2]Power '!$A:$D,4,0)</f>
        <v>Hybrid-Gen</v>
      </c>
      <c r="H31" s="67">
        <v>46174.267314814817</v>
      </c>
      <c r="I31" s="75">
        <f t="shared" ca="1" si="2"/>
        <v>6.401377662034065</v>
      </c>
      <c r="J31" s="61"/>
      <c r="K31" s="61"/>
      <c r="L31" s="61"/>
      <c r="M31" s="61" t="s">
        <v>1769</v>
      </c>
      <c r="N31" s="61" t="s">
        <v>1770</v>
      </c>
      <c r="O31" s="61"/>
      <c r="P31" s="61"/>
      <c r="Q31" s="61"/>
      <c r="R31" s="61" t="s">
        <v>2003</v>
      </c>
      <c r="S31" s="61" t="s">
        <v>32</v>
      </c>
      <c r="T31" s="61" t="s">
        <v>1898</v>
      </c>
      <c r="U31" s="61" t="s">
        <v>1898</v>
      </c>
      <c r="V31" s="61" t="str">
        <f>VLOOKUP(B31,[2]Overall!$A:$D,4,0)</f>
        <v xml:space="preserve">I-ENG </v>
      </c>
      <c r="W31" s="61" t="str">
        <f>VLOOKUP(B31,[3]Sheet1!$A:$B,2,0)</f>
        <v>Fundong</v>
      </c>
      <c r="X31" s="88" t="str">
        <f t="shared" si="3"/>
        <v>NRO</v>
      </c>
      <c r="Y31" s="80" t="str">
        <f t="shared" ca="1" si="4"/>
        <v>T&gt;72H</v>
      </c>
      <c r="Z31" s="61">
        <f t="shared" si="5"/>
        <v>1</v>
      </c>
      <c r="AA31" s="61" t="s">
        <v>1566</v>
      </c>
      <c r="AB31" s="84" t="s">
        <v>1554</v>
      </c>
      <c r="AC31" s="84" t="s">
        <v>2041</v>
      </c>
      <c r="AD31" s="84" t="s">
        <v>1994</v>
      </c>
      <c r="AE31" s="61"/>
    </row>
    <row r="32" spans="1:31" ht="73.5" x14ac:dyDescent="0.45">
      <c r="A32" s="63" t="s">
        <v>2020</v>
      </c>
      <c r="B32" s="63" t="s">
        <v>2021</v>
      </c>
      <c r="C32" s="68"/>
      <c r="D32" s="63"/>
      <c r="E32" s="63" t="s">
        <v>1823</v>
      </c>
      <c r="F32" s="71" t="e">
        <f>VLOOKUP(B32,'[2]Power '!$A:$C,3,0)</f>
        <v>#N/A</v>
      </c>
      <c r="G32" s="71" t="e">
        <f>VLOOKUP(B32,'[2]Power '!$A:$D,4,0)</f>
        <v>#N/A</v>
      </c>
      <c r="H32" s="69">
        <v>46174.494421296295</v>
      </c>
      <c r="I32" s="77">
        <f t="shared" ca="1" si="2"/>
        <v>6.1742711805563886</v>
      </c>
      <c r="J32" s="63"/>
      <c r="K32" s="63"/>
      <c r="L32" s="63"/>
      <c r="M32" s="63" t="s">
        <v>31</v>
      </c>
      <c r="N32" s="63" t="s">
        <v>2022</v>
      </c>
      <c r="O32" s="63"/>
      <c r="P32" s="63" t="s">
        <v>1906</v>
      </c>
      <c r="Q32" s="63"/>
      <c r="R32" s="63" t="s">
        <v>2051</v>
      </c>
      <c r="S32" s="63" t="s">
        <v>40</v>
      </c>
      <c r="T32" s="63" t="s">
        <v>1898</v>
      </c>
      <c r="U32" s="63" t="s">
        <v>1898</v>
      </c>
      <c r="V32" s="63" t="e">
        <f>VLOOKUP(B32,[2]Overall!$A:$D,4,0)</f>
        <v>#N/A</v>
      </c>
      <c r="W32" s="63" t="e">
        <f>VLOOKUP(B32,[3]Sheet1!$A:$B,2,0)</f>
        <v>#N/A</v>
      </c>
      <c r="X32" s="89" t="str">
        <f t="shared" si="3"/>
        <v>ADM</v>
      </c>
      <c r="Y32" s="81" t="str">
        <f t="shared" ca="1" si="4"/>
        <v>T&gt;72H</v>
      </c>
      <c r="Z32" s="63">
        <f t="shared" si="5"/>
        <v>2</v>
      </c>
      <c r="AA32" s="63" t="s">
        <v>77</v>
      </c>
      <c r="AB32" s="85" t="s">
        <v>1554</v>
      </c>
      <c r="AC32" s="85" t="s">
        <v>2041</v>
      </c>
      <c r="AD32" s="85" t="s">
        <v>1994</v>
      </c>
      <c r="AE32" s="63"/>
    </row>
    <row r="33" spans="1:31" ht="73.5" x14ac:dyDescent="0.45">
      <c r="A33" s="63" t="s">
        <v>2020</v>
      </c>
      <c r="B33" s="63" t="s">
        <v>2021</v>
      </c>
      <c r="C33" s="68"/>
      <c r="D33" s="63"/>
      <c r="E33" s="63" t="s">
        <v>30</v>
      </c>
      <c r="F33" s="71" t="e">
        <f>VLOOKUP(B33,'[2]Power '!$A:$C,3,0)</f>
        <v>#N/A</v>
      </c>
      <c r="G33" s="71" t="e">
        <f>VLOOKUP(B33,'[2]Power '!$A:$D,4,0)</f>
        <v>#N/A</v>
      </c>
      <c r="H33" s="69">
        <v>46174.494421296295</v>
      </c>
      <c r="I33" s="77">
        <f t="shared" ca="1" si="2"/>
        <v>6.1742711805563886</v>
      </c>
      <c r="J33" s="63"/>
      <c r="K33" s="63"/>
      <c r="L33" s="63"/>
      <c r="M33" s="63" t="s">
        <v>31</v>
      </c>
      <c r="N33" s="63" t="s">
        <v>2024</v>
      </c>
      <c r="O33" s="63"/>
      <c r="P33" s="63" t="s">
        <v>1906</v>
      </c>
      <c r="Q33" s="63"/>
      <c r="R33" s="63" t="s">
        <v>2051</v>
      </c>
      <c r="S33" s="63" t="s">
        <v>40</v>
      </c>
      <c r="T33" s="63" t="s">
        <v>1898</v>
      </c>
      <c r="U33" s="63" t="s">
        <v>1898</v>
      </c>
      <c r="V33" s="63" t="e">
        <f>VLOOKUP(B33,[2]Overall!$A:$D,4,0)</f>
        <v>#N/A</v>
      </c>
      <c r="W33" s="63" t="e">
        <f>VLOOKUP(B33,[3]Sheet1!$A:$B,2,0)</f>
        <v>#N/A</v>
      </c>
      <c r="X33" s="89" t="str">
        <f t="shared" si="3"/>
        <v>LIT</v>
      </c>
      <c r="Y33" s="81" t="str">
        <f t="shared" ca="1" si="4"/>
        <v>T&gt;72H</v>
      </c>
      <c r="Z33" s="63">
        <f t="shared" si="5"/>
        <v>1</v>
      </c>
      <c r="AA33" s="63" t="s">
        <v>77</v>
      </c>
      <c r="AB33" s="85" t="s">
        <v>1554</v>
      </c>
      <c r="AC33" s="85" t="s">
        <v>2041</v>
      </c>
      <c r="AD33" s="85" t="s">
        <v>1994</v>
      </c>
      <c r="AE33" s="63"/>
    </row>
    <row r="34" spans="1:31" ht="73.5" x14ac:dyDescent="0.45">
      <c r="A34" s="61" t="s">
        <v>1939</v>
      </c>
      <c r="B34" s="61" t="s">
        <v>1940</v>
      </c>
      <c r="C34" s="65"/>
      <c r="D34" s="61"/>
      <c r="E34" s="61" t="s">
        <v>37</v>
      </c>
      <c r="F34" s="70" t="str">
        <f>VLOOKUP(B34,'[2]Power '!$A:$C,3,0)</f>
        <v>TowerCo</v>
      </c>
      <c r="G34" s="70" t="str">
        <f>VLOOKUP(B34,'[2]Power '!$A:$D,4,0)</f>
        <v>Vandalized</v>
      </c>
      <c r="H34" s="67">
        <v>46174.506562499999</v>
      </c>
      <c r="I34" s="75">
        <f t="shared" ca="1" si="2"/>
        <v>6.1621299768521567</v>
      </c>
      <c r="J34" s="61"/>
      <c r="K34" s="61"/>
      <c r="L34" s="61"/>
      <c r="M34" s="61" t="s">
        <v>38</v>
      </c>
      <c r="N34" s="61" t="s">
        <v>1942</v>
      </c>
      <c r="O34" s="61"/>
      <c r="P34" s="61"/>
      <c r="Q34" s="61"/>
      <c r="R34" s="61" t="s">
        <v>2025</v>
      </c>
      <c r="S34" s="61" t="s">
        <v>32</v>
      </c>
      <c r="T34" s="61" t="s">
        <v>1898</v>
      </c>
      <c r="U34" s="61" t="s">
        <v>1898</v>
      </c>
      <c r="V34" s="61" t="str">
        <f>VLOOKUP(B34,[2]Overall!$A:$D,4,0)</f>
        <v xml:space="preserve">I-ENG </v>
      </c>
      <c r="W34" s="61" t="str">
        <f>VLOOKUP(B34,[3]Sheet1!$A:$B,2,0)</f>
        <v>Widikum</v>
      </c>
      <c r="X34" s="88" t="str">
        <f t="shared" si="3"/>
        <v>LIT</v>
      </c>
      <c r="Y34" s="80" t="str">
        <f t="shared" ca="1" si="4"/>
        <v>T&gt;72H</v>
      </c>
      <c r="Z34" s="61">
        <f t="shared" si="5"/>
        <v>1</v>
      </c>
      <c r="AA34" s="61" t="s">
        <v>1566</v>
      </c>
      <c r="AB34" s="84" t="s">
        <v>1554</v>
      </c>
      <c r="AC34" s="84" t="s">
        <v>2041</v>
      </c>
      <c r="AD34" s="84" t="s">
        <v>1994</v>
      </c>
      <c r="AE34" s="61"/>
    </row>
    <row r="35" spans="1:31" ht="73.5" x14ac:dyDescent="0.45">
      <c r="A35" s="61" t="s">
        <v>1763</v>
      </c>
      <c r="B35" s="61" t="s">
        <v>1764</v>
      </c>
      <c r="C35" s="65"/>
      <c r="D35" s="61"/>
      <c r="E35" s="61" t="s">
        <v>34</v>
      </c>
      <c r="F35" s="70" t="str">
        <f>VLOOKUP(B35,'[2]Power '!$A:$C,3,0)</f>
        <v>TowerCo</v>
      </c>
      <c r="G35" s="70" t="str">
        <f>VLOOKUP(B35,'[2]Power '!$A:$D,4,0)</f>
        <v>Grid-Hybrid-Gen</v>
      </c>
      <c r="H35" s="67">
        <v>46174.52244212963</v>
      </c>
      <c r="I35" s="75">
        <f t="shared" ca="1" si="2"/>
        <v>6.146250347221212</v>
      </c>
      <c r="J35" s="61"/>
      <c r="K35" s="61"/>
      <c r="L35" s="61"/>
      <c r="M35" s="61" t="s">
        <v>31</v>
      </c>
      <c r="N35" s="61" t="s">
        <v>1765</v>
      </c>
      <c r="O35" s="61"/>
      <c r="P35" s="61"/>
      <c r="Q35" s="61"/>
      <c r="R35" s="61" t="s">
        <v>2050</v>
      </c>
      <c r="S35" s="61" t="s">
        <v>40</v>
      </c>
      <c r="T35" s="61" t="s">
        <v>1898</v>
      </c>
      <c r="U35" s="61" t="s">
        <v>1898</v>
      </c>
      <c r="V35" s="61" t="str">
        <f>VLOOKUP(B35,[2]Overall!$A:$D,4,0)</f>
        <v>TELEINFRA NORD</v>
      </c>
      <c r="W35" s="61" t="str">
        <f>VLOOKUP(B35,[3]Sheet1!$A:$B,2,0)</f>
        <v>Telo</v>
      </c>
      <c r="X35" s="88" t="str">
        <f t="shared" si="3"/>
        <v>LIT</v>
      </c>
      <c r="Y35" s="80" t="str">
        <f t="shared" ca="1" si="4"/>
        <v>T&gt;72H</v>
      </c>
      <c r="Z35" s="61">
        <f t="shared" si="5"/>
        <v>1</v>
      </c>
      <c r="AA35" s="61" t="s">
        <v>1566</v>
      </c>
      <c r="AB35" s="84" t="s">
        <v>1554</v>
      </c>
      <c r="AC35" s="84" t="s">
        <v>2041</v>
      </c>
      <c r="AD35" s="84" t="s">
        <v>1994</v>
      </c>
      <c r="AE35" s="61"/>
    </row>
    <row r="36" spans="1:31" ht="88" x14ac:dyDescent="0.45">
      <c r="A36" s="63" t="s">
        <v>1807</v>
      </c>
      <c r="B36" s="63" t="s">
        <v>1808</v>
      </c>
      <c r="C36" s="68"/>
      <c r="D36" s="63"/>
      <c r="E36" s="63" t="s">
        <v>1813</v>
      </c>
      <c r="F36" s="71" t="str">
        <f>VLOOKUP(B36,'[2]Power '!$A:$C,3,0)</f>
        <v>TowerCo</v>
      </c>
      <c r="G36" s="71" t="str">
        <f>VLOOKUP(B36,'[2]Power '!$A:$D,4,0)</f>
        <v>Grid-Gen</v>
      </c>
      <c r="H36" s="69">
        <v>46174.570428240739</v>
      </c>
      <c r="I36" s="77">
        <f t="shared" ca="1" si="2"/>
        <v>6.0982642361122998</v>
      </c>
      <c r="J36" s="63"/>
      <c r="K36" s="63"/>
      <c r="L36" s="63"/>
      <c r="M36" s="63" t="s">
        <v>41</v>
      </c>
      <c r="N36" s="63" t="s">
        <v>42</v>
      </c>
      <c r="O36" s="63"/>
      <c r="P36" s="63" t="s">
        <v>1906</v>
      </c>
      <c r="Q36" s="63"/>
      <c r="R36" s="63" t="s">
        <v>2072</v>
      </c>
      <c r="S36" s="63" t="s">
        <v>51</v>
      </c>
      <c r="T36" s="63" t="s">
        <v>1898</v>
      </c>
      <c r="U36" s="63" t="s">
        <v>1898</v>
      </c>
      <c r="V36" s="63" t="str">
        <f>VLOOKUP(B36,[2]Overall!$A:$D,4,0)</f>
        <v>H-TELI</v>
      </c>
      <c r="W36" s="63" t="str">
        <f>VLOOKUP(B36,[3]Sheet1!$A:$B,2,0)</f>
        <v>Songloulou</v>
      </c>
      <c r="X36" s="89" t="str">
        <f t="shared" si="3"/>
        <v>LIT</v>
      </c>
      <c r="Y36" s="81" t="str">
        <f t="shared" ca="1" si="4"/>
        <v>T&gt;72H</v>
      </c>
      <c r="Z36" s="63">
        <f t="shared" si="5"/>
        <v>1</v>
      </c>
      <c r="AA36" s="63" t="s">
        <v>77</v>
      </c>
      <c r="AB36" s="85" t="s">
        <v>76</v>
      </c>
      <c r="AC36" s="85" t="s">
        <v>2041</v>
      </c>
      <c r="AD36" s="85" t="s">
        <v>1994</v>
      </c>
      <c r="AE36" s="63"/>
    </row>
    <row r="37" spans="1:31" ht="88" x14ac:dyDescent="0.45">
      <c r="A37" s="63" t="s">
        <v>1807</v>
      </c>
      <c r="B37" s="63" t="s">
        <v>1808</v>
      </c>
      <c r="C37" s="68"/>
      <c r="D37" s="63"/>
      <c r="E37" s="63" t="s">
        <v>1814</v>
      </c>
      <c r="F37" s="71" t="str">
        <f>VLOOKUP(B37,'[2]Power '!$A:$C,3,0)</f>
        <v>TowerCo</v>
      </c>
      <c r="G37" s="71" t="str">
        <f>VLOOKUP(B37,'[2]Power '!$A:$D,4,0)</f>
        <v>Grid-Gen</v>
      </c>
      <c r="H37" s="69">
        <v>46174.570428240739</v>
      </c>
      <c r="I37" s="77">
        <f t="shared" ca="1" si="2"/>
        <v>6.0982642361122998</v>
      </c>
      <c r="J37" s="63"/>
      <c r="K37" s="63"/>
      <c r="L37" s="63"/>
      <c r="M37" s="63" t="s">
        <v>41</v>
      </c>
      <c r="N37" s="63" t="s">
        <v>42</v>
      </c>
      <c r="O37" s="63"/>
      <c r="P37" s="63" t="s">
        <v>1906</v>
      </c>
      <c r="Q37" s="63"/>
      <c r="R37" s="63" t="s">
        <v>2072</v>
      </c>
      <c r="S37" s="63" t="s">
        <v>51</v>
      </c>
      <c r="T37" s="63" t="s">
        <v>1898</v>
      </c>
      <c r="U37" s="63" t="s">
        <v>1898</v>
      </c>
      <c r="V37" s="63" t="str">
        <f>VLOOKUP(B37,[2]Overall!$A:$D,4,0)</f>
        <v>H-TELI</v>
      </c>
      <c r="W37" s="63" t="str">
        <f>VLOOKUP(B37,[3]Sheet1!$A:$B,2,0)</f>
        <v>Songloulou</v>
      </c>
      <c r="X37" s="89" t="str">
        <f t="shared" si="3"/>
        <v>LIT</v>
      </c>
      <c r="Y37" s="81" t="str">
        <f t="shared" ca="1" si="4"/>
        <v>T&gt;72H</v>
      </c>
      <c r="Z37" s="63">
        <f t="shared" si="5"/>
        <v>1</v>
      </c>
      <c r="AA37" s="63" t="s">
        <v>77</v>
      </c>
      <c r="AB37" s="85" t="s">
        <v>76</v>
      </c>
      <c r="AC37" s="85" t="s">
        <v>2041</v>
      </c>
      <c r="AD37" s="85" t="s">
        <v>1994</v>
      </c>
      <c r="AE37" s="63"/>
    </row>
    <row r="38" spans="1:31" ht="88" x14ac:dyDescent="0.45">
      <c r="A38" s="63" t="s">
        <v>1807</v>
      </c>
      <c r="B38" s="63" t="s">
        <v>1808</v>
      </c>
      <c r="C38" s="68"/>
      <c r="D38" s="63"/>
      <c r="E38" s="63" t="s">
        <v>1816</v>
      </c>
      <c r="F38" s="71" t="str">
        <f>VLOOKUP(B38,'[2]Power '!$A:$C,3,0)</f>
        <v>TowerCo</v>
      </c>
      <c r="G38" s="71" t="str">
        <f>VLOOKUP(B38,'[2]Power '!$A:$D,4,0)</f>
        <v>Grid-Gen</v>
      </c>
      <c r="H38" s="69">
        <v>46174.570416666669</v>
      </c>
      <c r="I38" s="77">
        <f t="shared" ca="1" si="2"/>
        <v>6.0982758101818035</v>
      </c>
      <c r="J38" s="63"/>
      <c r="K38" s="63"/>
      <c r="L38" s="63"/>
      <c r="M38" s="63" t="s">
        <v>41</v>
      </c>
      <c r="N38" s="63" t="s">
        <v>42</v>
      </c>
      <c r="O38" s="63"/>
      <c r="P38" s="63" t="s">
        <v>1906</v>
      </c>
      <c r="Q38" s="63"/>
      <c r="R38" s="63" t="s">
        <v>2072</v>
      </c>
      <c r="S38" s="63" t="s">
        <v>51</v>
      </c>
      <c r="T38" s="63" t="s">
        <v>1898</v>
      </c>
      <c r="U38" s="63" t="s">
        <v>1898</v>
      </c>
      <c r="V38" s="63" t="str">
        <f>VLOOKUP(B38,[2]Overall!$A:$D,4,0)</f>
        <v>H-TELI</v>
      </c>
      <c r="W38" s="63" t="str">
        <f>VLOOKUP(B38,[3]Sheet1!$A:$B,2,0)</f>
        <v>Songloulou</v>
      </c>
      <c r="X38" s="89" t="str">
        <f t="shared" si="3"/>
        <v>LIT</v>
      </c>
      <c r="Y38" s="81" t="str">
        <f t="shared" ca="1" si="4"/>
        <v>T&gt;72H</v>
      </c>
      <c r="Z38" s="63">
        <f t="shared" si="5"/>
        <v>1</v>
      </c>
      <c r="AA38" s="63" t="s">
        <v>77</v>
      </c>
      <c r="AB38" s="85" t="s">
        <v>76</v>
      </c>
      <c r="AC38" s="85" t="s">
        <v>2041</v>
      </c>
      <c r="AD38" s="85" t="s">
        <v>1994</v>
      </c>
      <c r="AE38" s="63"/>
    </row>
    <row r="39" spans="1:31" ht="88" x14ac:dyDescent="0.45">
      <c r="A39" s="63" t="s">
        <v>1807</v>
      </c>
      <c r="B39" s="63" t="s">
        <v>1808</v>
      </c>
      <c r="C39" s="68"/>
      <c r="D39" s="63"/>
      <c r="E39" s="63" t="s">
        <v>1812</v>
      </c>
      <c r="F39" s="71" t="str">
        <f>VLOOKUP(B39,'[2]Power '!$A:$C,3,0)</f>
        <v>TowerCo</v>
      </c>
      <c r="G39" s="71" t="str">
        <f>VLOOKUP(B39,'[2]Power '!$A:$D,4,0)</f>
        <v>Grid-Gen</v>
      </c>
      <c r="H39" s="69">
        <v>46174.570428240739</v>
      </c>
      <c r="I39" s="77">
        <f t="shared" ca="1" si="2"/>
        <v>6.0982642361122998</v>
      </c>
      <c r="J39" s="63"/>
      <c r="K39" s="63"/>
      <c r="L39" s="63"/>
      <c r="M39" s="63" t="s">
        <v>41</v>
      </c>
      <c r="N39" s="63" t="s">
        <v>42</v>
      </c>
      <c r="O39" s="63"/>
      <c r="P39" s="63" t="s">
        <v>1906</v>
      </c>
      <c r="Q39" s="63"/>
      <c r="R39" s="63" t="s">
        <v>2072</v>
      </c>
      <c r="S39" s="63" t="s">
        <v>51</v>
      </c>
      <c r="T39" s="63" t="s">
        <v>1898</v>
      </c>
      <c r="U39" s="63" t="s">
        <v>1898</v>
      </c>
      <c r="V39" s="63" t="str">
        <f>VLOOKUP(B39,[2]Overall!$A:$D,4,0)</f>
        <v>H-TELI</v>
      </c>
      <c r="W39" s="63" t="str">
        <f>VLOOKUP(B39,[3]Sheet1!$A:$B,2,0)</f>
        <v>Songloulou</v>
      </c>
      <c r="X39" s="89" t="str">
        <f t="shared" si="3"/>
        <v>LIT</v>
      </c>
      <c r="Y39" s="81" t="str">
        <f t="shared" ca="1" si="4"/>
        <v>T&gt;72H</v>
      </c>
      <c r="Z39" s="63">
        <f t="shared" si="5"/>
        <v>1</v>
      </c>
      <c r="AA39" s="63" t="s">
        <v>77</v>
      </c>
      <c r="AB39" s="85" t="s">
        <v>76</v>
      </c>
      <c r="AC39" s="85" t="s">
        <v>2041</v>
      </c>
      <c r="AD39" s="85" t="s">
        <v>1994</v>
      </c>
      <c r="AE39" s="63"/>
    </row>
    <row r="40" spans="1:31" ht="88" x14ac:dyDescent="0.45">
      <c r="A40" s="63" t="s">
        <v>1807</v>
      </c>
      <c r="B40" s="63" t="s">
        <v>1808</v>
      </c>
      <c r="C40" s="68"/>
      <c r="D40" s="63"/>
      <c r="E40" s="63" t="s">
        <v>1810</v>
      </c>
      <c r="F40" s="71" t="str">
        <f>VLOOKUP(B40,'[2]Power '!$A:$C,3,0)</f>
        <v>TowerCo</v>
      </c>
      <c r="G40" s="71" t="str">
        <f>VLOOKUP(B40,'[2]Power '!$A:$D,4,0)</f>
        <v>Grid-Gen</v>
      </c>
      <c r="H40" s="69">
        <v>46174.570439814815</v>
      </c>
      <c r="I40" s="77">
        <f t="shared" ca="1" si="2"/>
        <v>6.0982526620355202</v>
      </c>
      <c r="J40" s="63"/>
      <c r="K40" s="63"/>
      <c r="L40" s="63"/>
      <c r="M40" s="63" t="s">
        <v>41</v>
      </c>
      <c r="N40" s="63" t="s">
        <v>42</v>
      </c>
      <c r="O40" s="63"/>
      <c r="P40" s="63" t="s">
        <v>1906</v>
      </c>
      <c r="Q40" s="63"/>
      <c r="R40" s="63" t="s">
        <v>2072</v>
      </c>
      <c r="S40" s="63" t="s">
        <v>51</v>
      </c>
      <c r="T40" s="63" t="s">
        <v>1898</v>
      </c>
      <c r="U40" s="63" t="s">
        <v>1898</v>
      </c>
      <c r="V40" s="63" t="str">
        <f>VLOOKUP(B40,[2]Overall!$A:$D,4,0)</f>
        <v>H-TELI</v>
      </c>
      <c r="W40" s="63" t="str">
        <f>VLOOKUP(B40,[3]Sheet1!$A:$B,2,0)</f>
        <v>Songloulou</v>
      </c>
      <c r="X40" s="89" t="str">
        <f t="shared" si="3"/>
        <v>LIT</v>
      </c>
      <c r="Y40" s="81" t="str">
        <f t="shared" ca="1" si="4"/>
        <v>T&gt;72H</v>
      </c>
      <c r="Z40" s="63">
        <f t="shared" si="5"/>
        <v>1</v>
      </c>
      <c r="AA40" s="63" t="s">
        <v>77</v>
      </c>
      <c r="AB40" s="85" t="s">
        <v>76</v>
      </c>
      <c r="AC40" s="85" t="s">
        <v>2041</v>
      </c>
      <c r="AD40" s="85" t="s">
        <v>1994</v>
      </c>
      <c r="AE40" s="63"/>
    </row>
    <row r="41" spans="1:31" ht="88" x14ac:dyDescent="0.45">
      <c r="A41" s="63" t="s">
        <v>1807</v>
      </c>
      <c r="B41" s="63" t="s">
        <v>1808</v>
      </c>
      <c r="C41" s="68"/>
      <c r="D41" s="63"/>
      <c r="E41" s="63" t="s">
        <v>1811</v>
      </c>
      <c r="F41" s="71" t="str">
        <f>VLOOKUP(B41,'[2]Power '!$A:$C,3,0)</f>
        <v>TowerCo</v>
      </c>
      <c r="G41" s="71" t="str">
        <f>VLOOKUP(B41,'[2]Power '!$A:$D,4,0)</f>
        <v>Grid-Gen</v>
      </c>
      <c r="H41" s="69">
        <v>46174.570439814815</v>
      </c>
      <c r="I41" s="77">
        <f t="shared" ca="1" si="2"/>
        <v>6.0982526620355202</v>
      </c>
      <c r="J41" s="63"/>
      <c r="K41" s="63"/>
      <c r="L41" s="63"/>
      <c r="M41" s="63" t="s">
        <v>41</v>
      </c>
      <c r="N41" s="63" t="s">
        <v>42</v>
      </c>
      <c r="O41" s="63"/>
      <c r="P41" s="63" t="s">
        <v>1906</v>
      </c>
      <c r="Q41" s="63"/>
      <c r="R41" s="63" t="s">
        <v>2072</v>
      </c>
      <c r="S41" s="63" t="s">
        <v>51</v>
      </c>
      <c r="T41" s="63" t="s">
        <v>1898</v>
      </c>
      <c r="U41" s="63" t="s">
        <v>1898</v>
      </c>
      <c r="V41" s="63" t="str">
        <f>VLOOKUP(B41,[2]Overall!$A:$D,4,0)</f>
        <v>H-TELI</v>
      </c>
      <c r="W41" s="63" t="str">
        <f>VLOOKUP(B41,[3]Sheet1!$A:$B,2,0)</f>
        <v>Songloulou</v>
      </c>
      <c r="X41" s="89" t="str">
        <f t="shared" si="3"/>
        <v>LIT</v>
      </c>
      <c r="Y41" s="81" t="str">
        <f t="shared" ca="1" si="4"/>
        <v>T&gt;72H</v>
      </c>
      <c r="Z41" s="63">
        <f t="shared" si="5"/>
        <v>1</v>
      </c>
      <c r="AA41" s="63" t="s">
        <v>77</v>
      </c>
      <c r="AB41" s="85" t="s">
        <v>76</v>
      </c>
      <c r="AC41" s="85" t="s">
        <v>2041</v>
      </c>
      <c r="AD41" s="85" t="s">
        <v>1994</v>
      </c>
      <c r="AE41" s="63"/>
    </row>
    <row r="42" spans="1:31" ht="88" x14ac:dyDescent="0.45">
      <c r="A42" s="63" t="s">
        <v>1807</v>
      </c>
      <c r="B42" s="63" t="s">
        <v>1808</v>
      </c>
      <c r="C42" s="68"/>
      <c r="D42" s="63"/>
      <c r="E42" s="63" t="s">
        <v>1809</v>
      </c>
      <c r="F42" s="71" t="str">
        <f>VLOOKUP(B42,'[2]Power '!$A:$C,3,0)</f>
        <v>TowerCo</v>
      </c>
      <c r="G42" s="71" t="str">
        <f>VLOOKUP(B42,'[2]Power '!$A:$D,4,0)</f>
        <v>Grid-Gen</v>
      </c>
      <c r="H42" s="69">
        <v>46174.570428240739</v>
      </c>
      <c r="I42" s="77">
        <f t="shared" ca="1" si="2"/>
        <v>6.0982642361122998</v>
      </c>
      <c r="J42" s="63"/>
      <c r="K42" s="63"/>
      <c r="L42" s="63"/>
      <c r="M42" s="63" t="s">
        <v>41</v>
      </c>
      <c r="N42" s="63" t="s">
        <v>42</v>
      </c>
      <c r="O42" s="63"/>
      <c r="P42" s="63" t="s">
        <v>1906</v>
      </c>
      <c r="Q42" s="63"/>
      <c r="R42" s="63" t="s">
        <v>2072</v>
      </c>
      <c r="S42" s="63" t="s">
        <v>51</v>
      </c>
      <c r="T42" s="63" t="s">
        <v>1898</v>
      </c>
      <c r="U42" s="63" t="s">
        <v>1898</v>
      </c>
      <c r="V42" s="63" t="str">
        <f>VLOOKUP(B42,[2]Overall!$A:$D,4,0)</f>
        <v>H-TELI</v>
      </c>
      <c r="W42" s="63" t="str">
        <f>VLOOKUP(B42,[3]Sheet1!$A:$B,2,0)</f>
        <v>Songloulou</v>
      </c>
      <c r="X42" s="89" t="str">
        <f t="shared" si="3"/>
        <v>EXN</v>
      </c>
      <c r="Y42" s="81" t="str">
        <f t="shared" ca="1" si="4"/>
        <v>T&gt;72H</v>
      </c>
      <c r="Z42" s="63">
        <f t="shared" si="5"/>
        <v>1</v>
      </c>
      <c r="AA42" s="63" t="s">
        <v>77</v>
      </c>
      <c r="AB42" s="85" t="s">
        <v>76</v>
      </c>
      <c r="AC42" s="85" t="s">
        <v>2041</v>
      </c>
      <c r="AD42" s="85" t="s">
        <v>1994</v>
      </c>
      <c r="AE42" s="63"/>
    </row>
    <row r="43" spans="1:31" ht="88" x14ac:dyDescent="0.45">
      <c r="A43" s="63" t="s">
        <v>1807</v>
      </c>
      <c r="B43" s="63" t="s">
        <v>1808</v>
      </c>
      <c r="C43" s="68"/>
      <c r="D43" s="63"/>
      <c r="E43" s="63" t="s">
        <v>1817</v>
      </c>
      <c r="F43" s="71" t="str">
        <f>VLOOKUP(B43,'[2]Power '!$A:$C,3,0)</f>
        <v>TowerCo</v>
      </c>
      <c r="G43" s="71" t="str">
        <f>VLOOKUP(B43,'[2]Power '!$A:$D,4,0)</f>
        <v>Grid-Gen</v>
      </c>
      <c r="H43" s="69">
        <v>46174.570428240739</v>
      </c>
      <c r="I43" s="77">
        <f t="shared" ca="1" si="2"/>
        <v>6.0982642361122998</v>
      </c>
      <c r="J43" s="63"/>
      <c r="K43" s="63"/>
      <c r="L43" s="63"/>
      <c r="M43" s="63" t="s">
        <v>41</v>
      </c>
      <c r="N43" s="63" t="s">
        <v>42</v>
      </c>
      <c r="O43" s="63"/>
      <c r="P43" s="63" t="s">
        <v>1906</v>
      </c>
      <c r="Q43" s="63"/>
      <c r="R43" s="63" t="s">
        <v>2072</v>
      </c>
      <c r="S43" s="63" t="s">
        <v>51</v>
      </c>
      <c r="T43" s="63" t="s">
        <v>1898</v>
      </c>
      <c r="U43" s="63" t="s">
        <v>1898</v>
      </c>
      <c r="V43" s="63" t="str">
        <f>VLOOKUP(B43,[2]Overall!$A:$D,4,0)</f>
        <v>H-TELI</v>
      </c>
      <c r="W43" s="63" t="str">
        <f>VLOOKUP(B43,[3]Sheet1!$A:$B,2,0)</f>
        <v>Songloulou</v>
      </c>
      <c r="X43" s="89" t="str">
        <f t="shared" si="3"/>
        <v>EST</v>
      </c>
      <c r="Y43" s="81" t="str">
        <f t="shared" ca="1" si="4"/>
        <v>T&gt;72H</v>
      </c>
      <c r="Z43" s="63">
        <f t="shared" si="5"/>
        <v>1</v>
      </c>
      <c r="AA43" s="63" t="s">
        <v>77</v>
      </c>
      <c r="AB43" s="85" t="s">
        <v>76</v>
      </c>
      <c r="AC43" s="85" t="s">
        <v>2041</v>
      </c>
      <c r="AD43" s="85" t="s">
        <v>1994</v>
      </c>
      <c r="AE43" s="63"/>
    </row>
    <row r="44" spans="1:31" ht="88" x14ac:dyDescent="0.45">
      <c r="A44" s="63" t="s">
        <v>1807</v>
      </c>
      <c r="B44" s="63" t="s">
        <v>1808</v>
      </c>
      <c r="C44" s="68"/>
      <c r="D44" s="63"/>
      <c r="E44" s="63" t="s">
        <v>1815</v>
      </c>
      <c r="F44" s="71" t="str">
        <f>VLOOKUP(B44,'[2]Power '!$A:$C,3,0)</f>
        <v>TowerCo</v>
      </c>
      <c r="G44" s="71" t="str">
        <f>VLOOKUP(B44,'[2]Power '!$A:$D,4,0)</f>
        <v>Grid-Gen</v>
      </c>
      <c r="H44" s="69">
        <v>46174.570428240739</v>
      </c>
      <c r="I44" s="77">
        <f t="shared" ca="1" si="2"/>
        <v>6.0982642361122998</v>
      </c>
      <c r="J44" s="63"/>
      <c r="K44" s="63"/>
      <c r="L44" s="63"/>
      <c r="M44" s="63" t="s">
        <v>41</v>
      </c>
      <c r="N44" s="63" t="s">
        <v>42</v>
      </c>
      <c r="O44" s="63"/>
      <c r="P44" s="63" t="s">
        <v>1906</v>
      </c>
      <c r="Q44" s="63"/>
      <c r="R44" s="63" t="s">
        <v>2072</v>
      </c>
      <c r="S44" s="63" t="s">
        <v>85</v>
      </c>
      <c r="T44" s="63" t="s">
        <v>1898</v>
      </c>
      <c r="U44" s="63" t="s">
        <v>1898</v>
      </c>
      <c r="V44" s="63" t="str">
        <f>VLOOKUP(B44,[2]Overall!$A:$D,4,0)</f>
        <v>H-TELI</v>
      </c>
      <c r="W44" s="63" t="str">
        <f>VLOOKUP(B44,[3]Sheet1!$A:$B,2,0)</f>
        <v>Songloulou</v>
      </c>
      <c r="X44" s="89" t="str">
        <f t="shared" si="3"/>
        <v>EXN</v>
      </c>
      <c r="Y44" s="81" t="str">
        <f t="shared" ca="1" si="4"/>
        <v>T&gt;72H</v>
      </c>
      <c r="Z44" s="63">
        <f t="shared" si="5"/>
        <v>1</v>
      </c>
      <c r="AA44" s="63" t="s">
        <v>77</v>
      </c>
      <c r="AB44" s="85" t="s">
        <v>76</v>
      </c>
      <c r="AC44" s="85" t="s">
        <v>2041</v>
      </c>
      <c r="AD44" s="85" t="s">
        <v>1994</v>
      </c>
      <c r="AE44" s="63"/>
    </row>
    <row r="45" spans="1:31" ht="73.5" x14ac:dyDescent="0.45">
      <c r="A45" s="63" t="s">
        <v>2037</v>
      </c>
      <c r="B45" s="63" t="s">
        <v>2038</v>
      </c>
      <c r="C45" s="68"/>
      <c r="D45" s="63"/>
      <c r="E45" s="63" t="s">
        <v>2039</v>
      </c>
      <c r="F45" s="71" t="str">
        <f>VLOOKUP(B45,'[2]Power '!$A:$C,3,0)</f>
        <v>TowerCo</v>
      </c>
      <c r="G45" s="71" t="str">
        <f>VLOOKUP(B45,'[2]Power '!$A:$D,4,0)</f>
        <v>Solar-Gen</v>
      </c>
      <c r="H45" s="69">
        <v>46174.650335648148</v>
      </c>
      <c r="I45" s="77">
        <f t="shared" ca="1" si="2"/>
        <v>6.018356828702963</v>
      </c>
      <c r="J45" s="63"/>
      <c r="K45" s="63"/>
      <c r="L45" s="63"/>
      <c r="M45" s="63" t="s">
        <v>44</v>
      </c>
      <c r="N45" s="63" t="s">
        <v>2040</v>
      </c>
      <c r="O45" s="63"/>
      <c r="P45" s="63" t="s">
        <v>1906</v>
      </c>
      <c r="Q45" s="63"/>
      <c r="R45" s="63" t="s">
        <v>2073</v>
      </c>
      <c r="S45" s="63" t="s">
        <v>40</v>
      </c>
      <c r="T45" s="63" t="s">
        <v>1898</v>
      </c>
      <c r="U45" s="63" t="s">
        <v>1898</v>
      </c>
      <c r="V45" s="63" t="str">
        <f>VLOOKUP(B45,[2]Overall!$A:$D,4,0)</f>
        <v>TELEINFRA NORD</v>
      </c>
      <c r="W45" s="63" t="str">
        <f>VLOOKUP(B45,[3]Sheet1!$A:$B,2,0)</f>
        <v>Gueme</v>
      </c>
      <c r="X45" s="89" t="e">
        <f>LEFT(#REF!,3)</f>
        <v>#REF!</v>
      </c>
      <c r="Y45" s="81" t="str">
        <f t="shared" ca="1" si="4"/>
        <v>T&gt;72H</v>
      </c>
      <c r="Z45" s="63">
        <f t="shared" si="5"/>
        <v>6</v>
      </c>
      <c r="AA45" s="63" t="s">
        <v>77</v>
      </c>
      <c r="AB45" s="85" t="s">
        <v>76</v>
      </c>
      <c r="AC45" s="85" t="s">
        <v>2041</v>
      </c>
      <c r="AD45" s="85" t="s">
        <v>1994</v>
      </c>
      <c r="AE45" s="63"/>
    </row>
    <row r="46" spans="1:31" ht="117" x14ac:dyDescent="0.45">
      <c r="A46" s="61" t="s">
        <v>1803</v>
      </c>
      <c r="B46" s="61" t="s">
        <v>1804</v>
      </c>
      <c r="C46" s="65"/>
      <c r="D46" s="61"/>
      <c r="E46" s="61" t="s">
        <v>1805</v>
      </c>
      <c r="F46" s="70" t="str">
        <f>VLOOKUP(B46,'[2]Power '!$A:$C,3,0)</f>
        <v>TowerCo</v>
      </c>
      <c r="G46" s="70" t="str">
        <f>VLOOKUP(B46,'[2]Power '!$A:$D,4,0)</f>
        <v>Hybrid-Gen</v>
      </c>
      <c r="H46" s="67">
        <v>46174.681296296294</v>
      </c>
      <c r="I46" s="75">
        <f t="shared" ca="1" si="2"/>
        <v>5.9873961805569706</v>
      </c>
      <c r="J46" s="61"/>
      <c r="K46" s="61"/>
      <c r="L46" s="61"/>
      <c r="M46" s="61" t="s">
        <v>1627</v>
      </c>
      <c r="N46" s="61" t="s">
        <v>1806</v>
      </c>
      <c r="O46" s="61"/>
      <c r="P46" s="61"/>
      <c r="Q46" s="61"/>
      <c r="R46" s="61" t="s">
        <v>2012</v>
      </c>
      <c r="S46" s="61" t="s">
        <v>45</v>
      </c>
      <c r="T46" s="61" t="s">
        <v>1898</v>
      </c>
      <c r="U46" s="61" t="s">
        <v>1898</v>
      </c>
      <c r="V46" s="61" t="str">
        <f>VLOOKUP(B46,[2]Overall!$A:$D,4,0)</f>
        <v>TELEINFRA CENTRE</v>
      </c>
      <c r="W46" s="61" t="str">
        <f>VLOOKUP(B46,[3]Sheet1!$A:$B,2,0)</f>
        <v>SALAPOUMBE</v>
      </c>
      <c r="X46" s="88" t="str">
        <f>LEFT(B48,3)</f>
        <v/>
      </c>
      <c r="Y46" s="80" t="str">
        <f t="shared" ca="1" si="4"/>
        <v>T&gt;72H</v>
      </c>
      <c r="Z46" s="61">
        <f t="shared" si="5"/>
        <v>1</v>
      </c>
      <c r="AA46" s="61" t="s">
        <v>1566</v>
      </c>
      <c r="AB46" s="84" t="s">
        <v>1554</v>
      </c>
      <c r="AC46" s="84" t="s">
        <v>2041</v>
      </c>
      <c r="AD46" s="84" t="s">
        <v>1994</v>
      </c>
      <c r="AE46" s="61"/>
    </row>
    <row r="47" spans="1:31" ht="175" x14ac:dyDescent="0.45">
      <c r="A47" s="61" t="s">
        <v>1779</v>
      </c>
      <c r="B47" s="61" t="s">
        <v>1780</v>
      </c>
      <c r="C47" s="65"/>
      <c r="D47" s="61"/>
      <c r="E47" s="61" t="s">
        <v>37</v>
      </c>
      <c r="F47" s="70" t="str">
        <f>VLOOKUP(B47,'[2]Power '!$A:$C,3,0)</f>
        <v>TowerCo</v>
      </c>
      <c r="G47" s="70" t="str">
        <f>VLOOKUP(B47,'[2]Power '!$A:$D,4,0)</f>
        <v>Solar-Gen</v>
      </c>
      <c r="H47" s="67">
        <v>46174.685497685183</v>
      </c>
      <c r="I47" s="75">
        <f t="shared" ca="1" si="2"/>
        <v>5.9831947916682111</v>
      </c>
      <c r="J47" s="61"/>
      <c r="K47" s="61"/>
      <c r="L47" s="61"/>
      <c r="M47" s="61" t="s">
        <v>41</v>
      </c>
      <c r="N47" s="61" t="s">
        <v>1781</v>
      </c>
      <c r="O47" s="61"/>
      <c r="P47" s="61"/>
      <c r="Q47" s="61"/>
      <c r="R47" s="61" t="s">
        <v>2007</v>
      </c>
      <c r="S47" s="61" t="s">
        <v>40</v>
      </c>
      <c r="T47" s="61" t="s">
        <v>1883</v>
      </c>
      <c r="U47" s="61" t="s">
        <v>1883</v>
      </c>
      <c r="V47" s="61" t="str">
        <f>VLOOKUP(B47,[2]Overall!$A:$D,4,0)</f>
        <v>TELEINFRA NORD</v>
      </c>
      <c r="W47" s="61" t="str">
        <f>VLOOKUP(B47,[3]Sheet1!$A:$B,2,0)</f>
        <v>Badjonre</v>
      </c>
      <c r="X47" s="88" t="str">
        <f>LEFT(B49,3)</f>
        <v/>
      </c>
      <c r="Y47" s="80" t="str">
        <f t="shared" ca="1" si="4"/>
        <v>T&gt;72H</v>
      </c>
      <c r="Z47" s="61">
        <f t="shared" si="5"/>
        <v>1</v>
      </c>
      <c r="AA47" s="61" t="s">
        <v>1566</v>
      </c>
      <c r="AB47" s="84" t="s">
        <v>1554</v>
      </c>
      <c r="AC47" s="84" t="s">
        <v>2041</v>
      </c>
      <c r="AD47" s="84" t="s">
        <v>1994</v>
      </c>
      <c r="AE47" s="61"/>
    </row>
  </sheetData>
  <autoFilter ref="A1:AE47" xr:uid="{E22ABD9D-97A4-4E77-9C50-E55662058626}"/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0DDD-CD37-4B06-B019-D3C6A95B0133}">
  <sheetPr codeName="Sheet33">
    <tabColor theme="5" tint="-0.249977111117893"/>
  </sheetPr>
  <dimension ref="A1:AE58"/>
  <sheetViews>
    <sheetView zoomScale="70" zoomScaleNormal="70" workbookViewId="0">
      <pane xSplit="6" topLeftCell="S1" activePane="topRight" state="frozen"/>
      <selection activeCell="AB4" sqref="AB4"/>
      <selection pane="topRight" activeCell="F1" sqref="F1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160.5" x14ac:dyDescent="0.45">
      <c r="A2" s="61" t="s">
        <v>1733</v>
      </c>
      <c r="B2" s="61" t="s">
        <v>1734</v>
      </c>
      <c r="C2" s="65"/>
      <c r="D2" s="61"/>
      <c r="E2" s="61" t="s">
        <v>1749</v>
      </c>
      <c r="F2" s="91" t="e">
        <f>VLOOKUP(B2,'[2]Power '!$A:$C,3,0)</f>
        <v>#N/A</v>
      </c>
      <c r="G2" s="91" t="e">
        <f>VLOOKUP(B2,'[2]Power '!$A:$D,4,0)</f>
        <v>#N/A</v>
      </c>
      <c r="H2" s="67">
        <v>46161.849050925928</v>
      </c>
      <c r="I2" s="75">
        <f t="shared" ref="I2:I39" ca="1" si="0">NOW()-H2</f>
        <v>18.819641550922825</v>
      </c>
      <c r="J2" s="61"/>
      <c r="K2" s="61"/>
      <c r="L2" s="61"/>
      <c r="M2" s="61" t="s">
        <v>1750</v>
      </c>
      <c r="N2" s="61" t="s">
        <v>1751</v>
      </c>
      <c r="O2" s="61"/>
      <c r="P2" s="61"/>
      <c r="Q2" s="61"/>
      <c r="R2" s="61" t="s">
        <v>2092</v>
      </c>
      <c r="S2" s="61" t="s">
        <v>45</v>
      </c>
      <c r="T2" s="61" t="s">
        <v>1898</v>
      </c>
      <c r="U2" s="61" t="s">
        <v>1898</v>
      </c>
      <c r="V2" s="61" t="str">
        <f>VLOOKUP(B2,[2]Overall!$A:$D,4,0)</f>
        <v>TELEINFRA CENTRE</v>
      </c>
      <c r="W2" s="61" t="str">
        <f>VLOOKUP(B2,[3]Sheet1!$A:$B,2,0)</f>
        <v>Batchenga</v>
      </c>
      <c r="X2" s="88" t="str">
        <f>LEFT(B5,3)</f>
        <v>ADM</v>
      </c>
      <c r="Y2" s="80" t="str">
        <f t="shared" ref="Y2:Y27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27" si="2">IF(OR(E2="", E2="affected_cells=unknown"), "", LEN(E2)-LEN(SUBSTITUTE(E2, ",", "")) + LEN(E2)-LEN(SUBSTITUTE(E2, ";", "")) + 1)</f>
        <v>1</v>
      </c>
      <c r="AA2" s="61" t="s">
        <v>1566</v>
      </c>
      <c r="AB2" s="61" t="s">
        <v>1554</v>
      </c>
      <c r="AC2" s="84" t="s">
        <v>2070</v>
      </c>
      <c r="AD2" s="84" t="s">
        <v>1994</v>
      </c>
      <c r="AE2" s="61"/>
    </row>
    <row r="3" spans="1:31" ht="160.5" x14ac:dyDescent="0.45">
      <c r="A3" s="61" t="s">
        <v>1733</v>
      </c>
      <c r="B3" s="61" t="s">
        <v>1734</v>
      </c>
      <c r="C3" s="65"/>
      <c r="D3" s="61"/>
      <c r="E3" s="61" t="s">
        <v>1752</v>
      </c>
      <c r="F3" s="91" t="e">
        <f>VLOOKUP(B3,'[2]Power '!$A:$C,3,0)</f>
        <v>#N/A</v>
      </c>
      <c r="G3" s="91" t="e">
        <f>VLOOKUP(B3,'[2]Power '!$A:$D,4,0)</f>
        <v>#N/A</v>
      </c>
      <c r="H3" s="67">
        <v>46161.849050925928</v>
      </c>
      <c r="I3" s="75">
        <f t="shared" ca="1" si="0"/>
        <v>18.819641550922825</v>
      </c>
      <c r="J3" s="61"/>
      <c r="K3" s="61"/>
      <c r="L3" s="61"/>
      <c r="M3" s="61" t="s">
        <v>1750</v>
      </c>
      <c r="N3" s="61" t="s">
        <v>1751</v>
      </c>
      <c r="O3" s="61"/>
      <c r="P3" s="61"/>
      <c r="Q3" s="61"/>
      <c r="R3" s="61" t="s">
        <v>2092</v>
      </c>
      <c r="S3" s="61" t="s">
        <v>45</v>
      </c>
      <c r="T3" s="61" t="s">
        <v>1898</v>
      </c>
      <c r="U3" s="61" t="s">
        <v>1898</v>
      </c>
      <c r="V3" s="61" t="str">
        <f>VLOOKUP(B3,[2]Overall!$A:$D,4,0)</f>
        <v>TELEINFRA CENTRE</v>
      </c>
      <c r="W3" s="61" t="str">
        <f>VLOOKUP(B3,[3]Sheet1!$A:$B,2,0)</f>
        <v>Batchenga</v>
      </c>
      <c r="X3" s="88" t="str">
        <f>LEFT(B6,3)</f>
        <v>NRO</v>
      </c>
      <c r="Y3" s="80" t="str">
        <f t="shared" ca="1" si="1"/>
        <v>T&gt;72H</v>
      </c>
      <c r="Z3" s="61">
        <f t="shared" si="2"/>
        <v>1</v>
      </c>
      <c r="AA3" s="61" t="s">
        <v>1566</v>
      </c>
      <c r="AB3" s="61" t="s">
        <v>1554</v>
      </c>
      <c r="AC3" s="84" t="s">
        <v>2070</v>
      </c>
      <c r="AD3" s="84" t="s">
        <v>1994</v>
      </c>
      <c r="AE3" s="61"/>
    </row>
    <row r="4" spans="1:31" ht="160.5" x14ac:dyDescent="0.45">
      <c r="A4" s="61" t="s">
        <v>1733</v>
      </c>
      <c r="B4" s="61" t="s">
        <v>1734</v>
      </c>
      <c r="C4" s="65"/>
      <c r="D4" s="61"/>
      <c r="E4" s="61" t="s">
        <v>1753</v>
      </c>
      <c r="F4" s="91" t="e">
        <f>VLOOKUP(B4,'[2]Power '!$A:$C,3,0)</f>
        <v>#N/A</v>
      </c>
      <c r="G4" s="91" t="e">
        <f>VLOOKUP(B4,'[2]Power '!$A:$D,4,0)</f>
        <v>#N/A</v>
      </c>
      <c r="H4" s="67">
        <v>46161.849050925928</v>
      </c>
      <c r="I4" s="75">
        <f t="shared" ca="1" si="0"/>
        <v>18.819641550922825</v>
      </c>
      <c r="J4" s="61"/>
      <c r="K4" s="61"/>
      <c r="L4" s="61"/>
      <c r="M4" s="61" t="s">
        <v>1750</v>
      </c>
      <c r="N4" s="61" t="s">
        <v>1751</v>
      </c>
      <c r="O4" s="61"/>
      <c r="P4" s="61"/>
      <c r="Q4" s="61"/>
      <c r="R4" s="61" t="s">
        <v>2092</v>
      </c>
      <c r="S4" s="61" t="s">
        <v>45</v>
      </c>
      <c r="T4" s="61" t="s">
        <v>1898</v>
      </c>
      <c r="U4" s="61" t="s">
        <v>1898</v>
      </c>
      <c r="V4" s="61" t="str">
        <f>VLOOKUP(B4,[2]Overall!$A:$D,4,0)</f>
        <v>TELEINFRA CENTRE</v>
      </c>
      <c r="W4" s="61" t="str">
        <f>VLOOKUP(B4,[3]Sheet1!$A:$B,2,0)</f>
        <v>Batchenga</v>
      </c>
      <c r="X4" s="88" t="e">
        <f>LEFT(#REF!,3)</f>
        <v>#REF!</v>
      </c>
      <c r="Y4" s="80" t="str">
        <f t="shared" ca="1" si="1"/>
        <v>T&gt;72H</v>
      </c>
      <c r="Z4" s="61">
        <f t="shared" si="2"/>
        <v>1</v>
      </c>
      <c r="AA4" s="61" t="s">
        <v>1566</v>
      </c>
      <c r="AB4" s="61" t="s">
        <v>1554</v>
      </c>
      <c r="AC4" s="84" t="s">
        <v>2070</v>
      </c>
      <c r="AD4" s="84" t="s">
        <v>1994</v>
      </c>
      <c r="AE4" s="61"/>
    </row>
    <row r="5" spans="1:31" ht="378" x14ac:dyDescent="0.45">
      <c r="A5" s="61" t="s">
        <v>1710</v>
      </c>
      <c r="B5" s="61" t="s">
        <v>1711</v>
      </c>
      <c r="C5" s="65"/>
      <c r="D5" s="61"/>
      <c r="E5" s="61" t="s">
        <v>49</v>
      </c>
      <c r="F5" s="91" t="str">
        <f>VLOOKUP(B5,'[2]Power '!$A:$C,3,0)</f>
        <v>TowerCo</v>
      </c>
      <c r="G5" s="91" t="str">
        <f>VLOOKUP(B5,'[2]Power '!$A:$D,4,0)</f>
        <v>Solar-Gen</v>
      </c>
      <c r="H5" s="67">
        <v>46163.500115740739</v>
      </c>
      <c r="I5" s="75">
        <f t="shared" ca="1" si="0"/>
        <v>17.1685767361123</v>
      </c>
      <c r="J5" s="61"/>
      <c r="K5" s="61"/>
      <c r="L5" s="61"/>
      <c r="M5" s="61" t="s">
        <v>38</v>
      </c>
      <c r="N5" s="61" t="s">
        <v>1714</v>
      </c>
      <c r="O5" s="61"/>
      <c r="P5" s="61"/>
      <c r="Q5" s="61"/>
      <c r="R5" s="61" t="s">
        <v>2010</v>
      </c>
      <c r="S5" s="61" t="s">
        <v>50</v>
      </c>
      <c r="T5" s="61" t="s">
        <v>1688</v>
      </c>
      <c r="U5" s="61" t="s">
        <v>1688</v>
      </c>
      <c r="V5" s="61" t="str">
        <f>VLOOKUP(B5,[2]Overall!$A:$D,4,0)</f>
        <v>TELEINFRA NORD</v>
      </c>
      <c r="W5" s="61" t="str">
        <f>VLOOKUP(B5,[3]Sheet1!$A:$B,2,0)</f>
        <v>Martap</v>
      </c>
      <c r="X5" s="88" t="e">
        <f>LEFT(#REF!,3)</f>
        <v>#REF!</v>
      </c>
      <c r="Y5" s="80" t="str">
        <f t="shared" ca="1" si="1"/>
        <v>T&gt;72H</v>
      </c>
      <c r="Z5" s="61">
        <f t="shared" si="2"/>
        <v>1</v>
      </c>
      <c r="AA5" s="61" t="s">
        <v>1566</v>
      </c>
      <c r="AB5" s="61" t="s">
        <v>1554</v>
      </c>
      <c r="AC5" s="84" t="s">
        <v>2070</v>
      </c>
      <c r="AD5" s="84" t="s">
        <v>1994</v>
      </c>
      <c r="AE5" s="61"/>
    </row>
    <row r="6" spans="1:31" ht="407.4" customHeight="1" x14ac:dyDescent="0.45">
      <c r="A6" s="61" t="s">
        <v>1624</v>
      </c>
      <c r="B6" s="61" t="s">
        <v>1625</v>
      </c>
      <c r="C6" s="65"/>
      <c r="D6" s="61"/>
      <c r="E6" s="61" t="s">
        <v>1709</v>
      </c>
      <c r="F6" s="91" t="str">
        <f>VLOOKUP(B6,'[2]Power '!$A:$C,3,0)</f>
        <v>TowerCo</v>
      </c>
      <c r="G6" s="91" t="str">
        <f>VLOOKUP(B6,'[2]Power '!$A:$D,4,0)</f>
        <v>Grid-Gen</v>
      </c>
      <c r="H6" s="67">
        <v>46163.574861111112</v>
      </c>
      <c r="I6" s="75">
        <f t="shared" ca="1" si="0"/>
        <v>17.093831365738879</v>
      </c>
      <c r="J6" s="61"/>
      <c r="K6" s="61"/>
      <c r="L6" s="61"/>
      <c r="M6" s="61" t="s">
        <v>33</v>
      </c>
      <c r="N6" s="61" t="s">
        <v>1626</v>
      </c>
      <c r="O6" s="61"/>
      <c r="P6" s="61"/>
      <c r="Q6" s="61"/>
      <c r="R6" s="61" t="s">
        <v>2088</v>
      </c>
      <c r="S6" s="61" t="s">
        <v>32</v>
      </c>
      <c r="T6" s="61" t="s">
        <v>1900</v>
      </c>
      <c r="U6" s="61" t="s">
        <v>1900</v>
      </c>
      <c r="V6" s="61" t="str">
        <f>VLOOKUP(B6,[2]Overall!$A:$D,4,0)</f>
        <v xml:space="preserve">I-ENG </v>
      </c>
      <c r="W6" s="61" t="str">
        <f>VLOOKUP(B6,[3]Sheet1!$A:$B,2,0)</f>
        <v>Kembong</v>
      </c>
      <c r="X6" s="88" t="e">
        <f>LEFT(#REF!,3)</f>
        <v>#REF!</v>
      </c>
      <c r="Y6" s="80" t="str">
        <f t="shared" ca="1" si="1"/>
        <v>T&gt;72H</v>
      </c>
      <c r="Z6" s="61">
        <f t="shared" si="2"/>
        <v>2</v>
      </c>
      <c r="AA6" s="61" t="s">
        <v>1566</v>
      </c>
      <c r="AB6" s="61" t="s">
        <v>1554</v>
      </c>
      <c r="AC6" s="84" t="s">
        <v>2070</v>
      </c>
      <c r="AD6" s="84" t="s">
        <v>1994</v>
      </c>
      <c r="AE6" s="61"/>
    </row>
    <row r="7" spans="1:31" ht="88" x14ac:dyDescent="0.45">
      <c r="A7" s="61" t="s">
        <v>1783</v>
      </c>
      <c r="B7" s="61" t="s">
        <v>1784</v>
      </c>
      <c r="C7" s="65"/>
      <c r="D7" s="61"/>
      <c r="E7" s="61" t="s">
        <v>1785</v>
      </c>
      <c r="F7" s="91" t="str">
        <f>VLOOKUP(B7,'[2]Power '!$A:$C,3,0)</f>
        <v>TowerCo</v>
      </c>
      <c r="G7" s="91" t="str">
        <f>VLOOKUP(B7,'[2]Power '!$A:$D,4,0)</f>
        <v>Solar-Gen</v>
      </c>
      <c r="H7" s="67">
        <v>46167.751979166664</v>
      </c>
      <c r="I7" s="75">
        <f t="shared" ca="1" si="0"/>
        <v>12.916713310187333</v>
      </c>
      <c r="J7" s="61"/>
      <c r="K7" s="61"/>
      <c r="L7" s="61"/>
      <c r="M7" s="61" t="s">
        <v>1605</v>
      </c>
      <c r="N7" s="61" t="s">
        <v>1786</v>
      </c>
      <c r="O7" s="61"/>
      <c r="P7" s="61"/>
      <c r="Q7" s="61"/>
      <c r="R7" s="61" t="s">
        <v>2014</v>
      </c>
      <c r="S7" s="61" t="s">
        <v>71</v>
      </c>
      <c r="T7" s="61" t="s">
        <v>1895</v>
      </c>
      <c r="U7" s="61" t="s">
        <v>1896</v>
      </c>
      <c r="V7" s="61" t="str">
        <f>VLOOKUP(B7,[2]Overall!$A:$D,4,0)</f>
        <v>TELEINFRA CENTRE</v>
      </c>
      <c r="W7" s="61" t="str">
        <f>VLOOKUP(B7,[3]Sheet1!$A:$B,2,0)</f>
        <v>Song-Bong</v>
      </c>
      <c r="X7" s="88" t="str">
        <f>LEFT(B10,3)</f>
        <v>EXN</v>
      </c>
      <c r="Y7" s="80" t="str">
        <f t="shared" ca="1" si="1"/>
        <v>T&gt;72H</v>
      </c>
      <c r="Z7" s="61">
        <f t="shared" si="2"/>
        <v>4</v>
      </c>
      <c r="AA7" s="61" t="s">
        <v>1566</v>
      </c>
      <c r="AB7" s="61" t="s">
        <v>1554</v>
      </c>
      <c r="AC7" s="84" t="s">
        <v>2070</v>
      </c>
      <c r="AD7" s="84" t="s">
        <v>1994</v>
      </c>
      <c r="AE7" s="61"/>
    </row>
    <row r="8" spans="1:31" ht="88" x14ac:dyDescent="0.45">
      <c r="A8" s="61" t="s">
        <v>1783</v>
      </c>
      <c r="B8" s="61" t="s">
        <v>1784</v>
      </c>
      <c r="C8" s="65"/>
      <c r="D8" s="61"/>
      <c r="E8" s="61" t="s">
        <v>1787</v>
      </c>
      <c r="F8" s="91" t="str">
        <f>VLOOKUP(B8,'[2]Power '!$A:$C,3,0)</f>
        <v>TowerCo</v>
      </c>
      <c r="G8" s="91" t="str">
        <f>VLOOKUP(B8,'[2]Power '!$A:$D,4,0)</f>
        <v>Solar-Gen</v>
      </c>
      <c r="H8" s="67">
        <v>46167.766516203701</v>
      </c>
      <c r="I8" s="75">
        <f t="shared" ca="1" si="0"/>
        <v>12.902176273149962</v>
      </c>
      <c r="J8" s="61"/>
      <c r="K8" s="61"/>
      <c r="L8" s="61"/>
      <c r="M8" s="61" t="s">
        <v>1605</v>
      </c>
      <c r="N8" s="61" t="s">
        <v>1788</v>
      </c>
      <c r="O8" s="61"/>
      <c r="P8" s="61"/>
      <c r="Q8" s="61"/>
      <c r="R8" s="61" t="s">
        <v>2014</v>
      </c>
      <c r="S8" s="61" t="s">
        <v>71</v>
      </c>
      <c r="T8" s="61" t="s">
        <v>1895</v>
      </c>
      <c r="U8" s="61" t="s">
        <v>1896</v>
      </c>
      <c r="V8" s="61" t="str">
        <f>VLOOKUP(B8,[2]Overall!$A:$D,4,0)</f>
        <v>TELEINFRA CENTRE</v>
      </c>
      <c r="W8" s="61" t="str">
        <f>VLOOKUP(B8,[3]Sheet1!$A:$B,2,0)</f>
        <v>Song-Bong</v>
      </c>
      <c r="X8" s="88" t="str">
        <f>LEFT(B11,3)</f>
        <v>EXN</v>
      </c>
      <c r="Y8" s="80" t="str">
        <f t="shared" ca="1" si="1"/>
        <v>T&gt;72H</v>
      </c>
      <c r="Z8" s="61">
        <f t="shared" si="2"/>
        <v>2</v>
      </c>
      <c r="AA8" s="61" t="s">
        <v>1566</v>
      </c>
      <c r="AB8" s="61" t="s">
        <v>1554</v>
      </c>
      <c r="AC8" s="84" t="s">
        <v>2070</v>
      </c>
      <c r="AD8" s="84" t="s">
        <v>1994</v>
      </c>
      <c r="AE8" s="61"/>
    </row>
    <row r="9" spans="1:31" ht="175" x14ac:dyDescent="0.45">
      <c r="A9" s="57" t="s">
        <v>1913</v>
      </c>
      <c r="B9" s="61" t="s">
        <v>1914</v>
      </c>
      <c r="C9" s="65"/>
      <c r="D9" s="61"/>
      <c r="E9" s="61" t="s">
        <v>43</v>
      </c>
      <c r="F9" s="91" t="str">
        <f>VLOOKUP(B9,'[2]Power '!$A:$C,3,0)</f>
        <v>TowerCo</v>
      </c>
      <c r="G9" s="91" t="str">
        <f>VLOOKUP(B9,'[2]Power '!$A:$D,4,0)</f>
        <v>Gen Only</v>
      </c>
      <c r="H9" s="67">
        <v>46168.171053240738</v>
      </c>
      <c r="I9" s="75">
        <f t="shared" ca="1" si="0"/>
        <v>12.497639236113173</v>
      </c>
      <c r="J9" s="61"/>
      <c r="K9" s="61"/>
      <c r="L9" s="61"/>
      <c r="M9" s="61" t="s">
        <v>31</v>
      </c>
      <c r="N9" s="61" t="s">
        <v>1915</v>
      </c>
      <c r="O9" s="61"/>
      <c r="P9" s="61"/>
      <c r="Q9" s="61"/>
      <c r="R9" s="61" t="s">
        <v>2078</v>
      </c>
      <c r="S9" s="61" t="s">
        <v>40</v>
      </c>
      <c r="T9" s="61" t="s">
        <v>1840</v>
      </c>
      <c r="U9" s="61" t="s">
        <v>1840</v>
      </c>
      <c r="V9" s="61" t="str">
        <f>VLOOKUP(B9,[2]Overall!$A:$D,4,0)</f>
        <v>TELEINFRA NORD</v>
      </c>
      <c r="W9" s="61" t="str">
        <f>VLOOKUP(B9,[3]Sheet1!$A:$B,2,0)</f>
        <v>Dogba</v>
      </c>
      <c r="X9" s="88" t="str">
        <f>LEFT(B12,3)</f>
        <v>SUO</v>
      </c>
      <c r="Y9" s="80" t="str">
        <f t="shared" ca="1" si="1"/>
        <v>T&gt;72H</v>
      </c>
      <c r="Z9" s="61">
        <f t="shared" si="2"/>
        <v>4</v>
      </c>
      <c r="AA9" s="61" t="s">
        <v>1566</v>
      </c>
      <c r="AB9" s="61" t="s">
        <v>1554</v>
      </c>
      <c r="AC9" s="84" t="s">
        <v>2070</v>
      </c>
      <c r="AD9" s="84" t="s">
        <v>1994</v>
      </c>
      <c r="AE9" s="61"/>
    </row>
    <row r="10" spans="1:31" ht="175" x14ac:dyDescent="0.45">
      <c r="A10" s="57" t="s">
        <v>1913</v>
      </c>
      <c r="B10" s="61" t="s">
        <v>1914</v>
      </c>
      <c r="C10" s="65"/>
      <c r="D10" s="61"/>
      <c r="E10" s="61" t="s">
        <v>35</v>
      </c>
      <c r="F10" s="91" t="str">
        <f>VLOOKUP(B10,'[2]Power '!$A:$C,3,0)</f>
        <v>TowerCo</v>
      </c>
      <c r="G10" s="91" t="str">
        <f>VLOOKUP(B10,'[2]Power '!$A:$D,4,0)</f>
        <v>Gen Only</v>
      </c>
      <c r="H10" s="67">
        <v>46168.171064814815</v>
      </c>
      <c r="I10" s="75">
        <f t="shared" ca="1" si="0"/>
        <v>12.497627662036393</v>
      </c>
      <c r="J10" s="61"/>
      <c r="K10" s="61"/>
      <c r="L10" s="61"/>
      <c r="M10" s="61" t="s">
        <v>31</v>
      </c>
      <c r="N10" s="61" t="s">
        <v>1916</v>
      </c>
      <c r="O10" s="61"/>
      <c r="P10" s="61"/>
      <c r="Q10" s="61"/>
      <c r="R10" s="61" t="s">
        <v>2078</v>
      </c>
      <c r="S10" s="61" t="s">
        <v>40</v>
      </c>
      <c r="T10" s="61" t="s">
        <v>1840</v>
      </c>
      <c r="U10" s="61" t="s">
        <v>1840</v>
      </c>
      <c r="V10" s="61" t="str">
        <f>VLOOKUP(B10,[2]Overall!$A:$D,4,0)</f>
        <v>TELEINFRA NORD</v>
      </c>
      <c r="W10" s="61" t="str">
        <f>VLOOKUP(B10,[3]Sheet1!$A:$B,2,0)</f>
        <v>Dogba</v>
      </c>
      <c r="X10" s="88" t="e">
        <f>LEFT(#REF!,3)</f>
        <v>#REF!</v>
      </c>
      <c r="Y10" s="80" t="str">
        <f t="shared" ca="1" si="1"/>
        <v>T&gt;72H</v>
      </c>
      <c r="Z10" s="61">
        <f t="shared" si="2"/>
        <v>3</v>
      </c>
      <c r="AA10" s="61" t="s">
        <v>1566</v>
      </c>
      <c r="AB10" s="61" t="s">
        <v>1554</v>
      </c>
      <c r="AC10" s="84" t="s">
        <v>2070</v>
      </c>
      <c r="AD10" s="84" t="s">
        <v>1994</v>
      </c>
      <c r="AE10" s="61"/>
    </row>
    <row r="11" spans="1:31" ht="117" x14ac:dyDescent="0.45">
      <c r="A11" s="61" t="s">
        <v>1828</v>
      </c>
      <c r="B11" s="61" t="s">
        <v>1829</v>
      </c>
      <c r="C11" s="65"/>
      <c r="D11" s="61"/>
      <c r="E11" s="61" t="s">
        <v>39</v>
      </c>
      <c r="F11" s="91" t="str">
        <f>VLOOKUP(B11,'[2]Power '!$A:$C,3,0)</f>
        <v>TowerCo</v>
      </c>
      <c r="G11" s="91" t="str">
        <f>VLOOKUP(B11,'[2]Power '!$A:$D,4,0)</f>
        <v>Solar-Grid-Gen</v>
      </c>
      <c r="H11" s="67">
        <v>46168.536261574074</v>
      </c>
      <c r="I11" s="75">
        <f t="shared" ca="1" si="0"/>
        <v>12.132430902776832</v>
      </c>
      <c r="J11" s="61"/>
      <c r="K11" s="61"/>
      <c r="L11" s="61"/>
      <c r="M11" s="61" t="s">
        <v>1712</v>
      </c>
      <c r="N11" s="61" t="s">
        <v>1830</v>
      </c>
      <c r="O11" s="61"/>
      <c r="P11" s="61"/>
      <c r="Q11" s="61"/>
      <c r="R11" s="61" t="s">
        <v>2074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Zigague</v>
      </c>
      <c r="X11" s="88" t="e">
        <f>LEFT(#REF!,3)</f>
        <v>#REF!</v>
      </c>
      <c r="Y11" s="80" t="str">
        <f t="shared" ca="1" si="1"/>
        <v>T&gt;72H</v>
      </c>
      <c r="Z11" s="61">
        <f t="shared" si="2"/>
        <v>1</v>
      </c>
      <c r="AA11" s="61" t="s">
        <v>1566</v>
      </c>
      <c r="AB11" s="61" t="s">
        <v>1554</v>
      </c>
      <c r="AC11" s="84" t="s">
        <v>2070</v>
      </c>
      <c r="AD11" s="84" t="s">
        <v>1994</v>
      </c>
      <c r="AE11" s="61"/>
    </row>
    <row r="12" spans="1:31" ht="131.5" x14ac:dyDescent="0.45">
      <c r="A12" s="61" t="s">
        <v>1834</v>
      </c>
      <c r="B12" s="61" t="s">
        <v>1835</v>
      </c>
      <c r="C12" s="65"/>
      <c r="D12" s="61"/>
      <c r="E12" s="61" t="s">
        <v>39</v>
      </c>
      <c r="F12" s="91" t="str">
        <f>VLOOKUP(B12,'[2]Power '!$A:$C,3,0)</f>
        <v>TowerCo</v>
      </c>
      <c r="G12" s="91" t="str">
        <f>VLOOKUP(B12,'[2]Power '!$A:$D,4,0)</f>
        <v>Grid-Gen</v>
      </c>
      <c r="H12" s="67">
        <v>46168.908518518518</v>
      </c>
      <c r="I12" s="75">
        <f t="shared" ca="1" si="0"/>
        <v>11.760173958333326</v>
      </c>
      <c r="J12" s="61"/>
      <c r="K12" s="61"/>
      <c r="L12" s="61"/>
      <c r="M12" s="61" t="s">
        <v>1836</v>
      </c>
      <c r="N12" s="61" t="s">
        <v>1837</v>
      </c>
      <c r="O12" s="61"/>
      <c r="P12" s="61"/>
      <c r="Q12" s="61"/>
      <c r="R12" s="61" t="s">
        <v>2080</v>
      </c>
      <c r="S12" s="61" t="s">
        <v>85</v>
      </c>
      <c r="T12" s="61" t="s">
        <v>1899</v>
      </c>
      <c r="U12" s="61" t="s">
        <v>1899</v>
      </c>
      <c r="V12" s="61" t="str">
        <f>VLOOKUP(B12,[2]Overall!$A:$D,4,0)</f>
        <v>H-TELI</v>
      </c>
      <c r="W12" s="61" t="str">
        <f>VLOOKUP(B12,[3]Sheet1!$A:$B,2,0)</f>
        <v>Ebonji</v>
      </c>
      <c r="X12" s="88" t="str">
        <f>LEFT(B13,3)</f>
        <v>NRO</v>
      </c>
      <c r="Y12" s="80" t="str">
        <f t="shared" ca="1" si="1"/>
        <v>T&gt;72H</v>
      </c>
      <c r="Z12" s="61">
        <f t="shared" si="2"/>
        <v>1</v>
      </c>
      <c r="AA12" s="61" t="s">
        <v>1566</v>
      </c>
      <c r="AB12" s="61" t="s">
        <v>1554</v>
      </c>
      <c r="AC12" s="84" t="s">
        <v>2070</v>
      </c>
      <c r="AD12" s="84" t="s">
        <v>1994</v>
      </c>
      <c r="AE12" s="61"/>
    </row>
    <row r="13" spans="1:31" ht="175" x14ac:dyDescent="0.45">
      <c r="A13" s="61" t="s">
        <v>1776</v>
      </c>
      <c r="B13" s="61" t="s">
        <v>1777</v>
      </c>
      <c r="C13" s="65"/>
      <c r="D13" s="61"/>
      <c r="E13" s="61" t="s">
        <v>35</v>
      </c>
      <c r="F13" s="91" t="str">
        <f>VLOOKUP(B13,'[2]Power '!$A:$C,3,0)</f>
        <v>TowerCo</v>
      </c>
      <c r="G13" s="91" t="str">
        <f>VLOOKUP(B13,'[2]Power '!$A:$D,4,0)</f>
        <v>Hybrid-Gen</v>
      </c>
      <c r="H13" s="67">
        <v>46169.530451388891</v>
      </c>
      <c r="I13" s="75">
        <f t="shared" ca="1" si="0"/>
        <v>11.138241087959614</v>
      </c>
      <c r="J13" s="61"/>
      <c r="K13" s="61"/>
      <c r="L13" s="61"/>
      <c r="M13" s="61" t="s">
        <v>31</v>
      </c>
      <c r="N13" s="61" t="s">
        <v>1778</v>
      </c>
      <c r="O13" s="61"/>
      <c r="P13" s="61"/>
      <c r="Q13" s="61"/>
      <c r="R13" s="61" t="s">
        <v>2085</v>
      </c>
      <c r="S13" s="61" t="s">
        <v>32</v>
      </c>
      <c r="T13" s="61" t="s">
        <v>1898</v>
      </c>
      <c r="U13" s="61" t="s">
        <v>1898</v>
      </c>
      <c r="V13" s="61" t="str">
        <f>VLOOKUP(B13,[2]Overall!$A:$D,4,0)</f>
        <v xml:space="preserve">I-ENG </v>
      </c>
      <c r="W13" s="61" t="str">
        <f>VLOOKUP(B13,[3]Sheet1!$A:$B,2,0)</f>
        <v>Bafmeng</v>
      </c>
      <c r="X13" s="88" t="e">
        <f>LEFT(#REF!,3)</f>
        <v>#REF!</v>
      </c>
      <c r="Y13" s="80" t="str">
        <f t="shared" ca="1" si="1"/>
        <v>T&gt;72H</v>
      </c>
      <c r="Z13" s="61">
        <f t="shared" si="2"/>
        <v>3</v>
      </c>
      <c r="AA13" s="61" t="s">
        <v>1566</v>
      </c>
      <c r="AB13" s="61" t="s">
        <v>1554</v>
      </c>
      <c r="AC13" s="84" t="s">
        <v>2070</v>
      </c>
      <c r="AD13" s="84" t="s">
        <v>1994</v>
      </c>
      <c r="AE13" s="61"/>
    </row>
    <row r="14" spans="1:31" ht="146" x14ac:dyDescent="0.45">
      <c r="A14" s="63" t="s">
        <v>1838</v>
      </c>
      <c r="B14" s="63" t="s">
        <v>1839</v>
      </c>
      <c r="C14" s="68"/>
      <c r="D14" s="63"/>
      <c r="E14" s="63" t="s">
        <v>35</v>
      </c>
      <c r="F14" s="71" t="str">
        <f>VLOOKUP(B14,'[2]Power '!$A:$C,3,0)</f>
        <v>ESCO</v>
      </c>
      <c r="G14" s="71" t="str">
        <f>VLOOKUP(B14,'[2]Power '!$A:$D,4,0)</f>
        <v>Good Grid + Solar + GE</v>
      </c>
      <c r="H14" s="69">
        <v>46170.251458333332</v>
      </c>
      <c r="I14" s="77">
        <f t="shared" ca="1" si="0"/>
        <v>10.417234143518726</v>
      </c>
      <c r="J14" s="63"/>
      <c r="K14" s="63"/>
      <c r="L14" s="63"/>
      <c r="M14" s="63" t="s">
        <v>31</v>
      </c>
      <c r="N14" s="63" t="s">
        <v>1842</v>
      </c>
      <c r="O14" s="63"/>
      <c r="P14" s="63" t="s">
        <v>2082</v>
      </c>
      <c r="Q14" s="63"/>
      <c r="R14" s="63" t="s">
        <v>2081</v>
      </c>
      <c r="S14" s="63" t="s">
        <v>45</v>
      </c>
      <c r="T14" s="63" t="s">
        <v>1958</v>
      </c>
      <c r="U14" s="63" t="s">
        <v>1958</v>
      </c>
      <c r="V14" s="63" t="str">
        <f>VLOOKUP(B14,[2]Overall!$A:$D,4,0)</f>
        <v>TELEINFRA CENTRE</v>
      </c>
      <c r="W14" s="63" t="str">
        <f>VLOOKUP(B14,[3]Sheet1!$A:$B,2,0)</f>
        <v>Yokadouma</v>
      </c>
      <c r="X14" s="89" t="e">
        <f>LEFT(#REF!,3)</f>
        <v>#REF!</v>
      </c>
      <c r="Y14" s="81" t="str">
        <f t="shared" ca="1" si="1"/>
        <v>T&gt;72H</v>
      </c>
      <c r="Z14" s="63">
        <f t="shared" si="2"/>
        <v>3</v>
      </c>
      <c r="AA14" s="63" t="s">
        <v>77</v>
      </c>
      <c r="AB14" s="63" t="s">
        <v>1554</v>
      </c>
      <c r="AC14" s="85" t="s">
        <v>2070</v>
      </c>
      <c r="AD14" s="85" t="s">
        <v>1994</v>
      </c>
      <c r="AE14" s="63"/>
    </row>
    <row r="15" spans="1:31" ht="131.5" x14ac:dyDescent="0.45">
      <c r="A15" s="61" t="s">
        <v>1581</v>
      </c>
      <c r="B15" s="61" t="s">
        <v>1582</v>
      </c>
      <c r="C15" s="65"/>
      <c r="D15" s="61"/>
      <c r="E15" s="61" t="s">
        <v>1937</v>
      </c>
      <c r="F15" s="91" t="str">
        <f>VLOOKUP(B15,'[2]Power '!$A:$C,3,0)</f>
        <v>TowerCo</v>
      </c>
      <c r="G15" s="91" t="str">
        <f>VLOOKUP(B15,'[2]Power '!$A:$D,4,0)</f>
        <v>Grid-Gen</v>
      </c>
      <c r="H15" s="67">
        <v>46172.450324074074</v>
      </c>
      <c r="I15" s="75">
        <f t="shared" ca="1" si="0"/>
        <v>8.2183684027768322</v>
      </c>
      <c r="J15" s="61"/>
      <c r="K15" s="61"/>
      <c r="L15" s="61"/>
      <c r="M15" s="61" t="s">
        <v>41</v>
      </c>
      <c r="N15" s="61" t="s">
        <v>1938</v>
      </c>
      <c r="O15" s="61"/>
      <c r="P15" s="61"/>
      <c r="Q15" s="61"/>
      <c r="R15" s="61" t="s">
        <v>2086</v>
      </c>
      <c r="S15" s="61" t="s">
        <v>32</v>
      </c>
      <c r="T15" s="61" t="s">
        <v>1840</v>
      </c>
      <c r="U15" s="61" t="s">
        <v>1840</v>
      </c>
      <c r="V15" s="61" t="str">
        <f>VLOOKUP(B15,[2]Overall!$A:$D,4,0)</f>
        <v xml:space="preserve">I-ENG </v>
      </c>
      <c r="W15" s="61" t="str">
        <f>VLOOKUP(B15,[3]Sheet1!$A:$B,2,0)</f>
        <v>Batibo</v>
      </c>
      <c r="X15" s="88" t="str">
        <f>LEFT(B18,3)</f>
        <v>ADM</v>
      </c>
      <c r="Y15" s="80" t="str">
        <f t="shared" ca="1" si="1"/>
        <v>T&gt;72H</v>
      </c>
      <c r="Z15" s="61">
        <f t="shared" si="2"/>
        <v>1</v>
      </c>
      <c r="AA15" s="61" t="s">
        <v>1566</v>
      </c>
      <c r="AB15" s="61" t="s">
        <v>1554</v>
      </c>
      <c r="AC15" s="84" t="s">
        <v>2070</v>
      </c>
      <c r="AD15" s="84" t="s">
        <v>1994</v>
      </c>
      <c r="AE15" s="61"/>
    </row>
    <row r="16" spans="1:31" ht="102.5" x14ac:dyDescent="0.45">
      <c r="A16" s="61" t="s">
        <v>1930</v>
      </c>
      <c r="B16" s="61" t="s">
        <v>1931</v>
      </c>
      <c r="C16" s="65"/>
      <c r="D16" s="61"/>
      <c r="E16" s="61" t="s">
        <v>34</v>
      </c>
      <c r="F16" s="91" t="str">
        <f>VLOOKUP(B16,'[2]Power '!$A:$C,3,0)</f>
        <v>TowerCo</v>
      </c>
      <c r="G16" s="91" t="str">
        <f>VLOOKUP(B16,'[2]Power '!$A:$D,4,0)</f>
        <v>Hybrid-Gen</v>
      </c>
      <c r="H16" s="67">
        <v>46172.534074074072</v>
      </c>
      <c r="I16" s="75">
        <f t="shared" ca="1" si="0"/>
        <v>8.1346184027788695</v>
      </c>
      <c r="J16" s="61"/>
      <c r="K16" s="61"/>
      <c r="L16" s="61"/>
      <c r="M16" s="61" t="s">
        <v>1929</v>
      </c>
      <c r="N16" s="61" t="s">
        <v>1932</v>
      </c>
      <c r="O16" s="61"/>
      <c r="P16" s="61"/>
      <c r="Q16" s="61"/>
      <c r="R16" s="61" t="s">
        <v>2079</v>
      </c>
      <c r="S16" s="61" t="s">
        <v>40</v>
      </c>
      <c r="T16" s="61" t="s">
        <v>1898</v>
      </c>
      <c r="U16" s="61" t="s">
        <v>1898</v>
      </c>
      <c r="V16" s="61" t="str">
        <f>VLOOKUP(B16,[2]Overall!$A:$D,4,0)</f>
        <v>TELEINFRA NORD</v>
      </c>
      <c r="W16" s="61" t="str">
        <f>VLOOKUP(B16,[3]Sheet1!$A:$B,2,0)</f>
        <v>Mazera</v>
      </c>
      <c r="X16" s="88" t="e">
        <f>LEFT(#REF!,3)</f>
        <v>#REF!</v>
      </c>
      <c r="Y16" s="80" t="str">
        <f t="shared" ca="1" si="1"/>
        <v>T&gt;72H</v>
      </c>
      <c r="Z16" s="61">
        <f t="shared" si="2"/>
        <v>1</v>
      </c>
      <c r="AA16" s="61" t="s">
        <v>1566</v>
      </c>
      <c r="AB16" s="61" t="s">
        <v>1554</v>
      </c>
      <c r="AC16" s="84" t="s">
        <v>2070</v>
      </c>
      <c r="AD16" s="84" t="s">
        <v>1994</v>
      </c>
      <c r="AE16" s="61"/>
    </row>
    <row r="17" spans="1:31" ht="160.5" x14ac:dyDescent="0.45">
      <c r="A17" s="61" t="s">
        <v>1920</v>
      </c>
      <c r="B17" s="61" t="s">
        <v>1921</v>
      </c>
      <c r="C17" s="65"/>
      <c r="D17" s="61"/>
      <c r="E17" s="61" t="s">
        <v>1922</v>
      </c>
      <c r="F17" s="91" t="str">
        <f>VLOOKUP(B17,'[2]Power '!$A:$C,3,0)</f>
        <v>TowerCo</v>
      </c>
      <c r="G17" s="91" t="str">
        <f>VLOOKUP(B17,'[2]Power '!$A:$D,4,0)</f>
        <v>Grid-Gen</v>
      </c>
      <c r="H17" s="67">
        <v>46172.580775462964</v>
      </c>
      <c r="I17" s="75">
        <f t="shared" ca="1" si="0"/>
        <v>8.0879170138869085</v>
      </c>
      <c r="J17" s="61"/>
      <c r="K17" s="61"/>
      <c r="L17" s="61"/>
      <c r="M17" s="61" t="s">
        <v>31</v>
      </c>
      <c r="N17" s="61" t="s">
        <v>1923</v>
      </c>
      <c r="O17" s="61"/>
      <c r="P17" s="61"/>
      <c r="Q17" s="61"/>
      <c r="R17" s="61" t="s">
        <v>2093</v>
      </c>
      <c r="S17" s="61" t="s">
        <v>40</v>
      </c>
      <c r="T17" s="61" t="s">
        <v>1898</v>
      </c>
      <c r="U17" s="61" t="s">
        <v>1898</v>
      </c>
      <c r="V17" s="61" t="str">
        <f>VLOOKUP(B17,[2]Overall!$A:$D,4,0)</f>
        <v>TELEINFRA NORD</v>
      </c>
      <c r="W17" s="61" t="str">
        <f>VLOOKUP(B17,[3]Sheet1!$A:$B,2,0)</f>
        <v>Mbidou</v>
      </c>
      <c r="X17" s="88" t="str">
        <f>LEFT(B19,3)</f>
        <v>NRO</v>
      </c>
      <c r="Y17" s="80" t="str">
        <f t="shared" ca="1" si="1"/>
        <v>T&gt;72H</v>
      </c>
      <c r="Z17" s="61">
        <f t="shared" si="2"/>
        <v>3</v>
      </c>
      <c r="AA17" s="61" t="s">
        <v>1566</v>
      </c>
      <c r="AB17" s="61" t="s">
        <v>1554</v>
      </c>
      <c r="AC17" s="84" t="s">
        <v>2070</v>
      </c>
      <c r="AD17" s="84" t="s">
        <v>1994</v>
      </c>
      <c r="AE17" s="61"/>
    </row>
    <row r="18" spans="1:31" ht="160.5" x14ac:dyDescent="0.45">
      <c r="A18" s="61" t="s">
        <v>1920</v>
      </c>
      <c r="B18" s="61" t="s">
        <v>1921</v>
      </c>
      <c r="C18" s="65"/>
      <c r="D18" s="61"/>
      <c r="E18" s="61" t="s">
        <v>1922</v>
      </c>
      <c r="F18" s="91" t="str">
        <f>VLOOKUP(B18,'[2]Power '!$A:$C,3,0)</f>
        <v>TowerCo</v>
      </c>
      <c r="G18" s="91" t="str">
        <f>VLOOKUP(B18,'[2]Power '!$A:$D,4,0)</f>
        <v>Grid-Gen</v>
      </c>
      <c r="H18" s="67">
        <v>46172.588692129626</v>
      </c>
      <c r="I18" s="75">
        <f t="shared" ca="1" si="0"/>
        <v>8.0800003472249955</v>
      </c>
      <c r="J18" s="61"/>
      <c r="K18" s="61"/>
      <c r="L18" s="61"/>
      <c r="M18" s="61" t="s">
        <v>1713</v>
      </c>
      <c r="N18" s="61" t="s">
        <v>1952</v>
      </c>
      <c r="O18" s="61"/>
      <c r="P18" s="61"/>
      <c r="Q18" s="61"/>
      <c r="R18" s="61" t="s">
        <v>2093</v>
      </c>
      <c r="S18" s="61" t="s">
        <v>40</v>
      </c>
      <c r="T18" s="61" t="s">
        <v>1898</v>
      </c>
      <c r="U18" s="61" t="s">
        <v>1898</v>
      </c>
      <c r="V18" s="61" t="str">
        <f>VLOOKUP(B18,[2]Overall!$A:$D,4,0)</f>
        <v>TELEINFRA NORD</v>
      </c>
      <c r="W18" s="61" t="str">
        <f>VLOOKUP(B18,[3]Sheet1!$A:$B,2,0)</f>
        <v>Mbidou</v>
      </c>
      <c r="X18" s="88" t="str">
        <f>LEFT(B20,3)</f>
        <v>NRD</v>
      </c>
      <c r="Y18" s="80" t="str">
        <f t="shared" ca="1" si="1"/>
        <v>T&gt;72H</v>
      </c>
      <c r="Z18" s="61">
        <f t="shared" si="2"/>
        <v>3</v>
      </c>
      <c r="AA18" s="61" t="s">
        <v>1566</v>
      </c>
      <c r="AB18" s="61" t="s">
        <v>1554</v>
      </c>
      <c r="AC18" s="84" t="s">
        <v>2070</v>
      </c>
      <c r="AD18" s="84" t="s">
        <v>1994</v>
      </c>
      <c r="AE18" s="61"/>
    </row>
    <row r="19" spans="1:31" ht="349" x14ac:dyDescent="0.45">
      <c r="A19" s="61" t="s">
        <v>1724</v>
      </c>
      <c r="B19" s="61" t="s">
        <v>1725</v>
      </c>
      <c r="C19" s="65"/>
      <c r="D19" s="61"/>
      <c r="E19" s="61" t="s">
        <v>1726</v>
      </c>
      <c r="F19" s="91" t="str">
        <f>VLOOKUP(B19,'[2]Power '!$A:$C,3,0)</f>
        <v>TowerCo</v>
      </c>
      <c r="G19" s="91" t="str">
        <f>VLOOKUP(B19,'[2]Power '!$A:$D,4,0)</f>
        <v>Hybrid-Gen</v>
      </c>
      <c r="H19" s="67">
        <v>46172.76761574074</v>
      </c>
      <c r="I19" s="75">
        <f t="shared" ca="1" si="0"/>
        <v>7.9010767361105536</v>
      </c>
      <c r="J19" s="61"/>
      <c r="K19" s="61"/>
      <c r="L19" s="61"/>
      <c r="M19" s="61" t="s">
        <v>33</v>
      </c>
      <c r="N19" s="61" t="s">
        <v>1635</v>
      </c>
      <c r="O19" s="61"/>
      <c r="P19" s="61"/>
      <c r="Q19" s="61"/>
      <c r="R19" s="61" t="s">
        <v>2089</v>
      </c>
      <c r="S19" s="61" t="s">
        <v>32</v>
      </c>
      <c r="T19" s="61" t="s">
        <v>1898</v>
      </c>
      <c r="U19" s="61" t="s">
        <v>1898</v>
      </c>
      <c r="V19" s="61" t="str">
        <f>VLOOKUP(B19,[2]Overall!$A:$D,4,0)</f>
        <v xml:space="preserve">I-ENG </v>
      </c>
      <c r="W19" s="61" t="str">
        <f>VLOOKUP(B19,[3]Sheet1!$A:$B,2,0)</f>
        <v>Mbakong</v>
      </c>
      <c r="X19" s="88" t="str">
        <f>LEFT(B21,3)</f>
        <v>NRO</v>
      </c>
      <c r="Y19" s="80" t="str">
        <f t="shared" ca="1" si="1"/>
        <v>T&gt;72H</v>
      </c>
      <c r="Z19" s="61">
        <f t="shared" si="2"/>
        <v>2</v>
      </c>
      <c r="AA19" s="61" t="s">
        <v>1566</v>
      </c>
      <c r="AB19" s="61" t="s">
        <v>1554</v>
      </c>
      <c r="AC19" s="84" t="s">
        <v>2070</v>
      </c>
      <c r="AD19" s="84" t="s">
        <v>1994</v>
      </c>
      <c r="AE19" s="61"/>
    </row>
    <row r="20" spans="1:31" ht="73.5" x14ac:dyDescent="0.45">
      <c r="A20" s="61" t="s">
        <v>1969</v>
      </c>
      <c r="B20" s="61" t="s">
        <v>1970</v>
      </c>
      <c r="C20" s="65"/>
      <c r="D20" s="61"/>
      <c r="E20" s="61" t="s">
        <v>1971</v>
      </c>
      <c r="F20" s="91" t="str">
        <f>VLOOKUP(B20,'[2]Power '!$A:$C,3,0)</f>
        <v>ESCO</v>
      </c>
      <c r="G20" s="91" t="str">
        <f>VLOOKUP(B20,'[2]Power '!$A:$D,4,0)</f>
        <v>Hybrid Solar - S3</v>
      </c>
      <c r="H20" s="67">
        <v>46173.005960648145</v>
      </c>
      <c r="I20" s="75">
        <f t="shared" ca="1" si="0"/>
        <v>7.6627318287064554</v>
      </c>
      <c r="J20" s="61"/>
      <c r="K20" s="61"/>
      <c r="L20" s="61"/>
      <c r="M20" s="61" t="s">
        <v>46</v>
      </c>
      <c r="N20" s="61" t="s">
        <v>1972</v>
      </c>
      <c r="O20" s="61"/>
      <c r="P20" s="61"/>
      <c r="Q20" s="61"/>
      <c r="R20" s="61" t="s">
        <v>2071</v>
      </c>
      <c r="S20" s="61" t="s">
        <v>51</v>
      </c>
      <c r="T20" s="61" t="s">
        <v>1898</v>
      </c>
      <c r="U20" s="61" t="s">
        <v>1898</v>
      </c>
      <c r="V20" s="61" t="str">
        <f>VLOOKUP(B20,[2]Overall!$A:$D,4,0)</f>
        <v>TELEINFRA NORD</v>
      </c>
      <c r="W20" s="61" t="str">
        <f>VLOOKUP(B20,[3]Sheet1!$A:$B,2,0)</f>
        <v>Gaba</v>
      </c>
      <c r="X20" s="88" t="str">
        <f>LEFT(B22,3)</f>
        <v>EXN</v>
      </c>
      <c r="Y20" s="80" t="str">
        <f t="shared" ca="1" si="1"/>
        <v>T&gt;72H</v>
      </c>
      <c r="Z20" s="61">
        <f t="shared" si="2"/>
        <v>1</v>
      </c>
      <c r="AA20" s="61" t="s">
        <v>1566</v>
      </c>
      <c r="AB20" s="61" t="s">
        <v>1905</v>
      </c>
      <c r="AC20" s="84" t="s">
        <v>2070</v>
      </c>
      <c r="AD20" s="84" t="s">
        <v>1994</v>
      </c>
      <c r="AE20" s="61"/>
    </row>
    <row r="21" spans="1:31" ht="73.5" x14ac:dyDescent="0.45">
      <c r="A21" s="61" t="s">
        <v>1678</v>
      </c>
      <c r="B21" s="61" t="s">
        <v>1679</v>
      </c>
      <c r="C21" s="65"/>
      <c r="D21" s="61"/>
      <c r="E21" s="61" t="s">
        <v>35</v>
      </c>
      <c r="F21" s="91" t="str">
        <f>VLOOKUP(B21,'[2]Power '!$A:$C,3,0)</f>
        <v>TowerCo</v>
      </c>
      <c r="G21" s="91" t="str">
        <f>VLOOKUP(B21,'[2]Power '!$A:$D,4,0)</f>
        <v>Grid-Gen</v>
      </c>
      <c r="H21" s="67">
        <v>46173.667939814812</v>
      </c>
      <c r="I21" s="75">
        <f t="shared" ca="1" si="0"/>
        <v>7.0007526620393037</v>
      </c>
      <c r="J21" s="61"/>
      <c r="K21" s="61"/>
      <c r="L21" s="61"/>
      <c r="M21" s="61" t="s">
        <v>31</v>
      </c>
      <c r="N21" s="61" t="s">
        <v>1680</v>
      </c>
      <c r="O21" s="61"/>
      <c r="P21" s="61"/>
      <c r="Q21" s="61"/>
      <c r="R21" s="61" t="s">
        <v>2084</v>
      </c>
      <c r="S21" s="61" t="s">
        <v>32</v>
      </c>
      <c r="T21" s="61" t="s">
        <v>1898</v>
      </c>
      <c r="U21" s="61" t="s">
        <v>1898</v>
      </c>
      <c r="V21" s="61" t="str">
        <f>VLOOKUP(B21,[2]Overall!$A:$D,4,0)</f>
        <v xml:space="preserve">I-ENG </v>
      </c>
      <c r="W21" s="61" t="str">
        <f>VLOOKUP(B21,[3]Sheet1!$A:$B,2,0)</f>
        <v>Babessi</v>
      </c>
      <c r="X21" s="88" t="str">
        <f>LEFT(B24,3)</f>
        <v>OST</v>
      </c>
      <c r="Y21" s="80" t="str">
        <f t="shared" ca="1" si="1"/>
        <v>T&gt;72H</v>
      </c>
      <c r="Z21" s="61">
        <f t="shared" si="2"/>
        <v>3</v>
      </c>
      <c r="AA21" s="61" t="s">
        <v>1566</v>
      </c>
      <c r="AB21" s="61" t="s">
        <v>1554</v>
      </c>
      <c r="AC21" s="84" t="s">
        <v>2070</v>
      </c>
      <c r="AD21" s="84" t="s">
        <v>1994</v>
      </c>
      <c r="AE21" s="61"/>
    </row>
    <row r="22" spans="1:31" ht="117" x14ac:dyDescent="0.45">
      <c r="A22" s="82" t="s">
        <v>1727</v>
      </c>
      <c r="B22" s="61" t="s">
        <v>1728</v>
      </c>
      <c r="C22" s="65"/>
      <c r="D22" s="61"/>
      <c r="E22" s="61" t="s">
        <v>1729</v>
      </c>
      <c r="F22" s="91" t="str">
        <f>VLOOKUP(B22,'[2]Power '!$A:$C,3,0)</f>
        <v>TowerCo</v>
      </c>
      <c r="G22" s="91" t="str">
        <f>VLOOKUP(B22,'[2]Power '!$A:$D,4,0)</f>
        <v>Hybrid-Gen</v>
      </c>
      <c r="H22" s="67">
        <v>46173.749571759261</v>
      </c>
      <c r="I22" s="75">
        <f t="shared" ca="1" si="0"/>
        <v>6.9191207175899763</v>
      </c>
      <c r="J22" s="61"/>
      <c r="K22" s="61"/>
      <c r="L22" s="61"/>
      <c r="M22" s="61" t="s">
        <v>1730</v>
      </c>
      <c r="N22" s="61" t="s">
        <v>1731</v>
      </c>
      <c r="O22" s="61"/>
      <c r="P22" s="61"/>
      <c r="Q22" s="61"/>
      <c r="R22" s="61" t="s">
        <v>2076</v>
      </c>
      <c r="S22" s="61" t="s">
        <v>40</v>
      </c>
      <c r="T22" s="61" t="s">
        <v>1885</v>
      </c>
      <c r="U22" s="61" t="s">
        <v>1885</v>
      </c>
      <c r="V22" s="61" t="str">
        <f>VLOOKUP(B22,[2]Overall!$A:$D,4,0)</f>
        <v>TELEINFRA NORD</v>
      </c>
      <c r="W22" s="61" t="str">
        <f>VLOOKUP(B22,[3]Sheet1!$A:$B,2,0)</f>
        <v>Kuruda</v>
      </c>
      <c r="X22" s="88" t="e">
        <f>LEFT(#REF!,3)</f>
        <v>#REF!</v>
      </c>
      <c r="Y22" s="80" t="str">
        <f t="shared" ca="1" si="1"/>
        <v>T&gt;72H</v>
      </c>
      <c r="Z22" s="61">
        <f t="shared" si="2"/>
        <v>2</v>
      </c>
      <c r="AA22" s="61" t="s">
        <v>1566</v>
      </c>
      <c r="AB22" s="61" t="s">
        <v>1554</v>
      </c>
      <c r="AC22" s="84" t="s">
        <v>2070</v>
      </c>
      <c r="AD22" s="84" t="s">
        <v>1994</v>
      </c>
      <c r="AE22" s="61"/>
    </row>
    <row r="23" spans="1:31" ht="117" x14ac:dyDescent="0.45">
      <c r="A23" s="61" t="s">
        <v>1981</v>
      </c>
      <c r="B23" s="61" t="s">
        <v>1982</v>
      </c>
      <c r="C23" s="65"/>
      <c r="D23" s="61"/>
      <c r="E23" s="61" t="s">
        <v>39</v>
      </c>
      <c r="F23" s="91" t="str">
        <f>VLOOKUP(B23,'[2]Power '!$A:$C,3,0)</f>
        <v>TowerCo</v>
      </c>
      <c r="G23" s="91" t="str">
        <f>VLOOKUP(B23,'[2]Power '!$A:$D,4,0)</f>
        <v>Grid-Gen</v>
      </c>
      <c r="H23" s="67">
        <v>46173.814502314817</v>
      </c>
      <c r="I23" s="75">
        <f t="shared" ca="1" si="0"/>
        <v>6.854190162033774</v>
      </c>
      <c r="J23" s="61"/>
      <c r="K23" s="61"/>
      <c r="L23" s="61"/>
      <c r="M23" s="61" t="s">
        <v>1686</v>
      </c>
      <c r="N23" s="61" t="s">
        <v>1983</v>
      </c>
      <c r="O23" s="61"/>
      <c r="P23" s="61"/>
      <c r="Q23" s="61"/>
      <c r="R23" s="61" t="s">
        <v>2013</v>
      </c>
      <c r="S23" s="61" t="s">
        <v>71</v>
      </c>
      <c r="T23" s="61" t="s">
        <v>1902</v>
      </c>
      <c r="U23" s="61" t="s">
        <v>1896</v>
      </c>
      <c r="V23" s="61" t="str">
        <f>VLOOKUP(B23,[2]Overall!$A:$D,4,0)</f>
        <v>H-TELI</v>
      </c>
      <c r="W23" s="61" t="str">
        <f>VLOOKUP(B23,[3]Sheet1!$A:$B,2,0)</f>
        <v>Santchou</v>
      </c>
      <c r="X23" s="88" t="str">
        <f>LEFT(B25,3)</f>
        <v>NRO</v>
      </c>
      <c r="Y23" s="80" t="str">
        <f t="shared" ca="1" si="1"/>
        <v>T&gt;72H</v>
      </c>
      <c r="Z23" s="61">
        <f t="shared" si="2"/>
        <v>1</v>
      </c>
      <c r="AA23" s="61" t="s">
        <v>1566</v>
      </c>
      <c r="AB23" s="61" t="s">
        <v>1554</v>
      </c>
      <c r="AC23" s="84" t="s">
        <v>2070</v>
      </c>
      <c r="AD23" s="84" t="s">
        <v>1994</v>
      </c>
      <c r="AE23" s="61"/>
    </row>
    <row r="24" spans="1:31" ht="117" x14ac:dyDescent="0.45">
      <c r="A24" s="61" t="s">
        <v>1981</v>
      </c>
      <c r="B24" s="61" t="s">
        <v>1982</v>
      </c>
      <c r="C24" s="65"/>
      <c r="D24" s="61"/>
      <c r="E24" s="61" t="s">
        <v>1988</v>
      </c>
      <c r="F24" s="91" t="str">
        <f>VLOOKUP(B24,'[2]Power '!$A:$C,3,0)</f>
        <v>TowerCo</v>
      </c>
      <c r="G24" s="91" t="str">
        <f>VLOOKUP(B24,'[2]Power '!$A:$D,4,0)</f>
        <v>Grid-Gen</v>
      </c>
      <c r="H24" s="67">
        <v>46173.819432870368</v>
      </c>
      <c r="I24" s="75">
        <f t="shared" ca="1" si="0"/>
        <v>6.8492596064825193</v>
      </c>
      <c r="J24" s="61"/>
      <c r="K24" s="61"/>
      <c r="L24" s="61"/>
      <c r="M24" s="61" t="s">
        <v>41</v>
      </c>
      <c r="N24" s="61" t="s">
        <v>1989</v>
      </c>
      <c r="O24" s="61"/>
      <c r="P24" s="61"/>
      <c r="Q24" s="61"/>
      <c r="R24" s="61" t="s">
        <v>2013</v>
      </c>
      <c r="S24" s="61" t="s">
        <v>71</v>
      </c>
      <c r="T24" s="61" t="s">
        <v>1902</v>
      </c>
      <c r="U24" s="61" t="s">
        <v>1896</v>
      </c>
      <c r="V24" s="61" t="str">
        <f>VLOOKUP(B24,[2]Overall!$A:$D,4,0)</f>
        <v>H-TELI</v>
      </c>
      <c r="W24" s="61" t="str">
        <f>VLOOKUP(B24,[3]Sheet1!$A:$B,2,0)</f>
        <v>Santchou</v>
      </c>
      <c r="X24" s="88" t="e">
        <f>LEFT(#REF!,3)</f>
        <v>#REF!</v>
      </c>
      <c r="Y24" s="80" t="str">
        <f t="shared" ca="1" si="1"/>
        <v>T&gt;72H</v>
      </c>
      <c r="Z24" s="61">
        <f t="shared" si="2"/>
        <v>1</v>
      </c>
      <c r="AA24" s="61" t="s">
        <v>1566</v>
      </c>
      <c r="AB24" s="61" t="s">
        <v>1554</v>
      </c>
      <c r="AC24" s="84" t="s">
        <v>2070</v>
      </c>
      <c r="AD24" s="84" t="s">
        <v>1994</v>
      </c>
      <c r="AE24" s="61"/>
    </row>
    <row r="25" spans="1:31" ht="146" x14ac:dyDescent="0.45">
      <c r="A25" s="61" t="s">
        <v>1881</v>
      </c>
      <c r="B25" s="61" t="s">
        <v>1880</v>
      </c>
      <c r="C25" s="65"/>
      <c r="D25" s="61"/>
      <c r="E25" s="61" t="s">
        <v>1991</v>
      </c>
      <c r="F25" s="91" t="str">
        <f>VLOOKUP(B25,'[2]Power '!$A:$C,3,0)</f>
        <v>TowerCo</v>
      </c>
      <c r="G25" s="91" t="str">
        <f>VLOOKUP(B25,'[2]Power '!$A:$D,4,0)</f>
        <v>Hybrid-Gen</v>
      </c>
      <c r="H25" s="67">
        <v>46174.267314814817</v>
      </c>
      <c r="I25" s="75">
        <f t="shared" ca="1" si="0"/>
        <v>6.401377662034065</v>
      </c>
      <c r="J25" s="61"/>
      <c r="K25" s="61"/>
      <c r="L25" s="61"/>
      <c r="M25" s="61" t="s">
        <v>1769</v>
      </c>
      <c r="N25" s="61" t="s">
        <v>1770</v>
      </c>
      <c r="O25" s="61"/>
      <c r="P25" s="61"/>
      <c r="Q25" s="61"/>
      <c r="R25" s="61" t="s">
        <v>2087</v>
      </c>
      <c r="S25" s="61" t="s">
        <v>32</v>
      </c>
      <c r="T25" s="61" t="s">
        <v>1898</v>
      </c>
      <c r="U25" s="61" t="s">
        <v>1898</v>
      </c>
      <c r="V25" s="61" t="str">
        <f>VLOOKUP(B25,[2]Overall!$A:$D,4,0)</f>
        <v xml:space="preserve">I-ENG </v>
      </c>
      <c r="W25" s="61" t="str">
        <f>VLOOKUP(B25,[3]Sheet1!$A:$B,2,0)</f>
        <v>Fundong</v>
      </c>
      <c r="X25" s="88" t="str">
        <f>LEFT(B27,3)</f>
        <v>ADM</v>
      </c>
      <c r="Y25" s="80" t="str">
        <f t="shared" ca="1" si="1"/>
        <v>T&gt;72H</v>
      </c>
      <c r="Z25" s="61">
        <f t="shared" si="2"/>
        <v>1</v>
      </c>
      <c r="AA25" s="61" t="s">
        <v>1566</v>
      </c>
      <c r="AB25" s="61" t="s">
        <v>1554</v>
      </c>
      <c r="AC25" s="84" t="s">
        <v>2070</v>
      </c>
      <c r="AD25" s="84" t="s">
        <v>1994</v>
      </c>
      <c r="AE25" s="61"/>
    </row>
    <row r="26" spans="1:31" ht="73.5" x14ac:dyDescent="0.45">
      <c r="A26" s="61" t="s">
        <v>1939</v>
      </c>
      <c r="B26" s="61" t="s">
        <v>1940</v>
      </c>
      <c r="C26" s="65"/>
      <c r="D26" s="61"/>
      <c r="E26" s="61" t="s">
        <v>37</v>
      </c>
      <c r="F26" s="91" t="str">
        <f>VLOOKUP(B26,'[2]Power '!$A:$C,3,0)</f>
        <v>TowerCo</v>
      </c>
      <c r="G26" s="91" t="str">
        <f>VLOOKUP(B26,'[2]Power '!$A:$D,4,0)</f>
        <v>Vandalized</v>
      </c>
      <c r="H26" s="67">
        <v>46174.506562499999</v>
      </c>
      <c r="I26" s="75">
        <f t="shared" ca="1" si="0"/>
        <v>6.1621299768521567</v>
      </c>
      <c r="J26" s="61"/>
      <c r="K26" s="61"/>
      <c r="L26" s="61"/>
      <c r="M26" s="61" t="s">
        <v>38</v>
      </c>
      <c r="N26" s="61" t="s">
        <v>1942</v>
      </c>
      <c r="O26" s="61"/>
      <c r="P26" s="61"/>
      <c r="Q26" s="61"/>
      <c r="R26" s="61" t="s">
        <v>2090</v>
      </c>
      <c r="S26" s="61" t="s">
        <v>32</v>
      </c>
      <c r="T26" s="61" t="s">
        <v>1898</v>
      </c>
      <c r="U26" s="61" t="s">
        <v>1898</v>
      </c>
      <c r="V26" s="61" t="str">
        <f>VLOOKUP(B26,[2]Overall!$A:$D,4,0)</f>
        <v xml:space="preserve">I-ENG </v>
      </c>
      <c r="W26" s="61" t="str">
        <f>VLOOKUP(B26,[3]Sheet1!$A:$B,2,0)</f>
        <v>Widikum</v>
      </c>
      <c r="X26" s="88" t="e">
        <f>LEFT(#REF!,3)</f>
        <v>#REF!</v>
      </c>
      <c r="Y26" s="80" t="str">
        <f t="shared" ca="1" si="1"/>
        <v>T&gt;72H</v>
      </c>
      <c r="Z26" s="61">
        <f t="shared" si="2"/>
        <v>1</v>
      </c>
      <c r="AA26" s="61" t="s">
        <v>1566</v>
      </c>
      <c r="AB26" s="61" t="s">
        <v>1554</v>
      </c>
      <c r="AC26" s="84" t="s">
        <v>2070</v>
      </c>
      <c r="AD26" s="84" t="s">
        <v>1994</v>
      </c>
      <c r="AE26" s="61"/>
    </row>
    <row r="27" spans="1:31" ht="73.5" x14ac:dyDescent="0.45">
      <c r="A27" s="61" t="s">
        <v>1763</v>
      </c>
      <c r="B27" s="61" t="s">
        <v>1764</v>
      </c>
      <c r="C27" s="65"/>
      <c r="D27" s="61"/>
      <c r="E27" s="61" t="s">
        <v>34</v>
      </c>
      <c r="F27" s="91" t="str">
        <f>VLOOKUP(B27,'[2]Power '!$A:$C,3,0)</f>
        <v>TowerCo</v>
      </c>
      <c r="G27" s="91" t="str">
        <f>VLOOKUP(B27,'[2]Power '!$A:$D,4,0)</f>
        <v>Grid-Hybrid-Gen</v>
      </c>
      <c r="H27" s="67">
        <v>46174.52244212963</v>
      </c>
      <c r="I27" s="75">
        <f t="shared" ca="1" si="0"/>
        <v>6.146250347221212</v>
      </c>
      <c r="J27" s="61"/>
      <c r="K27" s="61"/>
      <c r="L27" s="61"/>
      <c r="M27" s="61" t="s">
        <v>31</v>
      </c>
      <c r="N27" s="61" t="s">
        <v>1765</v>
      </c>
      <c r="O27" s="61"/>
      <c r="P27" s="61"/>
      <c r="Q27" s="61"/>
      <c r="R27" s="61" t="s">
        <v>2075</v>
      </c>
      <c r="S27" s="61" t="s">
        <v>40</v>
      </c>
      <c r="T27" s="61" t="s">
        <v>1898</v>
      </c>
      <c r="U27" s="61" t="s">
        <v>1898</v>
      </c>
      <c r="V27" s="61" t="str">
        <f>VLOOKUP(B27,[2]Overall!$A:$D,4,0)</f>
        <v>TELEINFRA NORD</v>
      </c>
      <c r="W27" s="61" t="str">
        <f>VLOOKUP(B27,[3]Sheet1!$A:$B,2,0)</f>
        <v>Telo</v>
      </c>
      <c r="X27" s="88" t="e">
        <f>LEFT(#REF!,3)</f>
        <v>#REF!</v>
      </c>
      <c r="Y27" s="80" t="str">
        <f t="shared" ca="1" si="1"/>
        <v>T&gt;72H</v>
      </c>
      <c r="Z27" s="61">
        <f t="shared" si="2"/>
        <v>1</v>
      </c>
      <c r="AA27" s="61" t="s">
        <v>1566</v>
      </c>
      <c r="AB27" s="61" t="s">
        <v>1554</v>
      </c>
      <c r="AC27" s="84" t="s">
        <v>2070</v>
      </c>
      <c r="AD27" s="84" t="s">
        <v>1994</v>
      </c>
      <c r="AE27" s="61"/>
    </row>
    <row r="28" spans="1:31" ht="117" x14ac:dyDescent="0.45">
      <c r="A28" s="61" t="s">
        <v>1803</v>
      </c>
      <c r="B28" s="61" t="s">
        <v>1804</v>
      </c>
      <c r="C28" s="65"/>
      <c r="D28" s="61"/>
      <c r="E28" s="61" t="s">
        <v>1805</v>
      </c>
      <c r="F28" s="91" t="str">
        <f>VLOOKUP(B28,'[2]Power '!$A:$C,3,0)</f>
        <v>TowerCo</v>
      </c>
      <c r="G28" s="91" t="str">
        <f>VLOOKUP(B28,'[2]Power '!$A:$D,4,0)</f>
        <v>Hybrid-Gen</v>
      </c>
      <c r="H28" s="67">
        <v>46174.681296296294</v>
      </c>
      <c r="I28" s="75">
        <f t="shared" ca="1" si="0"/>
        <v>5.9873961805569706</v>
      </c>
      <c r="J28" s="61"/>
      <c r="K28" s="61"/>
      <c r="L28" s="61"/>
      <c r="M28" s="61" t="s">
        <v>1627</v>
      </c>
      <c r="N28" s="61" t="s">
        <v>1806</v>
      </c>
      <c r="O28" s="61"/>
      <c r="P28" s="61"/>
      <c r="Q28" s="61"/>
      <c r="R28" s="61" t="s">
        <v>2083</v>
      </c>
      <c r="S28" s="61" t="s">
        <v>45</v>
      </c>
      <c r="T28" s="61" t="s">
        <v>1754</v>
      </c>
      <c r="U28" s="61" t="s">
        <v>1754</v>
      </c>
      <c r="V28" s="61" t="str">
        <f>VLOOKUP(B28,[2]Overall!$A:$D,4,0)</f>
        <v>TELEINFRA CENTRE</v>
      </c>
      <c r="W28" s="61" t="str">
        <f>VLOOKUP(B28,[3]Sheet1!$A:$B,2,0)</f>
        <v>SALAPOUMBE</v>
      </c>
      <c r="X28" s="88" t="str">
        <f t="shared" ref="X28:X55" si="3">LEFT(B31,3)</f>
        <v>EXN</v>
      </c>
      <c r="Y28" s="80" t="str">
        <f t="shared" ref="Y28:Y58" ca="1" si="4">IF(I28 &lt; 1/24, "T&lt;1H", IF(AND(I28&lt;2/24, I28&gt;1/24), "1H&lt;T&lt;2H", IF(AND(I28&lt;4/24, I28&gt;2/24), "2H&lt;T&lt;4H", IF(AND(I28&lt;8/24, I28&gt;4/24), "4H&lt;T&lt;8H", IF(AND(I28&lt;16/24, I28&gt;8/24), "8H&lt;T&lt;16H",IF(AND(I28&lt;24/24, I28&gt;16/24),"16H&lt;T&lt;24H", IF(AND(I28&lt;48/24, I28&gt;24/24),"24H&lt;T&lt;48H",IF(AND(I28&lt;72/24, I28&gt;24/24),"48H&lt;T&lt;72H", "T&gt;72H"))))))))</f>
        <v>T&gt;72H</v>
      </c>
      <c r="Z28" s="61">
        <f t="shared" ref="Z28:Z58" si="5">IF(OR(E28="", E28="affected_cells=unknown"), "", LEN(E28)-LEN(SUBSTITUTE(E28, ",", "")) + LEN(E28)-LEN(SUBSTITUTE(E28, ";", "")) + 1)</f>
        <v>1</v>
      </c>
      <c r="AA28" s="61" t="s">
        <v>1566</v>
      </c>
      <c r="AB28" s="61" t="s">
        <v>1554</v>
      </c>
      <c r="AC28" s="84" t="s">
        <v>2070</v>
      </c>
      <c r="AD28" s="84" t="s">
        <v>1994</v>
      </c>
      <c r="AE28" s="61"/>
    </row>
    <row r="29" spans="1:31" ht="233" x14ac:dyDescent="0.45">
      <c r="A29" s="61" t="s">
        <v>1779</v>
      </c>
      <c r="B29" s="61" t="s">
        <v>1780</v>
      </c>
      <c r="C29" s="65"/>
      <c r="D29" s="61"/>
      <c r="E29" s="61" t="s">
        <v>37</v>
      </c>
      <c r="F29" s="91" t="str">
        <f>VLOOKUP(B29,'[2]Power '!$A:$C,3,0)</f>
        <v>TowerCo</v>
      </c>
      <c r="G29" s="91" t="str">
        <f>VLOOKUP(B29,'[2]Power '!$A:$D,4,0)</f>
        <v>Solar-Gen</v>
      </c>
      <c r="H29" s="67">
        <v>46174.685497685183</v>
      </c>
      <c r="I29" s="75">
        <f t="shared" ca="1" si="0"/>
        <v>5.9831947916682111</v>
      </c>
      <c r="J29" s="61"/>
      <c r="K29" s="61"/>
      <c r="L29" s="61"/>
      <c r="M29" s="61" t="s">
        <v>41</v>
      </c>
      <c r="N29" s="61" t="s">
        <v>1781</v>
      </c>
      <c r="O29" s="61"/>
      <c r="P29" s="61"/>
      <c r="Q29" s="61"/>
      <c r="R29" s="61" t="s">
        <v>2077</v>
      </c>
      <c r="S29" s="61" t="s">
        <v>75</v>
      </c>
      <c r="T29" s="61" t="s">
        <v>1840</v>
      </c>
      <c r="U29" s="61" t="s">
        <v>1840</v>
      </c>
      <c r="V29" s="61" t="str">
        <f>VLOOKUP(B29,[2]Overall!$A:$D,4,0)</f>
        <v>TELEINFRA NORD</v>
      </c>
      <c r="W29" s="61" t="str">
        <f>VLOOKUP(B29,[3]Sheet1!$A:$B,2,0)</f>
        <v>Badjonre</v>
      </c>
      <c r="X29" s="88" t="str">
        <f t="shared" si="3"/>
        <v>EXN</v>
      </c>
      <c r="Y29" s="80" t="str">
        <f t="shared" ca="1" si="4"/>
        <v>T&gt;72H</v>
      </c>
      <c r="Z29" s="61">
        <f t="shared" si="5"/>
        <v>1</v>
      </c>
      <c r="AA29" s="61" t="s">
        <v>1566</v>
      </c>
      <c r="AB29" s="61" t="s">
        <v>1554</v>
      </c>
      <c r="AC29" s="84" t="s">
        <v>2070</v>
      </c>
      <c r="AD29" s="84" t="s">
        <v>1994</v>
      </c>
      <c r="AE29" s="61"/>
    </row>
    <row r="30" spans="1:31" ht="175" x14ac:dyDescent="0.45">
      <c r="A30" s="63" t="s">
        <v>1919</v>
      </c>
      <c r="B30" s="63" t="s">
        <v>1914</v>
      </c>
      <c r="C30" s="68"/>
      <c r="D30" s="63"/>
      <c r="E30" s="63" t="s">
        <v>2052</v>
      </c>
      <c r="F30" s="71" t="str">
        <f>VLOOKUP(B30,'[2]Power '!$A:$C,3,0)</f>
        <v>TowerCo</v>
      </c>
      <c r="G30" s="71" t="str">
        <f>VLOOKUP(B30,'[2]Power '!$A:$D,4,0)</f>
        <v>Gen Only</v>
      </c>
      <c r="H30" s="69">
        <v>46174.78696759259</v>
      </c>
      <c r="I30" s="77">
        <f t="shared" ca="1" si="0"/>
        <v>5.8817248842606205</v>
      </c>
      <c r="J30" s="63"/>
      <c r="K30" s="63"/>
      <c r="L30" s="63"/>
      <c r="M30" s="63" t="s">
        <v>2053</v>
      </c>
      <c r="N30" s="63" t="s">
        <v>2054</v>
      </c>
      <c r="O30" s="63"/>
      <c r="P30" s="63" t="s">
        <v>1906</v>
      </c>
      <c r="Q30" s="63"/>
      <c r="R30" s="63" t="s">
        <v>2078</v>
      </c>
      <c r="S30" s="63" t="s">
        <v>40</v>
      </c>
      <c r="T30" s="63" t="s">
        <v>1840</v>
      </c>
      <c r="U30" s="63" t="s">
        <v>1840</v>
      </c>
      <c r="V30" s="63" t="str">
        <f>VLOOKUP(B30,[2]Overall!$A:$D,4,0)</f>
        <v>TELEINFRA NORD</v>
      </c>
      <c r="W30" s="63" t="str">
        <f>VLOOKUP(B30,[3]Sheet1!$A:$B,2,0)</f>
        <v>Dogba</v>
      </c>
      <c r="X30" s="89" t="str">
        <f t="shared" si="3"/>
        <v>EXN</v>
      </c>
      <c r="Y30" s="81" t="str">
        <f t="shared" ca="1" si="4"/>
        <v>T&gt;72H</v>
      </c>
      <c r="Z30" s="63">
        <f t="shared" si="5"/>
        <v>1</v>
      </c>
      <c r="AA30" s="63" t="s">
        <v>77</v>
      </c>
      <c r="AB30" s="63" t="s">
        <v>1905</v>
      </c>
      <c r="AC30" s="85" t="s">
        <v>2070</v>
      </c>
      <c r="AD30" s="85" t="s">
        <v>1994</v>
      </c>
      <c r="AE30" s="63"/>
    </row>
    <row r="31" spans="1:31" ht="175" x14ac:dyDescent="0.45">
      <c r="A31" s="63" t="s">
        <v>1919</v>
      </c>
      <c r="B31" s="63" t="s">
        <v>1914</v>
      </c>
      <c r="C31" s="68"/>
      <c r="D31" s="63"/>
      <c r="E31" s="63" t="s">
        <v>2055</v>
      </c>
      <c r="F31" s="71" t="str">
        <f>VLOOKUP(B31,'[2]Power '!$A:$C,3,0)</f>
        <v>TowerCo</v>
      </c>
      <c r="G31" s="71" t="str">
        <f>VLOOKUP(B31,'[2]Power '!$A:$D,4,0)</f>
        <v>Gen Only</v>
      </c>
      <c r="H31" s="69">
        <v>46174.787094907406</v>
      </c>
      <c r="I31" s="77">
        <f t="shared" ca="1" si="0"/>
        <v>5.8815975694451481</v>
      </c>
      <c r="J31" s="63"/>
      <c r="K31" s="63"/>
      <c r="L31" s="63"/>
      <c r="M31" s="63" t="s">
        <v>2053</v>
      </c>
      <c r="N31" s="63" t="s">
        <v>2054</v>
      </c>
      <c r="O31" s="63"/>
      <c r="P31" s="63" t="s">
        <v>1906</v>
      </c>
      <c r="Q31" s="63"/>
      <c r="R31" s="63" t="s">
        <v>2078</v>
      </c>
      <c r="S31" s="63" t="s">
        <v>40</v>
      </c>
      <c r="T31" s="63" t="s">
        <v>1840</v>
      </c>
      <c r="U31" s="63" t="s">
        <v>1840</v>
      </c>
      <c r="V31" s="63" t="str">
        <f>VLOOKUP(B31,[2]Overall!$A:$D,4,0)</f>
        <v>TELEINFRA NORD</v>
      </c>
      <c r="W31" s="63" t="str">
        <f>VLOOKUP(B31,[3]Sheet1!$A:$B,2,0)</f>
        <v>Dogba</v>
      </c>
      <c r="X31" s="89" t="str">
        <f t="shared" si="3"/>
        <v>EXN</v>
      </c>
      <c r="Y31" s="81" t="str">
        <f t="shared" ca="1" si="4"/>
        <v>T&gt;72H</v>
      </c>
      <c r="Z31" s="63">
        <f t="shared" si="5"/>
        <v>1</v>
      </c>
      <c r="AA31" s="63" t="s">
        <v>77</v>
      </c>
      <c r="AB31" s="63" t="s">
        <v>1905</v>
      </c>
      <c r="AC31" s="85" t="s">
        <v>2070</v>
      </c>
      <c r="AD31" s="85" t="s">
        <v>1994</v>
      </c>
      <c r="AE31" s="63"/>
    </row>
    <row r="32" spans="1:31" ht="175" x14ac:dyDescent="0.45">
      <c r="A32" s="63" t="s">
        <v>1919</v>
      </c>
      <c r="B32" s="63" t="s">
        <v>1914</v>
      </c>
      <c r="C32" s="68"/>
      <c r="D32" s="63"/>
      <c r="E32" s="63" t="s">
        <v>2056</v>
      </c>
      <c r="F32" s="71" t="str">
        <f>VLOOKUP(B32,'[2]Power '!$A:$C,3,0)</f>
        <v>TowerCo</v>
      </c>
      <c r="G32" s="71" t="str">
        <f>VLOOKUP(B32,'[2]Power '!$A:$D,4,0)</f>
        <v>Gen Only</v>
      </c>
      <c r="H32" s="69">
        <v>46174.787210648145</v>
      </c>
      <c r="I32" s="77">
        <f t="shared" ca="1" si="0"/>
        <v>5.8814818287064554</v>
      </c>
      <c r="J32" s="63"/>
      <c r="K32" s="63"/>
      <c r="L32" s="63"/>
      <c r="M32" s="63" t="s">
        <v>2053</v>
      </c>
      <c r="N32" s="63" t="s">
        <v>2054</v>
      </c>
      <c r="O32" s="63"/>
      <c r="P32" s="63" t="s">
        <v>1906</v>
      </c>
      <c r="Q32" s="63"/>
      <c r="R32" s="63" t="s">
        <v>2078</v>
      </c>
      <c r="S32" s="63" t="s">
        <v>40</v>
      </c>
      <c r="T32" s="63" t="s">
        <v>1840</v>
      </c>
      <c r="U32" s="63" t="s">
        <v>1840</v>
      </c>
      <c r="V32" s="63" t="str">
        <f>VLOOKUP(B32,[2]Overall!$A:$D,4,0)</f>
        <v>TELEINFRA NORD</v>
      </c>
      <c r="W32" s="63" t="str">
        <f>VLOOKUP(B32,[3]Sheet1!$A:$B,2,0)</f>
        <v>Dogba</v>
      </c>
      <c r="X32" s="89" t="str">
        <f t="shared" si="3"/>
        <v>EXN</v>
      </c>
      <c r="Y32" s="81" t="str">
        <f t="shared" ca="1" si="4"/>
        <v>T&gt;72H</v>
      </c>
      <c r="Z32" s="63">
        <f t="shared" si="5"/>
        <v>1</v>
      </c>
      <c r="AA32" s="63" t="s">
        <v>77</v>
      </c>
      <c r="AB32" s="63" t="s">
        <v>1905</v>
      </c>
      <c r="AC32" s="85" t="s">
        <v>2070</v>
      </c>
      <c r="AD32" s="85" t="s">
        <v>1994</v>
      </c>
      <c r="AE32" s="63"/>
    </row>
    <row r="33" spans="1:31" ht="175" x14ac:dyDescent="0.45">
      <c r="A33" s="63" t="s">
        <v>1919</v>
      </c>
      <c r="B33" s="63" t="s">
        <v>1914</v>
      </c>
      <c r="C33" s="68"/>
      <c r="D33" s="63"/>
      <c r="E33" s="63" t="s">
        <v>2057</v>
      </c>
      <c r="F33" s="71" t="str">
        <f>VLOOKUP(B33,'[2]Power '!$A:$C,3,0)</f>
        <v>TowerCo</v>
      </c>
      <c r="G33" s="71" t="str">
        <f>VLOOKUP(B33,'[2]Power '!$A:$D,4,0)</f>
        <v>Gen Only</v>
      </c>
      <c r="H33" s="69">
        <v>46174.799305555556</v>
      </c>
      <c r="I33" s="77">
        <f t="shared" ca="1" si="0"/>
        <v>5.8693869212947902</v>
      </c>
      <c r="J33" s="63"/>
      <c r="K33" s="63"/>
      <c r="L33" s="63"/>
      <c r="M33" s="63" t="s">
        <v>1750</v>
      </c>
      <c r="N33" s="63" t="s">
        <v>1768</v>
      </c>
      <c r="O33" s="63"/>
      <c r="P33" s="63" t="s">
        <v>1906</v>
      </c>
      <c r="Q33" s="63"/>
      <c r="R33" s="63" t="s">
        <v>2078</v>
      </c>
      <c r="S33" s="63" t="s">
        <v>40</v>
      </c>
      <c r="T33" s="63" t="s">
        <v>1840</v>
      </c>
      <c r="U33" s="63" t="s">
        <v>1840</v>
      </c>
      <c r="V33" s="63" t="str">
        <f>VLOOKUP(B33,[2]Overall!$A:$D,4,0)</f>
        <v>TELEINFRA NORD</v>
      </c>
      <c r="W33" s="63" t="str">
        <f>VLOOKUP(B33,[3]Sheet1!$A:$B,2,0)</f>
        <v>Dogba</v>
      </c>
      <c r="X33" s="89" t="str">
        <f t="shared" si="3"/>
        <v>EXN</v>
      </c>
      <c r="Y33" s="81" t="str">
        <f t="shared" ca="1" si="4"/>
        <v>T&gt;72H</v>
      </c>
      <c r="Z33" s="63">
        <f t="shared" si="5"/>
        <v>1</v>
      </c>
      <c r="AA33" s="63" t="s">
        <v>77</v>
      </c>
      <c r="AB33" s="63" t="s">
        <v>1905</v>
      </c>
      <c r="AC33" s="85" t="s">
        <v>2070</v>
      </c>
      <c r="AD33" s="85" t="s">
        <v>1994</v>
      </c>
      <c r="AE33" s="63"/>
    </row>
    <row r="34" spans="1:31" ht="175" x14ac:dyDescent="0.45">
      <c r="A34" s="63" t="s">
        <v>1919</v>
      </c>
      <c r="B34" s="63" t="s">
        <v>1914</v>
      </c>
      <c r="C34" s="68"/>
      <c r="D34" s="63"/>
      <c r="E34" s="63" t="s">
        <v>2058</v>
      </c>
      <c r="F34" s="71" t="str">
        <f>VLOOKUP(B34,'[2]Power '!$A:$C,3,0)</f>
        <v>TowerCo</v>
      </c>
      <c r="G34" s="71" t="str">
        <f>VLOOKUP(B34,'[2]Power '!$A:$D,4,0)</f>
        <v>Gen Only</v>
      </c>
      <c r="H34" s="69">
        <v>46174.799398148149</v>
      </c>
      <c r="I34" s="77">
        <f t="shared" ca="1" si="0"/>
        <v>5.8692943287023809</v>
      </c>
      <c r="J34" s="63"/>
      <c r="K34" s="63"/>
      <c r="L34" s="63"/>
      <c r="M34" s="63" t="s">
        <v>1750</v>
      </c>
      <c r="N34" s="63" t="s">
        <v>1768</v>
      </c>
      <c r="O34" s="63"/>
      <c r="P34" s="63" t="s">
        <v>1906</v>
      </c>
      <c r="Q34" s="63"/>
      <c r="R34" s="63" t="s">
        <v>2078</v>
      </c>
      <c r="S34" s="63" t="s">
        <v>40</v>
      </c>
      <c r="T34" s="63" t="s">
        <v>1840</v>
      </c>
      <c r="U34" s="63" t="s">
        <v>1840</v>
      </c>
      <c r="V34" s="63" t="str">
        <f>VLOOKUP(B34,[2]Overall!$A:$D,4,0)</f>
        <v>TELEINFRA NORD</v>
      </c>
      <c r="W34" s="63" t="str">
        <f>VLOOKUP(B34,[3]Sheet1!$A:$B,2,0)</f>
        <v>Dogba</v>
      </c>
      <c r="X34" s="89" t="str">
        <f t="shared" si="3"/>
        <v>EXN</v>
      </c>
      <c r="Y34" s="81" t="str">
        <f t="shared" ca="1" si="4"/>
        <v>T&gt;72H</v>
      </c>
      <c r="Z34" s="63">
        <f t="shared" si="5"/>
        <v>1</v>
      </c>
      <c r="AA34" s="63" t="s">
        <v>77</v>
      </c>
      <c r="AB34" s="63" t="s">
        <v>1905</v>
      </c>
      <c r="AC34" s="85" t="s">
        <v>2070</v>
      </c>
      <c r="AD34" s="85" t="s">
        <v>1994</v>
      </c>
      <c r="AE34" s="63"/>
    </row>
    <row r="35" spans="1:31" ht="175" x14ac:dyDescent="0.45">
      <c r="A35" s="63" t="s">
        <v>1919</v>
      </c>
      <c r="B35" s="63" t="s">
        <v>1914</v>
      </c>
      <c r="C35" s="68"/>
      <c r="D35" s="63"/>
      <c r="E35" s="63" t="s">
        <v>2059</v>
      </c>
      <c r="F35" s="71" t="str">
        <f>VLOOKUP(B35,'[2]Power '!$A:$C,3,0)</f>
        <v>TowerCo</v>
      </c>
      <c r="G35" s="71" t="str">
        <f>VLOOKUP(B35,'[2]Power '!$A:$D,4,0)</f>
        <v>Gen Only</v>
      </c>
      <c r="H35" s="69">
        <v>46174.799398148149</v>
      </c>
      <c r="I35" s="77">
        <f t="shared" ca="1" si="0"/>
        <v>5.8692943287023809</v>
      </c>
      <c r="J35" s="63"/>
      <c r="K35" s="63"/>
      <c r="L35" s="63"/>
      <c r="M35" s="63" t="s">
        <v>1750</v>
      </c>
      <c r="N35" s="63" t="s">
        <v>1768</v>
      </c>
      <c r="O35" s="63"/>
      <c r="P35" s="63" t="s">
        <v>1906</v>
      </c>
      <c r="Q35" s="63"/>
      <c r="R35" s="63" t="s">
        <v>2078</v>
      </c>
      <c r="S35" s="63" t="s">
        <v>40</v>
      </c>
      <c r="T35" s="63" t="s">
        <v>1840</v>
      </c>
      <c r="U35" s="63" t="s">
        <v>1840</v>
      </c>
      <c r="V35" s="63" t="str">
        <f>VLOOKUP(B35,[2]Overall!$A:$D,4,0)</f>
        <v>TELEINFRA NORD</v>
      </c>
      <c r="W35" s="63" t="str">
        <f>VLOOKUP(B35,[3]Sheet1!$A:$B,2,0)</f>
        <v>Dogba</v>
      </c>
      <c r="X35" s="89" t="str">
        <f t="shared" si="3"/>
        <v>EXN</v>
      </c>
      <c r="Y35" s="81" t="str">
        <f t="shared" ca="1" si="4"/>
        <v>T&gt;72H</v>
      </c>
      <c r="Z35" s="63">
        <f t="shared" si="5"/>
        <v>1</v>
      </c>
      <c r="AA35" s="63" t="s">
        <v>77</v>
      </c>
      <c r="AB35" s="63" t="s">
        <v>1905</v>
      </c>
      <c r="AC35" s="85" t="s">
        <v>2070</v>
      </c>
      <c r="AD35" s="85" t="s">
        <v>1994</v>
      </c>
      <c r="AE35" s="63"/>
    </row>
    <row r="36" spans="1:31" ht="102.5" x14ac:dyDescent="0.45">
      <c r="A36" s="61" t="s">
        <v>1632</v>
      </c>
      <c r="B36" s="61" t="s">
        <v>1610</v>
      </c>
      <c r="C36" s="65"/>
      <c r="D36" s="61"/>
      <c r="E36" s="61" t="s">
        <v>49</v>
      </c>
      <c r="F36" s="91" t="str">
        <f>VLOOKUP(B36,'[2]Power '!$A:$C,3,0)</f>
        <v>TowerCo</v>
      </c>
      <c r="G36" s="91" t="str">
        <f>VLOOKUP(B36,'[2]Power '!$A:$D,4,0)</f>
        <v>Grid-Gen</v>
      </c>
      <c r="H36" s="67">
        <v>46174.804189814815</v>
      </c>
      <c r="I36" s="75">
        <f t="shared" ca="1" si="0"/>
        <v>5.8645026620361023</v>
      </c>
      <c r="J36" s="61"/>
      <c r="K36" s="61"/>
      <c r="L36" s="61"/>
      <c r="M36" s="61" t="s">
        <v>41</v>
      </c>
      <c r="N36" s="61" t="s">
        <v>1633</v>
      </c>
      <c r="O36" s="61"/>
      <c r="P36" s="61"/>
      <c r="Q36" s="61"/>
      <c r="R36" s="61" t="s">
        <v>2091</v>
      </c>
      <c r="S36" s="61" t="s">
        <v>40</v>
      </c>
      <c r="T36" s="61" t="s">
        <v>1902</v>
      </c>
      <c r="U36" s="61" t="s">
        <v>1896</v>
      </c>
      <c r="V36" s="61" t="str">
        <f>VLOOKUP(B36,[2]Overall!$A:$D,4,0)</f>
        <v>TELEINFRA NORD</v>
      </c>
      <c r="W36" s="61" t="str">
        <f>VLOOKUP(B36,[3]Sheet1!$A:$B,2,0)</f>
        <v>Zileng</v>
      </c>
      <c r="X36" s="88" t="str">
        <f t="shared" si="3"/>
        <v>EXN</v>
      </c>
      <c r="Y36" s="80" t="str">
        <f t="shared" ca="1" si="4"/>
        <v>T&gt;72H</v>
      </c>
      <c r="Z36" s="61">
        <f t="shared" si="5"/>
        <v>1</v>
      </c>
      <c r="AA36" s="61" t="s">
        <v>1566</v>
      </c>
      <c r="AB36" s="61" t="s">
        <v>1905</v>
      </c>
      <c r="AC36" s="84" t="s">
        <v>2070</v>
      </c>
      <c r="AD36" s="84" t="s">
        <v>1994</v>
      </c>
      <c r="AE36" s="61"/>
    </row>
    <row r="37" spans="1:31" ht="88" x14ac:dyDescent="0.45">
      <c r="A37" s="61" t="s">
        <v>1611</v>
      </c>
      <c r="B37" s="61" t="s">
        <v>1610</v>
      </c>
      <c r="C37" s="65"/>
      <c r="D37" s="61"/>
      <c r="E37" s="61" t="s">
        <v>1649</v>
      </c>
      <c r="F37" s="91" t="str">
        <f>VLOOKUP(B37,'[2]Power '!$A:$C,3,0)</f>
        <v>TowerCo</v>
      </c>
      <c r="G37" s="91" t="str">
        <f>VLOOKUP(B37,'[2]Power '!$A:$D,4,0)</f>
        <v>Grid-Gen</v>
      </c>
      <c r="H37" s="67">
        <v>46174.804548611108</v>
      </c>
      <c r="I37" s="75">
        <f t="shared" ca="1" si="0"/>
        <v>5.8641438657432445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2091</v>
      </c>
      <c r="S37" s="61" t="s">
        <v>40</v>
      </c>
      <c r="T37" s="61" t="s">
        <v>1902</v>
      </c>
      <c r="U37" s="61" t="s">
        <v>1896</v>
      </c>
      <c r="V37" s="61" t="str">
        <f>VLOOKUP(B37,[2]Overall!$A:$D,4,0)</f>
        <v>TELEINFRA NORD</v>
      </c>
      <c r="W37" s="61" t="str">
        <f>VLOOKUP(B37,[3]Sheet1!$A:$B,2,0)</f>
        <v>Zileng</v>
      </c>
      <c r="X37" s="88" t="str">
        <f t="shared" si="3"/>
        <v>EXN</v>
      </c>
      <c r="Y37" s="80" t="str">
        <f t="shared" ca="1" si="4"/>
        <v>T&gt;72H</v>
      </c>
      <c r="Z37" s="61">
        <f t="shared" si="5"/>
        <v>1</v>
      </c>
      <c r="AA37" s="61" t="s">
        <v>1566</v>
      </c>
      <c r="AB37" s="61" t="s">
        <v>1905</v>
      </c>
      <c r="AC37" s="84" t="s">
        <v>2070</v>
      </c>
      <c r="AD37" s="84" t="s">
        <v>1994</v>
      </c>
      <c r="AE37" s="61"/>
    </row>
    <row r="38" spans="1:31" ht="88" x14ac:dyDescent="0.45">
      <c r="A38" s="61" t="s">
        <v>1611</v>
      </c>
      <c r="B38" s="61" t="s">
        <v>1610</v>
      </c>
      <c r="C38" s="65"/>
      <c r="D38" s="61"/>
      <c r="E38" s="61" t="s">
        <v>1647</v>
      </c>
      <c r="F38" s="91" t="str">
        <f>VLOOKUP(B38,'[2]Power '!$A:$C,3,0)</f>
        <v>TowerCo</v>
      </c>
      <c r="G38" s="91" t="str">
        <f>VLOOKUP(B38,'[2]Power '!$A:$D,4,0)</f>
        <v>Grid-Gen</v>
      </c>
      <c r="H38" s="67">
        <v>46174.804548611108</v>
      </c>
      <c r="I38" s="75">
        <f t="shared" ca="1" si="0"/>
        <v>5.8641438657432445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2091</v>
      </c>
      <c r="S38" s="61" t="s">
        <v>40</v>
      </c>
      <c r="T38" s="61" t="s">
        <v>1902</v>
      </c>
      <c r="U38" s="61" t="s">
        <v>1896</v>
      </c>
      <c r="V38" s="61" t="str">
        <f>VLOOKUP(B38,[2]Overall!$A:$D,4,0)</f>
        <v>TELEINFRA NORD</v>
      </c>
      <c r="W38" s="61" t="str">
        <f>VLOOKUP(B38,[3]Sheet1!$A:$B,2,0)</f>
        <v>Zileng</v>
      </c>
      <c r="X38" s="88" t="str">
        <f t="shared" si="3"/>
        <v>EXN</v>
      </c>
      <c r="Y38" s="80" t="str">
        <f t="shared" ca="1" si="4"/>
        <v>T&gt;72H</v>
      </c>
      <c r="Z38" s="61">
        <f t="shared" si="5"/>
        <v>1</v>
      </c>
      <c r="AA38" s="61" t="s">
        <v>1566</v>
      </c>
      <c r="AB38" s="61" t="s">
        <v>1905</v>
      </c>
      <c r="AC38" s="84" t="s">
        <v>2070</v>
      </c>
      <c r="AD38" s="84" t="s">
        <v>1994</v>
      </c>
      <c r="AE38" s="61"/>
    </row>
    <row r="39" spans="1:31" ht="88" x14ac:dyDescent="0.45">
      <c r="A39" s="61" t="s">
        <v>1611</v>
      </c>
      <c r="B39" s="61" t="s">
        <v>1610</v>
      </c>
      <c r="C39" s="65"/>
      <c r="D39" s="61"/>
      <c r="E39" s="61" t="s">
        <v>1644</v>
      </c>
      <c r="F39" s="91" t="str">
        <f>VLOOKUP(B39,'[2]Power '!$A:$C,3,0)</f>
        <v>TowerCo</v>
      </c>
      <c r="G39" s="91" t="str">
        <f>VLOOKUP(B39,'[2]Power '!$A:$D,4,0)</f>
        <v>Grid-Gen</v>
      </c>
      <c r="H39" s="67">
        <v>46174.804548611108</v>
      </c>
      <c r="I39" s="75">
        <f t="shared" ca="1" si="0"/>
        <v>5.8641438657432445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2091</v>
      </c>
      <c r="S39" s="61" t="s">
        <v>40</v>
      </c>
      <c r="T39" s="61" t="s">
        <v>1902</v>
      </c>
      <c r="U39" s="61" t="s">
        <v>1896</v>
      </c>
      <c r="V39" s="61" t="str">
        <f>VLOOKUP(B39,[2]Overall!$A:$D,4,0)</f>
        <v>TELEINFRA NORD</v>
      </c>
      <c r="W39" s="61" t="str">
        <f>VLOOKUP(B39,[3]Sheet1!$A:$B,2,0)</f>
        <v>Zileng</v>
      </c>
      <c r="X39" s="88" t="str">
        <f t="shared" si="3"/>
        <v>EXN</v>
      </c>
      <c r="Y39" s="80" t="str">
        <f t="shared" ca="1" si="4"/>
        <v>T&gt;72H</v>
      </c>
      <c r="Z39" s="61">
        <f t="shared" si="5"/>
        <v>1</v>
      </c>
      <c r="AA39" s="61" t="s">
        <v>1566</v>
      </c>
      <c r="AB39" s="61" t="s">
        <v>1905</v>
      </c>
      <c r="AC39" s="84" t="s">
        <v>2070</v>
      </c>
      <c r="AD39" s="84" t="s">
        <v>1994</v>
      </c>
      <c r="AE39" s="61"/>
    </row>
    <row r="40" spans="1:31" ht="88" x14ac:dyDescent="0.45">
      <c r="A40" s="61" t="s">
        <v>1611</v>
      </c>
      <c r="B40" s="61" t="s">
        <v>1610</v>
      </c>
      <c r="C40" s="65"/>
      <c r="D40" s="61"/>
      <c r="E40" s="61" t="s">
        <v>1645</v>
      </c>
      <c r="F40" s="91" t="str">
        <f>VLOOKUP(B40,'[2]Power '!$A:$C,3,0)</f>
        <v>TowerCo</v>
      </c>
      <c r="G40" s="91" t="str">
        <f>VLOOKUP(B40,'[2]Power '!$A:$D,4,0)</f>
        <v>Grid-Gen</v>
      </c>
      <c r="H40" s="67">
        <v>46174.804548611108</v>
      </c>
      <c r="I40" s="75">
        <f t="shared" ref="I40:I58" ca="1" si="6">NOW()-H40</f>
        <v>5.8641438657432445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2091</v>
      </c>
      <c r="S40" s="61" t="s">
        <v>40</v>
      </c>
      <c r="T40" s="61" t="s">
        <v>1902</v>
      </c>
      <c r="U40" s="61" t="s">
        <v>1896</v>
      </c>
      <c r="V40" s="61" t="str">
        <f>VLOOKUP(B40,[2]Overall!$A:$D,4,0)</f>
        <v>TELEINFRA NORD</v>
      </c>
      <c r="W40" s="61" t="str">
        <f>VLOOKUP(B40,[3]Sheet1!$A:$B,2,0)</f>
        <v>Zileng</v>
      </c>
      <c r="X40" s="88" t="str">
        <f t="shared" si="3"/>
        <v>EXN</v>
      </c>
      <c r="Y40" s="80" t="str">
        <f t="shared" ca="1" si="4"/>
        <v>T&gt;72H</v>
      </c>
      <c r="Z40" s="61">
        <f t="shared" si="5"/>
        <v>1</v>
      </c>
      <c r="AA40" s="61" t="s">
        <v>1566</v>
      </c>
      <c r="AB40" s="61" t="s">
        <v>1905</v>
      </c>
      <c r="AC40" s="84" t="s">
        <v>2070</v>
      </c>
      <c r="AD40" s="84" t="s">
        <v>1994</v>
      </c>
      <c r="AE40" s="61"/>
    </row>
    <row r="41" spans="1:31" ht="88" x14ac:dyDescent="0.45">
      <c r="A41" s="61" t="s">
        <v>1611</v>
      </c>
      <c r="B41" s="61" t="s">
        <v>1610</v>
      </c>
      <c r="C41" s="65"/>
      <c r="D41" s="61"/>
      <c r="E41" s="61" t="s">
        <v>1648</v>
      </c>
      <c r="F41" s="91" t="str">
        <f>VLOOKUP(B41,'[2]Power '!$A:$C,3,0)</f>
        <v>TowerCo</v>
      </c>
      <c r="G41" s="91" t="str">
        <f>VLOOKUP(B41,'[2]Power '!$A:$D,4,0)</f>
        <v>Grid-Gen</v>
      </c>
      <c r="H41" s="67">
        <v>46174.804548611108</v>
      </c>
      <c r="I41" s="75">
        <f t="shared" ca="1" si="6"/>
        <v>5.8641438657432445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2091</v>
      </c>
      <c r="S41" s="61" t="s">
        <v>40</v>
      </c>
      <c r="T41" s="61" t="s">
        <v>1902</v>
      </c>
      <c r="U41" s="61" t="s">
        <v>1896</v>
      </c>
      <c r="V41" s="61" t="str">
        <f>VLOOKUP(B41,[2]Overall!$A:$D,4,0)</f>
        <v>TELEINFRA NORD</v>
      </c>
      <c r="W41" s="61" t="str">
        <f>VLOOKUP(B41,[3]Sheet1!$A:$B,2,0)</f>
        <v>Zileng</v>
      </c>
      <c r="X41" s="88" t="str">
        <f t="shared" si="3"/>
        <v>EXN</v>
      </c>
      <c r="Y41" s="80" t="str">
        <f t="shared" ca="1" si="4"/>
        <v>T&gt;72H</v>
      </c>
      <c r="Z41" s="61">
        <f t="shared" si="5"/>
        <v>1</v>
      </c>
      <c r="AA41" s="61" t="s">
        <v>1566</v>
      </c>
      <c r="AB41" s="61" t="s">
        <v>1905</v>
      </c>
      <c r="AC41" s="84" t="s">
        <v>2070</v>
      </c>
      <c r="AD41" s="84" t="s">
        <v>1994</v>
      </c>
      <c r="AE41" s="61"/>
    </row>
    <row r="42" spans="1:31" ht="88" x14ac:dyDescent="0.45">
      <c r="A42" s="61" t="s">
        <v>1611</v>
      </c>
      <c r="B42" s="61" t="s">
        <v>1610</v>
      </c>
      <c r="C42" s="65"/>
      <c r="D42" s="61"/>
      <c r="E42" s="61" t="s">
        <v>1643</v>
      </c>
      <c r="F42" s="91" t="str">
        <f>VLOOKUP(B42,'[2]Power '!$A:$C,3,0)</f>
        <v>TowerCo</v>
      </c>
      <c r="G42" s="91" t="str">
        <f>VLOOKUP(B42,'[2]Power '!$A:$D,4,0)</f>
        <v>Grid-Gen</v>
      </c>
      <c r="H42" s="67">
        <v>46174.804548611108</v>
      </c>
      <c r="I42" s="75">
        <f t="shared" ca="1" si="6"/>
        <v>5.8641438657432445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2091</v>
      </c>
      <c r="S42" s="61" t="s">
        <v>40</v>
      </c>
      <c r="T42" s="61" t="s">
        <v>1902</v>
      </c>
      <c r="U42" s="61" t="s">
        <v>1896</v>
      </c>
      <c r="V42" s="61" t="str">
        <f>VLOOKUP(B42,[2]Overall!$A:$D,4,0)</f>
        <v>TELEINFRA NORD</v>
      </c>
      <c r="W42" s="61" t="str">
        <f>VLOOKUP(B42,[3]Sheet1!$A:$B,2,0)</f>
        <v>Zileng</v>
      </c>
      <c r="X42" s="88" t="str">
        <f t="shared" si="3"/>
        <v>EXN</v>
      </c>
      <c r="Y42" s="80" t="str">
        <f t="shared" ca="1" si="4"/>
        <v>T&gt;72H</v>
      </c>
      <c r="Z42" s="61">
        <f t="shared" si="5"/>
        <v>1</v>
      </c>
      <c r="AA42" s="61" t="s">
        <v>1566</v>
      </c>
      <c r="AB42" s="61" t="s">
        <v>1905</v>
      </c>
      <c r="AC42" s="84" t="s">
        <v>2070</v>
      </c>
      <c r="AD42" s="84" t="s">
        <v>1994</v>
      </c>
      <c r="AE42" s="61"/>
    </row>
    <row r="43" spans="1:31" ht="88" x14ac:dyDescent="0.45">
      <c r="A43" s="61" t="s">
        <v>1611</v>
      </c>
      <c r="B43" s="61" t="s">
        <v>1610</v>
      </c>
      <c r="C43" s="65"/>
      <c r="D43" s="61"/>
      <c r="E43" s="61" t="s">
        <v>1650</v>
      </c>
      <c r="F43" s="91" t="str">
        <f>VLOOKUP(B43,'[2]Power '!$A:$C,3,0)</f>
        <v>TowerCo</v>
      </c>
      <c r="G43" s="91" t="str">
        <f>VLOOKUP(B43,'[2]Power '!$A:$D,4,0)</f>
        <v>Grid-Gen</v>
      </c>
      <c r="H43" s="67">
        <v>46174.804548611108</v>
      </c>
      <c r="I43" s="75">
        <f t="shared" ca="1" si="6"/>
        <v>5.8641438657432445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2091</v>
      </c>
      <c r="S43" s="61" t="s">
        <v>40</v>
      </c>
      <c r="T43" s="61" t="s">
        <v>1902</v>
      </c>
      <c r="U43" s="61" t="s">
        <v>1896</v>
      </c>
      <c r="V43" s="61" t="str">
        <f>VLOOKUP(B43,[2]Overall!$A:$D,4,0)</f>
        <v>TELEINFRA NORD</v>
      </c>
      <c r="W43" s="61" t="str">
        <f>VLOOKUP(B43,[3]Sheet1!$A:$B,2,0)</f>
        <v>Zileng</v>
      </c>
      <c r="X43" s="88" t="str">
        <f t="shared" si="3"/>
        <v>EXN</v>
      </c>
      <c r="Y43" s="80" t="str">
        <f t="shared" ca="1" si="4"/>
        <v>T&gt;72H</v>
      </c>
      <c r="Z43" s="61">
        <f t="shared" si="5"/>
        <v>1</v>
      </c>
      <c r="AA43" s="61" t="s">
        <v>1566</v>
      </c>
      <c r="AB43" s="61" t="s">
        <v>1905</v>
      </c>
      <c r="AC43" s="84" t="s">
        <v>2070</v>
      </c>
      <c r="AD43" s="84" t="s">
        <v>1994</v>
      </c>
      <c r="AE43" s="61"/>
    </row>
    <row r="44" spans="1:31" ht="88" x14ac:dyDescent="0.45">
      <c r="A44" s="61" t="s">
        <v>1611</v>
      </c>
      <c r="B44" s="61" t="s">
        <v>1610</v>
      </c>
      <c r="C44" s="65"/>
      <c r="D44" s="61"/>
      <c r="E44" s="61" t="s">
        <v>1642</v>
      </c>
      <c r="F44" s="91" t="str">
        <f>VLOOKUP(B44,'[2]Power '!$A:$C,3,0)</f>
        <v>TowerCo</v>
      </c>
      <c r="G44" s="91" t="str">
        <f>VLOOKUP(B44,'[2]Power '!$A:$D,4,0)</f>
        <v>Grid-Gen</v>
      </c>
      <c r="H44" s="67">
        <v>46174.804548611108</v>
      </c>
      <c r="I44" s="75">
        <f t="shared" ca="1" si="6"/>
        <v>5.8641438657432445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2091</v>
      </c>
      <c r="S44" s="61" t="s">
        <v>40</v>
      </c>
      <c r="T44" s="61" t="s">
        <v>1902</v>
      </c>
      <c r="U44" s="61" t="s">
        <v>1896</v>
      </c>
      <c r="V44" s="61" t="str">
        <f>VLOOKUP(B44,[2]Overall!$A:$D,4,0)</f>
        <v>TELEINFRA NORD</v>
      </c>
      <c r="W44" s="61" t="str">
        <f>VLOOKUP(B44,[3]Sheet1!$A:$B,2,0)</f>
        <v>Zileng</v>
      </c>
      <c r="X44" s="88" t="str">
        <f t="shared" si="3"/>
        <v>EXN</v>
      </c>
      <c r="Y44" s="80" t="str">
        <f t="shared" ca="1" si="4"/>
        <v>T&gt;72H</v>
      </c>
      <c r="Z44" s="61">
        <f t="shared" si="5"/>
        <v>1</v>
      </c>
      <c r="AA44" s="61" t="s">
        <v>1566</v>
      </c>
      <c r="AB44" s="61" t="s">
        <v>1905</v>
      </c>
      <c r="AC44" s="84" t="s">
        <v>2070</v>
      </c>
      <c r="AD44" s="84" t="s">
        <v>1994</v>
      </c>
      <c r="AE44" s="61"/>
    </row>
    <row r="45" spans="1:31" ht="88" x14ac:dyDescent="0.45">
      <c r="A45" s="61" t="s">
        <v>1611</v>
      </c>
      <c r="B45" s="61" t="s">
        <v>1610</v>
      </c>
      <c r="C45" s="65"/>
      <c r="D45" s="61"/>
      <c r="E45" s="61" t="s">
        <v>1646</v>
      </c>
      <c r="F45" s="91" t="str">
        <f>VLOOKUP(B45,'[2]Power '!$A:$C,3,0)</f>
        <v>TowerCo</v>
      </c>
      <c r="G45" s="91" t="str">
        <f>VLOOKUP(B45,'[2]Power '!$A:$D,4,0)</f>
        <v>Grid-Gen</v>
      </c>
      <c r="H45" s="67">
        <v>46174.804537037038</v>
      </c>
      <c r="I45" s="75">
        <f t="shared" ca="1" si="6"/>
        <v>5.8641554398127482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2091</v>
      </c>
      <c r="S45" s="61" t="s">
        <v>40</v>
      </c>
      <c r="T45" s="61" t="s">
        <v>1902</v>
      </c>
      <c r="U45" s="61" t="s">
        <v>1896</v>
      </c>
      <c r="V45" s="61" t="str">
        <f>VLOOKUP(B45,[2]Overall!$A:$D,4,0)</f>
        <v>TELEINFRA NORD</v>
      </c>
      <c r="W45" s="61" t="str">
        <f>VLOOKUP(B45,[3]Sheet1!$A:$B,2,0)</f>
        <v>Zileng</v>
      </c>
      <c r="X45" s="88" t="str">
        <f t="shared" si="3"/>
        <v>EXN</v>
      </c>
      <c r="Y45" s="80" t="str">
        <f t="shared" ca="1" si="4"/>
        <v>T&gt;72H</v>
      </c>
      <c r="Z45" s="61">
        <f t="shared" si="5"/>
        <v>1</v>
      </c>
      <c r="AA45" s="61" t="s">
        <v>1566</v>
      </c>
      <c r="AB45" s="61" t="s">
        <v>1905</v>
      </c>
      <c r="AC45" s="84" t="s">
        <v>2070</v>
      </c>
      <c r="AD45" s="84" t="s">
        <v>1994</v>
      </c>
      <c r="AE45" s="61"/>
    </row>
    <row r="46" spans="1:31" ht="88" x14ac:dyDescent="0.45">
      <c r="A46" s="61" t="s">
        <v>1611</v>
      </c>
      <c r="B46" s="61" t="s">
        <v>1610</v>
      </c>
      <c r="C46" s="65"/>
      <c r="D46" s="61"/>
      <c r="E46" s="61" t="s">
        <v>1617</v>
      </c>
      <c r="F46" s="91" t="str">
        <f>VLOOKUP(B46,'[2]Power '!$A:$C,3,0)</f>
        <v>TowerCo</v>
      </c>
      <c r="G46" s="91" t="str">
        <f>VLOOKUP(B46,'[2]Power '!$A:$D,4,0)</f>
        <v>Grid-Gen</v>
      </c>
      <c r="H46" s="67">
        <v>46174.804849537039</v>
      </c>
      <c r="I46" s="75">
        <f t="shared" ca="1" si="6"/>
        <v>5.8638429398124572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2091</v>
      </c>
      <c r="S46" s="61" t="s">
        <v>40</v>
      </c>
      <c r="T46" s="61" t="s">
        <v>1902</v>
      </c>
      <c r="U46" s="61" t="s">
        <v>1896</v>
      </c>
      <c r="V46" s="61" t="str">
        <f>VLOOKUP(B46,[2]Overall!$A:$D,4,0)</f>
        <v>TELEINFRA NORD</v>
      </c>
      <c r="W46" s="61" t="str">
        <f>VLOOKUP(B46,[3]Sheet1!$A:$B,2,0)</f>
        <v>Zileng</v>
      </c>
      <c r="X46" s="88" t="str">
        <f t="shared" si="3"/>
        <v>EXN</v>
      </c>
      <c r="Y46" s="80" t="str">
        <f t="shared" ca="1" si="4"/>
        <v>T&gt;72H</v>
      </c>
      <c r="Z46" s="61">
        <f t="shared" si="5"/>
        <v>1</v>
      </c>
      <c r="AA46" s="61" t="s">
        <v>1566</v>
      </c>
      <c r="AB46" s="61" t="s">
        <v>1905</v>
      </c>
      <c r="AC46" s="84" t="s">
        <v>2070</v>
      </c>
      <c r="AD46" s="84" t="s">
        <v>1994</v>
      </c>
      <c r="AE46" s="61"/>
    </row>
    <row r="47" spans="1:31" ht="88" x14ac:dyDescent="0.45">
      <c r="A47" s="61" t="s">
        <v>1611</v>
      </c>
      <c r="B47" s="61" t="s">
        <v>1610</v>
      </c>
      <c r="C47" s="65"/>
      <c r="D47" s="61"/>
      <c r="E47" s="61" t="s">
        <v>1616</v>
      </c>
      <c r="F47" s="91" t="str">
        <f>VLOOKUP(B47,'[2]Power '!$A:$C,3,0)</f>
        <v>TowerCo</v>
      </c>
      <c r="G47" s="91" t="str">
        <f>VLOOKUP(B47,'[2]Power '!$A:$D,4,0)</f>
        <v>Grid-Gen</v>
      </c>
      <c r="H47" s="67">
        <v>46174.804837962962</v>
      </c>
      <c r="I47" s="75">
        <f t="shared" ca="1" si="6"/>
        <v>5.8638545138892368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2091</v>
      </c>
      <c r="S47" s="61" t="s">
        <v>40</v>
      </c>
      <c r="T47" s="61" t="s">
        <v>1902</v>
      </c>
      <c r="U47" s="61" t="s">
        <v>1896</v>
      </c>
      <c r="V47" s="61" t="str">
        <f>VLOOKUP(B47,[2]Overall!$A:$D,4,0)</f>
        <v>TELEINFRA NORD</v>
      </c>
      <c r="W47" s="61" t="str">
        <f>VLOOKUP(B47,[3]Sheet1!$A:$B,2,0)</f>
        <v>Zileng</v>
      </c>
      <c r="X47" s="88" t="str">
        <f t="shared" si="3"/>
        <v>EXN</v>
      </c>
      <c r="Y47" s="80" t="str">
        <f t="shared" ca="1" si="4"/>
        <v>T&gt;72H</v>
      </c>
      <c r="Z47" s="61">
        <f t="shared" si="5"/>
        <v>1</v>
      </c>
      <c r="AA47" s="61" t="s">
        <v>1566</v>
      </c>
      <c r="AB47" s="61" t="s">
        <v>1905</v>
      </c>
      <c r="AC47" s="84" t="s">
        <v>2070</v>
      </c>
      <c r="AD47" s="84" t="s">
        <v>1994</v>
      </c>
      <c r="AE47" s="61"/>
    </row>
    <row r="48" spans="1:31" ht="88" x14ac:dyDescent="0.45">
      <c r="A48" s="61" t="s">
        <v>1611</v>
      </c>
      <c r="B48" s="61" t="s">
        <v>1610</v>
      </c>
      <c r="C48" s="65"/>
      <c r="D48" s="61"/>
      <c r="E48" s="61" t="s">
        <v>1614</v>
      </c>
      <c r="F48" s="91" t="str">
        <f>VLOOKUP(B48,'[2]Power '!$A:$C,3,0)</f>
        <v>TowerCo</v>
      </c>
      <c r="G48" s="91" t="str">
        <f>VLOOKUP(B48,'[2]Power '!$A:$D,4,0)</f>
        <v>Grid-Gen</v>
      </c>
      <c r="H48" s="67">
        <v>46174.804837962962</v>
      </c>
      <c r="I48" s="75">
        <f t="shared" ca="1" si="6"/>
        <v>5.8638545138892368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2091</v>
      </c>
      <c r="S48" s="61" t="s">
        <v>40</v>
      </c>
      <c r="T48" s="61" t="s">
        <v>1902</v>
      </c>
      <c r="U48" s="61" t="s">
        <v>1896</v>
      </c>
      <c r="V48" s="61" t="str">
        <f>VLOOKUP(B48,[2]Overall!$A:$D,4,0)</f>
        <v>TELEINFRA NORD</v>
      </c>
      <c r="W48" s="61" t="str">
        <f>VLOOKUP(B48,[3]Sheet1!$A:$B,2,0)</f>
        <v>Zileng</v>
      </c>
      <c r="X48" s="88" t="str">
        <f t="shared" si="3"/>
        <v>EXN</v>
      </c>
      <c r="Y48" s="80" t="str">
        <f t="shared" ca="1" si="4"/>
        <v>T&gt;72H</v>
      </c>
      <c r="Z48" s="61">
        <f t="shared" si="5"/>
        <v>1</v>
      </c>
      <c r="AA48" s="61" t="s">
        <v>1566</v>
      </c>
      <c r="AB48" s="61" t="s">
        <v>1905</v>
      </c>
      <c r="AC48" s="84" t="s">
        <v>2070</v>
      </c>
      <c r="AD48" s="84" t="s">
        <v>1994</v>
      </c>
      <c r="AE48" s="61"/>
    </row>
    <row r="49" spans="1:31" ht="88" x14ac:dyDescent="0.45">
      <c r="A49" s="61" t="s">
        <v>1611</v>
      </c>
      <c r="B49" s="61" t="s">
        <v>1610</v>
      </c>
      <c r="C49" s="65"/>
      <c r="D49" s="61"/>
      <c r="E49" s="61" t="s">
        <v>1615</v>
      </c>
      <c r="F49" s="91" t="str">
        <f>VLOOKUP(B49,'[2]Power '!$A:$C,3,0)</f>
        <v>TowerCo</v>
      </c>
      <c r="G49" s="91" t="str">
        <f>VLOOKUP(B49,'[2]Power '!$A:$D,4,0)</f>
        <v>Grid-Gen</v>
      </c>
      <c r="H49" s="67">
        <v>46174.804849537039</v>
      </c>
      <c r="I49" s="75">
        <f t="shared" ca="1" si="6"/>
        <v>5.8638429398124572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2091</v>
      </c>
      <c r="S49" s="61" t="s">
        <v>40</v>
      </c>
      <c r="T49" s="61" t="s">
        <v>1902</v>
      </c>
      <c r="U49" s="61" t="s">
        <v>1896</v>
      </c>
      <c r="V49" s="61" t="str">
        <f>VLOOKUP(B49,[2]Overall!$A:$D,4,0)</f>
        <v>TELEINFRA NORD</v>
      </c>
      <c r="W49" s="61" t="str">
        <f>VLOOKUP(B49,[3]Sheet1!$A:$B,2,0)</f>
        <v>Zileng</v>
      </c>
      <c r="X49" s="88" t="str">
        <f t="shared" si="3"/>
        <v>EXN</v>
      </c>
      <c r="Y49" s="80" t="str">
        <f t="shared" ca="1" si="4"/>
        <v>T&gt;72H</v>
      </c>
      <c r="Z49" s="61">
        <f t="shared" si="5"/>
        <v>1</v>
      </c>
      <c r="AA49" s="61" t="s">
        <v>1566</v>
      </c>
      <c r="AB49" s="61" t="s">
        <v>1905</v>
      </c>
      <c r="AC49" s="84" t="s">
        <v>2070</v>
      </c>
      <c r="AD49" s="84" t="s">
        <v>1994</v>
      </c>
      <c r="AE49" s="61"/>
    </row>
    <row r="50" spans="1:31" ht="88" x14ac:dyDescent="0.45">
      <c r="A50" s="61" t="s">
        <v>1611</v>
      </c>
      <c r="B50" s="61" t="s">
        <v>1610</v>
      </c>
      <c r="C50" s="65"/>
      <c r="D50" s="61"/>
      <c r="E50" s="61" t="s">
        <v>1613</v>
      </c>
      <c r="F50" s="91" t="str">
        <f>VLOOKUP(B50,'[2]Power '!$A:$C,3,0)</f>
        <v>TowerCo</v>
      </c>
      <c r="G50" s="91" t="str">
        <f>VLOOKUP(B50,'[2]Power '!$A:$D,4,0)</f>
        <v>Grid-Gen</v>
      </c>
      <c r="H50" s="67">
        <v>46174.804849537039</v>
      </c>
      <c r="I50" s="75">
        <f t="shared" ca="1" si="6"/>
        <v>5.8638429398124572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61" t="s">
        <v>2091</v>
      </c>
      <c r="S50" s="61" t="s">
        <v>40</v>
      </c>
      <c r="T50" s="61" t="s">
        <v>1902</v>
      </c>
      <c r="U50" s="61" t="s">
        <v>1896</v>
      </c>
      <c r="V50" s="61" t="str">
        <f>VLOOKUP(B50,[2]Overall!$A:$D,4,0)</f>
        <v>TELEINFRA NORD</v>
      </c>
      <c r="W50" s="61" t="str">
        <f>VLOOKUP(B50,[3]Sheet1!$A:$B,2,0)</f>
        <v>Zileng</v>
      </c>
      <c r="X50" s="88" t="str">
        <f t="shared" si="3"/>
        <v>EXN</v>
      </c>
      <c r="Y50" s="80" t="str">
        <f t="shared" ca="1" si="4"/>
        <v>T&gt;72H</v>
      </c>
      <c r="Z50" s="61">
        <f t="shared" si="5"/>
        <v>1</v>
      </c>
      <c r="AA50" s="61" t="s">
        <v>1566</v>
      </c>
      <c r="AB50" s="61" t="s">
        <v>1905</v>
      </c>
      <c r="AC50" s="84" t="s">
        <v>2070</v>
      </c>
      <c r="AD50" s="84" t="s">
        <v>1994</v>
      </c>
      <c r="AE50" s="61"/>
    </row>
    <row r="51" spans="1:31" ht="88" x14ac:dyDescent="0.45">
      <c r="A51" s="61" t="s">
        <v>1611</v>
      </c>
      <c r="B51" s="61" t="s">
        <v>1610</v>
      </c>
      <c r="C51" s="65"/>
      <c r="D51" s="61"/>
      <c r="E51" s="61" t="s">
        <v>1612</v>
      </c>
      <c r="F51" s="91" t="str">
        <f>VLOOKUP(B51,'[2]Power '!$A:$C,3,0)</f>
        <v>TowerCo</v>
      </c>
      <c r="G51" s="91" t="str">
        <f>VLOOKUP(B51,'[2]Power '!$A:$D,4,0)</f>
        <v>Grid-Gen</v>
      </c>
      <c r="H51" s="67">
        <v>46174.804826388892</v>
      </c>
      <c r="I51" s="75">
        <f t="shared" ca="1" si="6"/>
        <v>5.8638660879587405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61" t="s">
        <v>2091</v>
      </c>
      <c r="S51" s="61" t="s">
        <v>40</v>
      </c>
      <c r="T51" s="61" t="s">
        <v>1902</v>
      </c>
      <c r="U51" s="61" t="s">
        <v>1896</v>
      </c>
      <c r="V51" s="61" t="str">
        <f>VLOOKUP(B51,[2]Overall!$A:$D,4,0)</f>
        <v>TELEINFRA NORD</v>
      </c>
      <c r="W51" s="61" t="str">
        <f>VLOOKUP(B51,[3]Sheet1!$A:$B,2,0)</f>
        <v>Zileng</v>
      </c>
      <c r="X51" s="88" t="str">
        <f t="shared" si="3"/>
        <v>EXN</v>
      </c>
      <c r="Y51" s="80" t="str">
        <f t="shared" ca="1" si="4"/>
        <v>T&gt;72H</v>
      </c>
      <c r="Z51" s="61">
        <f t="shared" si="5"/>
        <v>1</v>
      </c>
      <c r="AA51" s="61" t="s">
        <v>1566</v>
      </c>
      <c r="AB51" s="61" t="s">
        <v>1905</v>
      </c>
      <c r="AC51" s="84" t="s">
        <v>2070</v>
      </c>
      <c r="AD51" s="84" t="s">
        <v>1994</v>
      </c>
      <c r="AE51" s="61"/>
    </row>
    <row r="52" spans="1:31" ht="88" x14ac:dyDescent="0.45">
      <c r="A52" s="63" t="s">
        <v>1841</v>
      </c>
      <c r="B52" s="63" t="s">
        <v>1663</v>
      </c>
      <c r="C52" s="68"/>
      <c r="D52" s="63"/>
      <c r="E52" s="63" t="s">
        <v>2060</v>
      </c>
      <c r="F52" s="71" t="str">
        <f>VLOOKUP(B52,'[2]Power '!$A:$C,3,0)</f>
        <v>TowerCo</v>
      </c>
      <c r="G52" s="71" t="str">
        <f>VLOOKUP(B52,'[2]Power '!$A:$D,4,0)</f>
        <v>Grid-Gen</v>
      </c>
      <c r="H52" s="69">
        <v>46175.231157407405</v>
      </c>
      <c r="I52" s="77">
        <f t="shared" ca="1" si="6"/>
        <v>5.4375350694463123</v>
      </c>
      <c r="J52" s="63"/>
      <c r="K52" s="63"/>
      <c r="L52" s="63"/>
      <c r="M52" s="63" t="s">
        <v>41</v>
      </c>
      <c r="N52" s="63" t="s">
        <v>42</v>
      </c>
      <c r="O52" s="63"/>
      <c r="P52" s="63" t="s">
        <v>1906</v>
      </c>
      <c r="Q52" s="63"/>
      <c r="R52" s="63" t="s">
        <v>2071</v>
      </c>
      <c r="S52" s="63" t="s">
        <v>51</v>
      </c>
      <c r="T52" s="63" t="s">
        <v>1898</v>
      </c>
      <c r="U52" s="63" t="e">
        <v>#N/A</v>
      </c>
      <c r="V52" s="63" t="str">
        <f>VLOOKUP(B52,[2]Overall!$A:$D,4,0)</f>
        <v>TELEINFRA NORD</v>
      </c>
      <c r="W52" s="63" t="str">
        <f>VLOOKUP(B52,[3]Sheet1!$A:$B,2,0)</f>
        <v>Kaele</v>
      </c>
      <c r="X52" s="89" t="str">
        <f t="shared" si="3"/>
        <v>EXN</v>
      </c>
      <c r="Y52" s="81" t="str">
        <f t="shared" ca="1" si="4"/>
        <v>T&gt;72H</v>
      </c>
      <c r="Z52" s="63">
        <f t="shared" si="5"/>
        <v>1</v>
      </c>
      <c r="AA52" s="63" t="s">
        <v>77</v>
      </c>
      <c r="AB52" s="63" t="s">
        <v>1905</v>
      </c>
      <c r="AC52" s="85" t="s">
        <v>2070</v>
      </c>
      <c r="AD52" s="85" t="s">
        <v>1994</v>
      </c>
      <c r="AE52" s="63"/>
    </row>
    <row r="53" spans="1:31" ht="88" x14ac:dyDescent="0.45">
      <c r="A53" s="63" t="s">
        <v>1841</v>
      </c>
      <c r="B53" s="63" t="s">
        <v>1663</v>
      </c>
      <c r="C53" s="68"/>
      <c r="D53" s="63"/>
      <c r="E53" s="63" t="s">
        <v>2061</v>
      </c>
      <c r="F53" s="71" t="str">
        <f>VLOOKUP(B53,'[2]Power '!$A:$C,3,0)</f>
        <v>TowerCo</v>
      </c>
      <c r="G53" s="71" t="str">
        <f>VLOOKUP(B53,'[2]Power '!$A:$D,4,0)</f>
        <v>Grid-Gen</v>
      </c>
      <c r="H53" s="69">
        <v>46175.231157407405</v>
      </c>
      <c r="I53" s="77">
        <f t="shared" ca="1" si="6"/>
        <v>5.4375350694463123</v>
      </c>
      <c r="J53" s="63"/>
      <c r="K53" s="63"/>
      <c r="L53" s="63"/>
      <c r="M53" s="63" t="s">
        <v>41</v>
      </c>
      <c r="N53" s="63" t="s">
        <v>42</v>
      </c>
      <c r="O53" s="63"/>
      <c r="P53" s="63" t="s">
        <v>1906</v>
      </c>
      <c r="Q53" s="63"/>
      <c r="R53" s="63" t="s">
        <v>2071</v>
      </c>
      <c r="S53" s="63" t="s">
        <v>51</v>
      </c>
      <c r="T53" s="63" t="s">
        <v>1898</v>
      </c>
      <c r="U53" s="63" t="e">
        <v>#N/A</v>
      </c>
      <c r="V53" s="63" t="str">
        <f>VLOOKUP(B53,[2]Overall!$A:$D,4,0)</f>
        <v>TELEINFRA NORD</v>
      </c>
      <c r="W53" s="63" t="str">
        <f>VLOOKUP(B53,[3]Sheet1!$A:$B,2,0)</f>
        <v>Kaele</v>
      </c>
      <c r="X53" s="89" t="str">
        <f t="shared" si="3"/>
        <v>EXN</v>
      </c>
      <c r="Y53" s="81" t="str">
        <f t="shared" ca="1" si="4"/>
        <v>T&gt;72H</v>
      </c>
      <c r="Z53" s="63">
        <f t="shared" si="5"/>
        <v>1</v>
      </c>
      <c r="AA53" s="63" t="s">
        <v>77</v>
      </c>
      <c r="AB53" s="63" t="s">
        <v>1905</v>
      </c>
      <c r="AC53" s="85" t="s">
        <v>2070</v>
      </c>
      <c r="AD53" s="85" t="s">
        <v>1994</v>
      </c>
      <c r="AE53" s="63"/>
    </row>
    <row r="54" spans="1:31" ht="88" x14ac:dyDescent="0.45">
      <c r="A54" s="63" t="s">
        <v>1841</v>
      </c>
      <c r="B54" s="63" t="s">
        <v>1663</v>
      </c>
      <c r="C54" s="68"/>
      <c r="D54" s="63"/>
      <c r="E54" s="63" t="s">
        <v>2062</v>
      </c>
      <c r="F54" s="71" t="str">
        <f>VLOOKUP(B54,'[2]Power '!$A:$C,3,0)</f>
        <v>TowerCo</v>
      </c>
      <c r="G54" s="71" t="str">
        <f>VLOOKUP(B54,'[2]Power '!$A:$D,4,0)</f>
        <v>Grid-Gen</v>
      </c>
      <c r="H54" s="69">
        <v>46175.231157407405</v>
      </c>
      <c r="I54" s="77">
        <f t="shared" ca="1" si="6"/>
        <v>5.4375350694463123</v>
      </c>
      <c r="J54" s="63"/>
      <c r="K54" s="63"/>
      <c r="L54" s="63"/>
      <c r="M54" s="63" t="s">
        <v>41</v>
      </c>
      <c r="N54" s="63" t="s">
        <v>42</v>
      </c>
      <c r="O54" s="63"/>
      <c r="P54" s="63" t="s">
        <v>1906</v>
      </c>
      <c r="Q54" s="63"/>
      <c r="R54" s="63" t="s">
        <v>2071</v>
      </c>
      <c r="S54" s="63" t="s">
        <v>51</v>
      </c>
      <c r="T54" s="63" t="s">
        <v>1898</v>
      </c>
      <c r="U54" s="63" t="e">
        <v>#N/A</v>
      </c>
      <c r="V54" s="63" t="str">
        <f>VLOOKUP(B54,[2]Overall!$A:$D,4,0)</f>
        <v>TELEINFRA NORD</v>
      </c>
      <c r="W54" s="63" t="str">
        <f>VLOOKUP(B54,[3]Sheet1!$A:$B,2,0)</f>
        <v>Kaele</v>
      </c>
      <c r="X54" s="89" t="str">
        <f t="shared" si="3"/>
        <v>EXN</v>
      </c>
      <c r="Y54" s="81" t="str">
        <f t="shared" ca="1" si="4"/>
        <v>T&gt;72H</v>
      </c>
      <c r="Z54" s="63">
        <f t="shared" si="5"/>
        <v>1</v>
      </c>
      <c r="AA54" s="63" t="s">
        <v>77</v>
      </c>
      <c r="AB54" s="63" t="s">
        <v>1905</v>
      </c>
      <c r="AC54" s="85" t="s">
        <v>2070</v>
      </c>
      <c r="AD54" s="85" t="s">
        <v>1994</v>
      </c>
      <c r="AE54" s="63"/>
    </row>
    <row r="55" spans="1:31" ht="88" x14ac:dyDescent="0.45">
      <c r="A55" s="63" t="s">
        <v>1841</v>
      </c>
      <c r="B55" s="63" t="s">
        <v>1663</v>
      </c>
      <c r="C55" s="68"/>
      <c r="D55" s="63"/>
      <c r="E55" s="63" t="s">
        <v>2063</v>
      </c>
      <c r="F55" s="71" t="str">
        <f>VLOOKUP(B55,'[2]Power '!$A:$C,3,0)</f>
        <v>TowerCo</v>
      </c>
      <c r="G55" s="71" t="str">
        <f>VLOOKUP(B55,'[2]Power '!$A:$D,4,0)</f>
        <v>Grid-Gen</v>
      </c>
      <c r="H55" s="69">
        <v>46175.23537037037</v>
      </c>
      <c r="I55" s="77">
        <f t="shared" ca="1" si="6"/>
        <v>5.4333221064807731</v>
      </c>
      <c r="J55" s="63"/>
      <c r="K55" s="63"/>
      <c r="L55" s="63"/>
      <c r="M55" s="63" t="s">
        <v>41</v>
      </c>
      <c r="N55" s="63" t="s">
        <v>42</v>
      </c>
      <c r="O55" s="63"/>
      <c r="P55" s="63" t="s">
        <v>1906</v>
      </c>
      <c r="Q55" s="63"/>
      <c r="R55" s="63" t="s">
        <v>2071</v>
      </c>
      <c r="S55" s="63" t="s">
        <v>51</v>
      </c>
      <c r="T55" s="63" t="s">
        <v>1898</v>
      </c>
      <c r="U55" s="63" t="e">
        <v>#N/A</v>
      </c>
      <c r="V55" s="63" t="str">
        <f>VLOOKUP(B55,[2]Overall!$A:$D,4,0)</f>
        <v>TELEINFRA NORD</v>
      </c>
      <c r="W55" s="63" t="str">
        <f>VLOOKUP(B55,[3]Sheet1!$A:$B,2,0)</f>
        <v>Kaele</v>
      </c>
      <c r="X55" s="89" t="str">
        <f t="shared" si="3"/>
        <v>EXN</v>
      </c>
      <c r="Y55" s="81" t="str">
        <f t="shared" ca="1" si="4"/>
        <v>T&gt;72H</v>
      </c>
      <c r="Z55" s="63">
        <f t="shared" si="5"/>
        <v>1</v>
      </c>
      <c r="AA55" s="63" t="s">
        <v>77</v>
      </c>
      <c r="AB55" s="63" t="s">
        <v>1905</v>
      </c>
      <c r="AC55" s="85" t="s">
        <v>2070</v>
      </c>
      <c r="AD55" s="85" t="s">
        <v>1994</v>
      </c>
      <c r="AE55" s="63"/>
    </row>
    <row r="56" spans="1:31" ht="88" x14ac:dyDescent="0.45">
      <c r="A56" s="63" t="s">
        <v>1841</v>
      </c>
      <c r="B56" s="63" t="s">
        <v>1663</v>
      </c>
      <c r="C56" s="68"/>
      <c r="D56" s="63"/>
      <c r="E56" s="63" t="s">
        <v>2064</v>
      </c>
      <c r="F56" s="71" t="str">
        <f>VLOOKUP(B56,'[2]Power '!$A:$C,3,0)</f>
        <v>TowerCo</v>
      </c>
      <c r="G56" s="71" t="str">
        <f>VLOOKUP(B56,'[2]Power '!$A:$D,4,0)</f>
        <v>Grid-Gen</v>
      </c>
      <c r="H56" s="69">
        <v>46175.235358796293</v>
      </c>
      <c r="I56" s="77">
        <f t="shared" ca="1" si="6"/>
        <v>5.4333336805575527</v>
      </c>
      <c r="J56" s="63"/>
      <c r="K56" s="63"/>
      <c r="L56" s="63"/>
      <c r="M56" s="63" t="s">
        <v>41</v>
      </c>
      <c r="N56" s="63" t="s">
        <v>42</v>
      </c>
      <c r="O56" s="63"/>
      <c r="P56" s="63" t="s">
        <v>1906</v>
      </c>
      <c r="Q56" s="63"/>
      <c r="R56" s="63" t="s">
        <v>2071</v>
      </c>
      <c r="S56" s="63" t="s">
        <v>51</v>
      </c>
      <c r="T56" s="63" t="s">
        <v>1898</v>
      </c>
      <c r="U56" s="63" t="e">
        <v>#N/A</v>
      </c>
      <c r="V56" s="63" t="str">
        <f>VLOOKUP(B56,[2]Overall!$A:$D,4,0)</f>
        <v>TELEINFRA NORD</v>
      </c>
      <c r="W56" s="63" t="str">
        <f>VLOOKUP(B56,[3]Sheet1!$A:$B,2,0)</f>
        <v>Kaele</v>
      </c>
      <c r="X56" s="89" t="str">
        <f>LEFT(B59,3)</f>
        <v/>
      </c>
      <c r="Y56" s="81" t="str">
        <f t="shared" ca="1" si="4"/>
        <v>T&gt;72H</v>
      </c>
      <c r="Z56" s="63">
        <f t="shared" si="5"/>
        <v>1</v>
      </c>
      <c r="AA56" s="63" t="s">
        <v>77</v>
      </c>
      <c r="AB56" s="63" t="s">
        <v>1905</v>
      </c>
      <c r="AC56" s="85" t="s">
        <v>2070</v>
      </c>
      <c r="AD56" s="85" t="s">
        <v>1994</v>
      </c>
      <c r="AE56" s="63"/>
    </row>
    <row r="57" spans="1:31" ht="88" x14ac:dyDescent="0.45">
      <c r="A57" s="63" t="s">
        <v>1841</v>
      </c>
      <c r="B57" s="63" t="s">
        <v>1663</v>
      </c>
      <c r="C57" s="68"/>
      <c r="D57" s="63"/>
      <c r="E57" s="63" t="s">
        <v>2065</v>
      </c>
      <c r="F57" s="71" t="str">
        <f>VLOOKUP(B57,'[2]Power '!$A:$C,3,0)</f>
        <v>TowerCo</v>
      </c>
      <c r="G57" s="71" t="str">
        <f>VLOOKUP(B57,'[2]Power '!$A:$D,4,0)</f>
        <v>Grid-Gen</v>
      </c>
      <c r="H57" s="69">
        <v>46175.23537037037</v>
      </c>
      <c r="I57" s="77">
        <f t="shared" ca="1" si="6"/>
        <v>5.4333221064807731</v>
      </c>
      <c r="J57" s="63"/>
      <c r="K57" s="63"/>
      <c r="L57" s="63"/>
      <c r="M57" s="63" t="s">
        <v>41</v>
      </c>
      <c r="N57" s="63" t="s">
        <v>42</v>
      </c>
      <c r="O57" s="63"/>
      <c r="P57" s="63" t="s">
        <v>1906</v>
      </c>
      <c r="Q57" s="63"/>
      <c r="R57" s="63" t="s">
        <v>2071</v>
      </c>
      <c r="S57" s="63" t="s">
        <v>51</v>
      </c>
      <c r="T57" s="63" t="s">
        <v>1898</v>
      </c>
      <c r="U57" s="63" t="e">
        <v>#N/A</v>
      </c>
      <c r="V57" s="63" t="str">
        <f>VLOOKUP(B57,[2]Overall!$A:$D,4,0)</f>
        <v>TELEINFRA NORD</v>
      </c>
      <c r="W57" s="63" t="str">
        <f>VLOOKUP(B57,[3]Sheet1!$A:$B,2,0)</f>
        <v>Kaele</v>
      </c>
      <c r="X57" s="89" t="str">
        <f>LEFT(B60,3)</f>
        <v/>
      </c>
      <c r="Y57" s="81" t="str">
        <f t="shared" ca="1" si="4"/>
        <v>T&gt;72H</v>
      </c>
      <c r="Z57" s="63">
        <f t="shared" si="5"/>
        <v>1</v>
      </c>
      <c r="AA57" s="63" t="s">
        <v>77</v>
      </c>
      <c r="AB57" s="63" t="s">
        <v>1905</v>
      </c>
      <c r="AC57" s="85" t="s">
        <v>2070</v>
      </c>
      <c r="AD57" s="85" t="s">
        <v>1994</v>
      </c>
      <c r="AE57" s="63"/>
    </row>
    <row r="58" spans="1:31" ht="88" x14ac:dyDescent="0.45">
      <c r="A58" s="63" t="s">
        <v>2066</v>
      </c>
      <c r="B58" s="63" t="s">
        <v>2067</v>
      </c>
      <c r="C58" s="68"/>
      <c r="D58" s="63"/>
      <c r="E58" s="63" t="s">
        <v>2068</v>
      </c>
      <c r="F58" s="71" t="str">
        <f>VLOOKUP(B58,'[2]Power '!$A:$C,3,0)</f>
        <v>TowerCo</v>
      </c>
      <c r="G58" s="71" t="str">
        <f>VLOOKUP(B58,'[2]Power '!$A:$D,4,0)</f>
        <v>Grid-Gen</v>
      </c>
      <c r="H58" s="69">
        <v>46175.311296296299</v>
      </c>
      <c r="I58" s="77">
        <f t="shared" ca="1" si="6"/>
        <v>5.357396180552314</v>
      </c>
      <c r="J58" s="63"/>
      <c r="K58" s="63"/>
      <c r="L58" s="63"/>
      <c r="M58" s="63" t="s">
        <v>38</v>
      </c>
      <c r="N58" s="63" t="s">
        <v>2069</v>
      </c>
      <c r="O58" s="63"/>
      <c r="P58" s="63" t="s">
        <v>1906</v>
      </c>
      <c r="Q58" s="63"/>
      <c r="R58" s="63" t="s">
        <v>2128</v>
      </c>
      <c r="S58" s="63" t="s">
        <v>51</v>
      </c>
      <c r="T58" s="63" t="s">
        <v>1898</v>
      </c>
      <c r="U58" s="63" t="e">
        <v>#N/A</v>
      </c>
      <c r="V58" s="63" t="str">
        <f>VLOOKUP(B58,[2]Overall!$A:$D,4,0)</f>
        <v>TELEINFRA NORD</v>
      </c>
      <c r="W58" s="63" t="str">
        <f>VLOOKUP(B58,[3]Sheet1!$A:$B,2,0)</f>
        <v>Kaele</v>
      </c>
      <c r="X58" s="89" t="str">
        <f>LEFT(B61,3)</f>
        <v/>
      </c>
      <c r="Y58" s="81" t="str">
        <f t="shared" ca="1" si="4"/>
        <v>T&gt;72H</v>
      </c>
      <c r="Z58" s="63">
        <f t="shared" si="5"/>
        <v>2</v>
      </c>
      <c r="AA58" s="63" t="s">
        <v>77</v>
      </c>
      <c r="AB58" s="63" t="s">
        <v>1905</v>
      </c>
      <c r="AC58" s="85" t="s">
        <v>2070</v>
      </c>
      <c r="AD58" s="85" t="s">
        <v>1994</v>
      </c>
      <c r="AE58" s="63"/>
    </row>
  </sheetData>
  <autoFilter ref="A1:AE58" xr:uid="{BA5C0DDD-CD37-4B06-B019-D3C6A95B0133}"/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0334-29D4-4C55-BD33-941903046EE8}">
  <sheetPr codeName="Sheet6">
    <tabColor rgb="FF0070C0"/>
  </sheetPr>
  <dimension ref="A1:AE67"/>
  <sheetViews>
    <sheetView zoomScale="70" zoomScaleNormal="70" workbookViewId="0">
      <pane xSplit="6" topLeftCell="O1" activePane="topRight" state="frozen"/>
      <selection activeCell="AB4" sqref="AB4"/>
      <selection pane="topRight" activeCell="R53" sqref="R53:U53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160.5" x14ac:dyDescent="0.45">
      <c r="A2" s="61" t="s">
        <v>1733</v>
      </c>
      <c r="B2" s="61" t="s">
        <v>1734</v>
      </c>
      <c r="C2" s="65"/>
      <c r="D2" s="61"/>
      <c r="E2" s="61" t="s">
        <v>1749</v>
      </c>
      <c r="F2" s="91" t="e">
        <v>#N/A</v>
      </c>
      <c r="G2" s="91" t="e">
        <v>#N/A</v>
      </c>
      <c r="H2" s="67">
        <v>46161.849050925928</v>
      </c>
      <c r="I2" s="75">
        <f t="shared" ref="I2:I38" ca="1" si="0">NOW()-H2</f>
        <v>18.819641550922825</v>
      </c>
      <c r="J2" s="61"/>
      <c r="K2" s="61"/>
      <c r="L2" s="61"/>
      <c r="M2" s="61" t="s">
        <v>1750</v>
      </c>
      <c r="N2" s="61" t="s">
        <v>1751</v>
      </c>
      <c r="O2" s="61"/>
      <c r="P2" s="61"/>
      <c r="Q2" s="61"/>
      <c r="R2" s="61" t="s">
        <v>2092</v>
      </c>
      <c r="S2" s="61" t="s">
        <v>45</v>
      </c>
      <c r="T2" s="61" t="s">
        <v>1898</v>
      </c>
      <c r="U2" s="61" t="s">
        <v>1898</v>
      </c>
      <c r="V2" s="61" t="str">
        <f>VLOOKUP(B2,[2]Overall!$A:$D,4,0)</f>
        <v>TELEINFRA CENTRE</v>
      </c>
      <c r="W2" s="61" t="str">
        <f>VLOOKUP(B2,[3]Sheet1!$A:$B,2,0)</f>
        <v>Batchenga</v>
      </c>
      <c r="X2" s="88" t="str">
        <f t="shared" ref="X2:X23" si="1">LEFT(B5,3)</f>
        <v>ADM</v>
      </c>
      <c r="Y2" s="80" t="str">
        <f t="shared" ref="Y2:Y19" ca="1" si="2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19" si="3">IF(OR(E2="", E2="affected_cells=unknown"), "", LEN(E2)-LEN(SUBSTITUTE(E2, ",", "")) + LEN(E2)-LEN(SUBSTITUTE(E2, ";", "")) + 1)</f>
        <v>1</v>
      </c>
      <c r="AA2" s="61" t="s">
        <v>1566</v>
      </c>
      <c r="AB2" s="61" t="s">
        <v>1904</v>
      </c>
      <c r="AC2" s="84" t="s">
        <v>2120</v>
      </c>
      <c r="AD2" s="84" t="s">
        <v>1994</v>
      </c>
      <c r="AE2" s="61"/>
    </row>
    <row r="3" spans="1:31" ht="160.5" x14ac:dyDescent="0.45">
      <c r="A3" s="61" t="s">
        <v>1733</v>
      </c>
      <c r="B3" s="61" t="s">
        <v>1734</v>
      </c>
      <c r="C3" s="65"/>
      <c r="D3" s="61"/>
      <c r="E3" s="61" t="s">
        <v>1752</v>
      </c>
      <c r="F3" s="91" t="e">
        <v>#N/A</v>
      </c>
      <c r="G3" s="91" t="e">
        <v>#N/A</v>
      </c>
      <c r="H3" s="67">
        <v>46161.849050925928</v>
      </c>
      <c r="I3" s="75">
        <f t="shared" ca="1" si="0"/>
        <v>18.819641550922825</v>
      </c>
      <c r="J3" s="61"/>
      <c r="K3" s="61"/>
      <c r="L3" s="61"/>
      <c r="M3" s="61" t="s">
        <v>1750</v>
      </c>
      <c r="N3" s="61" t="s">
        <v>1751</v>
      </c>
      <c r="O3" s="61"/>
      <c r="P3" s="61"/>
      <c r="Q3" s="61"/>
      <c r="R3" s="61" t="s">
        <v>2092</v>
      </c>
      <c r="S3" s="61" t="s">
        <v>45</v>
      </c>
      <c r="T3" s="61" t="s">
        <v>1898</v>
      </c>
      <c r="U3" s="61" t="s">
        <v>1898</v>
      </c>
      <c r="V3" s="61" t="str">
        <f>VLOOKUP(B3,[2]Overall!$A:$D,4,0)</f>
        <v>TELEINFRA CENTRE</v>
      </c>
      <c r="W3" s="61" t="str">
        <f>VLOOKUP(B3,[3]Sheet1!$A:$B,2,0)</f>
        <v>Batchenga</v>
      </c>
      <c r="X3" s="88" t="e">
        <f>LEFT(#REF!,3)</f>
        <v>#REF!</v>
      </c>
      <c r="Y3" s="80" t="str">
        <f t="shared" ca="1" si="2"/>
        <v>T&gt;72H</v>
      </c>
      <c r="Z3" s="61">
        <f t="shared" si="3"/>
        <v>1</v>
      </c>
      <c r="AA3" s="61" t="s">
        <v>1566</v>
      </c>
      <c r="AB3" s="61" t="s">
        <v>1904</v>
      </c>
      <c r="AC3" s="84" t="s">
        <v>2120</v>
      </c>
      <c r="AD3" s="84" t="s">
        <v>1994</v>
      </c>
      <c r="AE3" s="61"/>
    </row>
    <row r="4" spans="1:31" ht="160.5" x14ac:dyDescent="0.45">
      <c r="A4" s="61" t="s">
        <v>1733</v>
      </c>
      <c r="B4" s="61" t="s">
        <v>1734</v>
      </c>
      <c r="C4" s="65"/>
      <c r="D4" s="61"/>
      <c r="E4" s="61" t="s">
        <v>1753</v>
      </c>
      <c r="F4" s="91" t="e">
        <v>#N/A</v>
      </c>
      <c r="G4" s="91" t="e">
        <v>#N/A</v>
      </c>
      <c r="H4" s="67">
        <v>46161.849050925928</v>
      </c>
      <c r="I4" s="75">
        <f t="shared" ca="1" si="0"/>
        <v>18.819641550922825</v>
      </c>
      <c r="J4" s="61"/>
      <c r="K4" s="61"/>
      <c r="L4" s="61"/>
      <c r="M4" s="61" t="s">
        <v>1750</v>
      </c>
      <c r="N4" s="61" t="s">
        <v>1751</v>
      </c>
      <c r="O4" s="61"/>
      <c r="P4" s="61"/>
      <c r="Q4" s="61"/>
      <c r="R4" s="61" t="s">
        <v>2092</v>
      </c>
      <c r="S4" s="61" t="s">
        <v>45</v>
      </c>
      <c r="T4" s="61" t="s">
        <v>1898</v>
      </c>
      <c r="U4" s="61" t="s">
        <v>1898</v>
      </c>
      <c r="V4" s="61" t="str">
        <f>VLOOKUP(B4,[2]Overall!$A:$D,4,0)</f>
        <v>TELEINFRA CENTRE</v>
      </c>
      <c r="W4" s="61" t="str">
        <f>VLOOKUP(B4,[3]Sheet1!$A:$B,2,0)</f>
        <v>Batchenga</v>
      </c>
      <c r="X4" s="88" t="e">
        <f>LEFT(#REF!,3)</f>
        <v>#REF!</v>
      </c>
      <c r="Y4" s="80" t="str">
        <f t="shared" ca="1" si="2"/>
        <v>T&gt;72H</v>
      </c>
      <c r="Z4" s="61">
        <f t="shared" si="3"/>
        <v>1</v>
      </c>
      <c r="AA4" s="61" t="s">
        <v>1566</v>
      </c>
      <c r="AB4" s="61" t="s">
        <v>1904</v>
      </c>
      <c r="AC4" s="84" t="s">
        <v>2120</v>
      </c>
      <c r="AD4" s="84" t="s">
        <v>1994</v>
      </c>
      <c r="AE4" s="61"/>
    </row>
    <row r="5" spans="1:31" ht="378" x14ac:dyDescent="0.45">
      <c r="A5" s="63" t="s">
        <v>1710</v>
      </c>
      <c r="B5" s="63" t="s">
        <v>1711</v>
      </c>
      <c r="C5" s="68"/>
      <c r="D5" s="63"/>
      <c r="E5" s="63" t="s">
        <v>2230</v>
      </c>
      <c r="F5" s="71" t="s">
        <v>53</v>
      </c>
      <c r="G5" s="71" t="s">
        <v>2015</v>
      </c>
      <c r="H5" s="69">
        <v>46163.500115740739</v>
      </c>
      <c r="I5" s="77">
        <f t="shared" ca="1" si="0"/>
        <v>17.1685767361123</v>
      </c>
      <c r="J5" s="63"/>
      <c r="K5" s="63"/>
      <c r="L5" s="63"/>
      <c r="M5" s="63" t="s">
        <v>38</v>
      </c>
      <c r="N5" s="63" t="s">
        <v>1714</v>
      </c>
      <c r="O5" s="63"/>
      <c r="P5" s="63" t="s">
        <v>1906</v>
      </c>
      <c r="Q5" s="63"/>
      <c r="R5" s="63" t="s">
        <v>2010</v>
      </c>
      <c r="S5" s="63" t="s">
        <v>50</v>
      </c>
      <c r="T5" s="63" t="s">
        <v>1688</v>
      </c>
      <c r="U5" s="63" t="s">
        <v>1688</v>
      </c>
      <c r="V5" s="63" t="str">
        <f>VLOOKUP(B5,[2]Overall!$A:$D,4,0)</f>
        <v>TELEINFRA NORD</v>
      </c>
      <c r="W5" s="63" t="str">
        <f>VLOOKUP(B5,[3]Sheet1!$A:$B,2,0)</f>
        <v>Martap</v>
      </c>
      <c r="X5" s="89" t="e">
        <f>LEFT(#REF!,3)</f>
        <v>#REF!</v>
      </c>
      <c r="Y5" s="81" t="str">
        <f t="shared" ca="1" si="2"/>
        <v>T&gt;72H</v>
      </c>
      <c r="Z5" s="63">
        <f t="shared" si="3"/>
        <v>1</v>
      </c>
      <c r="AA5" s="63" t="s">
        <v>77</v>
      </c>
      <c r="AB5" s="63" t="s">
        <v>1904</v>
      </c>
      <c r="AC5" s="85" t="s">
        <v>2120</v>
      </c>
      <c r="AD5" s="85" t="s">
        <v>1994</v>
      </c>
      <c r="AE5" s="63"/>
    </row>
    <row r="6" spans="1:31" ht="247.5" x14ac:dyDescent="0.45">
      <c r="A6" s="61" t="s">
        <v>1913</v>
      </c>
      <c r="B6" s="61" t="s">
        <v>1914</v>
      </c>
      <c r="C6" s="65"/>
      <c r="D6" s="61"/>
      <c r="E6" s="61" t="s">
        <v>43</v>
      </c>
      <c r="F6" s="91" t="s">
        <v>53</v>
      </c>
      <c r="G6" s="91" t="s">
        <v>2124</v>
      </c>
      <c r="H6" s="67">
        <v>46168.171053240738</v>
      </c>
      <c r="I6" s="75">
        <f t="shared" ca="1" si="0"/>
        <v>12.497639236113173</v>
      </c>
      <c r="J6" s="61"/>
      <c r="K6" s="61"/>
      <c r="L6" s="61"/>
      <c r="M6" s="61" t="s">
        <v>31</v>
      </c>
      <c r="N6" s="61" t="s">
        <v>1915</v>
      </c>
      <c r="O6" s="61"/>
      <c r="P6" s="61"/>
      <c r="Q6" s="61"/>
      <c r="R6" s="61" t="s">
        <v>2138</v>
      </c>
      <c r="S6" s="61" t="s">
        <v>40</v>
      </c>
      <c r="T6" s="61" t="s">
        <v>2129</v>
      </c>
      <c r="U6" s="61" t="s">
        <v>2129</v>
      </c>
      <c r="V6" s="61" t="str">
        <f>VLOOKUP(B6,[2]Overall!$A:$D,4,0)</f>
        <v>TELEINFRA NORD</v>
      </c>
      <c r="W6" s="61" t="str">
        <f>VLOOKUP(B6,[3]Sheet1!$A:$B,2,0)</f>
        <v>Dogba</v>
      </c>
      <c r="X6" s="88" t="str">
        <f t="shared" si="1"/>
        <v>SUO</v>
      </c>
      <c r="Y6" s="80" t="str">
        <f t="shared" ca="1" si="2"/>
        <v>T&gt;72H</v>
      </c>
      <c r="Z6" s="61">
        <f t="shared" si="3"/>
        <v>4</v>
      </c>
      <c r="AA6" s="61" t="s">
        <v>1566</v>
      </c>
      <c r="AB6" s="61" t="s">
        <v>1904</v>
      </c>
      <c r="AC6" s="84" t="s">
        <v>2120</v>
      </c>
      <c r="AD6" s="84" t="s">
        <v>1994</v>
      </c>
      <c r="AE6" s="61"/>
    </row>
    <row r="7" spans="1:31" ht="247.5" x14ac:dyDescent="0.45">
      <c r="A7" s="61" t="s">
        <v>1913</v>
      </c>
      <c r="B7" s="61" t="s">
        <v>1914</v>
      </c>
      <c r="C7" s="65"/>
      <c r="D7" s="61"/>
      <c r="E7" s="61" t="s">
        <v>35</v>
      </c>
      <c r="F7" s="91" t="s">
        <v>53</v>
      </c>
      <c r="G7" s="91" t="s">
        <v>2124</v>
      </c>
      <c r="H7" s="67">
        <v>46168.171064814815</v>
      </c>
      <c r="I7" s="75">
        <f t="shared" ca="1" si="0"/>
        <v>12.497627662036393</v>
      </c>
      <c r="J7" s="61"/>
      <c r="K7" s="61"/>
      <c r="L7" s="61"/>
      <c r="M7" s="61" t="s">
        <v>31</v>
      </c>
      <c r="N7" s="61" t="s">
        <v>1916</v>
      </c>
      <c r="O7" s="61"/>
      <c r="P7" s="61"/>
      <c r="Q7" s="61"/>
      <c r="R7" s="61" t="s">
        <v>2138</v>
      </c>
      <c r="S7" s="61" t="s">
        <v>40</v>
      </c>
      <c r="T7" s="61" t="s">
        <v>2129</v>
      </c>
      <c r="U7" s="61" t="s">
        <v>2129</v>
      </c>
      <c r="V7" s="61" t="str">
        <f>VLOOKUP(B7,[2]Overall!$A:$D,4,0)</f>
        <v>TELEINFRA NORD</v>
      </c>
      <c r="W7" s="61" t="str">
        <f>VLOOKUP(B7,[3]Sheet1!$A:$B,2,0)</f>
        <v>Dogba</v>
      </c>
      <c r="X7" s="88" t="e">
        <f>LEFT(#REF!,3)</f>
        <v>#REF!</v>
      </c>
      <c r="Y7" s="80" t="str">
        <f t="shared" ca="1" si="2"/>
        <v>T&gt;72H</v>
      </c>
      <c r="Z7" s="61">
        <f t="shared" si="3"/>
        <v>3</v>
      </c>
      <c r="AA7" s="61" t="s">
        <v>1566</v>
      </c>
      <c r="AB7" s="61" t="s">
        <v>1904</v>
      </c>
      <c r="AC7" s="84" t="s">
        <v>2120</v>
      </c>
      <c r="AD7" s="84" t="s">
        <v>1994</v>
      </c>
      <c r="AE7" s="61"/>
    </row>
    <row r="8" spans="1:31" ht="102.5" x14ac:dyDescent="0.45">
      <c r="A8" s="61" t="s">
        <v>1828</v>
      </c>
      <c r="B8" s="61" t="s">
        <v>1829</v>
      </c>
      <c r="C8" s="65"/>
      <c r="D8" s="61"/>
      <c r="E8" s="61" t="s">
        <v>39</v>
      </c>
      <c r="F8" s="91" t="s">
        <v>53</v>
      </c>
      <c r="G8" s="91" t="s">
        <v>2125</v>
      </c>
      <c r="H8" s="67">
        <v>46168.536261574074</v>
      </c>
      <c r="I8" s="75">
        <f t="shared" ca="1" si="0"/>
        <v>12.132430902776832</v>
      </c>
      <c r="J8" s="61"/>
      <c r="K8" s="61"/>
      <c r="L8" s="61"/>
      <c r="M8" s="61" t="s">
        <v>1712</v>
      </c>
      <c r="N8" s="61" t="s">
        <v>1830</v>
      </c>
      <c r="O8" s="61"/>
      <c r="P8" s="61"/>
      <c r="Q8" s="61"/>
      <c r="R8" s="61" t="s">
        <v>2142</v>
      </c>
      <c r="S8" s="61" t="s">
        <v>40</v>
      </c>
      <c r="T8" s="61" t="s">
        <v>1898</v>
      </c>
      <c r="U8" s="61" t="s">
        <v>1898</v>
      </c>
      <c r="V8" s="61" t="str">
        <f>VLOOKUP(B8,[2]Overall!$A:$D,4,0)</f>
        <v>TELEINFRA NORD</v>
      </c>
      <c r="W8" s="61" t="str">
        <f>VLOOKUP(B8,[3]Sheet1!$A:$B,2,0)</f>
        <v>Zigague</v>
      </c>
      <c r="X8" s="88" t="e">
        <f>LEFT(#REF!,3)</f>
        <v>#REF!</v>
      </c>
      <c r="Y8" s="80" t="str">
        <f t="shared" ca="1" si="2"/>
        <v>T&gt;72H</v>
      </c>
      <c r="Z8" s="61">
        <f t="shared" si="3"/>
        <v>1</v>
      </c>
      <c r="AA8" s="61" t="s">
        <v>1566</v>
      </c>
      <c r="AB8" s="61" t="s">
        <v>1904</v>
      </c>
      <c r="AC8" s="84" t="s">
        <v>2120</v>
      </c>
      <c r="AD8" s="84" t="s">
        <v>1994</v>
      </c>
      <c r="AE8" s="61"/>
    </row>
    <row r="9" spans="1:31" ht="131.5" x14ac:dyDescent="0.45">
      <c r="A9" s="61" t="s">
        <v>1834</v>
      </c>
      <c r="B9" s="61" t="s">
        <v>1835</v>
      </c>
      <c r="C9" s="65"/>
      <c r="D9" s="61"/>
      <c r="E9" s="61" t="s">
        <v>39</v>
      </c>
      <c r="F9" s="91" t="s">
        <v>53</v>
      </c>
      <c r="G9" s="91" t="s">
        <v>54</v>
      </c>
      <c r="H9" s="67">
        <v>46168.908518518518</v>
      </c>
      <c r="I9" s="75">
        <f t="shared" ca="1" si="0"/>
        <v>11.760173958333326</v>
      </c>
      <c r="J9" s="61"/>
      <c r="K9" s="61"/>
      <c r="L9" s="61"/>
      <c r="M9" s="61" t="s">
        <v>1836</v>
      </c>
      <c r="N9" s="61" t="s">
        <v>1837</v>
      </c>
      <c r="O9" s="61"/>
      <c r="P9" s="61"/>
      <c r="Q9" s="61"/>
      <c r="R9" s="61" t="s">
        <v>2080</v>
      </c>
      <c r="S9" s="61" t="s">
        <v>85</v>
      </c>
      <c r="T9" s="61" t="s">
        <v>1899</v>
      </c>
      <c r="U9" s="61" t="s">
        <v>1899</v>
      </c>
      <c r="V9" s="61" t="str">
        <f>VLOOKUP(B9,[2]Overall!$A:$D,4,0)</f>
        <v>H-TELI</v>
      </c>
      <c r="W9" s="61" t="str">
        <f>VLOOKUP(B9,[3]Sheet1!$A:$B,2,0)</f>
        <v>Ebonji</v>
      </c>
      <c r="X9" s="88" t="str">
        <f>LEFT(B10,3)</f>
        <v>NRO</v>
      </c>
      <c r="Y9" s="80" t="str">
        <f t="shared" ca="1" si="2"/>
        <v>T&gt;72H</v>
      </c>
      <c r="Z9" s="61">
        <f t="shared" si="3"/>
        <v>1</v>
      </c>
      <c r="AA9" s="61" t="s">
        <v>1566</v>
      </c>
      <c r="AB9" s="61" t="s">
        <v>1904</v>
      </c>
      <c r="AC9" s="84" t="s">
        <v>2120</v>
      </c>
      <c r="AD9" s="84" t="s">
        <v>1994</v>
      </c>
      <c r="AE9" s="61"/>
    </row>
    <row r="10" spans="1:31" ht="175" x14ac:dyDescent="0.45">
      <c r="A10" s="61" t="s">
        <v>1776</v>
      </c>
      <c r="B10" s="61" t="s">
        <v>1777</v>
      </c>
      <c r="C10" s="65"/>
      <c r="D10" s="61"/>
      <c r="E10" s="61" t="s">
        <v>35</v>
      </c>
      <c r="F10" s="91" t="s">
        <v>53</v>
      </c>
      <c r="G10" s="91" t="s">
        <v>2121</v>
      </c>
      <c r="H10" s="67">
        <v>46169.530451388891</v>
      </c>
      <c r="I10" s="75">
        <f t="shared" ca="1" si="0"/>
        <v>11.138241087959614</v>
      </c>
      <c r="J10" s="61"/>
      <c r="K10" s="61"/>
      <c r="L10" s="61"/>
      <c r="M10" s="61" t="s">
        <v>31</v>
      </c>
      <c r="N10" s="61" t="s">
        <v>1778</v>
      </c>
      <c r="O10" s="61"/>
      <c r="P10" s="61"/>
      <c r="Q10" s="61"/>
      <c r="R10" s="61" t="s">
        <v>2085</v>
      </c>
      <c r="S10" s="61" t="s">
        <v>32</v>
      </c>
      <c r="T10" s="61" t="s">
        <v>1898</v>
      </c>
      <c r="U10" s="61" t="s">
        <v>1898</v>
      </c>
      <c r="V10" s="61" t="str">
        <f>VLOOKUP(B10,[2]Overall!$A:$D,4,0)</f>
        <v xml:space="preserve">I-ENG </v>
      </c>
      <c r="W10" s="61" t="str">
        <f>VLOOKUP(B10,[3]Sheet1!$A:$B,2,0)</f>
        <v>Bafmeng</v>
      </c>
      <c r="X10" s="88" t="e">
        <f>LEFT(#REF!,3)</f>
        <v>#REF!</v>
      </c>
      <c r="Y10" s="80" t="str">
        <f t="shared" ca="1" si="2"/>
        <v>T&gt;72H</v>
      </c>
      <c r="Z10" s="61">
        <f t="shared" si="3"/>
        <v>3</v>
      </c>
      <c r="AA10" s="61" t="s">
        <v>1566</v>
      </c>
      <c r="AB10" s="61" t="s">
        <v>1904</v>
      </c>
      <c r="AC10" s="84" t="s">
        <v>2120</v>
      </c>
      <c r="AD10" s="84" t="s">
        <v>1994</v>
      </c>
      <c r="AE10" s="61"/>
    </row>
    <row r="11" spans="1:31" ht="131.5" x14ac:dyDescent="0.45">
      <c r="A11" s="61" t="s">
        <v>1581</v>
      </c>
      <c r="B11" s="61" t="s">
        <v>1582</v>
      </c>
      <c r="C11" s="65"/>
      <c r="D11" s="61"/>
      <c r="E11" s="61" t="s">
        <v>1937</v>
      </c>
      <c r="F11" s="91" t="s">
        <v>53</v>
      </c>
      <c r="G11" s="91" t="s">
        <v>54</v>
      </c>
      <c r="H11" s="67">
        <v>46172.450324074074</v>
      </c>
      <c r="I11" s="75">
        <f t="shared" ca="1" si="0"/>
        <v>8.2183684027768322</v>
      </c>
      <c r="J11" s="61"/>
      <c r="K11" s="61"/>
      <c r="L11" s="61"/>
      <c r="M11" s="61" t="s">
        <v>41</v>
      </c>
      <c r="N11" s="61" t="s">
        <v>1938</v>
      </c>
      <c r="O11" s="61"/>
      <c r="P11" s="61"/>
      <c r="Q11" s="61"/>
      <c r="R11" s="61" t="s">
        <v>2086</v>
      </c>
      <c r="S11" s="61" t="s">
        <v>32</v>
      </c>
      <c r="T11" s="61" t="s">
        <v>1840</v>
      </c>
      <c r="U11" s="61" t="s">
        <v>1840</v>
      </c>
      <c r="V11" s="61" t="str">
        <f>VLOOKUP(B11,[2]Overall!$A:$D,4,0)</f>
        <v xml:space="preserve">I-ENG </v>
      </c>
      <c r="W11" s="61" t="str">
        <f>VLOOKUP(B11,[3]Sheet1!$A:$B,2,0)</f>
        <v>Batibo</v>
      </c>
      <c r="X11" s="88" t="str">
        <f t="shared" si="1"/>
        <v>ADM</v>
      </c>
      <c r="Y11" s="80" t="str">
        <f t="shared" ca="1" si="2"/>
        <v>T&gt;72H</v>
      </c>
      <c r="Z11" s="61">
        <f t="shared" si="3"/>
        <v>1</v>
      </c>
      <c r="AA11" s="61" t="s">
        <v>1566</v>
      </c>
      <c r="AB11" s="61" t="s">
        <v>1904</v>
      </c>
      <c r="AC11" s="84" t="s">
        <v>2120</v>
      </c>
      <c r="AD11" s="84" t="s">
        <v>1994</v>
      </c>
      <c r="AE11" s="61"/>
    </row>
    <row r="12" spans="1:31" ht="102.5" x14ac:dyDescent="0.45">
      <c r="A12" s="61" t="s">
        <v>1930</v>
      </c>
      <c r="B12" s="61" t="s">
        <v>1931</v>
      </c>
      <c r="C12" s="65"/>
      <c r="D12" s="61"/>
      <c r="E12" s="61" t="s">
        <v>34</v>
      </c>
      <c r="F12" s="91" t="s">
        <v>53</v>
      </c>
      <c r="G12" s="91" t="s">
        <v>2121</v>
      </c>
      <c r="H12" s="67">
        <v>46172.534074074072</v>
      </c>
      <c r="I12" s="75">
        <f t="shared" ca="1" si="0"/>
        <v>8.1346184027788695</v>
      </c>
      <c r="J12" s="61"/>
      <c r="K12" s="61"/>
      <c r="L12" s="61"/>
      <c r="M12" s="61" t="s">
        <v>1929</v>
      </c>
      <c r="N12" s="61" t="s">
        <v>1932</v>
      </c>
      <c r="O12" s="61"/>
      <c r="P12" s="61"/>
      <c r="Q12" s="61"/>
      <c r="R12" s="61" t="s">
        <v>2079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Mazera</v>
      </c>
      <c r="X12" s="88" t="str">
        <f t="shared" si="1"/>
        <v>NRD</v>
      </c>
      <c r="Y12" s="80" t="str">
        <f t="shared" ca="1" si="2"/>
        <v>T&gt;72H</v>
      </c>
      <c r="Z12" s="61">
        <f t="shared" si="3"/>
        <v>1</v>
      </c>
      <c r="AA12" s="61" t="s">
        <v>1566</v>
      </c>
      <c r="AB12" s="61" t="s">
        <v>1904</v>
      </c>
      <c r="AC12" s="84" t="s">
        <v>2120</v>
      </c>
      <c r="AD12" s="84" t="s">
        <v>1994</v>
      </c>
      <c r="AE12" s="61"/>
    </row>
    <row r="13" spans="1:31" ht="175" x14ac:dyDescent="0.45">
      <c r="A13" s="61" t="s">
        <v>1920</v>
      </c>
      <c r="B13" s="61" t="s">
        <v>1921</v>
      </c>
      <c r="C13" s="65"/>
      <c r="D13" s="61"/>
      <c r="E13" s="61" t="s">
        <v>1922</v>
      </c>
      <c r="F13" s="91" t="s">
        <v>53</v>
      </c>
      <c r="G13" s="91" t="s">
        <v>54</v>
      </c>
      <c r="H13" s="67">
        <v>46172.580775462964</v>
      </c>
      <c r="I13" s="75">
        <f t="shared" ca="1" si="0"/>
        <v>8.0879170138869085</v>
      </c>
      <c r="J13" s="61"/>
      <c r="K13" s="61"/>
      <c r="L13" s="61"/>
      <c r="M13" s="61" t="s">
        <v>31</v>
      </c>
      <c r="N13" s="61" t="s">
        <v>1923</v>
      </c>
      <c r="O13" s="61"/>
      <c r="P13" s="61"/>
      <c r="Q13" s="61"/>
      <c r="R13" s="61" t="s">
        <v>2132</v>
      </c>
      <c r="S13" s="61" t="s">
        <v>40</v>
      </c>
      <c r="T13" s="61" t="s">
        <v>1898</v>
      </c>
      <c r="U13" s="61" t="s">
        <v>1898</v>
      </c>
      <c r="V13" s="61" t="str">
        <f>VLOOKUP(B13,[2]Overall!$A:$D,4,0)</f>
        <v>TELEINFRA NORD</v>
      </c>
      <c r="W13" s="61" t="str">
        <f>VLOOKUP(B13,[3]Sheet1!$A:$B,2,0)</f>
        <v>Mbidou</v>
      </c>
      <c r="X13" s="88" t="str">
        <f t="shared" si="1"/>
        <v>NRD</v>
      </c>
      <c r="Y13" s="80" t="str">
        <f t="shared" ca="1" si="2"/>
        <v>T&gt;72H</v>
      </c>
      <c r="Z13" s="61">
        <f t="shared" si="3"/>
        <v>3</v>
      </c>
      <c r="AA13" s="61" t="s">
        <v>1566</v>
      </c>
      <c r="AB13" s="61" t="s">
        <v>1904</v>
      </c>
      <c r="AC13" s="84" t="s">
        <v>2120</v>
      </c>
      <c r="AD13" s="84" t="s">
        <v>1994</v>
      </c>
      <c r="AE13" s="61"/>
    </row>
    <row r="14" spans="1:31" ht="175" x14ac:dyDescent="0.45">
      <c r="A14" s="61" t="s">
        <v>1920</v>
      </c>
      <c r="B14" s="61" t="s">
        <v>1921</v>
      </c>
      <c r="C14" s="65"/>
      <c r="D14" s="61"/>
      <c r="E14" s="61" t="s">
        <v>1922</v>
      </c>
      <c r="F14" s="91" t="s">
        <v>53</v>
      </c>
      <c r="G14" s="91" t="s">
        <v>54</v>
      </c>
      <c r="H14" s="67">
        <v>46172.588692129626</v>
      </c>
      <c r="I14" s="75">
        <f t="shared" ca="1" si="0"/>
        <v>8.0800003472249955</v>
      </c>
      <c r="J14" s="61"/>
      <c r="K14" s="61"/>
      <c r="L14" s="61"/>
      <c r="M14" s="61" t="s">
        <v>1713</v>
      </c>
      <c r="N14" s="61" t="s">
        <v>1952</v>
      </c>
      <c r="O14" s="61"/>
      <c r="P14" s="61"/>
      <c r="Q14" s="61"/>
      <c r="R14" s="61" t="s">
        <v>2131</v>
      </c>
      <c r="S14" s="61" t="s">
        <v>40</v>
      </c>
      <c r="T14" s="61" t="s">
        <v>1898</v>
      </c>
      <c r="U14" s="61" t="s">
        <v>1898</v>
      </c>
      <c r="V14" s="61" t="str">
        <f>VLOOKUP(B14,[2]Overall!$A:$D,4,0)</f>
        <v>TELEINFRA NORD</v>
      </c>
      <c r="W14" s="61" t="str">
        <f>VLOOKUP(B14,[3]Sheet1!$A:$B,2,0)</f>
        <v>Mbidou</v>
      </c>
      <c r="X14" s="88" t="str">
        <f t="shared" si="1"/>
        <v>NRD</v>
      </c>
      <c r="Y14" s="80" t="str">
        <f t="shared" ca="1" si="2"/>
        <v>T&gt;72H</v>
      </c>
      <c r="Z14" s="61">
        <f t="shared" si="3"/>
        <v>3</v>
      </c>
      <c r="AA14" s="61" t="s">
        <v>1566</v>
      </c>
      <c r="AB14" s="61" t="s">
        <v>1904</v>
      </c>
      <c r="AC14" s="84" t="s">
        <v>2120</v>
      </c>
      <c r="AD14" s="84" t="s">
        <v>1994</v>
      </c>
      <c r="AE14" s="61"/>
    </row>
    <row r="15" spans="1:31" ht="378" x14ac:dyDescent="0.45">
      <c r="A15" s="61" t="s">
        <v>1773</v>
      </c>
      <c r="B15" s="61" t="s">
        <v>1774</v>
      </c>
      <c r="C15" s="65"/>
      <c r="D15" s="61"/>
      <c r="E15" s="61" t="s">
        <v>1956</v>
      </c>
      <c r="F15" s="91" t="s">
        <v>53</v>
      </c>
      <c r="G15" s="91" t="s">
        <v>2015</v>
      </c>
      <c r="H15" s="67">
        <v>46172.719837962963</v>
      </c>
      <c r="I15" s="75">
        <f t="shared" ca="1" si="0"/>
        <v>7.9488545138883637</v>
      </c>
      <c r="J15" s="61"/>
      <c r="K15" s="61"/>
      <c r="L15" s="61"/>
      <c r="M15" s="61" t="s">
        <v>31</v>
      </c>
      <c r="N15" s="61" t="s">
        <v>1957</v>
      </c>
      <c r="O15" s="61"/>
      <c r="P15" s="61"/>
      <c r="Q15" s="61"/>
      <c r="R15" s="82" t="s">
        <v>2137</v>
      </c>
      <c r="S15" s="82" t="s">
        <v>40</v>
      </c>
      <c r="T15" s="82" t="s">
        <v>2143</v>
      </c>
      <c r="U15" s="82" t="s">
        <v>2143</v>
      </c>
      <c r="V15" s="61" t="str">
        <f>VLOOKUP(B15,[2]Overall!$A:$D,4,0)</f>
        <v>TELEINFRA NORD</v>
      </c>
      <c r="W15" s="61" t="str">
        <f>VLOOKUP(B15,[3]Sheet1!$A:$B,2,0)</f>
        <v>Hamalade</v>
      </c>
      <c r="X15" s="88" t="str">
        <f>LEFT(B18,3)</f>
        <v>NRD</v>
      </c>
      <c r="Y15" s="80" t="str">
        <f t="shared" ca="1" si="2"/>
        <v>T&gt;72H</v>
      </c>
      <c r="Z15" s="61">
        <f t="shared" si="3"/>
        <v>3</v>
      </c>
      <c r="AA15" s="61" t="s">
        <v>1566</v>
      </c>
      <c r="AB15" s="61" t="s">
        <v>1905</v>
      </c>
      <c r="AC15" s="84" t="s">
        <v>2120</v>
      </c>
      <c r="AD15" s="84" t="s">
        <v>1994</v>
      </c>
      <c r="AE15" s="61"/>
    </row>
    <row r="16" spans="1:31" ht="378" x14ac:dyDescent="0.45">
      <c r="A16" s="61" t="s">
        <v>1773</v>
      </c>
      <c r="B16" s="61" t="s">
        <v>1774</v>
      </c>
      <c r="C16" s="65"/>
      <c r="D16" s="61"/>
      <c r="E16" s="61" t="s">
        <v>35</v>
      </c>
      <c r="F16" s="91" t="s">
        <v>53</v>
      </c>
      <c r="G16" s="91" t="s">
        <v>2015</v>
      </c>
      <c r="H16" s="67">
        <v>46172.719837962963</v>
      </c>
      <c r="I16" s="75">
        <f t="shared" ca="1" si="0"/>
        <v>7.9488545138883637</v>
      </c>
      <c r="J16" s="61"/>
      <c r="K16" s="61"/>
      <c r="L16" s="61"/>
      <c r="M16" s="61" t="s">
        <v>31</v>
      </c>
      <c r="N16" s="61" t="s">
        <v>1775</v>
      </c>
      <c r="O16" s="61"/>
      <c r="P16" s="61"/>
      <c r="Q16" s="61"/>
      <c r="R16" s="82" t="s">
        <v>2137</v>
      </c>
      <c r="S16" s="82" t="s">
        <v>40</v>
      </c>
      <c r="T16" s="82" t="s">
        <v>2143</v>
      </c>
      <c r="U16" s="82" t="s">
        <v>2143</v>
      </c>
      <c r="V16" s="61" t="str">
        <f>VLOOKUP(B16,[2]Overall!$A:$D,4,0)</f>
        <v>TELEINFRA NORD</v>
      </c>
      <c r="W16" s="61" t="str">
        <f>VLOOKUP(B16,[3]Sheet1!$A:$B,2,0)</f>
        <v>Hamalade</v>
      </c>
      <c r="X16" s="88" t="str">
        <f t="shared" si="1"/>
        <v>NRD</v>
      </c>
      <c r="Y16" s="80" t="str">
        <f t="shared" ca="1" si="2"/>
        <v>T&gt;72H</v>
      </c>
      <c r="Z16" s="61">
        <f t="shared" si="3"/>
        <v>3</v>
      </c>
      <c r="AA16" s="61" t="s">
        <v>1566</v>
      </c>
      <c r="AB16" s="61" t="s">
        <v>1905</v>
      </c>
      <c r="AC16" s="84" t="s">
        <v>2120</v>
      </c>
      <c r="AD16" s="84" t="s">
        <v>1994</v>
      </c>
      <c r="AE16" s="61"/>
    </row>
    <row r="17" spans="1:31" ht="378" x14ac:dyDescent="0.45">
      <c r="A17" s="61" t="s">
        <v>1773</v>
      </c>
      <c r="B17" s="61" t="s">
        <v>1774</v>
      </c>
      <c r="C17" s="65"/>
      <c r="D17" s="61"/>
      <c r="E17" s="61" t="s">
        <v>1954</v>
      </c>
      <c r="F17" s="91" t="s">
        <v>53</v>
      </c>
      <c r="G17" s="91" t="s">
        <v>2015</v>
      </c>
      <c r="H17" s="67">
        <v>46172.724965277775</v>
      </c>
      <c r="I17" s="75">
        <f t="shared" ca="1" si="0"/>
        <v>7.9437271990755107</v>
      </c>
      <c r="J17" s="61"/>
      <c r="K17" s="61"/>
      <c r="L17" s="61"/>
      <c r="M17" s="61" t="s">
        <v>1750</v>
      </c>
      <c r="N17" s="61" t="s">
        <v>1751</v>
      </c>
      <c r="O17" s="61"/>
      <c r="P17" s="61"/>
      <c r="Q17" s="61"/>
      <c r="R17" s="82" t="s">
        <v>2137</v>
      </c>
      <c r="S17" s="82" t="s">
        <v>40</v>
      </c>
      <c r="T17" s="82" t="s">
        <v>2143</v>
      </c>
      <c r="U17" s="82" t="s">
        <v>2143</v>
      </c>
      <c r="V17" s="61" t="str">
        <f>VLOOKUP(B17,[2]Overall!$A:$D,4,0)</f>
        <v>TELEINFRA NORD</v>
      </c>
      <c r="W17" s="61" t="str">
        <f>VLOOKUP(B17,[3]Sheet1!$A:$B,2,0)</f>
        <v>Hamalade</v>
      </c>
      <c r="X17" s="88" t="str">
        <f t="shared" si="1"/>
        <v>NRO</v>
      </c>
      <c r="Y17" s="80" t="str">
        <f t="shared" ca="1" si="2"/>
        <v>T&gt;72H</v>
      </c>
      <c r="Z17" s="61">
        <f t="shared" si="3"/>
        <v>1</v>
      </c>
      <c r="AA17" s="61" t="s">
        <v>1566</v>
      </c>
      <c r="AB17" s="61" t="s">
        <v>1905</v>
      </c>
      <c r="AC17" s="84" t="s">
        <v>2120</v>
      </c>
      <c r="AD17" s="84" t="s">
        <v>1994</v>
      </c>
      <c r="AE17" s="61"/>
    </row>
    <row r="18" spans="1:31" ht="378" x14ac:dyDescent="0.45">
      <c r="A18" s="61" t="s">
        <v>1773</v>
      </c>
      <c r="B18" s="61" t="s">
        <v>1774</v>
      </c>
      <c r="C18" s="65"/>
      <c r="D18" s="61"/>
      <c r="E18" s="61" t="s">
        <v>1955</v>
      </c>
      <c r="F18" s="91" t="s">
        <v>53</v>
      </c>
      <c r="G18" s="91" t="s">
        <v>2015</v>
      </c>
      <c r="H18" s="67">
        <v>46172.724965277775</v>
      </c>
      <c r="I18" s="75">
        <f t="shared" ca="1" si="0"/>
        <v>7.9437271990755107</v>
      </c>
      <c r="J18" s="61"/>
      <c r="K18" s="61"/>
      <c r="L18" s="61"/>
      <c r="M18" s="61" t="s">
        <v>1750</v>
      </c>
      <c r="N18" s="61" t="s">
        <v>1751</v>
      </c>
      <c r="O18" s="61"/>
      <c r="P18" s="61"/>
      <c r="Q18" s="61"/>
      <c r="R18" s="82" t="s">
        <v>2137</v>
      </c>
      <c r="S18" s="82" t="s">
        <v>40</v>
      </c>
      <c r="T18" s="82" t="s">
        <v>2143</v>
      </c>
      <c r="U18" s="82" t="s">
        <v>2143</v>
      </c>
      <c r="V18" s="61" t="str">
        <f>VLOOKUP(B18,[2]Overall!$A:$D,4,0)</f>
        <v>TELEINFRA NORD</v>
      </c>
      <c r="W18" s="61" t="str">
        <f>VLOOKUP(B18,[3]Sheet1!$A:$B,2,0)</f>
        <v>Hamalade</v>
      </c>
      <c r="X18" s="88" t="str">
        <f t="shared" si="1"/>
        <v>NRD</v>
      </c>
      <c r="Y18" s="80" t="str">
        <f t="shared" ca="1" si="2"/>
        <v>T&gt;72H</v>
      </c>
      <c r="Z18" s="61">
        <f t="shared" si="3"/>
        <v>1</v>
      </c>
      <c r="AA18" s="61" t="s">
        <v>1566</v>
      </c>
      <c r="AB18" s="61" t="s">
        <v>1905</v>
      </c>
      <c r="AC18" s="84" t="s">
        <v>2120</v>
      </c>
      <c r="AD18" s="84" t="s">
        <v>1994</v>
      </c>
      <c r="AE18" s="61"/>
    </row>
    <row r="19" spans="1:31" ht="378" x14ac:dyDescent="0.45">
      <c r="A19" s="61" t="s">
        <v>1773</v>
      </c>
      <c r="B19" s="61" t="s">
        <v>1774</v>
      </c>
      <c r="C19" s="65"/>
      <c r="D19" s="61"/>
      <c r="E19" s="61" t="s">
        <v>1953</v>
      </c>
      <c r="F19" s="91" t="s">
        <v>53</v>
      </c>
      <c r="G19" s="91" t="s">
        <v>2015</v>
      </c>
      <c r="H19" s="67">
        <v>46172.724965277775</v>
      </c>
      <c r="I19" s="75">
        <f t="shared" ca="1" si="0"/>
        <v>7.9437271990755107</v>
      </c>
      <c r="J19" s="61"/>
      <c r="K19" s="61"/>
      <c r="L19" s="61"/>
      <c r="M19" s="61" t="s">
        <v>1750</v>
      </c>
      <c r="N19" s="61" t="s">
        <v>1751</v>
      </c>
      <c r="O19" s="61"/>
      <c r="P19" s="61"/>
      <c r="Q19" s="61"/>
      <c r="R19" s="82" t="s">
        <v>2137</v>
      </c>
      <c r="S19" s="82" t="s">
        <v>40</v>
      </c>
      <c r="T19" s="82" t="s">
        <v>2143</v>
      </c>
      <c r="U19" s="82" t="s">
        <v>2143</v>
      </c>
      <c r="V19" s="61" t="str">
        <f>VLOOKUP(B19,[2]Overall!$A:$D,4,0)</f>
        <v>TELEINFRA NORD</v>
      </c>
      <c r="W19" s="61" t="str">
        <f>VLOOKUP(B19,[3]Sheet1!$A:$B,2,0)</f>
        <v>Hamalade</v>
      </c>
      <c r="X19" s="88" t="e">
        <f>LEFT(#REF!,3)</f>
        <v>#REF!</v>
      </c>
      <c r="Y19" s="80" t="str">
        <f t="shared" ca="1" si="2"/>
        <v>T&gt;72H</v>
      </c>
      <c r="Z19" s="61">
        <f t="shared" si="3"/>
        <v>1</v>
      </c>
      <c r="AA19" s="61" t="s">
        <v>1566</v>
      </c>
      <c r="AB19" s="61" t="s">
        <v>1905</v>
      </c>
      <c r="AC19" s="84" t="s">
        <v>2120</v>
      </c>
      <c r="AD19" s="84" t="s">
        <v>1994</v>
      </c>
      <c r="AE19" s="61"/>
    </row>
    <row r="20" spans="1:31" ht="349" x14ac:dyDescent="0.45">
      <c r="A20" s="61" t="s">
        <v>1724</v>
      </c>
      <c r="B20" s="61" t="s">
        <v>1725</v>
      </c>
      <c r="C20" s="65"/>
      <c r="D20" s="61"/>
      <c r="E20" s="61" t="s">
        <v>1726</v>
      </c>
      <c r="F20" s="91" t="s">
        <v>53</v>
      </c>
      <c r="G20" s="91" t="s">
        <v>2121</v>
      </c>
      <c r="H20" s="67">
        <v>46172.76761574074</v>
      </c>
      <c r="I20" s="75">
        <f t="shared" ca="1" si="0"/>
        <v>7.9010767361105536</v>
      </c>
      <c r="J20" s="61"/>
      <c r="K20" s="61"/>
      <c r="L20" s="61"/>
      <c r="M20" s="61" t="s">
        <v>33</v>
      </c>
      <c r="N20" s="61" t="s">
        <v>1635</v>
      </c>
      <c r="O20" s="61"/>
      <c r="P20" s="61"/>
      <c r="Q20" s="61"/>
      <c r="R20" s="61" t="s">
        <v>2089</v>
      </c>
      <c r="S20" s="61" t="s">
        <v>32</v>
      </c>
      <c r="T20" s="61" t="s">
        <v>1898</v>
      </c>
      <c r="U20" s="61" t="s">
        <v>1898</v>
      </c>
      <c r="V20" s="61" t="str">
        <f>VLOOKUP(B20,[2]Overall!$A:$D,4,0)</f>
        <v xml:space="preserve">I-ENG </v>
      </c>
      <c r="W20" s="61" t="str">
        <f>VLOOKUP(B20,[3]Sheet1!$A:$B,2,0)</f>
        <v>Mbakong</v>
      </c>
      <c r="X20" s="88" t="str">
        <f>LEFT(B22,3)</f>
        <v>NRO</v>
      </c>
      <c r="Y20" s="80" t="str">
        <f t="shared" ref="Y20:Y64" ca="1" si="4">IF(I20 &lt; 1/24, "T&lt;1H", IF(AND(I20&lt;2/24, I20&gt;1/24), "1H&lt;T&lt;2H", IF(AND(I20&lt;4/24, I20&gt;2/24), "2H&lt;T&lt;4H", IF(AND(I20&lt;8/24, I20&gt;4/24), "4H&lt;T&lt;8H", IF(AND(I20&lt;16/24, I20&gt;8/24), "8H&lt;T&lt;16H",IF(AND(I20&lt;24/24, I20&gt;16/24),"16H&lt;T&lt;24H", IF(AND(I20&lt;48/24, I20&gt;24/24),"24H&lt;T&lt;48H",IF(AND(I20&lt;72/24, I20&gt;24/24),"48H&lt;T&lt;72H", "T&gt;72H"))))))))</f>
        <v>T&gt;72H</v>
      </c>
      <c r="Z20" s="61">
        <f t="shared" ref="Z20:Z64" si="5">IF(OR(E20="", E20="affected_cells=unknown"), "", LEN(E20)-LEN(SUBSTITUTE(E20, ",", "")) + LEN(E20)-LEN(SUBSTITUTE(E20, ";", "")) + 1)</f>
        <v>2</v>
      </c>
      <c r="AA20" s="61" t="s">
        <v>1566</v>
      </c>
      <c r="AB20" s="61" t="s">
        <v>1904</v>
      </c>
      <c r="AC20" s="84" t="s">
        <v>2120</v>
      </c>
      <c r="AD20" s="84" t="s">
        <v>1994</v>
      </c>
      <c r="AE20" s="61"/>
    </row>
    <row r="21" spans="1:31" ht="73.5" x14ac:dyDescent="0.45">
      <c r="A21" s="61" t="s">
        <v>1969</v>
      </c>
      <c r="B21" s="61" t="s">
        <v>1970</v>
      </c>
      <c r="C21" s="65"/>
      <c r="D21" s="61"/>
      <c r="E21" s="61" t="s">
        <v>1971</v>
      </c>
      <c r="F21" s="91" t="s">
        <v>2122</v>
      </c>
      <c r="G21" s="91" t="s">
        <v>2123</v>
      </c>
      <c r="H21" s="67">
        <v>46173.005960648145</v>
      </c>
      <c r="I21" s="75">
        <f t="shared" ca="1" si="0"/>
        <v>7.6627318287064554</v>
      </c>
      <c r="J21" s="61"/>
      <c r="K21" s="61"/>
      <c r="L21" s="61"/>
      <c r="M21" s="61" t="s">
        <v>46</v>
      </c>
      <c r="N21" s="61" t="s">
        <v>1972</v>
      </c>
      <c r="O21" s="61"/>
      <c r="P21" s="61"/>
      <c r="Q21" s="61"/>
      <c r="R21" s="61" t="s">
        <v>2135</v>
      </c>
      <c r="S21" s="61" t="s">
        <v>40</v>
      </c>
      <c r="T21" s="61" t="s">
        <v>1898</v>
      </c>
      <c r="U21" s="61" t="s">
        <v>1898</v>
      </c>
      <c r="V21" s="61" t="str">
        <f>VLOOKUP(B21,[2]Overall!$A:$D,4,0)</f>
        <v>TELEINFRA NORD</v>
      </c>
      <c r="W21" s="61" t="str">
        <f>VLOOKUP(B21,[3]Sheet1!$A:$B,2,0)</f>
        <v>Gaba</v>
      </c>
      <c r="X21" s="88" t="str">
        <f>LEFT(B23,3)</f>
        <v>EXN</v>
      </c>
      <c r="Y21" s="80" t="str">
        <f t="shared" ca="1" si="4"/>
        <v>T&gt;72H</v>
      </c>
      <c r="Z21" s="61">
        <f t="shared" si="5"/>
        <v>1</v>
      </c>
      <c r="AA21" s="61" t="s">
        <v>1566</v>
      </c>
      <c r="AB21" s="61" t="s">
        <v>1904</v>
      </c>
      <c r="AC21" s="84" t="s">
        <v>2120</v>
      </c>
      <c r="AD21" s="84" t="s">
        <v>1994</v>
      </c>
      <c r="AE21" s="61"/>
    </row>
    <row r="22" spans="1:31" ht="73.5" x14ac:dyDescent="0.45">
      <c r="A22" s="61" t="s">
        <v>1678</v>
      </c>
      <c r="B22" s="61" t="s">
        <v>1679</v>
      </c>
      <c r="C22" s="65"/>
      <c r="D22" s="61"/>
      <c r="E22" s="61" t="s">
        <v>35</v>
      </c>
      <c r="F22" s="91" t="s">
        <v>53</v>
      </c>
      <c r="G22" s="91" t="s">
        <v>54</v>
      </c>
      <c r="H22" s="67">
        <v>46173.667939814812</v>
      </c>
      <c r="I22" s="75">
        <f t="shared" ca="1" si="0"/>
        <v>7.0007526620393037</v>
      </c>
      <c r="J22" s="61"/>
      <c r="K22" s="61"/>
      <c r="L22" s="61"/>
      <c r="M22" s="61" t="s">
        <v>31</v>
      </c>
      <c r="N22" s="61" t="s">
        <v>1680</v>
      </c>
      <c r="O22" s="61"/>
      <c r="P22" s="61"/>
      <c r="Q22" s="61"/>
      <c r="R22" s="61" t="s">
        <v>2084</v>
      </c>
      <c r="S22" s="61" t="s">
        <v>32</v>
      </c>
      <c r="T22" s="61" t="s">
        <v>1898</v>
      </c>
      <c r="U22" s="61" t="s">
        <v>1898</v>
      </c>
      <c r="V22" s="61" t="str">
        <f>VLOOKUP(B22,[2]Overall!$A:$D,4,0)</f>
        <v xml:space="preserve">I-ENG </v>
      </c>
      <c r="W22" s="61" t="str">
        <f>VLOOKUP(B22,[3]Sheet1!$A:$B,2,0)</f>
        <v>Babessi</v>
      </c>
      <c r="X22" s="88" t="str">
        <f t="shared" si="1"/>
        <v>OST</v>
      </c>
      <c r="Y22" s="80" t="str">
        <f t="shared" ca="1" si="4"/>
        <v>T&gt;72H</v>
      </c>
      <c r="Z22" s="61">
        <f t="shared" si="5"/>
        <v>3</v>
      </c>
      <c r="AA22" s="61" t="s">
        <v>1566</v>
      </c>
      <c r="AB22" s="61" t="s">
        <v>1904</v>
      </c>
      <c r="AC22" s="84" t="s">
        <v>2120</v>
      </c>
      <c r="AD22" s="84" t="s">
        <v>1994</v>
      </c>
      <c r="AE22" s="61"/>
    </row>
    <row r="23" spans="1:31" ht="146" x14ac:dyDescent="0.45">
      <c r="A23" s="61" t="s">
        <v>1727</v>
      </c>
      <c r="B23" s="61" t="s">
        <v>1728</v>
      </c>
      <c r="C23" s="65"/>
      <c r="D23" s="61"/>
      <c r="E23" s="61" t="s">
        <v>1729</v>
      </c>
      <c r="F23" s="91" t="s">
        <v>53</v>
      </c>
      <c r="G23" s="91" t="s">
        <v>2121</v>
      </c>
      <c r="H23" s="67">
        <v>46173.749571759261</v>
      </c>
      <c r="I23" s="75">
        <f t="shared" ca="1" si="0"/>
        <v>6.9191207175899763</v>
      </c>
      <c r="J23" s="61"/>
      <c r="K23" s="61"/>
      <c r="L23" s="61"/>
      <c r="M23" s="61" t="s">
        <v>1730</v>
      </c>
      <c r="N23" s="61" t="s">
        <v>1731</v>
      </c>
      <c r="O23" s="61"/>
      <c r="P23" s="61"/>
      <c r="Q23" s="61"/>
      <c r="R23" s="61" t="s">
        <v>2134</v>
      </c>
      <c r="S23" s="61" t="s">
        <v>40</v>
      </c>
      <c r="T23" s="61" t="s">
        <v>1885</v>
      </c>
      <c r="U23" s="61" t="s">
        <v>1885</v>
      </c>
      <c r="V23" s="61" t="str">
        <f>VLOOKUP(B23,[2]Overall!$A:$D,4,0)</f>
        <v>TELEINFRA NORD</v>
      </c>
      <c r="W23" s="61" t="str">
        <f>VLOOKUP(B23,[3]Sheet1!$A:$B,2,0)</f>
        <v>Kuruda</v>
      </c>
      <c r="X23" s="88" t="str">
        <f t="shared" si="1"/>
        <v>NRO</v>
      </c>
      <c r="Y23" s="80" t="str">
        <f t="shared" ca="1" si="4"/>
        <v>T&gt;72H</v>
      </c>
      <c r="Z23" s="61">
        <f t="shared" si="5"/>
        <v>2</v>
      </c>
      <c r="AA23" s="61" t="s">
        <v>1566</v>
      </c>
      <c r="AB23" s="61" t="s">
        <v>1904</v>
      </c>
      <c r="AC23" s="84" t="s">
        <v>2120</v>
      </c>
      <c r="AD23" s="84" t="s">
        <v>1994</v>
      </c>
      <c r="AE23" s="61"/>
    </row>
    <row r="24" spans="1:31" ht="117" x14ac:dyDescent="0.45">
      <c r="A24" s="61" t="s">
        <v>1981</v>
      </c>
      <c r="B24" s="61" t="s">
        <v>1982</v>
      </c>
      <c r="C24" s="65"/>
      <c r="D24" s="61"/>
      <c r="E24" s="61" t="s">
        <v>39</v>
      </c>
      <c r="F24" s="91" t="s">
        <v>53</v>
      </c>
      <c r="G24" s="91" t="s">
        <v>54</v>
      </c>
      <c r="H24" s="67">
        <v>46173.814502314817</v>
      </c>
      <c r="I24" s="75">
        <f t="shared" ca="1" si="0"/>
        <v>6.854190162033774</v>
      </c>
      <c r="J24" s="61"/>
      <c r="K24" s="61"/>
      <c r="L24" s="61"/>
      <c r="M24" s="61" t="s">
        <v>1686</v>
      </c>
      <c r="N24" s="61" t="s">
        <v>1983</v>
      </c>
      <c r="O24" s="61"/>
      <c r="P24" s="61"/>
      <c r="Q24" s="61"/>
      <c r="R24" s="61" t="s">
        <v>2013</v>
      </c>
      <c r="S24" s="61" t="s">
        <v>71</v>
      </c>
      <c r="T24" s="61" t="s">
        <v>1902</v>
      </c>
      <c r="U24" s="61" t="s">
        <v>1896</v>
      </c>
      <c r="V24" s="61" t="str">
        <f>VLOOKUP(B24,[2]Overall!$A:$D,4,0)</f>
        <v>H-TELI</v>
      </c>
      <c r="W24" s="61" t="str">
        <f>VLOOKUP(B24,[3]Sheet1!$A:$B,2,0)</f>
        <v>Santchou</v>
      </c>
      <c r="X24" s="88" t="e">
        <f>LEFT(#REF!,3)</f>
        <v>#REF!</v>
      </c>
      <c r="Y24" s="80" t="str">
        <f t="shared" ca="1" si="4"/>
        <v>T&gt;72H</v>
      </c>
      <c r="Z24" s="61">
        <f t="shared" si="5"/>
        <v>1</v>
      </c>
      <c r="AA24" s="61" t="s">
        <v>1566</v>
      </c>
      <c r="AB24" s="61" t="s">
        <v>1904</v>
      </c>
      <c r="AC24" s="84" t="s">
        <v>2120</v>
      </c>
      <c r="AD24" s="84" t="s">
        <v>1994</v>
      </c>
      <c r="AE24" s="61"/>
    </row>
    <row r="25" spans="1:31" ht="117" x14ac:dyDescent="0.45">
      <c r="A25" s="61" t="s">
        <v>1981</v>
      </c>
      <c r="B25" s="61" t="s">
        <v>1982</v>
      </c>
      <c r="C25" s="65"/>
      <c r="D25" s="61"/>
      <c r="E25" s="61" t="s">
        <v>1988</v>
      </c>
      <c r="F25" s="91" t="s">
        <v>53</v>
      </c>
      <c r="G25" s="91" t="s">
        <v>54</v>
      </c>
      <c r="H25" s="67">
        <v>46173.819432870368</v>
      </c>
      <c r="I25" s="75">
        <f t="shared" ca="1" si="0"/>
        <v>6.8492596064825193</v>
      </c>
      <c r="J25" s="61"/>
      <c r="K25" s="61"/>
      <c r="L25" s="61"/>
      <c r="M25" s="61" t="s">
        <v>41</v>
      </c>
      <c r="N25" s="61" t="s">
        <v>1989</v>
      </c>
      <c r="O25" s="61"/>
      <c r="P25" s="61"/>
      <c r="Q25" s="61"/>
      <c r="R25" s="61" t="s">
        <v>2013</v>
      </c>
      <c r="S25" s="61" t="s">
        <v>71</v>
      </c>
      <c r="T25" s="61" t="s">
        <v>1902</v>
      </c>
      <c r="U25" s="61" t="s">
        <v>1896</v>
      </c>
      <c r="V25" s="61" t="str">
        <f>VLOOKUP(B25,[2]Overall!$A:$D,4,0)</f>
        <v>H-TELI</v>
      </c>
      <c r="W25" s="61" t="str">
        <f>VLOOKUP(B25,[3]Sheet1!$A:$B,2,0)</f>
        <v>Santchou</v>
      </c>
      <c r="X25" s="88" t="str">
        <f>LEFT(B27,3)</f>
        <v>NRO</v>
      </c>
      <c r="Y25" s="80" t="str">
        <f t="shared" ca="1" si="4"/>
        <v>T&gt;72H</v>
      </c>
      <c r="Z25" s="61">
        <f t="shared" si="5"/>
        <v>1</v>
      </c>
      <c r="AA25" s="61" t="s">
        <v>1566</v>
      </c>
      <c r="AB25" s="61" t="s">
        <v>1904</v>
      </c>
      <c r="AC25" s="84" t="s">
        <v>2120</v>
      </c>
      <c r="AD25" s="84" t="s">
        <v>1994</v>
      </c>
      <c r="AE25" s="61"/>
    </row>
    <row r="26" spans="1:31" ht="146" x14ac:dyDescent="0.45">
      <c r="A26" s="61" t="s">
        <v>1881</v>
      </c>
      <c r="B26" s="61" t="s">
        <v>1880</v>
      </c>
      <c r="C26" s="65"/>
      <c r="D26" s="61"/>
      <c r="E26" s="61" t="s">
        <v>1991</v>
      </c>
      <c r="F26" s="91" t="s">
        <v>53</v>
      </c>
      <c r="G26" s="91" t="s">
        <v>2121</v>
      </c>
      <c r="H26" s="67">
        <v>46174.267314814817</v>
      </c>
      <c r="I26" s="75">
        <f t="shared" ca="1" si="0"/>
        <v>6.401377662034065</v>
      </c>
      <c r="J26" s="61"/>
      <c r="K26" s="61"/>
      <c r="L26" s="61"/>
      <c r="M26" s="61" t="s">
        <v>1769</v>
      </c>
      <c r="N26" s="61" t="s">
        <v>1770</v>
      </c>
      <c r="O26" s="61"/>
      <c r="P26" s="61"/>
      <c r="Q26" s="61"/>
      <c r="R26" s="61" t="s">
        <v>2087</v>
      </c>
      <c r="S26" s="61" t="s">
        <v>32</v>
      </c>
      <c r="T26" s="61" t="s">
        <v>1898</v>
      </c>
      <c r="U26" s="61" t="s">
        <v>1898</v>
      </c>
      <c r="V26" s="61" t="str">
        <f>VLOOKUP(B26,[2]Overall!$A:$D,4,0)</f>
        <v xml:space="preserve">I-ENG </v>
      </c>
      <c r="W26" s="61" t="str">
        <f>VLOOKUP(B26,[3]Sheet1!$A:$B,2,0)</f>
        <v>Fundong</v>
      </c>
      <c r="X26" s="88" t="e">
        <f>LEFT(#REF!,3)</f>
        <v>#REF!</v>
      </c>
      <c r="Y26" s="80" t="str">
        <f t="shared" ca="1" si="4"/>
        <v>T&gt;72H</v>
      </c>
      <c r="Z26" s="61">
        <f t="shared" si="5"/>
        <v>1</v>
      </c>
      <c r="AA26" s="61" t="s">
        <v>1566</v>
      </c>
      <c r="AB26" s="61" t="s">
        <v>1904</v>
      </c>
      <c r="AC26" s="84" t="s">
        <v>2120</v>
      </c>
      <c r="AD26" s="84" t="s">
        <v>1994</v>
      </c>
      <c r="AE26" s="61"/>
    </row>
    <row r="27" spans="1:31" ht="73.5" x14ac:dyDescent="0.45">
      <c r="A27" s="61" t="s">
        <v>1939</v>
      </c>
      <c r="B27" s="61" t="s">
        <v>1940</v>
      </c>
      <c r="C27" s="65"/>
      <c r="D27" s="61"/>
      <c r="E27" s="61" t="s">
        <v>37</v>
      </c>
      <c r="F27" s="91" t="s">
        <v>53</v>
      </c>
      <c r="G27" s="91" t="s">
        <v>2126</v>
      </c>
      <c r="H27" s="67">
        <v>46174.506562499999</v>
      </c>
      <c r="I27" s="75">
        <f t="shared" ca="1" si="0"/>
        <v>6.1621299768521567</v>
      </c>
      <c r="J27" s="61"/>
      <c r="K27" s="61"/>
      <c r="L27" s="61"/>
      <c r="M27" s="61" t="s">
        <v>38</v>
      </c>
      <c r="N27" s="61" t="s">
        <v>1942</v>
      </c>
      <c r="O27" s="61"/>
      <c r="P27" s="61"/>
      <c r="Q27" s="61"/>
      <c r="R27" s="61" t="s">
        <v>2090</v>
      </c>
      <c r="S27" s="61" t="s">
        <v>32</v>
      </c>
      <c r="T27" s="61" t="s">
        <v>1898</v>
      </c>
      <c r="U27" s="61" t="s">
        <v>1898</v>
      </c>
      <c r="V27" s="61" t="str">
        <f>VLOOKUP(B27,[2]Overall!$A:$D,4,0)</f>
        <v xml:space="preserve">I-ENG </v>
      </c>
      <c r="W27" s="61" t="str">
        <f>VLOOKUP(B27,[3]Sheet1!$A:$B,2,0)</f>
        <v>Widikum</v>
      </c>
      <c r="X27" s="88" t="e">
        <f>LEFT(#REF!,3)</f>
        <v>#REF!</v>
      </c>
      <c r="Y27" s="80" t="str">
        <f t="shared" ca="1" si="4"/>
        <v>T&gt;72H</v>
      </c>
      <c r="Z27" s="61">
        <f t="shared" si="5"/>
        <v>1</v>
      </c>
      <c r="AA27" s="61" t="s">
        <v>1566</v>
      </c>
      <c r="AB27" s="61" t="s">
        <v>1904</v>
      </c>
      <c r="AC27" s="84" t="s">
        <v>2120</v>
      </c>
      <c r="AD27" s="84" t="s">
        <v>1994</v>
      </c>
      <c r="AE27" s="61"/>
    </row>
    <row r="28" spans="1:31" ht="73.5" x14ac:dyDescent="0.45">
      <c r="A28" s="61" t="s">
        <v>1763</v>
      </c>
      <c r="B28" s="61" t="s">
        <v>1764</v>
      </c>
      <c r="C28" s="65"/>
      <c r="D28" s="61"/>
      <c r="E28" s="61" t="s">
        <v>34</v>
      </c>
      <c r="F28" s="91" t="s">
        <v>53</v>
      </c>
      <c r="G28" s="91" t="s">
        <v>2127</v>
      </c>
      <c r="H28" s="67">
        <v>46174.52244212963</v>
      </c>
      <c r="I28" s="75">
        <f t="shared" ca="1" si="0"/>
        <v>6.146250347221212</v>
      </c>
      <c r="J28" s="61"/>
      <c r="K28" s="61"/>
      <c r="L28" s="61"/>
      <c r="M28" s="61" t="s">
        <v>31</v>
      </c>
      <c r="N28" s="61" t="s">
        <v>1765</v>
      </c>
      <c r="O28" s="61"/>
      <c r="P28" s="61"/>
      <c r="Q28" s="61"/>
      <c r="R28" s="61" t="s">
        <v>2133</v>
      </c>
      <c r="S28" s="61" t="s">
        <v>40</v>
      </c>
      <c r="T28" s="61" t="s">
        <v>1898</v>
      </c>
      <c r="U28" s="61" t="s">
        <v>1898</v>
      </c>
      <c r="V28" s="61" t="str">
        <f>VLOOKUP(B28,[2]Overall!$A:$D,4,0)</f>
        <v>TELEINFRA NORD</v>
      </c>
      <c r="W28" s="61" t="str">
        <f>VLOOKUP(B28,[3]Sheet1!$A:$B,2,0)</f>
        <v>Telo</v>
      </c>
      <c r="X28" s="88" t="e">
        <f>LEFT(#REF!,3)</f>
        <v>#REF!</v>
      </c>
      <c r="Y28" s="80" t="str">
        <f t="shared" ca="1" si="4"/>
        <v>T&gt;72H</v>
      </c>
      <c r="Z28" s="61">
        <f t="shared" si="5"/>
        <v>1</v>
      </c>
      <c r="AA28" s="61" t="s">
        <v>1566</v>
      </c>
      <c r="AB28" s="61" t="s">
        <v>1904</v>
      </c>
      <c r="AC28" s="84" t="s">
        <v>2120</v>
      </c>
      <c r="AD28" s="84" t="s">
        <v>1994</v>
      </c>
      <c r="AE28" s="61"/>
    </row>
    <row r="29" spans="1:31" ht="117" x14ac:dyDescent="0.45">
      <c r="A29" s="61" t="s">
        <v>1803</v>
      </c>
      <c r="B29" s="61" t="s">
        <v>1804</v>
      </c>
      <c r="C29" s="65"/>
      <c r="D29" s="61"/>
      <c r="E29" s="61" t="s">
        <v>1805</v>
      </c>
      <c r="F29" s="91" t="s">
        <v>53</v>
      </c>
      <c r="G29" s="91" t="s">
        <v>2121</v>
      </c>
      <c r="H29" s="67">
        <v>46174.681296296294</v>
      </c>
      <c r="I29" s="75">
        <f t="shared" ca="1" si="0"/>
        <v>5.9873961805569706</v>
      </c>
      <c r="J29" s="61"/>
      <c r="K29" s="61"/>
      <c r="L29" s="61"/>
      <c r="M29" s="61" t="s">
        <v>1627</v>
      </c>
      <c r="N29" s="61" t="s">
        <v>1806</v>
      </c>
      <c r="O29" s="61"/>
      <c r="P29" s="61"/>
      <c r="Q29" s="61"/>
      <c r="R29" s="61" t="s">
        <v>2140</v>
      </c>
      <c r="S29" s="61" t="s">
        <v>45</v>
      </c>
      <c r="T29" s="61" t="s">
        <v>1754</v>
      </c>
      <c r="U29" s="61" t="s">
        <v>1754</v>
      </c>
      <c r="V29" s="61" t="str">
        <f>VLOOKUP(B29,[2]Overall!$A:$D,4,0)</f>
        <v>TELEINFRA CENTRE</v>
      </c>
      <c r="W29" s="61" t="str">
        <f>VLOOKUP(B29,[3]Sheet1!$A:$B,2,0)</f>
        <v>SALAPOUMBE</v>
      </c>
      <c r="X29" s="88" t="str">
        <f t="shared" ref="X29:X64" si="6">LEFT(B32,3)</f>
        <v>EXN</v>
      </c>
      <c r="Y29" s="80" t="str">
        <f t="shared" ca="1" si="4"/>
        <v>T&gt;72H</v>
      </c>
      <c r="Z29" s="61">
        <f t="shared" si="5"/>
        <v>1</v>
      </c>
      <c r="AA29" s="61" t="s">
        <v>1566</v>
      </c>
      <c r="AB29" s="61" t="s">
        <v>1904</v>
      </c>
      <c r="AC29" s="84" t="s">
        <v>2120</v>
      </c>
      <c r="AD29" s="84" t="s">
        <v>1994</v>
      </c>
      <c r="AE29" s="61"/>
    </row>
    <row r="30" spans="1:31" ht="233" x14ac:dyDescent="0.45">
      <c r="A30" s="61" t="s">
        <v>1779</v>
      </c>
      <c r="B30" s="61" t="s">
        <v>1780</v>
      </c>
      <c r="C30" s="65"/>
      <c r="D30" s="61"/>
      <c r="E30" s="61" t="s">
        <v>37</v>
      </c>
      <c r="F30" s="91" t="s">
        <v>53</v>
      </c>
      <c r="G30" s="91" t="s">
        <v>2015</v>
      </c>
      <c r="H30" s="67">
        <v>46174.685497685183</v>
      </c>
      <c r="I30" s="75">
        <f t="shared" ca="1" si="0"/>
        <v>5.9831947916682111</v>
      </c>
      <c r="J30" s="61"/>
      <c r="K30" s="61"/>
      <c r="L30" s="61"/>
      <c r="M30" s="61" t="s">
        <v>41</v>
      </c>
      <c r="N30" s="61" t="s">
        <v>1781</v>
      </c>
      <c r="O30" s="61"/>
      <c r="P30" s="61"/>
      <c r="Q30" s="61"/>
      <c r="R30" s="61" t="s">
        <v>2077</v>
      </c>
      <c r="S30" s="61" t="s">
        <v>75</v>
      </c>
      <c r="T30" s="61" t="s">
        <v>1840</v>
      </c>
      <c r="U30" s="61" t="s">
        <v>1840</v>
      </c>
      <c r="V30" s="61" t="str">
        <f>VLOOKUP(B30,[2]Overall!$A:$D,4,0)</f>
        <v>TELEINFRA NORD</v>
      </c>
      <c r="W30" s="61" t="str">
        <f>VLOOKUP(B30,[3]Sheet1!$A:$B,2,0)</f>
        <v>Badjonre</v>
      </c>
      <c r="X30" s="88" t="str">
        <f t="shared" si="6"/>
        <v>EXN</v>
      </c>
      <c r="Y30" s="80" t="str">
        <f t="shared" ca="1" si="4"/>
        <v>T&gt;72H</v>
      </c>
      <c r="Z30" s="61">
        <f t="shared" si="5"/>
        <v>1</v>
      </c>
      <c r="AA30" s="61" t="s">
        <v>1566</v>
      </c>
      <c r="AB30" s="61" t="s">
        <v>1904</v>
      </c>
      <c r="AC30" s="84" t="s">
        <v>2120</v>
      </c>
      <c r="AD30" s="84" t="s">
        <v>1994</v>
      </c>
      <c r="AE30" s="61"/>
    </row>
    <row r="31" spans="1:31" ht="102.5" x14ac:dyDescent="0.45">
      <c r="A31" s="61" t="s">
        <v>1632</v>
      </c>
      <c r="B31" s="61" t="s">
        <v>1610</v>
      </c>
      <c r="C31" s="65"/>
      <c r="D31" s="61"/>
      <c r="E31" s="61" t="s">
        <v>49</v>
      </c>
      <c r="F31" s="91" t="s">
        <v>53</v>
      </c>
      <c r="G31" s="91" t="s">
        <v>54</v>
      </c>
      <c r="H31" s="67">
        <v>46174.804189814815</v>
      </c>
      <c r="I31" s="75">
        <f t="shared" ca="1" si="0"/>
        <v>5.8645026620361023</v>
      </c>
      <c r="J31" s="61"/>
      <c r="K31" s="61"/>
      <c r="L31" s="61"/>
      <c r="M31" s="61" t="s">
        <v>41</v>
      </c>
      <c r="N31" s="61" t="s">
        <v>1633</v>
      </c>
      <c r="O31" s="61"/>
      <c r="P31" s="61"/>
      <c r="Q31" s="61"/>
      <c r="R31" s="61" t="s">
        <v>2091</v>
      </c>
      <c r="S31" s="61" t="s">
        <v>40</v>
      </c>
      <c r="T31" s="61" t="s">
        <v>1902</v>
      </c>
      <c r="U31" s="61" t="s">
        <v>1896</v>
      </c>
      <c r="V31" s="61" t="str">
        <f>VLOOKUP(B31,[2]Overall!$A:$D,4,0)</f>
        <v>TELEINFRA NORD</v>
      </c>
      <c r="W31" s="61" t="str">
        <f>VLOOKUP(B31,[3]Sheet1!$A:$B,2,0)</f>
        <v>Zileng</v>
      </c>
      <c r="X31" s="88" t="str">
        <f t="shared" si="6"/>
        <v>EXN</v>
      </c>
      <c r="Y31" s="80" t="str">
        <f t="shared" ca="1" si="4"/>
        <v>T&gt;72H</v>
      </c>
      <c r="Z31" s="61">
        <f t="shared" si="5"/>
        <v>1</v>
      </c>
      <c r="AA31" s="61" t="s">
        <v>1566</v>
      </c>
      <c r="AB31" s="61" t="s">
        <v>1904</v>
      </c>
      <c r="AC31" s="84" t="s">
        <v>2120</v>
      </c>
      <c r="AD31" s="84" t="s">
        <v>1994</v>
      </c>
      <c r="AE31" s="61"/>
    </row>
    <row r="32" spans="1:31" ht="88" x14ac:dyDescent="0.45">
      <c r="A32" s="61" t="s">
        <v>1611</v>
      </c>
      <c r="B32" s="61" t="s">
        <v>1610</v>
      </c>
      <c r="C32" s="65"/>
      <c r="D32" s="61"/>
      <c r="E32" s="61" t="s">
        <v>1649</v>
      </c>
      <c r="F32" s="91" t="s">
        <v>53</v>
      </c>
      <c r="G32" s="91" t="s">
        <v>54</v>
      </c>
      <c r="H32" s="67">
        <v>46174.804548611108</v>
      </c>
      <c r="I32" s="75">
        <f t="shared" ca="1" si="0"/>
        <v>5.8641438657432445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2091</v>
      </c>
      <c r="S32" s="61" t="s">
        <v>40</v>
      </c>
      <c r="T32" s="61" t="s">
        <v>1902</v>
      </c>
      <c r="U32" s="61" t="s">
        <v>1896</v>
      </c>
      <c r="V32" s="61" t="str">
        <f>VLOOKUP(B32,[2]Overall!$A:$D,4,0)</f>
        <v>TELEINFRA NORD</v>
      </c>
      <c r="W32" s="61" t="str">
        <f>VLOOKUP(B32,[3]Sheet1!$A:$B,2,0)</f>
        <v>Zileng</v>
      </c>
      <c r="X32" s="88" t="str">
        <f t="shared" si="6"/>
        <v>EXN</v>
      </c>
      <c r="Y32" s="80" t="str">
        <f t="shared" ca="1" si="4"/>
        <v>T&gt;72H</v>
      </c>
      <c r="Z32" s="61">
        <f t="shared" si="5"/>
        <v>1</v>
      </c>
      <c r="AA32" s="61" t="s">
        <v>1566</v>
      </c>
      <c r="AB32" s="61" t="s">
        <v>1904</v>
      </c>
      <c r="AC32" s="84" t="s">
        <v>2120</v>
      </c>
      <c r="AD32" s="84" t="s">
        <v>1994</v>
      </c>
      <c r="AE32" s="61"/>
    </row>
    <row r="33" spans="1:31" ht="88" x14ac:dyDescent="0.45">
      <c r="A33" s="61" t="s">
        <v>1611</v>
      </c>
      <c r="B33" s="61" t="s">
        <v>1610</v>
      </c>
      <c r="C33" s="65"/>
      <c r="D33" s="61"/>
      <c r="E33" s="61" t="s">
        <v>1647</v>
      </c>
      <c r="F33" s="91" t="s">
        <v>53</v>
      </c>
      <c r="G33" s="91" t="s">
        <v>54</v>
      </c>
      <c r="H33" s="67">
        <v>46174.804548611108</v>
      </c>
      <c r="I33" s="75">
        <f t="shared" ca="1" si="0"/>
        <v>5.8641438657432445</v>
      </c>
      <c r="J33" s="61"/>
      <c r="K33" s="61"/>
      <c r="L33" s="61"/>
      <c r="M33" s="61" t="s">
        <v>41</v>
      </c>
      <c r="N33" s="61" t="s">
        <v>42</v>
      </c>
      <c r="O33" s="61"/>
      <c r="P33" s="61"/>
      <c r="Q33" s="61"/>
      <c r="R33" s="61" t="s">
        <v>2091</v>
      </c>
      <c r="S33" s="61" t="s">
        <v>40</v>
      </c>
      <c r="T33" s="61" t="s">
        <v>1902</v>
      </c>
      <c r="U33" s="61" t="s">
        <v>1896</v>
      </c>
      <c r="V33" s="61" t="str">
        <f>VLOOKUP(B33,[2]Overall!$A:$D,4,0)</f>
        <v>TELEINFRA NORD</v>
      </c>
      <c r="W33" s="61" t="str">
        <f>VLOOKUP(B33,[3]Sheet1!$A:$B,2,0)</f>
        <v>Zileng</v>
      </c>
      <c r="X33" s="88" t="str">
        <f t="shared" si="6"/>
        <v>EXN</v>
      </c>
      <c r="Y33" s="80" t="str">
        <f t="shared" ca="1" si="4"/>
        <v>T&gt;72H</v>
      </c>
      <c r="Z33" s="61">
        <f t="shared" si="5"/>
        <v>1</v>
      </c>
      <c r="AA33" s="61" t="s">
        <v>1566</v>
      </c>
      <c r="AB33" s="61" t="s">
        <v>1904</v>
      </c>
      <c r="AC33" s="84" t="s">
        <v>2120</v>
      </c>
      <c r="AD33" s="84" t="s">
        <v>1994</v>
      </c>
      <c r="AE33" s="61"/>
    </row>
    <row r="34" spans="1:31" ht="88" x14ac:dyDescent="0.45">
      <c r="A34" s="61" t="s">
        <v>1611</v>
      </c>
      <c r="B34" s="61" t="s">
        <v>1610</v>
      </c>
      <c r="C34" s="65"/>
      <c r="D34" s="61"/>
      <c r="E34" s="61" t="s">
        <v>1644</v>
      </c>
      <c r="F34" s="91" t="s">
        <v>53</v>
      </c>
      <c r="G34" s="91" t="s">
        <v>54</v>
      </c>
      <c r="H34" s="67">
        <v>46174.804548611108</v>
      </c>
      <c r="I34" s="75">
        <f t="shared" ca="1" si="0"/>
        <v>5.8641438657432445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61" t="s">
        <v>2091</v>
      </c>
      <c r="S34" s="61" t="s">
        <v>40</v>
      </c>
      <c r="T34" s="61" t="s">
        <v>1902</v>
      </c>
      <c r="U34" s="61" t="s">
        <v>1896</v>
      </c>
      <c r="V34" s="61" t="str">
        <f>VLOOKUP(B34,[2]Overall!$A:$D,4,0)</f>
        <v>TELEINFRA NORD</v>
      </c>
      <c r="W34" s="61" t="str">
        <f>VLOOKUP(B34,[3]Sheet1!$A:$B,2,0)</f>
        <v>Zileng</v>
      </c>
      <c r="X34" s="88" t="str">
        <f t="shared" si="6"/>
        <v>EXN</v>
      </c>
      <c r="Y34" s="80" t="str">
        <f t="shared" ca="1" si="4"/>
        <v>T&gt;72H</v>
      </c>
      <c r="Z34" s="61">
        <f t="shared" si="5"/>
        <v>1</v>
      </c>
      <c r="AA34" s="61" t="s">
        <v>1566</v>
      </c>
      <c r="AB34" s="61" t="s">
        <v>1904</v>
      </c>
      <c r="AC34" s="84" t="s">
        <v>2120</v>
      </c>
      <c r="AD34" s="84" t="s">
        <v>1994</v>
      </c>
      <c r="AE34" s="61"/>
    </row>
    <row r="35" spans="1:31" ht="88" x14ac:dyDescent="0.45">
      <c r="A35" s="61" t="s">
        <v>1611</v>
      </c>
      <c r="B35" s="61" t="s">
        <v>1610</v>
      </c>
      <c r="C35" s="65"/>
      <c r="D35" s="61"/>
      <c r="E35" s="61" t="s">
        <v>1645</v>
      </c>
      <c r="F35" s="91" t="s">
        <v>53</v>
      </c>
      <c r="G35" s="91" t="s">
        <v>54</v>
      </c>
      <c r="H35" s="67">
        <v>46174.804548611108</v>
      </c>
      <c r="I35" s="75">
        <f t="shared" ca="1" si="0"/>
        <v>5.8641438657432445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2091</v>
      </c>
      <c r="S35" s="61" t="s">
        <v>40</v>
      </c>
      <c r="T35" s="61" t="s">
        <v>1902</v>
      </c>
      <c r="U35" s="61" t="s">
        <v>1896</v>
      </c>
      <c r="V35" s="61" t="str">
        <f>VLOOKUP(B35,[2]Overall!$A:$D,4,0)</f>
        <v>TELEINFRA NORD</v>
      </c>
      <c r="W35" s="61" t="str">
        <f>VLOOKUP(B35,[3]Sheet1!$A:$B,2,0)</f>
        <v>Zileng</v>
      </c>
      <c r="X35" s="88" t="str">
        <f t="shared" si="6"/>
        <v>EXN</v>
      </c>
      <c r="Y35" s="80" t="str">
        <f t="shared" ca="1" si="4"/>
        <v>T&gt;72H</v>
      </c>
      <c r="Z35" s="61">
        <f t="shared" si="5"/>
        <v>1</v>
      </c>
      <c r="AA35" s="61" t="s">
        <v>1566</v>
      </c>
      <c r="AB35" s="61" t="s">
        <v>1904</v>
      </c>
      <c r="AC35" s="84" t="s">
        <v>2120</v>
      </c>
      <c r="AD35" s="84" t="s">
        <v>1994</v>
      </c>
      <c r="AE35" s="61"/>
    </row>
    <row r="36" spans="1:31" ht="88" x14ac:dyDescent="0.45">
      <c r="A36" s="61" t="s">
        <v>1611</v>
      </c>
      <c r="B36" s="61" t="s">
        <v>1610</v>
      </c>
      <c r="C36" s="65"/>
      <c r="D36" s="61"/>
      <c r="E36" s="61" t="s">
        <v>1648</v>
      </c>
      <c r="F36" s="91" t="s">
        <v>53</v>
      </c>
      <c r="G36" s="91" t="s">
        <v>54</v>
      </c>
      <c r="H36" s="67">
        <v>46174.804548611108</v>
      </c>
      <c r="I36" s="75">
        <f t="shared" ca="1" si="0"/>
        <v>5.8641438657432445</v>
      </c>
      <c r="J36" s="61"/>
      <c r="K36" s="61"/>
      <c r="L36" s="61"/>
      <c r="M36" s="61" t="s">
        <v>41</v>
      </c>
      <c r="N36" s="61" t="s">
        <v>42</v>
      </c>
      <c r="O36" s="61"/>
      <c r="P36" s="61"/>
      <c r="Q36" s="61"/>
      <c r="R36" s="61" t="s">
        <v>2091</v>
      </c>
      <c r="S36" s="61" t="s">
        <v>40</v>
      </c>
      <c r="T36" s="61" t="s">
        <v>1902</v>
      </c>
      <c r="U36" s="61" t="s">
        <v>1896</v>
      </c>
      <c r="V36" s="61" t="str">
        <f>VLOOKUP(B36,[2]Overall!$A:$D,4,0)</f>
        <v>TELEINFRA NORD</v>
      </c>
      <c r="W36" s="61" t="str">
        <f>VLOOKUP(B36,[3]Sheet1!$A:$B,2,0)</f>
        <v>Zileng</v>
      </c>
      <c r="X36" s="88" t="str">
        <f t="shared" si="6"/>
        <v>EXN</v>
      </c>
      <c r="Y36" s="80" t="str">
        <f t="shared" ca="1" si="4"/>
        <v>T&gt;72H</v>
      </c>
      <c r="Z36" s="61">
        <f t="shared" si="5"/>
        <v>1</v>
      </c>
      <c r="AA36" s="61" t="s">
        <v>1566</v>
      </c>
      <c r="AB36" s="61" t="s">
        <v>1904</v>
      </c>
      <c r="AC36" s="84" t="s">
        <v>2120</v>
      </c>
      <c r="AD36" s="84" t="s">
        <v>1994</v>
      </c>
      <c r="AE36" s="61"/>
    </row>
    <row r="37" spans="1:31" ht="88" x14ac:dyDescent="0.45">
      <c r="A37" s="61" t="s">
        <v>1611</v>
      </c>
      <c r="B37" s="61" t="s">
        <v>1610</v>
      </c>
      <c r="C37" s="65"/>
      <c r="D37" s="61"/>
      <c r="E37" s="61" t="s">
        <v>1643</v>
      </c>
      <c r="F37" s="91" t="s">
        <v>53</v>
      </c>
      <c r="G37" s="91" t="s">
        <v>54</v>
      </c>
      <c r="H37" s="67">
        <v>46174.804548611108</v>
      </c>
      <c r="I37" s="75">
        <f t="shared" ca="1" si="0"/>
        <v>5.8641438657432445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2091</v>
      </c>
      <c r="S37" s="61" t="s">
        <v>40</v>
      </c>
      <c r="T37" s="61" t="s">
        <v>1902</v>
      </c>
      <c r="U37" s="61" t="s">
        <v>1896</v>
      </c>
      <c r="V37" s="61" t="str">
        <f>VLOOKUP(B37,[2]Overall!$A:$D,4,0)</f>
        <v>TELEINFRA NORD</v>
      </c>
      <c r="W37" s="61" t="str">
        <f>VLOOKUP(B37,[3]Sheet1!$A:$B,2,0)</f>
        <v>Zileng</v>
      </c>
      <c r="X37" s="88" t="str">
        <f t="shared" si="6"/>
        <v>EXN</v>
      </c>
      <c r="Y37" s="80" t="str">
        <f t="shared" ca="1" si="4"/>
        <v>T&gt;72H</v>
      </c>
      <c r="Z37" s="61">
        <f t="shared" si="5"/>
        <v>1</v>
      </c>
      <c r="AA37" s="61" t="s">
        <v>1566</v>
      </c>
      <c r="AB37" s="61" t="s">
        <v>1904</v>
      </c>
      <c r="AC37" s="84" t="s">
        <v>2120</v>
      </c>
      <c r="AD37" s="84" t="s">
        <v>1994</v>
      </c>
      <c r="AE37" s="61"/>
    </row>
    <row r="38" spans="1:31" ht="88" x14ac:dyDescent="0.45">
      <c r="A38" s="61" t="s">
        <v>1611</v>
      </c>
      <c r="B38" s="61" t="s">
        <v>1610</v>
      </c>
      <c r="C38" s="65"/>
      <c r="D38" s="61"/>
      <c r="E38" s="61" t="s">
        <v>1650</v>
      </c>
      <c r="F38" s="91" t="s">
        <v>53</v>
      </c>
      <c r="G38" s="91" t="s">
        <v>54</v>
      </c>
      <c r="H38" s="67">
        <v>46174.804548611108</v>
      </c>
      <c r="I38" s="75">
        <f t="shared" ca="1" si="0"/>
        <v>5.8641438657432445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2091</v>
      </c>
      <c r="S38" s="61" t="s">
        <v>40</v>
      </c>
      <c r="T38" s="61" t="s">
        <v>1902</v>
      </c>
      <c r="U38" s="61" t="s">
        <v>1896</v>
      </c>
      <c r="V38" s="61" t="str">
        <f>VLOOKUP(B38,[2]Overall!$A:$D,4,0)</f>
        <v>TELEINFRA NORD</v>
      </c>
      <c r="W38" s="61" t="str">
        <f>VLOOKUP(B38,[3]Sheet1!$A:$B,2,0)</f>
        <v>Zileng</v>
      </c>
      <c r="X38" s="88" t="str">
        <f t="shared" si="6"/>
        <v>EXN</v>
      </c>
      <c r="Y38" s="80" t="str">
        <f t="shared" ca="1" si="4"/>
        <v>T&gt;72H</v>
      </c>
      <c r="Z38" s="61">
        <f t="shared" si="5"/>
        <v>1</v>
      </c>
      <c r="AA38" s="61" t="s">
        <v>1566</v>
      </c>
      <c r="AB38" s="61" t="s">
        <v>1904</v>
      </c>
      <c r="AC38" s="84" t="s">
        <v>2120</v>
      </c>
      <c r="AD38" s="84" t="s">
        <v>1994</v>
      </c>
      <c r="AE38" s="61"/>
    </row>
    <row r="39" spans="1:31" ht="88" x14ac:dyDescent="0.45">
      <c r="A39" s="61" t="s">
        <v>1611</v>
      </c>
      <c r="B39" s="61" t="s">
        <v>1610</v>
      </c>
      <c r="C39" s="65"/>
      <c r="D39" s="61"/>
      <c r="E39" s="61" t="s">
        <v>1642</v>
      </c>
      <c r="F39" s="91" t="s">
        <v>53</v>
      </c>
      <c r="G39" s="91" t="s">
        <v>54</v>
      </c>
      <c r="H39" s="67">
        <v>46174.804548611108</v>
      </c>
      <c r="I39" s="75">
        <f t="shared" ref="I39:I67" ca="1" si="7">NOW()-H39</f>
        <v>5.8641438657432445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2091</v>
      </c>
      <c r="S39" s="61" t="s">
        <v>40</v>
      </c>
      <c r="T39" s="61" t="s">
        <v>1902</v>
      </c>
      <c r="U39" s="61" t="s">
        <v>1896</v>
      </c>
      <c r="V39" s="61" t="str">
        <f>VLOOKUP(B39,[2]Overall!$A:$D,4,0)</f>
        <v>TELEINFRA NORD</v>
      </c>
      <c r="W39" s="61" t="str">
        <f>VLOOKUP(B39,[3]Sheet1!$A:$B,2,0)</f>
        <v>Zileng</v>
      </c>
      <c r="X39" s="88" t="str">
        <f t="shared" si="6"/>
        <v>EXN</v>
      </c>
      <c r="Y39" s="80" t="str">
        <f t="shared" ca="1" si="4"/>
        <v>T&gt;72H</v>
      </c>
      <c r="Z39" s="61">
        <f t="shared" si="5"/>
        <v>1</v>
      </c>
      <c r="AA39" s="61" t="s">
        <v>1566</v>
      </c>
      <c r="AB39" s="61" t="s">
        <v>1904</v>
      </c>
      <c r="AC39" s="84" t="s">
        <v>2120</v>
      </c>
      <c r="AD39" s="84" t="s">
        <v>1994</v>
      </c>
      <c r="AE39" s="61"/>
    </row>
    <row r="40" spans="1:31" ht="88" x14ac:dyDescent="0.45">
      <c r="A40" s="61" t="s">
        <v>1611</v>
      </c>
      <c r="B40" s="61" t="s">
        <v>1610</v>
      </c>
      <c r="C40" s="65"/>
      <c r="D40" s="61"/>
      <c r="E40" s="61" t="s">
        <v>1646</v>
      </c>
      <c r="F40" s="91" t="s">
        <v>53</v>
      </c>
      <c r="G40" s="91" t="s">
        <v>54</v>
      </c>
      <c r="H40" s="67">
        <v>46174.804537037038</v>
      </c>
      <c r="I40" s="75">
        <f t="shared" ca="1" si="7"/>
        <v>5.8641554398127482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2091</v>
      </c>
      <c r="S40" s="61" t="s">
        <v>40</v>
      </c>
      <c r="T40" s="61" t="s">
        <v>1902</v>
      </c>
      <c r="U40" s="61" t="s">
        <v>1896</v>
      </c>
      <c r="V40" s="61" t="str">
        <f>VLOOKUP(B40,[2]Overall!$A:$D,4,0)</f>
        <v>TELEINFRA NORD</v>
      </c>
      <c r="W40" s="61" t="str">
        <f>VLOOKUP(B40,[3]Sheet1!$A:$B,2,0)</f>
        <v>Zileng</v>
      </c>
      <c r="X40" s="88" t="str">
        <f t="shared" si="6"/>
        <v>EXN</v>
      </c>
      <c r="Y40" s="80" t="str">
        <f t="shared" ca="1" si="4"/>
        <v>T&gt;72H</v>
      </c>
      <c r="Z40" s="61">
        <f t="shared" si="5"/>
        <v>1</v>
      </c>
      <c r="AA40" s="61" t="s">
        <v>1566</v>
      </c>
      <c r="AB40" s="61" t="s">
        <v>1904</v>
      </c>
      <c r="AC40" s="84" t="s">
        <v>2120</v>
      </c>
      <c r="AD40" s="84" t="s">
        <v>1994</v>
      </c>
      <c r="AE40" s="61"/>
    </row>
    <row r="41" spans="1:31" ht="88" x14ac:dyDescent="0.45">
      <c r="A41" s="61" t="s">
        <v>1611</v>
      </c>
      <c r="B41" s="61" t="s">
        <v>1610</v>
      </c>
      <c r="C41" s="65"/>
      <c r="D41" s="61"/>
      <c r="E41" s="61" t="s">
        <v>1617</v>
      </c>
      <c r="F41" s="91" t="s">
        <v>53</v>
      </c>
      <c r="G41" s="91" t="s">
        <v>54</v>
      </c>
      <c r="H41" s="67">
        <v>46174.804849537039</v>
      </c>
      <c r="I41" s="75">
        <f t="shared" ca="1" si="7"/>
        <v>5.8638429398124572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2091</v>
      </c>
      <c r="S41" s="61" t="s">
        <v>40</v>
      </c>
      <c r="T41" s="61" t="s">
        <v>1902</v>
      </c>
      <c r="U41" s="61" t="s">
        <v>1896</v>
      </c>
      <c r="V41" s="61" t="str">
        <f>VLOOKUP(B41,[2]Overall!$A:$D,4,0)</f>
        <v>TELEINFRA NORD</v>
      </c>
      <c r="W41" s="61" t="str">
        <f>VLOOKUP(B41,[3]Sheet1!$A:$B,2,0)</f>
        <v>Zileng</v>
      </c>
      <c r="X41" s="88" t="str">
        <f t="shared" si="6"/>
        <v>EXN</v>
      </c>
      <c r="Y41" s="80" t="str">
        <f t="shared" ca="1" si="4"/>
        <v>T&gt;72H</v>
      </c>
      <c r="Z41" s="61">
        <f t="shared" si="5"/>
        <v>1</v>
      </c>
      <c r="AA41" s="61" t="s">
        <v>1566</v>
      </c>
      <c r="AB41" s="61" t="s">
        <v>1904</v>
      </c>
      <c r="AC41" s="84" t="s">
        <v>2120</v>
      </c>
      <c r="AD41" s="84" t="s">
        <v>1994</v>
      </c>
      <c r="AE41" s="61"/>
    </row>
    <row r="42" spans="1:31" ht="88" x14ac:dyDescent="0.45">
      <c r="A42" s="61" t="s">
        <v>1611</v>
      </c>
      <c r="B42" s="61" t="s">
        <v>1610</v>
      </c>
      <c r="C42" s="65"/>
      <c r="D42" s="61"/>
      <c r="E42" s="61" t="s">
        <v>1616</v>
      </c>
      <c r="F42" s="91" t="s">
        <v>53</v>
      </c>
      <c r="G42" s="91" t="s">
        <v>54</v>
      </c>
      <c r="H42" s="67">
        <v>46174.804837962962</v>
      </c>
      <c r="I42" s="75">
        <f t="shared" ca="1" si="7"/>
        <v>5.8638545138892368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2091</v>
      </c>
      <c r="S42" s="61" t="s">
        <v>40</v>
      </c>
      <c r="T42" s="61" t="s">
        <v>1902</v>
      </c>
      <c r="U42" s="61" t="s">
        <v>1896</v>
      </c>
      <c r="V42" s="61" t="str">
        <f>VLOOKUP(B42,[2]Overall!$A:$D,4,0)</f>
        <v>TELEINFRA NORD</v>
      </c>
      <c r="W42" s="61" t="str">
        <f>VLOOKUP(B42,[3]Sheet1!$A:$B,2,0)</f>
        <v>Zileng</v>
      </c>
      <c r="X42" s="88" t="str">
        <f t="shared" si="6"/>
        <v>EXN</v>
      </c>
      <c r="Y42" s="80" t="str">
        <f t="shared" ca="1" si="4"/>
        <v>T&gt;72H</v>
      </c>
      <c r="Z42" s="61">
        <f t="shared" si="5"/>
        <v>1</v>
      </c>
      <c r="AA42" s="61" t="s">
        <v>1566</v>
      </c>
      <c r="AB42" s="61" t="s">
        <v>1904</v>
      </c>
      <c r="AC42" s="84" t="s">
        <v>2120</v>
      </c>
      <c r="AD42" s="84" t="s">
        <v>1994</v>
      </c>
      <c r="AE42" s="61"/>
    </row>
    <row r="43" spans="1:31" ht="88" x14ac:dyDescent="0.45">
      <c r="A43" s="61" t="s">
        <v>1611</v>
      </c>
      <c r="B43" s="61" t="s">
        <v>1610</v>
      </c>
      <c r="C43" s="65"/>
      <c r="D43" s="61"/>
      <c r="E43" s="61" t="s">
        <v>1614</v>
      </c>
      <c r="F43" s="91" t="s">
        <v>53</v>
      </c>
      <c r="G43" s="91" t="s">
        <v>54</v>
      </c>
      <c r="H43" s="67">
        <v>46174.804837962962</v>
      </c>
      <c r="I43" s="75">
        <f t="shared" ca="1" si="7"/>
        <v>5.8638545138892368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2091</v>
      </c>
      <c r="S43" s="61" t="s">
        <v>40</v>
      </c>
      <c r="T43" s="61" t="s">
        <v>1902</v>
      </c>
      <c r="U43" s="61" t="s">
        <v>1896</v>
      </c>
      <c r="V43" s="61" t="str">
        <f>VLOOKUP(B43,[2]Overall!$A:$D,4,0)</f>
        <v>TELEINFRA NORD</v>
      </c>
      <c r="W43" s="61" t="str">
        <f>VLOOKUP(B43,[3]Sheet1!$A:$B,2,0)</f>
        <v>Zileng</v>
      </c>
      <c r="X43" s="88" t="str">
        <f t="shared" si="6"/>
        <v>EXN</v>
      </c>
      <c r="Y43" s="80" t="str">
        <f t="shared" ca="1" si="4"/>
        <v>T&gt;72H</v>
      </c>
      <c r="Z43" s="61">
        <f t="shared" si="5"/>
        <v>1</v>
      </c>
      <c r="AA43" s="61" t="s">
        <v>1566</v>
      </c>
      <c r="AB43" s="61" t="s">
        <v>1904</v>
      </c>
      <c r="AC43" s="84" t="s">
        <v>2120</v>
      </c>
      <c r="AD43" s="84" t="s">
        <v>1994</v>
      </c>
      <c r="AE43" s="61"/>
    </row>
    <row r="44" spans="1:31" ht="88" x14ac:dyDescent="0.45">
      <c r="A44" s="61" t="s">
        <v>1611</v>
      </c>
      <c r="B44" s="61" t="s">
        <v>1610</v>
      </c>
      <c r="C44" s="65"/>
      <c r="D44" s="61"/>
      <c r="E44" s="61" t="s">
        <v>1615</v>
      </c>
      <c r="F44" s="91" t="s">
        <v>53</v>
      </c>
      <c r="G44" s="91" t="s">
        <v>54</v>
      </c>
      <c r="H44" s="67">
        <v>46174.804849537039</v>
      </c>
      <c r="I44" s="75">
        <f t="shared" ca="1" si="7"/>
        <v>5.8638429398124572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2091</v>
      </c>
      <c r="S44" s="61" t="s">
        <v>40</v>
      </c>
      <c r="T44" s="61" t="s">
        <v>1902</v>
      </c>
      <c r="U44" s="61" t="s">
        <v>1896</v>
      </c>
      <c r="V44" s="61" t="str">
        <f>VLOOKUP(B44,[2]Overall!$A:$D,4,0)</f>
        <v>TELEINFRA NORD</v>
      </c>
      <c r="W44" s="61" t="str">
        <f>VLOOKUP(B44,[3]Sheet1!$A:$B,2,0)</f>
        <v>Zileng</v>
      </c>
      <c r="X44" s="88" t="e">
        <f>LEFT(#REF!,3)</f>
        <v>#REF!</v>
      </c>
      <c r="Y44" s="80" t="str">
        <f t="shared" ca="1" si="4"/>
        <v>T&gt;72H</v>
      </c>
      <c r="Z44" s="61">
        <f t="shared" si="5"/>
        <v>1</v>
      </c>
      <c r="AA44" s="61" t="s">
        <v>1566</v>
      </c>
      <c r="AB44" s="61" t="s">
        <v>1904</v>
      </c>
      <c r="AC44" s="84" t="s">
        <v>2120</v>
      </c>
      <c r="AD44" s="84" t="s">
        <v>1994</v>
      </c>
      <c r="AE44" s="61"/>
    </row>
    <row r="45" spans="1:31" ht="88" x14ac:dyDescent="0.45">
      <c r="A45" s="61" t="s">
        <v>1611</v>
      </c>
      <c r="B45" s="61" t="s">
        <v>1610</v>
      </c>
      <c r="C45" s="65"/>
      <c r="D45" s="61"/>
      <c r="E45" s="61" t="s">
        <v>1613</v>
      </c>
      <c r="F45" s="91" t="s">
        <v>53</v>
      </c>
      <c r="G45" s="91" t="s">
        <v>54</v>
      </c>
      <c r="H45" s="67">
        <v>46174.804849537039</v>
      </c>
      <c r="I45" s="75">
        <f t="shared" ca="1" si="7"/>
        <v>5.8638429398124572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2091</v>
      </c>
      <c r="S45" s="61" t="s">
        <v>40</v>
      </c>
      <c r="T45" s="61" t="s">
        <v>1902</v>
      </c>
      <c r="U45" s="61" t="s">
        <v>1896</v>
      </c>
      <c r="V45" s="61" t="str">
        <f>VLOOKUP(B45,[2]Overall!$A:$D,4,0)</f>
        <v>TELEINFRA NORD</v>
      </c>
      <c r="W45" s="61" t="str">
        <f>VLOOKUP(B45,[3]Sheet1!$A:$B,2,0)</f>
        <v>Zileng</v>
      </c>
      <c r="X45" s="88" t="e">
        <f>LEFT(#REF!,3)</f>
        <v>#REF!</v>
      </c>
      <c r="Y45" s="80" t="str">
        <f t="shared" ca="1" si="4"/>
        <v>T&gt;72H</v>
      </c>
      <c r="Z45" s="61">
        <f t="shared" si="5"/>
        <v>1</v>
      </c>
      <c r="AA45" s="61" t="s">
        <v>1566</v>
      </c>
      <c r="AB45" s="61" t="s">
        <v>1904</v>
      </c>
      <c r="AC45" s="84" t="s">
        <v>2120</v>
      </c>
      <c r="AD45" s="84" t="s">
        <v>1994</v>
      </c>
      <c r="AE45" s="61"/>
    </row>
    <row r="46" spans="1:31" ht="88" x14ac:dyDescent="0.45">
      <c r="A46" s="61" t="s">
        <v>1611</v>
      </c>
      <c r="B46" s="61" t="s">
        <v>1610</v>
      </c>
      <c r="C46" s="65"/>
      <c r="D46" s="61"/>
      <c r="E46" s="61" t="s">
        <v>1612</v>
      </c>
      <c r="F46" s="91" t="s">
        <v>53</v>
      </c>
      <c r="G46" s="91" t="s">
        <v>54</v>
      </c>
      <c r="H46" s="67">
        <v>46174.804826388892</v>
      </c>
      <c r="I46" s="75">
        <f t="shared" ca="1" si="7"/>
        <v>5.8638660879587405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2091</v>
      </c>
      <c r="S46" s="61" t="s">
        <v>40</v>
      </c>
      <c r="T46" s="61" t="s">
        <v>1902</v>
      </c>
      <c r="U46" s="61" t="s">
        <v>1896</v>
      </c>
      <c r="V46" s="61" t="str">
        <f>VLOOKUP(B46,[2]Overall!$A:$D,4,0)</f>
        <v>TELEINFRA NORD</v>
      </c>
      <c r="W46" s="61" t="str">
        <f>VLOOKUP(B46,[3]Sheet1!$A:$B,2,0)</f>
        <v>Zileng</v>
      </c>
      <c r="X46" s="88" t="e">
        <f>LEFT(#REF!,3)</f>
        <v>#REF!</v>
      </c>
      <c r="Y46" s="80" t="str">
        <f t="shared" ca="1" si="4"/>
        <v>T&gt;72H</v>
      </c>
      <c r="Z46" s="61">
        <f t="shared" si="5"/>
        <v>1</v>
      </c>
      <c r="AA46" s="61" t="s">
        <v>1566</v>
      </c>
      <c r="AB46" s="61" t="s">
        <v>1904</v>
      </c>
      <c r="AC46" s="84" t="s">
        <v>2120</v>
      </c>
      <c r="AD46" s="84" t="s">
        <v>1994</v>
      </c>
      <c r="AE46" s="61"/>
    </row>
    <row r="47" spans="1:31" ht="102.5" x14ac:dyDescent="0.45">
      <c r="A47" s="61" t="s">
        <v>1843</v>
      </c>
      <c r="B47" s="61" t="s">
        <v>1844</v>
      </c>
      <c r="C47" s="65"/>
      <c r="D47" s="61"/>
      <c r="E47" s="61" t="s">
        <v>1879</v>
      </c>
      <c r="F47" s="91" t="s">
        <v>53</v>
      </c>
      <c r="G47" s="91" t="s">
        <v>2015</v>
      </c>
      <c r="H47" s="67">
        <v>46175.448993055557</v>
      </c>
      <c r="I47" s="75">
        <f t="shared" ca="1" si="7"/>
        <v>5.2196994212936261</v>
      </c>
      <c r="J47" s="61"/>
      <c r="K47" s="61"/>
      <c r="L47" s="61"/>
      <c r="M47" s="61" t="s">
        <v>38</v>
      </c>
      <c r="N47" s="61" t="s">
        <v>1845</v>
      </c>
      <c r="O47" s="61"/>
      <c r="P47" s="61"/>
      <c r="Q47" s="61"/>
      <c r="R47" s="84" t="s">
        <v>2005</v>
      </c>
      <c r="S47" s="84" t="s">
        <v>75</v>
      </c>
      <c r="T47" s="61" t="s">
        <v>1901</v>
      </c>
      <c r="U47" s="61" t="s">
        <v>1901</v>
      </c>
      <c r="V47" s="61" t="str">
        <f>VLOOKUP(B47,[2]Overall!$A:$D,4,0)</f>
        <v>TELEINFRA NORD</v>
      </c>
      <c r="W47" s="61" t="str">
        <f>VLOOKUP(B47,[3]Sheet1!$A:$B,2,0)</f>
        <v>Mayo-Nonde</v>
      </c>
      <c r="X47" s="88" t="e">
        <f>LEFT(#REF!,3)</f>
        <v>#REF!</v>
      </c>
      <c r="Y47" s="80" t="str">
        <f t="shared" ca="1" si="4"/>
        <v>T&gt;72H</v>
      </c>
      <c r="Z47" s="61">
        <f t="shared" si="5"/>
        <v>3</v>
      </c>
      <c r="AA47" s="61" t="s">
        <v>1566</v>
      </c>
      <c r="AB47" s="61" t="s">
        <v>1905</v>
      </c>
      <c r="AC47" s="84" t="s">
        <v>2120</v>
      </c>
      <c r="AD47" s="84" t="s">
        <v>1994</v>
      </c>
      <c r="AE47" s="61"/>
    </row>
    <row r="48" spans="1:31" ht="88" x14ac:dyDescent="0.45">
      <c r="A48" s="61" t="s">
        <v>1783</v>
      </c>
      <c r="B48" s="61" t="s">
        <v>1784</v>
      </c>
      <c r="C48" s="65"/>
      <c r="D48" s="61"/>
      <c r="E48" s="61" t="s">
        <v>1785</v>
      </c>
      <c r="F48" s="91" t="s">
        <v>53</v>
      </c>
      <c r="G48" s="91" t="s">
        <v>2015</v>
      </c>
      <c r="H48" s="67">
        <v>46175.488310185188</v>
      </c>
      <c r="I48" s="75">
        <f t="shared" ca="1" si="7"/>
        <v>5.1803822916626814</v>
      </c>
      <c r="J48" s="61"/>
      <c r="K48" s="61"/>
      <c r="L48" s="61"/>
      <c r="M48" s="61" t="s">
        <v>1605</v>
      </c>
      <c r="N48" s="61" t="s">
        <v>1786</v>
      </c>
      <c r="O48" s="61"/>
      <c r="P48" s="61"/>
      <c r="Q48" s="61"/>
      <c r="R48" s="61" t="s">
        <v>2014</v>
      </c>
      <c r="S48" s="61" t="s">
        <v>71</v>
      </c>
      <c r="T48" s="61" t="s">
        <v>1895</v>
      </c>
      <c r="U48" s="61" t="s">
        <v>1896</v>
      </c>
      <c r="V48" s="61" t="str">
        <f>VLOOKUP(B48,[2]Overall!$A:$D,4,0)</f>
        <v>TELEINFRA CENTRE</v>
      </c>
      <c r="W48" s="61" t="str">
        <f>VLOOKUP(B48,[3]Sheet1!$A:$B,2,0)</f>
        <v>Song-Bong</v>
      </c>
      <c r="X48" s="88" t="str">
        <f>LEFT(B50,3)</f>
        <v>SUO</v>
      </c>
      <c r="Y48" s="80" t="str">
        <f t="shared" ca="1" si="4"/>
        <v>T&gt;72H</v>
      </c>
      <c r="Z48" s="61">
        <f t="shared" si="5"/>
        <v>4</v>
      </c>
      <c r="AA48" s="61" t="s">
        <v>1566</v>
      </c>
      <c r="AB48" s="61" t="s">
        <v>1904</v>
      </c>
      <c r="AC48" s="84" t="s">
        <v>2120</v>
      </c>
      <c r="AD48" s="84" t="s">
        <v>1994</v>
      </c>
      <c r="AE48" s="61"/>
    </row>
    <row r="49" spans="1:31" ht="88" x14ac:dyDescent="0.45">
      <c r="A49" s="61" t="s">
        <v>1783</v>
      </c>
      <c r="B49" s="61" t="s">
        <v>1784</v>
      </c>
      <c r="C49" s="65"/>
      <c r="D49" s="61"/>
      <c r="E49" s="61" t="s">
        <v>1787</v>
      </c>
      <c r="F49" s="91" t="s">
        <v>53</v>
      </c>
      <c r="G49" s="91" t="s">
        <v>2015</v>
      </c>
      <c r="H49" s="67">
        <v>46175.502164351848</v>
      </c>
      <c r="I49" s="75">
        <f t="shared" ca="1" si="7"/>
        <v>5.1665281250025146</v>
      </c>
      <c r="J49" s="61"/>
      <c r="K49" s="61"/>
      <c r="L49" s="61"/>
      <c r="M49" s="61" t="s">
        <v>1605</v>
      </c>
      <c r="N49" s="61" t="s">
        <v>1788</v>
      </c>
      <c r="O49" s="61"/>
      <c r="P49" s="61"/>
      <c r="Q49" s="61"/>
      <c r="R49" s="61" t="s">
        <v>2014</v>
      </c>
      <c r="S49" s="61" t="s">
        <v>71</v>
      </c>
      <c r="T49" s="61" t="s">
        <v>1895</v>
      </c>
      <c r="U49" s="61" t="s">
        <v>1896</v>
      </c>
      <c r="V49" s="61" t="str">
        <f>VLOOKUP(B49,[2]Overall!$A:$D,4,0)</f>
        <v>TELEINFRA CENTRE</v>
      </c>
      <c r="W49" s="61" t="str">
        <f>VLOOKUP(B49,[3]Sheet1!$A:$B,2,0)</f>
        <v>Song-Bong</v>
      </c>
      <c r="X49" s="88" t="str">
        <f>LEFT(B51,3)</f>
        <v>NRO</v>
      </c>
      <c r="Y49" s="80" t="str">
        <f t="shared" ca="1" si="4"/>
        <v>T&gt;72H</v>
      </c>
      <c r="Z49" s="61">
        <f t="shared" si="5"/>
        <v>2</v>
      </c>
      <c r="AA49" s="61" t="s">
        <v>1566</v>
      </c>
      <c r="AB49" s="61" t="s">
        <v>1904</v>
      </c>
      <c r="AC49" s="84" t="s">
        <v>2120</v>
      </c>
      <c r="AD49" s="84" t="s">
        <v>1994</v>
      </c>
      <c r="AE49" s="61"/>
    </row>
    <row r="50" spans="1:31" ht="102.5" x14ac:dyDescent="0.45">
      <c r="A50" s="61" t="s">
        <v>1831</v>
      </c>
      <c r="B50" s="61" t="s">
        <v>1832</v>
      </c>
      <c r="C50" s="65"/>
      <c r="D50" s="61"/>
      <c r="E50" s="61" t="s">
        <v>1823</v>
      </c>
      <c r="F50" s="91" t="s">
        <v>53</v>
      </c>
      <c r="G50" s="91" t="s">
        <v>2124</v>
      </c>
      <c r="H50" s="67">
        <v>46175.508090277777</v>
      </c>
      <c r="I50" s="75">
        <f t="shared" ca="1" si="7"/>
        <v>5.1606021990737645</v>
      </c>
      <c r="J50" s="61"/>
      <c r="K50" s="61"/>
      <c r="L50" s="61"/>
      <c r="M50" s="61" t="s">
        <v>31</v>
      </c>
      <c r="N50" s="61" t="s">
        <v>1833</v>
      </c>
      <c r="O50" s="61"/>
      <c r="P50" s="61"/>
      <c r="Q50" s="61"/>
      <c r="R50" s="82" t="s">
        <v>2130</v>
      </c>
      <c r="S50" s="82" t="s">
        <v>85</v>
      </c>
      <c r="T50" s="82" t="s">
        <v>1898</v>
      </c>
      <c r="U50" s="82" t="s">
        <v>1898</v>
      </c>
      <c r="V50" s="61" t="str">
        <f>VLOOKUP(B50,[2]Overall!$A:$D,4,0)</f>
        <v>H-TELI</v>
      </c>
      <c r="W50" s="61" t="str">
        <f>VLOOKUP(B50,[3]Sheet1!$A:$B,2,0)</f>
        <v>Kumbe</v>
      </c>
      <c r="X50" s="88" t="str">
        <f t="shared" si="6"/>
        <v>OST</v>
      </c>
      <c r="Y50" s="80" t="str">
        <f t="shared" ca="1" si="4"/>
        <v>T&gt;72H</v>
      </c>
      <c r="Z50" s="61">
        <f t="shared" si="5"/>
        <v>2</v>
      </c>
      <c r="AA50" s="61" t="s">
        <v>1566</v>
      </c>
      <c r="AB50" s="61" t="s">
        <v>1905</v>
      </c>
      <c r="AC50" s="84" t="s">
        <v>2120</v>
      </c>
      <c r="AD50" s="84" t="s">
        <v>1994</v>
      </c>
      <c r="AE50" s="61"/>
    </row>
    <row r="51" spans="1:31" ht="409.6" x14ac:dyDescent="0.45">
      <c r="A51" s="61" t="s">
        <v>1624</v>
      </c>
      <c r="B51" s="61" t="s">
        <v>1625</v>
      </c>
      <c r="C51" s="65"/>
      <c r="D51" s="61"/>
      <c r="E51" s="61" t="s">
        <v>1709</v>
      </c>
      <c r="F51" s="91" t="s">
        <v>53</v>
      </c>
      <c r="G51" s="91" t="s">
        <v>54</v>
      </c>
      <c r="H51" s="67">
        <v>46175.526041666664</v>
      </c>
      <c r="I51" s="75">
        <f t="shared" ca="1" si="7"/>
        <v>5.1426508101867512</v>
      </c>
      <c r="J51" s="61"/>
      <c r="K51" s="61"/>
      <c r="L51" s="61"/>
      <c r="M51" s="61" t="s">
        <v>33</v>
      </c>
      <c r="N51" s="61" t="s">
        <v>1626</v>
      </c>
      <c r="O51" s="61"/>
      <c r="P51" s="61"/>
      <c r="Q51" s="61"/>
      <c r="R51" s="61" t="s">
        <v>2088</v>
      </c>
      <c r="S51" s="61" t="s">
        <v>32</v>
      </c>
      <c r="T51" s="61" t="s">
        <v>1900</v>
      </c>
      <c r="U51" s="61" t="s">
        <v>1900</v>
      </c>
      <c r="V51" s="61" t="str">
        <f>VLOOKUP(B51,[2]Overall!$A:$D,4,0)</f>
        <v xml:space="preserve">I-ENG </v>
      </c>
      <c r="W51" s="61" t="str">
        <f>VLOOKUP(B51,[3]Sheet1!$A:$B,2,0)</f>
        <v>Kembong</v>
      </c>
      <c r="X51" s="88" t="str">
        <f t="shared" si="6"/>
        <v>OST</v>
      </c>
      <c r="Y51" s="80" t="str">
        <f t="shared" ca="1" si="4"/>
        <v>T&gt;72H</v>
      </c>
      <c r="Z51" s="61">
        <f t="shared" si="5"/>
        <v>2</v>
      </c>
      <c r="AA51" s="61" t="s">
        <v>1566</v>
      </c>
      <c r="AB51" s="61" t="s">
        <v>1904</v>
      </c>
      <c r="AC51" s="84" t="s">
        <v>2120</v>
      </c>
      <c r="AD51" s="84" t="s">
        <v>1994</v>
      </c>
      <c r="AE51" s="61"/>
    </row>
    <row r="52" spans="1:31" ht="117" x14ac:dyDescent="0.45">
      <c r="A52" s="63" t="s">
        <v>1892</v>
      </c>
      <c r="B52" s="63" t="s">
        <v>1893</v>
      </c>
      <c r="C52" s="68"/>
      <c r="D52" s="63"/>
      <c r="E52" s="63" t="s">
        <v>2102</v>
      </c>
      <c r="F52" s="71" t="s">
        <v>53</v>
      </c>
      <c r="G52" s="71" t="s">
        <v>54</v>
      </c>
      <c r="H52" s="69">
        <v>46175.532858796294</v>
      </c>
      <c r="I52" s="77">
        <f t="shared" ca="1" si="7"/>
        <v>5.1358336805569706</v>
      </c>
      <c r="J52" s="63"/>
      <c r="K52" s="63"/>
      <c r="L52" s="63"/>
      <c r="M52" s="63" t="s">
        <v>41</v>
      </c>
      <c r="N52" s="63" t="s">
        <v>42</v>
      </c>
      <c r="O52" s="63"/>
      <c r="P52" s="63"/>
      <c r="Q52" s="63"/>
      <c r="R52" s="85" t="s">
        <v>2144</v>
      </c>
      <c r="S52" s="63" t="s">
        <v>85</v>
      </c>
      <c r="T52" s="63" t="s">
        <v>2145</v>
      </c>
      <c r="U52" s="63" t="s">
        <v>2145</v>
      </c>
      <c r="V52" s="63" t="str">
        <f>VLOOKUP(B52,[2]Overall!$A:$D,4,0)</f>
        <v>H-TELI</v>
      </c>
      <c r="W52" s="63" t="str">
        <f>VLOOKUP(B52,[3]Sheet1!$A:$B,2,0)</f>
        <v>Santchou</v>
      </c>
      <c r="X52" s="89" t="str">
        <f t="shared" si="6"/>
        <v>OST</v>
      </c>
      <c r="Y52" s="81" t="str">
        <f t="shared" ca="1" si="4"/>
        <v>T&gt;72H</v>
      </c>
      <c r="Z52" s="63">
        <f t="shared" si="5"/>
        <v>1</v>
      </c>
      <c r="AA52" s="63" t="s">
        <v>77</v>
      </c>
      <c r="AB52" s="63" t="s">
        <v>1905</v>
      </c>
      <c r="AC52" s="85" t="s">
        <v>2120</v>
      </c>
      <c r="AD52" s="85" t="s">
        <v>1994</v>
      </c>
      <c r="AE52" s="63"/>
    </row>
    <row r="53" spans="1:31" ht="117" x14ac:dyDescent="0.45">
      <c r="A53" s="63" t="s">
        <v>1892</v>
      </c>
      <c r="B53" s="63" t="s">
        <v>1893</v>
      </c>
      <c r="C53" s="68"/>
      <c r="D53" s="63"/>
      <c r="E53" s="63" t="s">
        <v>2103</v>
      </c>
      <c r="F53" s="71" t="s">
        <v>53</v>
      </c>
      <c r="G53" s="71" t="s">
        <v>54</v>
      </c>
      <c r="H53" s="69">
        <v>46175.532858796294</v>
      </c>
      <c r="I53" s="77">
        <f t="shared" ca="1" si="7"/>
        <v>5.1358336805569706</v>
      </c>
      <c r="J53" s="63"/>
      <c r="K53" s="63"/>
      <c r="L53" s="63"/>
      <c r="M53" s="63" t="s">
        <v>41</v>
      </c>
      <c r="N53" s="63" t="s">
        <v>42</v>
      </c>
      <c r="O53" s="63"/>
      <c r="P53" s="63"/>
      <c r="Q53" s="63"/>
      <c r="R53" s="85" t="s">
        <v>2144</v>
      </c>
      <c r="S53" s="63" t="s">
        <v>85</v>
      </c>
      <c r="T53" s="63" t="s">
        <v>2145</v>
      </c>
      <c r="U53" s="63" t="s">
        <v>2145</v>
      </c>
      <c r="V53" s="63" t="str">
        <f>VLOOKUP(B53,[2]Overall!$A:$D,4,0)</f>
        <v>H-TELI</v>
      </c>
      <c r="W53" s="63" t="str">
        <f>VLOOKUP(B53,[3]Sheet1!$A:$B,2,0)</f>
        <v>Santchou</v>
      </c>
      <c r="X53" s="89" t="str">
        <f t="shared" si="6"/>
        <v>OST</v>
      </c>
      <c r="Y53" s="81" t="str">
        <f t="shared" ca="1" si="4"/>
        <v>T&gt;72H</v>
      </c>
      <c r="Z53" s="63">
        <f t="shared" si="5"/>
        <v>1</v>
      </c>
      <c r="AA53" s="63" t="s">
        <v>77</v>
      </c>
      <c r="AB53" s="63" t="s">
        <v>1905</v>
      </c>
      <c r="AC53" s="85" t="s">
        <v>2120</v>
      </c>
      <c r="AD53" s="85" t="s">
        <v>1994</v>
      </c>
      <c r="AE53" s="63"/>
    </row>
    <row r="54" spans="1:31" ht="117" x14ac:dyDescent="0.45">
      <c r="A54" s="63" t="s">
        <v>1892</v>
      </c>
      <c r="B54" s="63" t="s">
        <v>1893</v>
      </c>
      <c r="C54" s="68"/>
      <c r="D54" s="63"/>
      <c r="E54" s="63" t="s">
        <v>2104</v>
      </c>
      <c r="F54" s="71" t="s">
        <v>53</v>
      </c>
      <c r="G54" s="71" t="s">
        <v>54</v>
      </c>
      <c r="H54" s="69">
        <v>46175.532858796294</v>
      </c>
      <c r="I54" s="77">
        <f t="shared" ca="1" si="7"/>
        <v>5.1358336805569706</v>
      </c>
      <c r="J54" s="63"/>
      <c r="K54" s="63"/>
      <c r="L54" s="63"/>
      <c r="M54" s="63" t="s">
        <v>41</v>
      </c>
      <c r="N54" s="63" t="s">
        <v>42</v>
      </c>
      <c r="O54" s="63"/>
      <c r="P54" s="63"/>
      <c r="Q54" s="63"/>
      <c r="R54" s="63" t="s">
        <v>2144</v>
      </c>
      <c r="S54" s="63" t="s">
        <v>85</v>
      </c>
      <c r="T54" s="63" t="s">
        <v>2145</v>
      </c>
      <c r="U54" s="63" t="s">
        <v>2145</v>
      </c>
      <c r="V54" s="63" t="str">
        <f>VLOOKUP(B54,[2]Overall!$A:$D,4,0)</f>
        <v>H-TELI</v>
      </c>
      <c r="W54" s="63" t="str">
        <f>VLOOKUP(B54,[3]Sheet1!$A:$B,2,0)</f>
        <v>Santchou</v>
      </c>
      <c r="X54" s="89" t="str">
        <f t="shared" si="6"/>
        <v>OST</v>
      </c>
      <c r="Y54" s="81" t="str">
        <f t="shared" ca="1" si="4"/>
        <v>T&gt;72H</v>
      </c>
      <c r="Z54" s="63">
        <f t="shared" si="5"/>
        <v>1</v>
      </c>
      <c r="AA54" s="63" t="s">
        <v>77</v>
      </c>
      <c r="AB54" s="63" t="s">
        <v>1905</v>
      </c>
      <c r="AC54" s="85" t="s">
        <v>2120</v>
      </c>
      <c r="AD54" s="85" t="s">
        <v>1994</v>
      </c>
      <c r="AE54" s="63"/>
    </row>
    <row r="55" spans="1:31" ht="117" x14ac:dyDescent="0.45">
      <c r="A55" s="63" t="s">
        <v>1892</v>
      </c>
      <c r="B55" s="63" t="s">
        <v>1893</v>
      </c>
      <c r="C55" s="68"/>
      <c r="D55" s="63"/>
      <c r="E55" s="63" t="s">
        <v>1894</v>
      </c>
      <c r="F55" s="71" t="s">
        <v>53</v>
      </c>
      <c r="G55" s="71" t="s">
        <v>54</v>
      </c>
      <c r="H55" s="69">
        <v>46175.532858796294</v>
      </c>
      <c r="I55" s="77">
        <f t="shared" ca="1" si="7"/>
        <v>5.1358336805569706</v>
      </c>
      <c r="J55" s="63"/>
      <c r="K55" s="63"/>
      <c r="L55" s="63"/>
      <c r="M55" s="63" t="s">
        <v>41</v>
      </c>
      <c r="N55" s="63" t="s">
        <v>42</v>
      </c>
      <c r="O55" s="63"/>
      <c r="P55" s="63"/>
      <c r="Q55" s="63"/>
      <c r="R55" s="63" t="s">
        <v>2144</v>
      </c>
      <c r="S55" s="63" t="s">
        <v>85</v>
      </c>
      <c r="T55" s="63" t="s">
        <v>2145</v>
      </c>
      <c r="U55" s="63" t="s">
        <v>2145</v>
      </c>
      <c r="V55" s="63" t="str">
        <f>VLOOKUP(B55,[2]Overall!$A:$D,4,0)</f>
        <v>H-TELI</v>
      </c>
      <c r="W55" s="63" t="str">
        <f>VLOOKUP(B55,[3]Sheet1!$A:$B,2,0)</f>
        <v>Santchou</v>
      </c>
      <c r="X55" s="89" t="str">
        <f t="shared" si="6"/>
        <v>OST</v>
      </c>
      <c r="Y55" s="81" t="str">
        <f t="shared" ca="1" si="4"/>
        <v>T&gt;72H</v>
      </c>
      <c r="Z55" s="63">
        <f t="shared" si="5"/>
        <v>1</v>
      </c>
      <c r="AA55" s="63" t="s">
        <v>77</v>
      </c>
      <c r="AB55" s="63" t="s">
        <v>1905</v>
      </c>
      <c r="AC55" s="85" t="s">
        <v>2120</v>
      </c>
      <c r="AD55" s="85" t="s">
        <v>1994</v>
      </c>
      <c r="AE55" s="63"/>
    </row>
    <row r="56" spans="1:31" ht="117" x14ac:dyDescent="0.45">
      <c r="A56" s="63" t="s">
        <v>1892</v>
      </c>
      <c r="B56" s="63" t="s">
        <v>1893</v>
      </c>
      <c r="C56" s="68"/>
      <c r="D56" s="63"/>
      <c r="E56" s="63" t="s">
        <v>2105</v>
      </c>
      <c r="F56" s="71" t="s">
        <v>53</v>
      </c>
      <c r="G56" s="71" t="s">
        <v>54</v>
      </c>
      <c r="H56" s="69">
        <v>46175.532847222225</v>
      </c>
      <c r="I56" s="77">
        <f t="shared" ca="1" si="7"/>
        <v>5.1358452546264743</v>
      </c>
      <c r="J56" s="63"/>
      <c r="K56" s="63"/>
      <c r="L56" s="63"/>
      <c r="M56" s="63" t="s">
        <v>41</v>
      </c>
      <c r="N56" s="63" t="s">
        <v>42</v>
      </c>
      <c r="O56" s="63"/>
      <c r="P56" s="63"/>
      <c r="Q56" s="63"/>
      <c r="R56" s="63" t="s">
        <v>2144</v>
      </c>
      <c r="S56" s="63" t="s">
        <v>85</v>
      </c>
      <c r="T56" s="63" t="s">
        <v>2145</v>
      </c>
      <c r="U56" s="63" t="s">
        <v>2145</v>
      </c>
      <c r="V56" s="63" t="str">
        <f>VLOOKUP(B56,[2]Overall!$A:$D,4,0)</f>
        <v>H-TELI</v>
      </c>
      <c r="W56" s="63" t="str">
        <f>VLOOKUP(B56,[3]Sheet1!$A:$B,2,0)</f>
        <v>Santchou</v>
      </c>
      <c r="X56" s="89" t="str">
        <f t="shared" si="6"/>
        <v>OST</v>
      </c>
      <c r="Y56" s="81" t="str">
        <f t="shared" ca="1" si="4"/>
        <v>T&gt;72H</v>
      </c>
      <c r="Z56" s="63">
        <f t="shared" si="5"/>
        <v>1</v>
      </c>
      <c r="AA56" s="63" t="s">
        <v>77</v>
      </c>
      <c r="AB56" s="63" t="s">
        <v>1905</v>
      </c>
      <c r="AC56" s="85" t="s">
        <v>2120</v>
      </c>
      <c r="AD56" s="85" t="s">
        <v>1994</v>
      </c>
      <c r="AE56" s="63"/>
    </row>
    <row r="57" spans="1:31" ht="117" x14ac:dyDescent="0.45">
      <c r="A57" s="63" t="s">
        <v>1892</v>
      </c>
      <c r="B57" s="63" t="s">
        <v>1893</v>
      </c>
      <c r="C57" s="68"/>
      <c r="D57" s="63"/>
      <c r="E57" s="63" t="s">
        <v>2106</v>
      </c>
      <c r="F57" s="71" t="s">
        <v>53</v>
      </c>
      <c r="G57" s="71" t="s">
        <v>54</v>
      </c>
      <c r="H57" s="69">
        <v>46175.532858796294</v>
      </c>
      <c r="I57" s="77">
        <f t="shared" ca="1" si="7"/>
        <v>5.1358336805569706</v>
      </c>
      <c r="J57" s="63"/>
      <c r="K57" s="63"/>
      <c r="L57" s="63"/>
      <c r="M57" s="63" t="s">
        <v>41</v>
      </c>
      <c r="N57" s="63" t="s">
        <v>42</v>
      </c>
      <c r="O57" s="63"/>
      <c r="P57" s="63"/>
      <c r="Q57" s="63"/>
      <c r="R57" s="63" t="s">
        <v>2144</v>
      </c>
      <c r="S57" s="63" t="s">
        <v>85</v>
      </c>
      <c r="T57" s="63" t="s">
        <v>2145</v>
      </c>
      <c r="U57" s="63" t="s">
        <v>2145</v>
      </c>
      <c r="V57" s="63" t="str">
        <f>VLOOKUP(B57,[2]Overall!$A:$D,4,0)</f>
        <v>H-TELI</v>
      </c>
      <c r="W57" s="63" t="str">
        <f>VLOOKUP(B57,[3]Sheet1!$A:$B,2,0)</f>
        <v>Santchou</v>
      </c>
      <c r="X57" s="89" t="str">
        <f t="shared" si="6"/>
        <v>OST</v>
      </c>
      <c r="Y57" s="81" t="str">
        <f t="shared" ca="1" si="4"/>
        <v>T&gt;72H</v>
      </c>
      <c r="Z57" s="63">
        <f t="shared" si="5"/>
        <v>1</v>
      </c>
      <c r="AA57" s="63" t="s">
        <v>77</v>
      </c>
      <c r="AB57" s="63" t="s">
        <v>1905</v>
      </c>
      <c r="AC57" s="85" t="s">
        <v>2120</v>
      </c>
      <c r="AD57" s="85" t="s">
        <v>1994</v>
      </c>
      <c r="AE57" s="63"/>
    </row>
    <row r="58" spans="1:31" ht="117" x14ac:dyDescent="0.45">
      <c r="A58" s="63" t="s">
        <v>1892</v>
      </c>
      <c r="B58" s="63" t="s">
        <v>1893</v>
      </c>
      <c r="C58" s="68"/>
      <c r="D58" s="63"/>
      <c r="E58" s="63" t="s">
        <v>2107</v>
      </c>
      <c r="F58" s="71" t="s">
        <v>53</v>
      </c>
      <c r="G58" s="71" t="s">
        <v>54</v>
      </c>
      <c r="H58" s="69">
        <v>46175.532858796294</v>
      </c>
      <c r="I58" s="77">
        <f t="shared" ca="1" si="7"/>
        <v>5.1358336805569706</v>
      </c>
      <c r="J58" s="63"/>
      <c r="K58" s="63"/>
      <c r="L58" s="63"/>
      <c r="M58" s="63" t="s">
        <v>41</v>
      </c>
      <c r="N58" s="63" t="s">
        <v>42</v>
      </c>
      <c r="O58" s="63"/>
      <c r="P58" s="63"/>
      <c r="Q58" s="63"/>
      <c r="R58" s="63" t="s">
        <v>2144</v>
      </c>
      <c r="S58" s="63" t="s">
        <v>85</v>
      </c>
      <c r="T58" s="63" t="s">
        <v>2145</v>
      </c>
      <c r="U58" s="63" t="s">
        <v>2145</v>
      </c>
      <c r="V58" s="63" t="str">
        <f>VLOOKUP(B58,[2]Overall!$A:$D,4,0)</f>
        <v>H-TELI</v>
      </c>
      <c r="W58" s="63" t="str">
        <f>VLOOKUP(B58,[3]Sheet1!$A:$B,2,0)</f>
        <v>Santchou</v>
      </c>
      <c r="X58" s="89" t="str">
        <f t="shared" si="6"/>
        <v>EXN</v>
      </c>
      <c r="Y58" s="81" t="str">
        <f t="shared" ca="1" si="4"/>
        <v>T&gt;72H</v>
      </c>
      <c r="Z58" s="63">
        <f t="shared" si="5"/>
        <v>1</v>
      </c>
      <c r="AA58" s="63" t="s">
        <v>77</v>
      </c>
      <c r="AB58" s="63" t="s">
        <v>1905</v>
      </c>
      <c r="AC58" s="85" t="s">
        <v>2120</v>
      </c>
      <c r="AD58" s="85" t="s">
        <v>1994</v>
      </c>
      <c r="AE58" s="63"/>
    </row>
    <row r="59" spans="1:31" ht="117" x14ac:dyDescent="0.45">
      <c r="A59" s="63" t="s">
        <v>1892</v>
      </c>
      <c r="B59" s="63" t="s">
        <v>1893</v>
      </c>
      <c r="C59" s="68"/>
      <c r="D59" s="63"/>
      <c r="E59" s="63" t="s">
        <v>2108</v>
      </c>
      <c r="F59" s="71" t="s">
        <v>53</v>
      </c>
      <c r="G59" s="71" t="s">
        <v>54</v>
      </c>
      <c r="H59" s="69">
        <v>46175.532858796294</v>
      </c>
      <c r="I59" s="77">
        <f t="shared" ca="1" si="7"/>
        <v>5.1358336805569706</v>
      </c>
      <c r="J59" s="63"/>
      <c r="K59" s="63"/>
      <c r="L59" s="63"/>
      <c r="M59" s="63" t="s">
        <v>41</v>
      </c>
      <c r="N59" s="63" t="s">
        <v>42</v>
      </c>
      <c r="O59" s="63"/>
      <c r="P59" s="63"/>
      <c r="Q59" s="63"/>
      <c r="R59" s="63" t="s">
        <v>2144</v>
      </c>
      <c r="S59" s="63" t="s">
        <v>85</v>
      </c>
      <c r="T59" s="63" t="s">
        <v>2145</v>
      </c>
      <c r="U59" s="63" t="s">
        <v>2145</v>
      </c>
      <c r="V59" s="63" t="str">
        <f>VLOOKUP(B59,[2]Overall!$A:$D,4,0)</f>
        <v>H-TELI</v>
      </c>
      <c r="W59" s="63" t="str">
        <f>VLOOKUP(B59,[3]Sheet1!$A:$B,2,0)</f>
        <v>Santchou</v>
      </c>
      <c r="X59" s="89" t="str">
        <f t="shared" si="6"/>
        <v>EXN</v>
      </c>
      <c r="Y59" s="81" t="str">
        <f t="shared" ca="1" si="4"/>
        <v>T&gt;72H</v>
      </c>
      <c r="Z59" s="63">
        <f t="shared" si="5"/>
        <v>1</v>
      </c>
      <c r="AA59" s="63" t="s">
        <v>77</v>
      </c>
      <c r="AB59" s="63" t="s">
        <v>1905</v>
      </c>
      <c r="AC59" s="85" t="s">
        <v>2120</v>
      </c>
      <c r="AD59" s="85" t="s">
        <v>1994</v>
      </c>
      <c r="AE59" s="63"/>
    </row>
    <row r="60" spans="1:31" ht="117" x14ac:dyDescent="0.45">
      <c r="A60" s="63" t="s">
        <v>1892</v>
      </c>
      <c r="B60" s="63" t="s">
        <v>1893</v>
      </c>
      <c r="C60" s="68"/>
      <c r="D60" s="63"/>
      <c r="E60" s="63" t="s">
        <v>2109</v>
      </c>
      <c r="F60" s="71" t="s">
        <v>53</v>
      </c>
      <c r="G60" s="71" t="s">
        <v>54</v>
      </c>
      <c r="H60" s="69">
        <v>46175.532858796294</v>
      </c>
      <c r="I60" s="77">
        <f t="shared" ca="1" si="7"/>
        <v>5.1358336805569706</v>
      </c>
      <c r="J60" s="63"/>
      <c r="K60" s="63"/>
      <c r="L60" s="63"/>
      <c r="M60" s="63" t="s">
        <v>41</v>
      </c>
      <c r="N60" s="63" t="s">
        <v>42</v>
      </c>
      <c r="O60" s="63"/>
      <c r="P60" s="63"/>
      <c r="Q60" s="63"/>
      <c r="R60" s="63" t="s">
        <v>2144</v>
      </c>
      <c r="S60" s="63" t="s">
        <v>85</v>
      </c>
      <c r="T60" s="63" t="s">
        <v>2145</v>
      </c>
      <c r="U60" s="63" t="s">
        <v>2145</v>
      </c>
      <c r="V60" s="63" t="str">
        <f>VLOOKUP(B60,[2]Overall!$A:$D,4,0)</f>
        <v>H-TELI</v>
      </c>
      <c r="W60" s="63" t="str">
        <f>VLOOKUP(B60,[3]Sheet1!$A:$B,2,0)</f>
        <v>Santchou</v>
      </c>
      <c r="X60" s="89" t="str">
        <f t="shared" si="6"/>
        <v>EXN</v>
      </c>
      <c r="Y60" s="81" t="str">
        <f t="shared" ca="1" si="4"/>
        <v>T&gt;72H</v>
      </c>
      <c r="Z60" s="63">
        <f t="shared" si="5"/>
        <v>1</v>
      </c>
      <c r="AA60" s="63" t="s">
        <v>77</v>
      </c>
      <c r="AB60" s="63" t="s">
        <v>1905</v>
      </c>
      <c r="AC60" s="85" t="s">
        <v>2120</v>
      </c>
      <c r="AD60" s="85" t="s">
        <v>1994</v>
      </c>
      <c r="AE60" s="63"/>
    </row>
    <row r="61" spans="1:31" ht="73.5" x14ac:dyDescent="0.45">
      <c r="A61" s="61" t="s">
        <v>2110</v>
      </c>
      <c r="B61" s="61" t="s">
        <v>1747</v>
      </c>
      <c r="C61" s="65"/>
      <c r="D61" s="61"/>
      <c r="E61" s="61" t="s">
        <v>2111</v>
      </c>
      <c r="F61" s="91" t="s">
        <v>53</v>
      </c>
      <c r="G61" s="91" t="s">
        <v>54</v>
      </c>
      <c r="H61" s="67">
        <v>46175.540937500002</v>
      </c>
      <c r="I61" s="75">
        <f t="shared" ca="1" si="7"/>
        <v>5.1277549768492463</v>
      </c>
      <c r="J61" s="61"/>
      <c r="K61" s="61"/>
      <c r="L61" s="61"/>
      <c r="M61" s="61" t="s">
        <v>31</v>
      </c>
      <c r="N61" s="61" t="s">
        <v>2112</v>
      </c>
      <c r="O61" s="61"/>
      <c r="P61" s="61"/>
      <c r="Q61" s="61"/>
      <c r="R61" s="61" t="s">
        <v>2136</v>
      </c>
      <c r="S61" s="61" t="s">
        <v>40</v>
      </c>
      <c r="T61" s="61" t="s">
        <v>1898</v>
      </c>
      <c r="U61" s="61" t="s">
        <v>1898</v>
      </c>
      <c r="V61" s="61" t="str">
        <f>VLOOKUP(B61,[2]Overall!$A:$D,4,0)</f>
        <v>TELEINFRA NORD</v>
      </c>
      <c r="W61" s="61" t="str">
        <f>VLOOKUP(B61,[3]Sheet1!$A:$B,2,0)</f>
        <v>Meme-II</v>
      </c>
      <c r="X61" s="88" t="str">
        <f t="shared" si="6"/>
        <v>EXN</v>
      </c>
      <c r="Y61" s="80" t="str">
        <f t="shared" ca="1" si="4"/>
        <v>T&gt;72H</v>
      </c>
      <c r="Z61" s="61">
        <f t="shared" si="5"/>
        <v>3</v>
      </c>
      <c r="AA61" s="61" t="s">
        <v>1566</v>
      </c>
      <c r="AB61" s="61" t="s">
        <v>1905</v>
      </c>
      <c r="AC61" s="84" t="s">
        <v>2120</v>
      </c>
      <c r="AD61" s="84" t="s">
        <v>1994</v>
      </c>
      <c r="AE61" s="61"/>
    </row>
    <row r="62" spans="1:31" ht="73.5" x14ac:dyDescent="0.45">
      <c r="A62" s="61" t="s">
        <v>2110</v>
      </c>
      <c r="B62" s="61" t="s">
        <v>1747</v>
      </c>
      <c r="C62" s="65"/>
      <c r="D62" s="61"/>
      <c r="E62" s="61" t="s">
        <v>43</v>
      </c>
      <c r="F62" s="91" t="s">
        <v>53</v>
      </c>
      <c r="G62" s="91" t="s">
        <v>54</v>
      </c>
      <c r="H62" s="67">
        <v>46175.540937500002</v>
      </c>
      <c r="I62" s="75">
        <f t="shared" ca="1" si="7"/>
        <v>5.1277549768492463</v>
      </c>
      <c r="J62" s="61"/>
      <c r="K62" s="61"/>
      <c r="L62" s="61"/>
      <c r="M62" s="61" t="s">
        <v>31</v>
      </c>
      <c r="N62" s="61" t="s">
        <v>2113</v>
      </c>
      <c r="O62" s="61"/>
      <c r="P62" s="61"/>
      <c r="Q62" s="61"/>
      <c r="R62" s="61" t="s">
        <v>2136</v>
      </c>
      <c r="S62" s="61" t="s">
        <v>40</v>
      </c>
      <c r="T62" s="61" t="s">
        <v>1898</v>
      </c>
      <c r="U62" s="61" t="s">
        <v>1898</v>
      </c>
      <c r="V62" s="61" t="str">
        <f>VLOOKUP(B62,[2]Overall!$A:$D,4,0)</f>
        <v>TELEINFRA NORD</v>
      </c>
      <c r="W62" s="61" t="str">
        <f>VLOOKUP(B62,[3]Sheet1!$A:$B,2,0)</f>
        <v>Meme-II</v>
      </c>
      <c r="X62" s="88" t="str">
        <f t="shared" si="6"/>
        <v>OST</v>
      </c>
      <c r="Y62" s="80" t="str">
        <f t="shared" ca="1" si="4"/>
        <v>T&gt;72H</v>
      </c>
      <c r="Z62" s="61">
        <f t="shared" si="5"/>
        <v>4</v>
      </c>
      <c r="AA62" s="61" t="s">
        <v>1566</v>
      </c>
      <c r="AB62" s="61" t="s">
        <v>1905</v>
      </c>
      <c r="AC62" s="84" t="s">
        <v>2120</v>
      </c>
      <c r="AD62" s="84" t="s">
        <v>1994</v>
      </c>
      <c r="AE62" s="61"/>
    </row>
    <row r="63" spans="1:31" ht="73.5" x14ac:dyDescent="0.45">
      <c r="A63" s="61" t="s">
        <v>1748</v>
      </c>
      <c r="B63" s="61" t="s">
        <v>1747</v>
      </c>
      <c r="C63" s="65"/>
      <c r="D63" s="61"/>
      <c r="E63" s="61" t="s">
        <v>2114</v>
      </c>
      <c r="F63" s="91" t="s">
        <v>53</v>
      </c>
      <c r="G63" s="91" t="s">
        <v>54</v>
      </c>
      <c r="H63" s="67">
        <v>46175.541006944448</v>
      </c>
      <c r="I63" s="75">
        <f t="shared" ca="1" si="7"/>
        <v>5.1276855324031203</v>
      </c>
      <c r="J63" s="61"/>
      <c r="K63" s="61"/>
      <c r="L63" s="61"/>
      <c r="M63" s="61" t="s">
        <v>31</v>
      </c>
      <c r="N63" s="61" t="s">
        <v>2115</v>
      </c>
      <c r="O63" s="61"/>
      <c r="P63" s="61"/>
      <c r="Q63" s="61"/>
      <c r="R63" s="61" t="s">
        <v>2136</v>
      </c>
      <c r="S63" s="61" t="s">
        <v>40</v>
      </c>
      <c r="T63" s="61" t="s">
        <v>1898</v>
      </c>
      <c r="U63" s="61" t="s">
        <v>1898</v>
      </c>
      <c r="V63" s="61" t="str">
        <f>VLOOKUP(B63,[2]Overall!$A:$D,4,0)</f>
        <v>TELEINFRA NORD</v>
      </c>
      <c r="W63" s="61" t="str">
        <f>VLOOKUP(B63,[3]Sheet1!$A:$B,2,0)</f>
        <v>Meme-II</v>
      </c>
      <c r="X63" s="88" t="str">
        <f t="shared" si="6"/>
        <v>EXN</v>
      </c>
      <c r="Y63" s="80" t="str">
        <f t="shared" ca="1" si="4"/>
        <v>T&gt;72H</v>
      </c>
      <c r="Z63" s="61">
        <f t="shared" si="5"/>
        <v>9</v>
      </c>
      <c r="AA63" s="61" t="s">
        <v>1566</v>
      </c>
      <c r="AB63" s="61" t="s">
        <v>1905</v>
      </c>
      <c r="AC63" s="84" t="s">
        <v>2120</v>
      </c>
      <c r="AD63" s="84" t="s">
        <v>1994</v>
      </c>
      <c r="AE63" s="61"/>
    </row>
    <row r="64" spans="1:31" ht="73.5" x14ac:dyDescent="0.45">
      <c r="A64" s="61" t="s">
        <v>1748</v>
      </c>
      <c r="B64" s="61" t="s">
        <v>1747</v>
      </c>
      <c r="C64" s="65"/>
      <c r="D64" s="61"/>
      <c r="E64" s="61" t="s">
        <v>2116</v>
      </c>
      <c r="F64" s="91" t="s">
        <v>53</v>
      </c>
      <c r="G64" s="91" t="s">
        <v>54</v>
      </c>
      <c r="H64" s="67">
        <v>46175.540972222225</v>
      </c>
      <c r="I64" s="75">
        <f t="shared" ca="1" si="7"/>
        <v>5.1277202546261833</v>
      </c>
      <c r="J64" s="61"/>
      <c r="K64" s="61"/>
      <c r="L64" s="61"/>
      <c r="M64" s="61" t="s">
        <v>31</v>
      </c>
      <c r="N64" s="61" t="s">
        <v>2117</v>
      </c>
      <c r="O64" s="61"/>
      <c r="P64" s="61"/>
      <c r="Q64" s="61"/>
      <c r="R64" s="61" t="s">
        <v>2136</v>
      </c>
      <c r="S64" s="61" t="s">
        <v>40</v>
      </c>
      <c r="T64" s="61" t="s">
        <v>1898</v>
      </c>
      <c r="U64" s="61" t="s">
        <v>1898</v>
      </c>
      <c r="V64" s="61" t="str">
        <f>VLOOKUP(B64,[2]Overall!$A:$D,4,0)</f>
        <v>TELEINFRA NORD</v>
      </c>
      <c r="W64" s="61" t="str">
        <f>VLOOKUP(B64,[3]Sheet1!$A:$B,2,0)</f>
        <v>Meme-II</v>
      </c>
      <c r="X64" s="88" t="str">
        <f t="shared" si="6"/>
        <v>EXN</v>
      </c>
      <c r="Y64" s="80" t="str">
        <f t="shared" ca="1" si="4"/>
        <v>T&gt;72H</v>
      </c>
      <c r="Z64" s="61">
        <f t="shared" si="5"/>
        <v>4</v>
      </c>
      <c r="AA64" s="61" t="s">
        <v>1566</v>
      </c>
      <c r="AB64" s="61" t="s">
        <v>1905</v>
      </c>
      <c r="AC64" s="84" t="s">
        <v>2120</v>
      </c>
      <c r="AD64" s="84" t="s">
        <v>1994</v>
      </c>
      <c r="AE64" s="61"/>
    </row>
    <row r="65" spans="1:31" ht="117" x14ac:dyDescent="0.45">
      <c r="A65" s="63" t="s">
        <v>2118</v>
      </c>
      <c r="B65" s="63" t="s">
        <v>1893</v>
      </c>
      <c r="C65" s="68"/>
      <c r="D65" s="63"/>
      <c r="E65" s="63" t="s">
        <v>2111</v>
      </c>
      <c r="F65" s="71" t="s">
        <v>53</v>
      </c>
      <c r="G65" s="71" t="s">
        <v>54</v>
      </c>
      <c r="H65" s="69">
        <v>46175.551608796297</v>
      </c>
      <c r="I65" s="77">
        <f t="shared" ca="1" si="7"/>
        <v>5.1170836805540603</v>
      </c>
      <c r="J65" s="63"/>
      <c r="K65" s="63"/>
      <c r="L65" s="63"/>
      <c r="M65" s="63" t="s">
        <v>1686</v>
      </c>
      <c r="N65" s="63" t="s">
        <v>2119</v>
      </c>
      <c r="O65" s="63"/>
      <c r="P65" s="63"/>
      <c r="Q65" s="63"/>
      <c r="R65" s="63" t="s">
        <v>2144</v>
      </c>
      <c r="S65" s="63" t="s">
        <v>85</v>
      </c>
      <c r="T65" s="63" t="s">
        <v>2145</v>
      </c>
      <c r="U65" s="63" t="s">
        <v>2145</v>
      </c>
      <c r="V65" s="63" t="str">
        <f>VLOOKUP(B65,[2]Overall!$A:$D,4,0)</f>
        <v>H-TELI</v>
      </c>
      <c r="W65" s="63" t="str">
        <f>VLOOKUP(B65,[3]Sheet1!$A:$B,2,0)</f>
        <v>Santchou</v>
      </c>
      <c r="X65" s="89" t="e">
        <f>LEFT(#REF!,3)</f>
        <v>#REF!</v>
      </c>
      <c r="Y65" s="81" t="str">
        <f ca="1">IF(I65 &lt; 1/24, "T&lt;1H", IF(AND(I65&lt;2/24, I65&gt;1/24), "1H&lt;T&lt;2H", IF(AND(I65&lt;4/24, I65&gt;2/24), "2H&lt;T&lt;4H", IF(AND(I65&lt;8/24, I65&gt;4/24), "4H&lt;T&lt;8H", IF(AND(I65&lt;16/24, I65&gt;8/24), "8H&lt;T&lt;16H",IF(AND(I65&lt;24/24, I65&gt;16/24),"16H&lt;T&lt;24H", IF(AND(I65&lt;48/24, I65&gt;24/24),"24H&lt;T&lt;48H",IF(AND(I65&lt;72/24, I65&gt;24/24),"48H&lt;T&lt;72H", "T&gt;72H"))))))))</f>
        <v>T&gt;72H</v>
      </c>
      <c r="Z65" s="63">
        <f>IF(OR(E65="", E65="affected_cells=unknown"), "", LEN(E65)-LEN(SUBSTITUTE(E65, ",", "")) + LEN(E65)-LEN(SUBSTITUTE(E65, ";", "")) + 1)</f>
        <v>3</v>
      </c>
      <c r="AA65" s="63" t="s">
        <v>77</v>
      </c>
      <c r="AB65" s="63" t="s">
        <v>1905</v>
      </c>
      <c r="AC65" s="85" t="s">
        <v>2120</v>
      </c>
      <c r="AD65" s="85" t="s">
        <v>1994</v>
      </c>
      <c r="AE65" s="63"/>
    </row>
    <row r="66" spans="1:31" ht="102.5" x14ac:dyDescent="0.45">
      <c r="A66" s="63" t="s">
        <v>1704</v>
      </c>
      <c r="B66" s="63" t="s">
        <v>1663</v>
      </c>
      <c r="C66" s="68"/>
      <c r="D66" s="63"/>
      <c r="E66" s="63" t="s">
        <v>2100</v>
      </c>
      <c r="F66" s="71" t="s">
        <v>53</v>
      </c>
      <c r="G66" s="71" t="s">
        <v>54</v>
      </c>
      <c r="H66" s="69">
        <v>46175.557650462964</v>
      </c>
      <c r="I66" s="77">
        <f t="shared" ca="1" si="7"/>
        <v>5.1110420138866175</v>
      </c>
      <c r="J66" s="63"/>
      <c r="K66" s="63"/>
      <c r="L66" s="63"/>
      <c r="M66" s="63" t="s">
        <v>41</v>
      </c>
      <c r="N66" s="63" t="s">
        <v>2101</v>
      </c>
      <c r="O66" s="63"/>
      <c r="P66" s="63" t="s">
        <v>1906</v>
      </c>
      <c r="Q66" s="63"/>
      <c r="R66" s="63" t="s">
        <v>2141</v>
      </c>
      <c r="S66" s="63" t="s">
        <v>40</v>
      </c>
      <c r="T66" s="63" t="s">
        <v>1898</v>
      </c>
      <c r="U66" s="63" t="s">
        <v>1898</v>
      </c>
      <c r="V66" s="63" t="str">
        <f>VLOOKUP(B66,[2]Overall!$A:$D,4,0)</f>
        <v>TELEINFRA NORD</v>
      </c>
      <c r="W66" s="63" t="str">
        <f>VLOOKUP(B66,[3]Sheet1!$A:$B,2,0)</f>
        <v>Kaele</v>
      </c>
      <c r="X66" s="89" t="str">
        <f>LEFT(B68,3)</f>
        <v/>
      </c>
      <c r="Y66" s="81" t="str">
        <f ca="1">IF(I66 &lt; 1/24, "T&lt;1H", IF(AND(I66&lt;2/24, I66&gt;1/24), "1H&lt;T&lt;2H", IF(AND(I66&lt;4/24, I66&gt;2/24), "2H&lt;T&lt;4H", IF(AND(I66&lt;8/24, I66&gt;4/24), "4H&lt;T&lt;8H", IF(AND(I66&lt;16/24, I66&gt;8/24), "8H&lt;T&lt;16H",IF(AND(I66&lt;24/24, I66&gt;16/24),"16H&lt;T&lt;24H", IF(AND(I66&lt;48/24, I66&gt;24/24),"24H&lt;T&lt;48H",IF(AND(I66&lt;72/24, I66&gt;24/24),"48H&lt;T&lt;72H", "T&gt;72H"))))))))</f>
        <v>T&gt;72H</v>
      </c>
      <c r="Z66" s="63">
        <f>IF(OR(E66="", E66="affected_cells=unknown"), "", LEN(E66)-LEN(SUBSTITUTE(E66, ",", "")) + LEN(E66)-LEN(SUBSTITUTE(E66, ";", "")) + 1)</f>
        <v>1</v>
      </c>
      <c r="AA66" s="63" t="s">
        <v>77</v>
      </c>
      <c r="AB66" s="63" t="s">
        <v>1905</v>
      </c>
      <c r="AC66" s="85" t="s">
        <v>2120</v>
      </c>
      <c r="AD66" s="85" t="s">
        <v>1994</v>
      </c>
      <c r="AE66" s="63"/>
    </row>
    <row r="67" spans="1:31" ht="102.5" x14ac:dyDescent="0.45">
      <c r="A67" s="63" t="s">
        <v>1704</v>
      </c>
      <c r="B67" s="63" t="s">
        <v>1663</v>
      </c>
      <c r="C67" s="68"/>
      <c r="D67" s="63"/>
      <c r="E67" s="63" t="s">
        <v>2098</v>
      </c>
      <c r="F67" s="71" t="s">
        <v>53</v>
      </c>
      <c r="G67" s="71" t="s">
        <v>54</v>
      </c>
      <c r="H67" s="69">
        <v>46175.557662037034</v>
      </c>
      <c r="I67" s="77">
        <f t="shared" ca="1" si="7"/>
        <v>5.1110304398171138</v>
      </c>
      <c r="J67" s="63"/>
      <c r="K67" s="63"/>
      <c r="L67" s="63"/>
      <c r="M67" s="63" t="s">
        <v>41</v>
      </c>
      <c r="N67" s="63" t="s">
        <v>2099</v>
      </c>
      <c r="O67" s="63"/>
      <c r="P67" s="63" t="s">
        <v>1906</v>
      </c>
      <c r="Q67" s="63"/>
      <c r="R67" s="63" t="s">
        <v>2141</v>
      </c>
      <c r="S67" s="63" t="s">
        <v>40</v>
      </c>
      <c r="T67" s="63" t="s">
        <v>1898</v>
      </c>
      <c r="U67" s="63" t="s">
        <v>1898</v>
      </c>
      <c r="V67" s="63" t="str">
        <f>VLOOKUP(B67,[2]Overall!$A:$D,4,0)</f>
        <v>TELEINFRA NORD</v>
      </c>
      <c r="W67" s="63" t="str">
        <f>VLOOKUP(B67,[3]Sheet1!$A:$B,2,0)</f>
        <v>Kaele</v>
      </c>
      <c r="X67" s="89" t="str">
        <f>LEFT(B69,3)</f>
        <v/>
      </c>
      <c r="Y67" s="81" t="str">
        <f ca="1">IF(I67 &lt; 1/24, "T&lt;1H", IF(AND(I67&lt;2/24, I67&gt;1/24), "1H&lt;T&lt;2H", IF(AND(I67&lt;4/24, I67&gt;2/24), "2H&lt;T&lt;4H", IF(AND(I67&lt;8/24, I67&gt;4/24), "4H&lt;T&lt;8H", IF(AND(I67&lt;16/24, I67&gt;8/24), "8H&lt;T&lt;16H",IF(AND(I67&lt;24/24, I67&gt;16/24),"16H&lt;T&lt;24H", IF(AND(I67&lt;48/24, I67&gt;24/24),"24H&lt;T&lt;48H",IF(AND(I67&lt;72/24, I67&gt;24/24),"48H&lt;T&lt;72H", "T&gt;72H"))))))))</f>
        <v>T&gt;72H</v>
      </c>
      <c r="Z67" s="63">
        <f>IF(OR(E67="", E67="affected_cells=unknown"), "", LEN(E67)-LEN(SUBSTITUTE(E67, ",", "")) + LEN(E67)-LEN(SUBSTITUTE(E67, ";", "")) + 1)</f>
        <v>1</v>
      </c>
      <c r="AA67" s="63" t="s">
        <v>77</v>
      </c>
      <c r="AB67" s="63" t="s">
        <v>1905</v>
      </c>
      <c r="AC67" s="85" t="s">
        <v>2120</v>
      </c>
      <c r="AD67" s="85" t="s">
        <v>1994</v>
      </c>
      <c r="AE67" s="63"/>
    </row>
  </sheetData>
  <autoFilter ref="A1:AE67" xr:uid="{57A00334-29D4-4C55-BD33-941903046EE8}"/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84A1-2E61-4C60-AE53-3C72D0983AC8}">
  <sheetPr codeName="Sheet31">
    <tabColor theme="5" tint="-0.249977111117893"/>
  </sheetPr>
  <dimension ref="A1:AE77"/>
  <sheetViews>
    <sheetView zoomScale="60" zoomScaleNormal="53" workbookViewId="0">
      <pane xSplit="6" topLeftCell="O1" activePane="topRight" state="frozen"/>
      <selection activeCell="AB4" sqref="AB4"/>
      <selection pane="topRight" activeCell="P44" sqref="P44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79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378" x14ac:dyDescent="0.4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t="shared" ref="I2:I42" ca="1" si="0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2010</v>
      </c>
      <c r="S2" s="61" t="s">
        <v>50</v>
      </c>
      <c r="T2" s="61" t="s">
        <v>1688</v>
      </c>
      <c r="U2" s="61" t="e">
        <v>#N/A</v>
      </c>
      <c r="V2" s="61" t="str">
        <f>VLOOKUP(B2,[2]Overall!$A:$D,4,0)</f>
        <v>TELEINFRA NORD</v>
      </c>
      <c r="W2" s="61" t="str">
        <f>VLOOKUP(B2,[3]Sheet1!$A:$B,2,0)</f>
        <v>Martap</v>
      </c>
      <c r="X2" s="88" t="e">
        <f>LEFT(#REF!,3)</f>
        <v>#REF!</v>
      </c>
      <c r="Y2" s="80" t="str">
        <f t="shared" ref="Y2:Y30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30" si="2">IF(OR(E2="", E2="affected_cells=unknown"), "", LEN(E2)-LEN(SUBSTITUTE(E2, ",", "")) + LEN(E2)-LEN(SUBSTITUTE(E2, ";", "")) + 1)</f>
        <v>1</v>
      </c>
      <c r="AA2" s="61" t="s">
        <v>1566</v>
      </c>
      <c r="AB2" s="61" t="s">
        <v>1905</v>
      </c>
      <c r="AC2" s="84" t="s">
        <v>2228</v>
      </c>
      <c r="AD2" s="84" t="s">
        <v>1994</v>
      </c>
      <c r="AE2" s="61"/>
    </row>
    <row r="3" spans="1:31" ht="291" x14ac:dyDescent="0.4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84" t="s">
        <v>2252</v>
      </c>
      <c r="S3" s="61" t="s">
        <v>40</v>
      </c>
      <c r="T3" s="61" t="s">
        <v>2129</v>
      </c>
      <c r="U3" s="61" t="s">
        <v>2129</v>
      </c>
      <c r="V3" s="61" t="str">
        <f>VLOOKUP(B3,[2]Overall!$A:$D,4,0)</f>
        <v>TELEINFRA NORD</v>
      </c>
      <c r="W3" s="61" t="str">
        <f>VLOOKUP(B3,[3]Sheet1!$A:$B,2,0)</f>
        <v>Dogba</v>
      </c>
      <c r="X3" s="88" t="str">
        <f t="shared" ref="X3:X30" si="3">LEFT(B4,3)</f>
        <v>EXN</v>
      </c>
      <c r="Y3" s="80" t="str">
        <f t="shared" ca="1" si="1"/>
        <v>T&gt;72H</v>
      </c>
      <c r="Z3" s="61">
        <f t="shared" si="2"/>
        <v>4</v>
      </c>
      <c r="AA3" s="61" t="s">
        <v>1566</v>
      </c>
      <c r="AB3" s="61" t="s">
        <v>1904</v>
      </c>
      <c r="AC3" s="84" t="s">
        <v>2228</v>
      </c>
      <c r="AD3" s="84" t="s">
        <v>1994</v>
      </c>
      <c r="AE3" s="61"/>
    </row>
    <row r="4" spans="1:31" ht="291" x14ac:dyDescent="0.4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84" t="s">
        <v>2252</v>
      </c>
      <c r="S4" s="61" t="s">
        <v>40</v>
      </c>
      <c r="T4" s="61" t="s">
        <v>2129</v>
      </c>
      <c r="U4" s="61" t="s">
        <v>2129</v>
      </c>
      <c r="V4" s="61" t="str">
        <f>VLOOKUP(B4,[2]Overall!$A:$D,4,0)</f>
        <v>TELEINFRA NORD</v>
      </c>
      <c r="W4" s="61" t="str">
        <f>VLOOKUP(B4,[3]Sheet1!$A:$B,2,0)</f>
        <v>Dogba</v>
      </c>
      <c r="X4" s="88" t="str">
        <f t="shared" si="3"/>
        <v>EXN</v>
      </c>
      <c r="Y4" s="80" t="str">
        <f t="shared" ca="1" si="1"/>
        <v>T&gt;72H</v>
      </c>
      <c r="Z4" s="61">
        <f t="shared" si="2"/>
        <v>3</v>
      </c>
      <c r="AA4" s="61" t="s">
        <v>1566</v>
      </c>
      <c r="AB4" s="61" t="s">
        <v>1904</v>
      </c>
      <c r="AC4" s="84" t="s">
        <v>2228</v>
      </c>
      <c r="AD4" s="84" t="s">
        <v>1994</v>
      </c>
      <c r="AE4" s="61"/>
    </row>
    <row r="5" spans="1:31" ht="131.5" x14ac:dyDescent="0.4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84" t="s">
        <v>2244</v>
      </c>
      <c r="S5" s="61" t="s">
        <v>40</v>
      </c>
      <c r="T5" s="61" t="s">
        <v>1898</v>
      </c>
      <c r="U5" s="61" t="s">
        <v>1898</v>
      </c>
      <c r="V5" s="61" t="str">
        <f>VLOOKUP(B5,[2]Overall!$A:$D,4,0)</f>
        <v>TELEINFRA NORD</v>
      </c>
      <c r="W5" s="61" t="str">
        <f>VLOOKUP(B5,[3]Sheet1!$A:$B,2,0)</f>
        <v>Zigague</v>
      </c>
      <c r="X5" s="88" t="e">
        <f>LEFT(#REF!,3)</f>
        <v>#REF!</v>
      </c>
      <c r="Y5" s="80" t="str">
        <f t="shared" ca="1" si="1"/>
        <v>T&gt;72H</v>
      </c>
      <c r="Z5" s="61">
        <f t="shared" si="2"/>
        <v>1</v>
      </c>
      <c r="AA5" s="61" t="s">
        <v>1566</v>
      </c>
      <c r="AB5" s="61" t="s">
        <v>1904</v>
      </c>
      <c r="AC5" s="84" t="s">
        <v>2228</v>
      </c>
      <c r="AD5" s="84" t="s">
        <v>1994</v>
      </c>
      <c r="AE5" s="61"/>
    </row>
    <row r="6" spans="1:31" ht="131.5" x14ac:dyDescent="0.45">
      <c r="A6" s="61" t="s">
        <v>1834</v>
      </c>
      <c r="B6" s="61" t="s">
        <v>1835</v>
      </c>
      <c r="C6" s="65"/>
      <c r="D6" s="61"/>
      <c r="E6" s="61" t="s">
        <v>39</v>
      </c>
      <c r="F6" s="70" t="s">
        <v>53</v>
      </c>
      <c r="G6" s="70" t="s">
        <v>2121</v>
      </c>
      <c r="H6" s="67">
        <v>46168.908518518518</v>
      </c>
      <c r="I6" s="75">
        <f t="shared" ca="1" si="0"/>
        <v>11.760173842594668</v>
      </c>
      <c r="J6" s="61"/>
      <c r="K6" s="61"/>
      <c r="L6" s="61"/>
      <c r="M6" s="61" t="s">
        <v>1836</v>
      </c>
      <c r="N6" s="61" t="s">
        <v>1837</v>
      </c>
      <c r="O6" s="61"/>
      <c r="P6" s="61"/>
      <c r="Q6" s="61"/>
      <c r="R6" s="61" t="s">
        <v>2080</v>
      </c>
      <c r="S6" s="61" t="s">
        <v>85</v>
      </c>
      <c r="T6" s="61" t="s">
        <v>1899</v>
      </c>
      <c r="U6" s="61" t="s">
        <v>1899</v>
      </c>
      <c r="V6" s="61" t="str">
        <f>VLOOKUP(B6,[2]Overall!$A:$D,4,0)</f>
        <v>H-TELI</v>
      </c>
      <c r="W6" s="61" t="str">
        <f>VLOOKUP(B6,[3]Sheet1!$A:$B,2,0)</f>
        <v>Ebonji</v>
      </c>
      <c r="X6" s="88" t="e">
        <f>LEFT(#REF!,3)</f>
        <v>#REF!</v>
      </c>
      <c r="Y6" s="80" t="str">
        <f t="shared" ca="1" si="1"/>
        <v>T&gt;72H</v>
      </c>
      <c r="Z6" s="61">
        <f t="shared" si="2"/>
        <v>1</v>
      </c>
      <c r="AA6" s="61" t="s">
        <v>1566</v>
      </c>
      <c r="AB6" s="61" t="s">
        <v>1904</v>
      </c>
      <c r="AC6" s="84" t="s">
        <v>2228</v>
      </c>
      <c r="AD6" s="84" t="s">
        <v>1994</v>
      </c>
      <c r="AE6" s="61"/>
    </row>
    <row r="7" spans="1:31" ht="204" x14ac:dyDescent="0.45">
      <c r="A7" s="61" t="s">
        <v>1776</v>
      </c>
      <c r="B7" s="61" t="s">
        <v>1777</v>
      </c>
      <c r="C7" s="65"/>
      <c r="D7" s="61"/>
      <c r="E7" s="61" t="s">
        <v>35</v>
      </c>
      <c r="F7" s="70" t="s">
        <v>53</v>
      </c>
      <c r="G7" s="70" t="s">
        <v>2121</v>
      </c>
      <c r="H7" s="67">
        <v>46169.530451388891</v>
      </c>
      <c r="I7" s="75">
        <f t="shared" ca="1" si="0"/>
        <v>11.138240972220956</v>
      </c>
      <c r="J7" s="61"/>
      <c r="K7" s="61"/>
      <c r="L7" s="61"/>
      <c r="M7" s="61" t="s">
        <v>31</v>
      </c>
      <c r="N7" s="61" t="s">
        <v>1778</v>
      </c>
      <c r="O7" s="61"/>
      <c r="P7" s="61"/>
      <c r="Q7" s="61"/>
      <c r="R7" s="84" t="s">
        <v>2237</v>
      </c>
      <c r="S7" s="61" t="s">
        <v>32</v>
      </c>
      <c r="T7" s="61" t="s">
        <v>1898</v>
      </c>
      <c r="U7" s="61" t="s">
        <v>1898</v>
      </c>
      <c r="V7" s="61" t="str">
        <f>VLOOKUP(B7,[2]Overall!$A:$D,4,0)</f>
        <v xml:space="preserve">I-ENG </v>
      </c>
      <c r="W7" s="61" t="str">
        <f>VLOOKUP(B7,[3]Sheet1!$A:$B,2,0)</f>
        <v>Bafmeng</v>
      </c>
      <c r="X7" s="88" t="e">
        <f>LEFT(#REF!,3)</f>
        <v>#REF!</v>
      </c>
      <c r="Y7" s="80" t="str">
        <f t="shared" ca="1" si="1"/>
        <v>T&gt;72H</v>
      </c>
      <c r="Z7" s="61">
        <f t="shared" si="2"/>
        <v>3</v>
      </c>
      <c r="AA7" s="61" t="s">
        <v>1566</v>
      </c>
      <c r="AB7" s="61" t="s">
        <v>1904</v>
      </c>
      <c r="AC7" s="84" t="s">
        <v>2228</v>
      </c>
      <c r="AD7" s="84" t="s">
        <v>1994</v>
      </c>
      <c r="AE7" s="61"/>
    </row>
    <row r="8" spans="1:31" ht="175" x14ac:dyDescent="0.45">
      <c r="A8" s="61" t="s">
        <v>1581</v>
      </c>
      <c r="B8" s="61" t="s">
        <v>1582</v>
      </c>
      <c r="C8" s="65"/>
      <c r="D8" s="61"/>
      <c r="E8" s="61" t="s">
        <v>1937</v>
      </c>
      <c r="F8" s="70" t="s">
        <v>53</v>
      </c>
      <c r="G8" s="70" t="s">
        <v>2121</v>
      </c>
      <c r="H8" s="67">
        <v>46172.450324074074</v>
      </c>
      <c r="I8" s="75">
        <f t="shared" ca="1" si="0"/>
        <v>8.2183682870381745</v>
      </c>
      <c r="J8" s="61"/>
      <c r="K8" s="61"/>
      <c r="L8" s="61"/>
      <c r="M8" s="61" t="s">
        <v>41</v>
      </c>
      <c r="N8" s="61" t="s">
        <v>1938</v>
      </c>
      <c r="O8" s="61"/>
      <c r="P8" s="61"/>
      <c r="Q8" s="61"/>
      <c r="R8" s="84" t="s">
        <v>2238</v>
      </c>
      <c r="S8" s="61" t="s">
        <v>32</v>
      </c>
      <c r="T8" s="61" t="s">
        <v>1840</v>
      </c>
      <c r="U8" s="61" t="s">
        <v>1840</v>
      </c>
      <c r="V8" s="61" t="str">
        <f>VLOOKUP(B8,[2]Overall!$A:$D,4,0)</f>
        <v xml:space="preserve">I-ENG </v>
      </c>
      <c r="W8" s="61" t="str">
        <f>VLOOKUP(B8,[3]Sheet1!$A:$B,2,0)</f>
        <v>Batibo</v>
      </c>
      <c r="X8" s="88" t="str">
        <f t="shared" si="3"/>
        <v>EXN</v>
      </c>
      <c r="Y8" s="80" t="str">
        <f t="shared" ca="1" si="1"/>
        <v>T&gt;72H</v>
      </c>
      <c r="Z8" s="61">
        <f t="shared" si="2"/>
        <v>1</v>
      </c>
      <c r="AA8" s="61" t="s">
        <v>1566</v>
      </c>
      <c r="AB8" s="61" t="s">
        <v>1904</v>
      </c>
      <c r="AC8" s="84" t="s">
        <v>2228</v>
      </c>
      <c r="AD8" s="84" t="s">
        <v>1994</v>
      </c>
      <c r="AE8" s="61"/>
    </row>
    <row r="9" spans="1:31" ht="102.5" x14ac:dyDescent="0.45">
      <c r="A9" s="61" t="s">
        <v>1930</v>
      </c>
      <c r="B9" s="61" t="s">
        <v>1931</v>
      </c>
      <c r="C9" s="65"/>
      <c r="D9" s="61"/>
      <c r="E9" s="61" t="s">
        <v>34</v>
      </c>
      <c r="F9" s="70" t="s">
        <v>53</v>
      </c>
      <c r="G9" s="70" t="s">
        <v>2121</v>
      </c>
      <c r="H9" s="67">
        <v>46172.534074074072</v>
      </c>
      <c r="I9" s="75">
        <f t="shared" ca="1" si="0"/>
        <v>8.1346182870402117</v>
      </c>
      <c r="J9" s="61"/>
      <c r="K9" s="61"/>
      <c r="L9" s="61"/>
      <c r="M9" s="61" t="s">
        <v>1929</v>
      </c>
      <c r="N9" s="61" t="s">
        <v>1932</v>
      </c>
      <c r="O9" s="61"/>
      <c r="P9" s="61"/>
      <c r="Q9" s="61"/>
      <c r="R9" s="61" t="s">
        <v>2079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Mazera</v>
      </c>
      <c r="X9" s="88" t="str">
        <f t="shared" si="3"/>
        <v>ADM</v>
      </c>
      <c r="Y9" s="80" t="str">
        <f t="shared" ca="1" si="1"/>
        <v>T&gt;72H</v>
      </c>
      <c r="Z9" s="61">
        <f t="shared" si="2"/>
        <v>1</v>
      </c>
      <c r="AA9" s="61" t="s">
        <v>1566</v>
      </c>
      <c r="AB9" s="61" t="s">
        <v>1904</v>
      </c>
      <c r="AC9" s="84" t="s">
        <v>2228</v>
      </c>
      <c r="AD9" s="84" t="s">
        <v>1994</v>
      </c>
      <c r="AE9" s="61"/>
    </row>
    <row r="10" spans="1:31" ht="218.5" x14ac:dyDescent="0.45">
      <c r="A10" s="63" t="s">
        <v>1920</v>
      </c>
      <c r="B10" s="63" t="s">
        <v>1921</v>
      </c>
      <c r="C10" s="68"/>
      <c r="D10" s="63"/>
      <c r="E10" s="63" t="s">
        <v>1922</v>
      </c>
      <c r="F10" s="71" t="s">
        <v>53</v>
      </c>
      <c r="G10" s="71" t="s">
        <v>2121</v>
      </c>
      <c r="H10" s="69">
        <v>46172.580775462964</v>
      </c>
      <c r="I10" s="77">
        <f t="shared" ca="1" si="0"/>
        <v>8.0879168981482508</v>
      </c>
      <c r="J10" s="63"/>
      <c r="K10" s="63"/>
      <c r="L10" s="63"/>
      <c r="M10" s="63" t="s">
        <v>31</v>
      </c>
      <c r="N10" s="63" t="s">
        <v>1923</v>
      </c>
      <c r="O10" s="63"/>
      <c r="P10" s="63" t="s">
        <v>2302</v>
      </c>
      <c r="Q10" s="63"/>
      <c r="R10" s="85" t="s">
        <v>2301</v>
      </c>
      <c r="S10" s="63" t="s">
        <v>40</v>
      </c>
      <c r="T10" s="63" t="s">
        <v>2300</v>
      </c>
      <c r="U10" s="63" t="s">
        <v>2300</v>
      </c>
      <c r="V10" s="63" t="str">
        <f>VLOOKUP(B10,[2]Overall!$A:$D,4,0)</f>
        <v>TELEINFRA NORD</v>
      </c>
      <c r="W10" s="63" t="str">
        <f>VLOOKUP(B10,[3]Sheet1!$A:$B,2,0)</f>
        <v>Mbidou</v>
      </c>
      <c r="X10" s="89" t="str">
        <f t="shared" si="3"/>
        <v>ADM</v>
      </c>
      <c r="Y10" s="81" t="str">
        <f t="shared" ca="1" si="1"/>
        <v>T&gt;72H</v>
      </c>
      <c r="Z10" s="63">
        <f t="shared" si="2"/>
        <v>3</v>
      </c>
      <c r="AA10" s="63" t="s">
        <v>77</v>
      </c>
      <c r="AB10" s="63" t="s">
        <v>1904</v>
      </c>
      <c r="AC10" s="85" t="s">
        <v>2228</v>
      </c>
      <c r="AD10" s="85" t="s">
        <v>1994</v>
      </c>
      <c r="AE10" s="63"/>
    </row>
    <row r="11" spans="1:31" ht="218.5" x14ac:dyDescent="0.45">
      <c r="A11" s="63" t="s">
        <v>1920</v>
      </c>
      <c r="B11" s="63" t="s">
        <v>1921</v>
      </c>
      <c r="C11" s="68"/>
      <c r="D11" s="63"/>
      <c r="E11" s="63" t="s">
        <v>1922</v>
      </c>
      <c r="F11" s="71" t="s">
        <v>53</v>
      </c>
      <c r="G11" s="71" t="s">
        <v>2121</v>
      </c>
      <c r="H11" s="69">
        <v>46172.588692129626</v>
      </c>
      <c r="I11" s="77">
        <f t="shared" ca="1" si="0"/>
        <v>8.0800002314863377</v>
      </c>
      <c r="J11" s="63"/>
      <c r="K11" s="63"/>
      <c r="L11" s="63"/>
      <c r="M11" s="63" t="s">
        <v>1713</v>
      </c>
      <c r="N11" s="63" t="s">
        <v>1952</v>
      </c>
      <c r="O11" s="63"/>
      <c r="P11" s="63" t="s">
        <v>2302</v>
      </c>
      <c r="Q11" s="63"/>
      <c r="R11" s="85" t="s">
        <v>2301</v>
      </c>
      <c r="S11" s="63" t="s">
        <v>40</v>
      </c>
      <c r="T11" s="63" t="s">
        <v>2300</v>
      </c>
      <c r="U11" s="63" t="s">
        <v>2300</v>
      </c>
      <c r="V11" s="63" t="str">
        <f>VLOOKUP(B11,[2]Overall!$A:$D,4,0)</f>
        <v>TELEINFRA NORD</v>
      </c>
      <c r="W11" s="63" t="str">
        <f>VLOOKUP(B11,[3]Sheet1!$A:$B,2,0)</f>
        <v>Mbidou</v>
      </c>
      <c r="X11" s="89" t="str">
        <f t="shared" si="3"/>
        <v>NRD</v>
      </c>
      <c r="Y11" s="81" t="str">
        <f t="shared" ca="1" si="1"/>
        <v>T&gt;72H</v>
      </c>
      <c r="Z11" s="63">
        <f t="shared" si="2"/>
        <v>3</v>
      </c>
      <c r="AA11" s="63" t="s">
        <v>77</v>
      </c>
      <c r="AB11" s="63" t="s">
        <v>1904</v>
      </c>
      <c r="AC11" s="85" t="s">
        <v>2228</v>
      </c>
      <c r="AD11" s="85" t="s">
        <v>1994</v>
      </c>
      <c r="AE11" s="63"/>
    </row>
    <row r="12" spans="1:31" ht="378" x14ac:dyDescent="0.45">
      <c r="A12" s="61" t="s">
        <v>1773</v>
      </c>
      <c r="B12" s="61" t="s">
        <v>1774</v>
      </c>
      <c r="C12" s="65"/>
      <c r="D12" s="61"/>
      <c r="E12" s="61" t="s">
        <v>1956</v>
      </c>
      <c r="F12" s="70" t="s">
        <v>53</v>
      </c>
      <c r="G12" s="70" t="s">
        <v>2121</v>
      </c>
      <c r="H12" s="67">
        <v>46172.719837962963</v>
      </c>
      <c r="I12" s="75">
        <f t="shared" ca="1" si="0"/>
        <v>7.948854398149706</v>
      </c>
      <c r="J12" s="61"/>
      <c r="K12" s="61"/>
      <c r="L12" s="61"/>
      <c r="M12" s="61" t="s">
        <v>31</v>
      </c>
      <c r="N12" s="61" t="s">
        <v>1957</v>
      </c>
      <c r="O12" s="61"/>
      <c r="P12" s="61"/>
      <c r="Q12" s="61"/>
      <c r="R12" s="61" t="s">
        <v>2137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Hamalade</v>
      </c>
      <c r="X12" s="88" t="str">
        <f t="shared" si="3"/>
        <v>NRD</v>
      </c>
      <c r="Y12" s="80" t="str">
        <f t="shared" ca="1" si="1"/>
        <v>T&gt;72H</v>
      </c>
      <c r="Z12" s="61">
        <f t="shared" si="2"/>
        <v>3</v>
      </c>
      <c r="AA12" s="61" t="s">
        <v>1566</v>
      </c>
      <c r="AB12" s="61" t="s">
        <v>1904</v>
      </c>
      <c r="AC12" s="84" t="s">
        <v>2228</v>
      </c>
      <c r="AD12" s="84" t="s">
        <v>1994</v>
      </c>
      <c r="AE12" s="61"/>
    </row>
    <row r="13" spans="1:31" ht="378" x14ac:dyDescent="0.45">
      <c r="A13" s="61" t="s">
        <v>1773</v>
      </c>
      <c r="B13" s="61" t="s">
        <v>1774</v>
      </c>
      <c r="C13" s="65"/>
      <c r="D13" s="61"/>
      <c r="E13" s="61" t="s">
        <v>35</v>
      </c>
      <c r="F13" s="70" t="s">
        <v>53</v>
      </c>
      <c r="G13" s="70" t="s">
        <v>2121</v>
      </c>
      <c r="H13" s="67">
        <v>46172.719837962963</v>
      </c>
      <c r="I13" s="75">
        <f t="shared" ca="1" si="0"/>
        <v>7.948854398149706</v>
      </c>
      <c r="J13" s="61"/>
      <c r="K13" s="61"/>
      <c r="L13" s="61"/>
      <c r="M13" s="61" t="s">
        <v>31</v>
      </c>
      <c r="N13" s="61" t="s">
        <v>1775</v>
      </c>
      <c r="O13" s="61"/>
      <c r="P13" s="61"/>
      <c r="Q13" s="61"/>
      <c r="R13" s="61" t="s">
        <v>2137</v>
      </c>
      <c r="S13" s="61" t="s">
        <v>40</v>
      </c>
      <c r="T13" s="61" t="s">
        <v>1898</v>
      </c>
      <c r="U13" s="61" t="s">
        <v>1898</v>
      </c>
      <c r="V13" s="61" t="str">
        <f>VLOOKUP(B13,[2]Overall!$A:$D,4,0)</f>
        <v>TELEINFRA NORD</v>
      </c>
      <c r="W13" s="61" t="str">
        <f>VLOOKUP(B13,[3]Sheet1!$A:$B,2,0)</f>
        <v>Hamalade</v>
      </c>
      <c r="X13" s="88" t="str">
        <f t="shared" si="3"/>
        <v>NRD</v>
      </c>
      <c r="Y13" s="80" t="str">
        <f t="shared" ca="1" si="1"/>
        <v>T&gt;72H</v>
      </c>
      <c r="Z13" s="61">
        <f t="shared" si="2"/>
        <v>3</v>
      </c>
      <c r="AA13" s="61" t="s">
        <v>1566</v>
      </c>
      <c r="AB13" s="61" t="s">
        <v>1904</v>
      </c>
      <c r="AC13" s="84" t="s">
        <v>2228</v>
      </c>
      <c r="AD13" s="84" t="s">
        <v>1994</v>
      </c>
      <c r="AE13" s="61"/>
    </row>
    <row r="14" spans="1:31" ht="378" x14ac:dyDescent="0.45">
      <c r="A14" s="61" t="s">
        <v>1773</v>
      </c>
      <c r="B14" s="61" t="s">
        <v>1774</v>
      </c>
      <c r="C14" s="65"/>
      <c r="D14" s="61"/>
      <c r="E14" s="61" t="s">
        <v>1954</v>
      </c>
      <c r="F14" s="70" t="s">
        <v>53</v>
      </c>
      <c r="G14" s="70" t="s">
        <v>2121</v>
      </c>
      <c r="H14" s="67">
        <v>46172.724965277775</v>
      </c>
      <c r="I14" s="75">
        <f t="shared" ca="1" si="0"/>
        <v>7.943727083336853</v>
      </c>
      <c r="J14" s="61"/>
      <c r="K14" s="61"/>
      <c r="L14" s="61"/>
      <c r="M14" s="61" t="s">
        <v>1750</v>
      </c>
      <c r="N14" s="61" t="s">
        <v>1751</v>
      </c>
      <c r="O14" s="61"/>
      <c r="P14" s="61"/>
      <c r="Q14" s="61"/>
      <c r="R14" s="61" t="s">
        <v>2137</v>
      </c>
      <c r="S14" s="61" t="s">
        <v>40</v>
      </c>
      <c r="T14" s="61" t="s">
        <v>1898</v>
      </c>
      <c r="U14" s="61" t="s">
        <v>1898</v>
      </c>
      <c r="V14" s="61" t="str">
        <f>VLOOKUP(B14,[2]Overall!$A:$D,4,0)</f>
        <v>TELEINFRA NORD</v>
      </c>
      <c r="W14" s="61" t="str">
        <f>VLOOKUP(B14,[3]Sheet1!$A:$B,2,0)</f>
        <v>Hamalade</v>
      </c>
      <c r="X14" s="88" t="str">
        <f t="shared" si="3"/>
        <v>NRD</v>
      </c>
      <c r="Y14" s="80" t="str">
        <f t="shared" ca="1" si="1"/>
        <v>T&gt;72H</v>
      </c>
      <c r="Z14" s="61">
        <f t="shared" si="2"/>
        <v>1</v>
      </c>
      <c r="AA14" s="61" t="s">
        <v>1566</v>
      </c>
      <c r="AB14" s="61" t="s">
        <v>1904</v>
      </c>
      <c r="AC14" s="84" t="s">
        <v>2228</v>
      </c>
      <c r="AD14" s="84" t="s">
        <v>1994</v>
      </c>
      <c r="AE14" s="61"/>
    </row>
    <row r="15" spans="1:31" ht="378" x14ac:dyDescent="0.45">
      <c r="A15" s="61" t="s">
        <v>1773</v>
      </c>
      <c r="B15" s="61" t="s">
        <v>1774</v>
      </c>
      <c r="C15" s="65"/>
      <c r="D15" s="61"/>
      <c r="E15" s="61" t="s">
        <v>1955</v>
      </c>
      <c r="F15" s="70" t="s">
        <v>53</v>
      </c>
      <c r="G15" s="70" t="s">
        <v>2121</v>
      </c>
      <c r="H15" s="67">
        <v>46172.724965277775</v>
      </c>
      <c r="I15" s="75">
        <f t="shared" ca="1" si="0"/>
        <v>7.943727083336853</v>
      </c>
      <c r="J15" s="61"/>
      <c r="K15" s="61"/>
      <c r="L15" s="61"/>
      <c r="M15" s="61" t="s">
        <v>1750</v>
      </c>
      <c r="N15" s="61" t="s">
        <v>1751</v>
      </c>
      <c r="O15" s="61"/>
      <c r="P15" s="61"/>
      <c r="Q15" s="61"/>
      <c r="R15" s="61" t="s">
        <v>2137</v>
      </c>
      <c r="S15" s="61" t="s">
        <v>40</v>
      </c>
      <c r="T15" s="61" t="s">
        <v>1898</v>
      </c>
      <c r="U15" s="61" t="s">
        <v>1898</v>
      </c>
      <c r="V15" s="61" t="str">
        <f>VLOOKUP(B15,[2]Overall!$A:$D,4,0)</f>
        <v>TELEINFRA NORD</v>
      </c>
      <c r="W15" s="61" t="str">
        <f>VLOOKUP(B15,[3]Sheet1!$A:$B,2,0)</f>
        <v>Hamalade</v>
      </c>
      <c r="X15" s="88" t="str">
        <f t="shared" si="3"/>
        <v>NRD</v>
      </c>
      <c r="Y15" s="80" t="str">
        <f t="shared" ca="1" si="1"/>
        <v>T&gt;72H</v>
      </c>
      <c r="Z15" s="61">
        <f t="shared" si="2"/>
        <v>1</v>
      </c>
      <c r="AA15" s="61" t="s">
        <v>1566</v>
      </c>
      <c r="AB15" s="61" t="s">
        <v>1904</v>
      </c>
      <c r="AC15" s="84" t="s">
        <v>2228</v>
      </c>
      <c r="AD15" s="84" t="s">
        <v>1994</v>
      </c>
      <c r="AE15" s="61"/>
    </row>
    <row r="16" spans="1:31" ht="378" x14ac:dyDescent="0.45">
      <c r="A16" s="61" t="s">
        <v>1773</v>
      </c>
      <c r="B16" s="61" t="s">
        <v>1774</v>
      </c>
      <c r="C16" s="65"/>
      <c r="D16" s="61"/>
      <c r="E16" s="61" t="s">
        <v>1953</v>
      </c>
      <c r="F16" s="70" t="s">
        <v>53</v>
      </c>
      <c r="G16" s="70" t="s">
        <v>2121</v>
      </c>
      <c r="H16" s="67">
        <v>46172.724965277775</v>
      </c>
      <c r="I16" s="75">
        <f t="shared" ca="1" si="0"/>
        <v>7.943727083336853</v>
      </c>
      <c r="J16" s="61"/>
      <c r="K16" s="61"/>
      <c r="L16" s="61"/>
      <c r="M16" s="61" t="s">
        <v>1750</v>
      </c>
      <c r="N16" s="61" t="s">
        <v>1751</v>
      </c>
      <c r="O16" s="61"/>
      <c r="P16" s="61"/>
      <c r="Q16" s="61"/>
      <c r="R16" s="61" t="s">
        <v>2137</v>
      </c>
      <c r="S16" s="61" t="s">
        <v>40</v>
      </c>
      <c r="T16" s="61" t="s">
        <v>1898</v>
      </c>
      <c r="U16" s="61" t="s">
        <v>1898</v>
      </c>
      <c r="V16" s="61" t="str">
        <f>VLOOKUP(B16,[2]Overall!$A:$D,4,0)</f>
        <v>TELEINFRA NORD</v>
      </c>
      <c r="W16" s="61" t="str">
        <f>VLOOKUP(B16,[3]Sheet1!$A:$B,2,0)</f>
        <v>Hamalade</v>
      </c>
      <c r="X16" s="88" t="str">
        <f t="shared" si="3"/>
        <v>NRO</v>
      </c>
      <c r="Y16" s="80" t="str">
        <f t="shared" ca="1" si="1"/>
        <v>T&gt;72H</v>
      </c>
      <c r="Z16" s="61">
        <f t="shared" si="2"/>
        <v>1</v>
      </c>
      <c r="AA16" s="61" t="s">
        <v>1566</v>
      </c>
      <c r="AB16" s="61" t="s">
        <v>1904</v>
      </c>
      <c r="AC16" s="84" t="s">
        <v>2228</v>
      </c>
      <c r="AD16" s="84" t="s">
        <v>1994</v>
      </c>
      <c r="AE16" s="61"/>
    </row>
    <row r="17" spans="1:31" ht="363.5" x14ac:dyDescent="0.45">
      <c r="A17" s="61" t="s">
        <v>1724</v>
      </c>
      <c r="B17" s="61" t="s">
        <v>1725</v>
      </c>
      <c r="C17" s="65"/>
      <c r="D17" s="61"/>
      <c r="E17" s="61" t="s">
        <v>1726</v>
      </c>
      <c r="F17" s="70" t="s">
        <v>53</v>
      </c>
      <c r="G17" s="70" t="s">
        <v>2121</v>
      </c>
      <c r="H17" s="67">
        <v>46172.76761574074</v>
      </c>
      <c r="I17" s="75">
        <f t="shared" ca="1" si="0"/>
        <v>7.9010766203718958</v>
      </c>
      <c r="J17" s="61"/>
      <c r="K17" s="61"/>
      <c r="L17" s="61"/>
      <c r="M17" s="61" t="s">
        <v>33</v>
      </c>
      <c r="N17" s="61" t="s">
        <v>1635</v>
      </c>
      <c r="O17" s="61"/>
      <c r="P17" s="61"/>
      <c r="Q17" s="61"/>
      <c r="R17" s="84" t="s">
        <v>2236</v>
      </c>
      <c r="S17" s="61" t="s">
        <v>32</v>
      </c>
      <c r="T17" s="61" t="s">
        <v>1898</v>
      </c>
      <c r="U17" s="61" t="s">
        <v>1898</v>
      </c>
      <c r="V17" s="61" t="str">
        <f>VLOOKUP(B17,[2]Overall!$A:$D,4,0)</f>
        <v xml:space="preserve">I-ENG </v>
      </c>
      <c r="W17" s="61" t="str">
        <f>VLOOKUP(B17,[3]Sheet1!$A:$B,2,0)</f>
        <v>Mbakong</v>
      </c>
      <c r="X17" s="88" t="str">
        <f t="shared" si="3"/>
        <v>NRD</v>
      </c>
      <c r="Y17" s="80" t="str">
        <f t="shared" ca="1" si="1"/>
        <v>T&gt;72H</v>
      </c>
      <c r="Z17" s="61">
        <f t="shared" si="2"/>
        <v>2</v>
      </c>
      <c r="AA17" s="61" t="s">
        <v>1566</v>
      </c>
      <c r="AB17" s="61" t="s">
        <v>1904</v>
      </c>
      <c r="AC17" s="84" t="s">
        <v>2228</v>
      </c>
      <c r="AD17" s="84" t="s">
        <v>1994</v>
      </c>
      <c r="AE17" s="61"/>
    </row>
    <row r="18" spans="1:31" ht="88" x14ac:dyDescent="0.45">
      <c r="A18" s="63" t="s">
        <v>1969</v>
      </c>
      <c r="B18" s="63" t="s">
        <v>1970</v>
      </c>
      <c r="C18" s="68"/>
      <c r="D18" s="63"/>
      <c r="E18" s="63" t="s">
        <v>1971</v>
      </c>
      <c r="F18" s="71" t="s">
        <v>53</v>
      </c>
      <c r="G18" s="71" t="s">
        <v>2121</v>
      </c>
      <c r="H18" s="69">
        <v>46173.005960648145</v>
      </c>
      <c r="I18" s="77">
        <f t="shared" ca="1" si="0"/>
        <v>7.6627317129677976</v>
      </c>
      <c r="J18" s="63"/>
      <c r="K18" s="63"/>
      <c r="L18" s="63"/>
      <c r="M18" s="63" t="s">
        <v>46</v>
      </c>
      <c r="N18" s="63" t="s">
        <v>1972</v>
      </c>
      <c r="O18" s="63"/>
      <c r="P18" s="63"/>
      <c r="Q18" s="63"/>
      <c r="R18" s="85" t="s">
        <v>2250</v>
      </c>
      <c r="S18" s="63" t="s">
        <v>40</v>
      </c>
      <c r="T18" s="85" t="s">
        <v>1898</v>
      </c>
      <c r="U18" s="63" t="s">
        <v>1898</v>
      </c>
      <c r="V18" s="63" t="str">
        <f>VLOOKUP(B18,[2]Overall!$A:$D,4,0)</f>
        <v>TELEINFRA NORD</v>
      </c>
      <c r="W18" s="63" t="str">
        <f>VLOOKUP(B18,[3]Sheet1!$A:$B,2,0)</f>
        <v>Gaba</v>
      </c>
      <c r="X18" s="89" t="e">
        <f>LEFT(#REF!,3)</f>
        <v>#REF!</v>
      </c>
      <c r="Y18" s="81" t="str">
        <f t="shared" ca="1" si="1"/>
        <v>T&gt;72H</v>
      </c>
      <c r="Z18" s="63">
        <f t="shared" si="2"/>
        <v>1</v>
      </c>
      <c r="AA18" s="63" t="s">
        <v>77</v>
      </c>
      <c r="AB18" s="63" t="s">
        <v>1904</v>
      </c>
      <c r="AC18" s="85" t="s">
        <v>2228</v>
      </c>
      <c r="AD18" s="85" t="s">
        <v>1994</v>
      </c>
      <c r="AE18" s="63"/>
    </row>
    <row r="19" spans="1:31" ht="102.5" x14ac:dyDescent="0.45">
      <c r="A19" s="61" t="s">
        <v>1678</v>
      </c>
      <c r="B19" s="61" t="s">
        <v>1679</v>
      </c>
      <c r="C19" s="65"/>
      <c r="D19" s="61"/>
      <c r="E19" s="61" t="s">
        <v>35</v>
      </c>
      <c r="F19" s="70" t="s">
        <v>53</v>
      </c>
      <c r="G19" s="70" t="s">
        <v>2121</v>
      </c>
      <c r="H19" s="67">
        <v>46173.667939814812</v>
      </c>
      <c r="I19" s="75">
        <f t="shared" ca="1" si="0"/>
        <v>7.0007525463006459</v>
      </c>
      <c r="J19" s="61"/>
      <c r="K19" s="61"/>
      <c r="L19" s="61"/>
      <c r="M19" s="61" t="s">
        <v>31</v>
      </c>
      <c r="N19" s="61" t="s">
        <v>1680</v>
      </c>
      <c r="O19" s="61"/>
      <c r="P19" s="61"/>
      <c r="Q19" s="61"/>
      <c r="R19" s="84" t="s">
        <v>2233</v>
      </c>
      <c r="S19" s="61" t="s">
        <v>32</v>
      </c>
      <c r="T19" s="84" t="s">
        <v>2145</v>
      </c>
      <c r="U19" s="84" t="s">
        <v>2145</v>
      </c>
      <c r="V19" s="61" t="str">
        <f>VLOOKUP(B19,[2]Overall!$A:$D,4,0)</f>
        <v xml:space="preserve">I-ENG </v>
      </c>
      <c r="W19" s="61" t="str">
        <f>VLOOKUP(B19,[3]Sheet1!$A:$B,2,0)</f>
        <v>Babessi</v>
      </c>
      <c r="X19" s="88" t="str">
        <f t="shared" si="3"/>
        <v>EXN</v>
      </c>
      <c r="Y19" s="80" t="str">
        <f t="shared" ca="1" si="1"/>
        <v>T&gt;72H</v>
      </c>
      <c r="Z19" s="61">
        <f t="shared" si="2"/>
        <v>3</v>
      </c>
      <c r="AA19" s="61" t="s">
        <v>1566</v>
      </c>
      <c r="AB19" s="61" t="s">
        <v>1904</v>
      </c>
      <c r="AC19" s="84" t="s">
        <v>2228</v>
      </c>
      <c r="AD19" s="84" t="s">
        <v>1994</v>
      </c>
      <c r="AE19" s="61"/>
    </row>
    <row r="20" spans="1:31" ht="160.5" x14ac:dyDescent="0.45">
      <c r="A20" s="61" t="s">
        <v>1727</v>
      </c>
      <c r="B20" s="61" t="s">
        <v>1728</v>
      </c>
      <c r="C20" s="65"/>
      <c r="D20" s="61"/>
      <c r="E20" s="61" t="s">
        <v>1729</v>
      </c>
      <c r="F20" s="70" t="s">
        <v>53</v>
      </c>
      <c r="G20" s="70" t="s">
        <v>2121</v>
      </c>
      <c r="H20" s="67">
        <v>46173.749571759261</v>
      </c>
      <c r="I20" s="75">
        <f t="shared" ca="1" si="0"/>
        <v>6.9191206018513185</v>
      </c>
      <c r="J20" s="61"/>
      <c r="K20" s="61"/>
      <c r="L20" s="61"/>
      <c r="M20" s="61" t="s">
        <v>1730</v>
      </c>
      <c r="N20" s="61" t="s">
        <v>1731</v>
      </c>
      <c r="O20" s="61"/>
      <c r="P20" s="61"/>
      <c r="Q20" s="61"/>
      <c r="R20" s="84" t="s">
        <v>2245</v>
      </c>
      <c r="S20" s="61" t="s">
        <v>40</v>
      </c>
      <c r="T20" s="61" t="s">
        <v>1885</v>
      </c>
      <c r="U20" s="61" t="s">
        <v>1885</v>
      </c>
      <c r="V20" s="61" t="str">
        <f>VLOOKUP(B20,[2]Overall!$A:$D,4,0)</f>
        <v>TELEINFRA NORD</v>
      </c>
      <c r="W20" s="61" t="str">
        <f>VLOOKUP(B20,[3]Sheet1!$A:$B,2,0)</f>
        <v>Kuruda</v>
      </c>
      <c r="X20" s="88" t="str">
        <f t="shared" si="3"/>
        <v>OST</v>
      </c>
      <c r="Y20" s="80" t="str">
        <f t="shared" ca="1" si="1"/>
        <v>T&gt;72H</v>
      </c>
      <c r="Z20" s="61">
        <f t="shared" si="2"/>
        <v>2</v>
      </c>
      <c r="AA20" s="61" t="s">
        <v>1566</v>
      </c>
      <c r="AB20" s="61" t="s">
        <v>1904</v>
      </c>
      <c r="AC20" s="84" t="s">
        <v>2228</v>
      </c>
      <c r="AD20" s="84" t="s">
        <v>1994</v>
      </c>
      <c r="AE20" s="61"/>
    </row>
    <row r="21" spans="1:31" ht="146" x14ac:dyDescent="0.45">
      <c r="A21" s="61" t="s">
        <v>1981</v>
      </c>
      <c r="B21" s="61" t="s">
        <v>1982</v>
      </c>
      <c r="C21" s="65"/>
      <c r="D21" s="61"/>
      <c r="E21" s="61" t="s">
        <v>39</v>
      </c>
      <c r="F21" s="70" t="s">
        <v>53</v>
      </c>
      <c r="G21" s="70" t="s">
        <v>2121</v>
      </c>
      <c r="H21" s="67">
        <v>46173.814502314817</v>
      </c>
      <c r="I21" s="75">
        <f t="shared" ca="1" si="0"/>
        <v>6.8541900462951162</v>
      </c>
      <c r="J21" s="61"/>
      <c r="K21" s="61"/>
      <c r="L21" s="61"/>
      <c r="M21" s="61" t="s">
        <v>1686</v>
      </c>
      <c r="N21" s="61" t="s">
        <v>1983</v>
      </c>
      <c r="O21" s="61"/>
      <c r="P21" s="61"/>
      <c r="Q21" s="61"/>
      <c r="R21" s="84" t="s">
        <v>2240</v>
      </c>
      <c r="S21" s="61" t="s">
        <v>71</v>
      </c>
      <c r="T21" s="61" t="s">
        <v>1902</v>
      </c>
      <c r="U21" s="61" t="s">
        <v>1896</v>
      </c>
      <c r="V21" s="61" t="str">
        <f>VLOOKUP(B21,[2]Overall!$A:$D,4,0)</f>
        <v>H-TELI</v>
      </c>
      <c r="W21" s="61" t="str">
        <f>VLOOKUP(B21,[3]Sheet1!$A:$B,2,0)</f>
        <v>Santchou</v>
      </c>
      <c r="X21" s="88" t="str">
        <f t="shared" si="3"/>
        <v>OST</v>
      </c>
      <c r="Y21" s="80" t="str">
        <f t="shared" ca="1" si="1"/>
        <v>T&gt;72H</v>
      </c>
      <c r="Z21" s="61">
        <f t="shared" si="2"/>
        <v>1</v>
      </c>
      <c r="AA21" s="61" t="s">
        <v>1566</v>
      </c>
      <c r="AB21" s="61" t="s">
        <v>1904</v>
      </c>
      <c r="AC21" s="84" t="s">
        <v>2228</v>
      </c>
      <c r="AD21" s="84" t="s">
        <v>1994</v>
      </c>
      <c r="AE21" s="61"/>
    </row>
    <row r="22" spans="1:31" ht="146" x14ac:dyDescent="0.45">
      <c r="A22" s="61" t="s">
        <v>1981</v>
      </c>
      <c r="B22" s="61" t="s">
        <v>1982</v>
      </c>
      <c r="C22" s="65"/>
      <c r="D22" s="61"/>
      <c r="E22" s="61" t="s">
        <v>1988</v>
      </c>
      <c r="F22" s="70" t="s">
        <v>53</v>
      </c>
      <c r="G22" s="70" t="s">
        <v>2121</v>
      </c>
      <c r="H22" s="67">
        <v>46173.819432870368</v>
      </c>
      <c r="I22" s="75">
        <f t="shared" ca="1" si="0"/>
        <v>6.8492594907438615</v>
      </c>
      <c r="J22" s="61"/>
      <c r="K22" s="61"/>
      <c r="L22" s="61"/>
      <c r="M22" s="61" t="s">
        <v>41</v>
      </c>
      <c r="N22" s="61" t="s">
        <v>1989</v>
      </c>
      <c r="O22" s="61"/>
      <c r="P22" s="61"/>
      <c r="Q22" s="61"/>
      <c r="R22" s="84" t="s">
        <v>2240</v>
      </c>
      <c r="S22" s="61" t="s">
        <v>71</v>
      </c>
      <c r="T22" s="61" t="s">
        <v>1902</v>
      </c>
      <c r="U22" s="61" t="s">
        <v>1896</v>
      </c>
      <c r="V22" s="61" t="str">
        <f>VLOOKUP(B22,[2]Overall!$A:$D,4,0)</f>
        <v>H-TELI</v>
      </c>
      <c r="W22" s="61" t="str">
        <f>VLOOKUP(B22,[3]Sheet1!$A:$B,2,0)</f>
        <v>Santchou</v>
      </c>
      <c r="X22" s="88" t="str">
        <f t="shared" si="3"/>
        <v>NRO</v>
      </c>
      <c r="Y22" s="80" t="str">
        <f t="shared" ca="1" si="1"/>
        <v>T&gt;72H</v>
      </c>
      <c r="Z22" s="61">
        <f t="shared" si="2"/>
        <v>1</v>
      </c>
      <c r="AA22" s="61" t="s">
        <v>1566</v>
      </c>
      <c r="AB22" s="61" t="s">
        <v>1904</v>
      </c>
      <c r="AC22" s="84" t="s">
        <v>2228</v>
      </c>
      <c r="AD22" s="84" t="s">
        <v>1994</v>
      </c>
      <c r="AE22" s="61"/>
    </row>
    <row r="23" spans="1:31" ht="160.5" x14ac:dyDescent="0.45">
      <c r="A23" s="61" t="s">
        <v>1881</v>
      </c>
      <c r="B23" s="61" t="s">
        <v>1880</v>
      </c>
      <c r="C23" s="65"/>
      <c r="D23" s="61"/>
      <c r="E23" s="61" t="s">
        <v>1991</v>
      </c>
      <c r="F23" s="70" t="s">
        <v>53</v>
      </c>
      <c r="G23" s="70" t="s">
        <v>2121</v>
      </c>
      <c r="H23" s="67">
        <v>46174.267314814817</v>
      </c>
      <c r="I23" s="75">
        <f t="shared" ca="1" si="0"/>
        <v>6.4013775462954072</v>
      </c>
      <c r="J23" s="61"/>
      <c r="K23" s="61"/>
      <c r="L23" s="61"/>
      <c r="M23" s="61" t="s">
        <v>1769</v>
      </c>
      <c r="N23" s="61" t="s">
        <v>1770</v>
      </c>
      <c r="O23" s="61"/>
      <c r="P23" s="61"/>
      <c r="Q23" s="61"/>
      <c r="R23" s="84" t="s">
        <v>2249</v>
      </c>
      <c r="S23" s="61" t="s">
        <v>71</v>
      </c>
      <c r="T23" s="84" t="s">
        <v>1902</v>
      </c>
      <c r="U23" s="84" t="s">
        <v>1896</v>
      </c>
      <c r="V23" s="61" t="str">
        <f>VLOOKUP(B23,[2]Overall!$A:$D,4,0)</f>
        <v xml:space="preserve">I-ENG </v>
      </c>
      <c r="W23" s="61" t="str">
        <f>VLOOKUP(B23,[3]Sheet1!$A:$B,2,0)</f>
        <v>Fundong</v>
      </c>
      <c r="X23" s="88" t="e">
        <f>LEFT(#REF!,3)</f>
        <v>#REF!</v>
      </c>
      <c r="Y23" s="80" t="str">
        <f t="shared" ca="1" si="1"/>
        <v>T&gt;72H</v>
      </c>
      <c r="Z23" s="61">
        <f t="shared" si="2"/>
        <v>1</v>
      </c>
      <c r="AA23" s="61" t="s">
        <v>1566</v>
      </c>
      <c r="AB23" s="61" t="s">
        <v>1904</v>
      </c>
      <c r="AC23" s="84" t="s">
        <v>2228</v>
      </c>
      <c r="AD23" s="84" t="s">
        <v>1994</v>
      </c>
      <c r="AE23" s="61"/>
    </row>
    <row r="24" spans="1:31" ht="73.5" x14ac:dyDescent="0.45">
      <c r="A24" s="61" t="s">
        <v>1939</v>
      </c>
      <c r="B24" s="61" t="s">
        <v>1940</v>
      </c>
      <c r="C24" s="65"/>
      <c r="D24" s="61"/>
      <c r="E24" s="61" t="s">
        <v>1941</v>
      </c>
      <c r="F24" s="70" t="s">
        <v>53</v>
      </c>
      <c r="G24" s="70" t="s">
        <v>2121</v>
      </c>
      <c r="H24" s="67">
        <v>46174.506562499999</v>
      </c>
      <c r="I24" s="75">
        <f t="shared" ca="1" si="0"/>
        <v>6.1621298611134989</v>
      </c>
      <c r="J24" s="61"/>
      <c r="K24" s="61"/>
      <c r="L24" s="61"/>
      <c r="M24" s="61" t="s">
        <v>38</v>
      </c>
      <c r="N24" s="61" t="s">
        <v>1942</v>
      </c>
      <c r="O24" s="61"/>
      <c r="P24" s="61"/>
      <c r="Q24" s="61"/>
      <c r="R24" s="84" t="s">
        <v>2234</v>
      </c>
      <c r="S24" s="61" t="s">
        <v>32</v>
      </c>
      <c r="T24" s="61" t="s">
        <v>1898</v>
      </c>
      <c r="U24" s="61" t="s">
        <v>1898</v>
      </c>
      <c r="V24" s="61" t="str">
        <f>VLOOKUP(B24,[2]Overall!$A:$D,4,0)</f>
        <v xml:space="preserve">I-ENG </v>
      </c>
      <c r="W24" s="61" t="str">
        <f>VLOOKUP(B24,[3]Sheet1!$A:$B,2,0)</f>
        <v>Widikum</v>
      </c>
      <c r="X24" s="88" t="str">
        <f t="shared" si="3"/>
        <v>NRD</v>
      </c>
      <c r="Y24" s="80" t="str">
        <f t="shared" ca="1" si="1"/>
        <v>T&gt;72H</v>
      </c>
      <c r="Z24" s="61">
        <f t="shared" si="2"/>
        <v>2</v>
      </c>
      <c r="AA24" s="61" t="s">
        <v>1566</v>
      </c>
      <c r="AB24" s="61" t="s">
        <v>1904</v>
      </c>
      <c r="AC24" s="84" t="s">
        <v>2228</v>
      </c>
      <c r="AD24" s="84" t="s">
        <v>1994</v>
      </c>
      <c r="AE24" s="61"/>
    </row>
    <row r="25" spans="1:31" ht="102.5" x14ac:dyDescent="0.45">
      <c r="A25" s="61" t="s">
        <v>1843</v>
      </c>
      <c r="B25" s="61" t="s">
        <v>1844</v>
      </c>
      <c r="C25" s="65"/>
      <c r="D25" s="61"/>
      <c r="E25" s="61" t="s">
        <v>1879</v>
      </c>
      <c r="F25" s="70" t="s">
        <v>53</v>
      </c>
      <c r="G25" s="70" t="s">
        <v>2121</v>
      </c>
      <c r="H25" s="67">
        <v>46175.448993055557</v>
      </c>
      <c r="I25" s="75">
        <f t="shared" ca="1" si="0"/>
        <v>5.2196993055549683</v>
      </c>
      <c r="J25" s="61"/>
      <c r="K25" s="61"/>
      <c r="L25" s="61"/>
      <c r="M25" s="61" t="s">
        <v>38</v>
      </c>
      <c r="N25" s="61" t="s">
        <v>1845</v>
      </c>
      <c r="O25" s="61"/>
      <c r="P25" s="61"/>
      <c r="Q25" s="61"/>
      <c r="R25" s="61" t="s">
        <v>2005</v>
      </c>
      <c r="S25" s="61" t="s">
        <v>75</v>
      </c>
      <c r="T25" s="61" t="s">
        <v>1901</v>
      </c>
      <c r="U25" s="61" t="s">
        <v>1901</v>
      </c>
      <c r="V25" s="61" t="str">
        <f>VLOOKUP(B25,[2]Overall!$A:$D,4,0)</f>
        <v>TELEINFRA NORD</v>
      </c>
      <c r="W25" s="61" t="str">
        <f>VLOOKUP(B25,[3]Sheet1!$A:$B,2,0)</f>
        <v>Mayo-Nonde</v>
      </c>
      <c r="X25" s="88" t="str">
        <f t="shared" si="3"/>
        <v>CTR</v>
      </c>
      <c r="Y25" s="80" t="str">
        <f t="shared" ca="1" si="1"/>
        <v>T&gt;72H</v>
      </c>
      <c r="Z25" s="61">
        <f t="shared" si="2"/>
        <v>3</v>
      </c>
      <c r="AA25" s="61" t="s">
        <v>1566</v>
      </c>
      <c r="AB25" s="61" t="s">
        <v>1904</v>
      </c>
      <c r="AC25" s="84" t="s">
        <v>2228</v>
      </c>
      <c r="AD25" s="84" t="s">
        <v>1994</v>
      </c>
      <c r="AE25" s="61"/>
    </row>
    <row r="26" spans="1:31" ht="117" x14ac:dyDescent="0.45">
      <c r="A26" s="61" t="s">
        <v>1783</v>
      </c>
      <c r="B26" s="61" t="s">
        <v>1784</v>
      </c>
      <c r="C26" s="65"/>
      <c r="D26" s="61"/>
      <c r="E26" s="61" t="s">
        <v>1785</v>
      </c>
      <c r="F26" s="70" t="s">
        <v>53</v>
      </c>
      <c r="G26" s="70" t="s">
        <v>2121</v>
      </c>
      <c r="H26" s="67">
        <v>46175.488310185188</v>
      </c>
      <c r="I26" s="75">
        <f t="shared" ca="1" si="0"/>
        <v>5.1803821759240236</v>
      </c>
      <c r="J26" s="61"/>
      <c r="K26" s="61"/>
      <c r="L26" s="61"/>
      <c r="M26" s="61" t="s">
        <v>1605</v>
      </c>
      <c r="N26" s="61" t="s">
        <v>1786</v>
      </c>
      <c r="O26" s="61"/>
      <c r="P26" s="61"/>
      <c r="Q26" s="61"/>
      <c r="R26" s="84" t="s">
        <v>2241</v>
      </c>
      <c r="S26" s="61" t="s">
        <v>71</v>
      </c>
      <c r="T26" s="61" t="s">
        <v>1895</v>
      </c>
      <c r="U26" s="61" t="s">
        <v>1896</v>
      </c>
      <c r="V26" s="61" t="str">
        <f>VLOOKUP(B26,[2]Overall!$A:$D,4,0)</f>
        <v>TELEINFRA CENTRE</v>
      </c>
      <c r="W26" s="61" t="str">
        <f>VLOOKUP(B26,[3]Sheet1!$A:$B,2,0)</f>
        <v>Song-Bong</v>
      </c>
      <c r="X26" s="88" t="str">
        <f t="shared" si="3"/>
        <v>CTR</v>
      </c>
      <c r="Y26" s="80" t="str">
        <f t="shared" ca="1" si="1"/>
        <v>T&gt;72H</v>
      </c>
      <c r="Z26" s="61">
        <f t="shared" si="2"/>
        <v>4</v>
      </c>
      <c r="AA26" s="61" t="s">
        <v>1566</v>
      </c>
      <c r="AB26" s="61" t="s">
        <v>1904</v>
      </c>
      <c r="AC26" s="84" t="s">
        <v>2228</v>
      </c>
      <c r="AD26" s="84" t="s">
        <v>1994</v>
      </c>
      <c r="AE26" s="61"/>
    </row>
    <row r="27" spans="1:31" ht="117" x14ac:dyDescent="0.45">
      <c r="A27" s="61" t="s">
        <v>1783</v>
      </c>
      <c r="B27" s="61" t="s">
        <v>1784</v>
      </c>
      <c r="C27" s="65"/>
      <c r="D27" s="61"/>
      <c r="E27" s="61" t="s">
        <v>1787</v>
      </c>
      <c r="F27" s="70" t="s">
        <v>53</v>
      </c>
      <c r="G27" s="70" t="s">
        <v>2121</v>
      </c>
      <c r="H27" s="67">
        <v>46175.502164351848</v>
      </c>
      <c r="I27" s="75">
        <f t="shared" ca="1" si="0"/>
        <v>5.1665280092638568</v>
      </c>
      <c r="J27" s="61"/>
      <c r="K27" s="61"/>
      <c r="L27" s="61"/>
      <c r="M27" s="61" t="s">
        <v>1605</v>
      </c>
      <c r="N27" s="61" t="s">
        <v>1788</v>
      </c>
      <c r="O27" s="61"/>
      <c r="P27" s="61"/>
      <c r="Q27" s="61"/>
      <c r="R27" s="84" t="s">
        <v>2241</v>
      </c>
      <c r="S27" s="61" t="s">
        <v>71</v>
      </c>
      <c r="T27" s="61" t="s">
        <v>1895</v>
      </c>
      <c r="U27" s="61" t="s">
        <v>1896</v>
      </c>
      <c r="V27" s="61" t="str">
        <f>VLOOKUP(B27,[2]Overall!$A:$D,4,0)</f>
        <v>TELEINFRA CENTRE</v>
      </c>
      <c r="W27" s="61" t="str">
        <f>VLOOKUP(B27,[3]Sheet1!$A:$B,2,0)</f>
        <v>Song-Bong</v>
      </c>
      <c r="X27" s="88" t="str">
        <f t="shared" si="3"/>
        <v>SUO</v>
      </c>
      <c r="Y27" s="80" t="str">
        <f t="shared" ca="1" si="1"/>
        <v>T&gt;72H</v>
      </c>
      <c r="Z27" s="61">
        <f t="shared" si="2"/>
        <v>2</v>
      </c>
      <c r="AA27" s="61" t="s">
        <v>1566</v>
      </c>
      <c r="AB27" s="61" t="s">
        <v>1904</v>
      </c>
      <c r="AC27" s="84" t="s">
        <v>2228</v>
      </c>
      <c r="AD27" s="84" t="s">
        <v>1994</v>
      </c>
      <c r="AE27" s="61"/>
    </row>
    <row r="28" spans="1:31" ht="117" x14ac:dyDescent="0.45">
      <c r="A28" s="61" t="s">
        <v>1831</v>
      </c>
      <c r="B28" s="61" t="s">
        <v>1832</v>
      </c>
      <c r="C28" s="65"/>
      <c r="D28" s="61"/>
      <c r="E28" s="61" t="s">
        <v>1823</v>
      </c>
      <c r="F28" s="70" t="s">
        <v>53</v>
      </c>
      <c r="G28" s="70" t="s">
        <v>2121</v>
      </c>
      <c r="H28" s="67">
        <v>46175.508090277777</v>
      </c>
      <c r="I28" s="75">
        <f t="shared" ca="1" si="0"/>
        <v>5.1606020833351067</v>
      </c>
      <c r="J28" s="61"/>
      <c r="K28" s="61"/>
      <c r="L28" s="61"/>
      <c r="M28" s="61" t="s">
        <v>31</v>
      </c>
      <c r="N28" s="61" t="s">
        <v>1833</v>
      </c>
      <c r="O28" s="61"/>
      <c r="P28" s="61"/>
      <c r="Q28" s="61"/>
      <c r="R28" s="84" t="s">
        <v>2232</v>
      </c>
      <c r="S28" s="61" t="s">
        <v>85</v>
      </c>
      <c r="T28" s="61" t="s">
        <v>1898</v>
      </c>
      <c r="U28" s="61" t="s">
        <v>1898</v>
      </c>
      <c r="V28" s="61" t="str">
        <f>VLOOKUP(B28,[2]Overall!$A:$D,4,0)</f>
        <v>H-TELI</v>
      </c>
      <c r="W28" s="61" t="str">
        <f>VLOOKUP(B28,[3]Sheet1!$A:$B,2,0)</f>
        <v>Kumbe</v>
      </c>
      <c r="X28" s="88" t="str">
        <f t="shared" si="3"/>
        <v>NRO</v>
      </c>
      <c r="Y28" s="80" t="str">
        <f t="shared" ca="1" si="1"/>
        <v>T&gt;72H</v>
      </c>
      <c r="Z28" s="61">
        <f t="shared" si="2"/>
        <v>2</v>
      </c>
      <c r="AA28" s="61" t="s">
        <v>1566</v>
      </c>
      <c r="AB28" s="61" t="s">
        <v>1904</v>
      </c>
      <c r="AC28" s="84" t="s">
        <v>2228</v>
      </c>
      <c r="AD28" s="84" t="s">
        <v>1994</v>
      </c>
      <c r="AE28" s="61"/>
    </row>
    <row r="29" spans="1:31" ht="409.6" x14ac:dyDescent="0.45">
      <c r="A29" s="63" t="s">
        <v>1624</v>
      </c>
      <c r="B29" s="63" t="s">
        <v>1625</v>
      </c>
      <c r="C29" s="68"/>
      <c r="D29" s="63"/>
      <c r="E29" s="63" t="s">
        <v>1709</v>
      </c>
      <c r="F29" s="71" t="s">
        <v>53</v>
      </c>
      <c r="G29" s="71" t="s">
        <v>2121</v>
      </c>
      <c r="H29" s="69">
        <v>46175.526041666664</v>
      </c>
      <c r="I29" s="77">
        <f t="shared" ca="1" si="0"/>
        <v>5.1426506944480934</v>
      </c>
      <c r="J29" s="63"/>
      <c r="K29" s="63"/>
      <c r="L29" s="63"/>
      <c r="M29" s="63" t="s">
        <v>33</v>
      </c>
      <c r="N29" s="63" t="s">
        <v>1626</v>
      </c>
      <c r="O29" s="63"/>
      <c r="P29" s="63" t="s">
        <v>1906</v>
      </c>
      <c r="Q29" s="63"/>
      <c r="R29" s="85" t="s">
        <v>2235</v>
      </c>
      <c r="S29" s="63" t="s">
        <v>32</v>
      </c>
      <c r="T29" s="85" t="s">
        <v>1900</v>
      </c>
      <c r="U29" s="63" t="s">
        <v>1900</v>
      </c>
      <c r="V29" s="63" t="str">
        <f>VLOOKUP(B29,[2]Overall!$A:$D,4,0)</f>
        <v xml:space="preserve">I-ENG </v>
      </c>
      <c r="W29" s="63" t="str">
        <f>VLOOKUP(B29,[3]Sheet1!$A:$B,2,0)</f>
        <v>Kembong</v>
      </c>
      <c r="X29" s="89" t="str">
        <f t="shared" si="3"/>
        <v>LIT</v>
      </c>
      <c r="Y29" s="81" t="str">
        <f t="shared" ca="1" si="1"/>
        <v>T&gt;72H</v>
      </c>
      <c r="Z29" s="63">
        <f t="shared" si="2"/>
        <v>2</v>
      </c>
      <c r="AA29" s="63" t="s">
        <v>77</v>
      </c>
      <c r="AB29" s="63" t="s">
        <v>1904</v>
      </c>
      <c r="AC29" s="85" t="s">
        <v>2228</v>
      </c>
      <c r="AD29" s="85" t="s">
        <v>1994</v>
      </c>
      <c r="AE29" s="63"/>
    </row>
    <row r="30" spans="1:31" ht="73.5" x14ac:dyDescent="0.45">
      <c r="A30" s="61" t="s">
        <v>1877</v>
      </c>
      <c r="B30" s="61" t="s">
        <v>1878</v>
      </c>
      <c r="C30" s="65"/>
      <c r="D30" s="61"/>
      <c r="E30" s="61" t="s">
        <v>49</v>
      </c>
      <c r="F30" s="70" t="s">
        <v>53</v>
      </c>
      <c r="G30" s="70" t="s">
        <v>2121</v>
      </c>
      <c r="H30" s="67">
        <v>46175.578113425923</v>
      </c>
      <c r="I30" s="75">
        <f t="shared" ca="1" si="0"/>
        <v>5.0905789351891144</v>
      </c>
      <c r="J30" s="61"/>
      <c r="K30" s="61"/>
      <c r="L30" s="61"/>
      <c r="M30" s="61" t="s">
        <v>38</v>
      </c>
      <c r="N30" s="61" t="s">
        <v>1943</v>
      </c>
      <c r="O30" s="61"/>
      <c r="P30" s="61"/>
      <c r="Q30" s="61"/>
      <c r="R30" s="61" t="s">
        <v>2071</v>
      </c>
      <c r="S30" s="61" t="s">
        <v>51</v>
      </c>
      <c r="T30" s="61" t="s">
        <v>1898</v>
      </c>
      <c r="U30" s="61" t="s">
        <v>1898</v>
      </c>
      <c r="V30" s="61" t="str">
        <f>VLOOKUP(B30,[2]Overall!$A:$D,4,0)</f>
        <v>H-TELI</v>
      </c>
      <c r="W30" s="61" t="str">
        <f>VLOOKUP(B30,[3]Sheet1!$A:$B,2,0)</f>
        <v>Massock-Songloulou</v>
      </c>
      <c r="X30" s="88" t="str">
        <f t="shared" si="3"/>
        <v>ADM</v>
      </c>
      <c r="Y30" s="80" t="str">
        <f t="shared" ca="1" si="1"/>
        <v>T&gt;72H</v>
      </c>
      <c r="Z30" s="61">
        <f t="shared" si="2"/>
        <v>1</v>
      </c>
      <c r="AA30" s="61" t="s">
        <v>1566</v>
      </c>
      <c r="AB30" s="61" t="s">
        <v>1904</v>
      </c>
      <c r="AC30" s="84" t="s">
        <v>2228</v>
      </c>
      <c r="AD30" s="84" t="s">
        <v>1994</v>
      </c>
      <c r="AE30" s="61"/>
    </row>
    <row r="31" spans="1:31" ht="59" x14ac:dyDescent="0.45">
      <c r="A31" s="63" t="s">
        <v>2147</v>
      </c>
      <c r="B31" s="63" t="s">
        <v>2148</v>
      </c>
      <c r="C31" s="68"/>
      <c r="D31" s="63"/>
      <c r="E31" s="63" t="s">
        <v>2149</v>
      </c>
      <c r="F31" s="71" t="s">
        <v>53</v>
      </c>
      <c r="G31" s="71" t="s">
        <v>2121</v>
      </c>
      <c r="H31" s="69">
        <v>46175.610324074078</v>
      </c>
      <c r="I31" s="77">
        <f t="shared" ca="1" si="0"/>
        <v>5.058368287034682</v>
      </c>
      <c r="J31" s="63"/>
      <c r="K31" s="63"/>
      <c r="L31" s="63"/>
      <c r="M31" s="63" t="s">
        <v>33</v>
      </c>
      <c r="N31" s="63" t="s">
        <v>1626</v>
      </c>
      <c r="O31" s="63"/>
      <c r="P31" s="63" t="s">
        <v>1906</v>
      </c>
      <c r="Q31" s="63"/>
      <c r="R31" s="63" t="s">
        <v>2071</v>
      </c>
      <c r="S31" s="63" t="s">
        <v>51</v>
      </c>
      <c r="T31" s="63" t="s">
        <v>1898</v>
      </c>
      <c r="U31" s="63" t="s">
        <v>1898</v>
      </c>
      <c r="V31" s="63" t="str">
        <f>VLOOKUP(B31,[2]Overall!$A:$D,4,0)</f>
        <v>TELEINFRA NORD</v>
      </c>
      <c r="W31" s="63" t="str">
        <f>VLOOKUP(B31,[3]Sheet1!$A:$B,2,0)</f>
        <v>Mboulai</v>
      </c>
      <c r="X31" s="89" t="str">
        <f t="shared" ref="X31:X76" si="4">LEFT(B32,3)</f>
        <v>ADM</v>
      </c>
      <c r="Y31" s="81" t="str">
        <f t="shared" ref="Y31:Y77" ca="1" si="5">IF(I31 &lt; 1/24, "T&lt;1H", IF(AND(I31&lt;2/24, I31&gt;1/24), "1H&lt;T&lt;2H", IF(AND(I31&lt;4/24, I31&gt;2/24), "2H&lt;T&lt;4H", IF(AND(I31&lt;8/24, I31&gt;4/24), "4H&lt;T&lt;8H", IF(AND(I31&lt;16/24, I31&gt;8/24), "8H&lt;T&lt;16H",IF(AND(I31&lt;24/24, I31&gt;16/24),"16H&lt;T&lt;24H", IF(AND(I31&lt;48/24, I31&gt;24/24),"24H&lt;T&lt;48H",IF(AND(I31&lt;72/24, I31&gt;24/24),"48H&lt;T&lt;72H", "T&gt;72H"))))))))</f>
        <v>T&gt;72H</v>
      </c>
      <c r="Z31" s="63">
        <f t="shared" ref="Z31:Z77" si="6">IF(OR(E31="", E31="affected_cells=unknown"), "", LEN(E31)-LEN(SUBSTITUTE(E31, ",", "")) + LEN(E31)-LEN(SUBSTITUTE(E31, ";", "")) + 1)</f>
        <v>1</v>
      </c>
      <c r="AA31" s="63" t="s">
        <v>77</v>
      </c>
      <c r="AB31" s="63" t="s">
        <v>1904</v>
      </c>
      <c r="AC31" s="85" t="s">
        <v>2228</v>
      </c>
      <c r="AD31" s="85" t="s">
        <v>1994</v>
      </c>
      <c r="AE31" s="63"/>
    </row>
    <row r="32" spans="1:31" ht="73.5" x14ac:dyDescent="0.45">
      <c r="A32" s="63" t="s">
        <v>1684</v>
      </c>
      <c r="B32" s="63" t="s">
        <v>1620</v>
      </c>
      <c r="C32" s="68"/>
      <c r="D32" s="63"/>
      <c r="E32" s="63" t="s">
        <v>1793</v>
      </c>
      <c r="F32" s="71" t="s">
        <v>53</v>
      </c>
      <c r="G32" s="71" t="s">
        <v>2121</v>
      </c>
      <c r="H32" s="69">
        <v>46175.619259259256</v>
      </c>
      <c r="I32" s="77">
        <f t="shared" ca="1" si="0"/>
        <v>5.0494331018562661</v>
      </c>
      <c r="J32" s="63"/>
      <c r="K32" s="63"/>
      <c r="L32" s="63"/>
      <c r="M32" s="63" t="s">
        <v>33</v>
      </c>
      <c r="N32" s="63" t="s">
        <v>1653</v>
      </c>
      <c r="O32" s="63"/>
      <c r="P32" s="63" t="s">
        <v>2417</v>
      </c>
      <c r="Q32" s="63"/>
      <c r="R32" s="85" t="s">
        <v>2416</v>
      </c>
      <c r="S32" s="85" t="s">
        <v>40</v>
      </c>
      <c r="T32" s="63" t="s">
        <v>1898</v>
      </c>
      <c r="U32" s="63" t="s">
        <v>1898</v>
      </c>
      <c r="V32" s="63" t="str">
        <f>VLOOKUP(B32,[2]Overall!$A:$D,4,0)</f>
        <v>TELEINFRA NORD</v>
      </c>
      <c r="W32" s="63" t="str">
        <f>VLOOKUP(B32,[3]Sheet1!$A:$B,2,0)</f>
        <v>Batoua-Godole</v>
      </c>
      <c r="X32" s="89" t="str">
        <f t="shared" si="4"/>
        <v>EXN</v>
      </c>
      <c r="Y32" s="81" t="str">
        <f t="shared" ca="1" si="5"/>
        <v>T&gt;72H</v>
      </c>
      <c r="Z32" s="63">
        <f t="shared" si="6"/>
        <v>2</v>
      </c>
      <c r="AA32" s="63" t="s">
        <v>77</v>
      </c>
      <c r="AB32" s="63" t="s">
        <v>1904</v>
      </c>
      <c r="AC32" s="85" t="s">
        <v>2228</v>
      </c>
      <c r="AD32" s="85" t="s">
        <v>1994</v>
      </c>
      <c r="AE32" s="63"/>
    </row>
    <row r="33" spans="1:31" ht="247.5" x14ac:dyDescent="0.45">
      <c r="A33" s="61" t="s">
        <v>1779</v>
      </c>
      <c r="B33" s="61" t="s">
        <v>1780</v>
      </c>
      <c r="C33" s="65"/>
      <c r="D33" s="61"/>
      <c r="E33" s="61" t="s">
        <v>37</v>
      </c>
      <c r="F33" s="70" t="s">
        <v>53</v>
      </c>
      <c r="G33" s="70" t="s">
        <v>2121</v>
      </c>
      <c r="H33" s="67">
        <v>46175.649039351854</v>
      </c>
      <c r="I33" s="75">
        <f t="shared" ca="1" si="0"/>
        <v>5.019653009258036</v>
      </c>
      <c r="J33" s="61"/>
      <c r="K33" s="61"/>
      <c r="L33" s="61"/>
      <c r="M33" s="61" t="s">
        <v>41</v>
      </c>
      <c r="N33" s="61" t="s">
        <v>1781</v>
      </c>
      <c r="O33" s="61"/>
      <c r="P33" s="61"/>
      <c r="Q33" s="61"/>
      <c r="R33" s="84" t="s">
        <v>2243</v>
      </c>
      <c r="S33" s="61" t="s">
        <v>75</v>
      </c>
      <c r="T33" s="61" t="s">
        <v>1840</v>
      </c>
      <c r="U33" s="61" t="s">
        <v>1840</v>
      </c>
      <c r="V33" s="61" t="str">
        <f>VLOOKUP(B33,[2]Overall!$A:$D,4,0)</f>
        <v>TELEINFRA NORD</v>
      </c>
      <c r="W33" s="61" t="str">
        <f>VLOOKUP(B33,[3]Sheet1!$A:$B,2,0)</f>
        <v>Badjonre</v>
      </c>
      <c r="X33" s="88" t="str">
        <f t="shared" si="4"/>
        <v>NRO</v>
      </c>
      <c r="Y33" s="80" t="str">
        <f t="shared" ca="1" si="5"/>
        <v>T&gt;72H</v>
      </c>
      <c r="Z33" s="61">
        <f t="shared" si="6"/>
        <v>1</v>
      </c>
      <c r="AA33" s="61" t="s">
        <v>1566</v>
      </c>
      <c r="AB33" s="61" t="s">
        <v>1904</v>
      </c>
      <c r="AC33" s="84" t="s">
        <v>2228</v>
      </c>
      <c r="AD33" s="84" t="s">
        <v>1994</v>
      </c>
      <c r="AE33" s="61"/>
    </row>
    <row r="34" spans="1:31" ht="59" x14ac:dyDescent="0.45">
      <c r="A34" s="61" t="s">
        <v>1705</v>
      </c>
      <c r="B34" s="61" t="s">
        <v>1706</v>
      </c>
      <c r="C34" s="65"/>
      <c r="D34" s="61"/>
      <c r="E34" s="61" t="s">
        <v>48</v>
      </c>
      <c r="F34" s="70" t="s">
        <v>53</v>
      </c>
      <c r="G34" s="70" t="s">
        <v>2121</v>
      </c>
      <c r="H34" s="67">
        <v>46175.66</v>
      </c>
      <c r="I34" s="75">
        <f t="shared" ca="1" si="0"/>
        <v>5.0086923611088423</v>
      </c>
      <c r="J34" s="61"/>
      <c r="K34" s="61"/>
      <c r="L34" s="61"/>
      <c r="M34" s="61" t="s">
        <v>1707</v>
      </c>
      <c r="N34" s="61" t="s">
        <v>1708</v>
      </c>
      <c r="O34" s="61"/>
      <c r="P34" s="61"/>
      <c r="Q34" s="61"/>
      <c r="R34" s="84" t="s">
        <v>2242</v>
      </c>
      <c r="S34" s="61" t="s">
        <v>71</v>
      </c>
      <c r="T34" s="61" t="s">
        <v>1902</v>
      </c>
      <c r="U34" s="61" t="s">
        <v>1896</v>
      </c>
      <c r="V34" s="61" t="str">
        <f>VLOOKUP(B34,[2]Overall!$A:$D,4,0)</f>
        <v xml:space="preserve">I-ENG </v>
      </c>
      <c r="W34" s="61" t="str">
        <f>VLOOKUP(B34,[3]Sheet1!$A:$B,2,0)</f>
        <v>Laising</v>
      </c>
      <c r="X34" s="88" t="str">
        <f t="shared" si="4"/>
        <v>EXN</v>
      </c>
      <c r="Y34" s="80" t="str">
        <f t="shared" ca="1" si="5"/>
        <v>T&gt;72H</v>
      </c>
      <c r="Z34" s="61">
        <f t="shared" si="6"/>
        <v>1</v>
      </c>
      <c r="AA34" s="61" t="s">
        <v>1566</v>
      </c>
      <c r="AB34" s="61" t="s">
        <v>1904</v>
      </c>
      <c r="AC34" s="84" t="s">
        <v>2228</v>
      </c>
      <c r="AD34" s="84" t="s">
        <v>1994</v>
      </c>
      <c r="AE34" s="61"/>
    </row>
    <row r="35" spans="1:31" ht="247.5" x14ac:dyDescent="0.45">
      <c r="A35" s="61" t="s">
        <v>1779</v>
      </c>
      <c r="B35" s="61" t="s">
        <v>1780</v>
      </c>
      <c r="C35" s="65"/>
      <c r="D35" s="61"/>
      <c r="E35" s="61" t="s">
        <v>39</v>
      </c>
      <c r="F35" s="70" t="s">
        <v>53</v>
      </c>
      <c r="G35" s="70" t="s">
        <v>2121</v>
      </c>
      <c r="H35" s="67">
        <v>46175.681076388886</v>
      </c>
      <c r="I35" s="75">
        <f t="shared" ca="1" si="0"/>
        <v>4.9876159722261946</v>
      </c>
      <c r="J35" s="61"/>
      <c r="K35" s="61"/>
      <c r="L35" s="61"/>
      <c r="M35" s="61" t="s">
        <v>1707</v>
      </c>
      <c r="N35" s="61" t="s">
        <v>2162</v>
      </c>
      <c r="O35" s="61"/>
      <c r="P35" s="61"/>
      <c r="Q35" s="61"/>
      <c r="R35" s="84" t="s">
        <v>2243</v>
      </c>
      <c r="S35" s="61" t="s">
        <v>75</v>
      </c>
      <c r="T35" s="61" t="s">
        <v>1840</v>
      </c>
      <c r="U35" s="61" t="s">
        <v>1840</v>
      </c>
      <c r="V35" s="61" t="str">
        <f>VLOOKUP(B35,[2]Overall!$A:$D,4,0)</f>
        <v>TELEINFRA NORD</v>
      </c>
      <c r="W35" s="61" t="str">
        <f>VLOOKUP(B35,[3]Sheet1!$A:$B,2,0)</f>
        <v>Badjonre</v>
      </c>
      <c r="X35" s="88" t="str">
        <f t="shared" si="4"/>
        <v>EXN</v>
      </c>
      <c r="Y35" s="80" t="str">
        <f t="shared" ca="1" si="5"/>
        <v>T&gt;72H</v>
      </c>
      <c r="Z35" s="61">
        <f t="shared" si="6"/>
        <v>1</v>
      </c>
      <c r="AA35" s="61" t="s">
        <v>1566</v>
      </c>
      <c r="AB35" s="61" t="s">
        <v>1904</v>
      </c>
      <c r="AC35" s="84" t="s">
        <v>2228</v>
      </c>
      <c r="AD35" s="84" t="s">
        <v>1994</v>
      </c>
      <c r="AE35" s="61"/>
    </row>
    <row r="36" spans="1:31" ht="247.5" x14ac:dyDescent="0.45">
      <c r="A36" s="61" t="s">
        <v>1779</v>
      </c>
      <c r="B36" s="61" t="s">
        <v>1780</v>
      </c>
      <c r="C36" s="65"/>
      <c r="D36" s="61"/>
      <c r="E36" s="61" t="s">
        <v>2163</v>
      </c>
      <c r="F36" s="70" t="s">
        <v>53</v>
      </c>
      <c r="G36" s="70" t="s">
        <v>2121</v>
      </c>
      <c r="H36" s="67">
        <v>46175.683067129627</v>
      </c>
      <c r="I36" s="75">
        <f t="shared" ca="1" si="0"/>
        <v>4.9856252314857556</v>
      </c>
      <c r="J36" s="61"/>
      <c r="K36" s="61"/>
      <c r="L36" s="61"/>
      <c r="M36" s="61" t="s">
        <v>31</v>
      </c>
      <c r="N36" s="61" t="s">
        <v>2164</v>
      </c>
      <c r="O36" s="61"/>
      <c r="P36" s="61"/>
      <c r="Q36" s="61"/>
      <c r="R36" s="84" t="s">
        <v>2243</v>
      </c>
      <c r="S36" s="61" t="s">
        <v>75</v>
      </c>
      <c r="T36" s="61" t="s">
        <v>1840</v>
      </c>
      <c r="U36" s="61" t="s">
        <v>1840</v>
      </c>
      <c r="V36" s="61" t="str">
        <f>VLOOKUP(B36,[2]Overall!$A:$D,4,0)</f>
        <v>TELEINFRA NORD</v>
      </c>
      <c r="W36" s="61" t="str">
        <f>VLOOKUP(B36,[3]Sheet1!$A:$B,2,0)</f>
        <v>Badjonre</v>
      </c>
      <c r="X36" s="88" t="str">
        <f t="shared" si="4"/>
        <v>EXN</v>
      </c>
      <c r="Y36" s="80" t="str">
        <f t="shared" ca="1" si="5"/>
        <v>T&gt;72H</v>
      </c>
      <c r="Z36" s="61">
        <f t="shared" si="6"/>
        <v>9</v>
      </c>
      <c r="AA36" s="61" t="s">
        <v>1566</v>
      </c>
      <c r="AB36" s="61" t="s">
        <v>1904</v>
      </c>
      <c r="AC36" s="84" t="s">
        <v>2228</v>
      </c>
      <c r="AD36" s="84" t="s">
        <v>1994</v>
      </c>
      <c r="AE36" s="61"/>
    </row>
    <row r="37" spans="1:31" ht="247.5" x14ac:dyDescent="0.45">
      <c r="A37" s="61" t="s">
        <v>1779</v>
      </c>
      <c r="B37" s="61" t="s">
        <v>1780</v>
      </c>
      <c r="C37" s="65"/>
      <c r="D37" s="61"/>
      <c r="E37" s="61" t="s">
        <v>39</v>
      </c>
      <c r="F37" s="70" t="s">
        <v>53</v>
      </c>
      <c r="G37" s="70" t="s">
        <v>2121</v>
      </c>
      <c r="H37" s="67">
        <v>46175.683506944442</v>
      </c>
      <c r="I37" s="75">
        <f t="shared" ca="1" si="0"/>
        <v>4.9851854166699923</v>
      </c>
      <c r="J37" s="61"/>
      <c r="K37" s="61"/>
      <c r="L37" s="61"/>
      <c r="M37" s="61" t="s">
        <v>1769</v>
      </c>
      <c r="N37" s="61" t="s">
        <v>2165</v>
      </c>
      <c r="O37" s="61"/>
      <c r="P37" s="61"/>
      <c r="Q37" s="61"/>
      <c r="R37" s="84" t="s">
        <v>2243</v>
      </c>
      <c r="S37" s="61" t="s">
        <v>75</v>
      </c>
      <c r="T37" s="61" t="s">
        <v>1840</v>
      </c>
      <c r="U37" s="61" t="s">
        <v>1840</v>
      </c>
      <c r="V37" s="61" t="str">
        <f>VLOOKUP(B37,[2]Overall!$A:$D,4,0)</f>
        <v>TELEINFRA NORD</v>
      </c>
      <c r="W37" s="61" t="str">
        <f>VLOOKUP(B37,[3]Sheet1!$A:$B,2,0)</f>
        <v>Badjonre</v>
      </c>
      <c r="X37" s="88" t="e">
        <f>LEFT(#REF!,3)</f>
        <v>#REF!</v>
      </c>
      <c r="Y37" s="80" t="str">
        <f t="shared" ca="1" si="5"/>
        <v>T&gt;72H</v>
      </c>
      <c r="Z37" s="61">
        <f t="shared" si="6"/>
        <v>1</v>
      </c>
      <c r="AA37" s="61" t="s">
        <v>1566</v>
      </c>
      <c r="AB37" s="61" t="s">
        <v>1904</v>
      </c>
      <c r="AC37" s="84" t="s">
        <v>2228</v>
      </c>
      <c r="AD37" s="84" t="s">
        <v>1994</v>
      </c>
      <c r="AE37" s="61"/>
    </row>
    <row r="38" spans="1:31" ht="88" x14ac:dyDescent="0.45">
      <c r="A38" s="63" t="s">
        <v>2166</v>
      </c>
      <c r="B38" s="63" t="s">
        <v>2167</v>
      </c>
      <c r="C38" s="68"/>
      <c r="D38" s="63"/>
      <c r="E38" s="63" t="s">
        <v>2173</v>
      </c>
      <c r="F38" s="71" t="s">
        <v>53</v>
      </c>
      <c r="G38" s="71" t="s">
        <v>2121</v>
      </c>
      <c r="H38" s="69">
        <v>46175.743321759262</v>
      </c>
      <c r="I38" s="77">
        <f t="shared" ca="1" si="0"/>
        <v>4.9253706018498633</v>
      </c>
      <c r="J38" s="63"/>
      <c r="K38" s="63"/>
      <c r="L38" s="63"/>
      <c r="M38" s="63" t="s">
        <v>41</v>
      </c>
      <c r="N38" s="63" t="s">
        <v>42</v>
      </c>
      <c r="O38" s="63"/>
      <c r="P38" s="63" t="s">
        <v>1906</v>
      </c>
      <c r="Q38" s="63"/>
      <c r="R38" s="85" t="s">
        <v>2296</v>
      </c>
      <c r="S38" s="63" t="s">
        <v>32</v>
      </c>
      <c r="T38" s="85" t="s">
        <v>1901</v>
      </c>
      <c r="U38" s="85" t="s">
        <v>1901</v>
      </c>
      <c r="V38" s="63" t="e">
        <f>VLOOKUP(B38,[2]Overall!$A:$D,4,0)</f>
        <v>#N/A</v>
      </c>
      <c r="W38" s="63" t="str">
        <f>VLOOKUP(B38,[3]Sheet1!$A:$B,2,0)</f>
        <v>Foyemtcha</v>
      </c>
      <c r="X38" s="89" t="str">
        <f t="shared" si="4"/>
        <v>OST</v>
      </c>
      <c r="Y38" s="81" t="str">
        <f t="shared" ca="1" si="5"/>
        <v>T&gt;72H</v>
      </c>
      <c r="Z38" s="63">
        <f t="shared" si="6"/>
        <v>1</v>
      </c>
      <c r="AA38" s="63" t="s">
        <v>77</v>
      </c>
      <c r="AB38" s="63" t="s">
        <v>1904</v>
      </c>
      <c r="AC38" s="85" t="s">
        <v>2228</v>
      </c>
      <c r="AD38" s="85" t="s">
        <v>1994</v>
      </c>
      <c r="AE38" s="63"/>
    </row>
    <row r="39" spans="1:31" ht="88" x14ac:dyDescent="0.45">
      <c r="A39" s="63" t="s">
        <v>2166</v>
      </c>
      <c r="B39" s="63" t="s">
        <v>2167</v>
      </c>
      <c r="C39" s="68"/>
      <c r="D39" s="63"/>
      <c r="E39" s="63" t="s">
        <v>2176</v>
      </c>
      <c r="F39" s="71" t="s">
        <v>53</v>
      </c>
      <c r="G39" s="71" t="s">
        <v>2121</v>
      </c>
      <c r="H39" s="69">
        <v>46175.743321759262</v>
      </c>
      <c r="I39" s="77">
        <f t="shared" ca="1" si="0"/>
        <v>4.9253706018498633</v>
      </c>
      <c r="J39" s="63"/>
      <c r="K39" s="63"/>
      <c r="L39" s="63"/>
      <c r="M39" s="63" t="s">
        <v>41</v>
      </c>
      <c r="N39" s="63" t="s">
        <v>42</v>
      </c>
      <c r="O39" s="63"/>
      <c r="P39" s="63" t="s">
        <v>1906</v>
      </c>
      <c r="Q39" s="63"/>
      <c r="R39" s="85" t="s">
        <v>2296</v>
      </c>
      <c r="S39" s="63" t="s">
        <v>32</v>
      </c>
      <c r="T39" s="85" t="s">
        <v>1901</v>
      </c>
      <c r="U39" s="85" t="s">
        <v>1901</v>
      </c>
      <c r="V39" s="63" t="e">
        <f>VLOOKUP(B39,[2]Overall!$A:$D,4,0)</f>
        <v>#N/A</v>
      </c>
      <c r="W39" s="63" t="str">
        <f>VLOOKUP(B39,[3]Sheet1!$A:$B,2,0)</f>
        <v>Foyemtcha</v>
      </c>
      <c r="X39" s="89" t="str">
        <f t="shared" si="4"/>
        <v>OST</v>
      </c>
      <c r="Y39" s="81" t="str">
        <f t="shared" ca="1" si="5"/>
        <v>T&gt;72H</v>
      </c>
      <c r="Z39" s="63">
        <f t="shared" si="6"/>
        <v>1</v>
      </c>
      <c r="AA39" s="63" t="s">
        <v>77</v>
      </c>
      <c r="AB39" s="63" t="s">
        <v>1904</v>
      </c>
      <c r="AC39" s="85" t="s">
        <v>2228</v>
      </c>
      <c r="AD39" s="85" t="s">
        <v>1994</v>
      </c>
      <c r="AE39" s="63"/>
    </row>
    <row r="40" spans="1:31" ht="88" x14ac:dyDescent="0.45">
      <c r="A40" s="63" t="s">
        <v>2166</v>
      </c>
      <c r="B40" s="63" t="s">
        <v>2167</v>
      </c>
      <c r="C40" s="68"/>
      <c r="D40" s="63"/>
      <c r="E40" s="63" t="s">
        <v>2171</v>
      </c>
      <c r="F40" s="71" t="s">
        <v>53</v>
      </c>
      <c r="G40" s="71" t="s">
        <v>2121</v>
      </c>
      <c r="H40" s="69">
        <v>46175.743333333332</v>
      </c>
      <c r="I40" s="77">
        <f t="shared" ca="1" si="0"/>
        <v>4.9253590277803596</v>
      </c>
      <c r="J40" s="63"/>
      <c r="K40" s="63"/>
      <c r="L40" s="63"/>
      <c r="M40" s="63" t="s">
        <v>41</v>
      </c>
      <c r="N40" s="63" t="s">
        <v>42</v>
      </c>
      <c r="O40" s="63"/>
      <c r="P40" s="63" t="s">
        <v>1906</v>
      </c>
      <c r="Q40" s="63"/>
      <c r="R40" s="85" t="s">
        <v>2296</v>
      </c>
      <c r="S40" s="63" t="s">
        <v>32</v>
      </c>
      <c r="T40" s="85" t="s">
        <v>1901</v>
      </c>
      <c r="U40" s="85" t="s">
        <v>1901</v>
      </c>
      <c r="V40" s="63" t="e">
        <f>VLOOKUP(B40,[2]Overall!$A:$D,4,0)</f>
        <v>#N/A</v>
      </c>
      <c r="W40" s="63" t="str">
        <f>VLOOKUP(B40,[3]Sheet1!$A:$B,2,0)</f>
        <v>Foyemtcha</v>
      </c>
      <c r="X40" s="89" t="str">
        <f t="shared" si="4"/>
        <v>OST</v>
      </c>
      <c r="Y40" s="81" t="str">
        <f t="shared" ca="1" si="5"/>
        <v>T&gt;72H</v>
      </c>
      <c r="Z40" s="63">
        <f t="shared" si="6"/>
        <v>1</v>
      </c>
      <c r="AA40" s="63" t="s">
        <v>77</v>
      </c>
      <c r="AB40" s="63" t="s">
        <v>1904</v>
      </c>
      <c r="AC40" s="85" t="s">
        <v>2228</v>
      </c>
      <c r="AD40" s="85" t="s">
        <v>1994</v>
      </c>
      <c r="AE40" s="63"/>
    </row>
    <row r="41" spans="1:31" ht="88" x14ac:dyDescent="0.45">
      <c r="A41" s="63" t="s">
        <v>2166</v>
      </c>
      <c r="B41" s="63" t="s">
        <v>2167</v>
      </c>
      <c r="C41" s="68"/>
      <c r="D41" s="63"/>
      <c r="E41" s="63" t="s">
        <v>2170</v>
      </c>
      <c r="F41" s="71" t="s">
        <v>53</v>
      </c>
      <c r="G41" s="71" t="s">
        <v>2121</v>
      </c>
      <c r="H41" s="69">
        <v>46175.743333333332</v>
      </c>
      <c r="I41" s="77">
        <f t="shared" ca="1" si="0"/>
        <v>4.9253590277803596</v>
      </c>
      <c r="J41" s="63"/>
      <c r="K41" s="63"/>
      <c r="L41" s="63"/>
      <c r="M41" s="63" t="s">
        <v>41</v>
      </c>
      <c r="N41" s="63" t="s">
        <v>42</v>
      </c>
      <c r="O41" s="63"/>
      <c r="P41" s="63" t="s">
        <v>1906</v>
      </c>
      <c r="Q41" s="63"/>
      <c r="R41" s="85" t="s">
        <v>2296</v>
      </c>
      <c r="S41" s="63" t="s">
        <v>32</v>
      </c>
      <c r="T41" s="85" t="s">
        <v>1901</v>
      </c>
      <c r="U41" s="85" t="s">
        <v>1901</v>
      </c>
      <c r="V41" s="63" t="e">
        <f>VLOOKUP(B41,[2]Overall!$A:$D,4,0)</f>
        <v>#N/A</v>
      </c>
      <c r="W41" s="63" t="str">
        <f>VLOOKUP(B41,[3]Sheet1!$A:$B,2,0)</f>
        <v>Foyemtcha</v>
      </c>
      <c r="X41" s="89" t="str">
        <f t="shared" si="4"/>
        <v>OST</v>
      </c>
      <c r="Y41" s="81" t="str">
        <f t="shared" ca="1" si="5"/>
        <v>T&gt;72H</v>
      </c>
      <c r="Z41" s="63">
        <f t="shared" si="6"/>
        <v>1</v>
      </c>
      <c r="AA41" s="63" t="s">
        <v>77</v>
      </c>
      <c r="AB41" s="63" t="s">
        <v>1904</v>
      </c>
      <c r="AC41" s="85" t="s">
        <v>2228</v>
      </c>
      <c r="AD41" s="85" t="s">
        <v>1994</v>
      </c>
      <c r="AE41" s="63"/>
    </row>
    <row r="42" spans="1:31" ht="88" x14ac:dyDescent="0.45">
      <c r="A42" s="63" t="s">
        <v>2166</v>
      </c>
      <c r="B42" s="63" t="s">
        <v>2167</v>
      </c>
      <c r="C42" s="68"/>
      <c r="D42" s="63"/>
      <c r="E42" s="63" t="s">
        <v>2174</v>
      </c>
      <c r="F42" s="71" t="s">
        <v>53</v>
      </c>
      <c r="G42" s="71" t="s">
        <v>2121</v>
      </c>
      <c r="H42" s="69">
        <v>46175.743321759262</v>
      </c>
      <c r="I42" s="77">
        <f t="shared" ca="1" si="0"/>
        <v>4.9253706018498633</v>
      </c>
      <c r="J42" s="63"/>
      <c r="K42" s="63"/>
      <c r="L42" s="63"/>
      <c r="M42" s="63" t="s">
        <v>41</v>
      </c>
      <c r="N42" s="63" t="s">
        <v>42</v>
      </c>
      <c r="O42" s="63"/>
      <c r="P42" s="63" t="s">
        <v>1906</v>
      </c>
      <c r="Q42" s="63"/>
      <c r="R42" s="85" t="s">
        <v>2296</v>
      </c>
      <c r="S42" s="63" t="s">
        <v>32</v>
      </c>
      <c r="T42" s="85" t="s">
        <v>1901</v>
      </c>
      <c r="U42" s="85" t="s">
        <v>1901</v>
      </c>
      <c r="V42" s="63" t="e">
        <f>VLOOKUP(B42,[2]Overall!$A:$D,4,0)</f>
        <v>#N/A</v>
      </c>
      <c r="W42" s="63" t="str">
        <f>VLOOKUP(B42,[3]Sheet1!$A:$B,2,0)</f>
        <v>Foyemtcha</v>
      </c>
      <c r="X42" s="89" t="str">
        <f t="shared" si="4"/>
        <v>OST</v>
      </c>
      <c r="Y42" s="81" t="str">
        <f t="shared" ca="1" si="5"/>
        <v>T&gt;72H</v>
      </c>
      <c r="Z42" s="63">
        <f t="shared" si="6"/>
        <v>1</v>
      </c>
      <c r="AA42" s="63" t="s">
        <v>77</v>
      </c>
      <c r="AB42" s="63" t="s">
        <v>1904</v>
      </c>
      <c r="AC42" s="85" t="s">
        <v>2228</v>
      </c>
      <c r="AD42" s="85" t="s">
        <v>1994</v>
      </c>
      <c r="AE42" s="63"/>
    </row>
    <row r="43" spans="1:31" ht="88" x14ac:dyDescent="0.45">
      <c r="A43" s="63" t="s">
        <v>2166</v>
      </c>
      <c r="B43" s="63" t="s">
        <v>2167</v>
      </c>
      <c r="C43" s="68"/>
      <c r="D43" s="63"/>
      <c r="E43" s="63" t="s">
        <v>2169</v>
      </c>
      <c r="F43" s="71" t="s">
        <v>53</v>
      </c>
      <c r="G43" s="71" t="s">
        <v>2121</v>
      </c>
      <c r="H43" s="69">
        <v>46175.743310185186</v>
      </c>
      <c r="I43" s="77">
        <f t="shared" ref="I43:I77" ca="1" si="7">NOW()-H43</f>
        <v>4.925382175926643</v>
      </c>
      <c r="J43" s="63"/>
      <c r="K43" s="63"/>
      <c r="L43" s="63"/>
      <c r="M43" s="63" t="s">
        <v>41</v>
      </c>
      <c r="N43" s="63" t="s">
        <v>42</v>
      </c>
      <c r="O43" s="63"/>
      <c r="P43" s="63" t="s">
        <v>1906</v>
      </c>
      <c r="Q43" s="63"/>
      <c r="R43" s="85" t="s">
        <v>2296</v>
      </c>
      <c r="S43" s="63" t="s">
        <v>32</v>
      </c>
      <c r="T43" s="85" t="s">
        <v>1901</v>
      </c>
      <c r="U43" s="85" t="s">
        <v>1901</v>
      </c>
      <c r="V43" s="63" t="e">
        <f>VLOOKUP(B43,[2]Overall!$A:$D,4,0)</f>
        <v>#N/A</v>
      </c>
      <c r="W43" s="63" t="str">
        <f>VLOOKUP(B43,[3]Sheet1!$A:$B,2,0)</f>
        <v>Foyemtcha</v>
      </c>
      <c r="X43" s="89" t="str">
        <f t="shared" si="4"/>
        <v>OST</v>
      </c>
      <c r="Y43" s="81" t="str">
        <f t="shared" ca="1" si="5"/>
        <v>T&gt;72H</v>
      </c>
      <c r="Z43" s="63">
        <f t="shared" si="6"/>
        <v>1</v>
      </c>
      <c r="AA43" s="63" t="s">
        <v>77</v>
      </c>
      <c r="AB43" s="63" t="s">
        <v>1904</v>
      </c>
      <c r="AC43" s="85" t="s">
        <v>2228</v>
      </c>
      <c r="AD43" s="85" t="s">
        <v>1994</v>
      </c>
      <c r="AE43" s="63"/>
    </row>
    <row r="44" spans="1:31" ht="88" x14ac:dyDescent="0.45">
      <c r="A44" s="63" t="s">
        <v>2166</v>
      </c>
      <c r="B44" s="63" t="s">
        <v>2167</v>
      </c>
      <c r="C44" s="68"/>
      <c r="D44" s="63"/>
      <c r="E44" s="63" t="s">
        <v>2168</v>
      </c>
      <c r="F44" s="71" t="s">
        <v>53</v>
      </c>
      <c r="G44" s="71" t="s">
        <v>2121</v>
      </c>
      <c r="H44" s="69">
        <v>46175.743333333332</v>
      </c>
      <c r="I44" s="77">
        <f t="shared" ca="1" si="7"/>
        <v>4.9253590277803596</v>
      </c>
      <c r="J44" s="63"/>
      <c r="K44" s="63"/>
      <c r="L44" s="63"/>
      <c r="M44" s="63" t="s">
        <v>41</v>
      </c>
      <c r="N44" s="63" t="s">
        <v>42</v>
      </c>
      <c r="O44" s="63"/>
      <c r="P44" s="63" t="s">
        <v>1906</v>
      </c>
      <c r="Q44" s="63"/>
      <c r="R44" s="85" t="s">
        <v>2296</v>
      </c>
      <c r="S44" s="63" t="s">
        <v>32</v>
      </c>
      <c r="T44" s="85" t="s">
        <v>1901</v>
      </c>
      <c r="U44" s="85" t="s">
        <v>1901</v>
      </c>
      <c r="V44" s="63" t="e">
        <f>VLOOKUP(B44,[2]Overall!$A:$D,4,0)</f>
        <v>#N/A</v>
      </c>
      <c r="W44" s="63" t="str">
        <f>VLOOKUP(B44,[3]Sheet1!$A:$B,2,0)</f>
        <v>Foyemtcha</v>
      </c>
      <c r="X44" s="89" t="str">
        <f t="shared" si="4"/>
        <v>OST</v>
      </c>
      <c r="Y44" s="81" t="str">
        <f t="shared" ca="1" si="5"/>
        <v>T&gt;72H</v>
      </c>
      <c r="Z44" s="63">
        <f t="shared" si="6"/>
        <v>1</v>
      </c>
      <c r="AA44" s="63" t="s">
        <v>77</v>
      </c>
      <c r="AB44" s="63" t="s">
        <v>1904</v>
      </c>
      <c r="AC44" s="85" t="s">
        <v>2228</v>
      </c>
      <c r="AD44" s="85" t="s">
        <v>1994</v>
      </c>
      <c r="AE44" s="63"/>
    </row>
    <row r="45" spans="1:31" ht="88" x14ac:dyDescent="0.45">
      <c r="A45" s="63" t="s">
        <v>2166</v>
      </c>
      <c r="B45" s="63" t="s">
        <v>2167</v>
      </c>
      <c r="C45" s="68"/>
      <c r="D45" s="63"/>
      <c r="E45" s="63" t="s">
        <v>2175</v>
      </c>
      <c r="F45" s="71" t="s">
        <v>53</v>
      </c>
      <c r="G45" s="71" t="s">
        <v>2121</v>
      </c>
      <c r="H45" s="69">
        <v>46175.743321759262</v>
      </c>
      <c r="I45" s="77">
        <f t="shared" ca="1" si="7"/>
        <v>4.9253706018498633</v>
      </c>
      <c r="J45" s="63"/>
      <c r="K45" s="63"/>
      <c r="L45" s="63"/>
      <c r="M45" s="63" t="s">
        <v>41</v>
      </c>
      <c r="N45" s="63" t="s">
        <v>42</v>
      </c>
      <c r="O45" s="63"/>
      <c r="P45" s="63" t="s">
        <v>1906</v>
      </c>
      <c r="Q45" s="63"/>
      <c r="R45" s="85" t="s">
        <v>2296</v>
      </c>
      <c r="S45" s="63" t="s">
        <v>32</v>
      </c>
      <c r="T45" s="85" t="s">
        <v>1901</v>
      </c>
      <c r="U45" s="85" t="s">
        <v>1901</v>
      </c>
      <c r="V45" s="63" t="e">
        <f>VLOOKUP(B45,[2]Overall!$A:$D,4,0)</f>
        <v>#N/A</v>
      </c>
      <c r="W45" s="63" t="str">
        <f>VLOOKUP(B45,[3]Sheet1!$A:$B,2,0)</f>
        <v>Foyemtcha</v>
      </c>
      <c r="X45" s="89" t="str">
        <f t="shared" si="4"/>
        <v>OST</v>
      </c>
      <c r="Y45" s="81" t="str">
        <f t="shared" ca="1" si="5"/>
        <v>T&gt;72H</v>
      </c>
      <c r="Z45" s="63">
        <f t="shared" si="6"/>
        <v>1</v>
      </c>
      <c r="AA45" s="63" t="s">
        <v>77</v>
      </c>
      <c r="AB45" s="63" t="s">
        <v>1904</v>
      </c>
      <c r="AC45" s="85" t="s">
        <v>2228</v>
      </c>
      <c r="AD45" s="85" t="s">
        <v>1994</v>
      </c>
      <c r="AE45" s="63"/>
    </row>
    <row r="46" spans="1:31" ht="88" x14ac:dyDescent="0.45">
      <c r="A46" s="63" t="s">
        <v>2166</v>
      </c>
      <c r="B46" s="63" t="s">
        <v>2167</v>
      </c>
      <c r="C46" s="68"/>
      <c r="D46" s="63"/>
      <c r="E46" s="63" t="s">
        <v>2172</v>
      </c>
      <c r="F46" s="71" t="s">
        <v>53</v>
      </c>
      <c r="G46" s="71" t="s">
        <v>2121</v>
      </c>
      <c r="H46" s="69">
        <v>46175.743321759262</v>
      </c>
      <c r="I46" s="77">
        <f t="shared" ca="1" si="7"/>
        <v>4.9253706018498633</v>
      </c>
      <c r="J46" s="63"/>
      <c r="K46" s="63"/>
      <c r="L46" s="63"/>
      <c r="M46" s="63" t="s">
        <v>41</v>
      </c>
      <c r="N46" s="63" t="s">
        <v>42</v>
      </c>
      <c r="O46" s="63"/>
      <c r="P46" s="63" t="s">
        <v>1906</v>
      </c>
      <c r="Q46" s="63"/>
      <c r="R46" s="85" t="s">
        <v>2296</v>
      </c>
      <c r="S46" s="63" t="s">
        <v>32</v>
      </c>
      <c r="T46" s="85" t="s">
        <v>1901</v>
      </c>
      <c r="U46" s="85" t="s">
        <v>1901</v>
      </c>
      <c r="V46" s="63" t="e">
        <f>VLOOKUP(B46,[2]Overall!$A:$D,4,0)</f>
        <v>#N/A</v>
      </c>
      <c r="W46" s="63" t="str">
        <f>VLOOKUP(B46,[3]Sheet1!$A:$B,2,0)</f>
        <v>Foyemtcha</v>
      </c>
      <c r="X46" s="89" t="str">
        <f t="shared" si="4"/>
        <v>EXN</v>
      </c>
      <c r="Y46" s="81" t="str">
        <f t="shared" ca="1" si="5"/>
        <v>T&gt;72H</v>
      </c>
      <c r="Z46" s="63">
        <f t="shared" si="6"/>
        <v>1</v>
      </c>
      <c r="AA46" s="63" t="s">
        <v>77</v>
      </c>
      <c r="AB46" s="63" t="s">
        <v>1904</v>
      </c>
      <c r="AC46" s="85" t="s">
        <v>2228</v>
      </c>
      <c r="AD46" s="85" t="s">
        <v>1994</v>
      </c>
      <c r="AE46" s="63"/>
    </row>
    <row r="47" spans="1:31" ht="102.5" x14ac:dyDescent="0.45">
      <c r="A47" s="61" t="s">
        <v>1632</v>
      </c>
      <c r="B47" s="61" t="s">
        <v>1610</v>
      </c>
      <c r="C47" s="65"/>
      <c r="D47" s="61"/>
      <c r="E47" s="61" t="s">
        <v>49</v>
      </c>
      <c r="F47" s="70" t="s">
        <v>53</v>
      </c>
      <c r="G47" s="70" t="s">
        <v>2121</v>
      </c>
      <c r="H47" s="67">
        <v>46175.758483796293</v>
      </c>
      <c r="I47" s="75">
        <f t="shared" ca="1" si="7"/>
        <v>4.910208564819186</v>
      </c>
      <c r="J47" s="61"/>
      <c r="K47" s="61"/>
      <c r="L47" s="61"/>
      <c r="M47" s="61" t="s">
        <v>41</v>
      </c>
      <c r="N47" s="61" t="s">
        <v>1633</v>
      </c>
      <c r="O47" s="61"/>
      <c r="P47" s="61"/>
      <c r="Q47" s="61"/>
      <c r="R47" s="84" t="s">
        <v>2246</v>
      </c>
      <c r="S47" s="61" t="s">
        <v>40</v>
      </c>
      <c r="T47" s="61" t="s">
        <v>1902</v>
      </c>
      <c r="U47" s="61" t="s">
        <v>1896</v>
      </c>
      <c r="V47" s="61" t="str">
        <f>VLOOKUP(B47,[2]Overall!$A:$D,4,0)</f>
        <v>TELEINFRA NORD</v>
      </c>
      <c r="W47" s="61" t="str">
        <f>VLOOKUP(B47,[3]Sheet1!$A:$B,2,0)</f>
        <v>Zileng</v>
      </c>
      <c r="X47" s="88" t="str">
        <f t="shared" si="4"/>
        <v>EXN</v>
      </c>
      <c r="Y47" s="80" t="str">
        <f t="shared" ca="1" si="5"/>
        <v>T&gt;72H</v>
      </c>
      <c r="Z47" s="61">
        <f t="shared" si="6"/>
        <v>1</v>
      </c>
      <c r="AA47" s="61" t="s">
        <v>1566</v>
      </c>
      <c r="AB47" s="61" t="s">
        <v>1904</v>
      </c>
      <c r="AC47" s="84" t="s">
        <v>2228</v>
      </c>
      <c r="AD47" s="84" t="s">
        <v>1994</v>
      </c>
      <c r="AE47" s="61"/>
    </row>
    <row r="48" spans="1:31" ht="88" x14ac:dyDescent="0.45">
      <c r="A48" s="61" t="s">
        <v>1611</v>
      </c>
      <c r="B48" s="61" t="s">
        <v>1610</v>
      </c>
      <c r="C48" s="65"/>
      <c r="D48" s="61"/>
      <c r="E48" s="61" t="s">
        <v>1647</v>
      </c>
      <c r="F48" s="70" t="s">
        <v>53</v>
      </c>
      <c r="G48" s="70" t="s">
        <v>2121</v>
      </c>
      <c r="H48" s="67">
        <v>46175.75886574074</v>
      </c>
      <c r="I48" s="75">
        <f t="shared" ca="1" si="7"/>
        <v>4.909826620372769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84" t="s">
        <v>2246</v>
      </c>
      <c r="S48" s="61" t="s">
        <v>40</v>
      </c>
      <c r="T48" s="61" t="s">
        <v>1902</v>
      </c>
      <c r="U48" s="61" t="s">
        <v>1896</v>
      </c>
      <c r="V48" s="61" t="str">
        <f>VLOOKUP(B48,[2]Overall!$A:$D,4,0)</f>
        <v>TELEINFRA NORD</v>
      </c>
      <c r="W48" s="61" t="str">
        <f>VLOOKUP(B48,[3]Sheet1!$A:$B,2,0)</f>
        <v>Zileng</v>
      </c>
      <c r="X48" s="88" t="str">
        <f t="shared" si="4"/>
        <v>EXN</v>
      </c>
      <c r="Y48" s="80" t="str">
        <f t="shared" ca="1" si="5"/>
        <v>T&gt;72H</v>
      </c>
      <c r="Z48" s="61">
        <f t="shared" si="6"/>
        <v>1</v>
      </c>
      <c r="AA48" s="61" t="s">
        <v>1566</v>
      </c>
      <c r="AB48" s="61" t="s">
        <v>1904</v>
      </c>
      <c r="AC48" s="84" t="s">
        <v>2228</v>
      </c>
      <c r="AD48" s="84" t="s">
        <v>1994</v>
      </c>
      <c r="AE48" s="61"/>
    </row>
    <row r="49" spans="1:31" ht="88" x14ac:dyDescent="0.45">
      <c r="A49" s="61" t="s">
        <v>1611</v>
      </c>
      <c r="B49" s="61" t="s">
        <v>1610</v>
      </c>
      <c r="C49" s="65"/>
      <c r="D49" s="61"/>
      <c r="E49" s="61" t="s">
        <v>1650</v>
      </c>
      <c r="F49" s="70" t="s">
        <v>53</v>
      </c>
      <c r="G49" s="70" t="s">
        <v>2121</v>
      </c>
      <c r="H49" s="67">
        <v>46175.75886574074</v>
      </c>
      <c r="I49" s="75">
        <f t="shared" ca="1" si="7"/>
        <v>4.909826620372769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84" t="s">
        <v>2246</v>
      </c>
      <c r="S49" s="61" t="s">
        <v>40</v>
      </c>
      <c r="T49" s="61" t="s">
        <v>1902</v>
      </c>
      <c r="U49" s="61" t="s">
        <v>1896</v>
      </c>
      <c r="V49" s="61" t="str">
        <f>VLOOKUP(B49,[2]Overall!$A:$D,4,0)</f>
        <v>TELEINFRA NORD</v>
      </c>
      <c r="W49" s="61" t="str">
        <f>VLOOKUP(B49,[3]Sheet1!$A:$B,2,0)</f>
        <v>Zileng</v>
      </c>
      <c r="X49" s="88" t="str">
        <f t="shared" si="4"/>
        <v>EXN</v>
      </c>
      <c r="Y49" s="80" t="str">
        <f t="shared" ca="1" si="5"/>
        <v>T&gt;72H</v>
      </c>
      <c r="Z49" s="61">
        <f t="shared" si="6"/>
        <v>1</v>
      </c>
      <c r="AA49" s="61" t="s">
        <v>1566</v>
      </c>
      <c r="AB49" s="61" t="s">
        <v>1904</v>
      </c>
      <c r="AC49" s="84" t="s">
        <v>2228</v>
      </c>
      <c r="AD49" s="84" t="s">
        <v>1994</v>
      </c>
      <c r="AE49" s="61"/>
    </row>
    <row r="50" spans="1:31" ht="88" x14ac:dyDescent="0.45">
      <c r="A50" s="61" t="s">
        <v>1611</v>
      </c>
      <c r="B50" s="61" t="s">
        <v>1610</v>
      </c>
      <c r="C50" s="65"/>
      <c r="D50" s="61"/>
      <c r="E50" s="61" t="s">
        <v>1643</v>
      </c>
      <c r="F50" s="70" t="s">
        <v>53</v>
      </c>
      <c r="G50" s="70" t="s">
        <v>2121</v>
      </c>
      <c r="H50" s="67">
        <v>46175.75886574074</v>
      </c>
      <c r="I50" s="75">
        <f t="shared" ca="1" si="7"/>
        <v>4.909826620372769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84" t="s">
        <v>2246</v>
      </c>
      <c r="S50" s="61" t="s">
        <v>40</v>
      </c>
      <c r="T50" s="61" t="s">
        <v>1902</v>
      </c>
      <c r="U50" s="61" t="s">
        <v>1896</v>
      </c>
      <c r="V50" s="61" t="str">
        <f>VLOOKUP(B50,[2]Overall!$A:$D,4,0)</f>
        <v>TELEINFRA NORD</v>
      </c>
      <c r="W50" s="61" t="str">
        <f>VLOOKUP(B50,[3]Sheet1!$A:$B,2,0)</f>
        <v>Zileng</v>
      </c>
      <c r="X50" s="88" t="str">
        <f t="shared" si="4"/>
        <v>EXN</v>
      </c>
      <c r="Y50" s="80" t="str">
        <f t="shared" ca="1" si="5"/>
        <v>T&gt;72H</v>
      </c>
      <c r="Z50" s="61">
        <f t="shared" si="6"/>
        <v>1</v>
      </c>
      <c r="AA50" s="61" t="s">
        <v>1566</v>
      </c>
      <c r="AB50" s="61" t="s">
        <v>1904</v>
      </c>
      <c r="AC50" s="84" t="s">
        <v>2228</v>
      </c>
      <c r="AD50" s="84" t="s">
        <v>1994</v>
      </c>
      <c r="AE50" s="61"/>
    </row>
    <row r="51" spans="1:31" ht="88" x14ac:dyDescent="0.45">
      <c r="A51" s="61" t="s">
        <v>1611</v>
      </c>
      <c r="B51" s="61" t="s">
        <v>1610</v>
      </c>
      <c r="C51" s="65"/>
      <c r="D51" s="61"/>
      <c r="E51" s="61" t="s">
        <v>1645</v>
      </c>
      <c r="F51" s="70" t="s">
        <v>53</v>
      </c>
      <c r="G51" s="70" t="s">
        <v>2121</v>
      </c>
      <c r="H51" s="67">
        <v>46175.75886574074</v>
      </c>
      <c r="I51" s="75">
        <f t="shared" ca="1" si="7"/>
        <v>4.909826620372769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84" t="s">
        <v>2246</v>
      </c>
      <c r="S51" s="61" t="s">
        <v>40</v>
      </c>
      <c r="T51" s="61" t="s">
        <v>1902</v>
      </c>
      <c r="U51" s="61" t="s">
        <v>1896</v>
      </c>
      <c r="V51" s="61" t="str">
        <f>VLOOKUP(B51,[2]Overall!$A:$D,4,0)</f>
        <v>TELEINFRA NORD</v>
      </c>
      <c r="W51" s="61" t="str">
        <f>VLOOKUP(B51,[3]Sheet1!$A:$B,2,0)</f>
        <v>Zileng</v>
      </c>
      <c r="X51" s="88" t="str">
        <f t="shared" si="4"/>
        <v>EXN</v>
      </c>
      <c r="Y51" s="80" t="str">
        <f t="shared" ca="1" si="5"/>
        <v>T&gt;72H</v>
      </c>
      <c r="Z51" s="61">
        <f t="shared" si="6"/>
        <v>1</v>
      </c>
      <c r="AA51" s="61" t="s">
        <v>1566</v>
      </c>
      <c r="AB51" s="61" t="s">
        <v>1904</v>
      </c>
      <c r="AC51" s="84" t="s">
        <v>2228</v>
      </c>
      <c r="AD51" s="84" t="s">
        <v>1994</v>
      </c>
      <c r="AE51" s="61"/>
    </row>
    <row r="52" spans="1:31" ht="88" x14ac:dyDescent="0.45">
      <c r="A52" s="61" t="s">
        <v>1611</v>
      </c>
      <c r="B52" s="61" t="s">
        <v>1610</v>
      </c>
      <c r="C52" s="65"/>
      <c r="D52" s="61"/>
      <c r="E52" s="61" t="s">
        <v>1649</v>
      </c>
      <c r="F52" s="70" t="s">
        <v>53</v>
      </c>
      <c r="G52" s="70" t="s">
        <v>2121</v>
      </c>
      <c r="H52" s="67">
        <v>46175.75885416667</v>
      </c>
      <c r="I52" s="75">
        <f t="shared" ca="1" si="7"/>
        <v>4.9098381944422727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84" t="s">
        <v>2246</v>
      </c>
      <c r="S52" s="61" t="s">
        <v>40</v>
      </c>
      <c r="T52" s="61" t="s">
        <v>1902</v>
      </c>
      <c r="U52" s="61" t="s">
        <v>1896</v>
      </c>
      <c r="V52" s="61" t="str">
        <f>VLOOKUP(B52,[2]Overall!$A:$D,4,0)</f>
        <v>TELEINFRA NORD</v>
      </c>
      <c r="W52" s="61" t="str">
        <f>VLOOKUP(B52,[3]Sheet1!$A:$B,2,0)</f>
        <v>Zileng</v>
      </c>
      <c r="X52" s="88" t="str">
        <f t="shared" si="4"/>
        <v>EXN</v>
      </c>
      <c r="Y52" s="80" t="str">
        <f t="shared" ca="1" si="5"/>
        <v>T&gt;72H</v>
      </c>
      <c r="Z52" s="61">
        <f t="shared" si="6"/>
        <v>1</v>
      </c>
      <c r="AA52" s="61" t="s">
        <v>1566</v>
      </c>
      <c r="AB52" s="61" t="s">
        <v>1904</v>
      </c>
      <c r="AC52" s="84" t="s">
        <v>2228</v>
      </c>
      <c r="AD52" s="84" t="s">
        <v>1994</v>
      </c>
      <c r="AE52" s="61"/>
    </row>
    <row r="53" spans="1:31" ht="88" x14ac:dyDescent="0.45">
      <c r="A53" s="61" t="s">
        <v>1611</v>
      </c>
      <c r="B53" s="61" t="s">
        <v>1610</v>
      </c>
      <c r="C53" s="65"/>
      <c r="D53" s="61"/>
      <c r="E53" s="61" t="s">
        <v>1644</v>
      </c>
      <c r="F53" s="70" t="s">
        <v>53</v>
      </c>
      <c r="G53" s="70" t="s">
        <v>2121</v>
      </c>
      <c r="H53" s="67">
        <v>46175.75886574074</v>
      </c>
      <c r="I53" s="75">
        <f t="shared" ca="1" si="7"/>
        <v>4.909826620372769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84" t="s">
        <v>2246</v>
      </c>
      <c r="S53" s="61" t="s">
        <v>40</v>
      </c>
      <c r="T53" s="61" t="s">
        <v>1902</v>
      </c>
      <c r="U53" s="61" t="s">
        <v>1896</v>
      </c>
      <c r="V53" s="61" t="str">
        <f>VLOOKUP(B53,[2]Overall!$A:$D,4,0)</f>
        <v>TELEINFRA NORD</v>
      </c>
      <c r="W53" s="61" t="str">
        <f>VLOOKUP(B53,[3]Sheet1!$A:$B,2,0)</f>
        <v>Zileng</v>
      </c>
      <c r="X53" s="88" t="str">
        <f t="shared" si="4"/>
        <v>EXN</v>
      </c>
      <c r="Y53" s="80" t="str">
        <f t="shared" ca="1" si="5"/>
        <v>T&gt;72H</v>
      </c>
      <c r="Z53" s="61">
        <f t="shared" si="6"/>
        <v>1</v>
      </c>
      <c r="AA53" s="61" t="s">
        <v>1566</v>
      </c>
      <c r="AB53" s="61" t="s">
        <v>1904</v>
      </c>
      <c r="AC53" s="84" t="s">
        <v>2228</v>
      </c>
      <c r="AD53" s="84" t="s">
        <v>1994</v>
      </c>
      <c r="AE53" s="61"/>
    </row>
    <row r="54" spans="1:31" ht="88" x14ac:dyDescent="0.45">
      <c r="A54" s="61" t="s">
        <v>1611</v>
      </c>
      <c r="B54" s="61" t="s">
        <v>1610</v>
      </c>
      <c r="C54" s="65"/>
      <c r="D54" s="61"/>
      <c r="E54" s="61" t="s">
        <v>1648</v>
      </c>
      <c r="F54" s="70" t="s">
        <v>53</v>
      </c>
      <c r="G54" s="70" t="s">
        <v>2121</v>
      </c>
      <c r="H54" s="67">
        <v>46175.75886574074</v>
      </c>
      <c r="I54" s="75">
        <f t="shared" ca="1" si="7"/>
        <v>4.909826620372769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84" t="s">
        <v>2246</v>
      </c>
      <c r="S54" s="61" t="s">
        <v>40</v>
      </c>
      <c r="T54" s="61" t="s">
        <v>1902</v>
      </c>
      <c r="U54" s="61" t="s">
        <v>1896</v>
      </c>
      <c r="V54" s="61" t="str">
        <f>VLOOKUP(B54,[2]Overall!$A:$D,4,0)</f>
        <v>TELEINFRA NORD</v>
      </c>
      <c r="W54" s="61" t="str">
        <f>VLOOKUP(B54,[3]Sheet1!$A:$B,2,0)</f>
        <v>Zileng</v>
      </c>
      <c r="X54" s="88" t="str">
        <f t="shared" si="4"/>
        <v>EXN</v>
      </c>
      <c r="Y54" s="80" t="str">
        <f t="shared" ca="1" si="5"/>
        <v>T&gt;72H</v>
      </c>
      <c r="Z54" s="61">
        <f t="shared" si="6"/>
        <v>1</v>
      </c>
      <c r="AA54" s="61" t="s">
        <v>1566</v>
      </c>
      <c r="AB54" s="61" t="s">
        <v>1904</v>
      </c>
      <c r="AC54" s="84" t="s">
        <v>2228</v>
      </c>
      <c r="AD54" s="84" t="s">
        <v>1994</v>
      </c>
      <c r="AE54" s="61"/>
    </row>
    <row r="55" spans="1:31" ht="88" x14ac:dyDescent="0.45">
      <c r="A55" s="61" t="s">
        <v>1611</v>
      </c>
      <c r="B55" s="61" t="s">
        <v>1610</v>
      </c>
      <c r="C55" s="65"/>
      <c r="D55" s="61"/>
      <c r="E55" s="61" t="s">
        <v>1642</v>
      </c>
      <c r="F55" s="70" t="s">
        <v>53</v>
      </c>
      <c r="G55" s="70" t="s">
        <v>2121</v>
      </c>
      <c r="H55" s="67">
        <v>46175.75886574074</v>
      </c>
      <c r="I55" s="75">
        <f t="shared" ca="1" si="7"/>
        <v>4.909826620372769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84" t="s">
        <v>2246</v>
      </c>
      <c r="S55" s="61" t="s">
        <v>40</v>
      </c>
      <c r="T55" s="61" t="s">
        <v>1902</v>
      </c>
      <c r="U55" s="61" t="s">
        <v>1896</v>
      </c>
      <c r="V55" s="61" t="str">
        <f>VLOOKUP(B55,[2]Overall!$A:$D,4,0)</f>
        <v>TELEINFRA NORD</v>
      </c>
      <c r="W55" s="61" t="str">
        <f>VLOOKUP(B55,[3]Sheet1!$A:$B,2,0)</f>
        <v>Zileng</v>
      </c>
      <c r="X55" s="88" t="str">
        <f t="shared" si="4"/>
        <v>EXN</v>
      </c>
      <c r="Y55" s="80" t="str">
        <f t="shared" ca="1" si="5"/>
        <v>T&gt;72H</v>
      </c>
      <c r="Z55" s="61">
        <f t="shared" si="6"/>
        <v>1</v>
      </c>
      <c r="AA55" s="61" t="s">
        <v>1566</v>
      </c>
      <c r="AB55" s="61" t="s">
        <v>1904</v>
      </c>
      <c r="AC55" s="84" t="s">
        <v>2228</v>
      </c>
      <c r="AD55" s="84" t="s">
        <v>1994</v>
      </c>
      <c r="AE55" s="61"/>
    </row>
    <row r="56" spans="1:31" ht="88" x14ac:dyDescent="0.45">
      <c r="A56" s="61" t="s">
        <v>1611</v>
      </c>
      <c r="B56" s="61" t="s">
        <v>1610</v>
      </c>
      <c r="C56" s="65"/>
      <c r="D56" s="61"/>
      <c r="E56" s="61" t="s">
        <v>1646</v>
      </c>
      <c r="F56" s="70" t="s">
        <v>53</v>
      </c>
      <c r="G56" s="70" t="s">
        <v>2121</v>
      </c>
      <c r="H56" s="67">
        <v>46175.75886574074</v>
      </c>
      <c r="I56" s="75">
        <f t="shared" ca="1" si="7"/>
        <v>4.909826620372769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84" t="s">
        <v>2246</v>
      </c>
      <c r="S56" s="61" t="s">
        <v>40</v>
      </c>
      <c r="T56" s="61" t="s">
        <v>1902</v>
      </c>
      <c r="U56" s="61" t="s">
        <v>1896</v>
      </c>
      <c r="V56" s="61" t="str">
        <f>VLOOKUP(B56,[2]Overall!$A:$D,4,0)</f>
        <v>TELEINFRA NORD</v>
      </c>
      <c r="W56" s="61" t="str">
        <f>VLOOKUP(B56,[3]Sheet1!$A:$B,2,0)</f>
        <v>Zileng</v>
      </c>
      <c r="X56" s="88" t="str">
        <f t="shared" si="4"/>
        <v>EXN</v>
      </c>
      <c r="Y56" s="80" t="str">
        <f t="shared" ca="1" si="5"/>
        <v>T&gt;72H</v>
      </c>
      <c r="Z56" s="61">
        <f t="shared" si="6"/>
        <v>1</v>
      </c>
      <c r="AA56" s="61" t="s">
        <v>1566</v>
      </c>
      <c r="AB56" s="61" t="s">
        <v>1904</v>
      </c>
      <c r="AC56" s="84" t="s">
        <v>2228</v>
      </c>
      <c r="AD56" s="84" t="s">
        <v>1994</v>
      </c>
      <c r="AE56" s="61"/>
    </row>
    <row r="57" spans="1:31" ht="88" x14ac:dyDescent="0.45">
      <c r="A57" s="61" t="s">
        <v>1611</v>
      </c>
      <c r="B57" s="61" t="s">
        <v>1610</v>
      </c>
      <c r="C57" s="65"/>
      <c r="D57" s="61"/>
      <c r="E57" s="61" t="s">
        <v>1615</v>
      </c>
      <c r="F57" s="70" t="s">
        <v>53</v>
      </c>
      <c r="G57" s="70" t="s">
        <v>2121</v>
      </c>
      <c r="H57" s="67">
        <v>46175.759166666663</v>
      </c>
      <c r="I57" s="75">
        <f t="shared" ca="1" si="7"/>
        <v>4.9095256944492576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84" t="s">
        <v>2246</v>
      </c>
      <c r="S57" s="61" t="s">
        <v>40</v>
      </c>
      <c r="T57" s="61" t="s">
        <v>1902</v>
      </c>
      <c r="U57" s="61" t="s">
        <v>1896</v>
      </c>
      <c r="V57" s="61" t="str">
        <f>VLOOKUP(B57,[2]Overall!$A:$D,4,0)</f>
        <v>TELEINFRA NORD</v>
      </c>
      <c r="W57" s="61" t="str">
        <f>VLOOKUP(B57,[3]Sheet1!$A:$B,2,0)</f>
        <v>Zileng</v>
      </c>
      <c r="X57" s="88" t="str">
        <f t="shared" si="4"/>
        <v>EXN</v>
      </c>
      <c r="Y57" s="80" t="str">
        <f t="shared" ca="1" si="5"/>
        <v>T&gt;72H</v>
      </c>
      <c r="Z57" s="61">
        <f t="shared" si="6"/>
        <v>1</v>
      </c>
      <c r="AA57" s="61" t="s">
        <v>1566</v>
      </c>
      <c r="AB57" s="61" t="s">
        <v>1904</v>
      </c>
      <c r="AC57" s="84" t="s">
        <v>2228</v>
      </c>
      <c r="AD57" s="84" t="s">
        <v>1994</v>
      </c>
      <c r="AE57" s="61"/>
    </row>
    <row r="58" spans="1:31" ht="88" x14ac:dyDescent="0.45">
      <c r="A58" s="61" t="s">
        <v>1611</v>
      </c>
      <c r="B58" s="61" t="s">
        <v>1610</v>
      </c>
      <c r="C58" s="65"/>
      <c r="D58" s="61"/>
      <c r="E58" s="61" t="s">
        <v>1612</v>
      </c>
      <c r="F58" s="70" t="s">
        <v>53</v>
      </c>
      <c r="G58" s="70" t="s">
        <v>2121</v>
      </c>
      <c r="H58" s="67">
        <v>46175.759166666663</v>
      </c>
      <c r="I58" s="75">
        <f t="shared" ca="1" si="7"/>
        <v>4.9095256944492576</v>
      </c>
      <c r="J58" s="61"/>
      <c r="K58" s="61"/>
      <c r="L58" s="61"/>
      <c r="M58" s="61" t="s">
        <v>41</v>
      </c>
      <c r="N58" s="61" t="s">
        <v>42</v>
      </c>
      <c r="O58" s="61"/>
      <c r="P58" s="61"/>
      <c r="Q58" s="61"/>
      <c r="R58" s="84" t="s">
        <v>2246</v>
      </c>
      <c r="S58" s="61" t="s">
        <v>40</v>
      </c>
      <c r="T58" s="61" t="s">
        <v>1902</v>
      </c>
      <c r="U58" s="61" t="s">
        <v>1896</v>
      </c>
      <c r="V58" s="61" t="str">
        <f>VLOOKUP(B58,[2]Overall!$A:$D,4,0)</f>
        <v>TELEINFRA NORD</v>
      </c>
      <c r="W58" s="61" t="str">
        <f>VLOOKUP(B58,[3]Sheet1!$A:$B,2,0)</f>
        <v>Zileng</v>
      </c>
      <c r="X58" s="88" t="str">
        <f t="shared" si="4"/>
        <v>EXN</v>
      </c>
      <c r="Y58" s="80" t="str">
        <f t="shared" ca="1" si="5"/>
        <v>T&gt;72H</v>
      </c>
      <c r="Z58" s="61">
        <f t="shared" si="6"/>
        <v>1</v>
      </c>
      <c r="AA58" s="61" t="s">
        <v>1566</v>
      </c>
      <c r="AB58" s="61" t="s">
        <v>1904</v>
      </c>
      <c r="AC58" s="84" t="s">
        <v>2228</v>
      </c>
      <c r="AD58" s="84" t="s">
        <v>1994</v>
      </c>
      <c r="AE58" s="61"/>
    </row>
    <row r="59" spans="1:31" ht="88" x14ac:dyDescent="0.45">
      <c r="A59" s="61" t="s">
        <v>1611</v>
      </c>
      <c r="B59" s="61" t="s">
        <v>1610</v>
      </c>
      <c r="C59" s="65"/>
      <c r="D59" s="61"/>
      <c r="E59" s="61" t="s">
        <v>1616</v>
      </c>
      <c r="F59" s="70" t="s">
        <v>53</v>
      </c>
      <c r="G59" s="70" t="s">
        <v>2121</v>
      </c>
      <c r="H59" s="67">
        <v>46175.759166666663</v>
      </c>
      <c r="I59" s="75">
        <f t="shared" ca="1" si="7"/>
        <v>4.9095256944492576</v>
      </c>
      <c r="J59" s="61"/>
      <c r="K59" s="61"/>
      <c r="L59" s="61"/>
      <c r="M59" s="61" t="s">
        <v>41</v>
      </c>
      <c r="N59" s="61" t="s">
        <v>42</v>
      </c>
      <c r="O59" s="61"/>
      <c r="P59" s="61"/>
      <c r="Q59" s="61"/>
      <c r="R59" s="84" t="s">
        <v>2246</v>
      </c>
      <c r="S59" s="61" t="s">
        <v>40</v>
      </c>
      <c r="T59" s="61" t="s">
        <v>1902</v>
      </c>
      <c r="U59" s="61" t="s">
        <v>1896</v>
      </c>
      <c r="V59" s="61" t="str">
        <f>VLOOKUP(B59,[2]Overall!$A:$D,4,0)</f>
        <v>TELEINFRA NORD</v>
      </c>
      <c r="W59" s="61" t="str">
        <f>VLOOKUP(B59,[3]Sheet1!$A:$B,2,0)</f>
        <v>Zileng</v>
      </c>
      <c r="X59" s="88" t="str">
        <f t="shared" si="4"/>
        <v>EXN</v>
      </c>
      <c r="Y59" s="80" t="str">
        <f t="shared" ca="1" si="5"/>
        <v>T&gt;72H</v>
      </c>
      <c r="Z59" s="61">
        <f t="shared" si="6"/>
        <v>1</v>
      </c>
      <c r="AA59" s="61" t="s">
        <v>1566</v>
      </c>
      <c r="AB59" s="61" t="s">
        <v>1904</v>
      </c>
      <c r="AC59" s="84" t="s">
        <v>2228</v>
      </c>
      <c r="AD59" s="84" t="s">
        <v>1994</v>
      </c>
      <c r="AE59" s="61"/>
    </row>
    <row r="60" spans="1:31" ht="88" x14ac:dyDescent="0.45">
      <c r="A60" s="61" t="s">
        <v>1611</v>
      </c>
      <c r="B60" s="61" t="s">
        <v>1610</v>
      </c>
      <c r="C60" s="65"/>
      <c r="D60" s="61"/>
      <c r="E60" s="61" t="s">
        <v>1613</v>
      </c>
      <c r="F60" s="70" t="s">
        <v>53</v>
      </c>
      <c r="G60" s="70" t="s">
        <v>2121</v>
      </c>
      <c r="H60" s="67">
        <v>46175.759166666663</v>
      </c>
      <c r="I60" s="75">
        <f t="shared" ca="1" si="7"/>
        <v>4.9095256944492576</v>
      </c>
      <c r="J60" s="61"/>
      <c r="K60" s="61"/>
      <c r="L60" s="61"/>
      <c r="M60" s="61" t="s">
        <v>41</v>
      </c>
      <c r="N60" s="61" t="s">
        <v>42</v>
      </c>
      <c r="O60" s="61"/>
      <c r="P60" s="61"/>
      <c r="Q60" s="61"/>
      <c r="R60" s="84" t="s">
        <v>2246</v>
      </c>
      <c r="S60" s="61" t="s">
        <v>40</v>
      </c>
      <c r="T60" s="61" t="s">
        <v>1902</v>
      </c>
      <c r="U60" s="61" t="s">
        <v>1896</v>
      </c>
      <c r="V60" s="61" t="str">
        <f>VLOOKUP(B60,[2]Overall!$A:$D,4,0)</f>
        <v>TELEINFRA NORD</v>
      </c>
      <c r="W60" s="61" t="str">
        <f>VLOOKUP(B60,[3]Sheet1!$A:$B,2,0)</f>
        <v>Zileng</v>
      </c>
      <c r="X60" s="88" t="str">
        <f t="shared" si="4"/>
        <v>EXN</v>
      </c>
      <c r="Y60" s="80" t="str">
        <f t="shared" ca="1" si="5"/>
        <v>T&gt;72H</v>
      </c>
      <c r="Z60" s="61">
        <f t="shared" si="6"/>
        <v>1</v>
      </c>
      <c r="AA60" s="61" t="s">
        <v>1566</v>
      </c>
      <c r="AB60" s="61" t="s">
        <v>1904</v>
      </c>
      <c r="AC60" s="84" t="s">
        <v>2228</v>
      </c>
      <c r="AD60" s="84" t="s">
        <v>1994</v>
      </c>
      <c r="AE60" s="61"/>
    </row>
    <row r="61" spans="1:31" ht="88" x14ac:dyDescent="0.45">
      <c r="A61" s="61" t="s">
        <v>1611</v>
      </c>
      <c r="B61" s="61" t="s">
        <v>1610</v>
      </c>
      <c r="C61" s="65"/>
      <c r="D61" s="61"/>
      <c r="E61" s="61" t="s">
        <v>1614</v>
      </c>
      <c r="F61" s="70" t="s">
        <v>53</v>
      </c>
      <c r="G61" s="70" t="s">
        <v>2121</v>
      </c>
      <c r="H61" s="67">
        <v>46175.759155092594</v>
      </c>
      <c r="I61" s="75">
        <f t="shared" ca="1" si="7"/>
        <v>4.9095372685187613</v>
      </c>
      <c r="J61" s="61"/>
      <c r="K61" s="61"/>
      <c r="L61" s="61"/>
      <c r="M61" s="61" t="s">
        <v>41</v>
      </c>
      <c r="N61" s="61" t="s">
        <v>42</v>
      </c>
      <c r="O61" s="61"/>
      <c r="P61" s="61"/>
      <c r="Q61" s="61"/>
      <c r="R61" s="84" t="s">
        <v>2246</v>
      </c>
      <c r="S61" s="61" t="s">
        <v>40</v>
      </c>
      <c r="T61" s="61" t="s">
        <v>1902</v>
      </c>
      <c r="U61" s="61" t="s">
        <v>1896</v>
      </c>
      <c r="V61" s="61" t="str">
        <f>VLOOKUP(B61,[2]Overall!$A:$D,4,0)</f>
        <v>TELEINFRA NORD</v>
      </c>
      <c r="W61" s="61" t="str">
        <f>VLOOKUP(B61,[3]Sheet1!$A:$B,2,0)</f>
        <v>Zileng</v>
      </c>
      <c r="X61" s="88" t="str">
        <f t="shared" si="4"/>
        <v>EXN</v>
      </c>
      <c r="Y61" s="80" t="str">
        <f t="shared" ca="1" si="5"/>
        <v>T&gt;72H</v>
      </c>
      <c r="Z61" s="61">
        <f t="shared" si="6"/>
        <v>1</v>
      </c>
      <c r="AA61" s="61" t="s">
        <v>1566</v>
      </c>
      <c r="AB61" s="61" t="s">
        <v>1904</v>
      </c>
      <c r="AC61" s="84" t="s">
        <v>2228</v>
      </c>
      <c r="AD61" s="84" t="s">
        <v>1994</v>
      </c>
      <c r="AE61" s="61"/>
    </row>
    <row r="62" spans="1:31" ht="88" x14ac:dyDescent="0.45">
      <c r="A62" s="61" t="s">
        <v>1611</v>
      </c>
      <c r="B62" s="61" t="s">
        <v>1610</v>
      </c>
      <c r="C62" s="65"/>
      <c r="D62" s="61"/>
      <c r="E62" s="61" t="s">
        <v>1617</v>
      </c>
      <c r="F62" s="70" t="s">
        <v>53</v>
      </c>
      <c r="G62" s="70" t="s">
        <v>2121</v>
      </c>
      <c r="H62" s="67">
        <v>46175.759166666663</v>
      </c>
      <c r="I62" s="75">
        <f t="shared" ca="1" si="7"/>
        <v>4.9095256944492576</v>
      </c>
      <c r="J62" s="61"/>
      <c r="K62" s="61"/>
      <c r="L62" s="61"/>
      <c r="M62" s="61" t="s">
        <v>41</v>
      </c>
      <c r="N62" s="61" t="s">
        <v>42</v>
      </c>
      <c r="O62" s="61"/>
      <c r="P62" s="61"/>
      <c r="Q62" s="61"/>
      <c r="R62" s="84" t="s">
        <v>2246</v>
      </c>
      <c r="S62" s="61" t="s">
        <v>40</v>
      </c>
      <c r="T62" s="61" t="s">
        <v>1902</v>
      </c>
      <c r="U62" s="61" t="s">
        <v>1896</v>
      </c>
      <c r="V62" s="61" t="str">
        <f>VLOOKUP(B62,[2]Overall!$A:$D,4,0)</f>
        <v>TELEINFRA NORD</v>
      </c>
      <c r="W62" s="61" t="str">
        <f>VLOOKUP(B62,[3]Sheet1!$A:$B,2,0)</f>
        <v>Zileng</v>
      </c>
      <c r="X62" s="88" t="e">
        <f>LEFT(#REF!,3)</f>
        <v>#REF!</v>
      </c>
      <c r="Y62" s="80" t="str">
        <f t="shared" ca="1" si="5"/>
        <v>T&gt;72H</v>
      </c>
      <c r="Z62" s="61">
        <f t="shared" si="6"/>
        <v>1</v>
      </c>
      <c r="AA62" s="61" t="s">
        <v>1566</v>
      </c>
      <c r="AB62" s="61" t="s">
        <v>1904</v>
      </c>
      <c r="AC62" s="84" t="s">
        <v>2228</v>
      </c>
      <c r="AD62" s="84" t="s">
        <v>1994</v>
      </c>
      <c r="AE62" s="61"/>
    </row>
    <row r="63" spans="1:31" ht="117" x14ac:dyDescent="0.45">
      <c r="A63" s="61" t="s">
        <v>1892</v>
      </c>
      <c r="B63" s="61" t="s">
        <v>1893</v>
      </c>
      <c r="C63" s="65"/>
      <c r="D63" s="61"/>
      <c r="E63" s="61" t="s">
        <v>2199</v>
      </c>
      <c r="F63" s="70" t="s">
        <v>53</v>
      </c>
      <c r="G63" s="70" t="s">
        <v>2121</v>
      </c>
      <c r="H63" s="67">
        <v>46175.837418981479</v>
      </c>
      <c r="I63" s="75">
        <f t="shared" ca="1" si="7"/>
        <v>4.8312733796337852</v>
      </c>
      <c r="J63" s="61"/>
      <c r="K63" s="61"/>
      <c r="L63" s="61"/>
      <c r="M63" s="61" t="s">
        <v>41</v>
      </c>
      <c r="N63" s="61" t="s">
        <v>42</v>
      </c>
      <c r="O63" s="61"/>
      <c r="P63" s="61"/>
      <c r="Q63" s="61"/>
      <c r="R63" s="84" t="s">
        <v>2231</v>
      </c>
      <c r="S63" s="61" t="s">
        <v>85</v>
      </c>
      <c r="T63" s="61" t="s">
        <v>2145</v>
      </c>
      <c r="U63" s="61" t="s">
        <v>2145</v>
      </c>
      <c r="V63" s="61" t="str">
        <f>VLOOKUP(B63,[2]Overall!$A:$D,4,0)</f>
        <v>H-TELI</v>
      </c>
      <c r="W63" s="61" t="str">
        <f>VLOOKUP(B63,[3]Sheet1!$A:$B,2,0)</f>
        <v>Santchou</v>
      </c>
      <c r="X63" s="88" t="str">
        <f t="shared" si="4"/>
        <v>OST</v>
      </c>
      <c r="Y63" s="80" t="str">
        <f t="shared" ca="1" si="5"/>
        <v>T&gt;72H</v>
      </c>
      <c r="Z63" s="61">
        <f t="shared" si="6"/>
        <v>1</v>
      </c>
      <c r="AA63" s="61" t="s">
        <v>1566</v>
      </c>
      <c r="AB63" s="61" t="s">
        <v>1905</v>
      </c>
      <c r="AC63" s="84" t="s">
        <v>2228</v>
      </c>
      <c r="AD63" s="84" t="s">
        <v>1994</v>
      </c>
      <c r="AE63" s="61"/>
    </row>
    <row r="64" spans="1:31" ht="117" x14ac:dyDescent="0.45">
      <c r="A64" s="61" t="s">
        <v>1892</v>
      </c>
      <c r="B64" s="61" t="s">
        <v>1893</v>
      </c>
      <c r="C64" s="65"/>
      <c r="D64" s="61"/>
      <c r="E64" s="61" t="s">
        <v>2200</v>
      </c>
      <c r="F64" s="70" t="s">
        <v>53</v>
      </c>
      <c r="G64" s="70" t="s">
        <v>2121</v>
      </c>
      <c r="H64" s="67">
        <v>46175.837430555555</v>
      </c>
      <c r="I64" s="75">
        <f t="shared" ca="1" si="7"/>
        <v>4.8312618055570056</v>
      </c>
      <c r="J64" s="61"/>
      <c r="K64" s="61"/>
      <c r="L64" s="61"/>
      <c r="M64" s="61" t="s">
        <v>41</v>
      </c>
      <c r="N64" s="61" t="s">
        <v>42</v>
      </c>
      <c r="O64" s="61"/>
      <c r="P64" s="61"/>
      <c r="Q64" s="61"/>
      <c r="R64" s="84" t="s">
        <v>2231</v>
      </c>
      <c r="S64" s="61" t="s">
        <v>85</v>
      </c>
      <c r="T64" s="61" t="s">
        <v>2145</v>
      </c>
      <c r="U64" s="61" t="s">
        <v>2145</v>
      </c>
      <c r="V64" s="61" t="str">
        <f>VLOOKUP(B64,[2]Overall!$A:$D,4,0)</f>
        <v>H-TELI</v>
      </c>
      <c r="W64" s="61" t="str">
        <f>VLOOKUP(B64,[3]Sheet1!$A:$B,2,0)</f>
        <v>Santchou</v>
      </c>
      <c r="X64" s="88" t="str">
        <f t="shared" si="4"/>
        <v>OST</v>
      </c>
      <c r="Y64" s="80" t="str">
        <f t="shared" ca="1" si="5"/>
        <v>T&gt;72H</v>
      </c>
      <c r="Z64" s="61">
        <f t="shared" si="6"/>
        <v>1</v>
      </c>
      <c r="AA64" s="61" t="s">
        <v>1566</v>
      </c>
      <c r="AB64" s="61" t="s">
        <v>1905</v>
      </c>
      <c r="AC64" s="84" t="s">
        <v>2228</v>
      </c>
      <c r="AD64" s="84" t="s">
        <v>1994</v>
      </c>
      <c r="AE64" s="61"/>
    </row>
    <row r="65" spans="1:31" ht="117" x14ac:dyDescent="0.45">
      <c r="A65" s="61" t="s">
        <v>1892</v>
      </c>
      <c r="B65" s="61" t="s">
        <v>1893</v>
      </c>
      <c r="C65" s="65"/>
      <c r="D65" s="61"/>
      <c r="E65" s="61" t="s">
        <v>2201</v>
      </c>
      <c r="F65" s="70" t="s">
        <v>53</v>
      </c>
      <c r="G65" s="70" t="s">
        <v>2121</v>
      </c>
      <c r="H65" s="67">
        <v>46175.837407407409</v>
      </c>
      <c r="I65" s="75">
        <f t="shared" ca="1" si="7"/>
        <v>4.8312849537032889</v>
      </c>
      <c r="J65" s="61"/>
      <c r="K65" s="61"/>
      <c r="L65" s="61"/>
      <c r="M65" s="61" t="s">
        <v>41</v>
      </c>
      <c r="N65" s="61" t="s">
        <v>42</v>
      </c>
      <c r="O65" s="61"/>
      <c r="P65" s="61"/>
      <c r="Q65" s="61"/>
      <c r="R65" s="84" t="s">
        <v>2231</v>
      </c>
      <c r="S65" s="61" t="s">
        <v>85</v>
      </c>
      <c r="T65" s="61" t="s">
        <v>2145</v>
      </c>
      <c r="U65" s="61" t="s">
        <v>2145</v>
      </c>
      <c r="V65" s="61" t="str">
        <f>VLOOKUP(B65,[2]Overall!$A:$D,4,0)</f>
        <v>H-TELI</v>
      </c>
      <c r="W65" s="61" t="str">
        <f>VLOOKUP(B65,[3]Sheet1!$A:$B,2,0)</f>
        <v>Santchou</v>
      </c>
      <c r="X65" s="88" t="str">
        <f t="shared" si="4"/>
        <v>OST</v>
      </c>
      <c r="Y65" s="80" t="str">
        <f t="shared" ca="1" si="5"/>
        <v>T&gt;72H</v>
      </c>
      <c r="Z65" s="61">
        <f t="shared" si="6"/>
        <v>1</v>
      </c>
      <c r="AA65" s="61" t="s">
        <v>1566</v>
      </c>
      <c r="AB65" s="61" t="s">
        <v>1905</v>
      </c>
      <c r="AC65" s="84" t="s">
        <v>2228</v>
      </c>
      <c r="AD65" s="84" t="s">
        <v>1994</v>
      </c>
      <c r="AE65" s="61"/>
    </row>
    <row r="66" spans="1:31" ht="117" x14ac:dyDescent="0.45">
      <c r="A66" s="61" t="s">
        <v>1892</v>
      </c>
      <c r="B66" s="61" t="s">
        <v>1893</v>
      </c>
      <c r="C66" s="65"/>
      <c r="D66" s="61"/>
      <c r="E66" s="61" t="s">
        <v>2202</v>
      </c>
      <c r="F66" s="70" t="s">
        <v>53</v>
      </c>
      <c r="G66" s="70" t="s">
        <v>2121</v>
      </c>
      <c r="H66" s="67">
        <v>46175.837430555555</v>
      </c>
      <c r="I66" s="75">
        <f t="shared" ca="1" si="7"/>
        <v>4.8312618055570056</v>
      </c>
      <c r="J66" s="61"/>
      <c r="K66" s="61"/>
      <c r="L66" s="61"/>
      <c r="M66" s="61" t="s">
        <v>41</v>
      </c>
      <c r="N66" s="61" t="s">
        <v>42</v>
      </c>
      <c r="O66" s="61"/>
      <c r="P66" s="61"/>
      <c r="Q66" s="61"/>
      <c r="R66" s="84" t="s">
        <v>2231</v>
      </c>
      <c r="S66" s="61" t="s">
        <v>85</v>
      </c>
      <c r="T66" s="61" t="s">
        <v>2145</v>
      </c>
      <c r="U66" s="61" t="s">
        <v>2145</v>
      </c>
      <c r="V66" s="61" t="str">
        <f>VLOOKUP(B66,[2]Overall!$A:$D,4,0)</f>
        <v>H-TELI</v>
      </c>
      <c r="W66" s="61" t="str">
        <f>VLOOKUP(B66,[3]Sheet1!$A:$B,2,0)</f>
        <v>Santchou</v>
      </c>
      <c r="X66" s="88" t="str">
        <f t="shared" si="4"/>
        <v>OST</v>
      </c>
      <c r="Y66" s="80" t="str">
        <f t="shared" ca="1" si="5"/>
        <v>T&gt;72H</v>
      </c>
      <c r="Z66" s="61">
        <f t="shared" si="6"/>
        <v>1</v>
      </c>
      <c r="AA66" s="61" t="s">
        <v>1566</v>
      </c>
      <c r="AB66" s="61" t="s">
        <v>1905</v>
      </c>
      <c r="AC66" s="84" t="s">
        <v>2228</v>
      </c>
      <c r="AD66" s="84" t="s">
        <v>1994</v>
      </c>
      <c r="AE66" s="61"/>
    </row>
    <row r="67" spans="1:31" ht="117" x14ac:dyDescent="0.45">
      <c r="A67" s="61" t="s">
        <v>1892</v>
      </c>
      <c r="B67" s="61" t="s">
        <v>1893</v>
      </c>
      <c r="C67" s="65"/>
      <c r="D67" s="61"/>
      <c r="E67" s="61" t="s">
        <v>2203</v>
      </c>
      <c r="F67" s="70" t="s">
        <v>53</v>
      </c>
      <c r="G67" s="70" t="s">
        <v>2121</v>
      </c>
      <c r="H67" s="67">
        <v>46175.837430555555</v>
      </c>
      <c r="I67" s="75">
        <f t="shared" ca="1" si="7"/>
        <v>4.8312618055570056</v>
      </c>
      <c r="J67" s="61"/>
      <c r="K67" s="61"/>
      <c r="L67" s="61"/>
      <c r="M67" s="61" t="s">
        <v>41</v>
      </c>
      <c r="N67" s="61" t="s">
        <v>42</v>
      </c>
      <c r="O67" s="61"/>
      <c r="P67" s="61"/>
      <c r="Q67" s="61"/>
      <c r="R67" s="84" t="s">
        <v>2231</v>
      </c>
      <c r="S67" s="61" t="s">
        <v>85</v>
      </c>
      <c r="T67" s="61" t="s">
        <v>2145</v>
      </c>
      <c r="U67" s="61" t="s">
        <v>2145</v>
      </c>
      <c r="V67" s="61" t="str">
        <f>VLOOKUP(B67,[2]Overall!$A:$D,4,0)</f>
        <v>H-TELI</v>
      </c>
      <c r="W67" s="61" t="str">
        <f>VLOOKUP(B67,[3]Sheet1!$A:$B,2,0)</f>
        <v>Santchou</v>
      </c>
      <c r="X67" s="88" t="str">
        <f t="shared" si="4"/>
        <v>OST</v>
      </c>
      <c r="Y67" s="80" t="str">
        <f t="shared" ca="1" si="5"/>
        <v>T&gt;72H</v>
      </c>
      <c r="Z67" s="61">
        <f t="shared" si="6"/>
        <v>1</v>
      </c>
      <c r="AA67" s="61" t="s">
        <v>1566</v>
      </c>
      <c r="AB67" s="61" t="s">
        <v>1905</v>
      </c>
      <c r="AC67" s="84" t="s">
        <v>2228</v>
      </c>
      <c r="AD67" s="84" t="s">
        <v>1994</v>
      </c>
      <c r="AE67" s="61"/>
    </row>
    <row r="68" spans="1:31" ht="117" x14ac:dyDescent="0.45">
      <c r="A68" s="61" t="s">
        <v>1892</v>
      </c>
      <c r="B68" s="61" t="s">
        <v>1893</v>
      </c>
      <c r="C68" s="65"/>
      <c r="D68" s="61"/>
      <c r="E68" s="61" t="s">
        <v>2204</v>
      </c>
      <c r="F68" s="70" t="s">
        <v>53</v>
      </c>
      <c r="G68" s="70" t="s">
        <v>2121</v>
      </c>
      <c r="H68" s="67">
        <v>46175.837430555555</v>
      </c>
      <c r="I68" s="75">
        <f t="shared" ca="1" si="7"/>
        <v>4.8312618055570056</v>
      </c>
      <c r="J68" s="61"/>
      <c r="K68" s="61"/>
      <c r="L68" s="61"/>
      <c r="M68" s="61" t="s">
        <v>41</v>
      </c>
      <c r="N68" s="61" t="s">
        <v>42</v>
      </c>
      <c r="O68" s="61"/>
      <c r="P68" s="61"/>
      <c r="Q68" s="61"/>
      <c r="R68" s="84" t="s">
        <v>2231</v>
      </c>
      <c r="S68" s="61" t="s">
        <v>85</v>
      </c>
      <c r="T68" s="61" t="s">
        <v>2145</v>
      </c>
      <c r="U68" s="61" t="s">
        <v>2145</v>
      </c>
      <c r="V68" s="61" t="str">
        <f>VLOOKUP(B68,[2]Overall!$A:$D,4,0)</f>
        <v>H-TELI</v>
      </c>
      <c r="W68" s="61" t="str">
        <f>VLOOKUP(B68,[3]Sheet1!$A:$B,2,0)</f>
        <v>Santchou</v>
      </c>
      <c r="X68" s="88" t="str">
        <f t="shared" si="4"/>
        <v>NRO</v>
      </c>
      <c r="Y68" s="80" t="str">
        <f t="shared" ca="1" si="5"/>
        <v>T&gt;72H</v>
      </c>
      <c r="Z68" s="61">
        <f t="shared" si="6"/>
        <v>1</v>
      </c>
      <c r="AA68" s="61" t="s">
        <v>1566</v>
      </c>
      <c r="AB68" s="61" t="s">
        <v>1905</v>
      </c>
      <c r="AC68" s="84" t="s">
        <v>2228</v>
      </c>
      <c r="AD68" s="84" t="s">
        <v>1994</v>
      </c>
      <c r="AE68" s="61"/>
    </row>
    <row r="69" spans="1:31" ht="73.5" x14ac:dyDescent="0.45">
      <c r="A69" s="61" t="s">
        <v>2205</v>
      </c>
      <c r="B69" s="61" t="s">
        <v>2206</v>
      </c>
      <c r="C69" s="65"/>
      <c r="D69" s="61"/>
      <c r="E69" s="61" t="s">
        <v>35</v>
      </c>
      <c r="F69" s="70" t="s">
        <v>53</v>
      </c>
      <c r="G69" s="70" t="s">
        <v>2121</v>
      </c>
      <c r="H69" s="67">
        <v>46176.016898148147</v>
      </c>
      <c r="I69" s="75">
        <f t="shared" ca="1" si="7"/>
        <v>4.6517942129648873</v>
      </c>
      <c r="J69" s="61"/>
      <c r="K69" s="61"/>
      <c r="L69" s="61"/>
      <c r="M69" s="61" t="s">
        <v>31</v>
      </c>
      <c r="N69" s="61" t="s">
        <v>2207</v>
      </c>
      <c r="O69" s="61"/>
      <c r="P69" s="61"/>
      <c r="Q69" s="61"/>
      <c r="R69" s="84" t="s">
        <v>2251</v>
      </c>
      <c r="S69" s="61" t="s">
        <v>32</v>
      </c>
      <c r="T69" s="61" t="s">
        <v>1898</v>
      </c>
      <c r="U69" s="61" t="s">
        <v>1898</v>
      </c>
      <c r="V69" s="61" t="str">
        <f>VLOOKUP(B69,[2]Overall!$A:$D,4,0)</f>
        <v xml:space="preserve">I-ENG </v>
      </c>
      <c r="W69" s="61" t="str">
        <f>VLOOKUP(B69,[3]Sheet1!$A:$B,2,0)</f>
        <v>Songkolong</v>
      </c>
      <c r="X69" s="88" t="str">
        <f t="shared" si="4"/>
        <v>SUD</v>
      </c>
      <c r="Y69" s="80" t="str">
        <f t="shared" ca="1" si="5"/>
        <v>T&gt;72H</v>
      </c>
      <c r="Z69" s="61">
        <f t="shared" si="6"/>
        <v>3</v>
      </c>
      <c r="AA69" s="61" t="s">
        <v>1566</v>
      </c>
      <c r="AB69" s="61" t="s">
        <v>1905</v>
      </c>
      <c r="AC69" s="84" t="s">
        <v>2228</v>
      </c>
      <c r="AD69" s="84" t="s">
        <v>1994</v>
      </c>
      <c r="AE69" s="61"/>
    </row>
    <row r="70" spans="1:31" ht="73.5" x14ac:dyDescent="0.45">
      <c r="A70" s="61" t="s">
        <v>2208</v>
      </c>
      <c r="B70" s="61" t="s">
        <v>2209</v>
      </c>
      <c r="C70" s="65"/>
      <c r="D70" s="61"/>
      <c r="E70" s="61" t="s">
        <v>2210</v>
      </c>
      <c r="F70" s="70" t="s">
        <v>53</v>
      </c>
      <c r="G70" s="70" t="s">
        <v>2121</v>
      </c>
      <c r="H70" s="67">
        <v>46176.156597222223</v>
      </c>
      <c r="I70" s="75">
        <f t="shared" ca="1" si="7"/>
        <v>4.5120951388889807</v>
      </c>
      <c r="J70" s="61"/>
      <c r="K70" s="61"/>
      <c r="L70" s="61"/>
      <c r="M70" s="61" t="s">
        <v>1627</v>
      </c>
      <c r="N70" s="61" t="s">
        <v>2211</v>
      </c>
      <c r="O70" s="61"/>
      <c r="P70" s="61"/>
      <c r="Q70" s="61"/>
      <c r="R70" s="84" t="s">
        <v>2247</v>
      </c>
      <c r="S70" s="84" t="s">
        <v>45</v>
      </c>
      <c r="T70" s="61" t="s">
        <v>1898</v>
      </c>
      <c r="U70" s="61" t="s">
        <v>1898</v>
      </c>
      <c r="V70" s="61" t="str">
        <f>VLOOKUP(B70,[2]Overall!$A:$D,4,0)</f>
        <v>TELEINFRA CENTRE</v>
      </c>
      <c r="W70" s="61" t="str">
        <f>VLOOKUP(B70,[3]Sheet1!$A:$B,2,0)</f>
        <v>Mvangan</v>
      </c>
      <c r="X70" s="88" t="str">
        <f t="shared" si="4"/>
        <v>NRO</v>
      </c>
      <c r="Y70" s="80" t="str">
        <f t="shared" ca="1" si="5"/>
        <v>T&gt;72H</v>
      </c>
      <c r="Z70" s="61">
        <f t="shared" si="6"/>
        <v>1</v>
      </c>
      <c r="AA70" s="61" t="s">
        <v>1566</v>
      </c>
      <c r="AB70" s="61" t="s">
        <v>1905</v>
      </c>
      <c r="AC70" s="84" t="s">
        <v>2228</v>
      </c>
      <c r="AD70" s="84" t="s">
        <v>1994</v>
      </c>
      <c r="AE70" s="61"/>
    </row>
    <row r="71" spans="1:31" ht="73.5" x14ac:dyDescent="0.45">
      <c r="A71" s="61" t="s">
        <v>2212</v>
      </c>
      <c r="B71" s="61" t="s">
        <v>2213</v>
      </c>
      <c r="C71" s="65"/>
      <c r="D71" s="61"/>
      <c r="E71" s="61" t="s">
        <v>30</v>
      </c>
      <c r="F71" s="70" t="s">
        <v>53</v>
      </c>
      <c r="G71" s="70" t="s">
        <v>2121</v>
      </c>
      <c r="H71" s="67">
        <v>46176.244189814817</v>
      </c>
      <c r="I71" s="75">
        <f t="shared" ca="1" si="7"/>
        <v>4.4245025462951162</v>
      </c>
      <c r="J71" s="61"/>
      <c r="K71" s="61"/>
      <c r="L71" s="61"/>
      <c r="M71" s="61" t="s">
        <v>31</v>
      </c>
      <c r="N71" s="61" t="s">
        <v>2214</v>
      </c>
      <c r="O71" s="61"/>
      <c r="P71" s="61"/>
      <c r="Q71" s="61"/>
      <c r="R71" s="84" t="s">
        <v>2239</v>
      </c>
      <c r="S71" s="61" t="s">
        <v>32</v>
      </c>
      <c r="T71" s="61" t="s">
        <v>1898</v>
      </c>
      <c r="U71" s="61" t="s">
        <v>1898</v>
      </c>
      <c r="V71" s="61" t="e">
        <f>VLOOKUP(B71,[2]Overall!$A:$D,4,0)</f>
        <v>#N/A</v>
      </c>
      <c r="W71" s="61" t="e">
        <f>VLOOKUP(B71,[3]Sheet1!$A:$B,2,0)</f>
        <v>#N/A</v>
      </c>
      <c r="X71" s="88" t="str">
        <f t="shared" si="4"/>
        <v>NRO</v>
      </c>
      <c r="Y71" s="80" t="str">
        <f t="shared" ca="1" si="5"/>
        <v>T&gt;72H</v>
      </c>
      <c r="Z71" s="61">
        <f t="shared" si="6"/>
        <v>1</v>
      </c>
      <c r="AA71" s="61" t="s">
        <v>1566</v>
      </c>
      <c r="AB71" s="61" t="s">
        <v>1905</v>
      </c>
      <c r="AC71" s="84" t="s">
        <v>2228</v>
      </c>
      <c r="AD71" s="84" t="s">
        <v>1994</v>
      </c>
      <c r="AE71" s="61"/>
    </row>
    <row r="72" spans="1:31" ht="73.5" x14ac:dyDescent="0.45">
      <c r="A72" s="61" t="s">
        <v>2212</v>
      </c>
      <c r="B72" s="61" t="s">
        <v>2213</v>
      </c>
      <c r="C72" s="65"/>
      <c r="D72" s="61"/>
      <c r="E72" s="61" t="s">
        <v>1823</v>
      </c>
      <c r="F72" s="70" t="s">
        <v>53</v>
      </c>
      <c r="G72" s="70" t="s">
        <v>2121</v>
      </c>
      <c r="H72" s="67">
        <v>46176.24417824074</v>
      </c>
      <c r="I72" s="75">
        <f t="shared" ca="1" si="7"/>
        <v>4.4245141203718958</v>
      </c>
      <c r="J72" s="61"/>
      <c r="K72" s="61"/>
      <c r="L72" s="61"/>
      <c r="M72" s="61" t="s">
        <v>31</v>
      </c>
      <c r="N72" s="61" t="s">
        <v>2215</v>
      </c>
      <c r="O72" s="61"/>
      <c r="P72" s="61"/>
      <c r="Q72" s="61"/>
      <c r="R72" s="84" t="s">
        <v>2239</v>
      </c>
      <c r="S72" s="61" t="s">
        <v>32</v>
      </c>
      <c r="T72" s="61" t="s">
        <v>1898</v>
      </c>
      <c r="U72" s="61" t="s">
        <v>1898</v>
      </c>
      <c r="V72" s="61" t="e">
        <f>VLOOKUP(B72,[2]Overall!$A:$D,4,0)</f>
        <v>#N/A</v>
      </c>
      <c r="W72" s="61" t="e">
        <f>VLOOKUP(B72,[3]Sheet1!$A:$B,2,0)</f>
        <v>#N/A</v>
      </c>
      <c r="X72" s="88" t="str">
        <f t="shared" si="4"/>
        <v>ADM</v>
      </c>
      <c r="Y72" s="80" t="str">
        <f t="shared" ca="1" si="5"/>
        <v>T&gt;72H</v>
      </c>
      <c r="Z72" s="61">
        <f t="shared" si="6"/>
        <v>2</v>
      </c>
      <c r="AA72" s="61" t="s">
        <v>1566</v>
      </c>
      <c r="AB72" s="61" t="s">
        <v>1905</v>
      </c>
      <c r="AC72" s="84" t="s">
        <v>2228</v>
      </c>
      <c r="AD72" s="84" t="s">
        <v>1994</v>
      </c>
      <c r="AE72" s="61"/>
    </row>
    <row r="73" spans="1:31" ht="378" x14ac:dyDescent="0.45">
      <c r="A73" s="61" t="s">
        <v>1917</v>
      </c>
      <c r="B73" s="61" t="s">
        <v>1711</v>
      </c>
      <c r="C73" s="65"/>
      <c r="D73" s="61"/>
      <c r="E73" s="61" t="s">
        <v>49</v>
      </c>
      <c r="F73" s="70" t="s">
        <v>53</v>
      </c>
      <c r="G73" s="70" t="s">
        <v>2121</v>
      </c>
      <c r="H73" s="67">
        <v>46176.253738425927</v>
      </c>
      <c r="I73" s="75">
        <f t="shared" ca="1" si="7"/>
        <v>4.414953935185622</v>
      </c>
      <c r="J73" s="61"/>
      <c r="K73" s="61"/>
      <c r="L73" s="61"/>
      <c r="M73" s="61" t="s">
        <v>38</v>
      </c>
      <c r="N73" s="61" t="s">
        <v>1918</v>
      </c>
      <c r="O73" s="61"/>
      <c r="P73" s="61"/>
      <c r="Q73" s="61"/>
      <c r="R73" s="61" t="s">
        <v>2010</v>
      </c>
      <c r="S73" s="61" t="s">
        <v>50</v>
      </c>
      <c r="T73" s="61" t="s">
        <v>1688</v>
      </c>
      <c r="U73" s="61" t="e">
        <v>#N/A</v>
      </c>
      <c r="V73" s="61" t="str">
        <f>VLOOKUP(B73,[2]Overall!$A:$D,4,0)</f>
        <v>TELEINFRA NORD</v>
      </c>
      <c r="W73" s="61" t="str">
        <f>VLOOKUP(B73,[3]Sheet1!$A:$B,2,0)</f>
        <v>Martap</v>
      </c>
      <c r="X73" s="88" t="e">
        <f>LEFT(#REF!,3)</f>
        <v>#REF!</v>
      </c>
      <c r="Y73" s="80" t="str">
        <f t="shared" ca="1" si="5"/>
        <v>T&gt;72H</v>
      </c>
      <c r="Z73" s="61">
        <f t="shared" si="6"/>
        <v>1</v>
      </c>
      <c r="AA73" s="61" t="s">
        <v>1566</v>
      </c>
      <c r="AB73" s="61" t="s">
        <v>1905</v>
      </c>
      <c r="AC73" s="84" t="s">
        <v>2228</v>
      </c>
      <c r="AD73" s="84" t="s">
        <v>1994</v>
      </c>
      <c r="AE73" s="61"/>
    </row>
    <row r="74" spans="1:31" ht="160.5" x14ac:dyDescent="0.45">
      <c r="A74" s="63" t="s">
        <v>1803</v>
      </c>
      <c r="B74" s="63" t="s">
        <v>1804</v>
      </c>
      <c r="C74" s="68"/>
      <c r="D74" s="63"/>
      <c r="E74" s="63" t="s">
        <v>34</v>
      </c>
      <c r="F74" s="71" t="s">
        <v>53</v>
      </c>
      <c r="G74" s="71" t="s">
        <v>2121</v>
      </c>
      <c r="H74" s="69">
        <v>46176.322696759256</v>
      </c>
      <c r="I74" s="77">
        <f t="shared" ca="1" si="7"/>
        <v>4.3459956018559751</v>
      </c>
      <c r="J74" s="63"/>
      <c r="K74" s="63"/>
      <c r="L74" s="63"/>
      <c r="M74" s="63" t="s">
        <v>2216</v>
      </c>
      <c r="N74" s="63" t="s">
        <v>2217</v>
      </c>
      <c r="O74" s="63"/>
      <c r="P74" s="63" t="s">
        <v>2293</v>
      </c>
      <c r="Q74" s="63"/>
      <c r="R74" s="85" t="s">
        <v>2292</v>
      </c>
      <c r="S74" s="63" t="s">
        <v>45</v>
      </c>
      <c r="T74" s="63" t="s">
        <v>1754</v>
      </c>
      <c r="U74" s="63" t="s">
        <v>1754</v>
      </c>
      <c r="V74" s="63" t="str">
        <f>VLOOKUP(B74,[2]Overall!$A:$D,4,0)</f>
        <v>TELEINFRA CENTRE</v>
      </c>
      <c r="W74" s="63" t="str">
        <f>VLOOKUP(B74,[3]Sheet1!$A:$B,2,0)</f>
        <v>SALAPOUMBE</v>
      </c>
      <c r="X74" s="89" t="str">
        <f t="shared" si="4"/>
        <v>CTR</v>
      </c>
      <c r="Y74" s="81" t="str">
        <f t="shared" ca="1" si="5"/>
        <v>T&gt;72H</v>
      </c>
      <c r="Z74" s="63">
        <f t="shared" si="6"/>
        <v>1</v>
      </c>
      <c r="AA74" s="63" t="s">
        <v>77</v>
      </c>
      <c r="AB74" s="63" t="s">
        <v>1904</v>
      </c>
      <c r="AC74" s="85" t="s">
        <v>2228</v>
      </c>
      <c r="AD74" s="85" t="s">
        <v>1994</v>
      </c>
      <c r="AE74" s="63"/>
    </row>
    <row r="75" spans="1:31" ht="88" x14ac:dyDescent="0.45">
      <c r="A75" s="61" t="s">
        <v>2218</v>
      </c>
      <c r="B75" s="61" t="s">
        <v>2219</v>
      </c>
      <c r="C75" s="65"/>
      <c r="D75" s="61"/>
      <c r="E75" s="61" t="s">
        <v>2220</v>
      </c>
      <c r="F75" s="70" t="s">
        <v>53</v>
      </c>
      <c r="G75" s="70" t="s">
        <v>2121</v>
      </c>
      <c r="H75" s="67">
        <v>46176.333773148152</v>
      </c>
      <c r="I75" s="75">
        <f t="shared" ca="1" si="7"/>
        <v>4.3349192129608127</v>
      </c>
      <c r="J75" s="61"/>
      <c r="K75" s="61"/>
      <c r="L75" s="61"/>
      <c r="M75" s="61" t="s">
        <v>2221</v>
      </c>
      <c r="N75" s="61" t="s">
        <v>2222</v>
      </c>
      <c r="O75" s="61"/>
      <c r="P75" s="61" t="s">
        <v>2299</v>
      </c>
      <c r="Q75" s="61"/>
      <c r="R75" s="84" t="s">
        <v>2298</v>
      </c>
      <c r="S75" s="84" t="s">
        <v>45</v>
      </c>
      <c r="T75" s="61" t="s">
        <v>1898</v>
      </c>
      <c r="U75" s="61" t="s">
        <v>1898</v>
      </c>
      <c r="V75" s="61" t="str">
        <f>VLOOKUP(B75,[2]Overall!$A:$D,4,0)</f>
        <v>TELEINFRA CENTRE</v>
      </c>
      <c r="W75" s="61" t="str">
        <f>VLOOKUP(B75,[3]Sheet1!$A:$B,2,0)</f>
        <v>Evodoula</v>
      </c>
      <c r="X75" s="88" t="str">
        <f t="shared" si="4"/>
        <v>CTR</v>
      </c>
      <c r="Y75" s="80" t="str">
        <f t="shared" ca="1" si="5"/>
        <v>T&gt;72H</v>
      </c>
      <c r="Z75" s="61">
        <f t="shared" si="6"/>
        <v>1</v>
      </c>
      <c r="AA75" s="61" t="s">
        <v>1566</v>
      </c>
      <c r="AB75" s="61" t="s">
        <v>1905</v>
      </c>
      <c r="AC75" s="84" t="s">
        <v>2228</v>
      </c>
      <c r="AD75" s="84" t="s">
        <v>1994</v>
      </c>
      <c r="AE75" s="61"/>
    </row>
    <row r="76" spans="1:31" ht="73.5" x14ac:dyDescent="0.45">
      <c r="A76" s="61" t="s">
        <v>2218</v>
      </c>
      <c r="B76" s="61" t="s">
        <v>2219</v>
      </c>
      <c r="C76" s="65"/>
      <c r="D76" s="61"/>
      <c r="E76" s="61" t="s">
        <v>2223</v>
      </c>
      <c r="F76" s="70" t="s">
        <v>53</v>
      </c>
      <c r="G76" s="70" t="s">
        <v>2121</v>
      </c>
      <c r="H76" s="67">
        <v>46176.336319444446</v>
      </c>
      <c r="I76" s="75">
        <f t="shared" ca="1" si="7"/>
        <v>4.3323729166659177</v>
      </c>
      <c r="J76" s="61"/>
      <c r="K76" s="61"/>
      <c r="L76" s="61"/>
      <c r="M76" s="61" t="s">
        <v>1730</v>
      </c>
      <c r="N76" s="61" t="s">
        <v>2224</v>
      </c>
      <c r="O76" s="61"/>
      <c r="P76" s="61" t="s">
        <v>2299</v>
      </c>
      <c r="Q76" s="61"/>
      <c r="R76" s="84" t="s">
        <v>2298</v>
      </c>
      <c r="S76" s="84" t="s">
        <v>45</v>
      </c>
      <c r="T76" s="61" t="s">
        <v>1898</v>
      </c>
      <c r="U76" s="61" t="s">
        <v>1898</v>
      </c>
      <c r="V76" s="61" t="str">
        <f>VLOOKUP(B76,[2]Overall!$A:$D,4,0)</f>
        <v>TELEINFRA CENTRE</v>
      </c>
      <c r="W76" s="61" t="str">
        <f>VLOOKUP(B76,[3]Sheet1!$A:$B,2,0)</f>
        <v>Evodoula</v>
      </c>
      <c r="X76" s="88" t="str">
        <f t="shared" si="4"/>
        <v>CTR</v>
      </c>
      <c r="Y76" s="80" t="str">
        <f t="shared" ca="1" si="5"/>
        <v>T&gt;72H</v>
      </c>
      <c r="Z76" s="61">
        <f t="shared" si="6"/>
        <v>2</v>
      </c>
      <c r="AA76" s="61" t="s">
        <v>1566</v>
      </c>
      <c r="AB76" s="61" t="s">
        <v>1905</v>
      </c>
      <c r="AC76" s="84" t="s">
        <v>2228</v>
      </c>
      <c r="AD76" s="84" t="s">
        <v>1994</v>
      </c>
      <c r="AE76" s="61"/>
    </row>
    <row r="77" spans="1:31" ht="73.5" x14ac:dyDescent="0.45">
      <c r="A77" s="61" t="s">
        <v>2225</v>
      </c>
      <c r="B77" s="61" t="s">
        <v>2226</v>
      </c>
      <c r="C77" s="65"/>
      <c r="D77" s="61"/>
      <c r="E77" s="61" t="s">
        <v>39</v>
      </c>
      <c r="F77" s="70" t="s">
        <v>53</v>
      </c>
      <c r="G77" s="70" t="s">
        <v>2121</v>
      </c>
      <c r="H77" s="67">
        <v>46176.343946759262</v>
      </c>
      <c r="I77" s="75">
        <f t="shared" ca="1" si="7"/>
        <v>4.3247456018507364</v>
      </c>
      <c r="J77" s="61"/>
      <c r="K77" s="61"/>
      <c r="L77" s="61"/>
      <c r="M77" s="61" t="s">
        <v>1712</v>
      </c>
      <c r="N77" s="61" t="s">
        <v>2227</v>
      </c>
      <c r="O77" s="61"/>
      <c r="P77" s="61"/>
      <c r="Q77" s="61"/>
      <c r="R77" s="84" t="s">
        <v>2248</v>
      </c>
      <c r="S77" s="84" t="s">
        <v>85</v>
      </c>
      <c r="T77" s="61" t="s">
        <v>1898</v>
      </c>
      <c r="U77" s="61" t="s">
        <v>1898</v>
      </c>
      <c r="V77" s="61" t="str">
        <f>VLOOKUP(B77,[2]Overall!$A:$D,4,0)</f>
        <v xml:space="preserve">I-ENG </v>
      </c>
      <c r="W77" s="61" t="str">
        <f>VLOOKUP(B77,[3]Sheet1!$A:$B,2,0)</f>
        <v>Matsari</v>
      </c>
      <c r="X77" s="88" t="e">
        <f>LEFT(#REF!,3)</f>
        <v>#REF!</v>
      </c>
      <c r="Y77" s="80" t="str">
        <f t="shared" ca="1" si="5"/>
        <v>T&gt;72H</v>
      </c>
      <c r="Z77" s="61">
        <f t="shared" si="6"/>
        <v>1</v>
      </c>
      <c r="AA77" s="61" t="s">
        <v>1566</v>
      </c>
      <c r="AB77" s="61" t="s">
        <v>1905</v>
      </c>
      <c r="AC77" s="84" t="s">
        <v>2228</v>
      </c>
      <c r="AD77" s="84" t="s">
        <v>1994</v>
      </c>
      <c r="AE77" s="61"/>
    </row>
  </sheetData>
  <autoFilter ref="A1:AE77" xr:uid="{903A84A1-2E61-4C60-AE53-3C72D0983AC8}"/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EF42-BF63-428A-AC28-947B7B356391}">
  <sheetPr codeName="Sheet28" filterMode="1">
    <tabColor rgb="FFFFFF00"/>
  </sheetPr>
  <dimension ref="A1:AE66"/>
  <sheetViews>
    <sheetView zoomScale="70" zoomScaleNormal="70" workbookViewId="0">
      <pane xSplit="6" topLeftCell="Q1" activePane="topRight" state="frozen"/>
      <selection activeCell="AB4" sqref="AB4"/>
      <selection pane="topRight" activeCell="R28" sqref="R28:U28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55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160.5" hidden="1" x14ac:dyDescent="0.45">
      <c r="A2" s="61" t="s">
        <v>1733</v>
      </c>
      <c r="B2" s="61" t="s">
        <v>1734</v>
      </c>
      <c r="C2" s="65"/>
      <c r="D2" s="61"/>
      <c r="E2" s="61" t="s">
        <v>1749</v>
      </c>
      <c r="F2" s="70" t="s">
        <v>53</v>
      </c>
      <c r="G2" s="70" t="s">
        <v>2121</v>
      </c>
      <c r="H2" s="67">
        <v>46161.849050925928</v>
      </c>
      <c r="I2" s="75">
        <f ca="1">NOW()-H2</f>
        <v>18.819641435184167</v>
      </c>
      <c r="J2" s="61"/>
      <c r="K2" s="61"/>
      <c r="L2" s="61"/>
      <c r="M2" s="61" t="s">
        <v>1750</v>
      </c>
      <c r="N2" s="61" t="s">
        <v>1751</v>
      </c>
      <c r="O2" s="61"/>
      <c r="P2" s="61"/>
      <c r="Q2" s="61"/>
      <c r="R2" s="61" t="s">
        <v>2092</v>
      </c>
      <c r="S2" s="61" t="s">
        <v>45</v>
      </c>
      <c r="T2" s="61" t="s">
        <v>1898</v>
      </c>
      <c r="U2" s="61" t="s">
        <v>1898</v>
      </c>
      <c r="V2" s="61" t="str">
        <f>VLOOKUP(B2,[2]Overall!$A:$D,4,0)</f>
        <v>TELEINFRA CENTRE</v>
      </c>
      <c r="W2" s="61" t="str">
        <f>VLOOKUP(B2,[3]Sheet1!$A:$B,2,0)</f>
        <v>Batchenga</v>
      </c>
      <c r="X2" s="88" t="str">
        <f t="shared" ref="X2:X65" si="0">LEFT(B3,3)</f>
        <v>CTR</v>
      </c>
      <c r="Y2" s="80" t="str">
        <f t="shared" ref="Y2:Y38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38" si="2">IF(OR(E2="", E2="affected_cells=unknown"), "", LEN(E2)-LEN(SUBSTITUTE(E2, ",", "")) + LEN(E2)-LEN(SUBSTITUTE(E2, ";", "")) + 1)</f>
        <v>1</v>
      </c>
      <c r="AA2" s="61" t="s">
        <v>1566</v>
      </c>
      <c r="AB2" s="84" t="s">
        <v>1554</v>
      </c>
      <c r="AC2" s="84" t="s">
        <v>2146</v>
      </c>
      <c r="AD2" s="84" t="s">
        <v>1994</v>
      </c>
      <c r="AE2" s="61"/>
    </row>
    <row r="3" spans="1:31" ht="160.5" hidden="1" x14ac:dyDescent="0.45">
      <c r="A3" s="61" t="s">
        <v>1733</v>
      </c>
      <c r="B3" s="61" t="s">
        <v>1734</v>
      </c>
      <c r="C3" s="65"/>
      <c r="D3" s="61"/>
      <c r="E3" s="61" t="s">
        <v>1752</v>
      </c>
      <c r="F3" s="70" t="s">
        <v>53</v>
      </c>
      <c r="G3" s="70" t="s">
        <v>2121</v>
      </c>
      <c r="H3" s="67">
        <v>46161.849050925928</v>
      </c>
      <c r="I3" s="75">
        <f t="shared" ref="I3:I66" ca="1" si="3">NOW()-H3</f>
        <v>18.819641435184167</v>
      </c>
      <c r="J3" s="61"/>
      <c r="K3" s="61"/>
      <c r="L3" s="61"/>
      <c r="M3" s="61" t="s">
        <v>1750</v>
      </c>
      <c r="N3" s="61" t="s">
        <v>1751</v>
      </c>
      <c r="O3" s="61"/>
      <c r="P3" s="61"/>
      <c r="Q3" s="61"/>
      <c r="R3" s="61" t="s">
        <v>2092</v>
      </c>
      <c r="S3" s="61" t="s">
        <v>45</v>
      </c>
      <c r="T3" s="61" t="s">
        <v>1898</v>
      </c>
      <c r="U3" s="61" t="s">
        <v>1898</v>
      </c>
      <c r="V3" s="61" t="str">
        <f>VLOOKUP(B3,[2]Overall!$A:$D,4,0)</f>
        <v>TELEINFRA CENTRE</v>
      </c>
      <c r="W3" s="61" t="str">
        <f>VLOOKUP(B3,[3]Sheet1!$A:$B,2,0)</f>
        <v>Batchenga</v>
      </c>
      <c r="X3" s="88" t="str">
        <f t="shared" si="0"/>
        <v>CTR</v>
      </c>
      <c r="Y3" s="80" t="str">
        <f t="shared" ca="1" si="1"/>
        <v>T&gt;72H</v>
      </c>
      <c r="Z3" s="61">
        <f t="shared" si="2"/>
        <v>1</v>
      </c>
      <c r="AA3" s="61" t="s">
        <v>1566</v>
      </c>
      <c r="AB3" s="84" t="s">
        <v>1554</v>
      </c>
      <c r="AC3" s="84" t="s">
        <v>2146</v>
      </c>
      <c r="AD3" s="84" t="s">
        <v>1994</v>
      </c>
      <c r="AE3" s="61"/>
    </row>
    <row r="4" spans="1:31" ht="160.5" hidden="1" x14ac:dyDescent="0.45">
      <c r="A4" s="61" t="s">
        <v>1733</v>
      </c>
      <c r="B4" s="61" t="s">
        <v>1734</v>
      </c>
      <c r="C4" s="65"/>
      <c r="D4" s="61"/>
      <c r="E4" s="61" t="s">
        <v>1753</v>
      </c>
      <c r="F4" s="70" t="s">
        <v>53</v>
      </c>
      <c r="G4" s="70" t="s">
        <v>2121</v>
      </c>
      <c r="H4" s="67">
        <v>46161.849050925928</v>
      </c>
      <c r="I4" s="75">
        <f t="shared" ca="1" si="3"/>
        <v>18.819641435184167</v>
      </c>
      <c r="J4" s="61"/>
      <c r="K4" s="61"/>
      <c r="L4" s="61"/>
      <c r="M4" s="61" t="s">
        <v>1750</v>
      </c>
      <c r="N4" s="61" t="s">
        <v>1751</v>
      </c>
      <c r="O4" s="61"/>
      <c r="P4" s="61"/>
      <c r="Q4" s="61"/>
      <c r="R4" s="61" t="s">
        <v>2092</v>
      </c>
      <c r="S4" s="61" t="s">
        <v>45</v>
      </c>
      <c r="T4" s="61" t="s">
        <v>1898</v>
      </c>
      <c r="U4" s="61" t="s">
        <v>1898</v>
      </c>
      <c r="V4" s="61" t="str">
        <f>VLOOKUP(B4,[2]Overall!$A:$D,4,0)</f>
        <v>TELEINFRA CENTRE</v>
      </c>
      <c r="W4" s="61" t="str">
        <f>VLOOKUP(B4,[3]Sheet1!$A:$B,2,0)</f>
        <v>Batchenga</v>
      </c>
      <c r="X4" s="88" t="str">
        <f t="shared" si="0"/>
        <v>EXN</v>
      </c>
      <c r="Y4" s="80" t="str">
        <f t="shared" ca="1" si="1"/>
        <v>T&gt;72H</v>
      </c>
      <c r="Z4" s="61">
        <f t="shared" si="2"/>
        <v>1</v>
      </c>
      <c r="AA4" s="61" t="s">
        <v>1566</v>
      </c>
      <c r="AB4" s="84" t="s">
        <v>1554</v>
      </c>
      <c r="AC4" s="84" t="s">
        <v>2146</v>
      </c>
      <c r="AD4" s="84" t="s">
        <v>1994</v>
      </c>
      <c r="AE4" s="61"/>
    </row>
    <row r="5" spans="1:31" ht="247.5" hidden="1" x14ac:dyDescent="0.45">
      <c r="A5" s="61" t="s">
        <v>1913</v>
      </c>
      <c r="B5" s="61" t="s">
        <v>1914</v>
      </c>
      <c r="C5" s="65"/>
      <c r="D5" s="61"/>
      <c r="E5" s="61" t="s">
        <v>43</v>
      </c>
      <c r="F5" s="70" t="s">
        <v>53</v>
      </c>
      <c r="G5" s="70" t="s">
        <v>2121</v>
      </c>
      <c r="H5" s="67">
        <v>46168.171053240738</v>
      </c>
      <c r="I5" s="75">
        <f t="shared" ca="1" si="3"/>
        <v>12.497639120374515</v>
      </c>
      <c r="J5" s="61"/>
      <c r="K5" s="61"/>
      <c r="L5" s="61"/>
      <c r="M5" s="61" t="s">
        <v>31</v>
      </c>
      <c r="N5" s="61" t="s">
        <v>1915</v>
      </c>
      <c r="O5" s="61"/>
      <c r="P5" s="61"/>
      <c r="Q5" s="61"/>
      <c r="R5" s="61" t="s">
        <v>2138</v>
      </c>
      <c r="S5" s="61" t="s">
        <v>40</v>
      </c>
      <c r="T5" s="61" t="s">
        <v>2129</v>
      </c>
      <c r="U5" s="61" t="s">
        <v>2129</v>
      </c>
      <c r="V5" s="61" t="str">
        <f>VLOOKUP(B5,[2]Overall!$A:$D,4,0)</f>
        <v>TELEINFRA NORD</v>
      </c>
      <c r="W5" s="61" t="str">
        <f>VLOOKUP(B5,[3]Sheet1!$A:$B,2,0)</f>
        <v>Dogba</v>
      </c>
      <c r="X5" s="88" t="str">
        <f t="shared" si="0"/>
        <v>EXN</v>
      </c>
      <c r="Y5" s="80" t="str">
        <f t="shared" ca="1" si="1"/>
        <v>T&gt;72H</v>
      </c>
      <c r="Z5" s="61">
        <f t="shared" si="2"/>
        <v>4</v>
      </c>
      <c r="AA5" s="61" t="s">
        <v>1566</v>
      </c>
      <c r="AB5" s="84" t="s">
        <v>1554</v>
      </c>
      <c r="AC5" s="84" t="s">
        <v>2146</v>
      </c>
      <c r="AD5" s="84" t="s">
        <v>1994</v>
      </c>
      <c r="AE5" s="61"/>
    </row>
    <row r="6" spans="1:31" ht="247.5" hidden="1" x14ac:dyDescent="0.45">
      <c r="A6" s="61" t="s">
        <v>1913</v>
      </c>
      <c r="B6" s="61" t="s">
        <v>1914</v>
      </c>
      <c r="C6" s="65"/>
      <c r="D6" s="61"/>
      <c r="E6" s="61" t="s">
        <v>35</v>
      </c>
      <c r="F6" s="70" t="s">
        <v>53</v>
      </c>
      <c r="G6" s="70" t="s">
        <v>2121</v>
      </c>
      <c r="H6" s="67">
        <v>46168.171064814815</v>
      </c>
      <c r="I6" s="75">
        <f t="shared" ca="1" si="3"/>
        <v>12.497627546297736</v>
      </c>
      <c r="J6" s="61"/>
      <c r="K6" s="61"/>
      <c r="L6" s="61"/>
      <c r="M6" s="61" t="s">
        <v>31</v>
      </c>
      <c r="N6" s="61" t="s">
        <v>1916</v>
      </c>
      <c r="O6" s="61"/>
      <c r="P6" s="61"/>
      <c r="Q6" s="61"/>
      <c r="R6" s="61" t="s">
        <v>2138</v>
      </c>
      <c r="S6" s="61" t="s">
        <v>40</v>
      </c>
      <c r="T6" s="61" t="s">
        <v>2129</v>
      </c>
      <c r="U6" s="61" t="s">
        <v>2129</v>
      </c>
      <c r="V6" s="61" t="str">
        <f>VLOOKUP(B6,[2]Overall!$A:$D,4,0)</f>
        <v>TELEINFRA NORD</v>
      </c>
      <c r="W6" s="61" t="str">
        <f>VLOOKUP(B6,[3]Sheet1!$A:$B,2,0)</f>
        <v>Dogba</v>
      </c>
      <c r="X6" s="88" t="str">
        <f t="shared" si="0"/>
        <v>EXN</v>
      </c>
      <c r="Y6" s="80" t="str">
        <f t="shared" ca="1" si="1"/>
        <v>T&gt;72H</v>
      </c>
      <c r="Z6" s="61">
        <f t="shared" si="2"/>
        <v>3</v>
      </c>
      <c r="AA6" s="61" t="s">
        <v>1566</v>
      </c>
      <c r="AB6" s="84" t="s">
        <v>1554</v>
      </c>
      <c r="AC6" s="84" t="s">
        <v>2146</v>
      </c>
      <c r="AD6" s="84" t="s">
        <v>1994</v>
      </c>
      <c r="AE6" s="61"/>
    </row>
    <row r="7" spans="1:31" ht="117" hidden="1" x14ac:dyDescent="0.45">
      <c r="A7" s="61" t="s">
        <v>1828</v>
      </c>
      <c r="B7" s="61" t="s">
        <v>1829</v>
      </c>
      <c r="C7" s="65"/>
      <c r="D7" s="61"/>
      <c r="E7" s="61" t="s">
        <v>39</v>
      </c>
      <c r="F7" s="70" t="s">
        <v>53</v>
      </c>
      <c r="G7" s="70" t="s">
        <v>2121</v>
      </c>
      <c r="H7" s="67">
        <v>46168.536261574074</v>
      </c>
      <c r="I7" s="75">
        <f t="shared" ca="1" si="3"/>
        <v>12.132430787038174</v>
      </c>
      <c r="J7" s="61"/>
      <c r="K7" s="61"/>
      <c r="L7" s="61"/>
      <c r="M7" s="61" t="s">
        <v>1712</v>
      </c>
      <c r="N7" s="61" t="s">
        <v>1830</v>
      </c>
      <c r="O7" s="61"/>
      <c r="P7" s="61"/>
      <c r="Q7" s="61"/>
      <c r="R7" s="61" t="s">
        <v>2074</v>
      </c>
      <c r="S7" s="61" t="s">
        <v>40</v>
      </c>
      <c r="T7" s="61" t="s">
        <v>1898</v>
      </c>
      <c r="U7" s="61" t="s">
        <v>1898</v>
      </c>
      <c r="V7" s="61" t="str">
        <f>VLOOKUP(B7,[2]Overall!$A:$D,4,0)</f>
        <v>TELEINFRA NORD</v>
      </c>
      <c r="W7" s="61" t="str">
        <f>VLOOKUP(B7,[3]Sheet1!$A:$B,2,0)</f>
        <v>Zigague</v>
      </c>
      <c r="X7" s="88" t="str">
        <f t="shared" si="0"/>
        <v>SUO</v>
      </c>
      <c r="Y7" s="80" t="str">
        <f t="shared" ca="1" si="1"/>
        <v>T&gt;72H</v>
      </c>
      <c r="Z7" s="61">
        <f t="shared" si="2"/>
        <v>1</v>
      </c>
      <c r="AA7" s="61" t="s">
        <v>1566</v>
      </c>
      <c r="AB7" s="84" t="s">
        <v>1554</v>
      </c>
      <c r="AC7" s="84" t="s">
        <v>2146</v>
      </c>
      <c r="AD7" s="84" t="s">
        <v>1994</v>
      </c>
      <c r="AE7" s="61"/>
    </row>
    <row r="8" spans="1:31" ht="131.5" hidden="1" x14ac:dyDescent="0.45">
      <c r="A8" s="61" t="s">
        <v>1834</v>
      </c>
      <c r="B8" s="61" t="s">
        <v>1835</v>
      </c>
      <c r="C8" s="65"/>
      <c r="D8" s="61"/>
      <c r="E8" s="61" t="s">
        <v>39</v>
      </c>
      <c r="F8" s="70" t="s">
        <v>53</v>
      </c>
      <c r="G8" s="70" t="s">
        <v>2121</v>
      </c>
      <c r="H8" s="67">
        <v>46168.908518518518</v>
      </c>
      <c r="I8" s="75">
        <f t="shared" ca="1" si="3"/>
        <v>11.760173842594668</v>
      </c>
      <c r="J8" s="61"/>
      <c r="K8" s="61"/>
      <c r="L8" s="61"/>
      <c r="M8" s="61" t="s">
        <v>1836</v>
      </c>
      <c r="N8" s="61" t="s">
        <v>1837</v>
      </c>
      <c r="O8" s="61"/>
      <c r="P8" s="61"/>
      <c r="Q8" s="61"/>
      <c r="R8" s="61" t="s">
        <v>2080</v>
      </c>
      <c r="S8" s="61" t="s">
        <v>85</v>
      </c>
      <c r="T8" s="61" t="s">
        <v>1899</v>
      </c>
      <c r="U8" s="61" t="s">
        <v>1899</v>
      </c>
      <c r="V8" s="61" t="str">
        <f>VLOOKUP(B8,[2]Overall!$A:$D,4,0)</f>
        <v>H-TELI</v>
      </c>
      <c r="W8" s="61" t="str">
        <f>VLOOKUP(B8,[3]Sheet1!$A:$B,2,0)</f>
        <v>Ebonji</v>
      </c>
      <c r="X8" s="88" t="str">
        <f t="shared" si="0"/>
        <v>NRO</v>
      </c>
      <c r="Y8" s="80" t="str">
        <f t="shared" ca="1" si="1"/>
        <v>T&gt;72H</v>
      </c>
      <c r="Z8" s="61">
        <f t="shared" si="2"/>
        <v>1</v>
      </c>
      <c r="AA8" s="61" t="s">
        <v>1566</v>
      </c>
      <c r="AB8" s="84" t="s">
        <v>1554</v>
      </c>
      <c r="AC8" s="84" t="s">
        <v>2146</v>
      </c>
      <c r="AD8" s="84" t="s">
        <v>1994</v>
      </c>
      <c r="AE8" s="61"/>
    </row>
    <row r="9" spans="1:31" ht="189.5" hidden="1" x14ac:dyDescent="0.45">
      <c r="A9" s="61" t="s">
        <v>1776</v>
      </c>
      <c r="B9" s="61" t="s">
        <v>1777</v>
      </c>
      <c r="C9" s="65"/>
      <c r="D9" s="61"/>
      <c r="E9" s="61" t="s">
        <v>35</v>
      </c>
      <c r="F9" s="70" t="s">
        <v>53</v>
      </c>
      <c r="G9" s="70" t="s">
        <v>2121</v>
      </c>
      <c r="H9" s="67">
        <v>46169.530451388891</v>
      </c>
      <c r="I9" s="75">
        <f t="shared" ca="1" si="3"/>
        <v>11.138240972220956</v>
      </c>
      <c r="J9" s="61"/>
      <c r="K9" s="61"/>
      <c r="L9" s="61"/>
      <c r="M9" s="61" t="s">
        <v>31</v>
      </c>
      <c r="N9" s="61" t="s">
        <v>1778</v>
      </c>
      <c r="O9" s="61"/>
      <c r="P9" s="61"/>
      <c r="Q9" s="61"/>
      <c r="R9" s="61" t="s">
        <v>2192</v>
      </c>
      <c r="S9" s="61" t="s">
        <v>32</v>
      </c>
      <c r="T9" s="61" t="s">
        <v>1898</v>
      </c>
      <c r="U9" s="61" t="s">
        <v>1898</v>
      </c>
      <c r="V9" s="61" t="str">
        <f>VLOOKUP(B9,[2]Overall!$A:$D,4,0)</f>
        <v xml:space="preserve">I-ENG </v>
      </c>
      <c r="W9" s="61" t="str">
        <f>VLOOKUP(B9,[3]Sheet1!$A:$B,2,0)</f>
        <v>Bafmeng</v>
      </c>
      <c r="X9" s="88" t="str">
        <f t="shared" si="0"/>
        <v>NRO</v>
      </c>
      <c r="Y9" s="80" t="str">
        <f t="shared" ca="1" si="1"/>
        <v>T&gt;72H</v>
      </c>
      <c r="Z9" s="61">
        <f t="shared" si="2"/>
        <v>3</v>
      </c>
      <c r="AA9" s="61" t="s">
        <v>1566</v>
      </c>
      <c r="AB9" s="84" t="s">
        <v>1554</v>
      </c>
      <c r="AC9" s="84" t="s">
        <v>2146</v>
      </c>
      <c r="AD9" s="84" t="s">
        <v>1994</v>
      </c>
      <c r="AE9" s="61"/>
    </row>
    <row r="10" spans="1:31" ht="131.5" hidden="1" x14ac:dyDescent="0.45">
      <c r="A10" s="61" t="s">
        <v>1581</v>
      </c>
      <c r="B10" s="61" t="s">
        <v>1582</v>
      </c>
      <c r="C10" s="65"/>
      <c r="D10" s="61"/>
      <c r="E10" s="61" t="s">
        <v>1937</v>
      </c>
      <c r="F10" s="70" t="s">
        <v>53</v>
      </c>
      <c r="G10" s="70" t="s">
        <v>2121</v>
      </c>
      <c r="H10" s="67">
        <v>46172.450324074074</v>
      </c>
      <c r="I10" s="75">
        <f t="shared" ca="1" si="3"/>
        <v>8.2183682870381745</v>
      </c>
      <c r="J10" s="61"/>
      <c r="K10" s="61"/>
      <c r="L10" s="61"/>
      <c r="M10" s="61" t="s">
        <v>41</v>
      </c>
      <c r="N10" s="61" t="s">
        <v>1938</v>
      </c>
      <c r="O10" s="61"/>
      <c r="P10" s="61"/>
      <c r="Q10" s="61"/>
      <c r="R10" s="61" t="s">
        <v>2193</v>
      </c>
      <c r="S10" s="61" t="s">
        <v>32</v>
      </c>
      <c r="T10" s="61" t="s">
        <v>1840</v>
      </c>
      <c r="U10" s="61" t="s">
        <v>1840</v>
      </c>
      <c r="V10" s="61" t="str">
        <f>VLOOKUP(B10,[2]Overall!$A:$D,4,0)</f>
        <v xml:space="preserve">I-ENG </v>
      </c>
      <c r="W10" s="61" t="str">
        <f>VLOOKUP(B10,[3]Sheet1!$A:$B,2,0)</f>
        <v>Batibo</v>
      </c>
      <c r="X10" s="88" t="str">
        <f t="shared" si="0"/>
        <v>EXN</v>
      </c>
      <c r="Y10" s="80" t="str">
        <f t="shared" ca="1" si="1"/>
        <v>T&gt;72H</v>
      </c>
      <c r="Z10" s="61">
        <f t="shared" si="2"/>
        <v>1</v>
      </c>
      <c r="AA10" s="61" t="s">
        <v>1566</v>
      </c>
      <c r="AB10" s="84" t="s">
        <v>1554</v>
      </c>
      <c r="AC10" s="84" t="s">
        <v>2146</v>
      </c>
      <c r="AD10" s="84" t="s">
        <v>1994</v>
      </c>
      <c r="AE10" s="61"/>
    </row>
    <row r="11" spans="1:31" ht="102.5" hidden="1" x14ac:dyDescent="0.45">
      <c r="A11" s="61" t="s">
        <v>1930</v>
      </c>
      <c r="B11" s="61" t="s">
        <v>1931</v>
      </c>
      <c r="C11" s="65"/>
      <c r="D11" s="61"/>
      <c r="E11" s="61" t="s">
        <v>34</v>
      </c>
      <c r="F11" s="70" t="s">
        <v>53</v>
      </c>
      <c r="G11" s="70" t="s">
        <v>2121</v>
      </c>
      <c r="H11" s="67">
        <v>46172.534074074072</v>
      </c>
      <c r="I11" s="75">
        <f t="shared" ca="1" si="3"/>
        <v>8.1346182870402117</v>
      </c>
      <c r="J11" s="61"/>
      <c r="K11" s="61"/>
      <c r="L11" s="61"/>
      <c r="M11" s="61" t="s">
        <v>1929</v>
      </c>
      <c r="N11" s="61" t="s">
        <v>1932</v>
      </c>
      <c r="O11" s="61"/>
      <c r="P11" s="61"/>
      <c r="Q11" s="61"/>
      <c r="R11" s="61" t="s">
        <v>2079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Mazera</v>
      </c>
      <c r="X11" s="88" t="str">
        <f t="shared" si="0"/>
        <v>ADM</v>
      </c>
      <c r="Y11" s="80" t="str">
        <f t="shared" ca="1" si="1"/>
        <v>T&gt;72H</v>
      </c>
      <c r="Z11" s="61">
        <f t="shared" si="2"/>
        <v>1</v>
      </c>
      <c r="AA11" s="61" t="s">
        <v>1566</v>
      </c>
      <c r="AB11" s="84" t="s">
        <v>1554</v>
      </c>
      <c r="AC11" s="84" t="s">
        <v>2146</v>
      </c>
      <c r="AD11" s="84" t="s">
        <v>1994</v>
      </c>
      <c r="AE11" s="61"/>
    </row>
    <row r="12" spans="1:31" ht="175" hidden="1" x14ac:dyDescent="0.45">
      <c r="A12" s="61" t="s">
        <v>1920</v>
      </c>
      <c r="B12" s="61" t="s">
        <v>1921</v>
      </c>
      <c r="C12" s="65"/>
      <c r="D12" s="61"/>
      <c r="E12" s="61" t="s">
        <v>1922</v>
      </c>
      <c r="F12" s="70" t="s">
        <v>53</v>
      </c>
      <c r="G12" s="70" t="s">
        <v>2121</v>
      </c>
      <c r="H12" s="67">
        <v>46172.580775462964</v>
      </c>
      <c r="I12" s="75">
        <f t="shared" ca="1" si="3"/>
        <v>8.0879168981482508</v>
      </c>
      <c r="J12" s="61"/>
      <c r="K12" s="61"/>
      <c r="L12" s="61"/>
      <c r="M12" s="61" t="s">
        <v>31</v>
      </c>
      <c r="N12" s="61" t="s">
        <v>1923</v>
      </c>
      <c r="O12" s="61"/>
      <c r="P12" s="61"/>
      <c r="Q12" s="61"/>
      <c r="R12" s="61" t="s">
        <v>2132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Mbidou</v>
      </c>
      <c r="X12" s="88" t="str">
        <f t="shared" si="0"/>
        <v>ADM</v>
      </c>
      <c r="Y12" s="80" t="str">
        <f t="shared" ca="1" si="1"/>
        <v>T&gt;72H</v>
      </c>
      <c r="Z12" s="61">
        <f t="shared" si="2"/>
        <v>3</v>
      </c>
      <c r="AA12" s="61" t="s">
        <v>1566</v>
      </c>
      <c r="AB12" s="84" t="s">
        <v>1554</v>
      </c>
      <c r="AC12" s="84" t="s">
        <v>2146</v>
      </c>
      <c r="AD12" s="84" t="s">
        <v>1994</v>
      </c>
      <c r="AE12" s="61"/>
    </row>
    <row r="13" spans="1:31" ht="175" hidden="1" x14ac:dyDescent="0.45">
      <c r="A13" s="61" t="s">
        <v>1920</v>
      </c>
      <c r="B13" s="61" t="s">
        <v>1921</v>
      </c>
      <c r="C13" s="65"/>
      <c r="D13" s="61"/>
      <c r="E13" s="61" t="s">
        <v>1922</v>
      </c>
      <c r="F13" s="70" t="s">
        <v>53</v>
      </c>
      <c r="G13" s="70" t="s">
        <v>2121</v>
      </c>
      <c r="H13" s="67">
        <v>46172.588692129626</v>
      </c>
      <c r="I13" s="75">
        <f t="shared" ca="1" si="3"/>
        <v>8.0800002314863377</v>
      </c>
      <c r="J13" s="61"/>
      <c r="K13" s="61"/>
      <c r="L13" s="61"/>
      <c r="M13" s="61" t="s">
        <v>1713</v>
      </c>
      <c r="N13" s="61" t="s">
        <v>1952</v>
      </c>
      <c r="O13" s="61"/>
      <c r="P13" s="61"/>
      <c r="Q13" s="61"/>
      <c r="R13" s="61" t="s">
        <v>2132</v>
      </c>
      <c r="S13" s="61" t="s">
        <v>40</v>
      </c>
      <c r="T13" s="61" t="s">
        <v>1898</v>
      </c>
      <c r="U13" s="61" t="s">
        <v>1898</v>
      </c>
      <c r="V13" s="61" t="str">
        <f>VLOOKUP(B13,[2]Overall!$A:$D,4,0)</f>
        <v>TELEINFRA NORD</v>
      </c>
      <c r="W13" s="61" t="str">
        <f>VLOOKUP(B13,[3]Sheet1!$A:$B,2,0)</f>
        <v>Mbidou</v>
      </c>
      <c r="X13" s="88" t="str">
        <f t="shared" si="0"/>
        <v>NRD</v>
      </c>
      <c r="Y13" s="80" t="str">
        <f t="shared" ca="1" si="1"/>
        <v>T&gt;72H</v>
      </c>
      <c r="Z13" s="61">
        <f t="shared" si="2"/>
        <v>3</v>
      </c>
      <c r="AA13" s="61" t="s">
        <v>1566</v>
      </c>
      <c r="AB13" s="84" t="s">
        <v>1554</v>
      </c>
      <c r="AC13" s="84" t="s">
        <v>2146</v>
      </c>
      <c r="AD13" s="84" t="s">
        <v>1994</v>
      </c>
      <c r="AE13" s="61"/>
    </row>
    <row r="14" spans="1:31" ht="378" hidden="1" x14ac:dyDescent="0.45">
      <c r="A14" s="61" t="s">
        <v>1773</v>
      </c>
      <c r="B14" s="61" t="s">
        <v>1774</v>
      </c>
      <c r="C14" s="65"/>
      <c r="D14" s="61"/>
      <c r="E14" s="61" t="s">
        <v>1956</v>
      </c>
      <c r="F14" s="70" t="s">
        <v>53</v>
      </c>
      <c r="G14" s="70" t="s">
        <v>2121</v>
      </c>
      <c r="H14" s="67">
        <v>46172.719837962963</v>
      </c>
      <c r="I14" s="75">
        <f t="shared" ca="1" si="3"/>
        <v>7.948854398149706</v>
      </c>
      <c r="J14" s="61"/>
      <c r="K14" s="61"/>
      <c r="L14" s="61"/>
      <c r="M14" s="61" t="s">
        <v>31</v>
      </c>
      <c r="N14" s="61" t="s">
        <v>1957</v>
      </c>
      <c r="O14" s="61"/>
      <c r="P14" s="61"/>
      <c r="Q14" s="61"/>
      <c r="R14" s="61" t="s">
        <v>2137</v>
      </c>
      <c r="S14" s="61" t="s">
        <v>40</v>
      </c>
      <c r="T14" s="61" t="s">
        <v>1898</v>
      </c>
      <c r="U14" s="61" t="s">
        <v>1898</v>
      </c>
      <c r="V14" s="61" t="str">
        <f>VLOOKUP(B14,[2]Overall!$A:$D,4,0)</f>
        <v>TELEINFRA NORD</v>
      </c>
      <c r="W14" s="61" t="str">
        <f>VLOOKUP(B14,[3]Sheet1!$A:$B,2,0)</f>
        <v>Hamalade</v>
      </c>
      <c r="X14" s="88" t="str">
        <f t="shared" si="0"/>
        <v>NRD</v>
      </c>
      <c r="Y14" s="80" t="str">
        <f t="shared" ca="1" si="1"/>
        <v>T&gt;72H</v>
      </c>
      <c r="Z14" s="61">
        <f t="shared" si="2"/>
        <v>3</v>
      </c>
      <c r="AA14" s="61" t="s">
        <v>1566</v>
      </c>
      <c r="AB14" s="84" t="s">
        <v>1554</v>
      </c>
      <c r="AC14" s="84" t="s">
        <v>2146</v>
      </c>
      <c r="AD14" s="84" t="s">
        <v>1994</v>
      </c>
      <c r="AE14" s="61"/>
    </row>
    <row r="15" spans="1:31" ht="378" hidden="1" x14ac:dyDescent="0.45">
      <c r="A15" s="61" t="s">
        <v>1773</v>
      </c>
      <c r="B15" s="61" t="s">
        <v>1774</v>
      </c>
      <c r="C15" s="65"/>
      <c r="D15" s="61"/>
      <c r="E15" s="61" t="s">
        <v>35</v>
      </c>
      <c r="F15" s="70" t="s">
        <v>53</v>
      </c>
      <c r="G15" s="70" t="s">
        <v>2121</v>
      </c>
      <c r="H15" s="67">
        <v>46172.719837962963</v>
      </c>
      <c r="I15" s="75">
        <f t="shared" ca="1" si="3"/>
        <v>7.948854398149706</v>
      </c>
      <c r="J15" s="61"/>
      <c r="K15" s="61"/>
      <c r="L15" s="61"/>
      <c r="M15" s="61" t="s">
        <v>31</v>
      </c>
      <c r="N15" s="61" t="s">
        <v>1775</v>
      </c>
      <c r="O15" s="61"/>
      <c r="P15" s="61"/>
      <c r="Q15" s="61"/>
      <c r="R15" s="61" t="s">
        <v>2137</v>
      </c>
      <c r="S15" s="61" t="s">
        <v>40</v>
      </c>
      <c r="T15" s="61" t="s">
        <v>1898</v>
      </c>
      <c r="U15" s="61" t="s">
        <v>1898</v>
      </c>
      <c r="V15" s="61" t="str">
        <f>VLOOKUP(B15,[2]Overall!$A:$D,4,0)</f>
        <v>TELEINFRA NORD</v>
      </c>
      <c r="W15" s="61" t="str">
        <f>VLOOKUP(B15,[3]Sheet1!$A:$B,2,0)</f>
        <v>Hamalade</v>
      </c>
      <c r="X15" s="88" t="str">
        <f t="shared" si="0"/>
        <v>NRD</v>
      </c>
      <c r="Y15" s="80" t="str">
        <f t="shared" ca="1" si="1"/>
        <v>T&gt;72H</v>
      </c>
      <c r="Z15" s="61">
        <f t="shared" si="2"/>
        <v>3</v>
      </c>
      <c r="AA15" s="61" t="s">
        <v>1566</v>
      </c>
      <c r="AB15" s="84" t="s">
        <v>1554</v>
      </c>
      <c r="AC15" s="84" t="s">
        <v>2146</v>
      </c>
      <c r="AD15" s="84" t="s">
        <v>1994</v>
      </c>
      <c r="AE15" s="61"/>
    </row>
    <row r="16" spans="1:31" ht="378" hidden="1" x14ac:dyDescent="0.45">
      <c r="A16" s="61" t="s">
        <v>1773</v>
      </c>
      <c r="B16" s="61" t="s">
        <v>1774</v>
      </c>
      <c r="C16" s="65"/>
      <c r="D16" s="61"/>
      <c r="E16" s="61" t="s">
        <v>1954</v>
      </c>
      <c r="F16" s="70" t="s">
        <v>53</v>
      </c>
      <c r="G16" s="70" t="s">
        <v>2121</v>
      </c>
      <c r="H16" s="67">
        <v>46172.724965277775</v>
      </c>
      <c r="I16" s="75">
        <f t="shared" ca="1" si="3"/>
        <v>7.943727083336853</v>
      </c>
      <c r="J16" s="61"/>
      <c r="K16" s="61"/>
      <c r="L16" s="61"/>
      <c r="M16" s="61" t="s">
        <v>1750</v>
      </c>
      <c r="N16" s="61" t="s">
        <v>1751</v>
      </c>
      <c r="O16" s="61"/>
      <c r="P16" s="61"/>
      <c r="Q16" s="61"/>
      <c r="R16" s="61" t="s">
        <v>2137</v>
      </c>
      <c r="S16" s="61" t="s">
        <v>40</v>
      </c>
      <c r="T16" s="61" t="s">
        <v>1898</v>
      </c>
      <c r="U16" s="61" t="s">
        <v>1898</v>
      </c>
      <c r="V16" s="61" t="str">
        <f>VLOOKUP(B16,[2]Overall!$A:$D,4,0)</f>
        <v>TELEINFRA NORD</v>
      </c>
      <c r="W16" s="61" t="str">
        <f>VLOOKUP(B16,[3]Sheet1!$A:$B,2,0)</f>
        <v>Hamalade</v>
      </c>
      <c r="X16" s="88" t="str">
        <f t="shared" si="0"/>
        <v>NRD</v>
      </c>
      <c r="Y16" s="80" t="str">
        <f t="shared" ca="1" si="1"/>
        <v>T&gt;72H</v>
      </c>
      <c r="Z16" s="61">
        <f t="shared" si="2"/>
        <v>1</v>
      </c>
      <c r="AA16" s="61" t="s">
        <v>1566</v>
      </c>
      <c r="AB16" s="84" t="s">
        <v>1554</v>
      </c>
      <c r="AC16" s="84" t="s">
        <v>2146</v>
      </c>
      <c r="AD16" s="84" t="s">
        <v>1994</v>
      </c>
      <c r="AE16" s="61"/>
    </row>
    <row r="17" spans="1:31" ht="378" hidden="1" x14ac:dyDescent="0.45">
      <c r="A17" s="61" t="s">
        <v>1773</v>
      </c>
      <c r="B17" s="61" t="s">
        <v>1774</v>
      </c>
      <c r="C17" s="65"/>
      <c r="D17" s="61"/>
      <c r="E17" s="61" t="s">
        <v>1955</v>
      </c>
      <c r="F17" s="70" t="s">
        <v>53</v>
      </c>
      <c r="G17" s="70" t="s">
        <v>2121</v>
      </c>
      <c r="H17" s="67">
        <v>46172.724965277775</v>
      </c>
      <c r="I17" s="75">
        <f t="shared" ca="1" si="3"/>
        <v>7.943727083336853</v>
      </c>
      <c r="J17" s="61"/>
      <c r="K17" s="61"/>
      <c r="L17" s="61"/>
      <c r="M17" s="61" t="s">
        <v>1750</v>
      </c>
      <c r="N17" s="61" t="s">
        <v>1751</v>
      </c>
      <c r="O17" s="61"/>
      <c r="P17" s="61"/>
      <c r="Q17" s="61"/>
      <c r="R17" s="61" t="s">
        <v>2137</v>
      </c>
      <c r="S17" s="61" t="s">
        <v>40</v>
      </c>
      <c r="T17" s="61" t="s">
        <v>1898</v>
      </c>
      <c r="U17" s="61" t="s">
        <v>1898</v>
      </c>
      <c r="V17" s="61" t="str">
        <f>VLOOKUP(B17,[2]Overall!$A:$D,4,0)</f>
        <v>TELEINFRA NORD</v>
      </c>
      <c r="W17" s="61" t="str">
        <f>VLOOKUP(B17,[3]Sheet1!$A:$B,2,0)</f>
        <v>Hamalade</v>
      </c>
      <c r="X17" s="88" t="str">
        <f t="shared" si="0"/>
        <v>NRD</v>
      </c>
      <c r="Y17" s="80" t="str">
        <f t="shared" ca="1" si="1"/>
        <v>T&gt;72H</v>
      </c>
      <c r="Z17" s="61">
        <f t="shared" si="2"/>
        <v>1</v>
      </c>
      <c r="AA17" s="61" t="s">
        <v>1566</v>
      </c>
      <c r="AB17" s="84" t="s">
        <v>1554</v>
      </c>
      <c r="AC17" s="84" t="s">
        <v>2146</v>
      </c>
      <c r="AD17" s="84" t="s">
        <v>1994</v>
      </c>
      <c r="AE17" s="61"/>
    </row>
    <row r="18" spans="1:31" ht="378" hidden="1" x14ac:dyDescent="0.45">
      <c r="A18" s="61" t="s">
        <v>1773</v>
      </c>
      <c r="B18" s="61" t="s">
        <v>1774</v>
      </c>
      <c r="C18" s="65"/>
      <c r="D18" s="61"/>
      <c r="E18" s="61" t="s">
        <v>1953</v>
      </c>
      <c r="F18" s="70" t="s">
        <v>53</v>
      </c>
      <c r="G18" s="70" t="s">
        <v>2121</v>
      </c>
      <c r="H18" s="67">
        <v>46172.724965277775</v>
      </c>
      <c r="I18" s="75">
        <f t="shared" ca="1" si="3"/>
        <v>7.943727083336853</v>
      </c>
      <c r="J18" s="61"/>
      <c r="K18" s="61"/>
      <c r="L18" s="61"/>
      <c r="M18" s="61" t="s">
        <v>1750</v>
      </c>
      <c r="N18" s="61" t="s">
        <v>1751</v>
      </c>
      <c r="O18" s="61"/>
      <c r="P18" s="61"/>
      <c r="Q18" s="61"/>
      <c r="R18" s="61" t="s">
        <v>2137</v>
      </c>
      <c r="S18" s="61" t="s">
        <v>40</v>
      </c>
      <c r="T18" s="61" t="s">
        <v>1898</v>
      </c>
      <c r="U18" s="61" t="s">
        <v>1898</v>
      </c>
      <c r="V18" s="61" t="str">
        <f>VLOOKUP(B18,[2]Overall!$A:$D,4,0)</f>
        <v>TELEINFRA NORD</v>
      </c>
      <c r="W18" s="61" t="str">
        <f>VLOOKUP(B18,[3]Sheet1!$A:$B,2,0)</f>
        <v>Hamalade</v>
      </c>
      <c r="X18" s="88" t="str">
        <f t="shared" si="0"/>
        <v>NRO</v>
      </c>
      <c r="Y18" s="80" t="str">
        <f t="shared" ca="1" si="1"/>
        <v>T&gt;72H</v>
      </c>
      <c r="Z18" s="61">
        <f t="shared" si="2"/>
        <v>1</v>
      </c>
      <c r="AA18" s="61" t="s">
        <v>1566</v>
      </c>
      <c r="AB18" s="84" t="s">
        <v>1554</v>
      </c>
      <c r="AC18" s="84" t="s">
        <v>2146</v>
      </c>
      <c r="AD18" s="84" t="s">
        <v>1994</v>
      </c>
      <c r="AE18" s="61"/>
    </row>
    <row r="19" spans="1:31" ht="349" hidden="1" x14ac:dyDescent="0.45">
      <c r="A19" s="61" t="s">
        <v>1724</v>
      </c>
      <c r="B19" s="61" t="s">
        <v>1725</v>
      </c>
      <c r="C19" s="65"/>
      <c r="D19" s="61"/>
      <c r="E19" s="61" t="s">
        <v>1726</v>
      </c>
      <c r="F19" s="70" t="s">
        <v>53</v>
      </c>
      <c r="G19" s="70" t="s">
        <v>2121</v>
      </c>
      <c r="H19" s="67">
        <v>46172.76761574074</v>
      </c>
      <c r="I19" s="75">
        <f t="shared" ca="1" si="3"/>
        <v>7.9010766203718958</v>
      </c>
      <c r="J19" s="61"/>
      <c r="K19" s="61"/>
      <c r="L19" s="61"/>
      <c r="M19" s="61" t="s">
        <v>33</v>
      </c>
      <c r="N19" s="61" t="s">
        <v>1635</v>
      </c>
      <c r="O19" s="61"/>
      <c r="P19" s="61"/>
      <c r="Q19" s="61"/>
      <c r="R19" s="61" t="s">
        <v>2089</v>
      </c>
      <c r="S19" s="61" t="s">
        <v>32</v>
      </c>
      <c r="T19" s="61" t="s">
        <v>1898</v>
      </c>
      <c r="U19" s="61" t="s">
        <v>1898</v>
      </c>
      <c r="V19" s="61" t="str">
        <f>VLOOKUP(B19,[2]Overall!$A:$D,4,0)</f>
        <v xml:space="preserve">I-ENG </v>
      </c>
      <c r="W19" s="61" t="str">
        <f>VLOOKUP(B19,[3]Sheet1!$A:$B,2,0)</f>
        <v>Mbakong</v>
      </c>
      <c r="X19" s="88" t="str">
        <f t="shared" si="0"/>
        <v>NRD</v>
      </c>
      <c r="Y19" s="80" t="str">
        <f t="shared" ca="1" si="1"/>
        <v>T&gt;72H</v>
      </c>
      <c r="Z19" s="61">
        <f t="shared" si="2"/>
        <v>2</v>
      </c>
      <c r="AA19" s="61" t="s">
        <v>1566</v>
      </c>
      <c r="AB19" s="84" t="s">
        <v>1554</v>
      </c>
      <c r="AC19" s="84" t="s">
        <v>2146</v>
      </c>
      <c r="AD19" s="84" t="s">
        <v>1994</v>
      </c>
      <c r="AE19" s="61"/>
    </row>
    <row r="20" spans="1:31" ht="73.5" hidden="1" x14ac:dyDescent="0.45">
      <c r="A20" s="61" t="s">
        <v>1969</v>
      </c>
      <c r="B20" s="61" t="s">
        <v>1970</v>
      </c>
      <c r="C20" s="65"/>
      <c r="D20" s="61"/>
      <c r="E20" s="61" t="s">
        <v>1971</v>
      </c>
      <c r="F20" s="70" t="s">
        <v>53</v>
      </c>
      <c r="G20" s="70" t="s">
        <v>2121</v>
      </c>
      <c r="H20" s="67">
        <v>46173.005960648145</v>
      </c>
      <c r="I20" s="75">
        <f t="shared" ca="1" si="3"/>
        <v>7.6627317129677976</v>
      </c>
      <c r="J20" s="61"/>
      <c r="K20" s="61"/>
      <c r="L20" s="61"/>
      <c r="M20" s="61" t="s">
        <v>46</v>
      </c>
      <c r="N20" s="61" t="s">
        <v>1972</v>
      </c>
      <c r="O20" s="61"/>
      <c r="P20" s="61"/>
      <c r="Q20" s="61"/>
      <c r="R20" s="61" t="s">
        <v>2196</v>
      </c>
      <c r="S20" s="61" t="s">
        <v>40</v>
      </c>
      <c r="T20" s="61" t="s">
        <v>1898</v>
      </c>
      <c r="U20" s="61" t="s">
        <v>1898</v>
      </c>
      <c r="V20" s="61" t="str">
        <f>VLOOKUP(B20,[2]Overall!$A:$D,4,0)</f>
        <v>TELEINFRA NORD</v>
      </c>
      <c r="W20" s="61" t="str">
        <f>VLOOKUP(B20,[3]Sheet1!$A:$B,2,0)</f>
        <v>Gaba</v>
      </c>
      <c r="X20" s="88" t="str">
        <f t="shared" si="0"/>
        <v>NRO</v>
      </c>
      <c r="Y20" s="80" t="str">
        <f t="shared" ca="1" si="1"/>
        <v>T&gt;72H</v>
      </c>
      <c r="Z20" s="61">
        <f t="shared" si="2"/>
        <v>1</v>
      </c>
      <c r="AA20" s="61" t="s">
        <v>1566</v>
      </c>
      <c r="AB20" s="84" t="s">
        <v>1554</v>
      </c>
      <c r="AC20" s="84" t="s">
        <v>2146</v>
      </c>
      <c r="AD20" s="84" t="s">
        <v>1994</v>
      </c>
      <c r="AE20" s="61"/>
    </row>
    <row r="21" spans="1:31" ht="73.5" hidden="1" x14ac:dyDescent="0.45">
      <c r="A21" s="61" t="s">
        <v>1678</v>
      </c>
      <c r="B21" s="61" t="s">
        <v>1679</v>
      </c>
      <c r="C21" s="65"/>
      <c r="D21" s="61"/>
      <c r="E21" s="61" t="s">
        <v>35</v>
      </c>
      <c r="F21" s="70" t="s">
        <v>53</v>
      </c>
      <c r="G21" s="70" t="s">
        <v>2121</v>
      </c>
      <c r="H21" s="67">
        <v>46173.667939814812</v>
      </c>
      <c r="I21" s="75">
        <f t="shared" ca="1" si="3"/>
        <v>7.0007525463006459</v>
      </c>
      <c r="J21" s="61"/>
      <c r="K21" s="61"/>
      <c r="L21" s="61"/>
      <c r="M21" s="61" t="s">
        <v>31</v>
      </c>
      <c r="N21" s="61" t="s">
        <v>1680</v>
      </c>
      <c r="O21" s="61"/>
      <c r="P21" s="61"/>
      <c r="Q21" s="61"/>
      <c r="R21" s="61" t="s">
        <v>2084</v>
      </c>
      <c r="S21" s="61" t="s">
        <v>32</v>
      </c>
      <c r="T21" s="61" t="s">
        <v>1898</v>
      </c>
      <c r="U21" s="61" t="s">
        <v>1898</v>
      </c>
      <c r="V21" s="61" t="str">
        <f>VLOOKUP(B21,[2]Overall!$A:$D,4,0)</f>
        <v xml:space="preserve">I-ENG </v>
      </c>
      <c r="W21" s="61" t="str">
        <f>VLOOKUP(B21,[3]Sheet1!$A:$B,2,0)</f>
        <v>Babessi</v>
      </c>
      <c r="X21" s="88" t="str">
        <f t="shared" si="0"/>
        <v>EXN</v>
      </c>
      <c r="Y21" s="80" t="str">
        <f t="shared" ca="1" si="1"/>
        <v>T&gt;72H</v>
      </c>
      <c r="Z21" s="61">
        <f t="shared" si="2"/>
        <v>3</v>
      </c>
      <c r="AA21" s="61" t="s">
        <v>1566</v>
      </c>
      <c r="AB21" s="84" t="s">
        <v>1554</v>
      </c>
      <c r="AC21" s="84" t="s">
        <v>2146</v>
      </c>
      <c r="AD21" s="84" t="s">
        <v>1994</v>
      </c>
      <c r="AE21" s="61"/>
    </row>
    <row r="22" spans="1:31" ht="146" hidden="1" x14ac:dyDescent="0.45">
      <c r="A22" s="61" t="s">
        <v>1727</v>
      </c>
      <c r="B22" s="61" t="s">
        <v>1728</v>
      </c>
      <c r="C22" s="65"/>
      <c r="D22" s="61"/>
      <c r="E22" s="61" t="s">
        <v>1729</v>
      </c>
      <c r="F22" s="70" t="s">
        <v>53</v>
      </c>
      <c r="G22" s="70" t="s">
        <v>2121</v>
      </c>
      <c r="H22" s="67">
        <v>46173.749571759261</v>
      </c>
      <c r="I22" s="75">
        <f t="shared" ca="1" si="3"/>
        <v>6.9191206018513185</v>
      </c>
      <c r="J22" s="61"/>
      <c r="K22" s="61"/>
      <c r="L22" s="61"/>
      <c r="M22" s="61" t="s">
        <v>1730</v>
      </c>
      <c r="N22" s="61" t="s">
        <v>1731</v>
      </c>
      <c r="O22" s="61"/>
      <c r="P22" s="61"/>
      <c r="Q22" s="61"/>
      <c r="R22" s="61" t="s">
        <v>2134</v>
      </c>
      <c r="S22" s="61" t="s">
        <v>40</v>
      </c>
      <c r="T22" s="61" t="s">
        <v>1885</v>
      </c>
      <c r="U22" s="61" t="s">
        <v>1885</v>
      </c>
      <c r="V22" s="61" t="str">
        <f>VLOOKUP(B22,[2]Overall!$A:$D,4,0)</f>
        <v>TELEINFRA NORD</v>
      </c>
      <c r="W22" s="61" t="str">
        <f>VLOOKUP(B22,[3]Sheet1!$A:$B,2,0)</f>
        <v>Kuruda</v>
      </c>
      <c r="X22" s="88" t="str">
        <f t="shared" si="0"/>
        <v>OST</v>
      </c>
      <c r="Y22" s="80" t="str">
        <f t="shared" ca="1" si="1"/>
        <v>T&gt;72H</v>
      </c>
      <c r="Z22" s="61">
        <f t="shared" si="2"/>
        <v>2</v>
      </c>
      <c r="AA22" s="61" t="s">
        <v>1566</v>
      </c>
      <c r="AB22" s="84" t="s">
        <v>1554</v>
      </c>
      <c r="AC22" s="84" t="s">
        <v>2146</v>
      </c>
      <c r="AD22" s="84" t="s">
        <v>1994</v>
      </c>
      <c r="AE22" s="61"/>
    </row>
    <row r="23" spans="1:31" ht="117" hidden="1" x14ac:dyDescent="0.45">
      <c r="A23" s="61" t="s">
        <v>1981</v>
      </c>
      <c r="B23" s="61" t="s">
        <v>1982</v>
      </c>
      <c r="C23" s="65"/>
      <c r="D23" s="61"/>
      <c r="E23" s="61" t="s">
        <v>39</v>
      </c>
      <c r="F23" s="70" t="s">
        <v>53</v>
      </c>
      <c r="G23" s="70" t="s">
        <v>2121</v>
      </c>
      <c r="H23" s="67">
        <v>46173.814502314817</v>
      </c>
      <c r="I23" s="75">
        <f t="shared" ca="1" si="3"/>
        <v>6.8541900462951162</v>
      </c>
      <c r="J23" s="61"/>
      <c r="K23" s="61"/>
      <c r="L23" s="61"/>
      <c r="M23" s="61" t="s">
        <v>1686</v>
      </c>
      <c r="N23" s="61" t="s">
        <v>1983</v>
      </c>
      <c r="O23" s="61"/>
      <c r="P23" s="61"/>
      <c r="Q23" s="61"/>
      <c r="R23" s="61" t="s">
        <v>2013</v>
      </c>
      <c r="S23" s="61" t="s">
        <v>71</v>
      </c>
      <c r="T23" s="61" t="s">
        <v>1902</v>
      </c>
      <c r="U23" s="61" t="s">
        <v>1896</v>
      </c>
      <c r="V23" s="61" t="str">
        <f>VLOOKUP(B23,[2]Overall!$A:$D,4,0)</f>
        <v>H-TELI</v>
      </c>
      <c r="W23" s="61" t="str">
        <f>VLOOKUP(B23,[3]Sheet1!$A:$B,2,0)</f>
        <v>Santchou</v>
      </c>
      <c r="X23" s="88" t="str">
        <f t="shared" si="0"/>
        <v>OST</v>
      </c>
      <c r="Y23" s="80" t="str">
        <f t="shared" ca="1" si="1"/>
        <v>T&gt;72H</v>
      </c>
      <c r="Z23" s="61">
        <f t="shared" si="2"/>
        <v>1</v>
      </c>
      <c r="AA23" s="61" t="s">
        <v>1566</v>
      </c>
      <c r="AB23" s="84" t="s">
        <v>1554</v>
      </c>
      <c r="AC23" s="84" t="s">
        <v>2146</v>
      </c>
      <c r="AD23" s="84" t="s">
        <v>1994</v>
      </c>
      <c r="AE23" s="61"/>
    </row>
    <row r="24" spans="1:31" ht="117" hidden="1" x14ac:dyDescent="0.45">
      <c r="A24" s="61" t="s">
        <v>1981</v>
      </c>
      <c r="B24" s="61" t="s">
        <v>1982</v>
      </c>
      <c r="C24" s="65"/>
      <c r="D24" s="61"/>
      <c r="E24" s="61" t="s">
        <v>1988</v>
      </c>
      <c r="F24" s="70" t="s">
        <v>53</v>
      </c>
      <c r="G24" s="70" t="s">
        <v>2121</v>
      </c>
      <c r="H24" s="67">
        <v>46173.819432870368</v>
      </c>
      <c r="I24" s="75">
        <f t="shared" ca="1" si="3"/>
        <v>6.8492594907438615</v>
      </c>
      <c r="J24" s="61"/>
      <c r="K24" s="61"/>
      <c r="L24" s="61"/>
      <c r="M24" s="61" t="s">
        <v>41</v>
      </c>
      <c r="N24" s="61" t="s">
        <v>1989</v>
      </c>
      <c r="O24" s="61"/>
      <c r="P24" s="61"/>
      <c r="Q24" s="61"/>
      <c r="R24" s="61" t="s">
        <v>2013</v>
      </c>
      <c r="S24" s="61" t="s">
        <v>71</v>
      </c>
      <c r="T24" s="61" t="s">
        <v>1902</v>
      </c>
      <c r="U24" s="61" t="s">
        <v>1896</v>
      </c>
      <c r="V24" s="61" t="str">
        <f>VLOOKUP(B24,[2]Overall!$A:$D,4,0)</f>
        <v>H-TELI</v>
      </c>
      <c r="W24" s="61" t="str">
        <f>VLOOKUP(B24,[3]Sheet1!$A:$B,2,0)</f>
        <v>Santchou</v>
      </c>
      <c r="X24" s="88" t="str">
        <f t="shared" si="0"/>
        <v>NRO</v>
      </c>
      <c r="Y24" s="80" t="str">
        <f t="shared" ca="1" si="1"/>
        <v>T&gt;72H</v>
      </c>
      <c r="Z24" s="61">
        <f t="shared" si="2"/>
        <v>1</v>
      </c>
      <c r="AA24" s="61" t="s">
        <v>1566</v>
      </c>
      <c r="AB24" s="84" t="s">
        <v>1554</v>
      </c>
      <c r="AC24" s="84" t="s">
        <v>2146</v>
      </c>
      <c r="AD24" s="84" t="s">
        <v>1994</v>
      </c>
      <c r="AE24" s="61"/>
    </row>
    <row r="25" spans="1:31" ht="146" hidden="1" x14ac:dyDescent="0.45">
      <c r="A25" s="61" t="s">
        <v>1881</v>
      </c>
      <c r="B25" s="61" t="s">
        <v>1880</v>
      </c>
      <c r="C25" s="65"/>
      <c r="D25" s="61"/>
      <c r="E25" s="61" t="s">
        <v>1991</v>
      </c>
      <c r="F25" s="70" t="s">
        <v>53</v>
      </c>
      <c r="G25" s="70" t="s">
        <v>2121</v>
      </c>
      <c r="H25" s="67">
        <v>46174.267314814817</v>
      </c>
      <c r="I25" s="75">
        <f t="shared" ca="1" si="3"/>
        <v>6.4013775462954072</v>
      </c>
      <c r="J25" s="61"/>
      <c r="K25" s="61"/>
      <c r="L25" s="61"/>
      <c r="M25" s="61" t="s">
        <v>1769</v>
      </c>
      <c r="N25" s="61" t="s">
        <v>1770</v>
      </c>
      <c r="O25" s="61"/>
      <c r="P25" s="61"/>
      <c r="Q25" s="61"/>
      <c r="R25" s="61" t="s">
        <v>2194</v>
      </c>
      <c r="S25" s="61" t="s">
        <v>32</v>
      </c>
      <c r="T25" s="61" t="s">
        <v>1898</v>
      </c>
      <c r="U25" s="61" t="s">
        <v>1898</v>
      </c>
      <c r="V25" s="61" t="str">
        <f>VLOOKUP(B25,[2]Overall!$A:$D,4,0)</f>
        <v xml:space="preserve">I-ENG </v>
      </c>
      <c r="W25" s="61" t="str">
        <f>VLOOKUP(B25,[3]Sheet1!$A:$B,2,0)</f>
        <v>Fundong</v>
      </c>
      <c r="X25" s="88" t="str">
        <f t="shared" si="0"/>
        <v>NRO</v>
      </c>
      <c r="Y25" s="80" t="str">
        <f t="shared" ca="1" si="1"/>
        <v>T&gt;72H</v>
      </c>
      <c r="Z25" s="61">
        <f t="shared" si="2"/>
        <v>1</v>
      </c>
      <c r="AA25" s="61" t="s">
        <v>1566</v>
      </c>
      <c r="AB25" s="84" t="s">
        <v>1554</v>
      </c>
      <c r="AC25" s="84" t="s">
        <v>2146</v>
      </c>
      <c r="AD25" s="84" t="s">
        <v>1994</v>
      </c>
      <c r="AE25" s="61"/>
    </row>
    <row r="26" spans="1:31" ht="73.5" hidden="1" x14ac:dyDescent="0.45">
      <c r="A26" s="61" t="s">
        <v>1939</v>
      </c>
      <c r="B26" s="61" t="s">
        <v>1940</v>
      </c>
      <c r="C26" s="65"/>
      <c r="D26" s="61"/>
      <c r="E26" s="61" t="s">
        <v>37</v>
      </c>
      <c r="F26" s="70" t="s">
        <v>53</v>
      </c>
      <c r="G26" s="70" t="s">
        <v>2121</v>
      </c>
      <c r="H26" s="67">
        <v>46174.506562499999</v>
      </c>
      <c r="I26" s="75">
        <f t="shared" ca="1" si="3"/>
        <v>6.1621298611134989</v>
      </c>
      <c r="J26" s="61"/>
      <c r="K26" s="61"/>
      <c r="L26" s="61"/>
      <c r="M26" s="61" t="s">
        <v>38</v>
      </c>
      <c r="N26" s="61" t="s">
        <v>1942</v>
      </c>
      <c r="O26" s="61"/>
      <c r="P26" s="61"/>
      <c r="Q26" s="61"/>
      <c r="R26" s="61" t="s">
        <v>2090</v>
      </c>
      <c r="S26" s="61" t="s">
        <v>32</v>
      </c>
      <c r="T26" s="61" t="s">
        <v>1898</v>
      </c>
      <c r="U26" s="61" t="s">
        <v>1898</v>
      </c>
      <c r="V26" s="61" t="str">
        <f>VLOOKUP(B26,[2]Overall!$A:$D,4,0)</f>
        <v xml:space="preserve">I-ENG </v>
      </c>
      <c r="W26" s="61" t="str">
        <f>VLOOKUP(B26,[3]Sheet1!$A:$B,2,0)</f>
        <v>Widikum</v>
      </c>
      <c r="X26" s="88" t="str">
        <f t="shared" si="0"/>
        <v>ADM</v>
      </c>
      <c r="Y26" s="80" t="str">
        <f t="shared" ca="1" si="1"/>
        <v>T&gt;72H</v>
      </c>
      <c r="Z26" s="61">
        <f t="shared" si="2"/>
        <v>1</v>
      </c>
      <c r="AA26" s="61" t="s">
        <v>1566</v>
      </c>
      <c r="AB26" s="84" t="s">
        <v>1554</v>
      </c>
      <c r="AC26" s="84" t="s">
        <v>2146</v>
      </c>
      <c r="AD26" s="84" t="s">
        <v>1994</v>
      </c>
      <c r="AE26" s="61"/>
    </row>
    <row r="27" spans="1:31" ht="73.5" hidden="1" x14ac:dyDescent="0.45">
      <c r="A27" s="63" t="s">
        <v>1763</v>
      </c>
      <c r="B27" s="63" t="s">
        <v>1764</v>
      </c>
      <c r="C27" s="68"/>
      <c r="D27" s="63"/>
      <c r="E27" s="63" t="s">
        <v>34</v>
      </c>
      <c r="F27" s="71" t="s">
        <v>53</v>
      </c>
      <c r="G27" s="71" t="s">
        <v>2121</v>
      </c>
      <c r="H27" s="69">
        <v>46174.52244212963</v>
      </c>
      <c r="I27" s="77">
        <f t="shared" ca="1" si="3"/>
        <v>6.1462502314825542</v>
      </c>
      <c r="J27" s="63"/>
      <c r="K27" s="63"/>
      <c r="L27" s="63"/>
      <c r="M27" s="63" t="s">
        <v>31</v>
      </c>
      <c r="N27" s="63" t="s">
        <v>1765</v>
      </c>
      <c r="O27" s="63"/>
      <c r="P27" s="63" t="s">
        <v>1906</v>
      </c>
      <c r="Q27" s="63"/>
      <c r="R27" s="85" t="s">
        <v>2133</v>
      </c>
      <c r="S27" s="63" t="s">
        <v>40</v>
      </c>
      <c r="T27" s="63" t="s">
        <v>1898</v>
      </c>
      <c r="U27" s="63" t="s">
        <v>1898</v>
      </c>
      <c r="V27" s="63" t="str">
        <f>VLOOKUP(B27,[2]Overall!$A:$D,4,0)</f>
        <v>TELEINFRA NORD</v>
      </c>
      <c r="W27" s="63" t="str">
        <f>VLOOKUP(B27,[3]Sheet1!$A:$B,2,0)</f>
        <v>Telo</v>
      </c>
      <c r="X27" s="89" t="str">
        <f t="shared" si="0"/>
        <v>EST</v>
      </c>
      <c r="Y27" s="81" t="str">
        <f t="shared" ca="1" si="1"/>
        <v>T&gt;72H</v>
      </c>
      <c r="Z27" s="63">
        <f t="shared" si="2"/>
        <v>1</v>
      </c>
      <c r="AA27" s="63" t="s">
        <v>77</v>
      </c>
      <c r="AB27" s="85" t="s">
        <v>1554</v>
      </c>
      <c r="AC27" s="85" t="s">
        <v>2146</v>
      </c>
      <c r="AD27" s="85" t="s">
        <v>1994</v>
      </c>
      <c r="AE27" s="63"/>
    </row>
    <row r="28" spans="1:31" ht="131.5" x14ac:dyDescent="0.45">
      <c r="A28" s="61" t="s">
        <v>1803</v>
      </c>
      <c r="B28" s="61" t="s">
        <v>1804</v>
      </c>
      <c r="C28" s="65"/>
      <c r="D28" s="61"/>
      <c r="E28" s="61" t="s">
        <v>1805</v>
      </c>
      <c r="F28" s="70" t="s">
        <v>53</v>
      </c>
      <c r="G28" s="70" t="s">
        <v>2121</v>
      </c>
      <c r="H28" s="67">
        <v>46174.681296296294</v>
      </c>
      <c r="I28" s="75">
        <f t="shared" ca="1" si="3"/>
        <v>5.9873960648183129</v>
      </c>
      <c r="J28" s="61"/>
      <c r="K28" s="61"/>
      <c r="L28" s="61"/>
      <c r="M28" s="61" t="s">
        <v>1627</v>
      </c>
      <c r="N28" s="61" t="s">
        <v>1806</v>
      </c>
      <c r="O28" s="61"/>
      <c r="P28" s="61"/>
      <c r="Q28" s="61"/>
      <c r="R28" s="61" t="s">
        <v>2190</v>
      </c>
      <c r="S28" s="61" t="s">
        <v>45</v>
      </c>
      <c r="T28" s="61" t="s">
        <v>1754</v>
      </c>
      <c r="U28" s="61" t="s">
        <v>1754</v>
      </c>
      <c r="V28" s="61" t="str">
        <f>VLOOKUP(B28,[2]Overall!$A:$D,4,0)</f>
        <v>TELEINFRA CENTRE</v>
      </c>
      <c r="W28" s="61" t="str">
        <f>VLOOKUP(B28,[3]Sheet1!$A:$B,2,0)</f>
        <v>SALAPOUMBE</v>
      </c>
      <c r="X28" s="88" t="str">
        <f t="shared" si="0"/>
        <v>NRD</v>
      </c>
      <c r="Y28" s="80" t="str">
        <f t="shared" ca="1" si="1"/>
        <v>T&gt;72H</v>
      </c>
      <c r="Z28" s="61">
        <f t="shared" si="2"/>
        <v>1</v>
      </c>
      <c r="AA28" s="61" t="s">
        <v>1566</v>
      </c>
      <c r="AB28" s="84" t="s">
        <v>1554</v>
      </c>
      <c r="AC28" s="84" t="s">
        <v>2146</v>
      </c>
      <c r="AD28" s="84" t="s">
        <v>1994</v>
      </c>
      <c r="AE28" s="61"/>
    </row>
    <row r="29" spans="1:31" ht="102.5" hidden="1" x14ac:dyDescent="0.45">
      <c r="A29" s="61" t="s">
        <v>1843</v>
      </c>
      <c r="B29" s="61" t="s">
        <v>1844</v>
      </c>
      <c r="C29" s="65"/>
      <c r="D29" s="61"/>
      <c r="E29" s="61" t="s">
        <v>1879</v>
      </c>
      <c r="F29" s="70" t="s">
        <v>53</v>
      </c>
      <c r="G29" s="70" t="s">
        <v>2121</v>
      </c>
      <c r="H29" s="67">
        <v>46175.448993055557</v>
      </c>
      <c r="I29" s="75">
        <f t="shared" ca="1" si="3"/>
        <v>5.2196993055549683</v>
      </c>
      <c r="J29" s="61"/>
      <c r="K29" s="61"/>
      <c r="L29" s="61"/>
      <c r="M29" s="61" t="s">
        <v>38</v>
      </c>
      <c r="N29" s="61" t="s">
        <v>1845</v>
      </c>
      <c r="O29" s="61"/>
      <c r="P29" s="61"/>
      <c r="Q29" s="61"/>
      <c r="R29" s="61" t="s">
        <v>2005</v>
      </c>
      <c r="S29" s="61" t="s">
        <v>75</v>
      </c>
      <c r="T29" s="61" t="s">
        <v>1901</v>
      </c>
      <c r="U29" s="61" t="s">
        <v>1901</v>
      </c>
      <c r="V29" s="61" t="str">
        <f>VLOOKUP(B29,[2]Overall!$A:$D,4,0)</f>
        <v>TELEINFRA NORD</v>
      </c>
      <c r="W29" s="61" t="str">
        <f>VLOOKUP(B29,[3]Sheet1!$A:$B,2,0)</f>
        <v>Mayo-Nonde</v>
      </c>
      <c r="X29" s="88" t="str">
        <f t="shared" si="0"/>
        <v>CTR</v>
      </c>
      <c r="Y29" s="80" t="str">
        <f t="shared" ca="1" si="1"/>
        <v>T&gt;72H</v>
      </c>
      <c r="Z29" s="61">
        <f t="shared" si="2"/>
        <v>3</v>
      </c>
      <c r="AA29" s="61" t="s">
        <v>1566</v>
      </c>
      <c r="AB29" s="84" t="s">
        <v>1554</v>
      </c>
      <c r="AC29" s="84" t="s">
        <v>2146</v>
      </c>
      <c r="AD29" s="84" t="s">
        <v>1994</v>
      </c>
      <c r="AE29" s="61"/>
    </row>
    <row r="30" spans="1:31" ht="88" hidden="1" x14ac:dyDescent="0.45">
      <c r="A30" s="61" t="s">
        <v>1783</v>
      </c>
      <c r="B30" s="61" t="s">
        <v>1784</v>
      </c>
      <c r="C30" s="65"/>
      <c r="D30" s="61"/>
      <c r="E30" s="61" t="s">
        <v>1785</v>
      </c>
      <c r="F30" s="70" t="s">
        <v>53</v>
      </c>
      <c r="G30" s="70" t="s">
        <v>2121</v>
      </c>
      <c r="H30" s="67">
        <v>46175.488310185188</v>
      </c>
      <c r="I30" s="75">
        <f t="shared" ca="1" si="3"/>
        <v>5.1803821759240236</v>
      </c>
      <c r="J30" s="61"/>
      <c r="K30" s="61"/>
      <c r="L30" s="61"/>
      <c r="M30" s="61" t="s">
        <v>1605</v>
      </c>
      <c r="N30" s="61" t="s">
        <v>1786</v>
      </c>
      <c r="O30" s="61"/>
      <c r="P30" s="61"/>
      <c r="Q30" s="61"/>
      <c r="R30" s="61" t="s">
        <v>2014</v>
      </c>
      <c r="S30" s="61" t="s">
        <v>71</v>
      </c>
      <c r="T30" s="61" t="s">
        <v>1895</v>
      </c>
      <c r="U30" s="61" t="s">
        <v>1896</v>
      </c>
      <c r="V30" s="61" t="str">
        <f>VLOOKUP(B30,[2]Overall!$A:$D,4,0)</f>
        <v>TELEINFRA CENTRE</v>
      </c>
      <c r="W30" s="61" t="str">
        <f>VLOOKUP(B30,[3]Sheet1!$A:$B,2,0)</f>
        <v>Song-Bong</v>
      </c>
      <c r="X30" s="88" t="str">
        <f t="shared" si="0"/>
        <v>CTR</v>
      </c>
      <c r="Y30" s="80" t="str">
        <f t="shared" ca="1" si="1"/>
        <v>T&gt;72H</v>
      </c>
      <c r="Z30" s="61">
        <f t="shared" si="2"/>
        <v>4</v>
      </c>
      <c r="AA30" s="61" t="s">
        <v>1566</v>
      </c>
      <c r="AB30" s="84" t="s">
        <v>1554</v>
      </c>
      <c r="AC30" s="84" t="s">
        <v>2146</v>
      </c>
      <c r="AD30" s="84" t="s">
        <v>1994</v>
      </c>
      <c r="AE30" s="61"/>
    </row>
    <row r="31" spans="1:31" ht="88" hidden="1" x14ac:dyDescent="0.45">
      <c r="A31" s="61" t="s">
        <v>1783</v>
      </c>
      <c r="B31" s="61" t="s">
        <v>1784</v>
      </c>
      <c r="C31" s="65"/>
      <c r="D31" s="61"/>
      <c r="E31" s="61" t="s">
        <v>1787</v>
      </c>
      <c r="F31" s="70" t="s">
        <v>53</v>
      </c>
      <c r="G31" s="70" t="s">
        <v>2121</v>
      </c>
      <c r="H31" s="67">
        <v>46175.502164351848</v>
      </c>
      <c r="I31" s="75">
        <f t="shared" ca="1" si="3"/>
        <v>5.1665280092638568</v>
      </c>
      <c r="J31" s="61"/>
      <c r="K31" s="61"/>
      <c r="L31" s="61"/>
      <c r="M31" s="61" t="s">
        <v>1605</v>
      </c>
      <c r="N31" s="61" t="s">
        <v>1788</v>
      </c>
      <c r="O31" s="61"/>
      <c r="P31" s="61"/>
      <c r="Q31" s="61"/>
      <c r="R31" s="61" t="s">
        <v>2014</v>
      </c>
      <c r="S31" s="61" t="s">
        <v>71</v>
      </c>
      <c r="T31" s="61" t="s">
        <v>1895</v>
      </c>
      <c r="U31" s="61" t="s">
        <v>1896</v>
      </c>
      <c r="V31" s="61" t="str">
        <f>VLOOKUP(B31,[2]Overall!$A:$D,4,0)</f>
        <v>TELEINFRA CENTRE</v>
      </c>
      <c r="W31" s="61" t="str">
        <f>VLOOKUP(B31,[3]Sheet1!$A:$B,2,0)</f>
        <v>Song-Bong</v>
      </c>
      <c r="X31" s="88" t="str">
        <f t="shared" si="0"/>
        <v>SUO</v>
      </c>
      <c r="Y31" s="80" t="str">
        <f t="shared" ca="1" si="1"/>
        <v>T&gt;72H</v>
      </c>
      <c r="Z31" s="61">
        <f t="shared" si="2"/>
        <v>2</v>
      </c>
      <c r="AA31" s="61" t="s">
        <v>1566</v>
      </c>
      <c r="AB31" s="84" t="s">
        <v>1554</v>
      </c>
      <c r="AC31" s="84" t="s">
        <v>2146</v>
      </c>
      <c r="AD31" s="84" t="s">
        <v>1994</v>
      </c>
      <c r="AE31" s="61"/>
    </row>
    <row r="32" spans="1:31" ht="102.5" hidden="1" x14ac:dyDescent="0.45">
      <c r="A32" s="61" t="s">
        <v>1831</v>
      </c>
      <c r="B32" s="61" t="s">
        <v>1832</v>
      </c>
      <c r="C32" s="65"/>
      <c r="D32" s="61"/>
      <c r="E32" s="61" t="s">
        <v>1823</v>
      </c>
      <c r="F32" s="70" t="s">
        <v>53</v>
      </c>
      <c r="G32" s="70" t="s">
        <v>2121</v>
      </c>
      <c r="H32" s="67">
        <v>46175.508090277777</v>
      </c>
      <c r="I32" s="75">
        <f t="shared" ca="1" si="3"/>
        <v>5.1606020833351067</v>
      </c>
      <c r="J32" s="61"/>
      <c r="K32" s="61"/>
      <c r="L32" s="61"/>
      <c r="M32" s="61" t="s">
        <v>31</v>
      </c>
      <c r="N32" s="61" t="s">
        <v>1833</v>
      </c>
      <c r="O32" s="61"/>
      <c r="P32" s="61"/>
      <c r="Q32" s="61"/>
      <c r="R32" s="61" t="s">
        <v>2130</v>
      </c>
      <c r="S32" s="61" t="s">
        <v>85</v>
      </c>
      <c r="T32" s="61" t="s">
        <v>1898</v>
      </c>
      <c r="U32" s="61" t="s">
        <v>1898</v>
      </c>
      <c r="V32" s="61" t="str">
        <f>VLOOKUP(B32,[2]Overall!$A:$D,4,0)</f>
        <v>H-TELI</v>
      </c>
      <c r="W32" s="61" t="str">
        <f>VLOOKUP(B32,[3]Sheet1!$A:$B,2,0)</f>
        <v>Kumbe</v>
      </c>
      <c r="X32" s="88" t="str">
        <f t="shared" si="0"/>
        <v>NRO</v>
      </c>
      <c r="Y32" s="80" t="str">
        <f t="shared" ca="1" si="1"/>
        <v>T&gt;72H</v>
      </c>
      <c r="Z32" s="61">
        <f t="shared" si="2"/>
        <v>2</v>
      </c>
      <c r="AA32" s="61" t="s">
        <v>1566</v>
      </c>
      <c r="AB32" s="84" t="s">
        <v>1554</v>
      </c>
      <c r="AC32" s="84" t="s">
        <v>2146</v>
      </c>
      <c r="AD32" s="84" t="s">
        <v>1994</v>
      </c>
      <c r="AE32" s="61"/>
    </row>
    <row r="33" spans="1:31" ht="409.6" hidden="1" x14ac:dyDescent="0.45">
      <c r="A33" s="61" t="s">
        <v>1624</v>
      </c>
      <c r="B33" s="61" t="s">
        <v>1625</v>
      </c>
      <c r="C33" s="65"/>
      <c r="D33" s="61"/>
      <c r="E33" s="61" t="s">
        <v>1709</v>
      </c>
      <c r="F33" s="70" t="s">
        <v>53</v>
      </c>
      <c r="G33" s="70" t="s">
        <v>2121</v>
      </c>
      <c r="H33" s="67">
        <v>46175.526041666664</v>
      </c>
      <c r="I33" s="75">
        <f t="shared" ca="1" si="3"/>
        <v>5.1426506944480934</v>
      </c>
      <c r="J33" s="61"/>
      <c r="K33" s="61"/>
      <c r="L33" s="61"/>
      <c r="M33" s="61" t="s">
        <v>33</v>
      </c>
      <c r="N33" s="61" t="s">
        <v>1626</v>
      </c>
      <c r="O33" s="61"/>
      <c r="P33" s="61"/>
      <c r="Q33" s="61"/>
      <c r="R33" s="61" t="s">
        <v>2195</v>
      </c>
      <c r="S33" s="61" t="s">
        <v>32</v>
      </c>
      <c r="T33" s="61" t="s">
        <v>1900</v>
      </c>
      <c r="U33" s="61" t="s">
        <v>1900</v>
      </c>
      <c r="V33" s="61" t="str">
        <f>VLOOKUP(B33,[2]Overall!$A:$D,4,0)</f>
        <v xml:space="preserve">I-ENG </v>
      </c>
      <c r="W33" s="61" t="str">
        <f>VLOOKUP(B33,[3]Sheet1!$A:$B,2,0)</f>
        <v>Kembong</v>
      </c>
      <c r="X33" s="88" t="str">
        <f t="shared" si="0"/>
        <v>LIT</v>
      </c>
      <c r="Y33" s="80" t="str">
        <f t="shared" ca="1" si="1"/>
        <v>T&gt;72H</v>
      </c>
      <c r="Z33" s="61">
        <f t="shared" si="2"/>
        <v>2</v>
      </c>
      <c r="AA33" s="61" t="s">
        <v>1566</v>
      </c>
      <c r="AB33" s="84" t="s">
        <v>1554</v>
      </c>
      <c r="AC33" s="84" t="s">
        <v>2146</v>
      </c>
      <c r="AD33" s="84" t="s">
        <v>1994</v>
      </c>
      <c r="AE33" s="61"/>
    </row>
    <row r="34" spans="1:31" ht="73.5" hidden="1" x14ac:dyDescent="0.45">
      <c r="A34" s="61" t="s">
        <v>1877</v>
      </c>
      <c r="B34" s="61" t="s">
        <v>1878</v>
      </c>
      <c r="C34" s="65"/>
      <c r="D34" s="61"/>
      <c r="E34" s="61" t="s">
        <v>49</v>
      </c>
      <c r="F34" s="70" t="s">
        <v>53</v>
      </c>
      <c r="G34" s="70" t="s">
        <v>2121</v>
      </c>
      <c r="H34" s="67">
        <v>46175.578113425923</v>
      </c>
      <c r="I34" s="75">
        <f t="shared" ca="1" si="3"/>
        <v>5.0905789351891144</v>
      </c>
      <c r="J34" s="61"/>
      <c r="K34" s="61"/>
      <c r="L34" s="61"/>
      <c r="M34" s="61" t="s">
        <v>38</v>
      </c>
      <c r="N34" s="61" t="s">
        <v>1943</v>
      </c>
      <c r="O34" s="61"/>
      <c r="P34" s="61"/>
      <c r="Q34" s="61"/>
      <c r="R34" s="61" t="s">
        <v>2071</v>
      </c>
      <c r="S34" s="61" t="s">
        <v>51</v>
      </c>
      <c r="T34" s="61" t="s">
        <v>1898</v>
      </c>
      <c r="U34" s="61" t="s">
        <v>1898</v>
      </c>
      <c r="V34" s="61" t="str">
        <f>VLOOKUP(B34,[2]Overall!$A:$D,4,0)</f>
        <v>H-TELI</v>
      </c>
      <c r="W34" s="61" t="str">
        <f>VLOOKUP(B34,[3]Sheet1!$A:$B,2,0)</f>
        <v>Massock-Songloulou</v>
      </c>
      <c r="X34" s="88" t="str">
        <f t="shared" si="0"/>
        <v>ADM</v>
      </c>
      <c r="Y34" s="80" t="str">
        <f t="shared" ca="1" si="1"/>
        <v>T&gt;72H</v>
      </c>
      <c r="Z34" s="61">
        <f t="shared" si="2"/>
        <v>1</v>
      </c>
      <c r="AA34" s="61" t="s">
        <v>1566</v>
      </c>
      <c r="AB34" s="84" t="s">
        <v>1555</v>
      </c>
      <c r="AC34" s="84" t="s">
        <v>2146</v>
      </c>
      <c r="AD34" s="84" t="s">
        <v>1994</v>
      </c>
      <c r="AE34" s="61"/>
    </row>
    <row r="35" spans="1:31" ht="59" hidden="1" x14ac:dyDescent="0.45">
      <c r="A35" s="61" t="s">
        <v>2147</v>
      </c>
      <c r="B35" s="61" t="s">
        <v>2148</v>
      </c>
      <c r="C35" s="65"/>
      <c r="D35" s="61"/>
      <c r="E35" s="61" t="s">
        <v>2149</v>
      </c>
      <c r="F35" s="70" t="s">
        <v>53</v>
      </c>
      <c r="G35" s="70" t="s">
        <v>2121</v>
      </c>
      <c r="H35" s="67">
        <v>46175.610324074078</v>
      </c>
      <c r="I35" s="75">
        <f t="shared" ca="1" si="3"/>
        <v>5.058368287034682</v>
      </c>
      <c r="J35" s="61"/>
      <c r="K35" s="61"/>
      <c r="L35" s="61"/>
      <c r="M35" s="61" t="s">
        <v>33</v>
      </c>
      <c r="N35" s="61" t="s">
        <v>1626</v>
      </c>
      <c r="O35" s="61"/>
      <c r="P35" s="61"/>
      <c r="Q35" s="61"/>
      <c r="R35" s="61" t="s">
        <v>2071</v>
      </c>
      <c r="S35" s="61" t="s">
        <v>51</v>
      </c>
      <c r="T35" s="61" t="s">
        <v>1898</v>
      </c>
      <c r="U35" s="61" t="s">
        <v>1898</v>
      </c>
      <c r="V35" s="61" t="str">
        <f>VLOOKUP(B35,[2]Overall!$A:$D,4,0)</f>
        <v>TELEINFRA NORD</v>
      </c>
      <c r="W35" s="61" t="str">
        <f>VLOOKUP(B35,[3]Sheet1!$A:$B,2,0)</f>
        <v>Mboulai</v>
      </c>
      <c r="X35" s="88" t="str">
        <f t="shared" si="0"/>
        <v>ADM</v>
      </c>
      <c r="Y35" s="80" t="str">
        <f t="shared" ca="1" si="1"/>
        <v>T&gt;72H</v>
      </c>
      <c r="Z35" s="61">
        <f t="shared" si="2"/>
        <v>1</v>
      </c>
      <c r="AA35" s="61" t="s">
        <v>1566</v>
      </c>
      <c r="AB35" s="84" t="s">
        <v>1555</v>
      </c>
      <c r="AC35" s="84" t="s">
        <v>2146</v>
      </c>
      <c r="AD35" s="84" t="s">
        <v>1994</v>
      </c>
      <c r="AE35" s="61"/>
    </row>
    <row r="36" spans="1:31" ht="59" hidden="1" x14ac:dyDescent="0.45">
      <c r="A36" s="61" t="s">
        <v>1684</v>
      </c>
      <c r="B36" s="61" t="s">
        <v>1620</v>
      </c>
      <c r="C36" s="65"/>
      <c r="D36" s="61"/>
      <c r="E36" s="61" t="s">
        <v>1793</v>
      </c>
      <c r="F36" s="70" t="s">
        <v>53</v>
      </c>
      <c r="G36" s="70" t="s">
        <v>2121</v>
      </c>
      <c r="H36" s="67">
        <v>46175.619259259256</v>
      </c>
      <c r="I36" s="75">
        <f t="shared" ca="1" si="3"/>
        <v>5.0494331018562661</v>
      </c>
      <c r="J36" s="61"/>
      <c r="K36" s="61"/>
      <c r="L36" s="61"/>
      <c r="M36" s="61" t="s">
        <v>33</v>
      </c>
      <c r="N36" s="61" t="s">
        <v>1653</v>
      </c>
      <c r="O36" s="61"/>
      <c r="P36" s="61"/>
      <c r="Q36" s="61"/>
      <c r="R36" s="61" t="s">
        <v>2071</v>
      </c>
      <c r="S36" s="61" t="s">
        <v>51</v>
      </c>
      <c r="T36" s="61" t="s">
        <v>1898</v>
      </c>
      <c r="U36" s="61" t="s">
        <v>1898</v>
      </c>
      <c r="V36" s="61" t="str">
        <f>VLOOKUP(B36,[2]Overall!$A:$D,4,0)</f>
        <v>TELEINFRA NORD</v>
      </c>
      <c r="W36" s="61" t="str">
        <f>VLOOKUP(B36,[3]Sheet1!$A:$B,2,0)</f>
        <v>Batoua-Godole</v>
      </c>
      <c r="X36" s="88" t="str">
        <f t="shared" si="0"/>
        <v>EXN</v>
      </c>
      <c r="Y36" s="80" t="str">
        <f t="shared" ca="1" si="1"/>
        <v>T&gt;72H</v>
      </c>
      <c r="Z36" s="61">
        <f t="shared" si="2"/>
        <v>2</v>
      </c>
      <c r="AA36" s="61" t="s">
        <v>1566</v>
      </c>
      <c r="AB36" s="84" t="s">
        <v>1555</v>
      </c>
      <c r="AC36" s="84" t="s">
        <v>2146</v>
      </c>
      <c r="AD36" s="84" t="s">
        <v>1994</v>
      </c>
      <c r="AE36" s="61"/>
    </row>
    <row r="37" spans="1:31" ht="233" hidden="1" x14ac:dyDescent="0.45">
      <c r="A37" s="61" t="s">
        <v>1779</v>
      </c>
      <c r="B37" s="61" t="s">
        <v>1780</v>
      </c>
      <c r="C37" s="65"/>
      <c r="D37" s="61"/>
      <c r="E37" s="61" t="s">
        <v>37</v>
      </c>
      <c r="F37" s="70" t="s">
        <v>53</v>
      </c>
      <c r="G37" s="70" t="s">
        <v>2121</v>
      </c>
      <c r="H37" s="67">
        <v>46175.649039351854</v>
      </c>
      <c r="I37" s="75">
        <f t="shared" ca="1" si="3"/>
        <v>5.019653009258036</v>
      </c>
      <c r="J37" s="61"/>
      <c r="K37" s="61"/>
      <c r="L37" s="61"/>
      <c r="M37" s="61" t="s">
        <v>41</v>
      </c>
      <c r="N37" s="61" t="s">
        <v>1781</v>
      </c>
      <c r="O37" s="61"/>
      <c r="P37" s="61"/>
      <c r="Q37" s="61"/>
      <c r="R37" s="61" t="s">
        <v>2077</v>
      </c>
      <c r="S37" s="61" t="s">
        <v>75</v>
      </c>
      <c r="T37" s="61" t="s">
        <v>1840</v>
      </c>
      <c r="U37" s="61" t="s">
        <v>1840</v>
      </c>
      <c r="V37" s="61" t="str">
        <f>VLOOKUP(B37,[2]Overall!$A:$D,4,0)</f>
        <v>TELEINFRA NORD</v>
      </c>
      <c r="W37" s="61" t="str">
        <f>VLOOKUP(B37,[3]Sheet1!$A:$B,2,0)</f>
        <v>Badjonre</v>
      </c>
      <c r="X37" s="88" t="str">
        <f t="shared" si="0"/>
        <v>LIT</v>
      </c>
      <c r="Y37" s="80" t="str">
        <f t="shared" ca="1" si="1"/>
        <v>T&gt;72H</v>
      </c>
      <c r="Z37" s="61">
        <f t="shared" si="2"/>
        <v>1</v>
      </c>
      <c r="AA37" s="61" t="s">
        <v>1566</v>
      </c>
      <c r="AB37" s="84" t="s">
        <v>1554</v>
      </c>
      <c r="AC37" s="84" t="s">
        <v>2146</v>
      </c>
      <c r="AD37" s="84" t="s">
        <v>1994</v>
      </c>
      <c r="AE37" s="61"/>
    </row>
    <row r="38" spans="1:31" ht="73.5" hidden="1" x14ac:dyDescent="0.45">
      <c r="A38" s="63" t="s">
        <v>2150</v>
      </c>
      <c r="B38" s="63" t="s">
        <v>2151</v>
      </c>
      <c r="C38" s="68"/>
      <c r="D38" s="63"/>
      <c r="E38" s="63" t="s">
        <v>35</v>
      </c>
      <c r="F38" s="71" t="s">
        <v>53</v>
      </c>
      <c r="G38" s="71" t="s">
        <v>2121</v>
      </c>
      <c r="H38" s="69">
        <v>46175.653252314813</v>
      </c>
      <c r="I38" s="77">
        <f t="shared" ca="1" si="3"/>
        <v>5.0154400462997728</v>
      </c>
      <c r="J38" s="63"/>
      <c r="K38" s="63"/>
      <c r="L38" s="63"/>
      <c r="M38" s="63" t="s">
        <v>31</v>
      </c>
      <c r="N38" s="63" t="s">
        <v>2152</v>
      </c>
      <c r="O38" s="63"/>
      <c r="P38" s="63" t="s">
        <v>1906</v>
      </c>
      <c r="Q38" s="63"/>
      <c r="R38" s="63" t="s">
        <v>2191</v>
      </c>
      <c r="S38" s="63" t="s">
        <v>32</v>
      </c>
      <c r="T38" s="63" t="s">
        <v>1898</v>
      </c>
      <c r="U38" s="63" t="s">
        <v>1898</v>
      </c>
      <c r="V38" s="63" t="e">
        <f>VLOOKUP(B38,[2]Overall!$A:$D,4,0)</f>
        <v>#N/A</v>
      </c>
      <c r="W38" s="63" t="str">
        <f>VLOOKUP(B38,[3]Sheet1!$A:$B,2,0)</f>
        <v>Omeng</v>
      </c>
      <c r="X38" s="89" t="str">
        <f t="shared" si="0"/>
        <v>LIT</v>
      </c>
      <c r="Y38" s="81" t="str">
        <f t="shared" ca="1" si="1"/>
        <v>T&gt;72H</v>
      </c>
      <c r="Z38" s="63">
        <f t="shared" si="2"/>
        <v>3</v>
      </c>
      <c r="AA38" s="63" t="s">
        <v>77</v>
      </c>
      <c r="AB38" s="85" t="s">
        <v>1555</v>
      </c>
      <c r="AC38" s="85" t="s">
        <v>2146</v>
      </c>
      <c r="AD38" s="85" t="s">
        <v>1994</v>
      </c>
      <c r="AE38" s="63"/>
    </row>
    <row r="39" spans="1:31" ht="73.5" hidden="1" x14ac:dyDescent="0.45">
      <c r="A39" s="63" t="s">
        <v>2150</v>
      </c>
      <c r="B39" s="63" t="s">
        <v>2151</v>
      </c>
      <c r="C39" s="68"/>
      <c r="D39" s="63"/>
      <c r="E39" s="63" t="s">
        <v>47</v>
      </c>
      <c r="F39" s="71" t="s">
        <v>53</v>
      </c>
      <c r="G39" s="71" t="s">
        <v>2121</v>
      </c>
      <c r="H39" s="69">
        <v>46175.653263888889</v>
      </c>
      <c r="I39" s="77">
        <f t="shared" ca="1" si="3"/>
        <v>5.0154284722229932</v>
      </c>
      <c r="J39" s="63"/>
      <c r="K39" s="63"/>
      <c r="L39" s="63"/>
      <c r="M39" s="63" t="s">
        <v>31</v>
      </c>
      <c r="N39" s="63" t="s">
        <v>2153</v>
      </c>
      <c r="O39" s="63"/>
      <c r="P39" s="63" t="s">
        <v>1906</v>
      </c>
      <c r="Q39" s="63"/>
      <c r="R39" s="63" t="s">
        <v>2191</v>
      </c>
      <c r="S39" s="63" t="s">
        <v>32</v>
      </c>
      <c r="T39" s="63" t="s">
        <v>1898</v>
      </c>
      <c r="U39" s="63" t="s">
        <v>1898</v>
      </c>
      <c r="V39" s="63" t="e">
        <f>VLOOKUP(B39,[2]Overall!$A:$D,4,0)</f>
        <v>#N/A</v>
      </c>
      <c r="W39" s="63" t="str">
        <f>VLOOKUP(B39,[3]Sheet1!$A:$B,2,0)</f>
        <v>Omeng</v>
      </c>
      <c r="X39" s="89" t="str">
        <f t="shared" si="0"/>
        <v>LIT</v>
      </c>
      <c r="Y39" s="81" t="str">
        <f t="shared" ref="Y39:Y65" ca="1" si="4">IF(I39 &lt; 1/24, "T&lt;1H", IF(AND(I39&lt;2/24, I39&gt;1/24), "1H&lt;T&lt;2H", IF(AND(I39&lt;4/24, I39&gt;2/24), "2H&lt;T&lt;4H", IF(AND(I39&lt;8/24, I39&gt;4/24), "4H&lt;T&lt;8H", IF(AND(I39&lt;16/24, I39&gt;8/24), "8H&lt;T&lt;16H",IF(AND(I39&lt;24/24, I39&gt;16/24),"16H&lt;T&lt;24H", IF(AND(I39&lt;48/24, I39&gt;24/24),"24H&lt;T&lt;48H",IF(AND(I39&lt;72/24, I39&gt;24/24),"48H&lt;T&lt;72H", "T&gt;72H"))))))))</f>
        <v>T&gt;72H</v>
      </c>
      <c r="Z39" s="63">
        <f t="shared" ref="Z39:Z65" si="5">IF(OR(E39="", E39="affected_cells=unknown"), "", LEN(E39)-LEN(SUBSTITUTE(E39, ",", "")) + LEN(E39)-LEN(SUBSTITUTE(E39, ";", "")) + 1)</f>
        <v>3</v>
      </c>
      <c r="AA39" s="63" t="s">
        <v>77</v>
      </c>
      <c r="AB39" s="85" t="s">
        <v>1555</v>
      </c>
      <c r="AC39" s="85" t="s">
        <v>2146</v>
      </c>
      <c r="AD39" s="85" t="s">
        <v>1994</v>
      </c>
      <c r="AE39" s="63"/>
    </row>
    <row r="40" spans="1:31" ht="73.5" hidden="1" x14ac:dyDescent="0.45">
      <c r="A40" s="63" t="s">
        <v>2154</v>
      </c>
      <c r="B40" s="63" t="s">
        <v>2151</v>
      </c>
      <c r="C40" s="68"/>
      <c r="D40" s="63"/>
      <c r="E40" s="63" t="s">
        <v>2155</v>
      </c>
      <c r="F40" s="71" t="s">
        <v>53</v>
      </c>
      <c r="G40" s="71" t="s">
        <v>2121</v>
      </c>
      <c r="H40" s="69">
        <v>46175.653263888889</v>
      </c>
      <c r="I40" s="77">
        <f t="shared" ca="1" si="3"/>
        <v>5.0154284722229932</v>
      </c>
      <c r="J40" s="63"/>
      <c r="K40" s="63"/>
      <c r="L40" s="63"/>
      <c r="M40" s="63" t="s">
        <v>31</v>
      </c>
      <c r="N40" s="63" t="s">
        <v>2156</v>
      </c>
      <c r="O40" s="63"/>
      <c r="P40" s="63" t="s">
        <v>1906</v>
      </c>
      <c r="Q40" s="63"/>
      <c r="R40" s="63" t="s">
        <v>2191</v>
      </c>
      <c r="S40" s="63" t="s">
        <v>32</v>
      </c>
      <c r="T40" s="63" t="s">
        <v>1898</v>
      </c>
      <c r="U40" s="63" t="s">
        <v>1898</v>
      </c>
      <c r="V40" s="63" t="e">
        <f>VLOOKUP(B40,[2]Overall!$A:$D,4,0)</f>
        <v>#N/A</v>
      </c>
      <c r="W40" s="63" t="str">
        <f>VLOOKUP(B40,[3]Sheet1!$A:$B,2,0)</f>
        <v>Omeng</v>
      </c>
      <c r="X40" s="89" t="str">
        <f t="shared" si="0"/>
        <v>LIT</v>
      </c>
      <c r="Y40" s="81" t="str">
        <f t="shared" ca="1" si="4"/>
        <v>T&gt;72H</v>
      </c>
      <c r="Z40" s="63">
        <f t="shared" si="5"/>
        <v>9</v>
      </c>
      <c r="AA40" s="63" t="s">
        <v>77</v>
      </c>
      <c r="AB40" s="85" t="s">
        <v>1555</v>
      </c>
      <c r="AC40" s="85" t="s">
        <v>2146</v>
      </c>
      <c r="AD40" s="85" t="s">
        <v>1994</v>
      </c>
      <c r="AE40" s="63"/>
    </row>
    <row r="41" spans="1:31" ht="73.5" hidden="1" x14ac:dyDescent="0.45">
      <c r="A41" s="63" t="s">
        <v>2154</v>
      </c>
      <c r="B41" s="63" t="s">
        <v>2151</v>
      </c>
      <c r="C41" s="68"/>
      <c r="D41" s="63"/>
      <c r="E41" s="63" t="s">
        <v>2157</v>
      </c>
      <c r="F41" s="71" t="s">
        <v>53</v>
      </c>
      <c r="G41" s="71" t="s">
        <v>2121</v>
      </c>
      <c r="H41" s="69">
        <v>46175.653263888889</v>
      </c>
      <c r="I41" s="77">
        <f t="shared" ca="1" si="3"/>
        <v>5.0154284722229932</v>
      </c>
      <c r="J41" s="63"/>
      <c r="K41" s="63"/>
      <c r="L41" s="63"/>
      <c r="M41" s="63" t="s">
        <v>31</v>
      </c>
      <c r="N41" s="63" t="s">
        <v>2158</v>
      </c>
      <c r="O41" s="63"/>
      <c r="P41" s="63" t="s">
        <v>1906</v>
      </c>
      <c r="Q41" s="63"/>
      <c r="R41" s="63" t="s">
        <v>2191</v>
      </c>
      <c r="S41" s="63" t="s">
        <v>32</v>
      </c>
      <c r="T41" s="63" t="s">
        <v>1898</v>
      </c>
      <c r="U41" s="63" t="s">
        <v>1898</v>
      </c>
      <c r="V41" s="63" t="e">
        <f>VLOOKUP(B41,[2]Overall!$A:$D,4,0)</f>
        <v>#N/A</v>
      </c>
      <c r="W41" s="63" t="str">
        <f>VLOOKUP(B41,[3]Sheet1!$A:$B,2,0)</f>
        <v>Omeng</v>
      </c>
      <c r="X41" s="89" t="str">
        <f t="shared" si="0"/>
        <v>EXN</v>
      </c>
      <c r="Y41" s="81" t="str">
        <f t="shared" ca="1" si="4"/>
        <v>T&gt;72H</v>
      </c>
      <c r="Z41" s="63">
        <f t="shared" si="5"/>
        <v>4</v>
      </c>
      <c r="AA41" s="63" t="s">
        <v>77</v>
      </c>
      <c r="AB41" s="85" t="s">
        <v>1555</v>
      </c>
      <c r="AC41" s="85" t="s">
        <v>2146</v>
      </c>
      <c r="AD41" s="85" t="s">
        <v>1994</v>
      </c>
      <c r="AE41" s="63"/>
    </row>
    <row r="42" spans="1:31" ht="73.5" hidden="1" x14ac:dyDescent="0.45">
      <c r="A42" s="63" t="s">
        <v>1795</v>
      </c>
      <c r="B42" s="63" t="s">
        <v>1796</v>
      </c>
      <c r="C42" s="68"/>
      <c r="D42" s="63"/>
      <c r="E42" s="63" t="s">
        <v>2159</v>
      </c>
      <c r="F42" s="71" t="s">
        <v>53</v>
      </c>
      <c r="G42" s="71" t="s">
        <v>2121</v>
      </c>
      <c r="H42" s="69">
        <v>46175.655775462961</v>
      </c>
      <c r="I42" s="77">
        <f t="shared" ca="1" si="3"/>
        <v>5.0129168981511611</v>
      </c>
      <c r="J42" s="63"/>
      <c r="K42" s="63"/>
      <c r="L42" s="63"/>
      <c r="M42" s="63" t="s">
        <v>2160</v>
      </c>
      <c r="N42" s="63" t="s">
        <v>2161</v>
      </c>
      <c r="O42" s="63"/>
      <c r="P42" s="63" t="s">
        <v>1906</v>
      </c>
      <c r="Q42" s="63"/>
      <c r="R42" s="63" t="s">
        <v>2071</v>
      </c>
      <c r="S42" s="63" t="s">
        <v>51</v>
      </c>
      <c r="T42" s="63" t="s">
        <v>1898</v>
      </c>
      <c r="U42" s="63" t="s">
        <v>1898</v>
      </c>
      <c r="V42" s="63" t="str">
        <f>VLOOKUP(B42,[2]Overall!$A:$D,4,0)</f>
        <v>TELEINFRA NORD</v>
      </c>
      <c r="W42" s="63" t="str">
        <f>VLOOKUP(B42,[3]Sheet1!$A:$B,2,0)</f>
        <v>Bagarao</v>
      </c>
      <c r="X42" s="89" t="str">
        <f t="shared" si="0"/>
        <v>NRO</v>
      </c>
      <c r="Y42" s="81" t="str">
        <f t="shared" ca="1" si="4"/>
        <v>T&gt;72H</v>
      </c>
      <c r="Z42" s="63">
        <f t="shared" si="5"/>
        <v>3</v>
      </c>
      <c r="AA42" s="63" t="s">
        <v>77</v>
      </c>
      <c r="AB42" s="85" t="s">
        <v>1555</v>
      </c>
      <c r="AC42" s="85" t="s">
        <v>2146</v>
      </c>
      <c r="AD42" s="85" t="s">
        <v>1994</v>
      </c>
      <c r="AE42" s="63"/>
    </row>
    <row r="43" spans="1:31" ht="44.5" hidden="1" x14ac:dyDescent="0.45">
      <c r="A43" s="61" t="s">
        <v>1705</v>
      </c>
      <c r="B43" s="61" t="s">
        <v>1706</v>
      </c>
      <c r="C43" s="65"/>
      <c r="D43" s="61"/>
      <c r="E43" s="61" t="s">
        <v>48</v>
      </c>
      <c r="F43" s="70" t="s">
        <v>53</v>
      </c>
      <c r="G43" s="70" t="s">
        <v>2121</v>
      </c>
      <c r="H43" s="67">
        <v>46175.66</v>
      </c>
      <c r="I43" s="75">
        <f t="shared" ca="1" si="3"/>
        <v>5.0086923611088423</v>
      </c>
      <c r="J43" s="61"/>
      <c r="K43" s="61"/>
      <c r="L43" s="61"/>
      <c r="M43" s="61" t="s">
        <v>1707</v>
      </c>
      <c r="N43" s="61" t="s">
        <v>1708</v>
      </c>
      <c r="O43" s="61"/>
      <c r="P43" s="61"/>
      <c r="Q43" s="61"/>
      <c r="R43" s="61" t="s">
        <v>1897</v>
      </c>
      <c r="S43" s="61" t="s">
        <v>71</v>
      </c>
      <c r="T43" s="61" t="s">
        <v>1902</v>
      </c>
      <c r="U43" s="61" t="s">
        <v>1896</v>
      </c>
      <c r="V43" s="61" t="str">
        <f>VLOOKUP(B43,[2]Overall!$A:$D,4,0)</f>
        <v xml:space="preserve">I-ENG </v>
      </c>
      <c r="W43" s="61" t="str">
        <f>VLOOKUP(B43,[3]Sheet1!$A:$B,2,0)</f>
        <v>Laising</v>
      </c>
      <c r="X43" s="88" t="str">
        <f t="shared" si="0"/>
        <v>EXN</v>
      </c>
      <c r="Y43" s="80" t="str">
        <f t="shared" ca="1" si="4"/>
        <v>T&gt;72H</v>
      </c>
      <c r="Z43" s="61">
        <f t="shared" si="5"/>
        <v>1</v>
      </c>
      <c r="AA43" s="61" t="s">
        <v>1566</v>
      </c>
      <c r="AB43" s="84" t="s">
        <v>1555</v>
      </c>
      <c r="AC43" s="84" t="s">
        <v>2146</v>
      </c>
      <c r="AD43" s="84" t="s">
        <v>1994</v>
      </c>
      <c r="AE43" s="61"/>
    </row>
    <row r="44" spans="1:31" ht="233" hidden="1" x14ac:dyDescent="0.45">
      <c r="A44" s="61" t="s">
        <v>1779</v>
      </c>
      <c r="B44" s="61" t="s">
        <v>1780</v>
      </c>
      <c r="C44" s="65"/>
      <c r="D44" s="61"/>
      <c r="E44" s="61" t="s">
        <v>39</v>
      </c>
      <c r="F44" s="70" t="s">
        <v>53</v>
      </c>
      <c r="G44" s="70" t="s">
        <v>2121</v>
      </c>
      <c r="H44" s="67">
        <v>46175.681076388886</v>
      </c>
      <c r="I44" s="75">
        <f t="shared" ca="1" si="3"/>
        <v>4.9876159722261946</v>
      </c>
      <c r="J44" s="61"/>
      <c r="K44" s="61"/>
      <c r="L44" s="61"/>
      <c r="M44" s="61" t="s">
        <v>1707</v>
      </c>
      <c r="N44" s="61" t="s">
        <v>2162</v>
      </c>
      <c r="O44" s="61"/>
      <c r="P44" s="61"/>
      <c r="Q44" s="61"/>
      <c r="R44" s="61" t="s">
        <v>2077</v>
      </c>
      <c r="S44" s="61" t="s">
        <v>75</v>
      </c>
      <c r="T44" s="61" t="s">
        <v>1840</v>
      </c>
      <c r="U44" s="61" t="s">
        <v>1840</v>
      </c>
      <c r="V44" s="61" t="str">
        <f>VLOOKUP(B44,[2]Overall!$A:$D,4,0)</f>
        <v>TELEINFRA NORD</v>
      </c>
      <c r="W44" s="61" t="str">
        <f>VLOOKUP(B44,[3]Sheet1!$A:$B,2,0)</f>
        <v>Badjonre</v>
      </c>
      <c r="X44" s="88" t="str">
        <f t="shared" si="0"/>
        <v>EXN</v>
      </c>
      <c r="Y44" s="80" t="str">
        <f t="shared" ca="1" si="4"/>
        <v>T&gt;72H</v>
      </c>
      <c r="Z44" s="61">
        <f t="shared" si="5"/>
        <v>1</v>
      </c>
      <c r="AA44" s="61" t="s">
        <v>1566</v>
      </c>
      <c r="AB44" s="84" t="s">
        <v>1554</v>
      </c>
      <c r="AC44" s="84" t="s">
        <v>2146</v>
      </c>
      <c r="AD44" s="84" t="s">
        <v>1994</v>
      </c>
      <c r="AE44" s="61"/>
    </row>
    <row r="45" spans="1:31" ht="233" hidden="1" x14ac:dyDescent="0.45">
      <c r="A45" s="61" t="s">
        <v>1779</v>
      </c>
      <c r="B45" s="61" t="s">
        <v>1780</v>
      </c>
      <c r="C45" s="65"/>
      <c r="D45" s="61"/>
      <c r="E45" s="61" t="s">
        <v>2163</v>
      </c>
      <c r="F45" s="70" t="s">
        <v>53</v>
      </c>
      <c r="G45" s="70" t="s">
        <v>2121</v>
      </c>
      <c r="H45" s="67">
        <v>46175.683067129627</v>
      </c>
      <c r="I45" s="75">
        <f t="shared" ca="1" si="3"/>
        <v>4.9856252314857556</v>
      </c>
      <c r="J45" s="61"/>
      <c r="K45" s="61"/>
      <c r="L45" s="61"/>
      <c r="M45" s="61" t="s">
        <v>31</v>
      </c>
      <c r="N45" s="61" t="s">
        <v>2164</v>
      </c>
      <c r="O45" s="61"/>
      <c r="P45" s="61"/>
      <c r="Q45" s="61"/>
      <c r="R45" s="61" t="s">
        <v>2077</v>
      </c>
      <c r="S45" s="61" t="s">
        <v>75</v>
      </c>
      <c r="T45" s="61" t="s">
        <v>1840</v>
      </c>
      <c r="U45" s="61" t="s">
        <v>1840</v>
      </c>
      <c r="V45" s="61" t="str">
        <f>VLOOKUP(B45,[2]Overall!$A:$D,4,0)</f>
        <v>TELEINFRA NORD</v>
      </c>
      <c r="W45" s="61" t="str">
        <f>VLOOKUP(B45,[3]Sheet1!$A:$B,2,0)</f>
        <v>Badjonre</v>
      </c>
      <c r="X45" s="88" t="str">
        <f t="shared" si="0"/>
        <v>EXN</v>
      </c>
      <c r="Y45" s="80" t="str">
        <f t="shared" ca="1" si="4"/>
        <v>T&gt;72H</v>
      </c>
      <c r="Z45" s="61">
        <f t="shared" si="5"/>
        <v>9</v>
      </c>
      <c r="AA45" s="61" t="s">
        <v>1566</v>
      </c>
      <c r="AB45" s="84" t="s">
        <v>1554</v>
      </c>
      <c r="AC45" s="84" t="s">
        <v>2146</v>
      </c>
      <c r="AD45" s="84" t="s">
        <v>1994</v>
      </c>
      <c r="AE45" s="61"/>
    </row>
    <row r="46" spans="1:31" ht="233" hidden="1" x14ac:dyDescent="0.45">
      <c r="A46" s="61" t="s">
        <v>1779</v>
      </c>
      <c r="B46" s="61" t="s">
        <v>1780</v>
      </c>
      <c r="C46" s="65"/>
      <c r="D46" s="61"/>
      <c r="E46" s="61" t="s">
        <v>39</v>
      </c>
      <c r="F46" s="70" t="s">
        <v>53</v>
      </c>
      <c r="G46" s="70" t="s">
        <v>2121</v>
      </c>
      <c r="H46" s="67">
        <v>46175.683506944442</v>
      </c>
      <c r="I46" s="75">
        <f t="shared" ca="1" si="3"/>
        <v>4.9851854166699923</v>
      </c>
      <c r="J46" s="61"/>
      <c r="K46" s="61"/>
      <c r="L46" s="61"/>
      <c r="M46" s="61" t="s">
        <v>1769</v>
      </c>
      <c r="N46" s="61" t="s">
        <v>2165</v>
      </c>
      <c r="O46" s="61"/>
      <c r="P46" s="61"/>
      <c r="Q46" s="61"/>
      <c r="R46" s="61" t="s">
        <v>2077</v>
      </c>
      <c r="S46" s="61" t="s">
        <v>75</v>
      </c>
      <c r="T46" s="61" t="s">
        <v>1840</v>
      </c>
      <c r="U46" s="61" t="s">
        <v>1840</v>
      </c>
      <c r="V46" s="61" t="str">
        <f>VLOOKUP(B46,[2]Overall!$A:$D,4,0)</f>
        <v>TELEINFRA NORD</v>
      </c>
      <c r="W46" s="61" t="str">
        <f>VLOOKUP(B46,[3]Sheet1!$A:$B,2,0)</f>
        <v>Badjonre</v>
      </c>
      <c r="X46" s="88" t="str">
        <f t="shared" si="0"/>
        <v>OST</v>
      </c>
      <c r="Y46" s="80" t="str">
        <f t="shared" ca="1" si="4"/>
        <v>T&gt;72H</v>
      </c>
      <c r="Z46" s="61">
        <f t="shared" si="5"/>
        <v>1</v>
      </c>
      <c r="AA46" s="61" t="s">
        <v>1566</v>
      </c>
      <c r="AB46" s="84" t="s">
        <v>1554</v>
      </c>
      <c r="AC46" s="84" t="s">
        <v>2146</v>
      </c>
      <c r="AD46" s="84" t="s">
        <v>1994</v>
      </c>
      <c r="AE46" s="61"/>
    </row>
    <row r="47" spans="1:31" ht="88" hidden="1" x14ac:dyDescent="0.45">
      <c r="A47" s="61" t="s">
        <v>2166</v>
      </c>
      <c r="B47" s="61" t="s">
        <v>2167</v>
      </c>
      <c r="C47" s="65"/>
      <c r="D47" s="61"/>
      <c r="E47" s="61" t="s">
        <v>2168</v>
      </c>
      <c r="F47" s="70" t="s">
        <v>53</v>
      </c>
      <c r="G47" s="70" t="s">
        <v>2121</v>
      </c>
      <c r="H47" s="67">
        <v>46175.685520833336</v>
      </c>
      <c r="I47" s="75">
        <f t="shared" ca="1" si="3"/>
        <v>4.983171527775994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2071</v>
      </c>
      <c r="S47" s="61" t="s">
        <v>51</v>
      </c>
      <c r="T47" s="61" t="s">
        <v>1898</v>
      </c>
      <c r="U47" s="61" t="s">
        <v>1898</v>
      </c>
      <c r="V47" s="61" t="e">
        <f>VLOOKUP(B47,[2]Overall!$A:$D,4,0)</f>
        <v>#N/A</v>
      </c>
      <c r="W47" s="61" t="str">
        <f>VLOOKUP(B47,[3]Sheet1!$A:$B,2,0)</f>
        <v>Foyemtcha</v>
      </c>
      <c r="X47" s="88" t="str">
        <f t="shared" si="0"/>
        <v>OST</v>
      </c>
      <c r="Y47" s="80" t="str">
        <f t="shared" ca="1" si="4"/>
        <v>T&gt;72H</v>
      </c>
      <c r="Z47" s="61">
        <f t="shared" si="5"/>
        <v>1</v>
      </c>
      <c r="AA47" s="61" t="s">
        <v>1566</v>
      </c>
      <c r="AB47" s="84" t="s">
        <v>1555</v>
      </c>
      <c r="AC47" s="84" t="s">
        <v>2146</v>
      </c>
      <c r="AD47" s="84" t="s">
        <v>1994</v>
      </c>
      <c r="AE47" s="61"/>
    </row>
    <row r="48" spans="1:31" ht="88" hidden="1" x14ac:dyDescent="0.45">
      <c r="A48" s="61" t="s">
        <v>2166</v>
      </c>
      <c r="B48" s="61" t="s">
        <v>2167</v>
      </c>
      <c r="C48" s="65"/>
      <c r="D48" s="61"/>
      <c r="E48" s="61" t="s">
        <v>2169</v>
      </c>
      <c r="F48" s="70" t="s">
        <v>53</v>
      </c>
      <c r="G48" s="70" t="s">
        <v>2121</v>
      </c>
      <c r="H48" s="67">
        <v>46175.685520833336</v>
      </c>
      <c r="I48" s="75">
        <f t="shared" ca="1" si="3"/>
        <v>4.983171527775994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2071</v>
      </c>
      <c r="S48" s="61" t="s">
        <v>51</v>
      </c>
      <c r="T48" s="61" t="s">
        <v>1898</v>
      </c>
      <c r="U48" s="61" t="s">
        <v>1898</v>
      </c>
      <c r="V48" s="61" t="e">
        <f>VLOOKUP(B48,[2]Overall!$A:$D,4,0)</f>
        <v>#N/A</v>
      </c>
      <c r="W48" s="61" t="str">
        <f>VLOOKUP(B48,[3]Sheet1!$A:$B,2,0)</f>
        <v>Foyemtcha</v>
      </c>
      <c r="X48" s="88" t="str">
        <f t="shared" si="0"/>
        <v>OST</v>
      </c>
      <c r="Y48" s="80" t="str">
        <f t="shared" ca="1" si="4"/>
        <v>T&gt;72H</v>
      </c>
      <c r="Z48" s="61">
        <f t="shared" si="5"/>
        <v>1</v>
      </c>
      <c r="AA48" s="61" t="s">
        <v>1566</v>
      </c>
      <c r="AB48" s="84" t="s">
        <v>1555</v>
      </c>
      <c r="AC48" s="84" t="s">
        <v>2146</v>
      </c>
      <c r="AD48" s="84" t="s">
        <v>1994</v>
      </c>
      <c r="AE48" s="61"/>
    </row>
    <row r="49" spans="1:31" ht="88" hidden="1" x14ac:dyDescent="0.45">
      <c r="A49" s="61" t="s">
        <v>2166</v>
      </c>
      <c r="B49" s="61" t="s">
        <v>2167</v>
      </c>
      <c r="C49" s="65"/>
      <c r="D49" s="61"/>
      <c r="E49" s="61" t="s">
        <v>2170</v>
      </c>
      <c r="F49" s="70" t="s">
        <v>53</v>
      </c>
      <c r="G49" s="70" t="s">
        <v>2121</v>
      </c>
      <c r="H49" s="67">
        <v>46175.685532407406</v>
      </c>
      <c r="I49" s="75">
        <f t="shared" ca="1" si="3"/>
        <v>4.9831599537064903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2071</v>
      </c>
      <c r="S49" s="61" t="s">
        <v>51</v>
      </c>
      <c r="T49" s="61" t="s">
        <v>1898</v>
      </c>
      <c r="U49" s="61" t="s">
        <v>1898</v>
      </c>
      <c r="V49" s="61" t="e">
        <f>VLOOKUP(B49,[2]Overall!$A:$D,4,0)</f>
        <v>#N/A</v>
      </c>
      <c r="W49" s="61" t="str">
        <f>VLOOKUP(B49,[3]Sheet1!$A:$B,2,0)</f>
        <v>Foyemtcha</v>
      </c>
      <c r="X49" s="88" t="str">
        <f t="shared" si="0"/>
        <v>OST</v>
      </c>
      <c r="Y49" s="80" t="str">
        <f t="shared" ca="1" si="4"/>
        <v>T&gt;72H</v>
      </c>
      <c r="Z49" s="61">
        <f t="shared" si="5"/>
        <v>1</v>
      </c>
      <c r="AA49" s="61" t="s">
        <v>1566</v>
      </c>
      <c r="AB49" s="84" t="s">
        <v>1555</v>
      </c>
      <c r="AC49" s="84" t="s">
        <v>2146</v>
      </c>
      <c r="AD49" s="84" t="s">
        <v>1994</v>
      </c>
      <c r="AE49" s="61"/>
    </row>
    <row r="50" spans="1:31" ht="88" hidden="1" x14ac:dyDescent="0.45">
      <c r="A50" s="61" t="s">
        <v>2166</v>
      </c>
      <c r="B50" s="61" t="s">
        <v>2167</v>
      </c>
      <c r="C50" s="65"/>
      <c r="D50" s="61"/>
      <c r="E50" s="61" t="s">
        <v>2171</v>
      </c>
      <c r="F50" s="70" t="s">
        <v>53</v>
      </c>
      <c r="G50" s="70" t="s">
        <v>2121</v>
      </c>
      <c r="H50" s="67">
        <v>46175.685532407406</v>
      </c>
      <c r="I50" s="75">
        <f t="shared" ca="1" si="3"/>
        <v>4.9831599537064903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61" t="s">
        <v>2071</v>
      </c>
      <c r="S50" s="61" t="s">
        <v>51</v>
      </c>
      <c r="T50" s="61" t="s">
        <v>1898</v>
      </c>
      <c r="U50" s="61" t="s">
        <v>1898</v>
      </c>
      <c r="V50" s="61" t="e">
        <f>VLOOKUP(B50,[2]Overall!$A:$D,4,0)</f>
        <v>#N/A</v>
      </c>
      <c r="W50" s="61" t="str">
        <f>VLOOKUP(B50,[3]Sheet1!$A:$B,2,0)</f>
        <v>Foyemtcha</v>
      </c>
      <c r="X50" s="88" t="str">
        <f t="shared" si="0"/>
        <v>OST</v>
      </c>
      <c r="Y50" s="80" t="str">
        <f t="shared" ca="1" si="4"/>
        <v>T&gt;72H</v>
      </c>
      <c r="Z50" s="61">
        <f t="shared" si="5"/>
        <v>1</v>
      </c>
      <c r="AA50" s="61" t="s">
        <v>1566</v>
      </c>
      <c r="AB50" s="84" t="s">
        <v>1555</v>
      </c>
      <c r="AC50" s="84" t="s">
        <v>2146</v>
      </c>
      <c r="AD50" s="84" t="s">
        <v>1994</v>
      </c>
      <c r="AE50" s="61"/>
    </row>
    <row r="51" spans="1:31" ht="88" hidden="1" x14ac:dyDescent="0.45">
      <c r="A51" s="61" t="s">
        <v>2166</v>
      </c>
      <c r="B51" s="61" t="s">
        <v>2167</v>
      </c>
      <c r="C51" s="65"/>
      <c r="D51" s="61"/>
      <c r="E51" s="61" t="s">
        <v>2172</v>
      </c>
      <c r="F51" s="70" t="s">
        <v>53</v>
      </c>
      <c r="G51" s="70" t="s">
        <v>2121</v>
      </c>
      <c r="H51" s="67">
        <v>46175.685520833336</v>
      </c>
      <c r="I51" s="75">
        <f t="shared" ca="1" si="3"/>
        <v>4.983171527775994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61" t="s">
        <v>2071</v>
      </c>
      <c r="S51" s="61" t="s">
        <v>51</v>
      </c>
      <c r="T51" s="61" t="s">
        <v>1898</v>
      </c>
      <c r="U51" s="61" t="s">
        <v>1898</v>
      </c>
      <c r="V51" s="61" t="e">
        <f>VLOOKUP(B51,[2]Overall!$A:$D,4,0)</f>
        <v>#N/A</v>
      </c>
      <c r="W51" s="61" t="str">
        <f>VLOOKUP(B51,[3]Sheet1!$A:$B,2,0)</f>
        <v>Foyemtcha</v>
      </c>
      <c r="X51" s="88" t="str">
        <f t="shared" si="0"/>
        <v>OST</v>
      </c>
      <c r="Y51" s="80" t="str">
        <f t="shared" ca="1" si="4"/>
        <v>T&gt;72H</v>
      </c>
      <c r="Z51" s="61">
        <f t="shared" si="5"/>
        <v>1</v>
      </c>
      <c r="AA51" s="61" t="s">
        <v>1566</v>
      </c>
      <c r="AB51" s="84" t="s">
        <v>1555</v>
      </c>
      <c r="AC51" s="84" t="s">
        <v>2146</v>
      </c>
      <c r="AD51" s="84" t="s">
        <v>1994</v>
      </c>
      <c r="AE51" s="61"/>
    </row>
    <row r="52" spans="1:31" ht="88" hidden="1" x14ac:dyDescent="0.45">
      <c r="A52" s="61" t="s">
        <v>2166</v>
      </c>
      <c r="B52" s="61" t="s">
        <v>2167</v>
      </c>
      <c r="C52" s="65"/>
      <c r="D52" s="61"/>
      <c r="E52" s="61" t="s">
        <v>2173</v>
      </c>
      <c r="F52" s="70" t="s">
        <v>53</v>
      </c>
      <c r="G52" s="70" t="s">
        <v>2121</v>
      </c>
      <c r="H52" s="67">
        <v>46175.685520833336</v>
      </c>
      <c r="I52" s="75">
        <f t="shared" ca="1" si="3"/>
        <v>4.983171527775994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61" t="s">
        <v>2071</v>
      </c>
      <c r="S52" s="61" t="s">
        <v>51</v>
      </c>
      <c r="T52" s="61" t="s">
        <v>1898</v>
      </c>
      <c r="U52" s="61" t="s">
        <v>1898</v>
      </c>
      <c r="V52" s="61" t="e">
        <f>VLOOKUP(B52,[2]Overall!$A:$D,4,0)</f>
        <v>#N/A</v>
      </c>
      <c r="W52" s="61" t="str">
        <f>VLOOKUP(B52,[3]Sheet1!$A:$B,2,0)</f>
        <v>Foyemtcha</v>
      </c>
      <c r="X52" s="88" t="str">
        <f t="shared" si="0"/>
        <v>OST</v>
      </c>
      <c r="Y52" s="80" t="str">
        <f t="shared" ca="1" si="4"/>
        <v>T&gt;72H</v>
      </c>
      <c r="Z52" s="61">
        <f t="shared" si="5"/>
        <v>1</v>
      </c>
      <c r="AA52" s="61" t="s">
        <v>1566</v>
      </c>
      <c r="AB52" s="84" t="s">
        <v>1555</v>
      </c>
      <c r="AC52" s="84" t="s">
        <v>2146</v>
      </c>
      <c r="AD52" s="84" t="s">
        <v>1994</v>
      </c>
      <c r="AE52" s="61"/>
    </row>
    <row r="53" spans="1:31" ht="88" hidden="1" x14ac:dyDescent="0.45">
      <c r="A53" s="61" t="s">
        <v>2166</v>
      </c>
      <c r="B53" s="61" t="s">
        <v>2167</v>
      </c>
      <c r="C53" s="65"/>
      <c r="D53" s="61"/>
      <c r="E53" s="61" t="s">
        <v>2174</v>
      </c>
      <c r="F53" s="70" t="s">
        <v>53</v>
      </c>
      <c r="G53" s="70" t="s">
        <v>2121</v>
      </c>
      <c r="H53" s="67">
        <v>46175.685520833336</v>
      </c>
      <c r="I53" s="75">
        <f t="shared" ca="1" si="3"/>
        <v>4.983171527775994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61" t="s">
        <v>2071</v>
      </c>
      <c r="S53" s="61" t="s">
        <v>51</v>
      </c>
      <c r="T53" s="61" t="s">
        <v>1898</v>
      </c>
      <c r="U53" s="61" t="s">
        <v>1898</v>
      </c>
      <c r="V53" s="61" t="e">
        <f>VLOOKUP(B53,[2]Overall!$A:$D,4,0)</f>
        <v>#N/A</v>
      </c>
      <c r="W53" s="61" t="str">
        <f>VLOOKUP(B53,[3]Sheet1!$A:$B,2,0)</f>
        <v>Foyemtcha</v>
      </c>
      <c r="X53" s="88" t="str">
        <f t="shared" si="0"/>
        <v>OST</v>
      </c>
      <c r="Y53" s="80" t="str">
        <f t="shared" ca="1" si="4"/>
        <v>T&gt;72H</v>
      </c>
      <c r="Z53" s="61">
        <f t="shared" si="5"/>
        <v>1</v>
      </c>
      <c r="AA53" s="61" t="s">
        <v>1566</v>
      </c>
      <c r="AB53" s="84" t="s">
        <v>1555</v>
      </c>
      <c r="AC53" s="84" t="s">
        <v>2146</v>
      </c>
      <c r="AD53" s="84" t="s">
        <v>1994</v>
      </c>
      <c r="AE53" s="61"/>
    </row>
    <row r="54" spans="1:31" ht="88" hidden="1" x14ac:dyDescent="0.45">
      <c r="A54" s="61" t="s">
        <v>2166</v>
      </c>
      <c r="B54" s="61" t="s">
        <v>2167</v>
      </c>
      <c r="C54" s="65"/>
      <c r="D54" s="61"/>
      <c r="E54" s="61" t="s">
        <v>2175</v>
      </c>
      <c r="F54" s="70" t="s">
        <v>53</v>
      </c>
      <c r="G54" s="70" t="s">
        <v>2121</v>
      </c>
      <c r="H54" s="67">
        <v>46175.685520833336</v>
      </c>
      <c r="I54" s="75">
        <f t="shared" ca="1" si="3"/>
        <v>4.983171527775994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61" t="s">
        <v>2071</v>
      </c>
      <c r="S54" s="61" t="s">
        <v>51</v>
      </c>
      <c r="T54" s="61" t="s">
        <v>1898</v>
      </c>
      <c r="U54" s="61" t="s">
        <v>1898</v>
      </c>
      <c r="V54" s="61" t="e">
        <f>VLOOKUP(B54,[2]Overall!$A:$D,4,0)</f>
        <v>#N/A</v>
      </c>
      <c r="W54" s="61" t="str">
        <f>VLOOKUP(B54,[3]Sheet1!$A:$B,2,0)</f>
        <v>Foyemtcha</v>
      </c>
      <c r="X54" s="88" t="str">
        <f t="shared" si="0"/>
        <v>OST</v>
      </c>
      <c r="Y54" s="80" t="str">
        <f t="shared" ca="1" si="4"/>
        <v>T&gt;72H</v>
      </c>
      <c r="Z54" s="61">
        <f t="shared" si="5"/>
        <v>1</v>
      </c>
      <c r="AA54" s="61" t="s">
        <v>1566</v>
      </c>
      <c r="AB54" s="84" t="s">
        <v>1555</v>
      </c>
      <c r="AC54" s="84" t="s">
        <v>2146</v>
      </c>
      <c r="AD54" s="84" t="s">
        <v>1994</v>
      </c>
      <c r="AE54" s="61"/>
    </row>
    <row r="55" spans="1:31" ht="88" hidden="1" x14ac:dyDescent="0.45">
      <c r="A55" s="61" t="s">
        <v>2166</v>
      </c>
      <c r="B55" s="61" t="s">
        <v>2167</v>
      </c>
      <c r="C55" s="65"/>
      <c r="D55" s="61"/>
      <c r="E55" s="61" t="s">
        <v>2176</v>
      </c>
      <c r="F55" s="70" t="s">
        <v>53</v>
      </c>
      <c r="G55" s="70" t="s">
        <v>2121</v>
      </c>
      <c r="H55" s="67">
        <v>46175.685520833336</v>
      </c>
      <c r="I55" s="75">
        <f t="shared" ca="1" si="3"/>
        <v>4.983171527775994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61" t="s">
        <v>2071</v>
      </c>
      <c r="S55" s="61" t="s">
        <v>51</v>
      </c>
      <c r="T55" s="61" t="s">
        <v>1898</v>
      </c>
      <c r="U55" s="61" t="s">
        <v>1898</v>
      </c>
      <c r="V55" s="61" t="e">
        <f>VLOOKUP(B55,[2]Overall!$A:$D,4,0)</f>
        <v>#N/A</v>
      </c>
      <c r="W55" s="61" t="str">
        <f>VLOOKUP(B55,[3]Sheet1!$A:$B,2,0)</f>
        <v>Foyemtcha</v>
      </c>
      <c r="X55" s="88" t="str">
        <f t="shared" si="0"/>
        <v>EXN</v>
      </c>
      <c r="Y55" s="80" t="str">
        <f t="shared" ca="1" si="4"/>
        <v>T&gt;72H</v>
      </c>
      <c r="Z55" s="61">
        <f t="shared" si="5"/>
        <v>1</v>
      </c>
      <c r="AA55" s="61" t="s">
        <v>1566</v>
      </c>
      <c r="AB55" s="84" t="s">
        <v>1555</v>
      </c>
      <c r="AC55" s="84" t="s">
        <v>2146</v>
      </c>
      <c r="AD55" s="84" t="s">
        <v>1994</v>
      </c>
      <c r="AE55" s="61"/>
    </row>
    <row r="56" spans="1:31" ht="59" hidden="1" x14ac:dyDescent="0.45">
      <c r="A56" s="63" t="s">
        <v>1748</v>
      </c>
      <c r="B56" s="63" t="s">
        <v>1747</v>
      </c>
      <c r="C56" s="68"/>
      <c r="D56" s="63"/>
      <c r="E56" s="63" t="s">
        <v>2177</v>
      </c>
      <c r="F56" s="71" t="s">
        <v>53</v>
      </c>
      <c r="G56" s="71" t="s">
        <v>2121</v>
      </c>
      <c r="H56" s="69">
        <v>46175.705312500002</v>
      </c>
      <c r="I56" s="77">
        <f t="shared" ca="1" si="3"/>
        <v>4.9633798611102975</v>
      </c>
      <c r="J56" s="63"/>
      <c r="K56" s="63"/>
      <c r="L56" s="63"/>
      <c r="M56" s="63" t="s">
        <v>1686</v>
      </c>
      <c r="N56" s="63" t="s">
        <v>1782</v>
      </c>
      <c r="O56" s="63"/>
      <c r="P56" s="63" t="s">
        <v>1906</v>
      </c>
      <c r="Q56" s="63"/>
      <c r="R56" s="63" t="s">
        <v>2197</v>
      </c>
      <c r="S56" s="63" t="s">
        <v>40</v>
      </c>
      <c r="T56" s="63" t="s">
        <v>1898</v>
      </c>
      <c r="U56" s="63" t="s">
        <v>1898</v>
      </c>
      <c r="V56" s="63" t="str">
        <f>VLOOKUP(B56,[2]Overall!$A:$D,4,0)</f>
        <v>TELEINFRA NORD</v>
      </c>
      <c r="W56" s="63" t="str">
        <f>VLOOKUP(B56,[3]Sheet1!$A:$B,2,0)</f>
        <v>Meme-II</v>
      </c>
      <c r="X56" s="89" t="str">
        <f t="shared" si="0"/>
        <v>EXN</v>
      </c>
      <c r="Y56" s="81" t="str">
        <f t="shared" ca="1" si="4"/>
        <v>T&gt;72H</v>
      </c>
      <c r="Z56" s="63">
        <f t="shared" si="5"/>
        <v>2</v>
      </c>
      <c r="AA56" s="63" t="s">
        <v>77</v>
      </c>
      <c r="AB56" s="85" t="s">
        <v>1554</v>
      </c>
      <c r="AC56" s="85" t="s">
        <v>2146</v>
      </c>
      <c r="AD56" s="85" t="s">
        <v>1994</v>
      </c>
      <c r="AE56" s="63"/>
    </row>
    <row r="57" spans="1:31" ht="73.5" hidden="1" x14ac:dyDescent="0.45">
      <c r="A57" s="61" t="s">
        <v>1632</v>
      </c>
      <c r="B57" s="61" t="s">
        <v>1610</v>
      </c>
      <c r="C57" s="65"/>
      <c r="D57" s="61"/>
      <c r="E57" s="61" t="s">
        <v>43</v>
      </c>
      <c r="F57" s="70" t="s">
        <v>53</v>
      </c>
      <c r="G57" s="70" t="s">
        <v>2121</v>
      </c>
      <c r="H57" s="67">
        <v>46175.708310185182</v>
      </c>
      <c r="I57" s="75">
        <f t="shared" ca="1" si="3"/>
        <v>4.9603821759301354</v>
      </c>
      <c r="J57" s="61"/>
      <c r="K57" s="61"/>
      <c r="L57" s="61"/>
      <c r="M57" s="61" t="s">
        <v>31</v>
      </c>
      <c r="N57" s="61" t="s">
        <v>2178</v>
      </c>
      <c r="O57" s="61"/>
      <c r="P57" s="61"/>
      <c r="Q57" s="61"/>
      <c r="R57" s="61" t="s">
        <v>2198</v>
      </c>
      <c r="S57" s="61" t="s">
        <v>40</v>
      </c>
      <c r="T57" s="61" t="s">
        <v>1902</v>
      </c>
      <c r="U57" s="61" t="s">
        <v>1896</v>
      </c>
      <c r="V57" s="61" t="str">
        <f>VLOOKUP(B57,[2]Overall!$A:$D,4,0)</f>
        <v>TELEINFRA NORD</v>
      </c>
      <c r="W57" s="61" t="str">
        <f>VLOOKUP(B57,[3]Sheet1!$A:$B,2,0)</f>
        <v>Zileng</v>
      </c>
      <c r="X57" s="88" t="str">
        <f t="shared" si="0"/>
        <v>EXN</v>
      </c>
      <c r="Y57" s="80" t="str">
        <f t="shared" ca="1" si="4"/>
        <v>T&gt;72H</v>
      </c>
      <c r="Z57" s="61">
        <f t="shared" si="5"/>
        <v>4</v>
      </c>
      <c r="AA57" s="61" t="s">
        <v>1566</v>
      </c>
      <c r="AB57" s="84" t="s">
        <v>1554</v>
      </c>
      <c r="AC57" s="84" t="s">
        <v>2146</v>
      </c>
      <c r="AD57" s="84" t="s">
        <v>1994</v>
      </c>
      <c r="AE57" s="61"/>
    </row>
    <row r="58" spans="1:31" ht="73.5" hidden="1" x14ac:dyDescent="0.45">
      <c r="A58" s="61" t="s">
        <v>1632</v>
      </c>
      <c r="B58" s="61" t="s">
        <v>1610</v>
      </c>
      <c r="C58" s="65"/>
      <c r="D58" s="61"/>
      <c r="E58" s="61" t="s">
        <v>35</v>
      </c>
      <c r="F58" s="70" t="s">
        <v>53</v>
      </c>
      <c r="G58" s="70" t="s">
        <v>2121</v>
      </c>
      <c r="H58" s="67">
        <v>46175.708310185182</v>
      </c>
      <c r="I58" s="75">
        <f t="shared" ca="1" si="3"/>
        <v>4.9603821759301354</v>
      </c>
      <c r="J58" s="61"/>
      <c r="K58" s="61"/>
      <c r="L58" s="61"/>
      <c r="M58" s="61" t="s">
        <v>31</v>
      </c>
      <c r="N58" s="61" t="s">
        <v>1826</v>
      </c>
      <c r="O58" s="61"/>
      <c r="P58" s="61"/>
      <c r="Q58" s="61"/>
      <c r="R58" s="61" t="s">
        <v>2198</v>
      </c>
      <c r="S58" s="61" t="s">
        <v>40</v>
      </c>
      <c r="T58" s="61" t="s">
        <v>1902</v>
      </c>
      <c r="U58" s="61" t="s">
        <v>1896</v>
      </c>
      <c r="V58" s="61" t="str">
        <f>VLOOKUP(B58,[2]Overall!$A:$D,4,0)</f>
        <v>TELEINFRA NORD</v>
      </c>
      <c r="W58" s="61" t="str">
        <f>VLOOKUP(B58,[3]Sheet1!$A:$B,2,0)</f>
        <v>Zileng</v>
      </c>
      <c r="X58" s="88" t="str">
        <f t="shared" si="0"/>
        <v>EXN</v>
      </c>
      <c r="Y58" s="80" t="str">
        <f t="shared" ca="1" si="4"/>
        <v>T&gt;72H</v>
      </c>
      <c r="Z58" s="61">
        <f t="shared" si="5"/>
        <v>3</v>
      </c>
      <c r="AA58" s="61" t="s">
        <v>1566</v>
      </c>
      <c r="AB58" s="84" t="s">
        <v>1554</v>
      </c>
      <c r="AC58" s="84" t="s">
        <v>2146</v>
      </c>
      <c r="AD58" s="84" t="s">
        <v>1994</v>
      </c>
      <c r="AE58" s="61"/>
    </row>
    <row r="59" spans="1:31" ht="73.5" hidden="1" x14ac:dyDescent="0.45">
      <c r="A59" s="61" t="s">
        <v>1611</v>
      </c>
      <c r="B59" s="61" t="s">
        <v>1610</v>
      </c>
      <c r="C59" s="65"/>
      <c r="D59" s="61"/>
      <c r="E59" s="61" t="s">
        <v>1825</v>
      </c>
      <c r="F59" s="70" t="s">
        <v>53</v>
      </c>
      <c r="G59" s="70" t="s">
        <v>2121</v>
      </c>
      <c r="H59" s="67">
        <v>46175.708275462966</v>
      </c>
      <c r="I59" s="75">
        <f t="shared" ca="1" si="3"/>
        <v>4.9604168981459225</v>
      </c>
      <c r="J59" s="61"/>
      <c r="K59" s="61"/>
      <c r="L59" s="61"/>
      <c r="M59" s="61" t="s">
        <v>31</v>
      </c>
      <c r="N59" s="61" t="s">
        <v>2179</v>
      </c>
      <c r="O59" s="61"/>
      <c r="P59" s="61"/>
      <c r="Q59" s="61"/>
      <c r="R59" s="61" t="s">
        <v>2198</v>
      </c>
      <c r="S59" s="61" t="s">
        <v>40</v>
      </c>
      <c r="T59" s="61" t="s">
        <v>1902</v>
      </c>
      <c r="U59" s="61" t="s">
        <v>1896</v>
      </c>
      <c r="V59" s="61" t="str">
        <f>VLOOKUP(B59,[2]Overall!$A:$D,4,0)</f>
        <v>TELEINFRA NORD</v>
      </c>
      <c r="W59" s="61" t="str">
        <f>VLOOKUP(B59,[3]Sheet1!$A:$B,2,0)</f>
        <v>Zileng</v>
      </c>
      <c r="X59" s="88" t="str">
        <f t="shared" si="0"/>
        <v>EXN</v>
      </c>
      <c r="Y59" s="80" t="str">
        <f t="shared" ca="1" si="4"/>
        <v>T&gt;72H</v>
      </c>
      <c r="Z59" s="61">
        <f t="shared" si="5"/>
        <v>9</v>
      </c>
      <c r="AA59" s="61" t="s">
        <v>1566</v>
      </c>
      <c r="AB59" s="84" t="s">
        <v>1554</v>
      </c>
      <c r="AC59" s="84" t="s">
        <v>2146</v>
      </c>
      <c r="AD59" s="84" t="s">
        <v>1994</v>
      </c>
      <c r="AE59" s="61"/>
    </row>
    <row r="60" spans="1:31" ht="73.5" hidden="1" x14ac:dyDescent="0.45">
      <c r="A60" s="61" t="s">
        <v>1611</v>
      </c>
      <c r="B60" s="61" t="s">
        <v>1610</v>
      </c>
      <c r="C60" s="65"/>
      <c r="D60" s="61"/>
      <c r="E60" s="61" t="s">
        <v>1824</v>
      </c>
      <c r="F60" s="70" t="s">
        <v>53</v>
      </c>
      <c r="G60" s="70" t="s">
        <v>2121</v>
      </c>
      <c r="H60" s="67">
        <v>46175.70826388889</v>
      </c>
      <c r="I60" s="75">
        <f t="shared" ca="1" si="3"/>
        <v>4.9604284722227021</v>
      </c>
      <c r="J60" s="61"/>
      <c r="K60" s="61"/>
      <c r="L60" s="61"/>
      <c r="M60" s="61" t="s">
        <v>31</v>
      </c>
      <c r="N60" s="61" t="s">
        <v>2180</v>
      </c>
      <c r="O60" s="61"/>
      <c r="P60" s="61"/>
      <c r="Q60" s="61"/>
      <c r="R60" s="61" t="s">
        <v>2198</v>
      </c>
      <c r="S60" s="61" t="s">
        <v>40</v>
      </c>
      <c r="T60" s="61" t="s">
        <v>1902</v>
      </c>
      <c r="U60" s="61" t="s">
        <v>1896</v>
      </c>
      <c r="V60" s="61" t="str">
        <f>VLOOKUP(B60,[2]Overall!$A:$D,4,0)</f>
        <v>TELEINFRA NORD</v>
      </c>
      <c r="W60" s="61" t="str">
        <f>VLOOKUP(B60,[3]Sheet1!$A:$B,2,0)</f>
        <v>Zileng</v>
      </c>
      <c r="X60" s="88" t="str">
        <f t="shared" si="0"/>
        <v>EXN</v>
      </c>
      <c r="Y60" s="80" t="str">
        <f t="shared" ca="1" si="4"/>
        <v>T&gt;72H</v>
      </c>
      <c r="Z60" s="61">
        <f t="shared" si="5"/>
        <v>4</v>
      </c>
      <c r="AA60" s="61" t="s">
        <v>1566</v>
      </c>
      <c r="AB60" s="84" t="s">
        <v>1554</v>
      </c>
      <c r="AC60" s="84" t="s">
        <v>2146</v>
      </c>
      <c r="AD60" s="84" t="s">
        <v>1994</v>
      </c>
      <c r="AE60" s="61"/>
    </row>
    <row r="61" spans="1:31" ht="233" hidden="1" x14ac:dyDescent="0.45">
      <c r="A61" s="61" t="s">
        <v>1779</v>
      </c>
      <c r="B61" s="61" t="s">
        <v>1780</v>
      </c>
      <c r="C61" s="65"/>
      <c r="D61" s="61"/>
      <c r="E61" s="61" t="s">
        <v>1794</v>
      </c>
      <c r="F61" s="70" t="s">
        <v>53</v>
      </c>
      <c r="G61" s="70" t="s">
        <v>2121</v>
      </c>
      <c r="H61" s="67">
        <v>46175.710868055554</v>
      </c>
      <c r="I61" s="75">
        <f t="shared" ca="1" si="3"/>
        <v>4.9578243055584608</v>
      </c>
      <c r="J61" s="61"/>
      <c r="K61" s="61"/>
      <c r="L61" s="61"/>
      <c r="M61" s="61" t="s">
        <v>1605</v>
      </c>
      <c r="N61" s="61" t="s">
        <v>2181</v>
      </c>
      <c r="O61" s="61"/>
      <c r="P61" s="61"/>
      <c r="Q61" s="61"/>
      <c r="R61" s="61" t="s">
        <v>2077</v>
      </c>
      <c r="S61" s="61" t="s">
        <v>75</v>
      </c>
      <c r="T61" s="61" t="s">
        <v>1840</v>
      </c>
      <c r="U61" s="61" t="s">
        <v>1840</v>
      </c>
      <c r="V61" s="61" t="str">
        <f>VLOOKUP(B61,[2]Overall!$A:$D,4,0)</f>
        <v>TELEINFRA NORD</v>
      </c>
      <c r="W61" s="61" t="str">
        <f>VLOOKUP(B61,[3]Sheet1!$A:$B,2,0)</f>
        <v>Badjonre</v>
      </c>
      <c r="X61" s="88" t="str">
        <f t="shared" si="0"/>
        <v>EXN</v>
      </c>
      <c r="Y61" s="80" t="str">
        <f t="shared" ca="1" si="4"/>
        <v>T&gt;72H</v>
      </c>
      <c r="Z61" s="61">
        <f t="shared" si="5"/>
        <v>6</v>
      </c>
      <c r="AA61" s="61" t="s">
        <v>1566</v>
      </c>
      <c r="AB61" s="84" t="s">
        <v>1554</v>
      </c>
      <c r="AC61" s="84" t="s">
        <v>2146</v>
      </c>
      <c r="AD61" s="84" t="s">
        <v>1994</v>
      </c>
      <c r="AE61" s="61"/>
    </row>
    <row r="62" spans="1:31" ht="59" hidden="1" x14ac:dyDescent="0.45">
      <c r="A62" s="63" t="s">
        <v>2110</v>
      </c>
      <c r="B62" s="63" t="s">
        <v>1747</v>
      </c>
      <c r="C62" s="68"/>
      <c r="D62" s="63"/>
      <c r="E62" s="63" t="s">
        <v>2182</v>
      </c>
      <c r="F62" s="71" t="s">
        <v>53</v>
      </c>
      <c r="G62" s="71" t="s">
        <v>2121</v>
      </c>
      <c r="H62" s="69">
        <v>46175.710995370369</v>
      </c>
      <c r="I62" s="77">
        <f t="shared" ca="1" si="3"/>
        <v>4.9576969907429884</v>
      </c>
      <c r="J62" s="63"/>
      <c r="K62" s="63"/>
      <c r="L62" s="63"/>
      <c r="M62" s="63" t="s">
        <v>1732</v>
      </c>
      <c r="N62" s="63" t="s">
        <v>1882</v>
      </c>
      <c r="O62" s="63"/>
      <c r="P62" s="63" t="s">
        <v>1906</v>
      </c>
      <c r="Q62" s="63"/>
      <c r="R62" s="63" t="s">
        <v>2197</v>
      </c>
      <c r="S62" s="63" t="s">
        <v>40</v>
      </c>
      <c r="T62" s="63" t="s">
        <v>1898</v>
      </c>
      <c r="U62" s="63" t="s">
        <v>1898</v>
      </c>
      <c r="V62" s="63" t="str">
        <f>VLOOKUP(B62,[2]Overall!$A:$D,4,0)</f>
        <v>TELEINFRA NORD</v>
      </c>
      <c r="W62" s="63" t="str">
        <f>VLOOKUP(B62,[3]Sheet1!$A:$B,2,0)</f>
        <v>Meme-II</v>
      </c>
      <c r="X62" s="89" t="str">
        <f t="shared" si="0"/>
        <v>EXN</v>
      </c>
      <c r="Y62" s="81" t="str">
        <f t="shared" ca="1" si="4"/>
        <v>T&gt;72H</v>
      </c>
      <c r="Z62" s="63">
        <f t="shared" si="5"/>
        <v>2</v>
      </c>
      <c r="AA62" s="63" t="s">
        <v>77</v>
      </c>
      <c r="AB62" s="85" t="s">
        <v>1554</v>
      </c>
      <c r="AC62" s="85" t="s">
        <v>2146</v>
      </c>
      <c r="AD62" s="85" t="s">
        <v>1994</v>
      </c>
      <c r="AE62" s="63"/>
    </row>
    <row r="63" spans="1:31" ht="59" hidden="1" x14ac:dyDescent="0.45">
      <c r="A63" s="63" t="s">
        <v>2110</v>
      </c>
      <c r="B63" s="63" t="s">
        <v>1747</v>
      </c>
      <c r="C63" s="68"/>
      <c r="D63" s="63"/>
      <c r="E63" s="63" t="s">
        <v>2183</v>
      </c>
      <c r="F63" s="71" t="s">
        <v>53</v>
      </c>
      <c r="G63" s="71" t="s">
        <v>2121</v>
      </c>
      <c r="H63" s="69">
        <v>46175.710995370369</v>
      </c>
      <c r="I63" s="77">
        <f t="shared" ca="1" si="3"/>
        <v>4.9576969907429884</v>
      </c>
      <c r="J63" s="63"/>
      <c r="K63" s="63"/>
      <c r="L63" s="63"/>
      <c r="M63" s="63" t="s">
        <v>1732</v>
      </c>
      <c r="N63" s="63" t="s">
        <v>1818</v>
      </c>
      <c r="O63" s="63"/>
      <c r="P63" s="63" t="s">
        <v>1906</v>
      </c>
      <c r="Q63" s="63"/>
      <c r="R63" s="63" t="s">
        <v>2197</v>
      </c>
      <c r="S63" s="63" t="s">
        <v>40</v>
      </c>
      <c r="T63" s="63" t="s">
        <v>1898</v>
      </c>
      <c r="U63" s="63" t="s">
        <v>1898</v>
      </c>
      <c r="V63" s="63" t="str">
        <f>VLOOKUP(B63,[2]Overall!$A:$D,4,0)</f>
        <v>TELEINFRA NORD</v>
      </c>
      <c r="W63" s="63" t="str">
        <f>VLOOKUP(B63,[3]Sheet1!$A:$B,2,0)</f>
        <v>Meme-II</v>
      </c>
      <c r="X63" s="89" t="str">
        <f t="shared" si="0"/>
        <v>EXN</v>
      </c>
      <c r="Y63" s="81" t="str">
        <f t="shared" ca="1" si="4"/>
        <v>T&gt;72H</v>
      </c>
      <c r="Z63" s="63">
        <f t="shared" si="5"/>
        <v>2</v>
      </c>
      <c r="AA63" s="63" t="s">
        <v>77</v>
      </c>
      <c r="AB63" s="85" t="s">
        <v>1554</v>
      </c>
      <c r="AC63" s="85" t="s">
        <v>2146</v>
      </c>
      <c r="AD63" s="85" t="s">
        <v>1994</v>
      </c>
      <c r="AE63" s="63"/>
    </row>
    <row r="64" spans="1:31" ht="59" hidden="1" x14ac:dyDescent="0.45">
      <c r="A64" s="63" t="s">
        <v>1748</v>
      </c>
      <c r="B64" s="63" t="s">
        <v>1747</v>
      </c>
      <c r="C64" s="68"/>
      <c r="D64" s="63"/>
      <c r="E64" s="63" t="s">
        <v>2184</v>
      </c>
      <c r="F64" s="71" t="s">
        <v>53</v>
      </c>
      <c r="G64" s="71" t="s">
        <v>2121</v>
      </c>
      <c r="H64" s="69">
        <v>46175.711018518516</v>
      </c>
      <c r="I64" s="77">
        <f t="shared" ca="1" si="3"/>
        <v>4.9576738425967051</v>
      </c>
      <c r="J64" s="63"/>
      <c r="K64" s="63"/>
      <c r="L64" s="63"/>
      <c r="M64" s="63" t="s">
        <v>1732</v>
      </c>
      <c r="N64" s="63" t="s">
        <v>2185</v>
      </c>
      <c r="O64" s="63"/>
      <c r="P64" s="63" t="s">
        <v>1906</v>
      </c>
      <c r="Q64" s="63"/>
      <c r="R64" s="63" t="s">
        <v>2197</v>
      </c>
      <c r="S64" s="63" t="s">
        <v>40</v>
      </c>
      <c r="T64" s="63" t="s">
        <v>1898</v>
      </c>
      <c r="U64" s="63" t="s">
        <v>1898</v>
      </c>
      <c r="V64" s="63" t="str">
        <f>VLOOKUP(B64,[2]Overall!$A:$D,4,0)</f>
        <v>TELEINFRA NORD</v>
      </c>
      <c r="W64" s="63" t="str">
        <f>VLOOKUP(B64,[3]Sheet1!$A:$B,2,0)</f>
        <v>Meme-II</v>
      </c>
      <c r="X64" s="89" t="str">
        <f t="shared" si="0"/>
        <v>EXN</v>
      </c>
      <c r="Y64" s="81" t="str">
        <f t="shared" ca="1" si="4"/>
        <v>T&gt;72H</v>
      </c>
      <c r="Z64" s="63">
        <f t="shared" si="5"/>
        <v>2</v>
      </c>
      <c r="AA64" s="63" t="s">
        <v>77</v>
      </c>
      <c r="AB64" s="85" t="s">
        <v>1554</v>
      </c>
      <c r="AC64" s="85" t="s">
        <v>2146</v>
      </c>
      <c r="AD64" s="85" t="s">
        <v>1994</v>
      </c>
      <c r="AE64" s="63"/>
    </row>
    <row r="65" spans="1:31" ht="233" hidden="1" x14ac:dyDescent="0.45">
      <c r="A65" s="61" t="s">
        <v>1779</v>
      </c>
      <c r="B65" s="61" t="s">
        <v>1780</v>
      </c>
      <c r="C65" s="65"/>
      <c r="D65" s="61"/>
      <c r="E65" s="61" t="s">
        <v>1794</v>
      </c>
      <c r="F65" s="70" t="s">
        <v>53</v>
      </c>
      <c r="G65" s="70" t="s">
        <v>2121</v>
      </c>
      <c r="H65" s="67">
        <v>46175.712222222224</v>
      </c>
      <c r="I65" s="75">
        <f t="shared" ca="1" si="3"/>
        <v>4.9564701388881076</v>
      </c>
      <c r="J65" s="61"/>
      <c r="K65" s="61"/>
      <c r="L65" s="61"/>
      <c r="M65" s="61" t="s">
        <v>1707</v>
      </c>
      <c r="N65" s="61" t="s">
        <v>2186</v>
      </c>
      <c r="O65" s="61"/>
      <c r="P65" s="61"/>
      <c r="Q65" s="61"/>
      <c r="R65" s="61" t="s">
        <v>2077</v>
      </c>
      <c r="S65" s="61" t="s">
        <v>75</v>
      </c>
      <c r="T65" s="61" t="s">
        <v>1840</v>
      </c>
      <c r="U65" s="61" t="s">
        <v>1840</v>
      </c>
      <c r="V65" s="61" t="str">
        <f>VLOOKUP(B65,[2]Overall!$A:$D,4,0)</f>
        <v>TELEINFRA NORD</v>
      </c>
      <c r="W65" s="61" t="str">
        <f>VLOOKUP(B65,[3]Sheet1!$A:$B,2,0)</f>
        <v>Badjonre</v>
      </c>
      <c r="X65" s="88" t="str">
        <f t="shared" si="0"/>
        <v>EST</v>
      </c>
      <c r="Y65" s="80" t="str">
        <f t="shared" ca="1" si="4"/>
        <v>T&gt;72H</v>
      </c>
      <c r="Z65" s="61">
        <f t="shared" si="5"/>
        <v>6</v>
      </c>
      <c r="AA65" s="61" t="s">
        <v>1566</v>
      </c>
      <c r="AB65" s="84" t="s">
        <v>1554</v>
      </c>
      <c r="AC65" s="84" t="s">
        <v>2146</v>
      </c>
      <c r="AD65" s="84" t="s">
        <v>1994</v>
      </c>
      <c r="AE65" s="61"/>
    </row>
    <row r="66" spans="1:31" ht="73.5" hidden="1" x14ac:dyDescent="0.45">
      <c r="A66" s="63" t="s">
        <v>1797</v>
      </c>
      <c r="B66" s="63" t="s">
        <v>1798</v>
      </c>
      <c r="C66" s="68"/>
      <c r="D66" s="63"/>
      <c r="E66" s="63" t="s">
        <v>1799</v>
      </c>
      <c r="F66" s="71" t="s">
        <v>53</v>
      </c>
      <c r="G66" s="71" t="s">
        <v>2121</v>
      </c>
      <c r="H66" s="69">
        <v>46175.713136574072</v>
      </c>
      <c r="I66" s="77">
        <f t="shared" ca="1" si="3"/>
        <v>4.9555557870407938</v>
      </c>
      <c r="J66" s="63"/>
      <c r="K66" s="63"/>
      <c r="L66" s="63"/>
      <c r="M66" s="63" t="s">
        <v>31</v>
      </c>
      <c r="N66" s="63" t="s">
        <v>1800</v>
      </c>
      <c r="O66" s="63"/>
      <c r="P66" s="63" t="s">
        <v>1906</v>
      </c>
      <c r="Q66" s="63"/>
      <c r="R66" s="63" t="s">
        <v>2191</v>
      </c>
      <c r="S66" s="63" t="s">
        <v>40</v>
      </c>
      <c r="T66" s="63" t="s">
        <v>1898</v>
      </c>
      <c r="U66" s="63" t="s">
        <v>1898</v>
      </c>
      <c r="V66" s="63" t="str">
        <f>VLOOKUP(B66,[2]Overall!$A:$D,4,0)</f>
        <v>TELEINFRA CENTRE</v>
      </c>
      <c r="W66" s="63" t="str">
        <f>VLOOKUP(B66,[3]Sheet1!$A:$B,2,0)</f>
        <v>Bonga</v>
      </c>
      <c r="X66" s="89" t="str">
        <f>LEFT(B67,3)</f>
        <v/>
      </c>
      <c r="Y66" s="81" t="str">
        <f ca="1">IF(I66 &lt; 1/24, "T&lt;1H", IF(AND(I66&lt;2/24, I66&gt;1/24), "1H&lt;T&lt;2H", IF(AND(I66&lt;4/24, I66&gt;2/24), "2H&lt;T&lt;4H", IF(AND(I66&lt;8/24, I66&gt;4/24), "4H&lt;T&lt;8H", IF(AND(I66&lt;16/24, I66&gt;8/24), "8H&lt;T&lt;16H",IF(AND(I66&lt;24/24, I66&gt;16/24),"16H&lt;T&lt;24H", IF(AND(I66&lt;48/24, I66&gt;24/24),"24H&lt;T&lt;48H",IF(AND(I66&lt;72/24, I66&gt;24/24),"48H&lt;T&lt;72H", "T&gt;72H"))))))))</f>
        <v>T&gt;72H</v>
      </c>
      <c r="Z66" s="63">
        <f>IF(OR(E66="", E66="affected_cells=unknown"), "", LEN(E66)-LEN(SUBSTITUTE(E66, ",", "")) + LEN(E66)-LEN(SUBSTITUTE(E66, ";", "")) + 1)</f>
        <v>4</v>
      </c>
      <c r="AA66" s="63" t="s">
        <v>77</v>
      </c>
      <c r="AB66" s="85" t="s">
        <v>1555</v>
      </c>
      <c r="AC66" s="85" t="s">
        <v>2146</v>
      </c>
      <c r="AD66" s="85" t="s">
        <v>1994</v>
      </c>
      <c r="AE66" s="63"/>
    </row>
  </sheetData>
  <autoFilter ref="A1:AE66" xr:uid="{7520EF42-BF63-428A-AC28-947B7B356391}">
    <filterColumn colId="0">
      <filters>
        <filter val="Salapoumbe-Ville-MTN-IHS_G9L8_EST_103_MRBTS1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DAAE-42AD-4953-8607-EA4A7513379E}">
  <sheetPr codeName="Sheet34">
    <tabColor rgb="FF0070C0"/>
  </sheetPr>
  <dimension ref="A1:AE74"/>
  <sheetViews>
    <sheetView zoomScale="53" zoomScaleNormal="53" workbookViewId="0">
      <pane xSplit="6" topLeftCell="P1" activePane="topRight" state="frozen"/>
      <selection activeCell="AB4" sqref="AB4"/>
      <selection pane="topRight" activeCell="B27" sqref="B27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79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2229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378" x14ac:dyDescent="0.4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t="shared" ref="I2:I28" ca="1" si="0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2010</v>
      </c>
      <c r="S2" s="61" t="s">
        <v>50</v>
      </c>
      <c r="T2" s="61" t="s">
        <v>1688</v>
      </c>
      <c r="U2" s="61" t="e">
        <v>#N/A</v>
      </c>
      <c r="V2" s="61" t="str">
        <f>VLOOKUP(B2,[2]Overall!$A:$D,4,0)</f>
        <v>TELEINFRA NORD</v>
      </c>
      <c r="W2" s="61" t="str">
        <f>VLOOKUP(B2,[3]Sheet1!$A:$B,2,0)</f>
        <v>Martap</v>
      </c>
      <c r="X2" s="88" t="e">
        <f>LEFT(#REF!,3)</f>
        <v>#REF!</v>
      </c>
      <c r="Y2" s="80" t="str">
        <f t="shared" ref="Y2:Y28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28" si="2">IF(OR(E2="", E2="affected_cells=unknown"), "", LEN(E2)-LEN(SUBSTITUTE(E2, ",", "")) + LEN(E2)-LEN(SUBSTITUTE(E2, ";", "")) + 1)</f>
        <v>1</v>
      </c>
      <c r="AA2" s="61" t="s">
        <v>1566</v>
      </c>
      <c r="AB2" s="61" t="s">
        <v>1554</v>
      </c>
      <c r="AC2" s="84" t="s">
        <v>2291</v>
      </c>
      <c r="AD2" s="84" t="s">
        <v>1994</v>
      </c>
      <c r="AE2" s="61"/>
    </row>
    <row r="3" spans="1:31" ht="291" x14ac:dyDescent="0.4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2252</v>
      </c>
      <c r="S3" s="61" t="s">
        <v>40</v>
      </c>
      <c r="T3" s="61" t="s">
        <v>2129</v>
      </c>
      <c r="U3" s="61" t="s">
        <v>2129</v>
      </c>
      <c r="V3" s="61" t="str">
        <f>VLOOKUP(B3,[2]Overall!$A:$D,4,0)</f>
        <v>TELEINFRA NORD</v>
      </c>
      <c r="W3" s="61" t="str">
        <f>VLOOKUP(B3,[3]Sheet1!$A:$B,2,0)</f>
        <v>Dogba</v>
      </c>
      <c r="X3" s="88" t="str">
        <f t="shared" ref="X3:X28" si="3">LEFT(B4,3)</f>
        <v>EXN</v>
      </c>
      <c r="Y3" s="80" t="str">
        <f t="shared" ca="1" si="1"/>
        <v>T&gt;72H</v>
      </c>
      <c r="Z3" s="61">
        <f t="shared" si="2"/>
        <v>4</v>
      </c>
      <c r="AA3" s="61" t="s">
        <v>1566</v>
      </c>
      <c r="AB3" s="61" t="s">
        <v>1554</v>
      </c>
      <c r="AC3" s="84" t="s">
        <v>2291</v>
      </c>
      <c r="AD3" s="84" t="s">
        <v>1994</v>
      </c>
      <c r="AE3" s="61"/>
    </row>
    <row r="4" spans="1:31" ht="291" x14ac:dyDescent="0.4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2252</v>
      </c>
      <c r="S4" s="61" t="s">
        <v>40</v>
      </c>
      <c r="T4" s="61" t="s">
        <v>2129</v>
      </c>
      <c r="U4" s="61" t="s">
        <v>2129</v>
      </c>
      <c r="V4" s="61" t="str">
        <f>VLOOKUP(B4,[2]Overall!$A:$D,4,0)</f>
        <v>TELEINFRA NORD</v>
      </c>
      <c r="W4" s="61" t="str">
        <f>VLOOKUP(B4,[3]Sheet1!$A:$B,2,0)</f>
        <v>Dogba</v>
      </c>
      <c r="X4" s="88" t="str">
        <f t="shared" si="3"/>
        <v>EXN</v>
      </c>
      <c r="Y4" s="80" t="str">
        <f t="shared" ca="1" si="1"/>
        <v>T&gt;72H</v>
      </c>
      <c r="Z4" s="61">
        <f t="shared" si="2"/>
        <v>3</v>
      </c>
      <c r="AA4" s="61" t="s">
        <v>1566</v>
      </c>
      <c r="AB4" s="61" t="s">
        <v>1554</v>
      </c>
      <c r="AC4" s="84" t="s">
        <v>2291</v>
      </c>
      <c r="AD4" s="84" t="s">
        <v>1994</v>
      </c>
      <c r="AE4" s="61"/>
    </row>
    <row r="5" spans="1:31" ht="131.5" x14ac:dyDescent="0.4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2244</v>
      </c>
      <c r="S5" s="61" t="s">
        <v>40</v>
      </c>
      <c r="T5" s="61" t="s">
        <v>1898</v>
      </c>
      <c r="U5" s="61" t="s">
        <v>1898</v>
      </c>
      <c r="V5" s="61" t="str">
        <f>VLOOKUP(B5,[2]Overall!$A:$D,4,0)</f>
        <v>TELEINFRA NORD</v>
      </c>
      <c r="W5" s="61" t="str">
        <f>VLOOKUP(B5,[3]Sheet1!$A:$B,2,0)</f>
        <v>Zigague</v>
      </c>
      <c r="X5" s="88" t="e">
        <f>LEFT(#REF!,3)</f>
        <v>#REF!</v>
      </c>
      <c r="Y5" s="80" t="str">
        <f t="shared" ca="1" si="1"/>
        <v>T&gt;72H</v>
      </c>
      <c r="Z5" s="61">
        <f t="shared" si="2"/>
        <v>1</v>
      </c>
      <c r="AA5" s="61" t="s">
        <v>1566</v>
      </c>
      <c r="AB5" s="61" t="s">
        <v>1554</v>
      </c>
      <c r="AC5" s="84" t="s">
        <v>2291</v>
      </c>
      <c r="AD5" s="84" t="s">
        <v>1994</v>
      </c>
      <c r="AE5" s="61"/>
    </row>
    <row r="6" spans="1:31" ht="131.5" x14ac:dyDescent="0.45">
      <c r="A6" s="61" t="s">
        <v>1834</v>
      </c>
      <c r="B6" s="61" t="s">
        <v>1835</v>
      </c>
      <c r="C6" s="65"/>
      <c r="D6" s="61"/>
      <c r="E6" s="61" t="s">
        <v>39</v>
      </c>
      <c r="F6" s="70" t="s">
        <v>53</v>
      </c>
      <c r="G6" s="70" t="s">
        <v>2121</v>
      </c>
      <c r="H6" s="67">
        <v>46168.908518518518</v>
      </c>
      <c r="I6" s="75">
        <f t="shared" ca="1" si="0"/>
        <v>11.760173842594668</v>
      </c>
      <c r="J6" s="61"/>
      <c r="K6" s="61"/>
      <c r="L6" s="61"/>
      <c r="M6" s="61" t="s">
        <v>1836</v>
      </c>
      <c r="N6" s="61" t="s">
        <v>1837</v>
      </c>
      <c r="O6" s="61"/>
      <c r="P6" s="61"/>
      <c r="Q6" s="61"/>
      <c r="R6" s="61" t="s">
        <v>2080</v>
      </c>
      <c r="S6" s="61" t="s">
        <v>85</v>
      </c>
      <c r="T6" s="61" t="s">
        <v>1899</v>
      </c>
      <c r="U6" s="61" t="s">
        <v>1899</v>
      </c>
      <c r="V6" s="61" t="str">
        <f>VLOOKUP(B6,[2]Overall!$A:$D,4,0)</f>
        <v>H-TELI</v>
      </c>
      <c r="W6" s="61" t="str">
        <f>VLOOKUP(B6,[3]Sheet1!$A:$B,2,0)</f>
        <v>Ebonji</v>
      </c>
      <c r="X6" s="88" t="e">
        <f>LEFT(#REF!,3)</f>
        <v>#REF!</v>
      </c>
      <c r="Y6" s="80" t="str">
        <f t="shared" ca="1" si="1"/>
        <v>T&gt;72H</v>
      </c>
      <c r="Z6" s="61">
        <f t="shared" si="2"/>
        <v>1</v>
      </c>
      <c r="AA6" s="61" t="s">
        <v>1566</v>
      </c>
      <c r="AB6" s="61" t="s">
        <v>1554</v>
      </c>
      <c r="AC6" s="84" t="s">
        <v>2291</v>
      </c>
      <c r="AD6" s="84" t="s">
        <v>1994</v>
      </c>
      <c r="AE6" s="61"/>
    </row>
    <row r="7" spans="1:31" ht="204" x14ac:dyDescent="0.45">
      <c r="A7" s="61" t="s">
        <v>1776</v>
      </c>
      <c r="B7" s="61" t="s">
        <v>1777</v>
      </c>
      <c r="C7" s="65"/>
      <c r="D7" s="61"/>
      <c r="E7" s="61" t="s">
        <v>35</v>
      </c>
      <c r="F7" s="70" t="s">
        <v>53</v>
      </c>
      <c r="G7" s="70" t="s">
        <v>2121</v>
      </c>
      <c r="H7" s="67">
        <v>46169.530451388891</v>
      </c>
      <c r="I7" s="75">
        <f t="shared" ca="1" si="0"/>
        <v>11.138240972220956</v>
      </c>
      <c r="J7" s="61"/>
      <c r="K7" s="61"/>
      <c r="L7" s="61"/>
      <c r="M7" s="61" t="s">
        <v>31</v>
      </c>
      <c r="N7" s="61" t="s">
        <v>1778</v>
      </c>
      <c r="O7" s="61"/>
      <c r="P7" s="61"/>
      <c r="Q7" s="61"/>
      <c r="R7" s="61" t="s">
        <v>2237</v>
      </c>
      <c r="S7" s="61" t="s">
        <v>32</v>
      </c>
      <c r="T7" s="61" t="s">
        <v>1898</v>
      </c>
      <c r="U7" s="61" t="s">
        <v>1898</v>
      </c>
      <c r="V7" s="61" t="str">
        <f>VLOOKUP(B7,[2]Overall!$A:$D,4,0)</f>
        <v xml:space="preserve">I-ENG </v>
      </c>
      <c r="W7" s="61" t="str">
        <f>VLOOKUP(B7,[3]Sheet1!$A:$B,2,0)</f>
        <v>Bafmeng</v>
      </c>
      <c r="X7" s="88" t="e">
        <f>LEFT(#REF!,3)</f>
        <v>#REF!</v>
      </c>
      <c r="Y7" s="80" t="str">
        <f t="shared" ca="1" si="1"/>
        <v>T&gt;72H</v>
      </c>
      <c r="Z7" s="61">
        <f t="shared" si="2"/>
        <v>3</v>
      </c>
      <c r="AA7" s="61" t="s">
        <v>1566</v>
      </c>
      <c r="AB7" s="61" t="s">
        <v>1554</v>
      </c>
      <c r="AC7" s="84" t="s">
        <v>2291</v>
      </c>
      <c r="AD7" s="84" t="s">
        <v>1994</v>
      </c>
      <c r="AE7" s="61"/>
    </row>
    <row r="8" spans="1:31" ht="175" x14ac:dyDescent="0.45">
      <c r="A8" s="61" t="s">
        <v>1581</v>
      </c>
      <c r="B8" s="61" t="s">
        <v>1582</v>
      </c>
      <c r="C8" s="65"/>
      <c r="D8" s="61"/>
      <c r="E8" s="61" t="s">
        <v>1937</v>
      </c>
      <c r="F8" s="70" t="s">
        <v>53</v>
      </c>
      <c r="G8" s="70" t="s">
        <v>2121</v>
      </c>
      <c r="H8" s="67">
        <v>46172.450324074074</v>
      </c>
      <c r="I8" s="75">
        <f t="shared" ca="1" si="0"/>
        <v>8.2183682870381745</v>
      </c>
      <c r="J8" s="61"/>
      <c r="K8" s="61"/>
      <c r="L8" s="61"/>
      <c r="M8" s="61" t="s">
        <v>41</v>
      </c>
      <c r="N8" s="61" t="s">
        <v>1938</v>
      </c>
      <c r="O8" s="61"/>
      <c r="P8" s="61"/>
      <c r="Q8" s="61"/>
      <c r="R8" s="61" t="s">
        <v>2238</v>
      </c>
      <c r="S8" s="61" t="s">
        <v>32</v>
      </c>
      <c r="T8" s="61" t="s">
        <v>1840</v>
      </c>
      <c r="U8" s="61" t="s">
        <v>1840</v>
      </c>
      <c r="V8" s="61" t="str">
        <f>VLOOKUP(B8,[2]Overall!$A:$D,4,0)</f>
        <v xml:space="preserve">I-ENG </v>
      </c>
      <c r="W8" s="61" t="str">
        <f>VLOOKUP(B8,[3]Sheet1!$A:$B,2,0)</f>
        <v>Batibo</v>
      </c>
      <c r="X8" s="88" t="str">
        <f t="shared" si="3"/>
        <v>EXN</v>
      </c>
      <c r="Y8" s="80" t="str">
        <f t="shared" ca="1" si="1"/>
        <v>T&gt;72H</v>
      </c>
      <c r="Z8" s="61">
        <f t="shared" si="2"/>
        <v>1</v>
      </c>
      <c r="AA8" s="61" t="s">
        <v>1566</v>
      </c>
      <c r="AB8" s="61" t="s">
        <v>1554</v>
      </c>
      <c r="AC8" s="84" t="s">
        <v>2291</v>
      </c>
      <c r="AD8" s="84" t="s">
        <v>1994</v>
      </c>
      <c r="AE8" s="61"/>
    </row>
    <row r="9" spans="1:31" ht="102.5" x14ac:dyDescent="0.45">
      <c r="A9" s="61" t="s">
        <v>1930</v>
      </c>
      <c r="B9" s="61" t="s">
        <v>1931</v>
      </c>
      <c r="C9" s="65"/>
      <c r="D9" s="61"/>
      <c r="E9" s="61" t="s">
        <v>34</v>
      </c>
      <c r="F9" s="70" t="s">
        <v>53</v>
      </c>
      <c r="G9" s="70" t="s">
        <v>2121</v>
      </c>
      <c r="H9" s="67">
        <v>46172.534074074072</v>
      </c>
      <c r="I9" s="75">
        <f t="shared" ca="1" si="0"/>
        <v>8.1346182870402117</v>
      </c>
      <c r="J9" s="61"/>
      <c r="K9" s="61"/>
      <c r="L9" s="61"/>
      <c r="M9" s="61" t="s">
        <v>1929</v>
      </c>
      <c r="N9" s="61" t="s">
        <v>1932</v>
      </c>
      <c r="O9" s="61"/>
      <c r="P9" s="61"/>
      <c r="Q9" s="61"/>
      <c r="R9" s="61" t="s">
        <v>2079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Mazera</v>
      </c>
      <c r="X9" s="88" t="str">
        <f t="shared" si="3"/>
        <v>NRD</v>
      </c>
      <c r="Y9" s="80" t="str">
        <f t="shared" ca="1" si="1"/>
        <v>T&gt;72H</v>
      </c>
      <c r="Z9" s="61">
        <f t="shared" si="2"/>
        <v>1</v>
      </c>
      <c r="AA9" s="61" t="s">
        <v>1566</v>
      </c>
      <c r="AB9" s="61" t="s">
        <v>1554</v>
      </c>
      <c r="AC9" s="84" t="s">
        <v>2291</v>
      </c>
      <c r="AD9" s="84" t="s">
        <v>1994</v>
      </c>
      <c r="AE9" s="61"/>
    </row>
    <row r="10" spans="1:31" ht="378" x14ac:dyDescent="0.45">
      <c r="A10" s="61" t="s">
        <v>1773</v>
      </c>
      <c r="B10" s="61" t="s">
        <v>1774</v>
      </c>
      <c r="C10" s="65"/>
      <c r="D10" s="61"/>
      <c r="E10" s="61" t="s">
        <v>1956</v>
      </c>
      <c r="F10" s="70" t="s">
        <v>53</v>
      </c>
      <c r="G10" s="70" t="s">
        <v>2121</v>
      </c>
      <c r="H10" s="67">
        <v>46172.719837962963</v>
      </c>
      <c r="I10" s="75">
        <f t="shared" ca="1" si="0"/>
        <v>7.948854398149706</v>
      </c>
      <c r="J10" s="61"/>
      <c r="K10" s="61"/>
      <c r="L10" s="61"/>
      <c r="M10" s="61" t="s">
        <v>31</v>
      </c>
      <c r="N10" s="61" t="s">
        <v>1957</v>
      </c>
      <c r="O10" s="61"/>
      <c r="P10" s="61"/>
      <c r="Q10" s="61"/>
      <c r="R10" s="61" t="s">
        <v>2137</v>
      </c>
      <c r="S10" s="61" t="s">
        <v>40</v>
      </c>
      <c r="T10" s="61" t="s">
        <v>1898</v>
      </c>
      <c r="U10" s="61" t="s">
        <v>1898</v>
      </c>
      <c r="V10" s="61" t="str">
        <f>VLOOKUP(B10,[2]Overall!$A:$D,4,0)</f>
        <v>TELEINFRA NORD</v>
      </c>
      <c r="W10" s="61" t="str">
        <f>VLOOKUP(B10,[3]Sheet1!$A:$B,2,0)</f>
        <v>Hamalade</v>
      </c>
      <c r="X10" s="88" t="str">
        <f t="shared" si="3"/>
        <v>NRD</v>
      </c>
      <c r="Y10" s="80" t="str">
        <f t="shared" ca="1" si="1"/>
        <v>T&gt;72H</v>
      </c>
      <c r="Z10" s="61">
        <f t="shared" si="2"/>
        <v>3</v>
      </c>
      <c r="AA10" s="61" t="s">
        <v>1566</v>
      </c>
      <c r="AB10" s="61" t="s">
        <v>1554</v>
      </c>
      <c r="AC10" s="84" t="s">
        <v>2291</v>
      </c>
      <c r="AD10" s="84" t="s">
        <v>1994</v>
      </c>
      <c r="AE10" s="61"/>
    </row>
    <row r="11" spans="1:31" ht="378" x14ac:dyDescent="0.45">
      <c r="A11" s="61" t="s">
        <v>1773</v>
      </c>
      <c r="B11" s="61" t="s">
        <v>1774</v>
      </c>
      <c r="C11" s="65"/>
      <c r="D11" s="61"/>
      <c r="E11" s="61" t="s">
        <v>35</v>
      </c>
      <c r="F11" s="70" t="s">
        <v>53</v>
      </c>
      <c r="G11" s="70" t="s">
        <v>2121</v>
      </c>
      <c r="H11" s="67">
        <v>46172.719837962963</v>
      </c>
      <c r="I11" s="75">
        <f t="shared" ca="1" si="0"/>
        <v>7.948854398149706</v>
      </c>
      <c r="J11" s="61"/>
      <c r="K11" s="61"/>
      <c r="L11" s="61"/>
      <c r="M11" s="61" t="s">
        <v>31</v>
      </c>
      <c r="N11" s="61" t="s">
        <v>1775</v>
      </c>
      <c r="O11" s="61"/>
      <c r="P11" s="61"/>
      <c r="Q11" s="61"/>
      <c r="R11" s="61" t="s">
        <v>2137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Hamalade</v>
      </c>
      <c r="X11" s="88" t="str">
        <f t="shared" si="3"/>
        <v>NRD</v>
      </c>
      <c r="Y11" s="80" t="str">
        <f t="shared" ca="1" si="1"/>
        <v>T&gt;72H</v>
      </c>
      <c r="Z11" s="61">
        <f t="shared" si="2"/>
        <v>3</v>
      </c>
      <c r="AA11" s="61" t="s">
        <v>1566</v>
      </c>
      <c r="AB11" s="61" t="s">
        <v>1554</v>
      </c>
      <c r="AC11" s="84" t="s">
        <v>2291</v>
      </c>
      <c r="AD11" s="84" t="s">
        <v>1994</v>
      </c>
      <c r="AE11" s="61"/>
    </row>
    <row r="12" spans="1:31" ht="378" x14ac:dyDescent="0.45">
      <c r="A12" s="61" t="s">
        <v>1773</v>
      </c>
      <c r="B12" s="61" t="s">
        <v>1774</v>
      </c>
      <c r="C12" s="65"/>
      <c r="D12" s="61"/>
      <c r="E12" s="61" t="s">
        <v>1954</v>
      </c>
      <c r="F12" s="70" t="s">
        <v>53</v>
      </c>
      <c r="G12" s="70" t="s">
        <v>2121</v>
      </c>
      <c r="H12" s="67">
        <v>46172.724965277775</v>
      </c>
      <c r="I12" s="75">
        <f t="shared" ca="1" si="0"/>
        <v>7.943727083336853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61" t="s">
        <v>2137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Hamalade</v>
      </c>
      <c r="X12" s="88" t="str">
        <f t="shared" si="3"/>
        <v>NRD</v>
      </c>
      <c r="Y12" s="80" t="str">
        <f t="shared" ca="1" si="1"/>
        <v>T&gt;72H</v>
      </c>
      <c r="Z12" s="61">
        <f t="shared" si="2"/>
        <v>1</v>
      </c>
      <c r="AA12" s="61" t="s">
        <v>1566</v>
      </c>
      <c r="AB12" s="61" t="s">
        <v>1554</v>
      </c>
      <c r="AC12" s="84" t="s">
        <v>2291</v>
      </c>
      <c r="AD12" s="84" t="s">
        <v>1994</v>
      </c>
      <c r="AE12" s="61"/>
    </row>
    <row r="13" spans="1:31" ht="378" x14ac:dyDescent="0.45">
      <c r="A13" s="61" t="s">
        <v>1773</v>
      </c>
      <c r="B13" s="61" t="s">
        <v>1774</v>
      </c>
      <c r="C13" s="65"/>
      <c r="D13" s="61"/>
      <c r="E13" s="61" t="s">
        <v>1955</v>
      </c>
      <c r="F13" s="70" t="s">
        <v>53</v>
      </c>
      <c r="G13" s="70" t="s">
        <v>2121</v>
      </c>
      <c r="H13" s="67">
        <v>46172.724965277775</v>
      </c>
      <c r="I13" s="75">
        <f t="shared" ca="1" si="0"/>
        <v>7.943727083336853</v>
      </c>
      <c r="J13" s="61"/>
      <c r="K13" s="61"/>
      <c r="L13" s="61"/>
      <c r="M13" s="61" t="s">
        <v>1750</v>
      </c>
      <c r="N13" s="61" t="s">
        <v>1751</v>
      </c>
      <c r="O13" s="61"/>
      <c r="P13" s="61"/>
      <c r="Q13" s="61"/>
      <c r="R13" s="61" t="s">
        <v>2137</v>
      </c>
      <c r="S13" s="61" t="s">
        <v>40</v>
      </c>
      <c r="T13" s="61" t="s">
        <v>1898</v>
      </c>
      <c r="U13" s="61" t="s">
        <v>1898</v>
      </c>
      <c r="V13" s="61" t="str">
        <f>VLOOKUP(B13,[2]Overall!$A:$D,4,0)</f>
        <v>TELEINFRA NORD</v>
      </c>
      <c r="W13" s="61" t="str">
        <f>VLOOKUP(B13,[3]Sheet1!$A:$B,2,0)</f>
        <v>Hamalade</v>
      </c>
      <c r="X13" s="88" t="str">
        <f t="shared" si="3"/>
        <v>NRD</v>
      </c>
      <c r="Y13" s="80" t="str">
        <f t="shared" ca="1" si="1"/>
        <v>T&gt;72H</v>
      </c>
      <c r="Z13" s="61">
        <f t="shared" si="2"/>
        <v>1</v>
      </c>
      <c r="AA13" s="61" t="s">
        <v>1566</v>
      </c>
      <c r="AB13" s="61" t="s">
        <v>1554</v>
      </c>
      <c r="AC13" s="84" t="s">
        <v>2291</v>
      </c>
      <c r="AD13" s="84" t="s">
        <v>1994</v>
      </c>
      <c r="AE13" s="61"/>
    </row>
    <row r="14" spans="1:31" ht="378" x14ac:dyDescent="0.45">
      <c r="A14" s="61" t="s">
        <v>1773</v>
      </c>
      <c r="B14" s="61" t="s">
        <v>1774</v>
      </c>
      <c r="C14" s="65"/>
      <c r="D14" s="61"/>
      <c r="E14" s="61" t="s">
        <v>1953</v>
      </c>
      <c r="F14" s="70" t="s">
        <v>53</v>
      </c>
      <c r="G14" s="70" t="s">
        <v>2121</v>
      </c>
      <c r="H14" s="67">
        <v>46172.724965277775</v>
      </c>
      <c r="I14" s="75">
        <f t="shared" ca="1" si="0"/>
        <v>7.943727083336853</v>
      </c>
      <c r="J14" s="61"/>
      <c r="K14" s="61"/>
      <c r="L14" s="61"/>
      <c r="M14" s="61" t="s">
        <v>1750</v>
      </c>
      <c r="N14" s="61" t="s">
        <v>1751</v>
      </c>
      <c r="O14" s="61"/>
      <c r="P14" s="61"/>
      <c r="Q14" s="61"/>
      <c r="R14" s="61" t="s">
        <v>2137</v>
      </c>
      <c r="S14" s="61" t="s">
        <v>40</v>
      </c>
      <c r="T14" s="61" t="s">
        <v>1898</v>
      </c>
      <c r="U14" s="61" t="s">
        <v>1898</v>
      </c>
      <c r="V14" s="61" t="str">
        <f>VLOOKUP(B14,[2]Overall!$A:$D,4,0)</f>
        <v>TELEINFRA NORD</v>
      </c>
      <c r="W14" s="61" t="str">
        <f>VLOOKUP(B14,[3]Sheet1!$A:$B,2,0)</f>
        <v>Hamalade</v>
      </c>
      <c r="X14" s="88" t="str">
        <f t="shared" si="3"/>
        <v>NRO</v>
      </c>
      <c r="Y14" s="80" t="str">
        <f t="shared" ca="1" si="1"/>
        <v>T&gt;72H</v>
      </c>
      <c r="Z14" s="61">
        <f t="shared" si="2"/>
        <v>1</v>
      </c>
      <c r="AA14" s="61" t="s">
        <v>1566</v>
      </c>
      <c r="AB14" s="61" t="s">
        <v>1554</v>
      </c>
      <c r="AC14" s="84" t="s">
        <v>2291</v>
      </c>
      <c r="AD14" s="84" t="s">
        <v>1994</v>
      </c>
      <c r="AE14" s="61"/>
    </row>
    <row r="15" spans="1:31" ht="363.5" x14ac:dyDescent="0.45">
      <c r="A15" s="61" t="s">
        <v>1724</v>
      </c>
      <c r="B15" s="61" t="s">
        <v>1725</v>
      </c>
      <c r="C15" s="65"/>
      <c r="D15" s="61"/>
      <c r="E15" s="61" t="s">
        <v>1726</v>
      </c>
      <c r="F15" s="70" t="s">
        <v>53</v>
      </c>
      <c r="G15" s="70" t="s">
        <v>2121</v>
      </c>
      <c r="H15" s="67">
        <v>46172.76761574074</v>
      </c>
      <c r="I15" s="75">
        <f t="shared" ca="1" si="0"/>
        <v>7.9010766203718958</v>
      </c>
      <c r="J15" s="61"/>
      <c r="K15" s="61"/>
      <c r="L15" s="61"/>
      <c r="M15" s="61" t="s">
        <v>33</v>
      </c>
      <c r="N15" s="61" t="s">
        <v>1635</v>
      </c>
      <c r="O15" s="61"/>
      <c r="P15" s="61"/>
      <c r="Q15" s="61"/>
      <c r="R15" s="61" t="s">
        <v>2236</v>
      </c>
      <c r="S15" s="61" t="s">
        <v>32</v>
      </c>
      <c r="T15" s="61" t="s">
        <v>1898</v>
      </c>
      <c r="U15" s="61" t="s">
        <v>1898</v>
      </c>
      <c r="V15" s="61" t="str">
        <f>VLOOKUP(B15,[2]Overall!$A:$D,4,0)</f>
        <v xml:space="preserve">I-ENG </v>
      </c>
      <c r="W15" s="61" t="str">
        <f>VLOOKUP(B15,[3]Sheet1!$A:$B,2,0)</f>
        <v>Mbakong</v>
      </c>
      <c r="X15" s="88" t="e">
        <f>LEFT(#REF!,3)</f>
        <v>#REF!</v>
      </c>
      <c r="Y15" s="80" t="str">
        <f t="shared" ca="1" si="1"/>
        <v>T&gt;72H</v>
      </c>
      <c r="Z15" s="61">
        <f t="shared" si="2"/>
        <v>2</v>
      </c>
      <c r="AA15" s="61" t="s">
        <v>1566</v>
      </c>
      <c r="AB15" s="61" t="s">
        <v>1554</v>
      </c>
      <c r="AC15" s="84" t="s">
        <v>2291</v>
      </c>
      <c r="AD15" s="84" t="s">
        <v>1994</v>
      </c>
      <c r="AE15" s="61"/>
    </row>
    <row r="16" spans="1:31" ht="117" x14ac:dyDescent="0.45">
      <c r="A16" s="63" t="s">
        <v>1678</v>
      </c>
      <c r="B16" s="63" t="s">
        <v>1679</v>
      </c>
      <c r="C16" s="68"/>
      <c r="D16" s="63"/>
      <c r="E16" s="63" t="s">
        <v>35</v>
      </c>
      <c r="F16" s="71" t="s">
        <v>53</v>
      </c>
      <c r="G16" s="71" t="s">
        <v>2121</v>
      </c>
      <c r="H16" s="69">
        <v>46173.667939814812</v>
      </c>
      <c r="I16" s="77">
        <f t="shared" ca="1" si="0"/>
        <v>7.0007525463006459</v>
      </c>
      <c r="J16" s="63"/>
      <c r="K16" s="63"/>
      <c r="L16" s="63"/>
      <c r="M16" s="63" t="s">
        <v>31</v>
      </c>
      <c r="N16" s="63" t="s">
        <v>1680</v>
      </c>
      <c r="O16" s="63"/>
      <c r="P16" s="63" t="s">
        <v>2304</v>
      </c>
      <c r="Q16" s="63"/>
      <c r="R16" s="63" t="s">
        <v>2303</v>
      </c>
      <c r="S16" s="63" t="s">
        <v>32</v>
      </c>
      <c r="T16" s="63" t="s">
        <v>2145</v>
      </c>
      <c r="U16" s="63" t="s">
        <v>2145</v>
      </c>
      <c r="V16" s="63" t="str">
        <f>VLOOKUP(B16,[2]Overall!$A:$D,4,0)</f>
        <v xml:space="preserve">I-ENG </v>
      </c>
      <c r="W16" s="63" t="str">
        <f>VLOOKUP(B16,[3]Sheet1!$A:$B,2,0)</f>
        <v>Babessi</v>
      </c>
      <c r="X16" s="89" t="str">
        <f t="shared" si="3"/>
        <v>EXN</v>
      </c>
      <c r="Y16" s="81" t="str">
        <f t="shared" ca="1" si="1"/>
        <v>T&gt;72H</v>
      </c>
      <c r="Z16" s="63">
        <f t="shared" si="2"/>
        <v>3</v>
      </c>
      <c r="AA16" s="63" t="s">
        <v>77</v>
      </c>
      <c r="AB16" s="63" t="s">
        <v>1554</v>
      </c>
      <c r="AC16" s="85" t="s">
        <v>2291</v>
      </c>
      <c r="AD16" s="85" t="s">
        <v>1994</v>
      </c>
      <c r="AE16" s="63"/>
    </row>
    <row r="17" spans="1:31" ht="189.5" x14ac:dyDescent="0.45">
      <c r="A17" s="63" t="s">
        <v>1727</v>
      </c>
      <c r="B17" s="63" t="s">
        <v>1728</v>
      </c>
      <c r="C17" s="68"/>
      <c r="D17" s="63"/>
      <c r="E17" s="63" t="s">
        <v>1729</v>
      </c>
      <c r="F17" s="71" t="s">
        <v>53</v>
      </c>
      <c r="G17" s="71" t="s">
        <v>2121</v>
      </c>
      <c r="H17" s="69">
        <v>46173.749571759261</v>
      </c>
      <c r="I17" s="77">
        <f t="shared" ca="1" si="0"/>
        <v>6.9191206018513185</v>
      </c>
      <c r="J17" s="63"/>
      <c r="K17" s="63"/>
      <c r="L17" s="63"/>
      <c r="M17" s="63" t="s">
        <v>1730</v>
      </c>
      <c r="N17" s="63" t="s">
        <v>1731</v>
      </c>
      <c r="O17" s="63"/>
      <c r="P17" s="63" t="s">
        <v>2306</v>
      </c>
      <c r="Q17" s="63"/>
      <c r="R17" s="63" t="s">
        <v>2305</v>
      </c>
      <c r="S17" s="63" t="s">
        <v>40</v>
      </c>
      <c r="T17" s="63" t="s">
        <v>2307</v>
      </c>
      <c r="U17" s="63" t="s">
        <v>2307</v>
      </c>
      <c r="V17" s="63" t="str">
        <f>VLOOKUP(B17,[2]Overall!$A:$D,4,0)</f>
        <v>TELEINFRA NORD</v>
      </c>
      <c r="W17" s="63" t="str">
        <f>VLOOKUP(B17,[3]Sheet1!$A:$B,2,0)</f>
        <v>Kuruda</v>
      </c>
      <c r="X17" s="89" t="str">
        <f t="shared" si="3"/>
        <v>OST</v>
      </c>
      <c r="Y17" s="81" t="str">
        <f t="shared" ca="1" si="1"/>
        <v>T&gt;72H</v>
      </c>
      <c r="Z17" s="63">
        <f t="shared" si="2"/>
        <v>2</v>
      </c>
      <c r="AA17" s="63" t="s">
        <v>77</v>
      </c>
      <c r="AB17" s="63" t="s">
        <v>1554</v>
      </c>
      <c r="AC17" s="85" t="s">
        <v>2291</v>
      </c>
      <c r="AD17" s="85" t="s">
        <v>1994</v>
      </c>
      <c r="AE17" s="63"/>
    </row>
    <row r="18" spans="1:31" ht="146" x14ac:dyDescent="0.45">
      <c r="A18" s="61" t="s">
        <v>1981</v>
      </c>
      <c r="B18" s="61" t="s">
        <v>1982</v>
      </c>
      <c r="C18" s="65"/>
      <c r="D18" s="61"/>
      <c r="E18" s="61" t="s">
        <v>39</v>
      </c>
      <c r="F18" s="70" t="s">
        <v>53</v>
      </c>
      <c r="G18" s="70" t="s">
        <v>2121</v>
      </c>
      <c r="H18" s="67">
        <v>46173.814502314817</v>
      </c>
      <c r="I18" s="75">
        <f t="shared" ca="1" si="0"/>
        <v>6.8541900462951162</v>
      </c>
      <c r="J18" s="61"/>
      <c r="K18" s="61"/>
      <c r="L18" s="61"/>
      <c r="M18" s="61" t="s">
        <v>1686</v>
      </c>
      <c r="N18" s="61" t="s">
        <v>1983</v>
      </c>
      <c r="O18" s="61"/>
      <c r="P18" s="61"/>
      <c r="Q18" s="61"/>
      <c r="R18" s="61" t="s">
        <v>2240</v>
      </c>
      <c r="S18" s="61" t="s">
        <v>71</v>
      </c>
      <c r="T18" s="61" t="s">
        <v>1902</v>
      </c>
      <c r="U18" s="61" t="s">
        <v>1896</v>
      </c>
      <c r="V18" s="61" t="str">
        <f>VLOOKUP(B18,[2]Overall!$A:$D,4,0)</f>
        <v>H-TELI</v>
      </c>
      <c r="W18" s="61" t="str">
        <f>VLOOKUP(B18,[3]Sheet1!$A:$B,2,0)</f>
        <v>Santchou</v>
      </c>
      <c r="X18" s="88" t="str">
        <f t="shared" si="3"/>
        <v>OST</v>
      </c>
      <c r="Y18" s="80" t="str">
        <f t="shared" ca="1" si="1"/>
        <v>T&gt;72H</v>
      </c>
      <c r="Z18" s="61">
        <f t="shared" si="2"/>
        <v>1</v>
      </c>
      <c r="AA18" s="61" t="s">
        <v>1566</v>
      </c>
      <c r="AB18" s="61" t="s">
        <v>1554</v>
      </c>
      <c r="AC18" s="84" t="s">
        <v>2291</v>
      </c>
      <c r="AD18" s="84" t="s">
        <v>1994</v>
      </c>
      <c r="AE18" s="61"/>
    </row>
    <row r="19" spans="1:31" ht="146" x14ac:dyDescent="0.45">
      <c r="A19" s="61" t="s">
        <v>1981</v>
      </c>
      <c r="B19" s="61" t="s">
        <v>1982</v>
      </c>
      <c r="C19" s="65"/>
      <c r="D19" s="61"/>
      <c r="E19" s="61" t="s">
        <v>1988</v>
      </c>
      <c r="F19" s="70" t="s">
        <v>53</v>
      </c>
      <c r="G19" s="70" t="s">
        <v>2121</v>
      </c>
      <c r="H19" s="67">
        <v>46173.819432870368</v>
      </c>
      <c r="I19" s="75">
        <f t="shared" ca="1" si="0"/>
        <v>6.8492594907438615</v>
      </c>
      <c r="J19" s="61"/>
      <c r="K19" s="61"/>
      <c r="L19" s="61"/>
      <c r="M19" s="61" t="s">
        <v>41</v>
      </c>
      <c r="N19" s="61" t="s">
        <v>1989</v>
      </c>
      <c r="O19" s="61"/>
      <c r="P19" s="61"/>
      <c r="Q19" s="61"/>
      <c r="R19" s="61" t="s">
        <v>2240</v>
      </c>
      <c r="S19" s="61" t="s">
        <v>71</v>
      </c>
      <c r="T19" s="61" t="s">
        <v>1902</v>
      </c>
      <c r="U19" s="61" t="s">
        <v>1896</v>
      </c>
      <c r="V19" s="61" t="str">
        <f>VLOOKUP(B19,[2]Overall!$A:$D,4,0)</f>
        <v>H-TELI</v>
      </c>
      <c r="W19" s="61" t="str">
        <f>VLOOKUP(B19,[3]Sheet1!$A:$B,2,0)</f>
        <v>Santchou</v>
      </c>
      <c r="X19" s="88" t="str">
        <f t="shared" si="3"/>
        <v>NRO</v>
      </c>
      <c r="Y19" s="80" t="str">
        <f t="shared" ca="1" si="1"/>
        <v>T&gt;72H</v>
      </c>
      <c r="Z19" s="61">
        <f t="shared" si="2"/>
        <v>1</v>
      </c>
      <c r="AA19" s="61" t="s">
        <v>1566</v>
      </c>
      <c r="AB19" s="61" t="s">
        <v>1554</v>
      </c>
      <c r="AC19" s="84" t="s">
        <v>2291</v>
      </c>
      <c r="AD19" s="84" t="s">
        <v>1994</v>
      </c>
      <c r="AE19" s="61"/>
    </row>
    <row r="20" spans="1:31" ht="160.5" x14ac:dyDescent="0.45">
      <c r="A20" s="61" t="s">
        <v>1881</v>
      </c>
      <c r="B20" s="61" t="s">
        <v>1880</v>
      </c>
      <c r="C20" s="65"/>
      <c r="D20" s="61"/>
      <c r="E20" s="61" t="s">
        <v>1991</v>
      </c>
      <c r="F20" s="70" t="s">
        <v>53</v>
      </c>
      <c r="G20" s="70" t="s">
        <v>2121</v>
      </c>
      <c r="H20" s="67">
        <v>46174.267314814817</v>
      </c>
      <c r="I20" s="75">
        <f t="shared" ca="1" si="0"/>
        <v>6.4013775462954072</v>
      </c>
      <c r="J20" s="61"/>
      <c r="K20" s="61"/>
      <c r="L20" s="61"/>
      <c r="M20" s="61" t="s">
        <v>1769</v>
      </c>
      <c r="N20" s="61" t="s">
        <v>1770</v>
      </c>
      <c r="O20" s="61"/>
      <c r="P20" s="61"/>
      <c r="Q20" s="61"/>
      <c r="R20" s="61" t="s">
        <v>2249</v>
      </c>
      <c r="S20" s="61" t="s">
        <v>71</v>
      </c>
      <c r="T20" s="61" t="s">
        <v>1902</v>
      </c>
      <c r="U20" s="61" t="s">
        <v>1896</v>
      </c>
      <c r="V20" s="61" t="str">
        <f>VLOOKUP(B20,[2]Overall!$A:$D,4,0)</f>
        <v xml:space="preserve">I-ENG </v>
      </c>
      <c r="W20" s="61" t="str">
        <f>VLOOKUP(B20,[3]Sheet1!$A:$B,2,0)</f>
        <v>Fundong</v>
      </c>
      <c r="X20" s="88" t="e">
        <f>LEFT(#REF!,3)</f>
        <v>#REF!</v>
      </c>
      <c r="Y20" s="80" t="str">
        <f t="shared" ca="1" si="1"/>
        <v>T&gt;72H</v>
      </c>
      <c r="Z20" s="61">
        <f t="shared" si="2"/>
        <v>1</v>
      </c>
      <c r="AA20" s="61" t="s">
        <v>1566</v>
      </c>
      <c r="AB20" s="61" t="s">
        <v>1554</v>
      </c>
      <c r="AC20" s="84" t="s">
        <v>2291</v>
      </c>
      <c r="AD20" s="84" t="s">
        <v>1994</v>
      </c>
      <c r="AE20" s="61"/>
    </row>
    <row r="21" spans="1:31" ht="73.5" x14ac:dyDescent="0.45">
      <c r="A21" s="61" t="s">
        <v>1939</v>
      </c>
      <c r="B21" s="61" t="s">
        <v>1940</v>
      </c>
      <c r="C21" s="65"/>
      <c r="D21" s="61"/>
      <c r="E21" s="61" t="s">
        <v>1941</v>
      </c>
      <c r="F21" s="70" t="s">
        <v>53</v>
      </c>
      <c r="G21" s="70" t="s">
        <v>2121</v>
      </c>
      <c r="H21" s="67">
        <v>46174.506562499999</v>
      </c>
      <c r="I21" s="75">
        <f t="shared" ca="1" si="0"/>
        <v>6.1621298611134989</v>
      </c>
      <c r="J21" s="61"/>
      <c r="K21" s="61"/>
      <c r="L21" s="61"/>
      <c r="M21" s="61" t="s">
        <v>38</v>
      </c>
      <c r="N21" s="61" t="s">
        <v>1942</v>
      </c>
      <c r="O21" s="61"/>
      <c r="P21" s="61"/>
      <c r="Q21" s="61"/>
      <c r="R21" s="61" t="s">
        <v>2234</v>
      </c>
      <c r="S21" s="61" t="s">
        <v>32</v>
      </c>
      <c r="T21" s="61" t="s">
        <v>1898</v>
      </c>
      <c r="U21" s="61" t="s">
        <v>1898</v>
      </c>
      <c r="V21" s="61" t="str">
        <f>VLOOKUP(B21,[2]Overall!$A:$D,4,0)</f>
        <v xml:space="preserve">I-ENG </v>
      </c>
      <c r="W21" s="61" t="str">
        <f>VLOOKUP(B21,[3]Sheet1!$A:$B,2,0)</f>
        <v>Widikum</v>
      </c>
      <c r="X21" s="88" t="str">
        <f t="shared" si="3"/>
        <v>NRD</v>
      </c>
      <c r="Y21" s="80" t="str">
        <f t="shared" ca="1" si="1"/>
        <v>T&gt;72H</v>
      </c>
      <c r="Z21" s="61">
        <f t="shared" si="2"/>
        <v>2</v>
      </c>
      <c r="AA21" s="61" t="s">
        <v>1566</v>
      </c>
      <c r="AB21" s="61" t="s">
        <v>1554</v>
      </c>
      <c r="AC21" s="84" t="s">
        <v>2291</v>
      </c>
      <c r="AD21" s="84" t="s">
        <v>1994</v>
      </c>
      <c r="AE21" s="61"/>
    </row>
    <row r="22" spans="1:31" ht="102.5" x14ac:dyDescent="0.45">
      <c r="A22" s="61" t="s">
        <v>1843</v>
      </c>
      <c r="B22" s="61" t="s">
        <v>1844</v>
      </c>
      <c r="C22" s="65"/>
      <c r="D22" s="61"/>
      <c r="E22" s="61" t="s">
        <v>1879</v>
      </c>
      <c r="F22" s="70" t="s">
        <v>53</v>
      </c>
      <c r="G22" s="70" t="s">
        <v>2121</v>
      </c>
      <c r="H22" s="67">
        <v>46175.448993055557</v>
      </c>
      <c r="I22" s="75">
        <f t="shared" ca="1" si="0"/>
        <v>5.2196993055549683</v>
      </c>
      <c r="J22" s="61"/>
      <c r="K22" s="61"/>
      <c r="L22" s="61"/>
      <c r="M22" s="61" t="s">
        <v>38</v>
      </c>
      <c r="N22" s="61" t="s">
        <v>1845</v>
      </c>
      <c r="O22" s="61"/>
      <c r="P22" s="61"/>
      <c r="Q22" s="61"/>
      <c r="R22" s="61" t="s">
        <v>2005</v>
      </c>
      <c r="S22" s="61" t="s">
        <v>75</v>
      </c>
      <c r="T22" s="61" t="s">
        <v>1901</v>
      </c>
      <c r="U22" s="61" t="s">
        <v>1901</v>
      </c>
      <c r="V22" s="61" t="str">
        <f>VLOOKUP(B22,[2]Overall!$A:$D,4,0)</f>
        <v>TELEINFRA NORD</v>
      </c>
      <c r="W22" s="61" t="str">
        <f>VLOOKUP(B22,[3]Sheet1!$A:$B,2,0)</f>
        <v>Mayo-Nonde</v>
      </c>
      <c r="X22" s="88" t="str">
        <f t="shared" si="3"/>
        <v>CTR</v>
      </c>
      <c r="Y22" s="80" t="str">
        <f t="shared" ca="1" si="1"/>
        <v>T&gt;72H</v>
      </c>
      <c r="Z22" s="61">
        <f t="shared" si="2"/>
        <v>3</v>
      </c>
      <c r="AA22" s="61" t="s">
        <v>1566</v>
      </c>
      <c r="AB22" s="61" t="s">
        <v>1554</v>
      </c>
      <c r="AC22" s="84" t="s">
        <v>2291</v>
      </c>
      <c r="AD22" s="84" t="s">
        <v>1994</v>
      </c>
      <c r="AE22" s="61"/>
    </row>
    <row r="23" spans="1:31" ht="117" x14ac:dyDescent="0.45">
      <c r="A23" s="63" t="s">
        <v>1783</v>
      </c>
      <c r="B23" s="63" t="s">
        <v>1784</v>
      </c>
      <c r="C23" s="68"/>
      <c r="D23" s="63"/>
      <c r="E23" s="63" t="s">
        <v>1785</v>
      </c>
      <c r="F23" s="71" t="s">
        <v>53</v>
      </c>
      <c r="G23" s="71" t="s">
        <v>2121</v>
      </c>
      <c r="H23" s="69">
        <v>46175.488310185188</v>
      </c>
      <c r="I23" s="77">
        <f t="shared" ca="1" si="0"/>
        <v>5.1803821759240236</v>
      </c>
      <c r="J23" s="63"/>
      <c r="K23" s="63"/>
      <c r="L23" s="63"/>
      <c r="M23" s="63" t="s">
        <v>1605</v>
      </c>
      <c r="N23" s="63" t="s">
        <v>1786</v>
      </c>
      <c r="O23" s="63"/>
      <c r="P23" s="63" t="s">
        <v>1906</v>
      </c>
      <c r="Q23" s="63"/>
      <c r="R23" s="63" t="s">
        <v>2241</v>
      </c>
      <c r="S23" s="63" t="s">
        <v>71</v>
      </c>
      <c r="T23" s="63" t="s">
        <v>1895</v>
      </c>
      <c r="U23" s="63" t="s">
        <v>1896</v>
      </c>
      <c r="V23" s="63" t="str">
        <f>VLOOKUP(B23,[2]Overall!$A:$D,4,0)</f>
        <v>TELEINFRA CENTRE</v>
      </c>
      <c r="W23" s="63" t="str">
        <f>VLOOKUP(B23,[3]Sheet1!$A:$B,2,0)</f>
        <v>Song-Bong</v>
      </c>
      <c r="X23" s="89" t="str">
        <f t="shared" si="3"/>
        <v>CTR</v>
      </c>
      <c r="Y23" s="81" t="str">
        <f t="shared" ca="1" si="1"/>
        <v>T&gt;72H</v>
      </c>
      <c r="Z23" s="63">
        <f t="shared" si="2"/>
        <v>4</v>
      </c>
      <c r="AA23" s="63" t="s">
        <v>77</v>
      </c>
      <c r="AB23" s="63" t="s">
        <v>1554</v>
      </c>
      <c r="AC23" s="85" t="s">
        <v>2291</v>
      </c>
      <c r="AD23" s="85" t="s">
        <v>1994</v>
      </c>
      <c r="AE23" s="63"/>
    </row>
    <row r="24" spans="1:31" ht="117" x14ac:dyDescent="0.45">
      <c r="A24" s="63" t="s">
        <v>1783</v>
      </c>
      <c r="B24" s="63" t="s">
        <v>1784</v>
      </c>
      <c r="C24" s="68"/>
      <c r="D24" s="63"/>
      <c r="E24" s="63" t="s">
        <v>1787</v>
      </c>
      <c r="F24" s="71" t="s">
        <v>53</v>
      </c>
      <c r="G24" s="71" t="s">
        <v>2121</v>
      </c>
      <c r="H24" s="69">
        <v>46175.502164351848</v>
      </c>
      <c r="I24" s="77">
        <f t="shared" ca="1" si="0"/>
        <v>5.1665280092638568</v>
      </c>
      <c r="J24" s="63"/>
      <c r="K24" s="63"/>
      <c r="L24" s="63"/>
      <c r="M24" s="63" t="s">
        <v>1605</v>
      </c>
      <c r="N24" s="63" t="s">
        <v>1788</v>
      </c>
      <c r="O24" s="63"/>
      <c r="P24" s="63" t="s">
        <v>1906</v>
      </c>
      <c r="Q24" s="63"/>
      <c r="R24" s="63" t="s">
        <v>2241</v>
      </c>
      <c r="S24" s="63" t="s">
        <v>71</v>
      </c>
      <c r="T24" s="63" t="s">
        <v>1895</v>
      </c>
      <c r="U24" s="63" t="s">
        <v>1896</v>
      </c>
      <c r="V24" s="63" t="str">
        <f>VLOOKUP(B24,[2]Overall!$A:$D,4,0)</f>
        <v>TELEINFRA CENTRE</v>
      </c>
      <c r="W24" s="63" t="str">
        <f>VLOOKUP(B24,[3]Sheet1!$A:$B,2,0)</f>
        <v>Song-Bong</v>
      </c>
      <c r="X24" s="89" t="str">
        <f t="shared" si="3"/>
        <v>SUO</v>
      </c>
      <c r="Y24" s="81" t="str">
        <f t="shared" ca="1" si="1"/>
        <v>T&gt;72H</v>
      </c>
      <c r="Z24" s="63">
        <f t="shared" si="2"/>
        <v>2</v>
      </c>
      <c r="AA24" s="63" t="s">
        <v>77</v>
      </c>
      <c r="AB24" s="63" t="s">
        <v>1554</v>
      </c>
      <c r="AC24" s="85" t="s">
        <v>2291</v>
      </c>
      <c r="AD24" s="85" t="s">
        <v>1994</v>
      </c>
      <c r="AE24" s="63"/>
    </row>
    <row r="25" spans="1:31" ht="117" x14ac:dyDescent="0.45">
      <c r="A25" s="61" t="s">
        <v>1831</v>
      </c>
      <c r="B25" s="61" t="s">
        <v>1832</v>
      </c>
      <c r="C25" s="65"/>
      <c r="D25" s="61"/>
      <c r="E25" s="61" t="s">
        <v>1823</v>
      </c>
      <c r="F25" s="70" t="s">
        <v>53</v>
      </c>
      <c r="G25" s="70" t="s">
        <v>2121</v>
      </c>
      <c r="H25" s="67">
        <v>46175.508090277777</v>
      </c>
      <c r="I25" s="75">
        <f t="shared" ca="1" si="0"/>
        <v>5.1606020833351067</v>
      </c>
      <c r="J25" s="61"/>
      <c r="K25" s="61"/>
      <c r="L25" s="61"/>
      <c r="M25" s="61" t="s">
        <v>31</v>
      </c>
      <c r="N25" s="61" t="s">
        <v>1833</v>
      </c>
      <c r="O25" s="61"/>
      <c r="P25" s="61"/>
      <c r="Q25" s="61"/>
      <c r="R25" s="61" t="s">
        <v>2232</v>
      </c>
      <c r="S25" s="61" t="s">
        <v>85</v>
      </c>
      <c r="T25" s="61" t="s">
        <v>1898</v>
      </c>
      <c r="U25" s="61" t="s">
        <v>1898</v>
      </c>
      <c r="V25" s="61" t="str">
        <f>VLOOKUP(B25,[2]Overall!$A:$D,4,0)</f>
        <v>H-TELI</v>
      </c>
      <c r="W25" s="61" t="str">
        <f>VLOOKUP(B25,[3]Sheet1!$A:$B,2,0)</f>
        <v>Kumbe</v>
      </c>
      <c r="X25" s="88" t="e">
        <f>LEFT(#REF!,3)</f>
        <v>#REF!</v>
      </c>
      <c r="Y25" s="80" t="str">
        <f t="shared" ca="1" si="1"/>
        <v>T&gt;72H</v>
      </c>
      <c r="Z25" s="61">
        <f t="shared" si="2"/>
        <v>2</v>
      </c>
      <c r="AA25" s="61" t="s">
        <v>1566</v>
      </c>
      <c r="AB25" s="61" t="s">
        <v>1554</v>
      </c>
      <c r="AC25" s="84" t="s">
        <v>2291</v>
      </c>
      <c r="AD25" s="84" t="s">
        <v>1994</v>
      </c>
      <c r="AE25" s="61"/>
    </row>
    <row r="26" spans="1:31" ht="247.5" x14ac:dyDescent="0.45">
      <c r="A26" s="61" t="s">
        <v>1779</v>
      </c>
      <c r="B26" s="61" t="s">
        <v>1780</v>
      </c>
      <c r="C26" s="65"/>
      <c r="D26" s="61"/>
      <c r="E26" s="61" t="s">
        <v>37</v>
      </c>
      <c r="F26" s="70" t="s">
        <v>53</v>
      </c>
      <c r="G26" s="70" t="s">
        <v>2121</v>
      </c>
      <c r="H26" s="67">
        <v>46175.649039351854</v>
      </c>
      <c r="I26" s="75">
        <f t="shared" ca="1" si="0"/>
        <v>5.019653009258036</v>
      </c>
      <c r="J26" s="61"/>
      <c r="K26" s="61"/>
      <c r="L26" s="61"/>
      <c r="M26" s="61" t="s">
        <v>41</v>
      </c>
      <c r="N26" s="61" t="s">
        <v>1781</v>
      </c>
      <c r="O26" s="61"/>
      <c r="P26" s="61"/>
      <c r="Q26" s="61"/>
      <c r="R26" s="61" t="s">
        <v>2243</v>
      </c>
      <c r="S26" s="61" t="s">
        <v>75</v>
      </c>
      <c r="T26" s="61" t="s">
        <v>1840</v>
      </c>
      <c r="U26" s="61" t="s">
        <v>1840</v>
      </c>
      <c r="V26" s="61" t="str">
        <f>VLOOKUP(B26,[2]Overall!$A:$D,4,0)</f>
        <v>TELEINFRA NORD</v>
      </c>
      <c r="W26" s="61" t="str">
        <f>VLOOKUP(B26,[3]Sheet1!$A:$B,2,0)</f>
        <v>Badjonre</v>
      </c>
      <c r="X26" s="88" t="str">
        <f t="shared" si="3"/>
        <v>NRO</v>
      </c>
      <c r="Y26" s="80" t="str">
        <f t="shared" ca="1" si="1"/>
        <v>T&gt;72H</v>
      </c>
      <c r="Z26" s="61">
        <f t="shared" si="2"/>
        <v>1</v>
      </c>
      <c r="AA26" s="61" t="s">
        <v>1566</v>
      </c>
      <c r="AB26" s="61" t="s">
        <v>1554</v>
      </c>
      <c r="AC26" s="84" t="s">
        <v>2291</v>
      </c>
      <c r="AD26" s="84" t="s">
        <v>1994</v>
      </c>
      <c r="AE26" s="61"/>
    </row>
    <row r="27" spans="1:31" ht="73.5" x14ac:dyDescent="0.45">
      <c r="A27" s="63" t="s">
        <v>1705</v>
      </c>
      <c r="B27" s="63" t="s">
        <v>1706</v>
      </c>
      <c r="C27" s="68"/>
      <c r="D27" s="63"/>
      <c r="E27" s="63" t="s">
        <v>48</v>
      </c>
      <c r="F27" s="71" t="s">
        <v>53</v>
      </c>
      <c r="G27" s="71" t="s">
        <v>2121</v>
      </c>
      <c r="H27" s="69">
        <v>46175.66</v>
      </c>
      <c r="I27" s="77">
        <f t="shared" ca="1" si="0"/>
        <v>5.0086923611088423</v>
      </c>
      <c r="J27" s="63"/>
      <c r="K27" s="63"/>
      <c r="L27" s="63"/>
      <c r="M27" s="63" t="s">
        <v>1707</v>
      </c>
      <c r="N27" s="63" t="s">
        <v>1708</v>
      </c>
      <c r="O27" s="63"/>
      <c r="P27" s="63" t="s">
        <v>2419</v>
      </c>
      <c r="Q27" s="63"/>
      <c r="R27" s="63" t="s">
        <v>2420</v>
      </c>
      <c r="S27" s="71" t="s">
        <v>71</v>
      </c>
      <c r="T27" s="71" t="s">
        <v>1902</v>
      </c>
      <c r="U27" s="69" t="s">
        <v>1896</v>
      </c>
      <c r="V27" s="77" t="str">
        <f>VLOOKUP(B27,[2]Overall!$A:$D,4,0)</f>
        <v xml:space="preserve">I-ENG </v>
      </c>
      <c r="W27" s="63" t="str">
        <f>VLOOKUP(B27,[3]Sheet1!$A:$B,2,0)</f>
        <v>Laising</v>
      </c>
      <c r="X27" s="89" t="str">
        <f t="shared" si="3"/>
        <v>EXN</v>
      </c>
      <c r="Y27" s="81" t="str">
        <f t="shared" ca="1" si="1"/>
        <v>T&gt;72H</v>
      </c>
      <c r="Z27" s="63">
        <f t="shared" si="2"/>
        <v>1</v>
      </c>
      <c r="AA27" s="63" t="s">
        <v>77</v>
      </c>
      <c r="AB27" s="63" t="s">
        <v>1554</v>
      </c>
      <c r="AC27" s="85" t="s">
        <v>2291</v>
      </c>
      <c r="AD27" s="85" t="s">
        <v>1994</v>
      </c>
      <c r="AE27" s="63"/>
    </row>
    <row r="28" spans="1:31" ht="247.5" x14ac:dyDescent="0.45">
      <c r="A28" s="61" t="s">
        <v>1779</v>
      </c>
      <c r="B28" s="61" t="s">
        <v>1780</v>
      </c>
      <c r="C28" s="65"/>
      <c r="D28" s="61"/>
      <c r="E28" s="61" t="s">
        <v>39</v>
      </c>
      <c r="F28" s="70" t="s">
        <v>53</v>
      </c>
      <c r="G28" s="70" t="s">
        <v>2121</v>
      </c>
      <c r="H28" s="67">
        <v>46175.681076388886</v>
      </c>
      <c r="I28" s="75">
        <f t="shared" ca="1" si="0"/>
        <v>4.9876159722261946</v>
      </c>
      <c r="J28" s="61"/>
      <c r="K28" s="61"/>
      <c r="L28" s="61"/>
      <c r="M28" s="61" t="s">
        <v>1707</v>
      </c>
      <c r="N28" s="61" t="s">
        <v>2162</v>
      </c>
      <c r="O28" s="61"/>
      <c r="P28" s="61"/>
      <c r="Q28" s="61"/>
      <c r="R28" s="61" t="s">
        <v>2243</v>
      </c>
      <c r="S28" s="61" t="s">
        <v>75</v>
      </c>
      <c r="T28" s="61" t="s">
        <v>1840</v>
      </c>
      <c r="U28" s="61" t="s">
        <v>1840</v>
      </c>
      <c r="V28" s="61" t="str">
        <f>VLOOKUP(B28,[2]Overall!$A:$D,4,0)</f>
        <v>TELEINFRA NORD</v>
      </c>
      <c r="W28" s="61" t="str">
        <f>VLOOKUP(B28,[3]Sheet1!$A:$B,2,0)</f>
        <v>Badjonre</v>
      </c>
      <c r="X28" s="88" t="str">
        <f t="shared" si="3"/>
        <v>EXN</v>
      </c>
      <c r="Y28" s="80" t="str">
        <f t="shared" ca="1" si="1"/>
        <v>T&gt;72H</v>
      </c>
      <c r="Z28" s="61">
        <f t="shared" si="2"/>
        <v>1</v>
      </c>
      <c r="AA28" s="61" t="s">
        <v>1566</v>
      </c>
      <c r="AB28" s="61" t="s">
        <v>1554</v>
      </c>
      <c r="AC28" s="84" t="s">
        <v>2291</v>
      </c>
      <c r="AD28" s="84" t="s">
        <v>1994</v>
      </c>
      <c r="AE28" s="61"/>
    </row>
    <row r="29" spans="1:31" ht="247.5" x14ac:dyDescent="0.45">
      <c r="A29" s="61" t="s">
        <v>1779</v>
      </c>
      <c r="B29" s="61" t="s">
        <v>1780</v>
      </c>
      <c r="C29" s="65"/>
      <c r="D29" s="61"/>
      <c r="E29" s="61" t="s">
        <v>2163</v>
      </c>
      <c r="F29" s="70" t="s">
        <v>53</v>
      </c>
      <c r="G29" s="70" t="s">
        <v>2121</v>
      </c>
      <c r="H29" s="67">
        <v>46175.683067129627</v>
      </c>
      <c r="I29" s="75">
        <f t="shared" ref="I29:I74" ca="1" si="4">NOW()-H29</f>
        <v>4.9856252314857556</v>
      </c>
      <c r="J29" s="61"/>
      <c r="K29" s="61"/>
      <c r="L29" s="61"/>
      <c r="M29" s="61" t="s">
        <v>31</v>
      </c>
      <c r="N29" s="61" t="s">
        <v>2164</v>
      </c>
      <c r="O29" s="61"/>
      <c r="P29" s="61"/>
      <c r="Q29" s="61"/>
      <c r="R29" s="61" t="s">
        <v>2243</v>
      </c>
      <c r="S29" s="61" t="s">
        <v>75</v>
      </c>
      <c r="T29" s="61" t="s">
        <v>1840</v>
      </c>
      <c r="U29" s="61" t="s">
        <v>1840</v>
      </c>
      <c r="V29" s="61" t="str">
        <f>VLOOKUP(B29,[2]Overall!$A:$D,4,0)</f>
        <v>TELEINFRA NORD</v>
      </c>
      <c r="W29" s="61" t="str">
        <f>VLOOKUP(B29,[3]Sheet1!$A:$B,2,0)</f>
        <v>Badjonre</v>
      </c>
      <c r="X29" s="88" t="str">
        <f t="shared" ref="X29:X74" si="5">LEFT(B30,3)</f>
        <v>EXN</v>
      </c>
      <c r="Y29" s="80" t="str">
        <f t="shared" ref="Y29:Y74" ca="1" si="6">IF(I29 &lt; 1/24, "T&lt;1H", IF(AND(I29&lt;2/24, I29&gt;1/24), "1H&lt;T&lt;2H", IF(AND(I29&lt;4/24, I29&gt;2/24), "2H&lt;T&lt;4H", IF(AND(I29&lt;8/24, I29&gt;4/24), "4H&lt;T&lt;8H", IF(AND(I29&lt;16/24, I29&gt;8/24), "8H&lt;T&lt;16H",IF(AND(I29&lt;24/24, I29&gt;16/24),"16H&lt;T&lt;24H", IF(AND(I29&lt;48/24, I29&gt;24/24),"24H&lt;T&lt;48H",IF(AND(I29&lt;72/24, I29&gt;24/24),"48H&lt;T&lt;72H", "T&gt;72H"))))))))</f>
        <v>T&gt;72H</v>
      </c>
      <c r="Z29" s="61">
        <f t="shared" ref="Z29:Z74" si="7">IF(OR(E29="", E29="affected_cells=unknown"), "", LEN(E29)-LEN(SUBSTITUTE(E29, ",", "")) + LEN(E29)-LEN(SUBSTITUTE(E29, ";", "")) + 1)</f>
        <v>9</v>
      </c>
      <c r="AA29" s="61" t="s">
        <v>1566</v>
      </c>
      <c r="AB29" s="61" t="s">
        <v>1554</v>
      </c>
      <c r="AC29" s="84" t="s">
        <v>2291</v>
      </c>
      <c r="AD29" s="84" t="s">
        <v>1994</v>
      </c>
      <c r="AE29" s="61"/>
    </row>
    <row r="30" spans="1:31" ht="247.5" x14ac:dyDescent="0.45">
      <c r="A30" s="61" t="s">
        <v>1779</v>
      </c>
      <c r="B30" s="61" t="s">
        <v>1780</v>
      </c>
      <c r="C30" s="65"/>
      <c r="D30" s="61"/>
      <c r="E30" s="61" t="s">
        <v>39</v>
      </c>
      <c r="F30" s="70" t="s">
        <v>53</v>
      </c>
      <c r="G30" s="70" t="s">
        <v>2121</v>
      </c>
      <c r="H30" s="67">
        <v>46175.683506944442</v>
      </c>
      <c r="I30" s="75">
        <f t="shared" ca="1" si="4"/>
        <v>4.9851854166699923</v>
      </c>
      <c r="J30" s="61"/>
      <c r="K30" s="61"/>
      <c r="L30" s="61"/>
      <c r="M30" s="61" t="s">
        <v>1769</v>
      </c>
      <c r="N30" s="61" t="s">
        <v>2165</v>
      </c>
      <c r="O30" s="61"/>
      <c r="P30" s="61"/>
      <c r="Q30" s="61"/>
      <c r="R30" s="61" t="s">
        <v>2243</v>
      </c>
      <c r="S30" s="61" t="s">
        <v>75</v>
      </c>
      <c r="T30" s="61" t="s">
        <v>1840</v>
      </c>
      <c r="U30" s="61" t="s">
        <v>1840</v>
      </c>
      <c r="V30" s="61" t="str">
        <f>VLOOKUP(B30,[2]Overall!$A:$D,4,0)</f>
        <v>TELEINFRA NORD</v>
      </c>
      <c r="W30" s="61" t="str">
        <f>VLOOKUP(B30,[3]Sheet1!$A:$B,2,0)</f>
        <v>Badjonre</v>
      </c>
      <c r="X30" s="88" t="str">
        <f t="shared" si="5"/>
        <v>EXN</v>
      </c>
      <c r="Y30" s="80" t="str">
        <f t="shared" ca="1" si="6"/>
        <v>T&gt;72H</v>
      </c>
      <c r="Z30" s="61">
        <f t="shared" si="7"/>
        <v>1</v>
      </c>
      <c r="AA30" s="61" t="s">
        <v>1566</v>
      </c>
      <c r="AB30" s="61" t="s">
        <v>1554</v>
      </c>
      <c r="AC30" s="84" t="s">
        <v>2291</v>
      </c>
      <c r="AD30" s="84" t="s">
        <v>1994</v>
      </c>
      <c r="AE30" s="61"/>
    </row>
    <row r="31" spans="1:31" ht="102.5" x14ac:dyDescent="0.45">
      <c r="A31" s="61" t="s">
        <v>1632</v>
      </c>
      <c r="B31" s="61" t="s">
        <v>1610</v>
      </c>
      <c r="C31" s="65"/>
      <c r="D31" s="61"/>
      <c r="E31" s="61" t="s">
        <v>49</v>
      </c>
      <c r="F31" s="70" t="s">
        <v>53</v>
      </c>
      <c r="G31" s="70" t="s">
        <v>2121</v>
      </c>
      <c r="H31" s="67">
        <v>46175.758483796293</v>
      </c>
      <c r="I31" s="75">
        <f t="shared" ca="1" si="4"/>
        <v>4.910208564819186</v>
      </c>
      <c r="J31" s="61"/>
      <c r="K31" s="61"/>
      <c r="L31" s="61"/>
      <c r="M31" s="61" t="s">
        <v>41</v>
      </c>
      <c r="N31" s="61" t="s">
        <v>1633</v>
      </c>
      <c r="O31" s="61"/>
      <c r="P31" s="61"/>
      <c r="Q31" s="61"/>
      <c r="R31" s="61" t="s">
        <v>2246</v>
      </c>
      <c r="S31" s="61" t="s">
        <v>40</v>
      </c>
      <c r="T31" s="61" t="s">
        <v>1902</v>
      </c>
      <c r="U31" s="61" t="s">
        <v>1896</v>
      </c>
      <c r="V31" s="61" t="str">
        <f>VLOOKUP(B31,[2]Overall!$A:$D,4,0)</f>
        <v>TELEINFRA NORD</v>
      </c>
      <c r="W31" s="61" t="str">
        <f>VLOOKUP(B31,[3]Sheet1!$A:$B,2,0)</f>
        <v>Zileng</v>
      </c>
      <c r="X31" s="88" t="str">
        <f t="shared" si="5"/>
        <v>EXN</v>
      </c>
      <c r="Y31" s="80" t="str">
        <f t="shared" ca="1" si="6"/>
        <v>T&gt;72H</v>
      </c>
      <c r="Z31" s="61">
        <f t="shared" si="7"/>
        <v>1</v>
      </c>
      <c r="AA31" s="61" t="s">
        <v>1566</v>
      </c>
      <c r="AB31" s="61" t="s">
        <v>1554</v>
      </c>
      <c r="AC31" s="84" t="s">
        <v>2291</v>
      </c>
      <c r="AD31" s="84" t="s">
        <v>1994</v>
      </c>
      <c r="AE31" s="61"/>
    </row>
    <row r="32" spans="1:31" ht="88" x14ac:dyDescent="0.45">
      <c r="A32" s="61" t="s">
        <v>1611</v>
      </c>
      <c r="B32" s="61" t="s">
        <v>1610</v>
      </c>
      <c r="C32" s="65"/>
      <c r="D32" s="61"/>
      <c r="E32" s="61" t="s">
        <v>1647</v>
      </c>
      <c r="F32" s="70" t="s">
        <v>53</v>
      </c>
      <c r="G32" s="70" t="s">
        <v>2121</v>
      </c>
      <c r="H32" s="67">
        <v>46175.75886574074</v>
      </c>
      <c r="I32" s="75">
        <f t="shared" ca="1" si="4"/>
        <v>4.909826620372769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2246</v>
      </c>
      <c r="S32" s="61" t="s">
        <v>40</v>
      </c>
      <c r="T32" s="61" t="s">
        <v>1902</v>
      </c>
      <c r="U32" s="61" t="s">
        <v>1896</v>
      </c>
      <c r="V32" s="61" t="str">
        <f>VLOOKUP(B32,[2]Overall!$A:$D,4,0)</f>
        <v>TELEINFRA NORD</v>
      </c>
      <c r="W32" s="61" t="str">
        <f>VLOOKUP(B32,[3]Sheet1!$A:$B,2,0)</f>
        <v>Zileng</v>
      </c>
      <c r="X32" s="88" t="str">
        <f t="shared" si="5"/>
        <v>EXN</v>
      </c>
      <c r="Y32" s="80" t="str">
        <f t="shared" ca="1" si="6"/>
        <v>T&gt;72H</v>
      </c>
      <c r="Z32" s="61">
        <f t="shared" si="7"/>
        <v>1</v>
      </c>
      <c r="AA32" s="61" t="s">
        <v>1566</v>
      </c>
      <c r="AB32" s="61" t="s">
        <v>1554</v>
      </c>
      <c r="AC32" s="84" t="s">
        <v>2291</v>
      </c>
      <c r="AD32" s="84" t="s">
        <v>1994</v>
      </c>
      <c r="AE32" s="61"/>
    </row>
    <row r="33" spans="1:31" ht="88" x14ac:dyDescent="0.45">
      <c r="A33" s="61" t="s">
        <v>1611</v>
      </c>
      <c r="B33" s="61" t="s">
        <v>1610</v>
      </c>
      <c r="C33" s="65"/>
      <c r="D33" s="61"/>
      <c r="E33" s="61" t="s">
        <v>1650</v>
      </c>
      <c r="F33" s="70" t="s">
        <v>53</v>
      </c>
      <c r="G33" s="70" t="s">
        <v>2121</v>
      </c>
      <c r="H33" s="67">
        <v>46175.75886574074</v>
      </c>
      <c r="I33" s="75">
        <f t="shared" ca="1" si="4"/>
        <v>4.909826620372769</v>
      </c>
      <c r="J33" s="61"/>
      <c r="K33" s="61"/>
      <c r="L33" s="61"/>
      <c r="M33" s="61" t="s">
        <v>41</v>
      </c>
      <c r="N33" s="61" t="s">
        <v>42</v>
      </c>
      <c r="O33" s="61"/>
      <c r="P33" s="61"/>
      <c r="Q33" s="61"/>
      <c r="R33" s="61" t="s">
        <v>2246</v>
      </c>
      <c r="S33" s="61" t="s">
        <v>40</v>
      </c>
      <c r="T33" s="61" t="s">
        <v>1902</v>
      </c>
      <c r="U33" s="61" t="s">
        <v>1896</v>
      </c>
      <c r="V33" s="61" t="str">
        <f>VLOOKUP(B33,[2]Overall!$A:$D,4,0)</f>
        <v>TELEINFRA NORD</v>
      </c>
      <c r="W33" s="61" t="str">
        <f>VLOOKUP(B33,[3]Sheet1!$A:$B,2,0)</f>
        <v>Zileng</v>
      </c>
      <c r="X33" s="88" t="str">
        <f t="shared" si="5"/>
        <v>EXN</v>
      </c>
      <c r="Y33" s="80" t="str">
        <f t="shared" ca="1" si="6"/>
        <v>T&gt;72H</v>
      </c>
      <c r="Z33" s="61">
        <f t="shared" si="7"/>
        <v>1</v>
      </c>
      <c r="AA33" s="61" t="s">
        <v>1566</v>
      </c>
      <c r="AB33" s="61" t="s">
        <v>1554</v>
      </c>
      <c r="AC33" s="84" t="s">
        <v>2291</v>
      </c>
      <c r="AD33" s="84" t="s">
        <v>1994</v>
      </c>
      <c r="AE33" s="61"/>
    </row>
    <row r="34" spans="1:31" ht="88" x14ac:dyDescent="0.45">
      <c r="A34" s="61" t="s">
        <v>1611</v>
      </c>
      <c r="B34" s="61" t="s">
        <v>1610</v>
      </c>
      <c r="C34" s="65"/>
      <c r="D34" s="61"/>
      <c r="E34" s="61" t="s">
        <v>1643</v>
      </c>
      <c r="F34" s="70" t="s">
        <v>53</v>
      </c>
      <c r="G34" s="70" t="s">
        <v>2121</v>
      </c>
      <c r="H34" s="67">
        <v>46175.75886574074</v>
      </c>
      <c r="I34" s="75">
        <f t="shared" ca="1" si="4"/>
        <v>4.909826620372769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61" t="s">
        <v>2246</v>
      </c>
      <c r="S34" s="61" t="s">
        <v>40</v>
      </c>
      <c r="T34" s="61" t="s">
        <v>1902</v>
      </c>
      <c r="U34" s="61" t="s">
        <v>1896</v>
      </c>
      <c r="V34" s="61" t="str">
        <f>VLOOKUP(B34,[2]Overall!$A:$D,4,0)</f>
        <v>TELEINFRA NORD</v>
      </c>
      <c r="W34" s="61" t="str">
        <f>VLOOKUP(B34,[3]Sheet1!$A:$B,2,0)</f>
        <v>Zileng</v>
      </c>
      <c r="X34" s="88" t="str">
        <f t="shared" si="5"/>
        <v>EXN</v>
      </c>
      <c r="Y34" s="80" t="str">
        <f t="shared" ca="1" si="6"/>
        <v>T&gt;72H</v>
      </c>
      <c r="Z34" s="61">
        <f t="shared" si="7"/>
        <v>1</v>
      </c>
      <c r="AA34" s="61" t="s">
        <v>1566</v>
      </c>
      <c r="AB34" s="61" t="s">
        <v>1554</v>
      </c>
      <c r="AC34" s="84" t="s">
        <v>2291</v>
      </c>
      <c r="AD34" s="84" t="s">
        <v>1994</v>
      </c>
      <c r="AE34" s="61"/>
    </row>
    <row r="35" spans="1:31" ht="88" x14ac:dyDescent="0.45">
      <c r="A35" s="61" t="s">
        <v>1611</v>
      </c>
      <c r="B35" s="61" t="s">
        <v>1610</v>
      </c>
      <c r="C35" s="65"/>
      <c r="D35" s="61"/>
      <c r="E35" s="61" t="s">
        <v>1645</v>
      </c>
      <c r="F35" s="70" t="s">
        <v>53</v>
      </c>
      <c r="G35" s="70" t="s">
        <v>2121</v>
      </c>
      <c r="H35" s="67">
        <v>46175.75886574074</v>
      </c>
      <c r="I35" s="75">
        <f t="shared" ca="1" si="4"/>
        <v>4.909826620372769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2246</v>
      </c>
      <c r="S35" s="61" t="s">
        <v>40</v>
      </c>
      <c r="T35" s="61" t="s">
        <v>1902</v>
      </c>
      <c r="U35" s="61" t="s">
        <v>1896</v>
      </c>
      <c r="V35" s="61" t="str">
        <f>VLOOKUP(B35,[2]Overall!$A:$D,4,0)</f>
        <v>TELEINFRA NORD</v>
      </c>
      <c r="W35" s="61" t="str">
        <f>VLOOKUP(B35,[3]Sheet1!$A:$B,2,0)</f>
        <v>Zileng</v>
      </c>
      <c r="X35" s="88" t="str">
        <f t="shared" si="5"/>
        <v>EXN</v>
      </c>
      <c r="Y35" s="80" t="str">
        <f t="shared" ca="1" si="6"/>
        <v>T&gt;72H</v>
      </c>
      <c r="Z35" s="61">
        <f t="shared" si="7"/>
        <v>1</v>
      </c>
      <c r="AA35" s="61" t="s">
        <v>1566</v>
      </c>
      <c r="AB35" s="61" t="s">
        <v>1554</v>
      </c>
      <c r="AC35" s="84" t="s">
        <v>2291</v>
      </c>
      <c r="AD35" s="84" t="s">
        <v>1994</v>
      </c>
      <c r="AE35" s="61"/>
    </row>
    <row r="36" spans="1:31" ht="88" x14ac:dyDescent="0.45">
      <c r="A36" s="61" t="s">
        <v>1611</v>
      </c>
      <c r="B36" s="61" t="s">
        <v>1610</v>
      </c>
      <c r="C36" s="65"/>
      <c r="D36" s="61"/>
      <c r="E36" s="61" t="s">
        <v>1649</v>
      </c>
      <c r="F36" s="70" t="s">
        <v>53</v>
      </c>
      <c r="G36" s="70" t="s">
        <v>2121</v>
      </c>
      <c r="H36" s="67">
        <v>46175.75885416667</v>
      </c>
      <c r="I36" s="75">
        <f t="shared" ca="1" si="4"/>
        <v>4.9098381944422727</v>
      </c>
      <c r="J36" s="61"/>
      <c r="K36" s="61"/>
      <c r="L36" s="61"/>
      <c r="M36" s="61" t="s">
        <v>41</v>
      </c>
      <c r="N36" s="61" t="s">
        <v>42</v>
      </c>
      <c r="O36" s="61"/>
      <c r="P36" s="61"/>
      <c r="Q36" s="61"/>
      <c r="R36" s="61" t="s">
        <v>2246</v>
      </c>
      <c r="S36" s="61" t="s">
        <v>40</v>
      </c>
      <c r="T36" s="61" t="s">
        <v>1902</v>
      </c>
      <c r="U36" s="61" t="s">
        <v>1896</v>
      </c>
      <c r="V36" s="61" t="str">
        <f>VLOOKUP(B36,[2]Overall!$A:$D,4,0)</f>
        <v>TELEINFRA NORD</v>
      </c>
      <c r="W36" s="61" t="str">
        <f>VLOOKUP(B36,[3]Sheet1!$A:$B,2,0)</f>
        <v>Zileng</v>
      </c>
      <c r="X36" s="88" t="str">
        <f t="shared" si="5"/>
        <v>EXN</v>
      </c>
      <c r="Y36" s="80" t="str">
        <f t="shared" ca="1" si="6"/>
        <v>T&gt;72H</v>
      </c>
      <c r="Z36" s="61">
        <f t="shared" si="7"/>
        <v>1</v>
      </c>
      <c r="AA36" s="61" t="s">
        <v>1566</v>
      </c>
      <c r="AB36" s="61" t="s">
        <v>1554</v>
      </c>
      <c r="AC36" s="84" t="s">
        <v>2291</v>
      </c>
      <c r="AD36" s="84" t="s">
        <v>1994</v>
      </c>
      <c r="AE36" s="61"/>
    </row>
    <row r="37" spans="1:31" ht="88" x14ac:dyDescent="0.45">
      <c r="A37" s="61" t="s">
        <v>1611</v>
      </c>
      <c r="B37" s="61" t="s">
        <v>1610</v>
      </c>
      <c r="C37" s="65"/>
      <c r="D37" s="61"/>
      <c r="E37" s="61" t="s">
        <v>1644</v>
      </c>
      <c r="F37" s="70" t="s">
        <v>53</v>
      </c>
      <c r="G37" s="70" t="s">
        <v>2121</v>
      </c>
      <c r="H37" s="67">
        <v>46175.75886574074</v>
      </c>
      <c r="I37" s="75">
        <f t="shared" ca="1" si="4"/>
        <v>4.909826620372769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2246</v>
      </c>
      <c r="S37" s="61" t="s">
        <v>40</v>
      </c>
      <c r="T37" s="61" t="s">
        <v>1902</v>
      </c>
      <c r="U37" s="61" t="s">
        <v>1896</v>
      </c>
      <c r="V37" s="61" t="str">
        <f>VLOOKUP(B37,[2]Overall!$A:$D,4,0)</f>
        <v>TELEINFRA NORD</v>
      </c>
      <c r="W37" s="61" t="str">
        <f>VLOOKUP(B37,[3]Sheet1!$A:$B,2,0)</f>
        <v>Zileng</v>
      </c>
      <c r="X37" s="88" t="str">
        <f t="shared" si="5"/>
        <v>EXN</v>
      </c>
      <c r="Y37" s="80" t="str">
        <f t="shared" ca="1" si="6"/>
        <v>T&gt;72H</v>
      </c>
      <c r="Z37" s="61">
        <f t="shared" si="7"/>
        <v>1</v>
      </c>
      <c r="AA37" s="61" t="s">
        <v>1566</v>
      </c>
      <c r="AB37" s="61" t="s">
        <v>1554</v>
      </c>
      <c r="AC37" s="84" t="s">
        <v>2291</v>
      </c>
      <c r="AD37" s="84" t="s">
        <v>1994</v>
      </c>
      <c r="AE37" s="61"/>
    </row>
    <row r="38" spans="1:31" ht="88" x14ac:dyDescent="0.45">
      <c r="A38" s="61" t="s">
        <v>1611</v>
      </c>
      <c r="B38" s="61" t="s">
        <v>1610</v>
      </c>
      <c r="C38" s="65"/>
      <c r="D38" s="61"/>
      <c r="E38" s="61" t="s">
        <v>1648</v>
      </c>
      <c r="F38" s="70" t="s">
        <v>53</v>
      </c>
      <c r="G38" s="70" t="s">
        <v>2121</v>
      </c>
      <c r="H38" s="67">
        <v>46175.75886574074</v>
      </c>
      <c r="I38" s="75">
        <f t="shared" ca="1" si="4"/>
        <v>4.909826620372769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2246</v>
      </c>
      <c r="S38" s="61" t="s">
        <v>40</v>
      </c>
      <c r="T38" s="61" t="s">
        <v>1902</v>
      </c>
      <c r="U38" s="61" t="s">
        <v>1896</v>
      </c>
      <c r="V38" s="61" t="str">
        <f>VLOOKUP(B38,[2]Overall!$A:$D,4,0)</f>
        <v>TELEINFRA NORD</v>
      </c>
      <c r="W38" s="61" t="str">
        <f>VLOOKUP(B38,[3]Sheet1!$A:$B,2,0)</f>
        <v>Zileng</v>
      </c>
      <c r="X38" s="88" t="str">
        <f t="shared" si="5"/>
        <v>EXN</v>
      </c>
      <c r="Y38" s="80" t="str">
        <f t="shared" ca="1" si="6"/>
        <v>T&gt;72H</v>
      </c>
      <c r="Z38" s="61">
        <f t="shared" si="7"/>
        <v>1</v>
      </c>
      <c r="AA38" s="61" t="s">
        <v>1566</v>
      </c>
      <c r="AB38" s="61" t="s">
        <v>1554</v>
      </c>
      <c r="AC38" s="84" t="s">
        <v>2291</v>
      </c>
      <c r="AD38" s="84" t="s">
        <v>1994</v>
      </c>
      <c r="AE38" s="61"/>
    </row>
    <row r="39" spans="1:31" ht="88" x14ac:dyDescent="0.45">
      <c r="A39" s="61" t="s">
        <v>1611</v>
      </c>
      <c r="B39" s="61" t="s">
        <v>1610</v>
      </c>
      <c r="C39" s="65"/>
      <c r="D39" s="61"/>
      <c r="E39" s="61" t="s">
        <v>1642</v>
      </c>
      <c r="F39" s="70" t="s">
        <v>53</v>
      </c>
      <c r="G39" s="70" t="s">
        <v>2121</v>
      </c>
      <c r="H39" s="67">
        <v>46175.75886574074</v>
      </c>
      <c r="I39" s="75">
        <f t="shared" ca="1" si="4"/>
        <v>4.909826620372769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2246</v>
      </c>
      <c r="S39" s="61" t="s">
        <v>40</v>
      </c>
      <c r="T39" s="61" t="s">
        <v>1902</v>
      </c>
      <c r="U39" s="61" t="s">
        <v>1896</v>
      </c>
      <c r="V39" s="61" t="str">
        <f>VLOOKUP(B39,[2]Overall!$A:$D,4,0)</f>
        <v>TELEINFRA NORD</v>
      </c>
      <c r="W39" s="61" t="str">
        <f>VLOOKUP(B39,[3]Sheet1!$A:$B,2,0)</f>
        <v>Zileng</v>
      </c>
      <c r="X39" s="88" t="str">
        <f t="shared" si="5"/>
        <v>EXN</v>
      </c>
      <c r="Y39" s="80" t="str">
        <f t="shared" ca="1" si="6"/>
        <v>T&gt;72H</v>
      </c>
      <c r="Z39" s="61">
        <f t="shared" si="7"/>
        <v>1</v>
      </c>
      <c r="AA39" s="61" t="s">
        <v>1566</v>
      </c>
      <c r="AB39" s="61" t="s">
        <v>1554</v>
      </c>
      <c r="AC39" s="84" t="s">
        <v>2291</v>
      </c>
      <c r="AD39" s="84" t="s">
        <v>1994</v>
      </c>
      <c r="AE39" s="61"/>
    </row>
    <row r="40" spans="1:31" ht="88" x14ac:dyDescent="0.45">
      <c r="A40" s="61" t="s">
        <v>1611</v>
      </c>
      <c r="B40" s="61" t="s">
        <v>1610</v>
      </c>
      <c r="C40" s="65"/>
      <c r="D40" s="61"/>
      <c r="E40" s="61" t="s">
        <v>1646</v>
      </c>
      <c r="F40" s="70" t="s">
        <v>53</v>
      </c>
      <c r="G40" s="70" t="s">
        <v>2121</v>
      </c>
      <c r="H40" s="67">
        <v>46175.75886574074</v>
      </c>
      <c r="I40" s="75">
        <f t="shared" ca="1" si="4"/>
        <v>4.909826620372769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2246</v>
      </c>
      <c r="S40" s="61" t="s">
        <v>40</v>
      </c>
      <c r="T40" s="61" t="s">
        <v>1902</v>
      </c>
      <c r="U40" s="61" t="s">
        <v>1896</v>
      </c>
      <c r="V40" s="61" t="str">
        <f>VLOOKUP(B40,[2]Overall!$A:$D,4,0)</f>
        <v>TELEINFRA NORD</v>
      </c>
      <c r="W40" s="61" t="str">
        <f>VLOOKUP(B40,[3]Sheet1!$A:$B,2,0)</f>
        <v>Zileng</v>
      </c>
      <c r="X40" s="88" t="str">
        <f t="shared" si="5"/>
        <v>EXN</v>
      </c>
      <c r="Y40" s="80" t="str">
        <f t="shared" ca="1" si="6"/>
        <v>T&gt;72H</v>
      </c>
      <c r="Z40" s="61">
        <f t="shared" si="7"/>
        <v>1</v>
      </c>
      <c r="AA40" s="61" t="s">
        <v>1566</v>
      </c>
      <c r="AB40" s="61" t="s">
        <v>1554</v>
      </c>
      <c r="AC40" s="84" t="s">
        <v>2291</v>
      </c>
      <c r="AD40" s="84" t="s">
        <v>1994</v>
      </c>
      <c r="AE40" s="61"/>
    </row>
    <row r="41" spans="1:31" ht="88" x14ac:dyDescent="0.45">
      <c r="A41" s="61" t="s">
        <v>1611</v>
      </c>
      <c r="B41" s="61" t="s">
        <v>1610</v>
      </c>
      <c r="C41" s="65"/>
      <c r="D41" s="61"/>
      <c r="E41" s="61" t="s">
        <v>1615</v>
      </c>
      <c r="F41" s="70" t="s">
        <v>53</v>
      </c>
      <c r="G41" s="70" t="s">
        <v>2121</v>
      </c>
      <c r="H41" s="67">
        <v>46175.759166666663</v>
      </c>
      <c r="I41" s="75">
        <f t="shared" ca="1" si="4"/>
        <v>4.9095256944492576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2246</v>
      </c>
      <c r="S41" s="61" t="s">
        <v>40</v>
      </c>
      <c r="T41" s="61" t="s">
        <v>1902</v>
      </c>
      <c r="U41" s="61" t="s">
        <v>1896</v>
      </c>
      <c r="V41" s="61" t="str">
        <f>VLOOKUP(B41,[2]Overall!$A:$D,4,0)</f>
        <v>TELEINFRA NORD</v>
      </c>
      <c r="W41" s="61" t="str">
        <f>VLOOKUP(B41,[3]Sheet1!$A:$B,2,0)</f>
        <v>Zileng</v>
      </c>
      <c r="X41" s="88" t="str">
        <f t="shared" si="5"/>
        <v>EXN</v>
      </c>
      <c r="Y41" s="80" t="str">
        <f t="shared" ca="1" si="6"/>
        <v>T&gt;72H</v>
      </c>
      <c r="Z41" s="61">
        <f t="shared" si="7"/>
        <v>1</v>
      </c>
      <c r="AA41" s="61" t="s">
        <v>1566</v>
      </c>
      <c r="AB41" s="61" t="s">
        <v>1554</v>
      </c>
      <c r="AC41" s="84" t="s">
        <v>2291</v>
      </c>
      <c r="AD41" s="84" t="s">
        <v>1994</v>
      </c>
      <c r="AE41" s="61"/>
    </row>
    <row r="42" spans="1:31" ht="88" x14ac:dyDescent="0.45">
      <c r="A42" s="61" t="s">
        <v>1611</v>
      </c>
      <c r="B42" s="61" t="s">
        <v>1610</v>
      </c>
      <c r="C42" s="65"/>
      <c r="D42" s="61"/>
      <c r="E42" s="61" t="s">
        <v>1612</v>
      </c>
      <c r="F42" s="70" t="s">
        <v>53</v>
      </c>
      <c r="G42" s="70" t="s">
        <v>2121</v>
      </c>
      <c r="H42" s="67">
        <v>46175.759166666663</v>
      </c>
      <c r="I42" s="75">
        <f t="shared" ca="1" si="4"/>
        <v>4.9095256944492576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2246</v>
      </c>
      <c r="S42" s="61" t="s">
        <v>40</v>
      </c>
      <c r="T42" s="61" t="s">
        <v>1902</v>
      </c>
      <c r="U42" s="61" t="s">
        <v>1896</v>
      </c>
      <c r="V42" s="61" t="str">
        <f>VLOOKUP(B42,[2]Overall!$A:$D,4,0)</f>
        <v>TELEINFRA NORD</v>
      </c>
      <c r="W42" s="61" t="str">
        <f>VLOOKUP(B42,[3]Sheet1!$A:$B,2,0)</f>
        <v>Zileng</v>
      </c>
      <c r="X42" s="88" t="str">
        <f t="shared" si="5"/>
        <v>EXN</v>
      </c>
      <c r="Y42" s="80" t="str">
        <f t="shared" ca="1" si="6"/>
        <v>T&gt;72H</v>
      </c>
      <c r="Z42" s="61">
        <f t="shared" si="7"/>
        <v>1</v>
      </c>
      <c r="AA42" s="61" t="s">
        <v>1566</v>
      </c>
      <c r="AB42" s="61" t="s">
        <v>1554</v>
      </c>
      <c r="AC42" s="84" t="s">
        <v>2291</v>
      </c>
      <c r="AD42" s="84" t="s">
        <v>1994</v>
      </c>
      <c r="AE42" s="61"/>
    </row>
    <row r="43" spans="1:31" ht="88" x14ac:dyDescent="0.45">
      <c r="A43" s="61" t="s">
        <v>1611</v>
      </c>
      <c r="B43" s="61" t="s">
        <v>1610</v>
      </c>
      <c r="C43" s="65"/>
      <c r="D43" s="61"/>
      <c r="E43" s="61" t="s">
        <v>1616</v>
      </c>
      <c r="F43" s="70" t="s">
        <v>53</v>
      </c>
      <c r="G43" s="70" t="s">
        <v>2121</v>
      </c>
      <c r="H43" s="67">
        <v>46175.759166666663</v>
      </c>
      <c r="I43" s="75">
        <f t="shared" ca="1" si="4"/>
        <v>4.9095256944492576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2246</v>
      </c>
      <c r="S43" s="61" t="s">
        <v>40</v>
      </c>
      <c r="T43" s="61" t="s">
        <v>1902</v>
      </c>
      <c r="U43" s="61" t="s">
        <v>1896</v>
      </c>
      <c r="V43" s="61" t="str">
        <f>VLOOKUP(B43,[2]Overall!$A:$D,4,0)</f>
        <v>TELEINFRA NORD</v>
      </c>
      <c r="W43" s="61" t="str">
        <f>VLOOKUP(B43,[3]Sheet1!$A:$B,2,0)</f>
        <v>Zileng</v>
      </c>
      <c r="X43" s="88" t="str">
        <f t="shared" si="5"/>
        <v>EXN</v>
      </c>
      <c r="Y43" s="80" t="str">
        <f t="shared" ca="1" si="6"/>
        <v>T&gt;72H</v>
      </c>
      <c r="Z43" s="61">
        <f t="shared" si="7"/>
        <v>1</v>
      </c>
      <c r="AA43" s="61" t="s">
        <v>1566</v>
      </c>
      <c r="AB43" s="61" t="s">
        <v>1554</v>
      </c>
      <c r="AC43" s="84" t="s">
        <v>2291</v>
      </c>
      <c r="AD43" s="84" t="s">
        <v>1994</v>
      </c>
      <c r="AE43" s="61"/>
    </row>
    <row r="44" spans="1:31" ht="88" x14ac:dyDescent="0.45">
      <c r="A44" s="61" t="s">
        <v>1611</v>
      </c>
      <c r="B44" s="61" t="s">
        <v>1610</v>
      </c>
      <c r="C44" s="65"/>
      <c r="D44" s="61"/>
      <c r="E44" s="61" t="s">
        <v>1613</v>
      </c>
      <c r="F44" s="70" t="s">
        <v>53</v>
      </c>
      <c r="G44" s="70" t="s">
        <v>2121</v>
      </c>
      <c r="H44" s="67">
        <v>46175.759166666663</v>
      </c>
      <c r="I44" s="75">
        <f t="shared" ca="1" si="4"/>
        <v>4.9095256944492576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2246</v>
      </c>
      <c r="S44" s="61" t="s">
        <v>40</v>
      </c>
      <c r="T44" s="61" t="s">
        <v>1902</v>
      </c>
      <c r="U44" s="61" t="s">
        <v>1896</v>
      </c>
      <c r="V44" s="61" t="str">
        <f>VLOOKUP(B44,[2]Overall!$A:$D,4,0)</f>
        <v>TELEINFRA NORD</v>
      </c>
      <c r="W44" s="61" t="str">
        <f>VLOOKUP(B44,[3]Sheet1!$A:$B,2,0)</f>
        <v>Zileng</v>
      </c>
      <c r="X44" s="88" t="str">
        <f t="shared" si="5"/>
        <v>EXN</v>
      </c>
      <c r="Y44" s="80" t="str">
        <f t="shared" ca="1" si="6"/>
        <v>T&gt;72H</v>
      </c>
      <c r="Z44" s="61">
        <f t="shared" si="7"/>
        <v>1</v>
      </c>
      <c r="AA44" s="61" t="s">
        <v>1566</v>
      </c>
      <c r="AB44" s="61" t="s">
        <v>1554</v>
      </c>
      <c r="AC44" s="84" t="s">
        <v>2291</v>
      </c>
      <c r="AD44" s="84" t="s">
        <v>1994</v>
      </c>
      <c r="AE44" s="61"/>
    </row>
    <row r="45" spans="1:31" ht="88" x14ac:dyDescent="0.45">
      <c r="A45" s="61" t="s">
        <v>1611</v>
      </c>
      <c r="B45" s="61" t="s">
        <v>1610</v>
      </c>
      <c r="C45" s="65"/>
      <c r="D45" s="61"/>
      <c r="E45" s="61" t="s">
        <v>1614</v>
      </c>
      <c r="F45" s="70" t="s">
        <v>53</v>
      </c>
      <c r="G45" s="70" t="s">
        <v>2121</v>
      </c>
      <c r="H45" s="67">
        <v>46175.759155092594</v>
      </c>
      <c r="I45" s="75">
        <f t="shared" ca="1" si="4"/>
        <v>4.9095372685187613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2246</v>
      </c>
      <c r="S45" s="61" t="s">
        <v>40</v>
      </c>
      <c r="T45" s="61" t="s">
        <v>1902</v>
      </c>
      <c r="U45" s="61" t="s">
        <v>1896</v>
      </c>
      <c r="V45" s="61" t="str">
        <f>VLOOKUP(B45,[2]Overall!$A:$D,4,0)</f>
        <v>TELEINFRA NORD</v>
      </c>
      <c r="W45" s="61" t="str">
        <f>VLOOKUP(B45,[3]Sheet1!$A:$B,2,0)</f>
        <v>Zileng</v>
      </c>
      <c r="X45" s="88" t="str">
        <f t="shared" si="5"/>
        <v>EXN</v>
      </c>
      <c r="Y45" s="80" t="str">
        <f t="shared" ca="1" si="6"/>
        <v>T&gt;72H</v>
      </c>
      <c r="Z45" s="61">
        <f t="shared" si="7"/>
        <v>1</v>
      </c>
      <c r="AA45" s="61" t="s">
        <v>1566</v>
      </c>
      <c r="AB45" s="61" t="s">
        <v>1554</v>
      </c>
      <c r="AC45" s="84" t="s">
        <v>2291</v>
      </c>
      <c r="AD45" s="84" t="s">
        <v>1994</v>
      </c>
      <c r="AE45" s="61"/>
    </row>
    <row r="46" spans="1:31" ht="88" x14ac:dyDescent="0.45">
      <c r="A46" s="61" t="s">
        <v>1611</v>
      </c>
      <c r="B46" s="61" t="s">
        <v>1610</v>
      </c>
      <c r="C46" s="65"/>
      <c r="D46" s="61"/>
      <c r="E46" s="61" t="s">
        <v>1617</v>
      </c>
      <c r="F46" s="70" t="s">
        <v>53</v>
      </c>
      <c r="G46" s="70" t="s">
        <v>2121</v>
      </c>
      <c r="H46" s="67">
        <v>46175.759166666663</v>
      </c>
      <c r="I46" s="75">
        <f t="shared" ca="1" si="4"/>
        <v>4.9095256944492576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2246</v>
      </c>
      <c r="S46" s="61" t="s">
        <v>40</v>
      </c>
      <c r="T46" s="61" t="s">
        <v>1902</v>
      </c>
      <c r="U46" s="61" t="s">
        <v>1896</v>
      </c>
      <c r="V46" s="61" t="str">
        <f>VLOOKUP(B46,[2]Overall!$A:$D,4,0)</f>
        <v>TELEINFRA NORD</v>
      </c>
      <c r="W46" s="61" t="str">
        <f>VLOOKUP(B46,[3]Sheet1!$A:$B,2,0)</f>
        <v>Zileng</v>
      </c>
      <c r="X46" s="88" t="str">
        <f t="shared" si="5"/>
        <v>OST</v>
      </c>
      <c r="Y46" s="80" t="str">
        <f t="shared" ca="1" si="6"/>
        <v>T&gt;72H</v>
      </c>
      <c r="Z46" s="61">
        <f t="shared" si="7"/>
        <v>1</v>
      </c>
      <c r="AA46" s="61" t="s">
        <v>1566</v>
      </c>
      <c r="AB46" s="61" t="s">
        <v>1554</v>
      </c>
      <c r="AC46" s="84" t="s">
        <v>2291</v>
      </c>
      <c r="AD46" s="84" t="s">
        <v>1994</v>
      </c>
      <c r="AE46" s="61"/>
    </row>
    <row r="47" spans="1:31" ht="117" x14ac:dyDescent="0.45">
      <c r="A47" s="61" t="s">
        <v>1892</v>
      </c>
      <c r="B47" s="61" t="s">
        <v>1893</v>
      </c>
      <c r="C47" s="65"/>
      <c r="D47" s="61"/>
      <c r="E47" s="61" t="s">
        <v>2199</v>
      </c>
      <c r="F47" s="70" t="s">
        <v>53</v>
      </c>
      <c r="G47" s="70" t="s">
        <v>2121</v>
      </c>
      <c r="H47" s="67">
        <v>46175.837418981479</v>
      </c>
      <c r="I47" s="75">
        <f t="shared" ca="1" si="4"/>
        <v>4.8312733796337852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2314</v>
      </c>
      <c r="S47" s="61" t="s">
        <v>85</v>
      </c>
      <c r="T47" s="61" t="s">
        <v>1688</v>
      </c>
      <c r="U47" s="61" t="s">
        <v>2315</v>
      </c>
      <c r="V47" s="61" t="str">
        <f>VLOOKUP(B47,[2]Overall!$A:$D,4,0)</f>
        <v>H-TELI</v>
      </c>
      <c r="W47" s="61" t="str">
        <f>VLOOKUP(B47,[3]Sheet1!$A:$B,2,0)</f>
        <v>Santchou</v>
      </c>
      <c r="X47" s="88" t="str">
        <f t="shared" si="5"/>
        <v>OST</v>
      </c>
      <c r="Y47" s="80" t="str">
        <f t="shared" ca="1" si="6"/>
        <v>T&gt;72H</v>
      </c>
      <c r="Z47" s="61">
        <f t="shared" si="7"/>
        <v>1</v>
      </c>
      <c r="AA47" s="61" t="s">
        <v>1566</v>
      </c>
      <c r="AB47" s="61" t="s">
        <v>1554</v>
      </c>
      <c r="AC47" s="84" t="s">
        <v>2291</v>
      </c>
      <c r="AD47" s="84" t="s">
        <v>1994</v>
      </c>
      <c r="AE47" s="61"/>
    </row>
    <row r="48" spans="1:31" ht="117" x14ac:dyDescent="0.45">
      <c r="A48" s="61" t="s">
        <v>1892</v>
      </c>
      <c r="B48" s="61" t="s">
        <v>1893</v>
      </c>
      <c r="C48" s="65"/>
      <c r="D48" s="61"/>
      <c r="E48" s="61" t="s">
        <v>2200</v>
      </c>
      <c r="F48" s="70" t="s">
        <v>53</v>
      </c>
      <c r="G48" s="70" t="s">
        <v>2121</v>
      </c>
      <c r="H48" s="67">
        <v>46175.837430555555</v>
      </c>
      <c r="I48" s="75">
        <f t="shared" ca="1" si="4"/>
        <v>4.8312618055570056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2314</v>
      </c>
      <c r="S48" s="61" t="s">
        <v>85</v>
      </c>
      <c r="T48" s="61" t="s">
        <v>1688</v>
      </c>
      <c r="U48" s="61" t="s">
        <v>2315</v>
      </c>
      <c r="V48" s="61" t="str">
        <f>VLOOKUP(B48,[2]Overall!$A:$D,4,0)</f>
        <v>H-TELI</v>
      </c>
      <c r="W48" s="61" t="str">
        <f>VLOOKUP(B48,[3]Sheet1!$A:$B,2,0)</f>
        <v>Santchou</v>
      </c>
      <c r="X48" s="88" t="str">
        <f t="shared" si="5"/>
        <v>OST</v>
      </c>
      <c r="Y48" s="80" t="str">
        <f t="shared" ca="1" si="6"/>
        <v>T&gt;72H</v>
      </c>
      <c r="Z48" s="61">
        <f t="shared" si="7"/>
        <v>1</v>
      </c>
      <c r="AA48" s="61" t="s">
        <v>1566</v>
      </c>
      <c r="AB48" s="61" t="s">
        <v>1554</v>
      </c>
      <c r="AC48" s="84" t="s">
        <v>2291</v>
      </c>
      <c r="AD48" s="84" t="s">
        <v>1994</v>
      </c>
      <c r="AE48" s="61"/>
    </row>
    <row r="49" spans="1:31" ht="117" x14ac:dyDescent="0.45">
      <c r="A49" s="61" t="s">
        <v>1892</v>
      </c>
      <c r="B49" s="61" t="s">
        <v>1893</v>
      </c>
      <c r="C49" s="65"/>
      <c r="D49" s="61"/>
      <c r="E49" s="61" t="s">
        <v>2201</v>
      </c>
      <c r="F49" s="70" t="s">
        <v>53</v>
      </c>
      <c r="G49" s="70" t="s">
        <v>2121</v>
      </c>
      <c r="H49" s="67">
        <v>46175.837407407409</v>
      </c>
      <c r="I49" s="75">
        <f t="shared" ca="1" si="4"/>
        <v>4.8312849537032889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2314</v>
      </c>
      <c r="S49" s="61" t="s">
        <v>85</v>
      </c>
      <c r="T49" s="61" t="s">
        <v>1688</v>
      </c>
      <c r="U49" s="61" t="s">
        <v>2315</v>
      </c>
      <c r="V49" s="61" t="str">
        <f>VLOOKUP(B49,[2]Overall!$A:$D,4,0)</f>
        <v>H-TELI</v>
      </c>
      <c r="W49" s="61" t="str">
        <f>VLOOKUP(B49,[3]Sheet1!$A:$B,2,0)</f>
        <v>Santchou</v>
      </c>
      <c r="X49" s="88" t="str">
        <f t="shared" si="5"/>
        <v>OST</v>
      </c>
      <c r="Y49" s="80" t="str">
        <f t="shared" ca="1" si="6"/>
        <v>T&gt;72H</v>
      </c>
      <c r="Z49" s="61">
        <f t="shared" si="7"/>
        <v>1</v>
      </c>
      <c r="AA49" s="61" t="s">
        <v>1566</v>
      </c>
      <c r="AB49" s="61" t="s">
        <v>1554</v>
      </c>
      <c r="AC49" s="84" t="s">
        <v>2291</v>
      </c>
      <c r="AD49" s="84" t="s">
        <v>1994</v>
      </c>
      <c r="AE49" s="61"/>
    </row>
    <row r="50" spans="1:31" ht="117" x14ac:dyDescent="0.45">
      <c r="A50" s="61" t="s">
        <v>1892</v>
      </c>
      <c r="B50" s="61" t="s">
        <v>1893</v>
      </c>
      <c r="C50" s="65"/>
      <c r="D50" s="61"/>
      <c r="E50" s="61" t="s">
        <v>2202</v>
      </c>
      <c r="F50" s="70" t="s">
        <v>53</v>
      </c>
      <c r="G50" s="70" t="s">
        <v>2121</v>
      </c>
      <c r="H50" s="67">
        <v>46175.837430555555</v>
      </c>
      <c r="I50" s="75">
        <f t="shared" ca="1" si="4"/>
        <v>4.8312618055570056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61" t="s">
        <v>2314</v>
      </c>
      <c r="S50" s="61" t="s">
        <v>85</v>
      </c>
      <c r="T50" s="61" t="s">
        <v>1688</v>
      </c>
      <c r="U50" s="61" t="s">
        <v>2315</v>
      </c>
      <c r="V50" s="61" t="str">
        <f>VLOOKUP(B50,[2]Overall!$A:$D,4,0)</f>
        <v>H-TELI</v>
      </c>
      <c r="W50" s="61" t="str">
        <f>VLOOKUP(B50,[3]Sheet1!$A:$B,2,0)</f>
        <v>Santchou</v>
      </c>
      <c r="X50" s="88" t="str">
        <f t="shared" si="5"/>
        <v>OST</v>
      </c>
      <c r="Y50" s="80" t="str">
        <f t="shared" ca="1" si="6"/>
        <v>T&gt;72H</v>
      </c>
      <c r="Z50" s="61">
        <f t="shared" si="7"/>
        <v>1</v>
      </c>
      <c r="AA50" s="61" t="s">
        <v>1566</v>
      </c>
      <c r="AB50" s="61" t="s">
        <v>1554</v>
      </c>
      <c r="AC50" s="84" t="s">
        <v>2291</v>
      </c>
      <c r="AD50" s="84" t="s">
        <v>1994</v>
      </c>
      <c r="AE50" s="61"/>
    </row>
    <row r="51" spans="1:31" ht="117" x14ac:dyDescent="0.45">
      <c r="A51" s="61" t="s">
        <v>1892</v>
      </c>
      <c r="B51" s="61" t="s">
        <v>1893</v>
      </c>
      <c r="C51" s="65"/>
      <c r="D51" s="61"/>
      <c r="E51" s="61" t="s">
        <v>2203</v>
      </c>
      <c r="F51" s="70" t="s">
        <v>53</v>
      </c>
      <c r="G51" s="70" t="s">
        <v>2121</v>
      </c>
      <c r="H51" s="67">
        <v>46175.837430555555</v>
      </c>
      <c r="I51" s="75">
        <f t="shared" ca="1" si="4"/>
        <v>4.8312618055570056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61" t="s">
        <v>2314</v>
      </c>
      <c r="S51" s="61" t="s">
        <v>85</v>
      </c>
      <c r="T51" s="61" t="s">
        <v>1688</v>
      </c>
      <c r="U51" s="61" t="s">
        <v>2315</v>
      </c>
      <c r="V51" s="61" t="str">
        <f>VLOOKUP(B51,[2]Overall!$A:$D,4,0)</f>
        <v>H-TELI</v>
      </c>
      <c r="W51" s="61" t="str">
        <f>VLOOKUP(B51,[3]Sheet1!$A:$B,2,0)</f>
        <v>Santchou</v>
      </c>
      <c r="X51" s="88" t="str">
        <f t="shared" si="5"/>
        <v>OST</v>
      </c>
      <c r="Y51" s="80" t="str">
        <f t="shared" ca="1" si="6"/>
        <v>T&gt;72H</v>
      </c>
      <c r="Z51" s="61">
        <f t="shared" si="7"/>
        <v>1</v>
      </c>
      <c r="AA51" s="61" t="s">
        <v>1566</v>
      </c>
      <c r="AB51" s="61" t="s">
        <v>1554</v>
      </c>
      <c r="AC51" s="84" t="s">
        <v>2291</v>
      </c>
      <c r="AD51" s="84" t="s">
        <v>1994</v>
      </c>
      <c r="AE51" s="61"/>
    </row>
    <row r="52" spans="1:31" ht="117" x14ac:dyDescent="0.45">
      <c r="A52" s="61" t="s">
        <v>1892</v>
      </c>
      <c r="B52" s="61" t="s">
        <v>1893</v>
      </c>
      <c r="C52" s="65"/>
      <c r="D52" s="61"/>
      <c r="E52" s="61" t="s">
        <v>2204</v>
      </c>
      <c r="F52" s="70" t="s">
        <v>53</v>
      </c>
      <c r="G52" s="70" t="s">
        <v>2121</v>
      </c>
      <c r="H52" s="67">
        <v>46175.837430555555</v>
      </c>
      <c r="I52" s="75">
        <f t="shared" ca="1" si="4"/>
        <v>4.8312618055570056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61" t="s">
        <v>2314</v>
      </c>
      <c r="S52" s="61" t="s">
        <v>85</v>
      </c>
      <c r="T52" s="61" t="s">
        <v>1688</v>
      </c>
      <c r="U52" s="61" t="s">
        <v>2315</v>
      </c>
      <c r="V52" s="61" t="str">
        <f>VLOOKUP(B52,[2]Overall!$A:$D,4,0)</f>
        <v>H-TELI</v>
      </c>
      <c r="W52" s="61" t="str">
        <f>VLOOKUP(B52,[3]Sheet1!$A:$B,2,0)</f>
        <v>Santchou</v>
      </c>
      <c r="X52" s="88" t="str">
        <f t="shared" si="5"/>
        <v>NRO</v>
      </c>
      <c r="Y52" s="80" t="str">
        <f t="shared" ca="1" si="6"/>
        <v>T&gt;72H</v>
      </c>
      <c r="Z52" s="61">
        <f t="shared" si="7"/>
        <v>1</v>
      </c>
      <c r="AA52" s="61" t="s">
        <v>1566</v>
      </c>
      <c r="AB52" s="61" t="s">
        <v>1554</v>
      </c>
      <c r="AC52" s="84" t="s">
        <v>2291</v>
      </c>
      <c r="AD52" s="84" t="s">
        <v>1994</v>
      </c>
      <c r="AE52" s="61"/>
    </row>
    <row r="53" spans="1:31" ht="73.5" x14ac:dyDescent="0.45">
      <c r="A53" s="63" t="s">
        <v>2205</v>
      </c>
      <c r="B53" s="63" t="s">
        <v>2206</v>
      </c>
      <c r="C53" s="68"/>
      <c r="D53" s="63"/>
      <c r="E53" s="63" t="s">
        <v>35</v>
      </c>
      <c r="F53" s="71" t="s">
        <v>53</v>
      </c>
      <c r="G53" s="71" t="s">
        <v>2121</v>
      </c>
      <c r="H53" s="69">
        <v>46176.016898148147</v>
      </c>
      <c r="I53" s="77">
        <f t="shared" ca="1" si="4"/>
        <v>4.6517942129648873</v>
      </c>
      <c r="J53" s="63"/>
      <c r="K53" s="63"/>
      <c r="L53" s="63"/>
      <c r="M53" s="63" t="s">
        <v>31</v>
      </c>
      <c r="N53" s="63" t="s">
        <v>2207</v>
      </c>
      <c r="O53" s="63"/>
      <c r="P53" s="63" t="s">
        <v>2421</v>
      </c>
      <c r="Q53" s="63"/>
      <c r="R53" s="63" t="s">
        <v>2313</v>
      </c>
      <c r="S53" s="63" t="s">
        <v>32</v>
      </c>
      <c r="T53" s="63" t="s">
        <v>1898</v>
      </c>
      <c r="U53" s="63" t="s">
        <v>1898</v>
      </c>
      <c r="V53" s="63" t="str">
        <f>VLOOKUP(B53,[2]Overall!$A:$D,4,0)</f>
        <v xml:space="preserve">I-ENG </v>
      </c>
      <c r="W53" s="63" t="str">
        <f>VLOOKUP(B53,[3]Sheet1!$A:$B,2,0)</f>
        <v>Songkolong</v>
      </c>
      <c r="X53" s="89" t="str">
        <f t="shared" si="5"/>
        <v>EXN</v>
      </c>
      <c r="Y53" s="81" t="str">
        <f t="shared" ca="1" si="6"/>
        <v>T&gt;72H</v>
      </c>
      <c r="Z53" s="63">
        <f t="shared" si="7"/>
        <v>3</v>
      </c>
      <c r="AA53" s="63" t="s">
        <v>77</v>
      </c>
      <c r="AB53" s="63" t="s">
        <v>1554</v>
      </c>
      <c r="AC53" s="85" t="s">
        <v>2291</v>
      </c>
      <c r="AD53" s="85" t="s">
        <v>1994</v>
      </c>
      <c r="AE53" s="63"/>
    </row>
    <row r="54" spans="1:31" ht="59" x14ac:dyDescent="0.45">
      <c r="A54" s="61" t="s">
        <v>2257</v>
      </c>
      <c r="B54" s="61" t="s">
        <v>1796</v>
      </c>
      <c r="C54" s="65"/>
      <c r="D54" s="61"/>
      <c r="E54" s="61" t="s">
        <v>1636</v>
      </c>
      <c r="F54" s="70" t="s">
        <v>53</v>
      </c>
      <c r="G54" s="70" t="s">
        <v>2121</v>
      </c>
      <c r="H54" s="67">
        <v>46176.105856481481</v>
      </c>
      <c r="I54" s="75">
        <f t="shared" ca="1" si="4"/>
        <v>4.5628358796311659</v>
      </c>
      <c r="J54" s="61"/>
      <c r="K54" s="61"/>
      <c r="L54" s="61"/>
      <c r="M54" s="61" t="s">
        <v>33</v>
      </c>
      <c r="N54" s="61" t="s">
        <v>2258</v>
      </c>
      <c r="O54" s="61"/>
      <c r="P54" s="61"/>
      <c r="Q54" s="61"/>
      <c r="R54" s="61" t="s">
        <v>2294</v>
      </c>
      <c r="S54" s="61" t="s">
        <v>51</v>
      </c>
      <c r="T54" s="61" t="s">
        <v>1898</v>
      </c>
      <c r="U54" s="61" t="s">
        <v>1898</v>
      </c>
      <c r="V54" s="61" t="str">
        <f>VLOOKUP(B54,[2]Overall!$A:$D,4,0)</f>
        <v>TELEINFRA NORD</v>
      </c>
      <c r="W54" s="61" t="str">
        <f>VLOOKUP(B54,[3]Sheet1!$A:$B,2,0)</f>
        <v>Bagarao</v>
      </c>
      <c r="X54" s="88" t="str">
        <f t="shared" si="5"/>
        <v>SUD</v>
      </c>
      <c r="Y54" s="80" t="str">
        <f t="shared" ca="1" si="6"/>
        <v>T&gt;72H</v>
      </c>
      <c r="Z54" s="61">
        <f t="shared" si="7"/>
        <v>1</v>
      </c>
      <c r="AA54" s="61" t="s">
        <v>1566</v>
      </c>
      <c r="AB54" s="61" t="s">
        <v>1555</v>
      </c>
      <c r="AC54" s="84" t="s">
        <v>2291</v>
      </c>
      <c r="AD54" s="84" t="s">
        <v>1994</v>
      </c>
      <c r="AE54" s="61"/>
    </row>
    <row r="55" spans="1:31" ht="73.5" x14ac:dyDescent="0.45">
      <c r="A55" s="61" t="s">
        <v>2208</v>
      </c>
      <c r="B55" s="61" t="s">
        <v>2209</v>
      </c>
      <c r="C55" s="65"/>
      <c r="D55" s="61"/>
      <c r="E55" s="61" t="s">
        <v>2210</v>
      </c>
      <c r="F55" s="70" t="s">
        <v>53</v>
      </c>
      <c r="G55" s="70" t="s">
        <v>2121</v>
      </c>
      <c r="H55" s="67">
        <v>46176.156597222223</v>
      </c>
      <c r="I55" s="75">
        <f t="shared" ca="1" si="4"/>
        <v>4.5120951388889807</v>
      </c>
      <c r="J55" s="61"/>
      <c r="K55" s="61"/>
      <c r="L55" s="61"/>
      <c r="M55" s="61" t="s">
        <v>1627</v>
      </c>
      <c r="N55" s="61" t="s">
        <v>2211</v>
      </c>
      <c r="O55" s="61"/>
      <c r="P55" s="61"/>
      <c r="Q55" s="61"/>
      <c r="R55" s="61" t="s">
        <v>2330</v>
      </c>
      <c r="S55" s="61" t="s">
        <v>45</v>
      </c>
      <c r="T55" s="61" t="s">
        <v>1754</v>
      </c>
      <c r="U55" s="61" t="s">
        <v>1754</v>
      </c>
      <c r="V55" s="61" t="str">
        <f>VLOOKUP(B55,[2]Overall!$A:$D,4,0)</f>
        <v>TELEINFRA CENTRE</v>
      </c>
      <c r="W55" s="61" t="str">
        <f>VLOOKUP(B55,[3]Sheet1!$A:$B,2,0)</f>
        <v>Mvangan</v>
      </c>
      <c r="X55" s="88" t="str">
        <f t="shared" si="5"/>
        <v>EXN</v>
      </c>
      <c r="Y55" s="80" t="str">
        <f t="shared" ca="1" si="6"/>
        <v>T&gt;72H</v>
      </c>
      <c r="Z55" s="61">
        <f t="shared" si="7"/>
        <v>1</v>
      </c>
      <c r="AA55" s="61" t="s">
        <v>1566</v>
      </c>
      <c r="AB55" s="61" t="s">
        <v>1554</v>
      </c>
      <c r="AC55" s="84" t="s">
        <v>2291</v>
      </c>
      <c r="AD55" s="84" t="s">
        <v>1994</v>
      </c>
      <c r="AE55" s="61"/>
    </row>
    <row r="56" spans="1:31" ht="44.5" x14ac:dyDescent="0.45">
      <c r="A56" s="61" t="s">
        <v>2257</v>
      </c>
      <c r="B56" s="61" t="s">
        <v>1796</v>
      </c>
      <c r="C56" s="65"/>
      <c r="D56" s="61"/>
      <c r="E56" s="61" t="s">
        <v>1641</v>
      </c>
      <c r="F56" s="70" t="s">
        <v>53</v>
      </c>
      <c r="G56" s="70" t="s">
        <v>2121</v>
      </c>
      <c r="H56" s="67">
        <v>46176.241365740738</v>
      </c>
      <c r="I56" s="75">
        <f t="shared" ca="1" si="4"/>
        <v>4.4273266203745152</v>
      </c>
      <c r="J56" s="61"/>
      <c r="K56" s="61"/>
      <c r="L56" s="61"/>
      <c r="M56" s="61" t="s">
        <v>2259</v>
      </c>
      <c r="N56" s="61" t="s">
        <v>2260</v>
      </c>
      <c r="O56" s="61"/>
      <c r="P56" s="61"/>
      <c r="Q56" s="61"/>
      <c r="R56" s="61" t="s">
        <v>2294</v>
      </c>
      <c r="S56" s="61" t="s">
        <v>51</v>
      </c>
      <c r="T56" s="61" t="s">
        <v>1898</v>
      </c>
      <c r="U56" s="61" t="s">
        <v>1898</v>
      </c>
      <c r="V56" s="61" t="str">
        <f>VLOOKUP(B56,[2]Overall!$A:$D,4,0)</f>
        <v>TELEINFRA NORD</v>
      </c>
      <c r="W56" s="61" t="str">
        <f>VLOOKUP(B56,[3]Sheet1!$A:$B,2,0)</f>
        <v>Bagarao</v>
      </c>
      <c r="X56" s="88" t="str">
        <f t="shared" si="5"/>
        <v>EXN</v>
      </c>
      <c r="Y56" s="80" t="str">
        <f t="shared" ca="1" si="6"/>
        <v>T&gt;72H</v>
      </c>
      <c r="Z56" s="61">
        <f t="shared" si="7"/>
        <v>1</v>
      </c>
      <c r="AA56" s="61" t="s">
        <v>1566</v>
      </c>
      <c r="AB56" s="61" t="s">
        <v>1555</v>
      </c>
      <c r="AC56" s="84" t="s">
        <v>2291</v>
      </c>
      <c r="AD56" s="84" t="s">
        <v>1994</v>
      </c>
      <c r="AE56" s="61"/>
    </row>
    <row r="57" spans="1:31" ht="44.5" x14ac:dyDescent="0.45">
      <c r="A57" s="61" t="s">
        <v>2257</v>
      </c>
      <c r="B57" s="61" t="s">
        <v>1796</v>
      </c>
      <c r="C57" s="65"/>
      <c r="D57" s="61"/>
      <c r="E57" s="61" t="s">
        <v>49</v>
      </c>
      <c r="F57" s="70" t="s">
        <v>53</v>
      </c>
      <c r="G57" s="70" t="s">
        <v>2121</v>
      </c>
      <c r="H57" s="67">
        <v>46176.241365740738</v>
      </c>
      <c r="I57" s="75">
        <f t="shared" ca="1" si="4"/>
        <v>4.4273266203745152</v>
      </c>
      <c r="J57" s="61"/>
      <c r="K57" s="61"/>
      <c r="L57" s="61"/>
      <c r="M57" s="61" t="s">
        <v>2259</v>
      </c>
      <c r="N57" s="61" t="s">
        <v>2261</v>
      </c>
      <c r="O57" s="61"/>
      <c r="P57" s="61"/>
      <c r="Q57" s="61"/>
      <c r="R57" s="61" t="s">
        <v>2294</v>
      </c>
      <c r="S57" s="61" t="s">
        <v>51</v>
      </c>
      <c r="T57" s="61" t="s">
        <v>1898</v>
      </c>
      <c r="U57" s="61" t="s">
        <v>1898</v>
      </c>
      <c r="V57" s="61" t="str">
        <f>VLOOKUP(B57,[2]Overall!$A:$D,4,0)</f>
        <v>TELEINFRA NORD</v>
      </c>
      <c r="W57" s="61" t="str">
        <f>VLOOKUP(B57,[3]Sheet1!$A:$B,2,0)</f>
        <v>Bagarao</v>
      </c>
      <c r="X57" s="88" t="str">
        <f t="shared" si="5"/>
        <v>NRO</v>
      </c>
      <c r="Y57" s="80" t="str">
        <f t="shared" ca="1" si="6"/>
        <v>T&gt;72H</v>
      </c>
      <c r="Z57" s="61">
        <f t="shared" si="7"/>
        <v>1</v>
      </c>
      <c r="AA57" s="61" t="s">
        <v>1566</v>
      </c>
      <c r="AB57" s="61" t="s">
        <v>1555</v>
      </c>
      <c r="AC57" s="84" t="s">
        <v>2291</v>
      </c>
      <c r="AD57" s="84" t="s">
        <v>1994</v>
      </c>
      <c r="AE57" s="61"/>
    </row>
    <row r="58" spans="1:31" ht="73.5" x14ac:dyDescent="0.45">
      <c r="A58" s="63" t="s">
        <v>2212</v>
      </c>
      <c r="B58" s="63" t="s">
        <v>2213</v>
      </c>
      <c r="C58" s="68"/>
      <c r="D58" s="63"/>
      <c r="E58" s="63" t="s">
        <v>30</v>
      </c>
      <c r="F58" s="71" t="s">
        <v>53</v>
      </c>
      <c r="G58" s="71" t="s">
        <v>2121</v>
      </c>
      <c r="H58" s="69">
        <v>46176.244189814817</v>
      </c>
      <c r="I58" s="77">
        <f t="shared" ca="1" si="4"/>
        <v>4.4245025462951162</v>
      </c>
      <c r="J58" s="63"/>
      <c r="K58" s="63"/>
      <c r="L58" s="63"/>
      <c r="M58" s="63" t="s">
        <v>31</v>
      </c>
      <c r="N58" s="63" t="s">
        <v>2214</v>
      </c>
      <c r="O58" s="63"/>
      <c r="P58" s="63" t="s">
        <v>1906</v>
      </c>
      <c r="Q58" s="63"/>
      <c r="R58" s="63" t="s">
        <v>2308</v>
      </c>
      <c r="S58" s="63" t="s">
        <v>32</v>
      </c>
      <c r="T58" s="63" t="s">
        <v>1898</v>
      </c>
      <c r="U58" s="63" t="s">
        <v>1898</v>
      </c>
      <c r="V58" s="63" t="e">
        <f>VLOOKUP(B58,[2]Overall!$A:$D,4,0)</f>
        <v>#N/A</v>
      </c>
      <c r="W58" s="63" t="e">
        <f>VLOOKUP(B58,[3]Sheet1!$A:$B,2,0)</f>
        <v>#N/A</v>
      </c>
      <c r="X58" s="89" t="str">
        <f t="shared" si="5"/>
        <v>NRO</v>
      </c>
      <c r="Y58" s="81" t="str">
        <f t="shared" ca="1" si="6"/>
        <v>T&gt;72H</v>
      </c>
      <c r="Z58" s="63">
        <f t="shared" si="7"/>
        <v>1</v>
      </c>
      <c r="AA58" s="63" t="s">
        <v>77</v>
      </c>
      <c r="AB58" s="63" t="s">
        <v>1554</v>
      </c>
      <c r="AC58" s="85" t="s">
        <v>2291</v>
      </c>
      <c r="AD58" s="85" t="s">
        <v>1994</v>
      </c>
      <c r="AE58" s="63"/>
    </row>
    <row r="59" spans="1:31" ht="73.5" x14ac:dyDescent="0.45">
      <c r="A59" s="63" t="s">
        <v>2212</v>
      </c>
      <c r="B59" s="63" t="s">
        <v>2213</v>
      </c>
      <c r="C59" s="68"/>
      <c r="D59" s="63"/>
      <c r="E59" s="63" t="s">
        <v>1823</v>
      </c>
      <c r="F59" s="71" t="s">
        <v>53</v>
      </c>
      <c r="G59" s="71" t="s">
        <v>2121</v>
      </c>
      <c r="H59" s="69">
        <v>46176.24417824074</v>
      </c>
      <c r="I59" s="77">
        <f t="shared" ca="1" si="4"/>
        <v>4.4245141203718958</v>
      </c>
      <c r="J59" s="63"/>
      <c r="K59" s="63"/>
      <c r="L59" s="63"/>
      <c r="M59" s="63" t="s">
        <v>31</v>
      </c>
      <c r="N59" s="63" t="s">
        <v>2215</v>
      </c>
      <c r="O59" s="63"/>
      <c r="P59" s="63" t="s">
        <v>1906</v>
      </c>
      <c r="Q59" s="63"/>
      <c r="R59" s="63" t="s">
        <v>2308</v>
      </c>
      <c r="S59" s="63" t="s">
        <v>32</v>
      </c>
      <c r="T59" s="63" t="s">
        <v>1898</v>
      </c>
      <c r="U59" s="63" t="s">
        <v>1898</v>
      </c>
      <c r="V59" s="63" t="e">
        <f>VLOOKUP(B59,[2]Overall!$A:$D,4,0)</f>
        <v>#N/A</v>
      </c>
      <c r="W59" s="63" t="e">
        <f>VLOOKUP(B59,[3]Sheet1!$A:$B,2,0)</f>
        <v>#N/A</v>
      </c>
      <c r="X59" s="89" t="str">
        <f t="shared" si="5"/>
        <v>ADM</v>
      </c>
      <c r="Y59" s="81" t="str">
        <f t="shared" ca="1" si="6"/>
        <v>T&gt;72H</v>
      </c>
      <c r="Z59" s="63">
        <f t="shared" si="7"/>
        <v>2</v>
      </c>
      <c r="AA59" s="63" t="s">
        <v>77</v>
      </c>
      <c r="AB59" s="63" t="s">
        <v>1554</v>
      </c>
      <c r="AC59" s="85" t="s">
        <v>2291</v>
      </c>
      <c r="AD59" s="85" t="s">
        <v>1994</v>
      </c>
      <c r="AE59" s="63"/>
    </row>
    <row r="60" spans="1:31" ht="378" x14ac:dyDescent="0.45">
      <c r="A60" s="61" t="s">
        <v>1917</v>
      </c>
      <c r="B60" s="61" t="s">
        <v>1711</v>
      </c>
      <c r="C60" s="65"/>
      <c r="D60" s="61"/>
      <c r="E60" s="61" t="s">
        <v>49</v>
      </c>
      <c r="F60" s="70" t="s">
        <v>53</v>
      </c>
      <c r="G60" s="70" t="s">
        <v>2121</v>
      </c>
      <c r="H60" s="67">
        <v>46176.253738425927</v>
      </c>
      <c r="I60" s="75">
        <f t="shared" ca="1" si="4"/>
        <v>4.414953935185622</v>
      </c>
      <c r="J60" s="61"/>
      <c r="K60" s="61"/>
      <c r="L60" s="61"/>
      <c r="M60" s="61" t="s">
        <v>38</v>
      </c>
      <c r="N60" s="61" t="s">
        <v>1918</v>
      </c>
      <c r="O60" s="61"/>
      <c r="P60" s="61"/>
      <c r="Q60" s="61"/>
      <c r="R60" s="61" t="s">
        <v>2010</v>
      </c>
      <c r="S60" s="61" t="s">
        <v>50</v>
      </c>
      <c r="T60" s="61" t="s">
        <v>1688</v>
      </c>
      <c r="U60" s="61" t="e">
        <v>#N/A</v>
      </c>
      <c r="V60" s="61" t="str">
        <f>VLOOKUP(B60,[2]Overall!$A:$D,4,0)</f>
        <v>TELEINFRA NORD</v>
      </c>
      <c r="W60" s="61" t="str">
        <f>VLOOKUP(B60,[3]Sheet1!$A:$B,2,0)</f>
        <v>Martap</v>
      </c>
      <c r="X60" s="88" t="e">
        <f>LEFT(#REF!,3)</f>
        <v>#REF!</v>
      </c>
      <c r="Y60" s="80" t="str">
        <f t="shared" ca="1" si="6"/>
        <v>T&gt;72H</v>
      </c>
      <c r="Z60" s="61">
        <f t="shared" si="7"/>
        <v>1</v>
      </c>
      <c r="AA60" s="61" t="s">
        <v>1566</v>
      </c>
      <c r="AB60" s="61" t="s">
        <v>1554</v>
      </c>
      <c r="AC60" s="84" t="s">
        <v>2291</v>
      </c>
      <c r="AD60" s="84" t="s">
        <v>1994</v>
      </c>
      <c r="AE60" s="61"/>
    </row>
    <row r="61" spans="1:31" ht="73.5" x14ac:dyDescent="0.45">
      <c r="A61" s="63" t="s">
        <v>2225</v>
      </c>
      <c r="B61" s="63" t="s">
        <v>2226</v>
      </c>
      <c r="C61" s="68"/>
      <c r="D61" s="63"/>
      <c r="E61" s="63" t="s">
        <v>39</v>
      </c>
      <c r="F61" s="71" t="s">
        <v>53</v>
      </c>
      <c r="G61" s="71" t="s">
        <v>2121</v>
      </c>
      <c r="H61" s="69">
        <v>46176.343946759262</v>
      </c>
      <c r="I61" s="77">
        <f t="shared" ca="1" si="4"/>
        <v>4.3247456018507364</v>
      </c>
      <c r="J61" s="63"/>
      <c r="K61" s="63"/>
      <c r="L61" s="63"/>
      <c r="M61" s="63" t="s">
        <v>1712</v>
      </c>
      <c r="N61" s="63" t="s">
        <v>2227</v>
      </c>
      <c r="O61" s="63"/>
      <c r="P61" s="63" t="s">
        <v>2310</v>
      </c>
      <c r="Q61" s="63"/>
      <c r="R61" s="63" t="s">
        <v>2309</v>
      </c>
      <c r="S61" s="63" t="s">
        <v>85</v>
      </c>
      <c r="T61" s="63" t="s">
        <v>1898</v>
      </c>
      <c r="U61" s="63" t="s">
        <v>1898</v>
      </c>
      <c r="V61" s="63" t="str">
        <f>VLOOKUP(B61,[2]Overall!$A:$D,4,0)</f>
        <v xml:space="preserve">I-ENG </v>
      </c>
      <c r="W61" s="63" t="str">
        <f>VLOOKUP(B61,[3]Sheet1!$A:$B,2,0)</f>
        <v>Matsari</v>
      </c>
      <c r="X61" s="89" t="str">
        <f t="shared" si="5"/>
        <v>NRD</v>
      </c>
      <c r="Y61" s="81" t="str">
        <f t="shared" ca="1" si="6"/>
        <v>T&gt;72H</v>
      </c>
      <c r="Z61" s="63">
        <f t="shared" si="7"/>
        <v>1</v>
      </c>
      <c r="AA61" s="63" t="s">
        <v>77</v>
      </c>
      <c r="AB61" s="63" t="s">
        <v>1554</v>
      </c>
      <c r="AC61" s="85" t="s">
        <v>2291</v>
      </c>
      <c r="AD61" s="85" t="s">
        <v>1994</v>
      </c>
      <c r="AE61" s="63"/>
    </row>
    <row r="62" spans="1:31" ht="102.5" x14ac:dyDescent="0.45">
      <c r="A62" s="61" t="s">
        <v>2262</v>
      </c>
      <c r="B62" s="61" t="s">
        <v>2263</v>
      </c>
      <c r="C62" s="65"/>
      <c r="D62" s="61"/>
      <c r="E62" s="61" t="s">
        <v>2264</v>
      </c>
      <c r="F62" s="70" t="s">
        <v>53</v>
      </c>
      <c r="G62" s="70" t="s">
        <v>2121</v>
      </c>
      <c r="H62" s="67">
        <v>46176.41369212963</v>
      </c>
      <c r="I62" s="75">
        <f t="shared" ca="1" si="4"/>
        <v>4.2550002314819722</v>
      </c>
      <c r="J62" s="61"/>
      <c r="K62" s="61"/>
      <c r="L62" s="61"/>
      <c r="M62" s="61" t="s">
        <v>31</v>
      </c>
      <c r="N62" s="61" t="s">
        <v>2265</v>
      </c>
      <c r="O62" s="61"/>
      <c r="P62" s="61"/>
      <c r="Q62" s="61"/>
      <c r="R62" s="84" t="s">
        <v>2295</v>
      </c>
      <c r="S62" s="61" t="s">
        <v>40</v>
      </c>
      <c r="T62" s="61" t="s">
        <v>1898</v>
      </c>
      <c r="U62" s="61" t="s">
        <v>1898</v>
      </c>
      <c r="V62" s="61" t="str">
        <f>VLOOKUP(B62,[2]Overall!$A:$D,4,0)</f>
        <v>TELEINFRA NORD</v>
      </c>
      <c r="W62" s="61" t="str">
        <f>VLOOKUP(B62,[3]Sheet1!$A:$B,2,0)</f>
        <v>Ndiam-badji</v>
      </c>
      <c r="X62" s="88" t="str">
        <f t="shared" si="5"/>
        <v>CTR</v>
      </c>
      <c r="Y62" s="80" t="str">
        <f t="shared" ca="1" si="6"/>
        <v>T&gt;72H</v>
      </c>
      <c r="Z62" s="61">
        <f t="shared" si="7"/>
        <v>6</v>
      </c>
      <c r="AA62" s="61" t="s">
        <v>1566</v>
      </c>
      <c r="AB62" s="61" t="s">
        <v>1555</v>
      </c>
      <c r="AC62" s="84" t="s">
        <v>2291</v>
      </c>
      <c r="AD62" s="84" t="s">
        <v>1994</v>
      </c>
      <c r="AE62" s="61"/>
    </row>
    <row r="63" spans="1:31" ht="73.5" x14ac:dyDescent="0.45">
      <c r="A63" s="63" t="s">
        <v>2218</v>
      </c>
      <c r="B63" s="63" t="s">
        <v>2219</v>
      </c>
      <c r="C63" s="68"/>
      <c r="D63" s="63"/>
      <c r="E63" s="63" t="s">
        <v>2223</v>
      </c>
      <c r="F63" s="71" t="s">
        <v>53</v>
      </c>
      <c r="G63" s="71" t="s">
        <v>2121</v>
      </c>
      <c r="H63" s="69">
        <v>46176.444791666669</v>
      </c>
      <c r="I63" s="77">
        <f t="shared" ca="1" si="4"/>
        <v>4.2239006944437278</v>
      </c>
      <c r="J63" s="63"/>
      <c r="K63" s="63"/>
      <c r="L63" s="63"/>
      <c r="M63" s="63" t="s">
        <v>1730</v>
      </c>
      <c r="N63" s="63" t="s">
        <v>2224</v>
      </c>
      <c r="O63" s="63"/>
      <c r="P63" s="63" t="s">
        <v>2299</v>
      </c>
      <c r="Q63" s="63"/>
      <c r="R63" s="63" t="s">
        <v>2298</v>
      </c>
      <c r="S63" s="63" t="s">
        <v>45</v>
      </c>
      <c r="T63" s="63" t="s">
        <v>1898</v>
      </c>
      <c r="U63" s="63" t="s">
        <v>1898</v>
      </c>
      <c r="V63" s="63" t="str">
        <f>VLOOKUP(B63,[2]Overall!$A:$D,4,0)</f>
        <v>TELEINFRA CENTRE</v>
      </c>
      <c r="W63" s="63" t="str">
        <f>VLOOKUP(B63,[3]Sheet1!$A:$B,2,0)</f>
        <v>Evodoula</v>
      </c>
      <c r="X63" s="89" t="str">
        <f t="shared" si="5"/>
        <v>NRD</v>
      </c>
      <c r="Y63" s="81" t="str">
        <f t="shared" ca="1" si="6"/>
        <v>T&gt;72H</v>
      </c>
      <c r="Z63" s="63">
        <f t="shared" si="7"/>
        <v>2</v>
      </c>
      <c r="AA63" s="61" t="s">
        <v>1566</v>
      </c>
      <c r="AB63" s="61" t="s">
        <v>1554</v>
      </c>
      <c r="AC63" s="85" t="s">
        <v>2291</v>
      </c>
      <c r="AD63" s="84" t="s">
        <v>1994</v>
      </c>
      <c r="AE63" s="63"/>
    </row>
    <row r="64" spans="1:31" ht="73.5" x14ac:dyDescent="0.45">
      <c r="A64" s="61" t="s">
        <v>2262</v>
      </c>
      <c r="B64" s="61" t="s">
        <v>2263</v>
      </c>
      <c r="C64" s="65"/>
      <c r="D64" s="61"/>
      <c r="E64" s="61" t="s">
        <v>2264</v>
      </c>
      <c r="F64" s="70" t="s">
        <v>53</v>
      </c>
      <c r="G64" s="70" t="s">
        <v>2121</v>
      </c>
      <c r="H64" s="67">
        <v>46176.450185185182</v>
      </c>
      <c r="I64" s="75">
        <f t="shared" ca="1" si="4"/>
        <v>4.2185071759304265</v>
      </c>
      <c r="J64" s="61"/>
      <c r="K64" s="61"/>
      <c r="L64" s="61"/>
      <c r="M64" s="61" t="s">
        <v>1713</v>
      </c>
      <c r="N64" s="61" t="s">
        <v>2266</v>
      </c>
      <c r="O64" s="61"/>
      <c r="P64" s="61"/>
      <c r="Q64" s="61"/>
      <c r="R64" s="84" t="s">
        <v>2295</v>
      </c>
      <c r="S64" s="61" t="s">
        <v>40</v>
      </c>
      <c r="T64" s="61" t="s">
        <v>1898</v>
      </c>
      <c r="U64" s="61" t="s">
        <v>1898</v>
      </c>
      <c r="V64" s="61" t="str">
        <f>VLOOKUP(B64,[2]Overall!$A:$D,4,0)</f>
        <v>TELEINFRA NORD</v>
      </c>
      <c r="W64" s="61" t="str">
        <f>VLOOKUP(B64,[3]Sheet1!$A:$B,2,0)</f>
        <v>Ndiam-badji</v>
      </c>
      <c r="X64" s="88" t="str">
        <f t="shared" si="5"/>
        <v>EXN</v>
      </c>
      <c r="Y64" s="80" t="str">
        <f t="shared" ca="1" si="6"/>
        <v>T&gt;72H</v>
      </c>
      <c r="Z64" s="61">
        <f t="shared" si="7"/>
        <v>6</v>
      </c>
      <c r="AA64" s="61" t="s">
        <v>1566</v>
      </c>
      <c r="AB64" s="61" t="s">
        <v>1555</v>
      </c>
      <c r="AC64" s="84" t="s">
        <v>2291</v>
      </c>
      <c r="AD64" s="84" t="s">
        <v>1994</v>
      </c>
      <c r="AE64" s="61"/>
    </row>
    <row r="65" spans="1:31" ht="73.5" x14ac:dyDescent="0.45">
      <c r="A65" s="61" t="s">
        <v>2267</v>
      </c>
      <c r="B65" s="61" t="s">
        <v>2268</v>
      </c>
      <c r="C65" s="65"/>
      <c r="D65" s="61"/>
      <c r="E65" s="61" t="s">
        <v>2269</v>
      </c>
      <c r="F65" s="70" t="s">
        <v>53</v>
      </c>
      <c r="G65" s="70" t="s">
        <v>2121</v>
      </c>
      <c r="H65" s="67">
        <v>46176.45103009259</v>
      </c>
      <c r="I65" s="75">
        <f t="shared" ca="1" si="4"/>
        <v>4.2176622685219627</v>
      </c>
      <c r="J65" s="61"/>
      <c r="K65" s="61"/>
      <c r="L65" s="61"/>
      <c r="M65" s="61" t="s">
        <v>31</v>
      </c>
      <c r="N65" s="61" t="s">
        <v>2270</v>
      </c>
      <c r="O65" s="61"/>
      <c r="P65" s="61"/>
      <c r="Q65" s="61"/>
      <c r="R65" s="84" t="s">
        <v>2312</v>
      </c>
      <c r="S65" s="61" t="s">
        <v>40</v>
      </c>
      <c r="T65" s="61" t="s">
        <v>1898</v>
      </c>
      <c r="U65" s="61" t="s">
        <v>1898</v>
      </c>
      <c r="V65" s="61" t="str">
        <f>VLOOKUP(B65,[2]Overall!$A:$D,4,0)</f>
        <v>TELEINFRA NORD</v>
      </c>
      <c r="W65" s="61" t="str">
        <f>VLOOKUP(B65,[3]Sheet1!$A:$B,2,0)</f>
        <v>Dabanga</v>
      </c>
      <c r="X65" s="88" t="str">
        <f t="shared" si="5"/>
        <v>EXN</v>
      </c>
      <c r="Y65" s="80" t="str">
        <f t="shared" ca="1" si="6"/>
        <v>T&gt;72H</v>
      </c>
      <c r="Z65" s="61">
        <f t="shared" si="7"/>
        <v>6</v>
      </c>
      <c r="AA65" s="61" t="s">
        <v>1566</v>
      </c>
      <c r="AB65" s="61" t="s">
        <v>1555</v>
      </c>
      <c r="AC65" s="84" t="s">
        <v>2291</v>
      </c>
      <c r="AD65" s="84" t="s">
        <v>1994</v>
      </c>
      <c r="AE65" s="61"/>
    </row>
    <row r="66" spans="1:31" ht="73.5" x14ac:dyDescent="0.45">
      <c r="A66" s="61" t="s">
        <v>2267</v>
      </c>
      <c r="B66" s="61" t="s">
        <v>2268</v>
      </c>
      <c r="C66" s="65"/>
      <c r="D66" s="61"/>
      <c r="E66" s="61" t="s">
        <v>2271</v>
      </c>
      <c r="F66" s="70" t="s">
        <v>53</v>
      </c>
      <c r="G66" s="70" t="s">
        <v>2121</v>
      </c>
      <c r="H66" s="67">
        <v>46176.45103009259</v>
      </c>
      <c r="I66" s="75">
        <f t="shared" ca="1" si="4"/>
        <v>4.2176622685219627</v>
      </c>
      <c r="J66" s="61"/>
      <c r="K66" s="61"/>
      <c r="L66" s="61"/>
      <c r="M66" s="61" t="s">
        <v>31</v>
      </c>
      <c r="N66" s="61" t="s">
        <v>2272</v>
      </c>
      <c r="O66" s="61"/>
      <c r="P66" s="61"/>
      <c r="Q66" s="61"/>
      <c r="R66" s="84" t="s">
        <v>2312</v>
      </c>
      <c r="S66" s="61" t="s">
        <v>40</v>
      </c>
      <c r="T66" s="61" t="s">
        <v>1898</v>
      </c>
      <c r="U66" s="61" t="s">
        <v>1898</v>
      </c>
      <c r="V66" s="61" t="str">
        <f>VLOOKUP(B66,[2]Overall!$A:$D,4,0)</f>
        <v>TELEINFRA NORD</v>
      </c>
      <c r="W66" s="61" t="str">
        <f>VLOOKUP(B66,[3]Sheet1!$A:$B,2,0)</f>
        <v>Dabanga</v>
      </c>
      <c r="X66" s="88" t="str">
        <f t="shared" si="5"/>
        <v>EXN</v>
      </c>
      <c r="Y66" s="80" t="str">
        <f t="shared" ca="1" si="6"/>
        <v>T&gt;72H</v>
      </c>
      <c r="Z66" s="61">
        <f t="shared" si="7"/>
        <v>4</v>
      </c>
      <c r="AA66" s="61" t="s">
        <v>1566</v>
      </c>
      <c r="AB66" s="61" t="s">
        <v>1555</v>
      </c>
      <c r="AC66" s="84" t="s">
        <v>2291</v>
      </c>
      <c r="AD66" s="84" t="s">
        <v>1994</v>
      </c>
      <c r="AE66" s="61"/>
    </row>
    <row r="67" spans="1:31" ht="73.5" x14ac:dyDescent="0.45">
      <c r="A67" s="61" t="s">
        <v>2273</v>
      </c>
      <c r="B67" s="61" t="s">
        <v>2268</v>
      </c>
      <c r="C67" s="65"/>
      <c r="D67" s="61"/>
      <c r="E67" s="61" t="s">
        <v>47</v>
      </c>
      <c r="F67" s="70" t="s">
        <v>53</v>
      </c>
      <c r="G67" s="70" t="s">
        <v>2121</v>
      </c>
      <c r="H67" s="67">
        <v>46176.45108796296</v>
      </c>
      <c r="I67" s="75">
        <f t="shared" ca="1" si="4"/>
        <v>4.2176043981526163</v>
      </c>
      <c r="J67" s="61"/>
      <c r="K67" s="61"/>
      <c r="L67" s="61"/>
      <c r="M67" s="61" t="s">
        <v>31</v>
      </c>
      <c r="N67" s="61" t="s">
        <v>2274</v>
      </c>
      <c r="O67" s="61"/>
      <c r="P67" s="61"/>
      <c r="Q67" s="61"/>
      <c r="R67" s="84" t="s">
        <v>2312</v>
      </c>
      <c r="S67" s="61" t="s">
        <v>40</v>
      </c>
      <c r="T67" s="61" t="s">
        <v>1898</v>
      </c>
      <c r="U67" s="61" t="s">
        <v>1898</v>
      </c>
      <c r="V67" s="61" t="str">
        <f>VLOOKUP(B67,[2]Overall!$A:$D,4,0)</f>
        <v>TELEINFRA NORD</v>
      </c>
      <c r="W67" s="61" t="str">
        <f>VLOOKUP(B67,[3]Sheet1!$A:$B,2,0)</f>
        <v>Dabanga</v>
      </c>
      <c r="X67" s="88" t="str">
        <f t="shared" si="5"/>
        <v>EXN</v>
      </c>
      <c r="Y67" s="80" t="str">
        <f t="shared" ca="1" si="6"/>
        <v>T&gt;72H</v>
      </c>
      <c r="Z67" s="61">
        <f t="shared" si="7"/>
        <v>3</v>
      </c>
      <c r="AA67" s="61" t="s">
        <v>1566</v>
      </c>
      <c r="AB67" s="61" t="s">
        <v>1555</v>
      </c>
      <c r="AC67" s="84" t="s">
        <v>2291</v>
      </c>
      <c r="AD67" s="84" t="s">
        <v>1994</v>
      </c>
      <c r="AE67" s="61"/>
    </row>
    <row r="68" spans="1:31" ht="73.5" x14ac:dyDescent="0.45">
      <c r="A68" s="61" t="s">
        <v>2273</v>
      </c>
      <c r="B68" s="61" t="s">
        <v>2268</v>
      </c>
      <c r="C68" s="65"/>
      <c r="D68" s="61"/>
      <c r="E68" s="61" t="s">
        <v>35</v>
      </c>
      <c r="F68" s="70" t="s">
        <v>53</v>
      </c>
      <c r="G68" s="70" t="s">
        <v>2121</v>
      </c>
      <c r="H68" s="67">
        <v>46176.45108796296</v>
      </c>
      <c r="I68" s="75">
        <f t="shared" ca="1" si="4"/>
        <v>4.2176043981526163</v>
      </c>
      <c r="J68" s="61"/>
      <c r="K68" s="61"/>
      <c r="L68" s="61"/>
      <c r="M68" s="61" t="s">
        <v>31</v>
      </c>
      <c r="N68" s="61" t="s">
        <v>2275</v>
      </c>
      <c r="O68" s="61"/>
      <c r="P68" s="61"/>
      <c r="Q68" s="61"/>
      <c r="R68" s="84" t="s">
        <v>2312</v>
      </c>
      <c r="S68" s="61" t="s">
        <v>40</v>
      </c>
      <c r="T68" s="61" t="s">
        <v>1898</v>
      </c>
      <c r="U68" s="61" t="s">
        <v>1898</v>
      </c>
      <c r="V68" s="61" t="str">
        <f>VLOOKUP(B68,[2]Overall!$A:$D,4,0)</f>
        <v>TELEINFRA NORD</v>
      </c>
      <c r="W68" s="61" t="str">
        <f>VLOOKUP(B68,[3]Sheet1!$A:$B,2,0)</f>
        <v>Dabanga</v>
      </c>
      <c r="X68" s="88" t="str">
        <f t="shared" si="5"/>
        <v>LIT</v>
      </c>
      <c r="Y68" s="80" t="str">
        <f t="shared" ca="1" si="6"/>
        <v>T&gt;72H</v>
      </c>
      <c r="Z68" s="61">
        <f t="shared" si="7"/>
        <v>3</v>
      </c>
      <c r="AA68" s="61" t="s">
        <v>1566</v>
      </c>
      <c r="AB68" s="61" t="s">
        <v>1555</v>
      </c>
      <c r="AC68" s="84" t="s">
        <v>2291</v>
      </c>
      <c r="AD68" s="84" t="s">
        <v>1994</v>
      </c>
      <c r="AE68" s="61"/>
    </row>
    <row r="69" spans="1:31" ht="73.5" x14ac:dyDescent="0.45">
      <c r="A69" s="61" t="s">
        <v>1877</v>
      </c>
      <c r="B69" s="61" t="s">
        <v>1878</v>
      </c>
      <c r="C69" s="65"/>
      <c r="D69" s="61"/>
      <c r="E69" s="61" t="s">
        <v>49</v>
      </c>
      <c r="F69" s="70" t="s">
        <v>53</v>
      </c>
      <c r="G69" s="70" t="s">
        <v>2121</v>
      </c>
      <c r="H69" s="67">
        <v>46176.473553240743</v>
      </c>
      <c r="I69" s="75">
        <f t="shared" ca="1" si="4"/>
        <v>4.1951391203692765</v>
      </c>
      <c r="J69" s="61"/>
      <c r="K69" s="61"/>
      <c r="L69" s="61"/>
      <c r="M69" s="61" t="s">
        <v>38</v>
      </c>
      <c r="N69" s="61" t="s">
        <v>1943</v>
      </c>
      <c r="O69" s="61"/>
      <c r="P69" s="61"/>
      <c r="Q69" s="61"/>
      <c r="R69" s="84" t="s">
        <v>2311</v>
      </c>
      <c r="S69" s="61" t="s">
        <v>85</v>
      </c>
      <c r="T69" s="61" t="s">
        <v>1898</v>
      </c>
      <c r="U69" s="61" t="s">
        <v>1898</v>
      </c>
      <c r="V69" s="61" t="str">
        <f>VLOOKUP(B69,[2]Overall!$A:$D,4,0)</f>
        <v>H-TELI</v>
      </c>
      <c r="W69" s="61" t="str">
        <f>VLOOKUP(B69,[3]Sheet1!$A:$B,2,0)</f>
        <v>Massock-Songloulou</v>
      </c>
      <c r="X69" s="88" t="e">
        <f>LEFT(#REF!,3)</f>
        <v>#REF!</v>
      </c>
      <c r="Y69" s="80" t="str">
        <f t="shared" ca="1" si="6"/>
        <v>T&gt;72H</v>
      </c>
      <c r="Z69" s="61">
        <f t="shared" si="7"/>
        <v>1</v>
      </c>
      <c r="AA69" s="61" t="s">
        <v>1566</v>
      </c>
      <c r="AB69" s="61" t="s">
        <v>1554</v>
      </c>
      <c r="AC69" s="84" t="s">
        <v>2291</v>
      </c>
      <c r="AD69" s="84" t="s">
        <v>1994</v>
      </c>
      <c r="AE69" s="61"/>
    </row>
    <row r="70" spans="1:31" ht="73.5" x14ac:dyDescent="0.45">
      <c r="A70" s="61" t="s">
        <v>2276</v>
      </c>
      <c r="B70" s="61" t="s">
        <v>2277</v>
      </c>
      <c r="C70" s="65"/>
      <c r="D70" s="61"/>
      <c r="E70" s="61" t="s">
        <v>2278</v>
      </c>
      <c r="F70" s="70" t="s">
        <v>53</v>
      </c>
      <c r="G70" s="70" t="s">
        <v>2121</v>
      </c>
      <c r="H70" s="67">
        <v>46176.504942129628</v>
      </c>
      <c r="I70" s="75">
        <f t="shared" ca="1" si="4"/>
        <v>4.1637502314843005</v>
      </c>
      <c r="J70" s="61"/>
      <c r="K70" s="61"/>
      <c r="L70" s="61"/>
      <c r="M70" s="61" t="s">
        <v>38</v>
      </c>
      <c r="N70" s="61" t="s">
        <v>2279</v>
      </c>
      <c r="O70" s="61"/>
      <c r="P70" s="61"/>
      <c r="Q70" s="61"/>
      <c r="R70" s="61" t="s">
        <v>2294</v>
      </c>
      <c r="S70" s="61" t="s">
        <v>51</v>
      </c>
      <c r="T70" s="61" t="s">
        <v>1898</v>
      </c>
      <c r="U70" s="61" t="s">
        <v>1898</v>
      </c>
      <c r="V70" s="61" t="str">
        <f>VLOOKUP(B70,[2]Overall!$A:$D,4,0)</f>
        <v xml:space="preserve">I-ENG </v>
      </c>
      <c r="W70" s="61" t="str">
        <f>VLOOKUP(B70,[3]Sheet1!$A:$B,2,0)</f>
        <v>Babanki</v>
      </c>
      <c r="X70" s="88" t="str">
        <f t="shared" si="5"/>
        <v>NRO</v>
      </c>
      <c r="Y70" s="80" t="str">
        <f t="shared" ca="1" si="6"/>
        <v>T&gt;72H</v>
      </c>
      <c r="Z70" s="61">
        <f t="shared" si="7"/>
        <v>2</v>
      </c>
      <c r="AA70" s="61" t="s">
        <v>1566</v>
      </c>
      <c r="AB70" s="61" t="s">
        <v>1555</v>
      </c>
      <c r="AC70" s="84" t="s">
        <v>2291</v>
      </c>
      <c r="AD70" s="84" t="s">
        <v>1994</v>
      </c>
      <c r="AE70" s="61"/>
    </row>
    <row r="71" spans="1:31" ht="117" x14ac:dyDescent="0.45">
      <c r="A71" s="63" t="s">
        <v>1678</v>
      </c>
      <c r="B71" s="63" t="s">
        <v>1679</v>
      </c>
      <c r="C71" s="68"/>
      <c r="D71" s="63"/>
      <c r="E71" s="63" t="s">
        <v>47</v>
      </c>
      <c r="F71" s="71" t="s">
        <v>53</v>
      </c>
      <c r="G71" s="71" t="s">
        <v>2121</v>
      </c>
      <c r="H71" s="69">
        <v>46176.516180555554</v>
      </c>
      <c r="I71" s="77">
        <f t="shared" ca="1" si="4"/>
        <v>4.1525118055578787</v>
      </c>
      <c r="J71" s="63"/>
      <c r="K71" s="63"/>
      <c r="L71" s="63"/>
      <c r="M71" s="63" t="s">
        <v>31</v>
      </c>
      <c r="N71" s="63" t="s">
        <v>2280</v>
      </c>
      <c r="O71" s="63"/>
      <c r="P71" s="63" t="s">
        <v>2304</v>
      </c>
      <c r="Q71" s="63"/>
      <c r="R71" s="63" t="s">
        <v>2303</v>
      </c>
      <c r="S71" s="63" t="s">
        <v>32</v>
      </c>
      <c r="T71" s="63" t="s">
        <v>2145</v>
      </c>
      <c r="U71" s="63" t="s">
        <v>2145</v>
      </c>
      <c r="V71" s="63" t="str">
        <f>VLOOKUP(B71,[2]Overall!$A:$D,4,0)</f>
        <v xml:space="preserve">I-ENG </v>
      </c>
      <c r="W71" s="63" t="str">
        <f>VLOOKUP(B71,[3]Sheet1!$A:$B,2,0)</f>
        <v>Babessi</v>
      </c>
      <c r="X71" s="89" t="str">
        <f t="shared" si="5"/>
        <v>NRO</v>
      </c>
      <c r="Y71" s="81" t="str">
        <f t="shared" ca="1" si="6"/>
        <v>T&gt;72H</v>
      </c>
      <c r="Z71" s="63">
        <f t="shared" si="7"/>
        <v>3</v>
      </c>
      <c r="AA71" s="63" t="s">
        <v>77</v>
      </c>
      <c r="AB71" s="63" t="s">
        <v>1554</v>
      </c>
      <c r="AC71" s="85" t="s">
        <v>2291</v>
      </c>
      <c r="AD71" s="85" t="s">
        <v>1994</v>
      </c>
      <c r="AE71" s="63"/>
    </row>
    <row r="72" spans="1:31" ht="117" x14ac:dyDescent="0.45">
      <c r="A72" s="63" t="s">
        <v>2281</v>
      </c>
      <c r="B72" s="63" t="s">
        <v>1679</v>
      </c>
      <c r="C72" s="68"/>
      <c r="D72" s="63"/>
      <c r="E72" s="63" t="s">
        <v>2282</v>
      </c>
      <c r="F72" s="71" t="s">
        <v>53</v>
      </c>
      <c r="G72" s="71" t="s">
        <v>2121</v>
      </c>
      <c r="H72" s="69">
        <v>46176.516226851854</v>
      </c>
      <c r="I72" s="77">
        <f t="shared" ca="1" si="4"/>
        <v>4.152465509258036</v>
      </c>
      <c r="J72" s="63"/>
      <c r="K72" s="63"/>
      <c r="L72" s="63"/>
      <c r="M72" s="63" t="s">
        <v>31</v>
      </c>
      <c r="N72" s="63" t="s">
        <v>2283</v>
      </c>
      <c r="O72" s="63"/>
      <c r="P72" s="63" t="s">
        <v>2304</v>
      </c>
      <c r="Q72" s="63"/>
      <c r="R72" s="63" t="s">
        <v>2303</v>
      </c>
      <c r="S72" s="63" t="s">
        <v>32</v>
      </c>
      <c r="T72" s="63" t="s">
        <v>2145</v>
      </c>
      <c r="U72" s="63" t="s">
        <v>2145</v>
      </c>
      <c r="V72" s="63" t="str">
        <f>VLOOKUP(B72,[2]Overall!$A:$D,4,0)</f>
        <v xml:space="preserve">I-ENG </v>
      </c>
      <c r="W72" s="63" t="str">
        <f>VLOOKUP(B72,[3]Sheet1!$A:$B,2,0)</f>
        <v>Babessi</v>
      </c>
      <c r="X72" s="89" t="str">
        <f t="shared" si="5"/>
        <v>NRO</v>
      </c>
      <c r="Y72" s="81" t="str">
        <f t="shared" ca="1" si="6"/>
        <v>T&gt;72H</v>
      </c>
      <c r="Z72" s="63">
        <f t="shared" si="7"/>
        <v>9</v>
      </c>
      <c r="AA72" s="63" t="s">
        <v>77</v>
      </c>
      <c r="AB72" s="63" t="s">
        <v>1554</v>
      </c>
      <c r="AC72" s="85" t="s">
        <v>2291</v>
      </c>
      <c r="AD72" s="85" t="s">
        <v>1994</v>
      </c>
      <c r="AE72" s="63"/>
    </row>
    <row r="73" spans="1:31" ht="117" x14ac:dyDescent="0.45">
      <c r="A73" s="63" t="s">
        <v>2281</v>
      </c>
      <c r="B73" s="63" t="s">
        <v>1679</v>
      </c>
      <c r="C73" s="68"/>
      <c r="D73" s="63"/>
      <c r="E73" s="63" t="s">
        <v>2284</v>
      </c>
      <c r="F73" s="71" t="s">
        <v>53</v>
      </c>
      <c r="G73" s="71" t="s">
        <v>2121</v>
      </c>
      <c r="H73" s="69">
        <v>46176.516226851854</v>
      </c>
      <c r="I73" s="77">
        <f t="shared" ca="1" si="4"/>
        <v>4.152465509258036</v>
      </c>
      <c r="J73" s="63"/>
      <c r="K73" s="63"/>
      <c r="L73" s="63"/>
      <c r="M73" s="63" t="s">
        <v>31</v>
      </c>
      <c r="N73" s="63" t="s">
        <v>2285</v>
      </c>
      <c r="O73" s="63"/>
      <c r="P73" s="63" t="s">
        <v>2304</v>
      </c>
      <c r="Q73" s="63"/>
      <c r="R73" s="63" t="s">
        <v>2303</v>
      </c>
      <c r="S73" s="63" t="s">
        <v>32</v>
      </c>
      <c r="T73" s="63" t="s">
        <v>2145</v>
      </c>
      <c r="U73" s="63" t="s">
        <v>2145</v>
      </c>
      <c r="V73" s="63" t="str">
        <f>VLOOKUP(B73,[2]Overall!$A:$D,4,0)</f>
        <v xml:space="preserve">I-ENG </v>
      </c>
      <c r="W73" s="63" t="str">
        <f>VLOOKUP(B73,[3]Sheet1!$A:$B,2,0)</f>
        <v>Babessi</v>
      </c>
      <c r="X73" s="89" t="e">
        <f>LEFT(#REF!,3)</f>
        <v>#REF!</v>
      </c>
      <c r="Y73" s="81" t="str">
        <f t="shared" ca="1" si="6"/>
        <v>T&gt;72H</v>
      </c>
      <c r="Z73" s="63">
        <f t="shared" si="7"/>
        <v>4</v>
      </c>
      <c r="AA73" s="63" t="s">
        <v>77</v>
      </c>
      <c r="AB73" s="63" t="s">
        <v>1554</v>
      </c>
      <c r="AC73" s="85" t="s">
        <v>2291</v>
      </c>
      <c r="AD73" s="85" t="s">
        <v>1994</v>
      </c>
      <c r="AE73" s="63"/>
    </row>
    <row r="74" spans="1:31" ht="73.5" x14ac:dyDescent="0.45">
      <c r="A74" s="63" t="s">
        <v>2286</v>
      </c>
      <c r="B74" s="63" t="s">
        <v>2287</v>
      </c>
      <c r="C74" s="68"/>
      <c r="D74" s="63"/>
      <c r="E74" s="63" t="s">
        <v>2288</v>
      </c>
      <c r="F74" s="71" t="s">
        <v>53</v>
      </c>
      <c r="G74" s="71" t="s">
        <v>2121</v>
      </c>
      <c r="H74" s="69">
        <v>46176.538587962961</v>
      </c>
      <c r="I74" s="77">
        <f t="shared" ca="1" si="4"/>
        <v>4.1301043981511611</v>
      </c>
      <c r="J74" s="63"/>
      <c r="K74" s="63"/>
      <c r="L74" s="63"/>
      <c r="M74" s="63" t="s">
        <v>2289</v>
      </c>
      <c r="N74" s="63" t="s">
        <v>2290</v>
      </c>
      <c r="O74" s="63"/>
      <c r="P74" s="63"/>
      <c r="Q74" s="63"/>
      <c r="R74" s="63" t="s">
        <v>2294</v>
      </c>
      <c r="S74" s="63" t="s">
        <v>51</v>
      </c>
      <c r="T74" s="63" t="s">
        <v>1898</v>
      </c>
      <c r="U74" s="63" t="s">
        <v>1898</v>
      </c>
      <c r="V74" s="63" t="str">
        <f>VLOOKUP(B74,[2]Overall!$A:$D,4,0)</f>
        <v>TELEINFRA NORD</v>
      </c>
      <c r="W74" s="63" t="str">
        <f>VLOOKUP(B74,[3]Sheet1!$A:$B,2,0)</f>
        <v>Mokola</v>
      </c>
      <c r="X74" s="89" t="str">
        <f t="shared" si="5"/>
        <v/>
      </c>
      <c r="Y74" s="81" t="str">
        <f t="shared" ca="1" si="6"/>
        <v>T&gt;72H</v>
      </c>
      <c r="Z74" s="63">
        <f t="shared" si="7"/>
        <v>6</v>
      </c>
      <c r="AA74" s="63" t="s">
        <v>77</v>
      </c>
      <c r="AB74" s="63" t="s">
        <v>1555</v>
      </c>
      <c r="AC74" s="85" t="s">
        <v>2291</v>
      </c>
      <c r="AD74" s="85" t="s">
        <v>1994</v>
      </c>
      <c r="AE74" s="63"/>
    </row>
  </sheetData>
  <autoFilter ref="A1:AE74" xr:uid="{80ECDAAE-42AD-4953-8607-EA4A7513379E}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1EA2-EE4C-4F8C-B9E3-CB363B1672E8}">
  <sheetPr codeName="Sheet36">
    <tabColor rgb="FFFFFF00"/>
  </sheetPr>
  <dimension ref="A1:AE76"/>
  <sheetViews>
    <sheetView zoomScale="53" zoomScaleNormal="53" workbookViewId="0">
      <pane xSplit="6" topLeftCell="P1" activePane="topRight" state="frozen"/>
      <selection activeCell="AB4" sqref="AB4"/>
      <selection pane="topRight" activeCell="R37" sqref="R37:U37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79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78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378" x14ac:dyDescent="0.4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ca="1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2010</v>
      </c>
      <c r="S2" s="61" t="s">
        <v>50</v>
      </c>
      <c r="T2" s="61" t="s">
        <v>1688</v>
      </c>
      <c r="U2" s="61" t="e">
        <v>#N/A</v>
      </c>
      <c r="V2" s="61" t="str">
        <f>VLOOKUP(B2,[2]Overall!$A:$D,4,0)</f>
        <v>TELEINFRA NORD</v>
      </c>
      <c r="W2" s="61" t="str">
        <f>VLOOKUP(B2,[3]Sheet1!$A:$B,2,0)</f>
        <v>Martap</v>
      </c>
      <c r="X2" s="88" t="str">
        <f t="shared" ref="X2:X65" si="0">LEFT(B3,3)</f>
        <v>EXN</v>
      </c>
      <c r="Y2" s="80" t="str">
        <f t="shared" ref="Y2:Y19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19" si="2">IF(OR(E2="", E2="affected_cells=unknown"), "", LEN(E2)-LEN(SUBSTITUTE(E2, ",", "")) + LEN(E2)-LEN(SUBSTITUTE(E2, ";", "")) + 1)</f>
        <v>1</v>
      </c>
      <c r="AA2" s="61" t="s">
        <v>1566</v>
      </c>
      <c r="AB2" s="84" t="s">
        <v>1554</v>
      </c>
      <c r="AC2" s="84" t="s">
        <v>2329</v>
      </c>
      <c r="AD2" s="84" t="s">
        <v>1994</v>
      </c>
      <c r="AE2" s="61"/>
    </row>
    <row r="3" spans="1:31" ht="291" x14ac:dyDescent="0.4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ref="I3:I66" ca="1" si="3">NOW()-H3</f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2252</v>
      </c>
      <c r="S3" s="61" t="s">
        <v>40</v>
      </c>
      <c r="T3" s="61" t="s">
        <v>2129</v>
      </c>
      <c r="U3" s="61" t="s">
        <v>2129</v>
      </c>
      <c r="V3" s="61" t="str">
        <f>VLOOKUP(B3,[2]Overall!$A:$D,4,0)</f>
        <v>TELEINFRA NORD</v>
      </c>
      <c r="W3" s="61" t="str">
        <f>VLOOKUP(B3,[3]Sheet1!$A:$B,2,0)</f>
        <v>Dogba</v>
      </c>
      <c r="X3" s="88" t="str">
        <f t="shared" si="0"/>
        <v>EXN</v>
      </c>
      <c r="Y3" s="80" t="str">
        <f t="shared" ca="1" si="1"/>
        <v>T&gt;72H</v>
      </c>
      <c r="Z3" s="61">
        <f t="shared" si="2"/>
        <v>4</v>
      </c>
      <c r="AA3" s="61" t="s">
        <v>1566</v>
      </c>
      <c r="AB3" s="84" t="s">
        <v>1554</v>
      </c>
      <c r="AC3" s="84" t="s">
        <v>2329</v>
      </c>
      <c r="AD3" s="84" t="s">
        <v>1994</v>
      </c>
      <c r="AE3" s="61"/>
    </row>
    <row r="4" spans="1:31" ht="291" x14ac:dyDescent="0.4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3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2252</v>
      </c>
      <c r="S4" s="61" t="s">
        <v>40</v>
      </c>
      <c r="T4" s="61" t="s">
        <v>2129</v>
      </c>
      <c r="U4" s="61" t="s">
        <v>2129</v>
      </c>
      <c r="V4" s="61" t="str">
        <f>VLOOKUP(B4,[2]Overall!$A:$D,4,0)</f>
        <v>TELEINFRA NORD</v>
      </c>
      <c r="W4" s="61" t="str">
        <f>VLOOKUP(B4,[3]Sheet1!$A:$B,2,0)</f>
        <v>Dogba</v>
      </c>
      <c r="X4" s="88" t="str">
        <f t="shared" si="0"/>
        <v>EXN</v>
      </c>
      <c r="Y4" s="80" t="str">
        <f t="shared" ca="1" si="1"/>
        <v>T&gt;72H</v>
      </c>
      <c r="Z4" s="61">
        <f t="shared" si="2"/>
        <v>3</v>
      </c>
      <c r="AA4" s="61" t="s">
        <v>1566</v>
      </c>
      <c r="AB4" s="84" t="s">
        <v>1554</v>
      </c>
      <c r="AC4" s="84" t="s">
        <v>2329</v>
      </c>
      <c r="AD4" s="84" t="s">
        <v>1994</v>
      </c>
      <c r="AE4" s="61"/>
    </row>
    <row r="5" spans="1:31" ht="131.5" x14ac:dyDescent="0.4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3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2244</v>
      </c>
      <c r="S5" s="61" t="s">
        <v>40</v>
      </c>
      <c r="T5" s="61" t="s">
        <v>1898</v>
      </c>
      <c r="U5" s="61" t="s">
        <v>1898</v>
      </c>
      <c r="V5" s="61" t="str">
        <f>VLOOKUP(B5,[2]Overall!$A:$D,4,0)</f>
        <v>TELEINFRA NORD</v>
      </c>
      <c r="W5" s="61" t="str">
        <f>VLOOKUP(B5,[3]Sheet1!$A:$B,2,0)</f>
        <v>Zigague</v>
      </c>
      <c r="X5" s="88" t="str">
        <f t="shared" si="0"/>
        <v>SUO</v>
      </c>
      <c r="Y5" s="80" t="str">
        <f t="shared" ca="1" si="1"/>
        <v>T&gt;72H</v>
      </c>
      <c r="Z5" s="61">
        <f t="shared" si="2"/>
        <v>1</v>
      </c>
      <c r="AA5" s="61" t="s">
        <v>1566</v>
      </c>
      <c r="AB5" s="84" t="s">
        <v>1554</v>
      </c>
      <c r="AC5" s="84" t="s">
        <v>2329</v>
      </c>
      <c r="AD5" s="84" t="s">
        <v>1994</v>
      </c>
      <c r="AE5" s="61"/>
    </row>
    <row r="6" spans="1:31" ht="131.5" x14ac:dyDescent="0.45">
      <c r="A6" s="61" t="s">
        <v>1834</v>
      </c>
      <c r="B6" s="61" t="s">
        <v>1835</v>
      </c>
      <c r="C6" s="65"/>
      <c r="D6" s="61"/>
      <c r="E6" s="61" t="s">
        <v>39</v>
      </c>
      <c r="F6" s="70" t="s">
        <v>53</v>
      </c>
      <c r="G6" s="70" t="s">
        <v>2121</v>
      </c>
      <c r="H6" s="67">
        <v>46168.908518518518</v>
      </c>
      <c r="I6" s="75">
        <f t="shared" ca="1" si="3"/>
        <v>11.760173842594668</v>
      </c>
      <c r="J6" s="61"/>
      <c r="K6" s="61"/>
      <c r="L6" s="61"/>
      <c r="M6" s="61" t="s">
        <v>1836</v>
      </c>
      <c r="N6" s="61" t="s">
        <v>1837</v>
      </c>
      <c r="O6" s="61"/>
      <c r="P6" s="61"/>
      <c r="Q6" s="61"/>
      <c r="R6" s="61" t="s">
        <v>2080</v>
      </c>
      <c r="S6" s="61" t="s">
        <v>85</v>
      </c>
      <c r="T6" s="61" t="s">
        <v>1899</v>
      </c>
      <c r="U6" s="61" t="s">
        <v>1899</v>
      </c>
      <c r="V6" s="61" t="str">
        <f>VLOOKUP(B6,[2]Overall!$A:$D,4,0)</f>
        <v>H-TELI</v>
      </c>
      <c r="W6" s="61" t="str">
        <f>VLOOKUP(B6,[3]Sheet1!$A:$B,2,0)</f>
        <v>Ebonji</v>
      </c>
      <c r="X6" s="88" t="str">
        <f t="shared" si="0"/>
        <v>NRO</v>
      </c>
      <c r="Y6" s="80" t="str">
        <f t="shared" ca="1" si="1"/>
        <v>T&gt;72H</v>
      </c>
      <c r="Z6" s="61">
        <f t="shared" si="2"/>
        <v>1</v>
      </c>
      <c r="AA6" s="61" t="s">
        <v>1566</v>
      </c>
      <c r="AB6" s="84" t="s">
        <v>1554</v>
      </c>
      <c r="AC6" s="84" t="s">
        <v>2329</v>
      </c>
      <c r="AD6" s="84" t="s">
        <v>1994</v>
      </c>
      <c r="AE6" s="61"/>
    </row>
    <row r="7" spans="1:31" ht="204" x14ac:dyDescent="0.45">
      <c r="A7" s="61" t="s">
        <v>1776</v>
      </c>
      <c r="B7" s="61" t="s">
        <v>1777</v>
      </c>
      <c r="C7" s="65"/>
      <c r="D7" s="61"/>
      <c r="E7" s="61" t="s">
        <v>35</v>
      </c>
      <c r="F7" s="70" t="s">
        <v>53</v>
      </c>
      <c r="G7" s="70" t="s">
        <v>2121</v>
      </c>
      <c r="H7" s="67">
        <v>46169.530451388891</v>
      </c>
      <c r="I7" s="75">
        <f t="shared" ca="1" si="3"/>
        <v>11.138240972220956</v>
      </c>
      <c r="J7" s="61"/>
      <c r="K7" s="61"/>
      <c r="L7" s="61"/>
      <c r="M7" s="61" t="s">
        <v>31</v>
      </c>
      <c r="N7" s="61" t="s">
        <v>1778</v>
      </c>
      <c r="O7" s="61"/>
      <c r="P7" s="61"/>
      <c r="Q7" s="61"/>
      <c r="R7" s="61" t="s">
        <v>2337</v>
      </c>
      <c r="S7" s="61" t="s">
        <v>32</v>
      </c>
      <c r="T7" s="61" t="s">
        <v>1898</v>
      </c>
      <c r="U7" s="61" t="s">
        <v>1898</v>
      </c>
      <c r="V7" s="61" t="str">
        <f>VLOOKUP(B7,[2]Overall!$A:$D,4,0)</f>
        <v xml:space="preserve">I-ENG </v>
      </c>
      <c r="W7" s="61" t="str">
        <f>VLOOKUP(B7,[3]Sheet1!$A:$B,2,0)</f>
        <v>Bafmeng</v>
      </c>
      <c r="X7" s="88" t="str">
        <f t="shared" si="0"/>
        <v>NRO</v>
      </c>
      <c r="Y7" s="80" t="str">
        <f t="shared" ca="1" si="1"/>
        <v>T&gt;72H</v>
      </c>
      <c r="Z7" s="61">
        <f t="shared" si="2"/>
        <v>3</v>
      </c>
      <c r="AA7" s="61" t="s">
        <v>1566</v>
      </c>
      <c r="AB7" s="84" t="s">
        <v>1554</v>
      </c>
      <c r="AC7" s="84" t="s">
        <v>2329</v>
      </c>
      <c r="AD7" s="84" t="s">
        <v>1994</v>
      </c>
      <c r="AE7" s="61"/>
    </row>
    <row r="8" spans="1:31" ht="146" x14ac:dyDescent="0.45">
      <c r="A8" s="61" t="s">
        <v>1581</v>
      </c>
      <c r="B8" s="61" t="s">
        <v>1582</v>
      </c>
      <c r="C8" s="65"/>
      <c r="D8" s="61"/>
      <c r="E8" s="61" t="s">
        <v>1937</v>
      </c>
      <c r="F8" s="70" t="s">
        <v>53</v>
      </c>
      <c r="G8" s="70" t="s">
        <v>2121</v>
      </c>
      <c r="H8" s="67">
        <v>46172.450324074074</v>
      </c>
      <c r="I8" s="75">
        <f t="shared" ca="1" si="3"/>
        <v>8.2183682870381745</v>
      </c>
      <c r="J8" s="61"/>
      <c r="K8" s="61"/>
      <c r="L8" s="61"/>
      <c r="M8" s="61" t="s">
        <v>41</v>
      </c>
      <c r="N8" s="61" t="s">
        <v>1938</v>
      </c>
      <c r="O8" s="61"/>
      <c r="P8" s="61"/>
      <c r="Q8" s="61"/>
      <c r="R8" s="61" t="s">
        <v>2336</v>
      </c>
      <c r="S8" s="61" t="s">
        <v>32</v>
      </c>
      <c r="T8" s="61" t="s">
        <v>1840</v>
      </c>
      <c r="U8" s="61" t="s">
        <v>1840</v>
      </c>
      <c r="V8" s="61" t="str">
        <f>VLOOKUP(B8,[2]Overall!$A:$D,4,0)</f>
        <v xml:space="preserve">I-ENG </v>
      </c>
      <c r="W8" s="61" t="str">
        <f>VLOOKUP(B8,[3]Sheet1!$A:$B,2,0)</f>
        <v>Batibo</v>
      </c>
      <c r="X8" s="88" t="str">
        <f t="shared" si="0"/>
        <v>EXN</v>
      </c>
      <c r="Y8" s="80" t="str">
        <f t="shared" ca="1" si="1"/>
        <v>T&gt;72H</v>
      </c>
      <c r="Z8" s="61">
        <f t="shared" si="2"/>
        <v>1</v>
      </c>
      <c r="AA8" s="61" t="s">
        <v>1566</v>
      </c>
      <c r="AB8" s="84" t="s">
        <v>1554</v>
      </c>
      <c r="AC8" s="84" t="s">
        <v>2329</v>
      </c>
      <c r="AD8" s="84" t="s">
        <v>1994</v>
      </c>
      <c r="AE8" s="61"/>
    </row>
    <row r="9" spans="1:31" ht="102.5" x14ac:dyDescent="0.45">
      <c r="A9" s="61" t="s">
        <v>1930</v>
      </c>
      <c r="B9" s="61" t="s">
        <v>1931</v>
      </c>
      <c r="C9" s="65"/>
      <c r="D9" s="61"/>
      <c r="E9" s="61" t="s">
        <v>34</v>
      </c>
      <c r="F9" s="70" t="s">
        <v>53</v>
      </c>
      <c r="G9" s="70" t="s">
        <v>2121</v>
      </c>
      <c r="H9" s="67">
        <v>46172.534074074072</v>
      </c>
      <c r="I9" s="75">
        <f t="shared" ca="1" si="3"/>
        <v>8.1346182870402117</v>
      </c>
      <c r="J9" s="61"/>
      <c r="K9" s="61"/>
      <c r="L9" s="61"/>
      <c r="M9" s="61" t="s">
        <v>1929</v>
      </c>
      <c r="N9" s="61" t="s">
        <v>1932</v>
      </c>
      <c r="O9" s="61"/>
      <c r="P9" s="61"/>
      <c r="Q9" s="61"/>
      <c r="R9" s="61" t="s">
        <v>2079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Mazera</v>
      </c>
      <c r="X9" s="88" t="str">
        <f t="shared" si="0"/>
        <v>NRD</v>
      </c>
      <c r="Y9" s="80" t="str">
        <f t="shared" ca="1" si="1"/>
        <v>T&gt;72H</v>
      </c>
      <c r="Z9" s="61">
        <f t="shared" si="2"/>
        <v>1</v>
      </c>
      <c r="AA9" s="61" t="s">
        <v>1566</v>
      </c>
      <c r="AB9" s="84" t="s">
        <v>1554</v>
      </c>
      <c r="AC9" s="84" t="s">
        <v>2329</v>
      </c>
      <c r="AD9" s="84" t="s">
        <v>1994</v>
      </c>
      <c r="AE9" s="61"/>
    </row>
    <row r="10" spans="1:31" ht="378" x14ac:dyDescent="0.45">
      <c r="A10" s="61" t="s">
        <v>1773</v>
      </c>
      <c r="B10" s="61" t="s">
        <v>1774</v>
      </c>
      <c r="C10" s="65"/>
      <c r="D10" s="61"/>
      <c r="E10" s="61" t="s">
        <v>1956</v>
      </c>
      <c r="F10" s="70" t="s">
        <v>53</v>
      </c>
      <c r="G10" s="70" t="s">
        <v>2121</v>
      </c>
      <c r="H10" s="67">
        <v>46172.719837962963</v>
      </c>
      <c r="I10" s="75">
        <f t="shared" ca="1" si="3"/>
        <v>7.948854398149706</v>
      </c>
      <c r="J10" s="61"/>
      <c r="K10" s="61"/>
      <c r="L10" s="61"/>
      <c r="M10" s="61" t="s">
        <v>31</v>
      </c>
      <c r="N10" s="61" t="s">
        <v>1957</v>
      </c>
      <c r="O10" s="61"/>
      <c r="P10" s="61"/>
      <c r="Q10" s="61"/>
      <c r="R10" s="61" t="s">
        <v>2137</v>
      </c>
      <c r="S10" s="61" t="s">
        <v>40</v>
      </c>
      <c r="T10" s="61" t="s">
        <v>1898</v>
      </c>
      <c r="U10" s="61" t="s">
        <v>1898</v>
      </c>
      <c r="V10" s="61" t="str">
        <f>VLOOKUP(B10,[2]Overall!$A:$D,4,0)</f>
        <v>TELEINFRA NORD</v>
      </c>
      <c r="W10" s="61" t="str">
        <f>VLOOKUP(B10,[3]Sheet1!$A:$B,2,0)</f>
        <v>Hamalade</v>
      </c>
      <c r="X10" s="88" t="str">
        <f t="shared" si="0"/>
        <v>NRD</v>
      </c>
      <c r="Y10" s="80" t="str">
        <f t="shared" ca="1" si="1"/>
        <v>T&gt;72H</v>
      </c>
      <c r="Z10" s="61">
        <f t="shared" si="2"/>
        <v>3</v>
      </c>
      <c r="AA10" s="61" t="s">
        <v>1566</v>
      </c>
      <c r="AB10" s="84" t="s">
        <v>1554</v>
      </c>
      <c r="AC10" s="84" t="s">
        <v>2329</v>
      </c>
      <c r="AD10" s="84" t="s">
        <v>1994</v>
      </c>
      <c r="AE10" s="61"/>
    </row>
    <row r="11" spans="1:31" ht="378" x14ac:dyDescent="0.45">
      <c r="A11" s="61" t="s">
        <v>1773</v>
      </c>
      <c r="B11" s="61" t="s">
        <v>1774</v>
      </c>
      <c r="C11" s="65"/>
      <c r="D11" s="61"/>
      <c r="E11" s="61" t="s">
        <v>35</v>
      </c>
      <c r="F11" s="70" t="s">
        <v>53</v>
      </c>
      <c r="G11" s="70" t="s">
        <v>2121</v>
      </c>
      <c r="H11" s="67">
        <v>46172.719837962963</v>
      </c>
      <c r="I11" s="75">
        <f t="shared" ca="1" si="3"/>
        <v>7.948854398149706</v>
      </c>
      <c r="J11" s="61"/>
      <c r="K11" s="61"/>
      <c r="L11" s="61"/>
      <c r="M11" s="61" t="s">
        <v>31</v>
      </c>
      <c r="N11" s="61" t="s">
        <v>1775</v>
      </c>
      <c r="O11" s="61"/>
      <c r="P11" s="61"/>
      <c r="Q11" s="61"/>
      <c r="R11" s="61" t="s">
        <v>2137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Hamalade</v>
      </c>
      <c r="X11" s="88" t="str">
        <f t="shared" si="0"/>
        <v>NRD</v>
      </c>
      <c r="Y11" s="80" t="str">
        <f t="shared" ca="1" si="1"/>
        <v>T&gt;72H</v>
      </c>
      <c r="Z11" s="61">
        <f t="shared" si="2"/>
        <v>3</v>
      </c>
      <c r="AA11" s="61" t="s">
        <v>1566</v>
      </c>
      <c r="AB11" s="84" t="s">
        <v>1554</v>
      </c>
      <c r="AC11" s="84" t="s">
        <v>2329</v>
      </c>
      <c r="AD11" s="84" t="s">
        <v>1994</v>
      </c>
      <c r="AE11" s="61"/>
    </row>
    <row r="12" spans="1:31" ht="378" x14ac:dyDescent="0.45">
      <c r="A12" s="61" t="s">
        <v>1773</v>
      </c>
      <c r="B12" s="61" t="s">
        <v>1774</v>
      </c>
      <c r="C12" s="65"/>
      <c r="D12" s="61"/>
      <c r="E12" s="61" t="s">
        <v>1954</v>
      </c>
      <c r="F12" s="70" t="s">
        <v>53</v>
      </c>
      <c r="G12" s="70" t="s">
        <v>2121</v>
      </c>
      <c r="H12" s="67">
        <v>46172.724965277775</v>
      </c>
      <c r="I12" s="75">
        <f t="shared" ca="1" si="3"/>
        <v>7.943727083336853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61" t="s">
        <v>2137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Hamalade</v>
      </c>
      <c r="X12" s="88" t="str">
        <f t="shared" si="0"/>
        <v>NRD</v>
      </c>
      <c r="Y12" s="80" t="str">
        <f t="shared" ca="1" si="1"/>
        <v>T&gt;72H</v>
      </c>
      <c r="Z12" s="61">
        <f t="shared" si="2"/>
        <v>1</v>
      </c>
      <c r="AA12" s="61" t="s">
        <v>1566</v>
      </c>
      <c r="AB12" s="84" t="s">
        <v>1554</v>
      </c>
      <c r="AC12" s="84" t="s">
        <v>2329</v>
      </c>
      <c r="AD12" s="84" t="s">
        <v>1994</v>
      </c>
      <c r="AE12" s="61"/>
    </row>
    <row r="13" spans="1:31" ht="378" x14ac:dyDescent="0.45">
      <c r="A13" s="61" t="s">
        <v>1773</v>
      </c>
      <c r="B13" s="61" t="s">
        <v>1774</v>
      </c>
      <c r="C13" s="65"/>
      <c r="D13" s="61"/>
      <c r="E13" s="61" t="s">
        <v>1955</v>
      </c>
      <c r="F13" s="70" t="s">
        <v>53</v>
      </c>
      <c r="G13" s="70" t="s">
        <v>2121</v>
      </c>
      <c r="H13" s="67">
        <v>46172.724965277775</v>
      </c>
      <c r="I13" s="75">
        <f t="shared" ca="1" si="3"/>
        <v>7.943727083336853</v>
      </c>
      <c r="J13" s="61"/>
      <c r="K13" s="61"/>
      <c r="L13" s="61"/>
      <c r="M13" s="61" t="s">
        <v>1750</v>
      </c>
      <c r="N13" s="61" t="s">
        <v>1751</v>
      </c>
      <c r="O13" s="61"/>
      <c r="P13" s="61"/>
      <c r="Q13" s="61"/>
      <c r="R13" s="61" t="s">
        <v>2137</v>
      </c>
      <c r="S13" s="61" t="s">
        <v>40</v>
      </c>
      <c r="T13" s="61" t="s">
        <v>1898</v>
      </c>
      <c r="U13" s="61" t="s">
        <v>1898</v>
      </c>
      <c r="V13" s="61" t="str">
        <f>VLOOKUP(B13,[2]Overall!$A:$D,4,0)</f>
        <v>TELEINFRA NORD</v>
      </c>
      <c r="W13" s="61" t="str">
        <f>VLOOKUP(B13,[3]Sheet1!$A:$B,2,0)</f>
        <v>Hamalade</v>
      </c>
      <c r="X13" s="88" t="str">
        <f t="shared" si="0"/>
        <v>NRD</v>
      </c>
      <c r="Y13" s="80" t="str">
        <f t="shared" ca="1" si="1"/>
        <v>T&gt;72H</v>
      </c>
      <c r="Z13" s="61">
        <f t="shared" si="2"/>
        <v>1</v>
      </c>
      <c r="AA13" s="61" t="s">
        <v>1566</v>
      </c>
      <c r="AB13" s="84" t="s">
        <v>1554</v>
      </c>
      <c r="AC13" s="84" t="s">
        <v>2329</v>
      </c>
      <c r="AD13" s="84" t="s">
        <v>1994</v>
      </c>
      <c r="AE13" s="61"/>
    </row>
    <row r="14" spans="1:31" ht="378" x14ac:dyDescent="0.45">
      <c r="A14" s="61" t="s">
        <v>1773</v>
      </c>
      <c r="B14" s="61" t="s">
        <v>1774</v>
      </c>
      <c r="C14" s="65"/>
      <c r="D14" s="61"/>
      <c r="E14" s="61" t="s">
        <v>1953</v>
      </c>
      <c r="F14" s="70" t="s">
        <v>53</v>
      </c>
      <c r="G14" s="70" t="s">
        <v>2121</v>
      </c>
      <c r="H14" s="67">
        <v>46172.724965277775</v>
      </c>
      <c r="I14" s="75">
        <f t="shared" ca="1" si="3"/>
        <v>7.943727083336853</v>
      </c>
      <c r="J14" s="61"/>
      <c r="K14" s="61"/>
      <c r="L14" s="61"/>
      <c r="M14" s="61" t="s">
        <v>1750</v>
      </c>
      <c r="N14" s="61" t="s">
        <v>1751</v>
      </c>
      <c r="O14" s="61"/>
      <c r="P14" s="61"/>
      <c r="Q14" s="61"/>
      <c r="R14" s="61" t="s">
        <v>2137</v>
      </c>
      <c r="S14" s="61" t="s">
        <v>40</v>
      </c>
      <c r="T14" s="61" t="s">
        <v>1898</v>
      </c>
      <c r="U14" s="61" t="s">
        <v>1898</v>
      </c>
      <c r="V14" s="61" t="str">
        <f>VLOOKUP(B14,[2]Overall!$A:$D,4,0)</f>
        <v>TELEINFRA NORD</v>
      </c>
      <c r="W14" s="61" t="str">
        <f>VLOOKUP(B14,[3]Sheet1!$A:$B,2,0)</f>
        <v>Hamalade</v>
      </c>
      <c r="X14" s="88" t="str">
        <f t="shared" si="0"/>
        <v>NRO</v>
      </c>
      <c r="Y14" s="80" t="str">
        <f t="shared" ca="1" si="1"/>
        <v>T&gt;72H</v>
      </c>
      <c r="Z14" s="61">
        <f t="shared" si="2"/>
        <v>1</v>
      </c>
      <c r="AA14" s="61" t="s">
        <v>1566</v>
      </c>
      <c r="AB14" s="84" t="s">
        <v>1554</v>
      </c>
      <c r="AC14" s="84" t="s">
        <v>2329</v>
      </c>
      <c r="AD14" s="84" t="s">
        <v>1994</v>
      </c>
      <c r="AE14" s="61"/>
    </row>
    <row r="15" spans="1:31" ht="363.5" x14ac:dyDescent="0.45">
      <c r="A15" s="61" t="s">
        <v>1724</v>
      </c>
      <c r="B15" s="61" t="s">
        <v>1725</v>
      </c>
      <c r="C15" s="65"/>
      <c r="D15" s="61"/>
      <c r="E15" s="61" t="s">
        <v>1726</v>
      </c>
      <c r="F15" s="70" t="s">
        <v>53</v>
      </c>
      <c r="G15" s="70" t="s">
        <v>2121</v>
      </c>
      <c r="H15" s="67">
        <v>46172.76761574074</v>
      </c>
      <c r="I15" s="75">
        <f t="shared" ca="1" si="3"/>
        <v>7.9010766203718958</v>
      </c>
      <c r="J15" s="61"/>
      <c r="K15" s="61"/>
      <c r="L15" s="61"/>
      <c r="M15" s="61" t="s">
        <v>33</v>
      </c>
      <c r="N15" s="61" t="s">
        <v>1635</v>
      </c>
      <c r="O15" s="61"/>
      <c r="P15" s="61"/>
      <c r="Q15" s="61"/>
      <c r="R15" s="61" t="s">
        <v>2335</v>
      </c>
      <c r="S15" s="61" t="s">
        <v>32</v>
      </c>
      <c r="T15" s="61" t="s">
        <v>1898</v>
      </c>
      <c r="U15" s="61" t="s">
        <v>1898</v>
      </c>
      <c r="V15" s="61" t="str">
        <f>VLOOKUP(B15,[2]Overall!$A:$D,4,0)</f>
        <v xml:space="preserve">I-ENG </v>
      </c>
      <c r="W15" s="61" t="str">
        <f>VLOOKUP(B15,[3]Sheet1!$A:$B,2,0)</f>
        <v>Mbakong</v>
      </c>
      <c r="X15" s="88" t="str">
        <f t="shared" si="0"/>
        <v>OST</v>
      </c>
      <c r="Y15" s="80" t="str">
        <f t="shared" ca="1" si="1"/>
        <v>T&gt;72H</v>
      </c>
      <c r="Z15" s="61">
        <f t="shared" si="2"/>
        <v>2</v>
      </c>
      <c r="AA15" s="61" t="s">
        <v>1566</v>
      </c>
      <c r="AB15" s="84" t="s">
        <v>1554</v>
      </c>
      <c r="AC15" s="84" t="s">
        <v>2329</v>
      </c>
      <c r="AD15" s="84" t="s">
        <v>1994</v>
      </c>
      <c r="AE15" s="61"/>
    </row>
    <row r="16" spans="1:31" ht="146" x14ac:dyDescent="0.45">
      <c r="A16" s="61" t="s">
        <v>1981</v>
      </c>
      <c r="B16" s="61" t="s">
        <v>1982</v>
      </c>
      <c r="C16" s="65"/>
      <c r="D16" s="61"/>
      <c r="E16" s="61" t="s">
        <v>39</v>
      </c>
      <c r="F16" s="70" t="s">
        <v>53</v>
      </c>
      <c r="G16" s="70" t="s">
        <v>2121</v>
      </c>
      <c r="H16" s="67">
        <v>46173.814502314817</v>
      </c>
      <c r="I16" s="75">
        <f t="shared" ca="1" si="3"/>
        <v>6.8541900462951162</v>
      </c>
      <c r="J16" s="61"/>
      <c r="K16" s="61"/>
      <c r="L16" s="61"/>
      <c r="M16" s="61" t="s">
        <v>1686</v>
      </c>
      <c r="N16" s="61" t="s">
        <v>1983</v>
      </c>
      <c r="O16" s="61"/>
      <c r="P16" s="61"/>
      <c r="Q16" s="61"/>
      <c r="R16" s="61" t="s">
        <v>2240</v>
      </c>
      <c r="S16" s="61" t="s">
        <v>71</v>
      </c>
      <c r="T16" s="61" t="s">
        <v>1902</v>
      </c>
      <c r="U16" s="61" t="s">
        <v>1896</v>
      </c>
      <c r="V16" s="61" t="str">
        <f>VLOOKUP(B16,[2]Overall!$A:$D,4,0)</f>
        <v>H-TELI</v>
      </c>
      <c r="W16" s="61" t="str">
        <f>VLOOKUP(B16,[3]Sheet1!$A:$B,2,0)</f>
        <v>Santchou</v>
      </c>
      <c r="X16" s="88" t="str">
        <f t="shared" si="0"/>
        <v>OST</v>
      </c>
      <c r="Y16" s="80" t="str">
        <f t="shared" ca="1" si="1"/>
        <v>T&gt;72H</v>
      </c>
      <c r="Z16" s="61">
        <f t="shared" si="2"/>
        <v>1</v>
      </c>
      <c r="AA16" s="61" t="s">
        <v>1566</v>
      </c>
      <c r="AB16" s="84" t="s">
        <v>1554</v>
      </c>
      <c r="AC16" s="84" t="s">
        <v>2329</v>
      </c>
      <c r="AD16" s="84" t="s">
        <v>1994</v>
      </c>
      <c r="AE16" s="61"/>
    </row>
    <row r="17" spans="1:31" ht="146" x14ac:dyDescent="0.45">
      <c r="A17" s="61" t="s">
        <v>1981</v>
      </c>
      <c r="B17" s="61" t="s">
        <v>1982</v>
      </c>
      <c r="C17" s="65"/>
      <c r="D17" s="61"/>
      <c r="E17" s="61" t="s">
        <v>1988</v>
      </c>
      <c r="F17" s="70" t="s">
        <v>53</v>
      </c>
      <c r="G17" s="70" t="s">
        <v>2121</v>
      </c>
      <c r="H17" s="67">
        <v>46173.819432870368</v>
      </c>
      <c r="I17" s="75">
        <f t="shared" ca="1" si="3"/>
        <v>6.8492594907438615</v>
      </c>
      <c r="J17" s="61"/>
      <c r="K17" s="61"/>
      <c r="L17" s="61"/>
      <c r="M17" s="61" t="s">
        <v>41</v>
      </c>
      <c r="N17" s="61" t="s">
        <v>1989</v>
      </c>
      <c r="O17" s="61"/>
      <c r="P17" s="61"/>
      <c r="Q17" s="61"/>
      <c r="R17" s="61" t="s">
        <v>2240</v>
      </c>
      <c r="S17" s="61" t="s">
        <v>71</v>
      </c>
      <c r="T17" s="61" t="s">
        <v>1902</v>
      </c>
      <c r="U17" s="61" t="s">
        <v>1896</v>
      </c>
      <c r="V17" s="61" t="str">
        <f>VLOOKUP(B17,[2]Overall!$A:$D,4,0)</f>
        <v>H-TELI</v>
      </c>
      <c r="W17" s="61" t="str">
        <f>VLOOKUP(B17,[3]Sheet1!$A:$B,2,0)</f>
        <v>Santchou</v>
      </c>
      <c r="X17" s="88" t="str">
        <f t="shared" si="0"/>
        <v>NRO</v>
      </c>
      <c r="Y17" s="80" t="str">
        <f t="shared" ca="1" si="1"/>
        <v>T&gt;72H</v>
      </c>
      <c r="Z17" s="61">
        <f t="shared" si="2"/>
        <v>1</v>
      </c>
      <c r="AA17" s="61" t="s">
        <v>1566</v>
      </c>
      <c r="AB17" s="84" t="s">
        <v>1554</v>
      </c>
      <c r="AC17" s="84" t="s">
        <v>2329</v>
      </c>
      <c r="AD17" s="84" t="s">
        <v>1994</v>
      </c>
      <c r="AE17" s="61"/>
    </row>
    <row r="18" spans="1:31" ht="160.5" x14ac:dyDescent="0.45">
      <c r="A18" s="61" t="s">
        <v>1881</v>
      </c>
      <c r="B18" s="61" t="s">
        <v>1880</v>
      </c>
      <c r="C18" s="65"/>
      <c r="D18" s="61"/>
      <c r="E18" s="61" t="s">
        <v>1991</v>
      </c>
      <c r="F18" s="70" t="s">
        <v>53</v>
      </c>
      <c r="G18" s="70" t="s">
        <v>2121</v>
      </c>
      <c r="H18" s="67">
        <v>46174.267314814817</v>
      </c>
      <c r="I18" s="75">
        <f t="shared" ca="1" si="3"/>
        <v>6.4013775462954072</v>
      </c>
      <c r="J18" s="61"/>
      <c r="K18" s="61"/>
      <c r="L18" s="61"/>
      <c r="M18" s="61" t="s">
        <v>1769</v>
      </c>
      <c r="N18" s="61" t="s">
        <v>1770</v>
      </c>
      <c r="O18" s="61"/>
      <c r="P18" s="61"/>
      <c r="Q18" s="61"/>
      <c r="R18" s="61" t="s">
        <v>2249</v>
      </c>
      <c r="S18" s="61" t="s">
        <v>71</v>
      </c>
      <c r="T18" s="61" t="s">
        <v>1902</v>
      </c>
      <c r="U18" s="61" t="s">
        <v>1896</v>
      </c>
      <c r="V18" s="61" t="str">
        <f>VLOOKUP(B18,[2]Overall!$A:$D,4,0)</f>
        <v xml:space="preserve">I-ENG </v>
      </c>
      <c r="W18" s="61" t="str">
        <f>VLOOKUP(B18,[3]Sheet1!$A:$B,2,0)</f>
        <v>Fundong</v>
      </c>
      <c r="X18" s="88" t="str">
        <f t="shared" si="0"/>
        <v>NRO</v>
      </c>
      <c r="Y18" s="80" t="str">
        <f t="shared" ca="1" si="1"/>
        <v>T&gt;72H</v>
      </c>
      <c r="Z18" s="61">
        <f t="shared" si="2"/>
        <v>1</v>
      </c>
      <c r="AA18" s="61" t="s">
        <v>1566</v>
      </c>
      <c r="AB18" s="84" t="s">
        <v>1554</v>
      </c>
      <c r="AC18" s="84" t="s">
        <v>2329</v>
      </c>
      <c r="AD18" s="84" t="s">
        <v>1994</v>
      </c>
      <c r="AE18" s="61"/>
    </row>
    <row r="19" spans="1:31" ht="73.5" x14ac:dyDescent="0.45">
      <c r="A19" s="61" t="s">
        <v>1939</v>
      </c>
      <c r="B19" s="61" t="s">
        <v>1940</v>
      </c>
      <c r="C19" s="65"/>
      <c r="D19" s="61"/>
      <c r="E19" s="61" t="s">
        <v>1941</v>
      </c>
      <c r="F19" s="70" t="s">
        <v>53</v>
      </c>
      <c r="G19" s="70" t="s">
        <v>2121</v>
      </c>
      <c r="H19" s="67">
        <v>46174.506562499999</v>
      </c>
      <c r="I19" s="75">
        <f t="shared" ca="1" si="3"/>
        <v>6.1621298611134989</v>
      </c>
      <c r="J19" s="61"/>
      <c r="K19" s="61"/>
      <c r="L19" s="61"/>
      <c r="M19" s="61" t="s">
        <v>38</v>
      </c>
      <c r="N19" s="61" t="s">
        <v>1942</v>
      </c>
      <c r="O19" s="61"/>
      <c r="P19" s="61"/>
      <c r="Q19" s="61"/>
      <c r="R19" s="61" t="s">
        <v>2334</v>
      </c>
      <c r="S19" s="61" t="s">
        <v>32</v>
      </c>
      <c r="T19" s="61" t="s">
        <v>1898</v>
      </c>
      <c r="U19" s="61" t="s">
        <v>1898</v>
      </c>
      <c r="V19" s="61" t="str">
        <f>VLOOKUP(B19,[2]Overall!$A:$D,4,0)</f>
        <v xml:space="preserve">I-ENG </v>
      </c>
      <c r="W19" s="61" t="str">
        <f>VLOOKUP(B19,[3]Sheet1!$A:$B,2,0)</f>
        <v>Widikum</v>
      </c>
      <c r="X19" s="88" t="str">
        <f t="shared" si="0"/>
        <v>NRD</v>
      </c>
      <c r="Y19" s="80" t="str">
        <f t="shared" ca="1" si="1"/>
        <v>T&gt;72H</v>
      </c>
      <c r="Z19" s="61">
        <f t="shared" si="2"/>
        <v>2</v>
      </c>
      <c r="AA19" s="61" t="s">
        <v>1566</v>
      </c>
      <c r="AB19" s="84" t="s">
        <v>1554</v>
      </c>
      <c r="AC19" s="84" t="s">
        <v>2329</v>
      </c>
      <c r="AD19" s="84" t="s">
        <v>1994</v>
      </c>
      <c r="AE19" s="61"/>
    </row>
    <row r="20" spans="1:31" ht="131.5" x14ac:dyDescent="0.45">
      <c r="A20" s="61" t="s">
        <v>1843</v>
      </c>
      <c r="B20" s="61" t="s">
        <v>1844</v>
      </c>
      <c r="C20" s="65"/>
      <c r="D20" s="61"/>
      <c r="E20" s="61" t="s">
        <v>1879</v>
      </c>
      <c r="F20" s="70" t="s">
        <v>53</v>
      </c>
      <c r="G20" s="70" t="s">
        <v>2121</v>
      </c>
      <c r="H20" s="67">
        <v>46175.448993055557</v>
      </c>
      <c r="I20" s="75">
        <f t="shared" ca="1" si="3"/>
        <v>5.2196993055549683</v>
      </c>
      <c r="J20" s="61"/>
      <c r="K20" s="61"/>
      <c r="L20" s="61"/>
      <c r="M20" s="61" t="s">
        <v>38</v>
      </c>
      <c r="N20" s="61" t="s">
        <v>1845</v>
      </c>
      <c r="O20" s="61"/>
      <c r="P20" s="61"/>
      <c r="Q20" s="61"/>
      <c r="R20" s="61" t="s">
        <v>2331</v>
      </c>
      <c r="S20" s="61" t="s">
        <v>75</v>
      </c>
      <c r="T20" s="61" t="s">
        <v>1901</v>
      </c>
      <c r="U20" s="61" t="s">
        <v>1901</v>
      </c>
      <c r="V20" s="61" t="str">
        <f>VLOOKUP(B20,[2]Overall!$A:$D,4,0)</f>
        <v>TELEINFRA NORD</v>
      </c>
      <c r="W20" s="61" t="str">
        <f>VLOOKUP(B20,[3]Sheet1!$A:$B,2,0)</f>
        <v>Mayo-Nonde</v>
      </c>
      <c r="X20" s="88" t="str">
        <f t="shared" si="0"/>
        <v>SUO</v>
      </c>
      <c r="Y20" s="80" t="str">
        <f t="shared" ref="Y20:Y72" ca="1" si="4">IF(I20 &lt; 1/24, "T&lt;1H", IF(AND(I20&lt;2/24, I20&gt;1/24), "1H&lt;T&lt;2H", IF(AND(I20&lt;4/24, I20&gt;2/24), "2H&lt;T&lt;4H", IF(AND(I20&lt;8/24, I20&gt;4/24), "4H&lt;T&lt;8H", IF(AND(I20&lt;16/24, I20&gt;8/24), "8H&lt;T&lt;16H",IF(AND(I20&lt;24/24, I20&gt;16/24),"16H&lt;T&lt;24H", IF(AND(I20&lt;48/24, I20&gt;24/24),"24H&lt;T&lt;48H",IF(AND(I20&lt;72/24, I20&gt;24/24),"48H&lt;T&lt;72H", "T&gt;72H"))))))))</f>
        <v>T&gt;72H</v>
      </c>
      <c r="Z20" s="61">
        <f t="shared" ref="Z20:Z72" si="5">IF(OR(E20="", E20="affected_cells=unknown"), "", LEN(E20)-LEN(SUBSTITUTE(E20, ",", "")) + LEN(E20)-LEN(SUBSTITUTE(E20, ";", "")) + 1)</f>
        <v>3</v>
      </c>
      <c r="AA20" s="61" t="s">
        <v>1566</v>
      </c>
      <c r="AB20" s="84" t="s">
        <v>1554</v>
      </c>
      <c r="AC20" s="84" t="s">
        <v>2329</v>
      </c>
      <c r="AD20" s="84" t="s">
        <v>1994</v>
      </c>
      <c r="AE20" s="61"/>
    </row>
    <row r="21" spans="1:31" ht="117" x14ac:dyDescent="0.45">
      <c r="A21" s="61" t="s">
        <v>1831</v>
      </c>
      <c r="B21" s="61" t="s">
        <v>1832</v>
      </c>
      <c r="C21" s="65"/>
      <c r="D21" s="61"/>
      <c r="E21" s="61" t="s">
        <v>1823</v>
      </c>
      <c r="F21" s="70" t="s">
        <v>53</v>
      </c>
      <c r="G21" s="70" t="s">
        <v>2121</v>
      </c>
      <c r="H21" s="67">
        <v>46175.508090277777</v>
      </c>
      <c r="I21" s="75">
        <f t="shared" ca="1" si="3"/>
        <v>5.1606020833351067</v>
      </c>
      <c r="J21" s="61"/>
      <c r="K21" s="61"/>
      <c r="L21" s="61"/>
      <c r="M21" s="61" t="s">
        <v>31</v>
      </c>
      <c r="N21" s="61" t="s">
        <v>1833</v>
      </c>
      <c r="O21" s="61"/>
      <c r="P21" s="61"/>
      <c r="Q21" s="61"/>
      <c r="R21" s="61" t="s">
        <v>2338</v>
      </c>
      <c r="S21" s="61" t="s">
        <v>85</v>
      </c>
      <c r="T21" s="61" t="s">
        <v>1898</v>
      </c>
      <c r="U21" s="61" t="s">
        <v>1898</v>
      </c>
      <c r="V21" s="61" t="str">
        <f>VLOOKUP(B21,[2]Overall!$A:$D,4,0)</f>
        <v>H-TELI</v>
      </c>
      <c r="W21" s="61" t="str">
        <f>VLOOKUP(B21,[3]Sheet1!$A:$B,2,0)</f>
        <v>Kumbe</v>
      </c>
      <c r="X21" s="88" t="str">
        <f t="shared" si="0"/>
        <v>EXN</v>
      </c>
      <c r="Y21" s="80" t="str">
        <f t="shared" ca="1" si="4"/>
        <v>T&gt;72H</v>
      </c>
      <c r="Z21" s="61">
        <f t="shared" si="5"/>
        <v>2</v>
      </c>
      <c r="AA21" s="61" t="s">
        <v>1566</v>
      </c>
      <c r="AB21" s="84" t="s">
        <v>1554</v>
      </c>
      <c r="AC21" s="84" t="s">
        <v>2329</v>
      </c>
      <c r="AD21" s="84" t="s">
        <v>1994</v>
      </c>
      <c r="AE21" s="61"/>
    </row>
    <row r="22" spans="1:31" ht="247.5" x14ac:dyDescent="0.45">
      <c r="A22" s="61" t="s">
        <v>1779</v>
      </c>
      <c r="B22" s="61" t="s">
        <v>1780</v>
      </c>
      <c r="C22" s="65"/>
      <c r="D22" s="61"/>
      <c r="E22" s="61" t="s">
        <v>37</v>
      </c>
      <c r="F22" s="70" t="s">
        <v>53</v>
      </c>
      <c r="G22" s="70" t="s">
        <v>2121</v>
      </c>
      <c r="H22" s="67">
        <v>46175.649039351854</v>
      </c>
      <c r="I22" s="75">
        <f t="shared" ca="1" si="3"/>
        <v>5.019653009258036</v>
      </c>
      <c r="J22" s="61"/>
      <c r="K22" s="61"/>
      <c r="L22" s="61"/>
      <c r="M22" s="61" t="s">
        <v>41</v>
      </c>
      <c r="N22" s="61" t="s">
        <v>1781</v>
      </c>
      <c r="O22" s="61"/>
      <c r="P22" s="61"/>
      <c r="Q22" s="61"/>
      <c r="R22" s="61" t="s">
        <v>2243</v>
      </c>
      <c r="S22" s="61" t="s">
        <v>75</v>
      </c>
      <c r="T22" s="61" t="s">
        <v>1840</v>
      </c>
      <c r="U22" s="61" t="s">
        <v>1840</v>
      </c>
      <c r="V22" s="61" t="str">
        <f>VLOOKUP(B22,[2]Overall!$A:$D,4,0)</f>
        <v>TELEINFRA NORD</v>
      </c>
      <c r="W22" s="61" t="str">
        <f>VLOOKUP(B22,[3]Sheet1!$A:$B,2,0)</f>
        <v>Badjonre</v>
      </c>
      <c r="X22" s="88" t="str">
        <f t="shared" si="0"/>
        <v>EXN</v>
      </c>
      <c r="Y22" s="80" t="str">
        <f t="shared" ca="1" si="4"/>
        <v>T&gt;72H</v>
      </c>
      <c r="Z22" s="61">
        <f t="shared" si="5"/>
        <v>1</v>
      </c>
      <c r="AA22" s="61" t="s">
        <v>1566</v>
      </c>
      <c r="AB22" s="84" t="s">
        <v>1554</v>
      </c>
      <c r="AC22" s="84" t="s">
        <v>2329</v>
      </c>
      <c r="AD22" s="84" t="s">
        <v>1994</v>
      </c>
      <c r="AE22" s="61"/>
    </row>
    <row r="23" spans="1:31" ht="247.5" x14ac:dyDescent="0.45">
      <c r="A23" s="61" t="s">
        <v>1779</v>
      </c>
      <c r="B23" s="61" t="s">
        <v>1780</v>
      </c>
      <c r="C23" s="65"/>
      <c r="D23" s="61"/>
      <c r="E23" s="61" t="s">
        <v>39</v>
      </c>
      <c r="F23" s="70" t="s">
        <v>53</v>
      </c>
      <c r="G23" s="70" t="s">
        <v>2121</v>
      </c>
      <c r="H23" s="67">
        <v>46175.681076388886</v>
      </c>
      <c r="I23" s="75">
        <f t="shared" ca="1" si="3"/>
        <v>4.9876159722261946</v>
      </c>
      <c r="J23" s="61"/>
      <c r="K23" s="61"/>
      <c r="L23" s="61"/>
      <c r="M23" s="61" t="s">
        <v>1707</v>
      </c>
      <c r="N23" s="61" t="s">
        <v>2162</v>
      </c>
      <c r="O23" s="61"/>
      <c r="P23" s="61"/>
      <c r="Q23" s="61"/>
      <c r="R23" s="61" t="s">
        <v>2243</v>
      </c>
      <c r="S23" s="61" t="s">
        <v>75</v>
      </c>
      <c r="T23" s="61" t="s">
        <v>1840</v>
      </c>
      <c r="U23" s="61" t="s">
        <v>1840</v>
      </c>
      <c r="V23" s="61" t="str">
        <f>VLOOKUP(B23,[2]Overall!$A:$D,4,0)</f>
        <v>TELEINFRA NORD</v>
      </c>
      <c r="W23" s="61" t="str">
        <f>VLOOKUP(B23,[3]Sheet1!$A:$B,2,0)</f>
        <v>Badjonre</v>
      </c>
      <c r="X23" s="88" t="str">
        <f t="shared" si="0"/>
        <v>EXN</v>
      </c>
      <c r="Y23" s="80" t="str">
        <f t="shared" ca="1" si="4"/>
        <v>T&gt;72H</v>
      </c>
      <c r="Z23" s="61">
        <f t="shared" si="5"/>
        <v>1</v>
      </c>
      <c r="AA23" s="61" t="s">
        <v>1566</v>
      </c>
      <c r="AB23" s="84" t="s">
        <v>1554</v>
      </c>
      <c r="AC23" s="84" t="s">
        <v>2329</v>
      </c>
      <c r="AD23" s="84" t="s">
        <v>1994</v>
      </c>
      <c r="AE23" s="61"/>
    </row>
    <row r="24" spans="1:31" ht="247.5" x14ac:dyDescent="0.45">
      <c r="A24" s="61" t="s">
        <v>1779</v>
      </c>
      <c r="B24" s="61" t="s">
        <v>1780</v>
      </c>
      <c r="C24" s="65"/>
      <c r="D24" s="61"/>
      <c r="E24" s="61" t="s">
        <v>2163</v>
      </c>
      <c r="F24" s="70" t="s">
        <v>53</v>
      </c>
      <c r="G24" s="70" t="s">
        <v>2121</v>
      </c>
      <c r="H24" s="67">
        <v>46175.683067129627</v>
      </c>
      <c r="I24" s="75">
        <f t="shared" ca="1" si="3"/>
        <v>4.9856252314857556</v>
      </c>
      <c r="J24" s="61"/>
      <c r="K24" s="61"/>
      <c r="L24" s="61"/>
      <c r="M24" s="61" t="s">
        <v>31</v>
      </c>
      <c r="N24" s="61" t="s">
        <v>2164</v>
      </c>
      <c r="O24" s="61"/>
      <c r="P24" s="61"/>
      <c r="Q24" s="61"/>
      <c r="R24" s="61" t="s">
        <v>2243</v>
      </c>
      <c r="S24" s="61" t="s">
        <v>75</v>
      </c>
      <c r="T24" s="61" t="s">
        <v>1840</v>
      </c>
      <c r="U24" s="61" t="s">
        <v>1840</v>
      </c>
      <c r="V24" s="61" t="str">
        <f>VLOOKUP(B24,[2]Overall!$A:$D,4,0)</f>
        <v>TELEINFRA NORD</v>
      </c>
      <c r="W24" s="61" t="str">
        <f>VLOOKUP(B24,[3]Sheet1!$A:$B,2,0)</f>
        <v>Badjonre</v>
      </c>
      <c r="X24" s="88" t="str">
        <f t="shared" si="0"/>
        <v>EXN</v>
      </c>
      <c r="Y24" s="80" t="str">
        <f t="shared" ca="1" si="4"/>
        <v>T&gt;72H</v>
      </c>
      <c r="Z24" s="61">
        <f t="shared" si="5"/>
        <v>9</v>
      </c>
      <c r="AA24" s="61" t="s">
        <v>1566</v>
      </c>
      <c r="AB24" s="84" t="s">
        <v>1554</v>
      </c>
      <c r="AC24" s="84" t="s">
        <v>2329</v>
      </c>
      <c r="AD24" s="84" t="s">
        <v>1994</v>
      </c>
      <c r="AE24" s="61"/>
    </row>
    <row r="25" spans="1:31" ht="247.5" x14ac:dyDescent="0.45">
      <c r="A25" s="61" t="s">
        <v>1779</v>
      </c>
      <c r="B25" s="61" t="s">
        <v>1780</v>
      </c>
      <c r="C25" s="65"/>
      <c r="D25" s="61"/>
      <c r="E25" s="61" t="s">
        <v>39</v>
      </c>
      <c r="F25" s="70" t="s">
        <v>53</v>
      </c>
      <c r="G25" s="70" t="s">
        <v>2121</v>
      </c>
      <c r="H25" s="67">
        <v>46175.683506944442</v>
      </c>
      <c r="I25" s="75">
        <f t="shared" ca="1" si="3"/>
        <v>4.9851854166699923</v>
      </c>
      <c r="J25" s="61"/>
      <c r="K25" s="61"/>
      <c r="L25" s="61"/>
      <c r="M25" s="61" t="s">
        <v>1769</v>
      </c>
      <c r="N25" s="61" t="s">
        <v>2165</v>
      </c>
      <c r="O25" s="61"/>
      <c r="P25" s="61"/>
      <c r="Q25" s="61"/>
      <c r="R25" s="61" t="s">
        <v>2243</v>
      </c>
      <c r="S25" s="61" t="s">
        <v>75</v>
      </c>
      <c r="T25" s="61" t="s">
        <v>1840</v>
      </c>
      <c r="U25" s="61" t="s">
        <v>1840</v>
      </c>
      <c r="V25" s="61" t="str">
        <f>VLOOKUP(B25,[2]Overall!$A:$D,4,0)</f>
        <v>TELEINFRA NORD</v>
      </c>
      <c r="W25" s="61" t="str">
        <f>VLOOKUP(B25,[3]Sheet1!$A:$B,2,0)</f>
        <v>Badjonre</v>
      </c>
      <c r="X25" s="88" t="str">
        <f t="shared" si="0"/>
        <v>EXN</v>
      </c>
      <c r="Y25" s="80" t="str">
        <f t="shared" ca="1" si="4"/>
        <v>T&gt;72H</v>
      </c>
      <c r="Z25" s="61">
        <f t="shared" si="5"/>
        <v>1</v>
      </c>
      <c r="AA25" s="61" t="s">
        <v>1566</v>
      </c>
      <c r="AB25" s="84" t="s">
        <v>1554</v>
      </c>
      <c r="AC25" s="84" t="s">
        <v>2329</v>
      </c>
      <c r="AD25" s="84" t="s">
        <v>1994</v>
      </c>
      <c r="AE25" s="61"/>
    </row>
    <row r="26" spans="1:31" ht="102.5" x14ac:dyDescent="0.45">
      <c r="A26" s="61" t="s">
        <v>1632</v>
      </c>
      <c r="B26" s="61" t="s">
        <v>1610</v>
      </c>
      <c r="C26" s="65"/>
      <c r="D26" s="61"/>
      <c r="E26" s="61" t="s">
        <v>49</v>
      </c>
      <c r="F26" s="70" t="s">
        <v>53</v>
      </c>
      <c r="G26" s="70" t="s">
        <v>2121</v>
      </c>
      <c r="H26" s="67">
        <v>46175.758483796293</v>
      </c>
      <c r="I26" s="75">
        <f t="shared" ca="1" si="3"/>
        <v>4.910208564819186</v>
      </c>
      <c r="J26" s="61"/>
      <c r="K26" s="61"/>
      <c r="L26" s="61"/>
      <c r="M26" s="61" t="s">
        <v>41</v>
      </c>
      <c r="N26" s="61" t="s">
        <v>1633</v>
      </c>
      <c r="O26" s="61"/>
      <c r="P26" s="61"/>
      <c r="Q26" s="61"/>
      <c r="R26" s="61" t="s">
        <v>2246</v>
      </c>
      <c r="S26" s="61" t="s">
        <v>71</v>
      </c>
      <c r="T26" s="61" t="s">
        <v>1902</v>
      </c>
      <c r="U26" s="61" t="s">
        <v>1896</v>
      </c>
      <c r="V26" s="61" t="str">
        <f>VLOOKUP(B26,[2]Overall!$A:$D,4,0)</f>
        <v>TELEINFRA NORD</v>
      </c>
      <c r="W26" s="61" t="str">
        <f>VLOOKUP(B26,[3]Sheet1!$A:$B,2,0)</f>
        <v>Zileng</v>
      </c>
      <c r="X26" s="88" t="str">
        <f t="shared" si="0"/>
        <v>EXN</v>
      </c>
      <c r="Y26" s="80" t="str">
        <f t="shared" ca="1" si="4"/>
        <v>T&gt;72H</v>
      </c>
      <c r="Z26" s="61">
        <f t="shared" si="5"/>
        <v>1</v>
      </c>
      <c r="AA26" s="61" t="s">
        <v>1566</v>
      </c>
      <c r="AB26" s="84" t="s">
        <v>1554</v>
      </c>
      <c r="AC26" s="84" t="s">
        <v>2329</v>
      </c>
      <c r="AD26" s="84" t="s">
        <v>1994</v>
      </c>
      <c r="AE26" s="61"/>
    </row>
    <row r="27" spans="1:31" ht="88" x14ac:dyDescent="0.45">
      <c r="A27" s="61" t="s">
        <v>1611</v>
      </c>
      <c r="B27" s="61" t="s">
        <v>1610</v>
      </c>
      <c r="C27" s="65"/>
      <c r="D27" s="61"/>
      <c r="E27" s="61" t="s">
        <v>1615</v>
      </c>
      <c r="F27" s="70" t="s">
        <v>53</v>
      </c>
      <c r="G27" s="70" t="s">
        <v>2121</v>
      </c>
      <c r="H27" s="67">
        <v>46175.759166666663</v>
      </c>
      <c r="I27" s="75">
        <f t="shared" ca="1" si="3"/>
        <v>4.9095256944492576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2246</v>
      </c>
      <c r="S27" s="61" t="s">
        <v>71</v>
      </c>
      <c r="T27" s="61" t="s">
        <v>1902</v>
      </c>
      <c r="U27" s="61" t="s">
        <v>1896</v>
      </c>
      <c r="V27" s="61" t="str">
        <f>VLOOKUP(B27,[2]Overall!$A:$D,4,0)</f>
        <v>TELEINFRA NORD</v>
      </c>
      <c r="W27" s="61" t="str">
        <f>VLOOKUP(B27,[3]Sheet1!$A:$B,2,0)</f>
        <v>Zileng</v>
      </c>
      <c r="X27" s="88" t="str">
        <f t="shared" si="0"/>
        <v>EXN</v>
      </c>
      <c r="Y27" s="80" t="str">
        <f t="shared" ca="1" si="4"/>
        <v>T&gt;72H</v>
      </c>
      <c r="Z27" s="61">
        <f t="shared" si="5"/>
        <v>1</v>
      </c>
      <c r="AA27" s="61" t="s">
        <v>1566</v>
      </c>
      <c r="AB27" s="84" t="s">
        <v>1554</v>
      </c>
      <c r="AC27" s="84" t="s">
        <v>2329</v>
      </c>
      <c r="AD27" s="84" t="s">
        <v>1994</v>
      </c>
      <c r="AE27" s="61"/>
    </row>
    <row r="28" spans="1:31" ht="88" x14ac:dyDescent="0.45">
      <c r="A28" s="61" t="s">
        <v>1611</v>
      </c>
      <c r="B28" s="61" t="s">
        <v>1610</v>
      </c>
      <c r="C28" s="65"/>
      <c r="D28" s="61"/>
      <c r="E28" s="61" t="s">
        <v>1613</v>
      </c>
      <c r="F28" s="70" t="s">
        <v>53</v>
      </c>
      <c r="G28" s="70" t="s">
        <v>2121</v>
      </c>
      <c r="H28" s="67">
        <v>46175.759166666663</v>
      </c>
      <c r="I28" s="75">
        <f t="shared" ca="1" si="3"/>
        <v>4.9095256944492576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2246</v>
      </c>
      <c r="S28" s="61" t="s">
        <v>71</v>
      </c>
      <c r="T28" s="61" t="s">
        <v>1902</v>
      </c>
      <c r="U28" s="61" t="s">
        <v>1896</v>
      </c>
      <c r="V28" s="61" t="str">
        <f>VLOOKUP(B28,[2]Overall!$A:$D,4,0)</f>
        <v>TELEINFRA NORD</v>
      </c>
      <c r="W28" s="61" t="str">
        <f>VLOOKUP(B28,[3]Sheet1!$A:$B,2,0)</f>
        <v>Zileng</v>
      </c>
      <c r="X28" s="88" t="str">
        <f t="shared" si="0"/>
        <v>EXN</v>
      </c>
      <c r="Y28" s="80" t="str">
        <f t="shared" ca="1" si="4"/>
        <v>T&gt;72H</v>
      </c>
      <c r="Z28" s="61">
        <f t="shared" si="5"/>
        <v>1</v>
      </c>
      <c r="AA28" s="61" t="s">
        <v>1566</v>
      </c>
      <c r="AB28" s="84" t="s">
        <v>1554</v>
      </c>
      <c r="AC28" s="84" t="s">
        <v>2329</v>
      </c>
      <c r="AD28" s="84" t="s">
        <v>1994</v>
      </c>
      <c r="AE28" s="61"/>
    </row>
    <row r="29" spans="1:31" ht="88" x14ac:dyDescent="0.45">
      <c r="A29" s="61" t="s">
        <v>1611</v>
      </c>
      <c r="B29" s="61" t="s">
        <v>1610</v>
      </c>
      <c r="C29" s="65"/>
      <c r="D29" s="61"/>
      <c r="E29" s="61" t="s">
        <v>1617</v>
      </c>
      <c r="F29" s="70" t="s">
        <v>53</v>
      </c>
      <c r="G29" s="70" t="s">
        <v>2121</v>
      </c>
      <c r="H29" s="67">
        <v>46175.759166666663</v>
      </c>
      <c r="I29" s="75">
        <f t="shared" ca="1" si="3"/>
        <v>4.9095256944492576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2246</v>
      </c>
      <c r="S29" s="61" t="s">
        <v>71</v>
      </c>
      <c r="T29" s="61" t="s">
        <v>1902</v>
      </c>
      <c r="U29" s="61" t="s">
        <v>1896</v>
      </c>
      <c r="V29" s="61" t="str">
        <f>VLOOKUP(B29,[2]Overall!$A:$D,4,0)</f>
        <v>TELEINFRA NORD</v>
      </c>
      <c r="W29" s="61" t="str">
        <f>VLOOKUP(B29,[3]Sheet1!$A:$B,2,0)</f>
        <v>Zileng</v>
      </c>
      <c r="X29" s="88" t="str">
        <f t="shared" si="0"/>
        <v>OST</v>
      </c>
      <c r="Y29" s="80" t="str">
        <f t="shared" ca="1" si="4"/>
        <v>T&gt;72H</v>
      </c>
      <c r="Z29" s="61">
        <f t="shared" si="5"/>
        <v>1</v>
      </c>
      <c r="AA29" s="61" t="s">
        <v>1566</v>
      </c>
      <c r="AB29" s="84" t="s">
        <v>1554</v>
      </c>
      <c r="AC29" s="84" t="s">
        <v>2329</v>
      </c>
      <c r="AD29" s="84" t="s">
        <v>1994</v>
      </c>
      <c r="AE29" s="61"/>
    </row>
    <row r="30" spans="1:31" ht="117" x14ac:dyDescent="0.45">
      <c r="A30" s="61" t="s">
        <v>1892</v>
      </c>
      <c r="B30" s="61" t="s">
        <v>1893</v>
      </c>
      <c r="C30" s="65"/>
      <c r="D30" s="61"/>
      <c r="E30" s="61" t="s">
        <v>2199</v>
      </c>
      <c r="F30" s="70" t="s">
        <v>53</v>
      </c>
      <c r="G30" s="70" t="s">
        <v>2121</v>
      </c>
      <c r="H30" s="67">
        <v>46175.837418981479</v>
      </c>
      <c r="I30" s="75">
        <f t="shared" ca="1" si="3"/>
        <v>4.8312733796337852</v>
      </c>
      <c r="J30" s="61"/>
      <c r="K30" s="61"/>
      <c r="L30" s="61"/>
      <c r="M30" s="61" t="s">
        <v>41</v>
      </c>
      <c r="N30" s="61" t="s">
        <v>42</v>
      </c>
      <c r="O30" s="61"/>
      <c r="P30" s="61"/>
      <c r="Q30" s="61"/>
      <c r="R30" s="61" t="s">
        <v>2314</v>
      </c>
      <c r="S30" s="61" t="s">
        <v>85</v>
      </c>
      <c r="T30" s="61" t="s">
        <v>1688</v>
      </c>
      <c r="U30" s="61" t="s">
        <v>1688</v>
      </c>
      <c r="V30" s="61" t="str">
        <f>VLOOKUP(B30,[2]Overall!$A:$D,4,0)</f>
        <v>H-TELI</v>
      </c>
      <c r="W30" s="61" t="str">
        <f>VLOOKUP(B30,[3]Sheet1!$A:$B,2,0)</f>
        <v>Santchou</v>
      </c>
      <c r="X30" s="88" t="str">
        <f t="shared" si="0"/>
        <v>OST</v>
      </c>
      <c r="Y30" s="80" t="str">
        <f t="shared" ca="1" si="4"/>
        <v>T&gt;72H</v>
      </c>
      <c r="Z30" s="61">
        <f t="shared" si="5"/>
        <v>1</v>
      </c>
      <c r="AA30" s="61" t="s">
        <v>1566</v>
      </c>
      <c r="AB30" s="84" t="s">
        <v>1554</v>
      </c>
      <c r="AC30" s="84" t="s">
        <v>2329</v>
      </c>
      <c r="AD30" s="84" t="s">
        <v>1994</v>
      </c>
      <c r="AE30" s="61"/>
    </row>
    <row r="31" spans="1:31" ht="117" x14ac:dyDescent="0.45">
      <c r="A31" s="61" t="s">
        <v>1892</v>
      </c>
      <c r="B31" s="61" t="s">
        <v>1893</v>
      </c>
      <c r="C31" s="65"/>
      <c r="D31" s="61"/>
      <c r="E31" s="61" t="s">
        <v>2200</v>
      </c>
      <c r="F31" s="70" t="s">
        <v>53</v>
      </c>
      <c r="G31" s="70" t="s">
        <v>2121</v>
      </c>
      <c r="H31" s="67">
        <v>46175.837430555555</v>
      </c>
      <c r="I31" s="75">
        <f t="shared" ca="1" si="3"/>
        <v>4.8312618055570056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2314</v>
      </c>
      <c r="S31" s="61" t="s">
        <v>85</v>
      </c>
      <c r="T31" s="61" t="s">
        <v>1688</v>
      </c>
      <c r="U31" s="61" t="s">
        <v>1688</v>
      </c>
      <c r="V31" s="61" t="str">
        <f>VLOOKUP(B31,[2]Overall!$A:$D,4,0)</f>
        <v>H-TELI</v>
      </c>
      <c r="W31" s="61" t="str">
        <f>VLOOKUP(B31,[3]Sheet1!$A:$B,2,0)</f>
        <v>Santchou</v>
      </c>
      <c r="X31" s="88" t="str">
        <f t="shared" si="0"/>
        <v>OST</v>
      </c>
      <c r="Y31" s="80" t="str">
        <f t="shared" ca="1" si="4"/>
        <v>T&gt;72H</v>
      </c>
      <c r="Z31" s="61">
        <f t="shared" si="5"/>
        <v>1</v>
      </c>
      <c r="AA31" s="61" t="s">
        <v>1566</v>
      </c>
      <c r="AB31" s="84" t="s">
        <v>1554</v>
      </c>
      <c r="AC31" s="84" t="s">
        <v>2329</v>
      </c>
      <c r="AD31" s="84" t="s">
        <v>1994</v>
      </c>
      <c r="AE31" s="61"/>
    </row>
    <row r="32" spans="1:31" ht="117" x14ac:dyDescent="0.45">
      <c r="A32" s="61" t="s">
        <v>1892</v>
      </c>
      <c r="B32" s="61" t="s">
        <v>1893</v>
      </c>
      <c r="C32" s="65"/>
      <c r="D32" s="61"/>
      <c r="E32" s="61" t="s">
        <v>2201</v>
      </c>
      <c r="F32" s="70" t="s">
        <v>53</v>
      </c>
      <c r="G32" s="70" t="s">
        <v>2121</v>
      </c>
      <c r="H32" s="67">
        <v>46175.837407407409</v>
      </c>
      <c r="I32" s="75">
        <f t="shared" ca="1" si="3"/>
        <v>4.8312849537032889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2314</v>
      </c>
      <c r="S32" s="61" t="s">
        <v>85</v>
      </c>
      <c r="T32" s="61" t="s">
        <v>1688</v>
      </c>
      <c r="U32" s="61" t="s">
        <v>1688</v>
      </c>
      <c r="V32" s="61" t="str">
        <f>VLOOKUP(B32,[2]Overall!$A:$D,4,0)</f>
        <v>H-TELI</v>
      </c>
      <c r="W32" s="61" t="str">
        <f>VLOOKUP(B32,[3]Sheet1!$A:$B,2,0)</f>
        <v>Santchou</v>
      </c>
      <c r="X32" s="88" t="str">
        <f t="shared" si="0"/>
        <v>OST</v>
      </c>
      <c r="Y32" s="80" t="str">
        <f t="shared" ca="1" si="4"/>
        <v>T&gt;72H</v>
      </c>
      <c r="Z32" s="61">
        <f t="shared" si="5"/>
        <v>1</v>
      </c>
      <c r="AA32" s="61" t="s">
        <v>1566</v>
      </c>
      <c r="AB32" s="84" t="s">
        <v>1554</v>
      </c>
      <c r="AC32" s="84" t="s">
        <v>2329</v>
      </c>
      <c r="AD32" s="84" t="s">
        <v>1994</v>
      </c>
      <c r="AE32" s="61"/>
    </row>
    <row r="33" spans="1:31" ht="117" x14ac:dyDescent="0.45">
      <c r="A33" s="61" t="s">
        <v>1892</v>
      </c>
      <c r="B33" s="61" t="s">
        <v>1893</v>
      </c>
      <c r="C33" s="65"/>
      <c r="D33" s="61"/>
      <c r="E33" s="61" t="s">
        <v>2202</v>
      </c>
      <c r="F33" s="70" t="s">
        <v>53</v>
      </c>
      <c r="G33" s="70" t="s">
        <v>2121</v>
      </c>
      <c r="H33" s="67">
        <v>46175.837430555555</v>
      </c>
      <c r="I33" s="75">
        <f t="shared" ca="1" si="3"/>
        <v>4.8312618055570056</v>
      </c>
      <c r="J33" s="61"/>
      <c r="K33" s="61"/>
      <c r="L33" s="61"/>
      <c r="M33" s="61" t="s">
        <v>41</v>
      </c>
      <c r="N33" s="61" t="s">
        <v>42</v>
      </c>
      <c r="O33" s="61"/>
      <c r="P33" s="61"/>
      <c r="Q33" s="61"/>
      <c r="R33" s="61" t="s">
        <v>2314</v>
      </c>
      <c r="S33" s="61" t="s">
        <v>85</v>
      </c>
      <c r="T33" s="61" t="s">
        <v>1688</v>
      </c>
      <c r="U33" s="61" t="s">
        <v>1688</v>
      </c>
      <c r="V33" s="61" t="str">
        <f>VLOOKUP(B33,[2]Overall!$A:$D,4,0)</f>
        <v>H-TELI</v>
      </c>
      <c r="W33" s="61" t="str">
        <f>VLOOKUP(B33,[3]Sheet1!$A:$B,2,0)</f>
        <v>Santchou</v>
      </c>
      <c r="X33" s="88" t="str">
        <f t="shared" si="0"/>
        <v>OST</v>
      </c>
      <c r="Y33" s="80" t="str">
        <f t="shared" ca="1" si="4"/>
        <v>T&gt;72H</v>
      </c>
      <c r="Z33" s="61">
        <f t="shared" si="5"/>
        <v>1</v>
      </c>
      <c r="AA33" s="61" t="s">
        <v>1566</v>
      </c>
      <c r="AB33" s="84" t="s">
        <v>1554</v>
      </c>
      <c r="AC33" s="84" t="s">
        <v>2329</v>
      </c>
      <c r="AD33" s="84" t="s">
        <v>1994</v>
      </c>
      <c r="AE33" s="61"/>
    </row>
    <row r="34" spans="1:31" ht="117" x14ac:dyDescent="0.45">
      <c r="A34" s="61" t="s">
        <v>1892</v>
      </c>
      <c r="B34" s="61" t="s">
        <v>1893</v>
      </c>
      <c r="C34" s="65"/>
      <c r="D34" s="61"/>
      <c r="E34" s="61" t="s">
        <v>2203</v>
      </c>
      <c r="F34" s="70" t="s">
        <v>53</v>
      </c>
      <c r="G34" s="70" t="s">
        <v>2121</v>
      </c>
      <c r="H34" s="67">
        <v>46175.837430555555</v>
      </c>
      <c r="I34" s="75">
        <f t="shared" ca="1" si="3"/>
        <v>4.8312618055570056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61" t="s">
        <v>2314</v>
      </c>
      <c r="S34" s="61" t="s">
        <v>85</v>
      </c>
      <c r="T34" s="61" t="s">
        <v>1688</v>
      </c>
      <c r="U34" s="61" t="s">
        <v>1688</v>
      </c>
      <c r="V34" s="61" t="str">
        <f>VLOOKUP(B34,[2]Overall!$A:$D,4,0)</f>
        <v>H-TELI</v>
      </c>
      <c r="W34" s="61" t="str">
        <f>VLOOKUP(B34,[3]Sheet1!$A:$B,2,0)</f>
        <v>Santchou</v>
      </c>
      <c r="X34" s="88" t="str">
        <f t="shared" si="0"/>
        <v>OST</v>
      </c>
      <c r="Y34" s="80" t="str">
        <f t="shared" ca="1" si="4"/>
        <v>T&gt;72H</v>
      </c>
      <c r="Z34" s="61">
        <f t="shared" si="5"/>
        <v>1</v>
      </c>
      <c r="AA34" s="61" t="s">
        <v>1566</v>
      </c>
      <c r="AB34" s="84" t="s">
        <v>1554</v>
      </c>
      <c r="AC34" s="84" t="s">
        <v>2329</v>
      </c>
      <c r="AD34" s="84" t="s">
        <v>1994</v>
      </c>
      <c r="AE34" s="61"/>
    </row>
    <row r="35" spans="1:31" ht="117" x14ac:dyDescent="0.45">
      <c r="A35" s="61" t="s">
        <v>1892</v>
      </c>
      <c r="B35" s="61" t="s">
        <v>1893</v>
      </c>
      <c r="C35" s="65"/>
      <c r="D35" s="61"/>
      <c r="E35" s="61" t="s">
        <v>2204</v>
      </c>
      <c r="F35" s="70" t="s">
        <v>53</v>
      </c>
      <c r="G35" s="70" t="s">
        <v>2121</v>
      </c>
      <c r="H35" s="67">
        <v>46175.837430555555</v>
      </c>
      <c r="I35" s="75">
        <f t="shared" ca="1" si="3"/>
        <v>4.8312618055570056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2314</v>
      </c>
      <c r="S35" s="61" t="s">
        <v>85</v>
      </c>
      <c r="T35" s="61" t="s">
        <v>1688</v>
      </c>
      <c r="U35" s="61" t="s">
        <v>1688</v>
      </c>
      <c r="V35" s="61" t="str">
        <f>VLOOKUP(B35,[2]Overall!$A:$D,4,0)</f>
        <v>H-TELI</v>
      </c>
      <c r="W35" s="61" t="str">
        <f>VLOOKUP(B35,[3]Sheet1!$A:$B,2,0)</f>
        <v>Santchou</v>
      </c>
      <c r="X35" s="88" t="str">
        <f t="shared" si="0"/>
        <v>EXN</v>
      </c>
      <c r="Y35" s="80" t="str">
        <f t="shared" ca="1" si="4"/>
        <v>T&gt;72H</v>
      </c>
      <c r="Z35" s="61">
        <f t="shared" si="5"/>
        <v>1</v>
      </c>
      <c r="AA35" s="61" t="s">
        <v>1566</v>
      </c>
      <c r="AB35" s="84" t="s">
        <v>1554</v>
      </c>
      <c r="AC35" s="84" t="s">
        <v>2329</v>
      </c>
      <c r="AD35" s="84" t="s">
        <v>1994</v>
      </c>
      <c r="AE35" s="61"/>
    </row>
    <row r="36" spans="1:31" ht="59" x14ac:dyDescent="0.45">
      <c r="A36" s="61" t="s">
        <v>2257</v>
      </c>
      <c r="B36" s="61" t="s">
        <v>1796</v>
      </c>
      <c r="C36" s="65"/>
      <c r="D36" s="61"/>
      <c r="E36" s="61" t="s">
        <v>1636</v>
      </c>
      <c r="F36" s="70" t="s">
        <v>53</v>
      </c>
      <c r="G36" s="70" t="s">
        <v>2121</v>
      </c>
      <c r="H36" s="67">
        <v>46176.105856481481</v>
      </c>
      <c r="I36" s="75">
        <f t="shared" ca="1" si="3"/>
        <v>4.5628358796311659</v>
      </c>
      <c r="J36" s="61"/>
      <c r="K36" s="61"/>
      <c r="L36" s="61"/>
      <c r="M36" s="61" t="s">
        <v>33</v>
      </c>
      <c r="N36" s="61" t="s">
        <v>2258</v>
      </c>
      <c r="O36" s="61"/>
      <c r="P36" s="61"/>
      <c r="Q36" s="61"/>
      <c r="R36" s="84" t="s">
        <v>2367</v>
      </c>
      <c r="S36" s="84" t="s">
        <v>51</v>
      </c>
      <c r="T36" s="61" t="s">
        <v>1898</v>
      </c>
      <c r="U36" s="61" t="s">
        <v>1898</v>
      </c>
      <c r="V36" s="61" t="str">
        <f>VLOOKUP(B36,[2]Overall!$A:$D,4,0)</f>
        <v>TELEINFRA NORD</v>
      </c>
      <c r="W36" s="61" t="str">
        <f>VLOOKUP(B36,[3]Sheet1!$A:$B,2,0)</f>
        <v>Bagarao</v>
      </c>
      <c r="X36" s="88" t="str">
        <f t="shared" si="0"/>
        <v>SUD</v>
      </c>
      <c r="Y36" s="80" t="str">
        <f t="shared" ca="1" si="4"/>
        <v>T&gt;72H</v>
      </c>
      <c r="Z36" s="61">
        <f t="shared" si="5"/>
        <v>1</v>
      </c>
      <c r="AA36" s="61" t="s">
        <v>1566</v>
      </c>
      <c r="AB36" s="84" t="s">
        <v>1554</v>
      </c>
      <c r="AC36" s="84" t="s">
        <v>2329</v>
      </c>
      <c r="AD36" s="84" t="s">
        <v>1994</v>
      </c>
      <c r="AE36" s="61"/>
    </row>
    <row r="37" spans="1:31" ht="73.5" x14ac:dyDescent="0.45">
      <c r="A37" s="63" t="s">
        <v>2208</v>
      </c>
      <c r="B37" s="63" t="s">
        <v>2209</v>
      </c>
      <c r="C37" s="68"/>
      <c r="D37" s="63"/>
      <c r="E37" s="63" t="s">
        <v>2210</v>
      </c>
      <c r="F37" s="71" t="s">
        <v>53</v>
      </c>
      <c r="G37" s="71" t="s">
        <v>2121</v>
      </c>
      <c r="H37" s="69">
        <v>46176.156597222223</v>
      </c>
      <c r="I37" s="77">
        <f t="shared" ca="1" si="3"/>
        <v>4.5120951388889807</v>
      </c>
      <c r="J37" s="63"/>
      <c r="K37" s="63"/>
      <c r="L37" s="63"/>
      <c r="M37" s="63" t="s">
        <v>1627</v>
      </c>
      <c r="N37" s="63" t="s">
        <v>2211</v>
      </c>
      <c r="O37" s="63"/>
      <c r="P37" s="63" t="s">
        <v>1906</v>
      </c>
      <c r="Q37" s="63"/>
      <c r="R37" s="63" t="s">
        <v>2330</v>
      </c>
      <c r="S37" s="63" t="s">
        <v>45</v>
      </c>
      <c r="T37" s="63" t="s">
        <v>1754</v>
      </c>
      <c r="U37" s="63" t="s">
        <v>1754</v>
      </c>
      <c r="V37" s="63" t="str">
        <f>VLOOKUP(B37,[2]Overall!$A:$D,4,0)</f>
        <v>TELEINFRA CENTRE</v>
      </c>
      <c r="W37" s="63" t="str">
        <f>VLOOKUP(B37,[3]Sheet1!$A:$B,2,0)</f>
        <v>Mvangan</v>
      </c>
      <c r="X37" s="89" t="str">
        <f t="shared" si="0"/>
        <v>EXN</v>
      </c>
      <c r="Y37" s="81" t="str">
        <f t="shared" ca="1" si="4"/>
        <v>T&gt;72H</v>
      </c>
      <c r="Z37" s="63">
        <f t="shared" si="5"/>
        <v>1</v>
      </c>
      <c r="AA37" s="63" t="s">
        <v>77</v>
      </c>
      <c r="AB37" s="85" t="s">
        <v>1554</v>
      </c>
      <c r="AC37" s="85" t="s">
        <v>2329</v>
      </c>
      <c r="AD37" s="85" t="s">
        <v>1994</v>
      </c>
      <c r="AE37" s="63"/>
    </row>
    <row r="38" spans="1:31" ht="44.5" x14ac:dyDescent="0.45">
      <c r="A38" s="61" t="s">
        <v>2257</v>
      </c>
      <c r="B38" s="61" t="s">
        <v>1796</v>
      </c>
      <c r="C38" s="65"/>
      <c r="D38" s="61"/>
      <c r="E38" s="61" t="s">
        <v>1641</v>
      </c>
      <c r="F38" s="70" t="s">
        <v>53</v>
      </c>
      <c r="G38" s="70" t="s">
        <v>2121</v>
      </c>
      <c r="H38" s="67">
        <v>46176.241365740738</v>
      </c>
      <c r="I38" s="75">
        <f t="shared" ca="1" si="3"/>
        <v>4.4273266203745152</v>
      </c>
      <c r="J38" s="61"/>
      <c r="K38" s="61"/>
      <c r="L38" s="61"/>
      <c r="M38" s="61" t="s">
        <v>2259</v>
      </c>
      <c r="N38" s="61" t="s">
        <v>2260</v>
      </c>
      <c r="O38" s="61"/>
      <c r="P38" s="61"/>
      <c r="Q38" s="61"/>
      <c r="R38" s="84" t="s">
        <v>2367</v>
      </c>
      <c r="S38" s="84" t="s">
        <v>51</v>
      </c>
      <c r="T38" s="61" t="s">
        <v>1898</v>
      </c>
      <c r="U38" s="61" t="s">
        <v>1898</v>
      </c>
      <c r="V38" s="61" t="str">
        <f>VLOOKUP(B38,[2]Overall!$A:$D,4,0)</f>
        <v>TELEINFRA NORD</v>
      </c>
      <c r="W38" s="61" t="str">
        <f>VLOOKUP(B38,[3]Sheet1!$A:$B,2,0)</f>
        <v>Bagarao</v>
      </c>
      <c r="X38" s="88" t="str">
        <f t="shared" si="0"/>
        <v>EXN</v>
      </c>
      <c r="Y38" s="80" t="str">
        <f t="shared" ca="1" si="4"/>
        <v>T&gt;72H</v>
      </c>
      <c r="Z38" s="61">
        <f t="shared" si="5"/>
        <v>1</v>
      </c>
      <c r="AA38" s="61" t="s">
        <v>1566</v>
      </c>
      <c r="AB38" s="84" t="s">
        <v>1554</v>
      </c>
      <c r="AC38" s="84" t="s">
        <v>2329</v>
      </c>
      <c r="AD38" s="84" t="s">
        <v>1994</v>
      </c>
      <c r="AE38" s="61"/>
    </row>
    <row r="39" spans="1:31" ht="44.5" x14ac:dyDescent="0.45">
      <c r="A39" s="61" t="s">
        <v>2257</v>
      </c>
      <c r="B39" s="61" t="s">
        <v>1796</v>
      </c>
      <c r="C39" s="65"/>
      <c r="D39" s="61"/>
      <c r="E39" s="61" t="s">
        <v>49</v>
      </c>
      <c r="F39" s="70" t="s">
        <v>53</v>
      </c>
      <c r="G39" s="70" t="s">
        <v>2121</v>
      </c>
      <c r="H39" s="67">
        <v>46176.241365740738</v>
      </c>
      <c r="I39" s="75">
        <f t="shared" ca="1" si="3"/>
        <v>4.4273266203745152</v>
      </c>
      <c r="J39" s="61"/>
      <c r="K39" s="61"/>
      <c r="L39" s="61"/>
      <c r="M39" s="61" t="s">
        <v>2259</v>
      </c>
      <c r="N39" s="61" t="s">
        <v>2261</v>
      </c>
      <c r="O39" s="61"/>
      <c r="P39" s="61"/>
      <c r="Q39" s="61"/>
      <c r="R39" s="84" t="s">
        <v>2367</v>
      </c>
      <c r="S39" s="84" t="s">
        <v>51</v>
      </c>
      <c r="T39" s="61" t="s">
        <v>1898</v>
      </c>
      <c r="U39" s="61" t="s">
        <v>1898</v>
      </c>
      <c r="V39" s="61" t="str">
        <f>VLOOKUP(B39,[2]Overall!$A:$D,4,0)</f>
        <v>TELEINFRA NORD</v>
      </c>
      <c r="W39" s="61" t="str">
        <f>VLOOKUP(B39,[3]Sheet1!$A:$B,2,0)</f>
        <v>Bagarao</v>
      </c>
      <c r="X39" s="88" t="str">
        <f t="shared" si="0"/>
        <v>ADM</v>
      </c>
      <c r="Y39" s="80" t="str">
        <f t="shared" ca="1" si="4"/>
        <v>T&gt;72H</v>
      </c>
      <c r="Z39" s="61">
        <f t="shared" si="5"/>
        <v>1</v>
      </c>
      <c r="AA39" s="61" t="s">
        <v>1566</v>
      </c>
      <c r="AB39" s="84" t="s">
        <v>1554</v>
      </c>
      <c r="AC39" s="84" t="s">
        <v>2329</v>
      </c>
      <c r="AD39" s="84" t="s">
        <v>1994</v>
      </c>
      <c r="AE39" s="61"/>
    </row>
    <row r="40" spans="1:31" ht="378" x14ac:dyDescent="0.45">
      <c r="A40" s="61" t="s">
        <v>1917</v>
      </c>
      <c r="B40" s="61" t="s">
        <v>1711</v>
      </c>
      <c r="C40" s="65"/>
      <c r="D40" s="61"/>
      <c r="E40" s="61" t="s">
        <v>49</v>
      </c>
      <c r="F40" s="70" t="s">
        <v>53</v>
      </c>
      <c r="G40" s="70" t="s">
        <v>2121</v>
      </c>
      <c r="H40" s="67">
        <v>46176.253738425927</v>
      </c>
      <c r="I40" s="75">
        <f t="shared" ca="1" si="3"/>
        <v>4.414953935185622</v>
      </c>
      <c r="J40" s="61"/>
      <c r="K40" s="61"/>
      <c r="L40" s="61"/>
      <c r="M40" s="61" t="s">
        <v>38</v>
      </c>
      <c r="N40" s="61" t="s">
        <v>1918</v>
      </c>
      <c r="O40" s="61"/>
      <c r="P40" s="61"/>
      <c r="Q40" s="61"/>
      <c r="R40" s="61" t="s">
        <v>2010</v>
      </c>
      <c r="S40" s="61" t="s">
        <v>50</v>
      </c>
      <c r="T40" s="61" t="s">
        <v>1688</v>
      </c>
      <c r="U40" s="61" t="e">
        <v>#N/A</v>
      </c>
      <c r="V40" s="61" t="str">
        <f>VLOOKUP(B40,[2]Overall!$A:$D,4,0)</f>
        <v>TELEINFRA NORD</v>
      </c>
      <c r="W40" s="61" t="str">
        <f>VLOOKUP(B40,[3]Sheet1!$A:$B,2,0)</f>
        <v>Martap</v>
      </c>
      <c r="X40" s="88" t="str">
        <f t="shared" si="0"/>
        <v>NRD</v>
      </c>
      <c r="Y40" s="80" t="str">
        <f t="shared" ca="1" si="4"/>
        <v>T&gt;72H</v>
      </c>
      <c r="Z40" s="61">
        <f t="shared" si="5"/>
        <v>1</v>
      </c>
      <c r="AA40" s="61" t="s">
        <v>1566</v>
      </c>
      <c r="AB40" s="84" t="s">
        <v>1554</v>
      </c>
      <c r="AC40" s="84" t="s">
        <v>2329</v>
      </c>
      <c r="AD40" s="84" t="s">
        <v>1994</v>
      </c>
      <c r="AE40" s="61"/>
    </row>
    <row r="41" spans="1:31" ht="102.5" x14ac:dyDescent="0.45">
      <c r="A41" s="61" t="s">
        <v>2262</v>
      </c>
      <c r="B41" s="61" t="s">
        <v>2263</v>
      </c>
      <c r="C41" s="65"/>
      <c r="D41" s="61"/>
      <c r="E41" s="61" t="s">
        <v>2264</v>
      </c>
      <c r="F41" s="70" t="s">
        <v>53</v>
      </c>
      <c r="G41" s="70" t="s">
        <v>2121</v>
      </c>
      <c r="H41" s="67">
        <v>46176.41369212963</v>
      </c>
      <c r="I41" s="75">
        <f t="shared" ca="1" si="3"/>
        <v>4.2550002314819722</v>
      </c>
      <c r="J41" s="61"/>
      <c r="K41" s="61"/>
      <c r="L41" s="61"/>
      <c r="M41" s="61" t="s">
        <v>31</v>
      </c>
      <c r="N41" s="61" t="s">
        <v>2265</v>
      </c>
      <c r="O41" s="61"/>
      <c r="P41" s="61"/>
      <c r="Q41" s="61"/>
      <c r="R41" s="61" t="s">
        <v>2332</v>
      </c>
      <c r="S41" s="61" t="s">
        <v>40</v>
      </c>
      <c r="T41" s="61" t="s">
        <v>1898</v>
      </c>
      <c r="U41" s="61" t="s">
        <v>1898</v>
      </c>
      <c r="V41" s="61" t="str">
        <f>VLOOKUP(B41,[2]Overall!$A:$D,4,0)</f>
        <v>TELEINFRA NORD</v>
      </c>
      <c r="W41" s="61" t="str">
        <f>VLOOKUP(B41,[3]Sheet1!$A:$B,2,0)</f>
        <v>Ndiam-badji</v>
      </c>
      <c r="X41" s="88" t="str">
        <f t="shared" si="0"/>
        <v>NRD</v>
      </c>
      <c r="Y41" s="80" t="str">
        <f t="shared" ca="1" si="4"/>
        <v>T&gt;72H</v>
      </c>
      <c r="Z41" s="61">
        <f t="shared" si="5"/>
        <v>6</v>
      </c>
      <c r="AA41" s="61" t="s">
        <v>1566</v>
      </c>
      <c r="AB41" s="84" t="s">
        <v>1554</v>
      </c>
      <c r="AC41" s="84" t="s">
        <v>2329</v>
      </c>
      <c r="AD41" s="84" t="s">
        <v>1994</v>
      </c>
      <c r="AE41" s="61"/>
    </row>
    <row r="42" spans="1:31" ht="73.5" x14ac:dyDescent="0.45">
      <c r="A42" s="61" t="s">
        <v>2262</v>
      </c>
      <c r="B42" s="61" t="s">
        <v>2263</v>
      </c>
      <c r="C42" s="65"/>
      <c r="D42" s="61"/>
      <c r="E42" s="61" t="s">
        <v>2264</v>
      </c>
      <c r="F42" s="70" t="s">
        <v>53</v>
      </c>
      <c r="G42" s="70" t="s">
        <v>2121</v>
      </c>
      <c r="H42" s="67">
        <v>46176.450185185182</v>
      </c>
      <c r="I42" s="75">
        <f t="shared" ca="1" si="3"/>
        <v>4.2185071759304265</v>
      </c>
      <c r="J42" s="61"/>
      <c r="K42" s="61"/>
      <c r="L42" s="61"/>
      <c r="M42" s="61" t="s">
        <v>1713</v>
      </c>
      <c r="N42" s="61" t="s">
        <v>2266</v>
      </c>
      <c r="O42" s="61"/>
      <c r="P42" s="61"/>
      <c r="Q42" s="61"/>
      <c r="R42" s="61" t="s">
        <v>2332</v>
      </c>
      <c r="S42" s="61" t="s">
        <v>40</v>
      </c>
      <c r="T42" s="61" t="s">
        <v>1898</v>
      </c>
      <c r="U42" s="61" t="s">
        <v>1898</v>
      </c>
      <c r="V42" s="61" t="str">
        <f>VLOOKUP(B42,[2]Overall!$A:$D,4,0)</f>
        <v>TELEINFRA NORD</v>
      </c>
      <c r="W42" s="61" t="str">
        <f>VLOOKUP(B42,[3]Sheet1!$A:$B,2,0)</f>
        <v>Ndiam-badji</v>
      </c>
      <c r="X42" s="88" t="str">
        <f t="shared" si="0"/>
        <v>EXN</v>
      </c>
      <c r="Y42" s="80" t="str">
        <f t="shared" ca="1" si="4"/>
        <v>T&gt;72H</v>
      </c>
      <c r="Z42" s="61">
        <f t="shared" si="5"/>
        <v>6</v>
      </c>
      <c r="AA42" s="61" t="s">
        <v>1566</v>
      </c>
      <c r="AB42" s="84" t="s">
        <v>1554</v>
      </c>
      <c r="AC42" s="84" t="s">
        <v>2329</v>
      </c>
      <c r="AD42" s="84" t="s">
        <v>1994</v>
      </c>
      <c r="AE42" s="61"/>
    </row>
    <row r="43" spans="1:31" ht="73.5" x14ac:dyDescent="0.45">
      <c r="A43" s="61" t="s">
        <v>2267</v>
      </c>
      <c r="B43" s="61" t="s">
        <v>2268</v>
      </c>
      <c r="C43" s="65"/>
      <c r="D43" s="61"/>
      <c r="E43" s="61" t="s">
        <v>2269</v>
      </c>
      <c r="F43" s="70" t="s">
        <v>53</v>
      </c>
      <c r="G43" s="70" t="s">
        <v>2121</v>
      </c>
      <c r="H43" s="67">
        <v>46176.45103009259</v>
      </c>
      <c r="I43" s="75">
        <f t="shared" ca="1" si="3"/>
        <v>4.2176622685219627</v>
      </c>
      <c r="J43" s="61"/>
      <c r="K43" s="61"/>
      <c r="L43" s="61"/>
      <c r="M43" s="61" t="s">
        <v>31</v>
      </c>
      <c r="N43" s="61" t="s">
        <v>2270</v>
      </c>
      <c r="O43" s="61"/>
      <c r="P43" s="61"/>
      <c r="Q43" s="61"/>
      <c r="R43" s="61" t="s">
        <v>2312</v>
      </c>
      <c r="S43" s="61" t="s">
        <v>40</v>
      </c>
      <c r="T43" s="61" t="s">
        <v>1898</v>
      </c>
      <c r="U43" s="61" t="s">
        <v>1898</v>
      </c>
      <c r="V43" s="61" t="str">
        <f>VLOOKUP(B43,[2]Overall!$A:$D,4,0)</f>
        <v>TELEINFRA NORD</v>
      </c>
      <c r="W43" s="61" t="str">
        <f>VLOOKUP(B43,[3]Sheet1!$A:$B,2,0)</f>
        <v>Dabanga</v>
      </c>
      <c r="X43" s="88" t="str">
        <f t="shared" si="0"/>
        <v>EXN</v>
      </c>
      <c r="Y43" s="80" t="str">
        <f t="shared" ca="1" si="4"/>
        <v>T&gt;72H</v>
      </c>
      <c r="Z43" s="61">
        <f t="shared" si="5"/>
        <v>6</v>
      </c>
      <c r="AA43" s="61" t="s">
        <v>1566</v>
      </c>
      <c r="AB43" s="84" t="s">
        <v>1554</v>
      </c>
      <c r="AC43" s="84" t="s">
        <v>2329</v>
      </c>
      <c r="AD43" s="84" t="s">
        <v>1994</v>
      </c>
      <c r="AE43" s="61"/>
    </row>
    <row r="44" spans="1:31" ht="73.5" x14ac:dyDescent="0.45">
      <c r="A44" s="61" t="s">
        <v>2267</v>
      </c>
      <c r="B44" s="61" t="s">
        <v>2268</v>
      </c>
      <c r="C44" s="65"/>
      <c r="D44" s="61"/>
      <c r="E44" s="61" t="s">
        <v>2271</v>
      </c>
      <c r="F44" s="70" t="s">
        <v>53</v>
      </c>
      <c r="G44" s="70" t="s">
        <v>2121</v>
      </c>
      <c r="H44" s="67">
        <v>46176.45103009259</v>
      </c>
      <c r="I44" s="75">
        <f t="shared" ca="1" si="3"/>
        <v>4.2176622685219627</v>
      </c>
      <c r="J44" s="61"/>
      <c r="K44" s="61"/>
      <c r="L44" s="61"/>
      <c r="M44" s="61" t="s">
        <v>31</v>
      </c>
      <c r="N44" s="61" t="s">
        <v>2272</v>
      </c>
      <c r="O44" s="61"/>
      <c r="P44" s="61"/>
      <c r="Q44" s="61"/>
      <c r="R44" s="61" t="s">
        <v>2312</v>
      </c>
      <c r="S44" s="61" t="s">
        <v>40</v>
      </c>
      <c r="T44" s="61" t="s">
        <v>1898</v>
      </c>
      <c r="U44" s="61" t="s">
        <v>1898</v>
      </c>
      <c r="V44" s="61" t="str">
        <f>VLOOKUP(B44,[2]Overall!$A:$D,4,0)</f>
        <v>TELEINFRA NORD</v>
      </c>
      <c r="W44" s="61" t="str">
        <f>VLOOKUP(B44,[3]Sheet1!$A:$B,2,0)</f>
        <v>Dabanga</v>
      </c>
      <c r="X44" s="88" t="str">
        <f t="shared" si="0"/>
        <v>EXN</v>
      </c>
      <c r="Y44" s="80" t="str">
        <f t="shared" ca="1" si="4"/>
        <v>T&gt;72H</v>
      </c>
      <c r="Z44" s="61">
        <f t="shared" si="5"/>
        <v>4</v>
      </c>
      <c r="AA44" s="61" t="s">
        <v>1566</v>
      </c>
      <c r="AB44" s="84" t="s">
        <v>1554</v>
      </c>
      <c r="AC44" s="84" t="s">
        <v>2329</v>
      </c>
      <c r="AD44" s="84" t="s">
        <v>1994</v>
      </c>
      <c r="AE44" s="61"/>
    </row>
    <row r="45" spans="1:31" ht="73.5" x14ac:dyDescent="0.45">
      <c r="A45" s="61" t="s">
        <v>2273</v>
      </c>
      <c r="B45" s="61" t="s">
        <v>2268</v>
      </c>
      <c r="C45" s="65"/>
      <c r="D45" s="61"/>
      <c r="E45" s="61" t="s">
        <v>47</v>
      </c>
      <c r="F45" s="70" t="s">
        <v>53</v>
      </c>
      <c r="G45" s="70" t="s">
        <v>2121</v>
      </c>
      <c r="H45" s="67">
        <v>46176.45108796296</v>
      </c>
      <c r="I45" s="75">
        <f t="shared" ca="1" si="3"/>
        <v>4.2176043981526163</v>
      </c>
      <c r="J45" s="61"/>
      <c r="K45" s="61"/>
      <c r="L45" s="61"/>
      <c r="M45" s="61" t="s">
        <v>31</v>
      </c>
      <c r="N45" s="61" t="s">
        <v>2274</v>
      </c>
      <c r="O45" s="61"/>
      <c r="P45" s="61"/>
      <c r="Q45" s="61"/>
      <c r="R45" s="61" t="s">
        <v>2312</v>
      </c>
      <c r="S45" s="61" t="s">
        <v>40</v>
      </c>
      <c r="T45" s="61" t="s">
        <v>1898</v>
      </c>
      <c r="U45" s="61" t="s">
        <v>1898</v>
      </c>
      <c r="V45" s="61" t="str">
        <f>VLOOKUP(B45,[2]Overall!$A:$D,4,0)</f>
        <v>TELEINFRA NORD</v>
      </c>
      <c r="W45" s="61" t="str">
        <f>VLOOKUP(B45,[3]Sheet1!$A:$B,2,0)</f>
        <v>Dabanga</v>
      </c>
      <c r="X45" s="88" t="str">
        <f t="shared" si="0"/>
        <v>EXN</v>
      </c>
      <c r="Y45" s="80" t="str">
        <f t="shared" ca="1" si="4"/>
        <v>T&gt;72H</v>
      </c>
      <c r="Z45" s="61">
        <f t="shared" si="5"/>
        <v>3</v>
      </c>
      <c r="AA45" s="61" t="s">
        <v>1566</v>
      </c>
      <c r="AB45" s="84" t="s">
        <v>1554</v>
      </c>
      <c r="AC45" s="84" t="s">
        <v>2329</v>
      </c>
      <c r="AD45" s="84" t="s">
        <v>1994</v>
      </c>
      <c r="AE45" s="61"/>
    </row>
    <row r="46" spans="1:31" ht="73.5" x14ac:dyDescent="0.45">
      <c r="A46" s="61" t="s">
        <v>2273</v>
      </c>
      <c r="B46" s="61" t="s">
        <v>2268</v>
      </c>
      <c r="C46" s="65"/>
      <c r="D46" s="61"/>
      <c r="E46" s="61" t="s">
        <v>35</v>
      </c>
      <c r="F46" s="70" t="s">
        <v>53</v>
      </c>
      <c r="G46" s="70" t="s">
        <v>2121</v>
      </c>
      <c r="H46" s="67">
        <v>46176.45108796296</v>
      </c>
      <c r="I46" s="75">
        <f t="shared" ca="1" si="3"/>
        <v>4.2176043981526163</v>
      </c>
      <c r="J46" s="61"/>
      <c r="K46" s="61"/>
      <c r="L46" s="61"/>
      <c r="M46" s="61" t="s">
        <v>31</v>
      </c>
      <c r="N46" s="61" t="s">
        <v>2275</v>
      </c>
      <c r="O46" s="61"/>
      <c r="P46" s="61"/>
      <c r="Q46" s="61"/>
      <c r="R46" s="61" t="s">
        <v>2312</v>
      </c>
      <c r="S46" s="61" t="s">
        <v>40</v>
      </c>
      <c r="T46" s="61" t="s">
        <v>1898</v>
      </c>
      <c r="U46" s="61" t="s">
        <v>1898</v>
      </c>
      <c r="V46" s="61" t="str">
        <f>VLOOKUP(B46,[2]Overall!$A:$D,4,0)</f>
        <v>TELEINFRA NORD</v>
      </c>
      <c r="W46" s="61" t="str">
        <f>VLOOKUP(B46,[3]Sheet1!$A:$B,2,0)</f>
        <v>Dabanga</v>
      </c>
      <c r="X46" s="88" t="str">
        <f t="shared" si="0"/>
        <v>LIT</v>
      </c>
      <c r="Y46" s="80" t="str">
        <f t="shared" ca="1" si="4"/>
        <v>T&gt;72H</v>
      </c>
      <c r="Z46" s="61">
        <f t="shared" si="5"/>
        <v>3</v>
      </c>
      <c r="AA46" s="61" t="s">
        <v>1566</v>
      </c>
      <c r="AB46" s="84" t="s">
        <v>1554</v>
      </c>
      <c r="AC46" s="84" t="s">
        <v>2329</v>
      </c>
      <c r="AD46" s="84" t="s">
        <v>1994</v>
      </c>
      <c r="AE46" s="61"/>
    </row>
    <row r="47" spans="1:31" ht="73.5" x14ac:dyDescent="0.45">
      <c r="A47" s="61" t="s">
        <v>1877</v>
      </c>
      <c r="B47" s="61" t="s">
        <v>1878</v>
      </c>
      <c r="C47" s="65"/>
      <c r="D47" s="61"/>
      <c r="E47" s="61" t="s">
        <v>49</v>
      </c>
      <c r="F47" s="70" t="s">
        <v>53</v>
      </c>
      <c r="G47" s="70" t="s">
        <v>2121</v>
      </c>
      <c r="H47" s="67">
        <v>46176.473553240743</v>
      </c>
      <c r="I47" s="75">
        <f t="shared" ca="1" si="3"/>
        <v>4.1951391203692765</v>
      </c>
      <c r="J47" s="61"/>
      <c r="K47" s="61"/>
      <c r="L47" s="61"/>
      <c r="M47" s="61" t="s">
        <v>38</v>
      </c>
      <c r="N47" s="61" t="s">
        <v>1943</v>
      </c>
      <c r="O47" s="61"/>
      <c r="P47" s="61"/>
      <c r="Q47" s="61"/>
      <c r="R47" s="61" t="s">
        <v>2344</v>
      </c>
      <c r="S47" s="61" t="s">
        <v>85</v>
      </c>
      <c r="T47" s="61" t="s">
        <v>1898</v>
      </c>
      <c r="U47" s="61" t="s">
        <v>1898</v>
      </c>
      <c r="V47" s="61" t="str">
        <f>VLOOKUP(B47,[2]Overall!$A:$D,4,0)</f>
        <v>H-TELI</v>
      </c>
      <c r="W47" s="61" t="str">
        <f>VLOOKUP(B47,[3]Sheet1!$A:$B,2,0)</f>
        <v>Massock-Songloulou</v>
      </c>
      <c r="X47" s="88" t="str">
        <f t="shared" si="0"/>
        <v>NRO</v>
      </c>
      <c r="Y47" s="80" t="str">
        <f t="shared" ca="1" si="4"/>
        <v>T&gt;72H</v>
      </c>
      <c r="Z47" s="61">
        <f t="shared" si="5"/>
        <v>1</v>
      </c>
      <c r="AA47" s="61" t="s">
        <v>1566</v>
      </c>
      <c r="AB47" s="84" t="s">
        <v>1554</v>
      </c>
      <c r="AC47" s="84" t="s">
        <v>2329</v>
      </c>
      <c r="AD47" s="84" t="s">
        <v>1994</v>
      </c>
      <c r="AE47" s="61"/>
    </row>
    <row r="48" spans="1:31" ht="73.5" x14ac:dyDescent="0.45">
      <c r="A48" s="61" t="s">
        <v>2276</v>
      </c>
      <c r="B48" s="61" t="s">
        <v>2277</v>
      </c>
      <c r="C48" s="65"/>
      <c r="D48" s="61"/>
      <c r="E48" s="61" t="s">
        <v>2278</v>
      </c>
      <c r="F48" s="70" t="s">
        <v>53</v>
      </c>
      <c r="G48" s="70" t="s">
        <v>2121</v>
      </c>
      <c r="H48" s="67">
        <v>46176.504942129628</v>
      </c>
      <c r="I48" s="75">
        <f t="shared" ca="1" si="3"/>
        <v>4.1637502314843005</v>
      </c>
      <c r="J48" s="61"/>
      <c r="K48" s="61"/>
      <c r="L48" s="61"/>
      <c r="M48" s="61" t="s">
        <v>38</v>
      </c>
      <c r="N48" s="61" t="s">
        <v>2279</v>
      </c>
      <c r="O48" s="61"/>
      <c r="P48" s="61"/>
      <c r="Q48" s="61"/>
      <c r="R48" s="84" t="s">
        <v>2366</v>
      </c>
      <c r="S48" s="84" t="s">
        <v>51</v>
      </c>
      <c r="T48" s="61" t="s">
        <v>1898</v>
      </c>
      <c r="U48" s="61" t="s">
        <v>1898</v>
      </c>
      <c r="V48" s="61" t="str">
        <f>VLOOKUP(B48,[2]Overall!$A:$D,4,0)</f>
        <v xml:space="preserve">I-ENG </v>
      </c>
      <c r="W48" s="61" t="str">
        <f>VLOOKUP(B48,[3]Sheet1!$A:$B,2,0)</f>
        <v>Babanki</v>
      </c>
      <c r="X48" s="88" t="str">
        <f t="shared" si="0"/>
        <v>LIT</v>
      </c>
      <c r="Y48" s="80" t="str">
        <f t="shared" ca="1" si="4"/>
        <v>T&gt;72H</v>
      </c>
      <c r="Z48" s="61">
        <f t="shared" si="5"/>
        <v>2</v>
      </c>
      <c r="AA48" s="61" t="s">
        <v>1566</v>
      </c>
      <c r="AB48" s="84" t="s">
        <v>1554</v>
      </c>
      <c r="AC48" s="84" t="s">
        <v>2329</v>
      </c>
      <c r="AD48" s="84" t="s">
        <v>1994</v>
      </c>
      <c r="AE48" s="61"/>
    </row>
    <row r="49" spans="1:31" ht="88" x14ac:dyDescent="0.45">
      <c r="A49" s="61" t="s">
        <v>1807</v>
      </c>
      <c r="B49" s="61" t="s">
        <v>1808</v>
      </c>
      <c r="C49" s="65"/>
      <c r="D49" s="61"/>
      <c r="E49" s="61" t="s">
        <v>1814</v>
      </c>
      <c r="F49" s="70" t="s">
        <v>53</v>
      </c>
      <c r="G49" s="70" t="s">
        <v>2121</v>
      </c>
      <c r="H49" s="67">
        <v>46176.54959490741</v>
      </c>
      <c r="I49" s="75">
        <f t="shared" ca="1" si="3"/>
        <v>4.1190974537021248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82" t="s">
        <v>2345</v>
      </c>
      <c r="S49" s="82" t="s">
        <v>85</v>
      </c>
      <c r="T49" s="82" t="s">
        <v>1898</v>
      </c>
      <c r="U49" s="82" t="s">
        <v>1898</v>
      </c>
      <c r="V49" s="61" t="str">
        <f>VLOOKUP(B49,[2]Overall!$A:$D,4,0)</f>
        <v>H-TELI</v>
      </c>
      <c r="W49" s="61" t="str">
        <f>VLOOKUP(B49,[3]Sheet1!$A:$B,2,0)</f>
        <v>Songloulou</v>
      </c>
      <c r="X49" s="88" t="str">
        <f t="shared" si="0"/>
        <v>LIT</v>
      </c>
      <c r="Y49" s="80" t="str">
        <f t="shared" ca="1" si="4"/>
        <v>T&gt;72H</v>
      </c>
      <c r="Z49" s="61">
        <f t="shared" si="5"/>
        <v>1</v>
      </c>
      <c r="AA49" s="61" t="s">
        <v>1566</v>
      </c>
      <c r="AB49" s="84" t="s">
        <v>1555</v>
      </c>
      <c r="AC49" s="84" t="s">
        <v>2329</v>
      </c>
      <c r="AD49" s="84" t="s">
        <v>1994</v>
      </c>
      <c r="AE49" s="61"/>
    </row>
    <row r="50" spans="1:31" ht="88" x14ac:dyDescent="0.45">
      <c r="A50" s="61" t="s">
        <v>1807</v>
      </c>
      <c r="B50" s="61" t="s">
        <v>1808</v>
      </c>
      <c r="C50" s="65"/>
      <c r="D50" s="61"/>
      <c r="E50" s="61" t="s">
        <v>1813</v>
      </c>
      <c r="F50" s="70" t="s">
        <v>53</v>
      </c>
      <c r="G50" s="70" t="s">
        <v>2121</v>
      </c>
      <c r="H50" s="67">
        <v>46176.54959490741</v>
      </c>
      <c r="I50" s="75">
        <f t="shared" ca="1" si="3"/>
        <v>4.1190974537021248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82" t="s">
        <v>2333</v>
      </c>
      <c r="S50" s="82" t="s">
        <v>85</v>
      </c>
      <c r="T50" s="82" t="s">
        <v>1898</v>
      </c>
      <c r="U50" s="82" t="s">
        <v>1898</v>
      </c>
      <c r="V50" s="61" t="str">
        <f>VLOOKUP(B50,[2]Overall!$A:$D,4,0)</f>
        <v>H-TELI</v>
      </c>
      <c r="W50" s="61" t="str">
        <f>VLOOKUP(B50,[3]Sheet1!$A:$B,2,0)</f>
        <v>Songloulou</v>
      </c>
      <c r="X50" s="88" t="str">
        <f t="shared" si="0"/>
        <v>LIT</v>
      </c>
      <c r="Y50" s="80" t="str">
        <f t="shared" ca="1" si="4"/>
        <v>T&gt;72H</v>
      </c>
      <c r="Z50" s="61">
        <f t="shared" si="5"/>
        <v>1</v>
      </c>
      <c r="AA50" s="61" t="s">
        <v>1566</v>
      </c>
      <c r="AB50" s="84" t="s">
        <v>1555</v>
      </c>
      <c r="AC50" s="84" t="s">
        <v>2329</v>
      </c>
      <c r="AD50" s="84" t="s">
        <v>1994</v>
      </c>
      <c r="AE50" s="61"/>
    </row>
    <row r="51" spans="1:31" ht="88" x14ac:dyDescent="0.45">
      <c r="A51" s="61" t="s">
        <v>1807</v>
      </c>
      <c r="B51" s="61" t="s">
        <v>1808</v>
      </c>
      <c r="C51" s="65"/>
      <c r="D51" s="61"/>
      <c r="E51" s="61" t="s">
        <v>1810</v>
      </c>
      <c r="F51" s="70" t="s">
        <v>53</v>
      </c>
      <c r="G51" s="70" t="s">
        <v>2121</v>
      </c>
      <c r="H51" s="67">
        <v>46176.54959490741</v>
      </c>
      <c r="I51" s="75">
        <f t="shared" ca="1" si="3"/>
        <v>4.1190974537021248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82" t="s">
        <v>2333</v>
      </c>
      <c r="S51" s="82" t="s">
        <v>85</v>
      </c>
      <c r="T51" s="82" t="s">
        <v>1898</v>
      </c>
      <c r="U51" s="82" t="s">
        <v>1898</v>
      </c>
      <c r="V51" s="61" t="str">
        <f>VLOOKUP(B51,[2]Overall!$A:$D,4,0)</f>
        <v>H-TELI</v>
      </c>
      <c r="W51" s="61" t="str">
        <f>VLOOKUP(B51,[3]Sheet1!$A:$B,2,0)</f>
        <v>Songloulou</v>
      </c>
      <c r="X51" s="88" t="str">
        <f t="shared" si="0"/>
        <v>LIT</v>
      </c>
      <c r="Y51" s="80" t="str">
        <f t="shared" ca="1" si="4"/>
        <v>T&gt;72H</v>
      </c>
      <c r="Z51" s="61">
        <f t="shared" si="5"/>
        <v>1</v>
      </c>
      <c r="AA51" s="61" t="s">
        <v>1566</v>
      </c>
      <c r="AB51" s="84" t="s">
        <v>1555</v>
      </c>
      <c r="AC51" s="84" t="s">
        <v>2329</v>
      </c>
      <c r="AD51" s="84" t="s">
        <v>1994</v>
      </c>
      <c r="AE51" s="61"/>
    </row>
    <row r="52" spans="1:31" ht="88" x14ac:dyDescent="0.45">
      <c r="A52" s="61" t="s">
        <v>1807</v>
      </c>
      <c r="B52" s="61" t="s">
        <v>1808</v>
      </c>
      <c r="C52" s="65"/>
      <c r="D52" s="61"/>
      <c r="E52" s="61" t="s">
        <v>1817</v>
      </c>
      <c r="F52" s="70" t="s">
        <v>53</v>
      </c>
      <c r="G52" s="70" t="s">
        <v>2121</v>
      </c>
      <c r="H52" s="67">
        <v>46176.54959490741</v>
      </c>
      <c r="I52" s="75">
        <f t="shared" ca="1" si="3"/>
        <v>4.1190974537021248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82" t="s">
        <v>2333</v>
      </c>
      <c r="S52" s="82" t="s">
        <v>85</v>
      </c>
      <c r="T52" s="82" t="s">
        <v>1898</v>
      </c>
      <c r="U52" s="82" t="s">
        <v>1898</v>
      </c>
      <c r="V52" s="61" t="str">
        <f>VLOOKUP(B52,[2]Overall!$A:$D,4,0)</f>
        <v>H-TELI</v>
      </c>
      <c r="W52" s="61" t="str">
        <f>VLOOKUP(B52,[3]Sheet1!$A:$B,2,0)</f>
        <v>Songloulou</v>
      </c>
      <c r="X52" s="88" t="str">
        <f t="shared" si="0"/>
        <v>LIT</v>
      </c>
      <c r="Y52" s="80" t="str">
        <f t="shared" ca="1" si="4"/>
        <v>T&gt;72H</v>
      </c>
      <c r="Z52" s="61">
        <f t="shared" si="5"/>
        <v>1</v>
      </c>
      <c r="AA52" s="61" t="s">
        <v>1566</v>
      </c>
      <c r="AB52" s="84" t="s">
        <v>1555</v>
      </c>
      <c r="AC52" s="84" t="s">
        <v>2329</v>
      </c>
      <c r="AD52" s="84" t="s">
        <v>1994</v>
      </c>
      <c r="AE52" s="61"/>
    </row>
    <row r="53" spans="1:31" ht="88" x14ac:dyDescent="0.45">
      <c r="A53" s="61" t="s">
        <v>1807</v>
      </c>
      <c r="B53" s="61" t="s">
        <v>1808</v>
      </c>
      <c r="C53" s="65"/>
      <c r="D53" s="61"/>
      <c r="E53" s="61" t="s">
        <v>1809</v>
      </c>
      <c r="F53" s="70" t="s">
        <v>53</v>
      </c>
      <c r="G53" s="70" t="s">
        <v>2121</v>
      </c>
      <c r="H53" s="67">
        <v>46176.549583333333</v>
      </c>
      <c r="I53" s="75">
        <f t="shared" ca="1" si="3"/>
        <v>4.1191090277789044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82" t="s">
        <v>2333</v>
      </c>
      <c r="S53" s="82" t="s">
        <v>85</v>
      </c>
      <c r="T53" s="82" t="s">
        <v>1898</v>
      </c>
      <c r="U53" s="82" t="s">
        <v>1898</v>
      </c>
      <c r="V53" s="61" t="str">
        <f>VLOOKUP(B53,[2]Overall!$A:$D,4,0)</f>
        <v>H-TELI</v>
      </c>
      <c r="W53" s="61" t="str">
        <f>VLOOKUP(B53,[3]Sheet1!$A:$B,2,0)</f>
        <v>Songloulou</v>
      </c>
      <c r="X53" s="88" t="str">
        <f t="shared" si="0"/>
        <v>LIT</v>
      </c>
      <c r="Y53" s="80" t="str">
        <f t="shared" ca="1" si="4"/>
        <v>T&gt;72H</v>
      </c>
      <c r="Z53" s="61">
        <f t="shared" si="5"/>
        <v>1</v>
      </c>
      <c r="AA53" s="61" t="s">
        <v>1566</v>
      </c>
      <c r="AB53" s="84" t="s">
        <v>1555</v>
      </c>
      <c r="AC53" s="84" t="s">
        <v>2329</v>
      </c>
      <c r="AD53" s="84" t="s">
        <v>1994</v>
      </c>
      <c r="AE53" s="61"/>
    </row>
    <row r="54" spans="1:31" ht="88" x14ac:dyDescent="0.45">
      <c r="A54" s="61" t="s">
        <v>1807</v>
      </c>
      <c r="B54" s="61" t="s">
        <v>1808</v>
      </c>
      <c r="C54" s="65"/>
      <c r="D54" s="61"/>
      <c r="E54" s="61" t="s">
        <v>1816</v>
      </c>
      <c r="F54" s="70" t="s">
        <v>53</v>
      </c>
      <c r="G54" s="70" t="s">
        <v>2121</v>
      </c>
      <c r="H54" s="67">
        <v>46176.54959490741</v>
      </c>
      <c r="I54" s="75">
        <f t="shared" ca="1" si="3"/>
        <v>4.1190974537021248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82" t="s">
        <v>2333</v>
      </c>
      <c r="S54" s="82" t="s">
        <v>85</v>
      </c>
      <c r="T54" s="82" t="s">
        <v>1898</v>
      </c>
      <c r="U54" s="82" t="s">
        <v>1898</v>
      </c>
      <c r="V54" s="61" t="str">
        <f>VLOOKUP(B54,[2]Overall!$A:$D,4,0)</f>
        <v>H-TELI</v>
      </c>
      <c r="W54" s="61" t="str">
        <f>VLOOKUP(B54,[3]Sheet1!$A:$B,2,0)</f>
        <v>Songloulou</v>
      </c>
      <c r="X54" s="88" t="str">
        <f t="shared" si="0"/>
        <v>LIT</v>
      </c>
      <c r="Y54" s="80" t="str">
        <f t="shared" ca="1" si="4"/>
        <v>T&gt;72H</v>
      </c>
      <c r="Z54" s="61">
        <f t="shared" si="5"/>
        <v>1</v>
      </c>
      <c r="AA54" s="61" t="s">
        <v>1566</v>
      </c>
      <c r="AB54" s="84" t="s">
        <v>1555</v>
      </c>
      <c r="AC54" s="84" t="s">
        <v>2329</v>
      </c>
      <c r="AD54" s="84" t="s">
        <v>1994</v>
      </c>
      <c r="AE54" s="61"/>
    </row>
    <row r="55" spans="1:31" ht="88" x14ac:dyDescent="0.45">
      <c r="A55" s="61" t="s">
        <v>1807</v>
      </c>
      <c r="B55" s="61" t="s">
        <v>1808</v>
      </c>
      <c r="C55" s="65"/>
      <c r="D55" s="61"/>
      <c r="E55" s="61" t="s">
        <v>1811</v>
      </c>
      <c r="F55" s="70" t="s">
        <v>53</v>
      </c>
      <c r="G55" s="70" t="s">
        <v>2121</v>
      </c>
      <c r="H55" s="67">
        <v>46176.54959490741</v>
      </c>
      <c r="I55" s="75">
        <f t="shared" ca="1" si="3"/>
        <v>4.1190974537021248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82" t="s">
        <v>2333</v>
      </c>
      <c r="S55" s="82" t="s">
        <v>85</v>
      </c>
      <c r="T55" s="82" t="s">
        <v>1898</v>
      </c>
      <c r="U55" s="82" t="s">
        <v>1898</v>
      </c>
      <c r="V55" s="61" t="str">
        <f>VLOOKUP(B55,[2]Overall!$A:$D,4,0)</f>
        <v>H-TELI</v>
      </c>
      <c r="W55" s="61" t="str">
        <f>VLOOKUP(B55,[3]Sheet1!$A:$B,2,0)</f>
        <v>Songloulou</v>
      </c>
      <c r="X55" s="88" t="str">
        <f t="shared" si="0"/>
        <v>LIT</v>
      </c>
      <c r="Y55" s="80" t="str">
        <f t="shared" ca="1" si="4"/>
        <v>T&gt;72H</v>
      </c>
      <c r="Z55" s="61">
        <f t="shared" si="5"/>
        <v>1</v>
      </c>
      <c r="AA55" s="61" t="s">
        <v>1566</v>
      </c>
      <c r="AB55" s="84" t="s">
        <v>1555</v>
      </c>
      <c r="AC55" s="84" t="s">
        <v>2329</v>
      </c>
      <c r="AD55" s="84" t="s">
        <v>1994</v>
      </c>
      <c r="AE55" s="61"/>
    </row>
    <row r="56" spans="1:31" ht="88" x14ac:dyDescent="0.45">
      <c r="A56" s="61" t="s">
        <v>1807</v>
      </c>
      <c r="B56" s="61" t="s">
        <v>1808</v>
      </c>
      <c r="C56" s="65"/>
      <c r="D56" s="61"/>
      <c r="E56" s="61" t="s">
        <v>1815</v>
      </c>
      <c r="F56" s="70" t="s">
        <v>53</v>
      </c>
      <c r="G56" s="70" t="s">
        <v>2121</v>
      </c>
      <c r="H56" s="67">
        <v>46176.54959490741</v>
      </c>
      <c r="I56" s="75">
        <f t="shared" ca="1" si="3"/>
        <v>4.1190974537021248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82" t="s">
        <v>2333</v>
      </c>
      <c r="S56" s="82" t="s">
        <v>85</v>
      </c>
      <c r="T56" s="82" t="s">
        <v>1898</v>
      </c>
      <c r="U56" s="82" t="s">
        <v>1898</v>
      </c>
      <c r="V56" s="61" t="str">
        <f>VLOOKUP(B56,[2]Overall!$A:$D,4,0)</f>
        <v>H-TELI</v>
      </c>
      <c r="W56" s="61" t="str">
        <f>VLOOKUP(B56,[3]Sheet1!$A:$B,2,0)</f>
        <v>Songloulou</v>
      </c>
      <c r="X56" s="88" t="str">
        <f t="shared" si="0"/>
        <v>LIT</v>
      </c>
      <c r="Y56" s="80" t="str">
        <f t="shared" ca="1" si="4"/>
        <v>T&gt;72H</v>
      </c>
      <c r="Z56" s="61">
        <f t="shared" si="5"/>
        <v>1</v>
      </c>
      <c r="AA56" s="61" t="s">
        <v>1566</v>
      </c>
      <c r="AB56" s="84" t="s">
        <v>1555</v>
      </c>
      <c r="AC56" s="84" t="s">
        <v>2329</v>
      </c>
      <c r="AD56" s="84" t="s">
        <v>1994</v>
      </c>
      <c r="AE56" s="61"/>
    </row>
    <row r="57" spans="1:31" ht="88" x14ac:dyDescent="0.45">
      <c r="A57" s="61" t="s">
        <v>1807</v>
      </c>
      <c r="B57" s="61" t="s">
        <v>1808</v>
      </c>
      <c r="C57" s="65"/>
      <c r="D57" s="61"/>
      <c r="E57" s="61" t="s">
        <v>1812</v>
      </c>
      <c r="F57" s="70" t="s">
        <v>53</v>
      </c>
      <c r="G57" s="70" t="s">
        <v>2121</v>
      </c>
      <c r="H57" s="67">
        <v>46176.54959490741</v>
      </c>
      <c r="I57" s="75">
        <f t="shared" ca="1" si="3"/>
        <v>4.1190974537021248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82" t="s">
        <v>2333</v>
      </c>
      <c r="S57" s="82" t="s">
        <v>85</v>
      </c>
      <c r="T57" s="82" t="s">
        <v>1898</v>
      </c>
      <c r="U57" s="82" t="s">
        <v>1898</v>
      </c>
      <c r="V57" s="61" t="str">
        <f>VLOOKUP(B57,[2]Overall!$A:$D,4,0)</f>
        <v>H-TELI</v>
      </c>
      <c r="W57" s="61" t="str">
        <f>VLOOKUP(B57,[3]Sheet1!$A:$B,2,0)</f>
        <v>Songloulou</v>
      </c>
      <c r="X57" s="88" t="str">
        <f t="shared" si="0"/>
        <v>LIT</v>
      </c>
      <c r="Y57" s="80" t="str">
        <f t="shared" ca="1" si="4"/>
        <v>T&gt;72H</v>
      </c>
      <c r="Z57" s="61">
        <f t="shared" si="5"/>
        <v>1</v>
      </c>
      <c r="AA57" s="61" t="s">
        <v>1566</v>
      </c>
      <c r="AB57" s="84" t="s">
        <v>1555</v>
      </c>
      <c r="AC57" s="84" t="s">
        <v>2329</v>
      </c>
      <c r="AD57" s="84" t="s">
        <v>1994</v>
      </c>
      <c r="AE57" s="61"/>
    </row>
    <row r="58" spans="1:31" ht="73.5" x14ac:dyDescent="0.45">
      <c r="A58" s="61" t="s">
        <v>2316</v>
      </c>
      <c r="B58" s="61" t="s">
        <v>2317</v>
      </c>
      <c r="C58" s="65"/>
      <c r="D58" s="61"/>
      <c r="E58" s="61" t="s">
        <v>2318</v>
      </c>
      <c r="F58" s="70" t="s">
        <v>53</v>
      </c>
      <c r="G58" s="70" t="s">
        <v>2121</v>
      </c>
      <c r="H58" s="67">
        <v>46176.571331018517</v>
      </c>
      <c r="I58" s="75">
        <f t="shared" ca="1" si="3"/>
        <v>4.097361342595832</v>
      </c>
      <c r="J58" s="61"/>
      <c r="K58" s="61"/>
      <c r="L58" s="61"/>
      <c r="M58" s="61" t="s">
        <v>38</v>
      </c>
      <c r="N58" s="61" t="s">
        <v>2319</v>
      </c>
      <c r="O58" s="61"/>
      <c r="P58" s="61"/>
      <c r="Q58" s="61"/>
      <c r="R58" s="61" t="s">
        <v>2294</v>
      </c>
      <c r="S58" s="84" t="s">
        <v>51</v>
      </c>
      <c r="T58" s="61" t="s">
        <v>1898</v>
      </c>
      <c r="U58" s="61" t="s">
        <v>1898</v>
      </c>
      <c r="V58" s="61" t="str">
        <f>VLOOKUP(B58,[2]Overall!$A:$D,4,0)</f>
        <v>H-TELI</v>
      </c>
      <c r="W58" s="61" t="str">
        <f>VLOOKUP(B58,[3]Sheet1!$A:$B,2,0)</f>
        <v>Logbong</v>
      </c>
      <c r="X58" s="88" t="str">
        <f t="shared" si="0"/>
        <v>LIT</v>
      </c>
      <c r="Y58" s="80" t="str">
        <f t="shared" ca="1" si="4"/>
        <v>T&gt;72H</v>
      </c>
      <c r="Z58" s="61">
        <f t="shared" si="5"/>
        <v>6</v>
      </c>
      <c r="AA58" s="61" t="s">
        <v>1566</v>
      </c>
      <c r="AB58" s="84" t="s">
        <v>1555</v>
      </c>
      <c r="AC58" s="84" t="s">
        <v>2329</v>
      </c>
      <c r="AD58" s="84" t="s">
        <v>1994</v>
      </c>
      <c r="AE58" s="61"/>
    </row>
    <row r="59" spans="1:31" ht="73.5" x14ac:dyDescent="0.45">
      <c r="A59" s="61" t="s">
        <v>2320</v>
      </c>
      <c r="B59" s="61" t="s">
        <v>2317</v>
      </c>
      <c r="C59" s="65"/>
      <c r="D59" s="61"/>
      <c r="E59" s="61" t="s">
        <v>1787</v>
      </c>
      <c r="F59" s="70" t="s">
        <v>53</v>
      </c>
      <c r="G59" s="70" t="s">
        <v>2121</v>
      </c>
      <c r="H59" s="67">
        <v>46176.572800925926</v>
      </c>
      <c r="I59" s="75">
        <f t="shared" ca="1" si="3"/>
        <v>4.0958914351867861</v>
      </c>
      <c r="J59" s="61"/>
      <c r="K59" s="61"/>
      <c r="L59" s="61"/>
      <c r="M59" s="61" t="s">
        <v>38</v>
      </c>
      <c r="N59" s="61" t="s">
        <v>2321</v>
      </c>
      <c r="O59" s="61"/>
      <c r="P59" s="61"/>
      <c r="Q59" s="61"/>
      <c r="R59" s="61" t="s">
        <v>2294</v>
      </c>
      <c r="S59" s="61" t="s">
        <v>51</v>
      </c>
      <c r="T59" s="61" t="s">
        <v>1898</v>
      </c>
      <c r="U59" s="61" t="s">
        <v>1898</v>
      </c>
      <c r="V59" s="61" t="str">
        <f>VLOOKUP(B59,[2]Overall!$A:$D,4,0)</f>
        <v>H-TELI</v>
      </c>
      <c r="W59" s="61" t="str">
        <f>VLOOKUP(B59,[3]Sheet1!$A:$B,2,0)</f>
        <v>Logbong</v>
      </c>
      <c r="X59" s="88" t="str">
        <f t="shared" si="0"/>
        <v>EXN</v>
      </c>
      <c r="Y59" s="80" t="str">
        <f t="shared" ca="1" si="4"/>
        <v>T&gt;72H</v>
      </c>
      <c r="Z59" s="61">
        <f t="shared" si="5"/>
        <v>2</v>
      </c>
      <c r="AA59" s="61" t="s">
        <v>1566</v>
      </c>
      <c r="AB59" s="84" t="s">
        <v>1555</v>
      </c>
      <c r="AC59" s="84" t="s">
        <v>2329</v>
      </c>
      <c r="AD59" s="84" t="s">
        <v>1994</v>
      </c>
      <c r="AE59" s="61"/>
    </row>
    <row r="60" spans="1:31" ht="88" x14ac:dyDescent="0.45">
      <c r="A60" s="61" t="s">
        <v>1611</v>
      </c>
      <c r="B60" s="61" t="s">
        <v>1610</v>
      </c>
      <c r="C60" s="65"/>
      <c r="D60" s="61"/>
      <c r="E60" s="61" t="s">
        <v>1614</v>
      </c>
      <c r="F60" s="70" t="s">
        <v>53</v>
      </c>
      <c r="G60" s="70" t="s">
        <v>2121</v>
      </c>
      <c r="H60" s="67">
        <v>46176.618125000001</v>
      </c>
      <c r="I60" s="75">
        <f t="shared" ca="1" si="3"/>
        <v>4.0505673611114617</v>
      </c>
      <c r="J60" s="61"/>
      <c r="K60" s="61"/>
      <c r="L60" s="61"/>
      <c r="M60" s="61" t="s">
        <v>41</v>
      </c>
      <c r="N60" s="61" t="s">
        <v>42</v>
      </c>
      <c r="O60" s="61"/>
      <c r="P60" s="61"/>
      <c r="Q60" s="61"/>
      <c r="R60" s="61" t="s">
        <v>2246</v>
      </c>
      <c r="S60" s="61" t="s">
        <v>71</v>
      </c>
      <c r="T60" s="61" t="s">
        <v>1902</v>
      </c>
      <c r="U60" s="61" t="s">
        <v>1896</v>
      </c>
      <c r="V60" s="61" t="str">
        <f>VLOOKUP(B60,[2]Overall!$A:$D,4,0)</f>
        <v>TELEINFRA NORD</v>
      </c>
      <c r="W60" s="61" t="str">
        <f>VLOOKUP(B60,[3]Sheet1!$A:$B,2,0)</f>
        <v>Zileng</v>
      </c>
      <c r="X60" s="88" t="str">
        <f t="shared" si="0"/>
        <v>EXN</v>
      </c>
      <c r="Y60" s="80" t="str">
        <f t="shared" ca="1" si="4"/>
        <v>T&gt;72H</v>
      </c>
      <c r="Z60" s="61">
        <f t="shared" si="5"/>
        <v>1</v>
      </c>
      <c r="AA60" s="61" t="s">
        <v>1566</v>
      </c>
      <c r="AB60" s="84" t="s">
        <v>1554</v>
      </c>
      <c r="AC60" s="84" t="s">
        <v>2329</v>
      </c>
      <c r="AD60" s="84" t="s">
        <v>1994</v>
      </c>
      <c r="AE60" s="61"/>
    </row>
    <row r="61" spans="1:31" ht="88" x14ac:dyDescent="0.45">
      <c r="A61" s="61" t="s">
        <v>1611</v>
      </c>
      <c r="B61" s="61" t="s">
        <v>1610</v>
      </c>
      <c r="C61" s="65"/>
      <c r="D61" s="61"/>
      <c r="E61" s="61" t="s">
        <v>1647</v>
      </c>
      <c r="F61" s="70" t="s">
        <v>53</v>
      </c>
      <c r="G61" s="70" t="s">
        <v>2121</v>
      </c>
      <c r="H61" s="67">
        <v>46176.618113425924</v>
      </c>
      <c r="I61" s="75">
        <f t="shared" ca="1" si="3"/>
        <v>4.0505789351882413</v>
      </c>
      <c r="J61" s="61"/>
      <c r="K61" s="61"/>
      <c r="L61" s="61"/>
      <c r="M61" s="61" t="s">
        <v>41</v>
      </c>
      <c r="N61" s="61" t="s">
        <v>42</v>
      </c>
      <c r="O61" s="61"/>
      <c r="P61" s="61"/>
      <c r="Q61" s="61"/>
      <c r="R61" s="61" t="s">
        <v>2246</v>
      </c>
      <c r="S61" s="61" t="s">
        <v>71</v>
      </c>
      <c r="T61" s="61" t="s">
        <v>1902</v>
      </c>
      <c r="U61" s="61" t="s">
        <v>1896</v>
      </c>
      <c r="V61" s="61" t="str">
        <f>VLOOKUP(B61,[2]Overall!$A:$D,4,0)</f>
        <v>TELEINFRA NORD</v>
      </c>
      <c r="W61" s="61" t="str">
        <f>VLOOKUP(B61,[3]Sheet1!$A:$B,2,0)</f>
        <v>Zileng</v>
      </c>
      <c r="X61" s="88" t="str">
        <f t="shared" si="0"/>
        <v>EXN</v>
      </c>
      <c r="Y61" s="80" t="str">
        <f t="shared" ca="1" si="4"/>
        <v>T&gt;72H</v>
      </c>
      <c r="Z61" s="61">
        <f t="shared" si="5"/>
        <v>1</v>
      </c>
      <c r="AA61" s="61" t="s">
        <v>1566</v>
      </c>
      <c r="AB61" s="84" t="s">
        <v>1554</v>
      </c>
      <c r="AC61" s="84" t="s">
        <v>2329</v>
      </c>
      <c r="AD61" s="84" t="s">
        <v>1994</v>
      </c>
      <c r="AE61" s="61"/>
    </row>
    <row r="62" spans="1:31" ht="88" x14ac:dyDescent="0.45">
      <c r="A62" s="61" t="s">
        <v>1611</v>
      </c>
      <c r="B62" s="61" t="s">
        <v>1610</v>
      </c>
      <c r="C62" s="65"/>
      <c r="D62" s="61"/>
      <c r="E62" s="61" t="s">
        <v>1648</v>
      </c>
      <c r="F62" s="70" t="s">
        <v>53</v>
      </c>
      <c r="G62" s="70" t="s">
        <v>2121</v>
      </c>
      <c r="H62" s="67">
        <v>46176.618125000001</v>
      </c>
      <c r="I62" s="75">
        <f t="shared" ca="1" si="3"/>
        <v>4.0505673611114617</v>
      </c>
      <c r="J62" s="61"/>
      <c r="K62" s="61"/>
      <c r="L62" s="61"/>
      <c r="M62" s="61" t="s">
        <v>41</v>
      </c>
      <c r="N62" s="61" t="s">
        <v>42</v>
      </c>
      <c r="O62" s="61"/>
      <c r="P62" s="61"/>
      <c r="Q62" s="61"/>
      <c r="R62" s="61" t="s">
        <v>2246</v>
      </c>
      <c r="S62" s="61" t="s">
        <v>71</v>
      </c>
      <c r="T62" s="61" t="s">
        <v>1902</v>
      </c>
      <c r="U62" s="61" t="s">
        <v>1896</v>
      </c>
      <c r="V62" s="61" t="str">
        <f>VLOOKUP(B62,[2]Overall!$A:$D,4,0)</f>
        <v>TELEINFRA NORD</v>
      </c>
      <c r="W62" s="61" t="str">
        <f>VLOOKUP(B62,[3]Sheet1!$A:$B,2,0)</f>
        <v>Zileng</v>
      </c>
      <c r="X62" s="88" t="str">
        <f t="shared" si="0"/>
        <v>EXN</v>
      </c>
      <c r="Y62" s="80" t="str">
        <f t="shared" ca="1" si="4"/>
        <v>T&gt;72H</v>
      </c>
      <c r="Z62" s="61">
        <f t="shared" si="5"/>
        <v>1</v>
      </c>
      <c r="AA62" s="61" t="s">
        <v>1566</v>
      </c>
      <c r="AB62" s="84" t="s">
        <v>1554</v>
      </c>
      <c r="AC62" s="84" t="s">
        <v>2329</v>
      </c>
      <c r="AD62" s="84" t="s">
        <v>1994</v>
      </c>
      <c r="AE62" s="61"/>
    </row>
    <row r="63" spans="1:31" ht="88" x14ac:dyDescent="0.45">
      <c r="A63" s="61" t="s">
        <v>1611</v>
      </c>
      <c r="B63" s="61" t="s">
        <v>1610</v>
      </c>
      <c r="C63" s="65"/>
      <c r="D63" s="61"/>
      <c r="E63" s="61" t="s">
        <v>1649</v>
      </c>
      <c r="F63" s="70" t="s">
        <v>53</v>
      </c>
      <c r="G63" s="70" t="s">
        <v>2121</v>
      </c>
      <c r="H63" s="67">
        <v>46176.618101851855</v>
      </c>
      <c r="I63" s="75">
        <f t="shared" ca="1" si="3"/>
        <v>4.050590509257745</v>
      </c>
      <c r="J63" s="61"/>
      <c r="K63" s="61"/>
      <c r="L63" s="61"/>
      <c r="M63" s="61" t="s">
        <v>41</v>
      </c>
      <c r="N63" s="61" t="s">
        <v>42</v>
      </c>
      <c r="O63" s="61"/>
      <c r="P63" s="61"/>
      <c r="Q63" s="61"/>
      <c r="R63" s="61" t="s">
        <v>2246</v>
      </c>
      <c r="S63" s="61" t="s">
        <v>71</v>
      </c>
      <c r="T63" s="61" t="s">
        <v>1902</v>
      </c>
      <c r="U63" s="61" t="s">
        <v>1896</v>
      </c>
      <c r="V63" s="61" t="str">
        <f>VLOOKUP(B63,[2]Overall!$A:$D,4,0)</f>
        <v>TELEINFRA NORD</v>
      </c>
      <c r="W63" s="61" t="str">
        <f>VLOOKUP(B63,[3]Sheet1!$A:$B,2,0)</f>
        <v>Zileng</v>
      </c>
      <c r="X63" s="88" t="str">
        <f t="shared" si="0"/>
        <v>EXN</v>
      </c>
      <c r="Y63" s="80" t="str">
        <f t="shared" ca="1" si="4"/>
        <v>T&gt;72H</v>
      </c>
      <c r="Z63" s="61">
        <f t="shared" si="5"/>
        <v>1</v>
      </c>
      <c r="AA63" s="61" t="s">
        <v>1566</v>
      </c>
      <c r="AB63" s="84" t="s">
        <v>1554</v>
      </c>
      <c r="AC63" s="84" t="s">
        <v>2329</v>
      </c>
      <c r="AD63" s="84" t="s">
        <v>1994</v>
      </c>
      <c r="AE63" s="61"/>
    </row>
    <row r="64" spans="1:31" ht="88" x14ac:dyDescent="0.45">
      <c r="A64" s="61" t="s">
        <v>1611</v>
      </c>
      <c r="B64" s="61" t="s">
        <v>1610</v>
      </c>
      <c r="C64" s="65"/>
      <c r="D64" s="61"/>
      <c r="E64" s="61" t="s">
        <v>1644</v>
      </c>
      <c r="F64" s="70" t="s">
        <v>53</v>
      </c>
      <c r="G64" s="70" t="s">
        <v>2121</v>
      </c>
      <c r="H64" s="67">
        <v>46176.618113425924</v>
      </c>
      <c r="I64" s="75">
        <f t="shared" ca="1" si="3"/>
        <v>4.0505789351882413</v>
      </c>
      <c r="J64" s="61"/>
      <c r="K64" s="61"/>
      <c r="L64" s="61"/>
      <c r="M64" s="61" t="s">
        <v>41</v>
      </c>
      <c r="N64" s="61" t="s">
        <v>42</v>
      </c>
      <c r="O64" s="61"/>
      <c r="P64" s="61"/>
      <c r="Q64" s="61"/>
      <c r="R64" s="61" t="s">
        <v>2246</v>
      </c>
      <c r="S64" s="61" t="s">
        <v>71</v>
      </c>
      <c r="T64" s="61" t="s">
        <v>1902</v>
      </c>
      <c r="U64" s="61" t="s">
        <v>1896</v>
      </c>
      <c r="V64" s="61" t="str">
        <f>VLOOKUP(B64,[2]Overall!$A:$D,4,0)</f>
        <v>TELEINFRA NORD</v>
      </c>
      <c r="W64" s="61" t="str">
        <f>VLOOKUP(B64,[3]Sheet1!$A:$B,2,0)</f>
        <v>Zileng</v>
      </c>
      <c r="X64" s="88" t="str">
        <f t="shared" si="0"/>
        <v>EXN</v>
      </c>
      <c r="Y64" s="80" t="str">
        <f t="shared" ca="1" si="4"/>
        <v>T&gt;72H</v>
      </c>
      <c r="Z64" s="61">
        <f t="shared" si="5"/>
        <v>1</v>
      </c>
      <c r="AA64" s="61" t="s">
        <v>1566</v>
      </c>
      <c r="AB64" s="84" t="s">
        <v>1554</v>
      </c>
      <c r="AC64" s="84" t="s">
        <v>2329</v>
      </c>
      <c r="AD64" s="84" t="s">
        <v>1994</v>
      </c>
      <c r="AE64" s="61"/>
    </row>
    <row r="65" spans="1:31" ht="88" x14ac:dyDescent="0.45">
      <c r="A65" s="61" t="s">
        <v>1611</v>
      </c>
      <c r="B65" s="61" t="s">
        <v>1610</v>
      </c>
      <c r="C65" s="65"/>
      <c r="D65" s="61"/>
      <c r="E65" s="61" t="s">
        <v>1645</v>
      </c>
      <c r="F65" s="70" t="s">
        <v>53</v>
      </c>
      <c r="G65" s="70" t="s">
        <v>2121</v>
      </c>
      <c r="H65" s="67">
        <v>46176.618125000001</v>
      </c>
      <c r="I65" s="75">
        <f t="shared" ca="1" si="3"/>
        <v>4.0505673611114617</v>
      </c>
      <c r="J65" s="61"/>
      <c r="K65" s="61"/>
      <c r="L65" s="61"/>
      <c r="M65" s="61" t="s">
        <v>41</v>
      </c>
      <c r="N65" s="61" t="s">
        <v>42</v>
      </c>
      <c r="O65" s="61"/>
      <c r="P65" s="61"/>
      <c r="Q65" s="61"/>
      <c r="R65" s="61" t="s">
        <v>2246</v>
      </c>
      <c r="S65" s="61" t="s">
        <v>71</v>
      </c>
      <c r="T65" s="61" t="s">
        <v>1902</v>
      </c>
      <c r="U65" s="61" t="s">
        <v>1896</v>
      </c>
      <c r="V65" s="61" t="str">
        <f>VLOOKUP(B65,[2]Overall!$A:$D,4,0)</f>
        <v>TELEINFRA NORD</v>
      </c>
      <c r="W65" s="61" t="str">
        <f>VLOOKUP(B65,[3]Sheet1!$A:$B,2,0)</f>
        <v>Zileng</v>
      </c>
      <c r="X65" s="88" t="str">
        <f t="shared" si="0"/>
        <v>EXN</v>
      </c>
      <c r="Y65" s="80" t="str">
        <f t="shared" ca="1" si="4"/>
        <v>T&gt;72H</v>
      </c>
      <c r="Z65" s="61">
        <f t="shared" si="5"/>
        <v>1</v>
      </c>
      <c r="AA65" s="61" t="s">
        <v>1566</v>
      </c>
      <c r="AB65" s="84" t="s">
        <v>1554</v>
      </c>
      <c r="AC65" s="84" t="s">
        <v>2329</v>
      </c>
      <c r="AD65" s="84" t="s">
        <v>1994</v>
      </c>
      <c r="AE65" s="61"/>
    </row>
    <row r="66" spans="1:31" ht="88" x14ac:dyDescent="0.45">
      <c r="A66" s="61" t="s">
        <v>1611</v>
      </c>
      <c r="B66" s="61" t="s">
        <v>1610</v>
      </c>
      <c r="C66" s="65"/>
      <c r="D66" s="61"/>
      <c r="E66" s="61" t="s">
        <v>1646</v>
      </c>
      <c r="F66" s="70" t="s">
        <v>53</v>
      </c>
      <c r="G66" s="70" t="s">
        <v>2121</v>
      </c>
      <c r="H66" s="67">
        <v>46176.618125000001</v>
      </c>
      <c r="I66" s="75">
        <f t="shared" ca="1" si="3"/>
        <v>4.0505673611114617</v>
      </c>
      <c r="J66" s="61"/>
      <c r="K66" s="61"/>
      <c r="L66" s="61"/>
      <c r="M66" s="61" t="s">
        <v>41</v>
      </c>
      <c r="N66" s="61" t="s">
        <v>42</v>
      </c>
      <c r="O66" s="61"/>
      <c r="P66" s="61"/>
      <c r="Q66" s="61"/>
      <c r="R66" s="61" t="s">
        <v>2246</v>
      </c>
      <c r="S66" s="61" t="s">
        <v>71</v>
      </c>
      <c r="T66" s="61" t="s">
        <v>1902</v>
      </c>
      <c r="U66" s="61" t="s">
        <v>1896</v>
      </c>
      <c r="V66" s="61" t="str">
        <f>VLOOKUP(B66,[2]Overall!$A:$D,4,0)</f>
        <v>TELEINFRA NORD</v>
      </c>
      <c r="W66" s="61" t="str">
        <f>VLOOKUP(B66,[3]Sheet1!$A:$B,2,0)</f>
        <v>Zileng</v>
      </c>
      <c r="X66" s="88" t="str">
        <f t="shared" ref="X66:X76" si="6">LEFT(B67,3)</f>
        <v>EXN</v>
      </c>
      <c r="Y66" s="80" t="str">
        <f t="shared" ca="1" si="4"/>
        <v>T&gt;72H</v>
      </c>
      <c r="Z66" s="61">
        <f t="shared" si="5"/>
        <v>1</v>
      </c>
      <c r="AA66" s="61" t="s">
        <v>1566</v>
      </c>
      <c r="AB66" s="84" t="s">
        <v>1554</v>
      </c>
      <c r="AC66" s="84" t="s">
        <v>2329</v>
      </c>
      <c r="AD66" s="84" t="s">
        <v>1994</v>
      </c>
      <c r="AE66" s="61"/>
    </row>
    <row r="67" spans="1:31" ht="88" x14ac:dyDescent="0.45">
      <c r="A67" s="61" t="s">
        <v>1611</v>
      </c>
      <c r="B67" s="61" t="s">
        <v>1610</v>
      </c>
      <c r="C67" s="65"/>
      <c r="D67" s="61"/>
      <c r="E67" s="61" t="s">
        <v>1643</v>
      </c>
      <c r="F67" s="70" t="s">
        <v>53</v>
      </c>
      <c r="G67" s="70" t="s">
        <v>2121</v>
      </c>
      <c r="H67" s="67">
        <v>46176.618113425924</v>
      </c>
      <c r="I67" s="75">
        <f t="shared" ref="I67:I76" ca="1" si="7">NOW()-H67</f>
        <v>4.0505789351882413</v>
      </c>
      <c r="J67" s="61"/>
      <c r="K67" s="61"/>
      <c r="L67" s="61"/>
      <c r="M67" s="61" t="s">
        <v>41</v>
      </c>
      <c r="N67" s="61" t="s">
        <v>42</v>
      </c>
      <c r="O67" s="61"/>
      <c r="P67" s="61"/>
      <c r="Q67" s="61"/>
      <c r="R67" s="61" t="s">
        <v>2246</v>
      </c>
      <c r="S67" s="61" t="s">
        <v>71</v>
      </c>
      <c r="T67" s="61" t="s">
        <v>1902</v>
      </c>
      <c r="U67" s="61" t="s">
        <v>1896</v>
      </c>
      <c r="V67" s="61" t="str">
        <f>VLOOKUP(B67,[2]Overall!$A:$D,4,0)</f>
        <v>TELEINFRA NORD</v>
      </c>
      <c r="W67" s="61" t="str">
        <f>VLOOKUP(B67,[3]Sheet1!$A:$B,2,0)</f>
        <v>Zileng</v>
      </c>
      <c r="X67" s="88" t="str">
        <f t="shared" si="6"/>
        <v>EXN</v>
      </c>
      <c r="Y67" s="80" t="str">
        <f t="shared" ca="1" si="4"/>
        <v>T&gt;72H</v>
      </c>
      <c r="Z67" s="61">
        <f t="shared" si="5"/>
        <v>1</v>
      </c>
      <c r="AA67" s="61" t="s">
        <v>1566</v>
      </c>
      <c r="AB67" s="84" t="s">
        <v>1554</v>
      </c>
      <c r="AC67" s="84" t="s">
        <v>2329</v>
      </c>
      <c r="AD67" s="84" t="s">
        <v>1994</v>
      </c>
      <c r="AE67" s="61"/>
    </row>
    <row r="68" spans="1:31" ht="88" x14ac:dyDescent="0.45">
      <c r="A68" s="61" t="s">
        <v>1611</v>
      </c>
      <c r="B68" s="61" t="s">
        <v>1610</v>
      </c>
      <c r="C68" s="65"/>
      <c r="D68" s="61"/>
      <c r="E68" s="61" t="s">
        <v>1650</v>
      </c>
      <c r="F68" s="70" t="s">
        <v>53</v>
      </c>
      <c r="G68" s="70" t="s">
        <v>2121</v>
      </c>
      <c r="H68" s="67">
        <v>46176.618125000001</v>
      </c>
      <c r="I68" s="75">
        <f t="shared" ca="1" si="7"/>
        <v>4.0505673611114617</v>
      </c>
      <c r="J68" s="61"/>
      <c r="K68" s="61"/>
      <c r="L68" s="61"/>
      <c r="M68" s="61" t="s">
        <v>41</v>
      </c>
      <c r="N68" s="61" t="s">
        <v>42</v>
      </c>
      <c r="O68" s="61"/>
      <c r="P68" s="61"/>
      <c r="Q68" s="61"/>
      <c r="R68" s="61" t="s">
        <v>2246</v>
      </c>
      <c r="S68" s="61" t="s">
        <v>71</v>
      </c>
      <c r="T68" s="61" t="s">
        <v>1902</v>
      </c>
      <c r="U68" s="61" t="s">
        <v>1896</v>
      </c>
      <c r="V68" s="61" t="str">
        <f>VLOOKUP(B68,[2]Overall!$A:$D,4,0)</f>
        <v>TELEINFRA NORD</v>
      </c>
      <c r="W68" s="61" t="str">
        <f>VLOOKUP(B68,[3]Sheet1!$A:$B,2,0)</f>
        <v>Zileng</v>
      </c>
      <c r="X68" s="88" t="str">
        <f t="shared" si="6"/>
        <v>EXN</v>
      </c>
      <c r="Y68" s="80" t="str">
        <f t="shared" ca="1" si="4"/>
        <v>T&gt;72H</v>
      </c>
      <c r="Z68" s="61">
        <f t="shared" si="5"/>
        <v>1</v>
      </c>
      <c r="AA68" s="61" t="s">
        <v>1566</v>
      </c>
      <c r="AB68" s="84" t="s">
        <v>1554</v>
      </c>
      <c r="AC68" s="84" t="s">
        <v>2329</v>
      </c>
      <c r="AD68" s="84" t="s">
        <v>1994</v>
      </c>
      <c r="AE68" s="61"/>
    </row>
    <row r="69" spans="1:31" ht="88" x14ac:dyDescent="0.45">
      <c r="A69" s="61" t="s">
        <v>1611</v>
      </c>
      <c r="B69" s="61" t="s">
        <v>1610</v>
      </c>
      <c r="C69" s="65"/>
      <c r="D69" s="61"/>
      <c r="E69" s="61" t="s">
        <v>1612</v>
      </c>
      <c r="F69" s="70" t="s">
        <v>53</v>
      </c>
      <c r="G69" s="70" t="s">
        <v>2121</v>
      </c>
      <c r="H69" s="67">
        <v>46176.618125000001</v>
      </c>
      <c r="I69" s="75">
        <f t="shared" ca="1" si="7"/>
        <v>4.0505673611114617</v>
      </c>
      <c r="J69" s="61"/>
      <c r="K69" s="61"/>
      <c r="L69" s="61"/>
      <c r="M69" s="61" t="s">
        <v>41</v>
      </c>
      <c r="N69" s="61" t="s">
        <v>42</v>
      </c>
      <c r="O69" s="61"/>
      <c r="P69" s="61"/>
      <c r="Q69" s="61"/>
      <c r="R69" s="61" t="s">
        <v>2246</v>
      </c>
      <c r="S69" s="61" t="s">
        <v>71</v>
      </c>
      <c r="T69" s="61" t="s">
        <v>1902</v>
      </c>
      <c r="U69" s="61" t="s">
        <v>1896</v>
      </c>
      <c r="V69" s="61" t="str">
        <f>VLOOKUP(B69,[2]Overall!$A:$D,4,0)</f>
        <v>TELEINFRA NORD</v>
      </c>
      <c r="W69" s="61" t="str">
        <f>VLOOKUP(B69,[3]Sheet1!$A:$B,2,0)</f>
        <v>Zileng</v>
      </c>
      <c r="X69" s="88" t="str">
        <f t="shared" si="6"/>
        <v>EXN</v>
      </c>
      <c r="Y69" s="80" t="str">
        <f t="shared" ca="1" si="4"/>
        <v>T&gt;72H</v>
      </c>
      <c r="Z69" s="61">
        <f t="shared" si="5"/>
        <v>1</v>
      </c>
      <c r="AA69" s="61" t="s">
        <v>1566</v>
      </c>
      <c r="AB69" s="84" t="s">
        <v>1554</v>
      </c>
      <c r="AC69" s="84" t="s">
        <v>2329</v>
      </c>
      <c r="AD69" s="84" t="s">
        <v>1994</v>
      </c>
      <c r="AE69" s="61"/>
    </row>
    <row r="70" spans="1:31" ht="88" x14ac:dyDescent="0.45">
      <c r="A70" s="61" t="s">
        <v>1611</v>
      </c>
      <c r="B70" s="61" t="s">
        <v>1610</v>
      </c>
      <c r="C70" s="65"/>
      <c r="D70" s="61"/>
      <c r="E70" s="61" t="s">
        <v>1642</v>
      </c>
      <c r="F70" s="70" t="s">
        <v>53</v>
      </c>
      <c r="G70" s="70" t="s">
        <v>2121</v>
      </c>
      <c r="H70" s="67">
        <v>46176.618125000001</v>
      </c>
      <c r="I70" s="75">
        <f t="shared" ca="1" si="7"/>
        <v>4.0505673611114617</v>
      </c>
      <c r="J70" s="61"/>
      <c r="K70" s="61"/>
      <c r="L70" s="61"/>
      <c r="M70" s="61" t="s">
        <v>41</v>
      </c>
      <c r="N70" s="61" t="s">
        <v>42</v>
      </c>
      <c r="O70" s="61"/>
      <c r="P70" s="61"/>
      <c r="Q70" s="61"/>
      <c r="R70" s="61" t="s">
        <v>2246</v>
      </c>
      <c r="S70" s="61" t="s">
        <v>71</v>
      </c>
      <c r="T70" s="61" t="s">
        <v>1902</v>
      </c>
      <c r="U70" s="61" t="s">
        <v>1896</v>
      </c>
      <c r="V70" s="61" t="str">
        <f>VLOOKUP(B70,[2]Overall!$A:$D,4,0)</f>
        <v>TELEINFRA NORD</v>
      </c>
      <c r="W70" s="61" t="str">
        <f>VLOOKUP(B70,[3]Sheet1!$A:$B,2,0)</f>
        <v>Zileng</v>
      </c>
      <c r="X70" s="88" t="str">
        <f t="shared" si="6"/>
        <v>EXN</v>
      </c>
      <c r="Y70" s="80" t="str">
        <f t="shared" ca="1" si="4"/>
        <v>T&gt;72H</v>
      </c>
      <c r="Z70" s="61">
        <f t="shared" si="5"/>
        <v>1</v>
      </c>
      <c r="AA70" s="61" t="s">
        <v>1566</v>
      </c>
      <c r="AB70" s="84" t="s">
        <v>1554</v>
      </c>
      <c r="AC70" s="84" t="s">
        <v>2329</v>
      </c>
      <c r="AD70" s="84" t="s">
        <v>1994</v>
      </c>
      <c r="AE70" s="61"/>
    </row>
    <row r="71" spans="1:31" ht="88" x14ac:dyDescent="0.45">
      <c r="A71" s="61" t="s">
        <v>1611</v>
      </c>
      <c r="B71" s="61" t="s">
        <v>1610</v>
      </c>
      <c r="C71" s="65"/>
      <c r="D71" s="61"/>
      <c r="E71" s="61" t="s">
        <v>1616</v>
      </c>
      <c r="F71" s="70" t="s">
        <v>53</v>
      </c>
      <c r="G71" s="70" t="s">
        <v>2121</v>
      </c>
      <c r="H71" s="67">
        <v>46176.618125000001</v>
      </c>
      <c r="I71" s="75">
        <f t="shared" ca="1" si="7"/>
        <v>4.0505673611114617</v>
      </c>
      <c r="J71" s="61"/>
      <c r="K71" s="61"/>
      <c r="L71" s="61"/>
      <c r="M71" s="61" t="s">
        <v>41</v>
      </c>
      <c r="N71" s="61" t="s">
        <v>42</v>
      </c>
      <c r="O71" s="61"/>
      <c r="P71" s="61"/>
      <c r="Q71" s="61"/>
      <c r="R71" s="61" t="s">
        <v>2246</v>
      </c>
      <c r="S71" s="61" t="s">
        <v>71</v>
      </c>
      <c r="T71" s="61" t="s">
        <v>1902</v>
      </c>
      <c r="U71" s="61" t="s">
        <v>1896</v>
      </c>
      <c r="V71" s="61" t="str">
        <f>VLOOKUP(B71,[2]Overall!$A:$D,4,0)</f>
        <v>TELEINFRA NORD</v>
      </c>
      <c r="W71" s="61" t="str">
        <f>VLOOKUP(B71,[3]Sheet1!$A:$B,2,0)</f>
        <v>Zileng</v>
      </c>
      <c r="X71" s="88" t="str">
        <f t="shared" si="6"/>
        <v>CTR</v>
      </c>
      <c r="Y71" s="80" t="str">
        <f t="shared" ca="1" si="4"/>
        <v>T&gt;72H</v>
      </c>
      <c r="Z71" s="61">
        <f t="shared" si="5"/>
        <v>1</v>
      </c>
      <c r="AA71" s="61" t="s">
        <v>1566</v>
      </c>
      <c r="AB71" s="84" t="s">
        <v>1554</v>
      </c>
      <c r="AC71" s="84" t="s">
        <v>2329</v>
      </c>
      <c r="AD71" s="84" t="s">
        <v>1994</v>
      </c>
      <c r="AE71" s="61"/>
    </row>
    <row r="72" spans="1:31" ht="73.5" x14ac:dyDescent="0.45">
      <c r="A72" s="61" t="s">
        <v>2218</v>
      </c>
      <c r="B72" s="61" t="s">
        <v>2219</v>
      </c>
      <c r="C72" s="65"/>
      <c r="D72" s="61"/>
      <c r="E72" s="61" t="s">
        <v>2223</v>
      </c>
      <c r="F72" s="70" t="s">
        <v>53</v>
      </c>
      <c r="G72" s="70" t="s">
        <v>2121</v>
      </c>
      <c r="H72" s="67">
        <v>46176.636504629627</v>
      </c>
      <c r="I72" s="75">
        <f t="shared" ca="1" si="7"/>
        <v>4.0321877314854646</v>
      </c>
      <c r="J72" s="61"/>
      <c r="K72" s="61"/>
      <c r="L72" s="61"/>
      <c r="M72" s="61" t="s">
        <v>1730</v>
      </c>
      <c r="N72" s="61" t="s">
        <v>2224</v>
      </c>
      <c r="O72" s="61"/>
      <c r="P72" s="61"/>
      <c r="Q72" s="61"/>
      <c r="R72" s="61" t="s">
        <v>2343</v>
      </c>
      <c r="S72" s="61" t="s">
        <v>45</v>
      </c>
      <c r="T72" s="61" t="s">
        <v>1898</v>
      </c>
      <c r="U72" s="61" t="s">
        <v>1898</v>
      </c>
      <c r="V72" s="61" t="str">
        <f>VLOOKUP(B72,[2]Overall!$A:$D,4,0)</f>
        <v>TELEINFRA CENTRE</v>
      </c>
      <c r="W72" s="61" t="str">
        <f>VLOOKUP(B72,[3]Sheet1!$A:$B,2,0)</f>
        <v>Evodoula</v>
      </c>
      <c r="X72" s="88" t="str">
        <f t="shared" si="6"/>
        <v>ADM</v>
      </c>
      <c r="Y72" s="80" t="str">
        <f t="shared" ca="1" si="4"/>
        <v>T&gt;72H</v>
      </c>
      <c r="Z72" s="61">
        <f t="shared" si="5"/>
        <v>2</v>
      </c>
      <c r="AA72" s="61" t="s">
        <v>1566</v>
      </c>
      <c r="AB72" s="84" t="s">
        <v>1554</v>
      </c>
      <c r="AC72" s="84" t="s">
        <v>2329</v>
      </c>
      <c r="AD72" s="84" t="s">
        <v>1994</v>
      </c>
      <c r="AE72" s="61"/>
    </row>
    <row r="73" spans="1:31" ht="59" x14ac:dyDescent="0.45">
      <c r="A73" s="61" t="s">
        <v>2147</v>
      </c>
      <c r="B73" s="61" t="s">
        <v>2148</v>
      </c>
      <c r="C73" s="65"/>
      <c r="D73" s="61"/>
      <c r="E73" s="61" t="s">
        <v>2149</v>
      </c>
      <c r="F73" s="70" t="s">
        <v>53</v>
      </c>
      <c r="G73" s="70" t="s">
        <v>2121</v>
      </c>
      <c r="H73" s="67">
        <v>46176.646666666667</v>
      </c>
      <c r="I73" s="75">
        <f t="shared" ca="1" si="7"/>
        <v>4.022025694444892</v>
      </c>
      <c r="J73" s="61"/>
      <c r="K73" s="61"/>
      <c r="L73" s="61"/>
      <c r="M73" s="61" t="s">
        <v>33</v>
      </c>
      <c r="N73" s="61" t="s">
        <v>1626</v>
      </c>
      <c r="O73" s="61"/>
      <c r="P73" s="61"/>
      <c r="Q73" s="61"/>
      <c r="R73" s="61" t="s">
        <v>2346</v>
      </c>
      <c r="S73" s="61" t="s">
        <v>40</v>
      </c>
      <c r="T73" s="61" t="s">
        <v>1898</v>
      </c>
      <c r="U73" s="61" t="s">
        <v>1898</v>
      </c>
      <c r="V73" s="61" t="str">
        <f>VLOOKUP(B73,[2]Overall!$A:$D,4,0)</f>
        <v>TELEINFRA NORD</v>
      </c>
      <c r="W73" s="61" t="str">
        <f>VLOOKUP(B73,[3]Sheet1!$A:$B,2,0)</f>
        <v>Mboulai</v>
      </c>
      <c r="X73" s="88" t="str">
        <f t="shared" si="6"/>
        <v>ADM</v>
      </c>
      <c r="Y73" s="80" t="str">
        <f ca="1">IF(I73 &lt; 1/24, "T&lt;1H", IF(AND(I73&lt;2/24, I73&gt;1/24), "1H&lt;T&lt;2H", IF(AND(I73&lt;4/24, I73&gt;2/24), "2H&lt;T&lt;4H", IF(AND(I73&lt;8/24, I73&gt;4/24), "4H&lt;T&lt;8H", IF(AND(I73&lt;16/24, I73&gt;8/24), "8H&lt;T&lt;16H",IF(AND(I73&lt;24/24, I73&gt;16/24),"16H&lt;T&lt;24H", IF(AND(I73&lt;48/24, I73&gt;24/24),"24H&lt;T&lt;48H",IF(AND(I73&lt;72/24, I73&gt;24/24),"48H&lt;T&lt;72H", "T&gt;72H"))))))))</f>
        <v>T&gt;72H</v>
      </c>
      <c r="Z73" s="61">
        <f>IF(OR(E73="", E73="affected_cells=unknown"), "", LEN(E73)-LEN(SUBSTITUTE(E73, ",", "")) + LEN(E73)-LEN(SUBSTITUTE(E73, ";", "")) + 1)</f>
        <v>1</v>
      </c>
      <c r="AA73" s="61" t="s">
        <v>1566</v>
      </c>
      <c r="AB73" s="84" t="s">
        <v>1555</v>
      </c>
      <c r="AC73" s="84" t="s">
        <v>2329</v>
      </c>
      <c r="AD73" s="84" t="s">
        <v>1994</v>
      </c>
      <c r="AE73" s="61"/>
    </row>
    <row r="74" spans="1:31" ht="73.5" x14ac:dyDescent="0.45">
      <c r="A74" s="61" t="s">
        <v>2322</v>
      </c>
      <c r="B74" s="61" t="s">
        <v>2323</v>
      </c>
      <c r="C74" s="65"/>
      <c r="D74" s="61"/>
      <c r="E74" s="61" t="s">
        <v>1823</v>
      </c>
      <c r="F74" s="70" t="s">
        <v>53</v>
      </c>
      <c r="G74" s="70" t="s">
        <v>2121</v>
      </c>
      <c r="H74" s="67">
        <v>46176.67019675926</v>
      </c>
      <c r="I74" s="75">
        <f t="shared" ca="1" si="7"/>
        <v>3.9984956018524827</v>
      </c>
      <c r="J74" s="61"/>
      <c r="K74" s="61"/>
      <c r="L74" s="61"/>
      <c r="M74" s="61" t="s">
        <v>2216</v>
      </c>
      <c r="N74" s="61" t="s">
        <v>2324</v>
      </c>
      <c r="O74" s="61"/>
      <c r="P74" s="61"/>
      <c r="Q74" s="61"/>
      <c r="R74" s="61" t="s">
        <v>2294</v>
      </c>
      <c r="S74" s="61" t="s">
        <v>51</v>
      </c>
      <c r="T74" s="61" t="s">
        <v>1898</v>
      </c>
      <c r="U74" s="61" t="s">
        <v>1898</v>
      </c>
      <c r="V74" s="61" t="str">
        <f>VLOOKUP(B74,[2]Overall!$A:$D,4,0)</f>
        <v>TELEINFRA NORD</v>
      </c>
      <c r="W74" s="61" t="str">
        <f>VLOOKUP(B74,[3]Sheet1!$A:$B,2,0)</f>
        <v>Oura-Dara</v>
      </c>
      <c r="X74" s="88" t="str">
        <f t="shared" si="6"/>
        <v>NRO</v>
      </c>
      <c r="Y74" s="80" t="str">
        <f ca="1">IF(I74 &lt; 1/24, "T&lt;1H", IF(AND(I74&lt;2/24, I74&gt;1/24), "1H&lt;T&lt;2H", IF(AND(I74&lt;4/24, I74&gt;2/24), "2H&lt;T&lt;4H", IF(AND(I74&lt;8/24, I74&gt;4/24), "4H&lt;T&lt;8H", IF(AND(I74&lt;16/24, I74&gt;8/24), "8H&lt;T&lt;16H",IF(AND(I74&lt;24/24, I74&gt;16/24),"16H&lt;T&lt;24H", IF(AND(I74&lt;48/24, I74&gt;24/24),"24H&lt;T&lt;48H",IF(AND(I74&lt;72/24, I74&gt;24/24),"48H&lt;T&lt;72H", "T&gt;72H"))))))))</f>
        <v>T&gt;72H</v>
      </c>
      <c r="Z74" s="61">
        <f>IF(OR(E74="", E74="affected_cells=unknown"), "", LEN(E74)-LEN(SUBSTITUTE(E74, ",", "")) + LEN(E74)-LEN(SUBSTITUTE(E74, ";", "")) + 1)</f>
        <v>2</v>
      </c>
      <c r="AA74" s="61" t="s">
        <v>1566</v>
      </c>
      <c r="AB74" s="84" t="s">
        <v>1555</v>
      </c>
      <c r="AC74" s="84" t="s">
        <v>2329</v>
      </c>
      <c r="AD74" s="84" t="s">
        <v>1994</v>
      </c>
      <c r="AE74" s="61"/>
    </row>
    <row r="75" spans="1:31" ht="73.5" x14ac:dyDescent="0.45">
      <c r="A75" s="63" t="s">
        <v>2325</v>
      </c>
      <c r="B75" s="63" t="s">
        <v>2326</v>
      </c>
      <c r="C75" s="68"/>
      <c r="D75" s="63"/>
      <c r="E75" s="63" t="s">
        <v>1823</v>
      </c>
      <c r="F75" s="71" t="s">
        <v>53</v>
      </c>
      <c r="G75" s="71" t="s">
        <v>2121</v>
      </c>
      <c r="H75" s="69">
        <v>46176.683819444443</v>
      </c>
      <c r="I75" s="77">
        <f t="shared" ca="1" si="7"/>
        <v>3.9848729166697012</v>
      </c>
      <c r="J75" s="63"/>
      <c r="K75" s="63"/>
      <c r="L75" s="63"/>
      <c r="M75" s="63" t="s">
        <v>1605</v>
      </c>
      <c r="N75" s="63" t="s">
        <v>2327</v>
      </c>
      <c r="O75" s="63"/>
      <c r="P75" s="63" t="s">
        <v>1906</v>
      </c>
      <c r="Q75" s="63"/>
      <c r="R75" s="85" t="s">
        <v>2294</v>
      </c>
      <c r="S75" s="63" t="s">
        <v>51</v>
      </c>
      <c r="T75" s="63" t="s">
        <v>1898</v>
      </c>
      <c r="U75" s="63" t="s">
        <v>1898</v>
      </c>
      <c r="V75" s="63" t="str">
        <f>VLOOKUP(B75,[2]Overall!$A:$D,4,0)</f>
        <v xml:space="preserve">I-ENG </v>
      </c>
      <c r="W75" s="63" t="str">
        <f>VLOOKUP(B75,[3]Sheet1!$A:$B,2,0)</f>
        <v>Balikumbat</v>
      </c>
      <c r="X75" s="89" t="str">
        <f t="shared" si="6"/>
        <v>NRO</v>
      </c>
      <c r="Y75" s="81" t="str">
        <f ca="1">IF(I75 &lt; 1/24, "T&lt;1H", IF(AND(I75&lt;2/24, I75&gt;1/24), "1H&lt;T&lt;2H", IF(AND(I75&lt;4/24, I75&gt;2/24), "2H&lt;T&lt;4H", IF(AND(I75&lt;8/24, I75&gt;4/24), "4H&lt;T&lt;8H", IF(AND(I75&lt;16/24, I75&gt;8/24), "8H&lt;T&lt;16H",IF(AND(I75&lt;24/24, I75&gt;16/24),"16H&lt;T&lt;24H", IF(AND(I75&lt;48/24, I75&gt;24/24),"24H&lt;T&lt;48H",IF(AND(I75&lt;72/24, I75&gt;24/24),"48H&lt;T&lt;72H", "T&gt;72H"))))))))</f>
        <v>T&gt;72H</v>
      </c>
      <c r="Z75" s="63">
        <f>IF(OR(E75="", E75="affected_cells=unknown"), "", LEN(E75)-LEN(SUBSTITUTE(E75, ",", "")) + LEN(E75)-LEN(SUBSTITUTE(E75, ";", "")) + 1)</f>
        <v>2</v>
      </c>
      <c r="AA75" s="63" t="s">
        <v>77</v>
      </c>
      <c r="AB75" s="85" t="s">
        <v>1555</v>
      </c>
      <c r="AC75" s="85" t="s">
        <v>2329</v>
      </c>
      <c r="AD75" s="85" t="s">
        <v>1994</v>
      </c>
      <c r="AE75" s="63"/>
    </row>
    <row r="76" spans="1:31" ht="160.5" x14ac:dyDescent="0.45">
      <c r="A76" s="63" t="s">
        <v>2325</v>
      </c>
      <c r="B76" s="63" t="s">
        <v>2326</v>
      </c>
      <c r="C76" s="68"/>
      <c r="D76" s="63"/>
      <c r="E76" s="63" t="s">
        <v>1823</v>
      </c>
      <c r="F76" s="71" t="s">
        <v>53</v>
      </c>
      <c r="G76" s="71" t="s">
        <v>2121</v>
      </c>
      <c r="H76" s="69">
        <v>46176.685162037036</v>
      </c>
      <c r="I76" s="77">
        <f t="shared" ca="1" si="7"/>
        <v>3.9835303240761277</v>
      </c>
      <c r="J76" s="63"/>
      <c r="K76" s="63"/>
      <c r="L76" s="63"/>
      <c r="M76" s="63" t="s">
        <v>1707</v>
      </c>
      <c r="N76" s="63" t="s">
        <v>2328</v>
      </c>
      <c r="O76" s="63"/>
      <c r="P76" s="63" t="s">
        <v>1906</v>
      </c>
      <c r="Q76" s="63"/>
      <c r="R76" s="63" t="s">
        <v>2294</v>
      </c>
      <c r="S76" s="63" t="s">
        <v>51</v>
      </c>
      <c r="T76" s="63" t="s">
        <v>1898</v>
      </c>
      <c r="U76" s="63" t="s">
        <v>1898</v>
      </c>
      <c r="V76" s="63" t="str">
        <f>VLOOKUP(B76,[2]Overall!$A:$D,4,0)</f>
        <v xml:space="preserve">I-ENG </v>
      </c>
      <c r="W76" s="63" t="str">
        <f>VLOOKUP(B76,[3]Sheet1!$A:$B,2,0)</f>
        <v>Balikumbat</v>
      </c>
      <c r="X76" s="89" t="str">
        <f t="shared" si="6"/>
        <v/>
      </c>
      <c r="Y76" s="81" t="str">
        <f ca="1">IF(I76 &lt; 1/24, "T&lt;1H", IF(AND(I76&lt;2/24, I76&gt;1/24), "1H&lt;T&lt;2H", IF(AND(I76&lt;4/24, I76&gt;2/24), "2H&lt;T&lt;4H", IF(AND(I76&lt;8/24, I76&gt;4/24), "4H&lt;T&lt;8H", IF(AND(I76&lt;16/24, I76&gt;8/24), "8H&lt;T&lt;16H",IF(AND(I76&lt;24/24, I76&gt;16/24),"16H&lt;T&lt;24H", IF(AND(I76&lt;48/24, I76&gt;24/24),"24H&lt;T&lt;48H",IF(AND(I76&lt;72/24, I76&gt;24/24),"48H&lt;T&lt;72H", "T&gt;72H"))))))))</f>
        <v>T&gt;72H</v>
      </c>
      <c r="Z76" s="63">
        <f>IF(OR(E76="", E76="affected_cells=unknown"), "", LEN(E76)-LEN(SUBSTITUTE(E76, ",", "")) + LEN(E76)-LEN(SUBSTITUTE(E76, ";", "")) + 1)</f>
        <v>2</v>
      </c>
      <c r="AA76" s="63" t="s">
        <v>77</v>
      </c>
      <c r="AB76" s="85" t="s">
        <v>1555</v>
      </c>
      <c r="AC76" s="85" t="s">
        <v>2329</v>
      </c>
      <c r="AD76" s="85" t="s">
        <v>1994</v>
      </c>
      <c r="AE76" s="63"/>
    </row>
  </sheetData>
  <autoFilter ref="A1:AE76" xr:uid="{E69B1EA2-EE4C-4F8C-B9E3-CB363B1672E8}"/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95D2-15B4-4F4E-9831-3AF001C06DFE}">
  <sheetPr codeName="Sheet38">
    <tabColor theme="5"/>
  </sheetPr>
  <dimension ref="A1:AE79"/>
  <sheetViews>
    <sheetView zoomScale="66" zoomScaleNormal="70" workbookViewId="0">
      <pane xSplit="6" topLeftCell="Q1" activePane="topRight" state="frozen"/>
      <selection activeCell="AB4" sqref="AB4"/>
      <selection pane="topRight" activeCell="R68" sqref="R68:U68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.5" x14ac:dyDescent="0.4">
      <c r="A1" s="79" t="s">
        <v>0</v>
      </c>
      <c r="B1" s="57" t="s">
        <v>1</v>
      </c>
      <c r="C1" s="57" t="s">
        <v>2</v>
      </c>
      <c r="D1" s="57" t="s">
        <v>3</v>
      </c>
      <c r="E1" s="79" t="s">
        <v>4</v>
      </c>
      <c r="F1" s="57" t="s">
        <v>5</v>
      </c>
      <c r="G1" s="57" t="s">
        <v>6</v>
      </c>
      <c r="H1" s="72" t="s">
        <v>7</v>
      </c>
      <c r="I1" s="74" t="s">
        <v>8</v>
      </c>
      <c r="J1" s="56" t="s">
        <v>9</v>
      </c>
      <c r="K1" s="57" t="s">
        <v>10</v>
      </c>
      <c r="L1" s="55" t="s">
        <v>11</v>
      </c>
      <c r="M1" s="55" t="s">
        <v>12</v>
      </c>
      <c r="N1" s="55" t="s">
        <v>13</v>
      </c>
      <c r="O1" s="57" t="s">
        <v>14</v>
      </c>
      <c r="P1" s="58" t="s">
        <v>15</v>
      </c>
      <c r="Q1" s="58" t="s">
        <v>16</v>
      </c>
      <c r="R1" s="78" t="s">
        <v>17</v>
      </c>
      <c r="S1" s="57" t="s">
        <v>1691</v>
      </c>
      <c r="T1" s="58" t="s">
        <v>18</v>
      </c>
      <c r="U1" s="58" t="s">
        <v>19</v>
      </c>
      <c r="V1" s="57" t="s">
        <v>20</v>
      </c>
      <c r="W1" s="57" t="s">
        <v>21</v>
      </c>
      <c r="X1" s="57" t="s">
        <v>22</v>
      </c>
      <c r="Y1" s="57" t="s">
        <v>23</v>
      </c>
      <c r="Z1" s="57" t="s">
        <v>24</v>
      </c>
      <c r="AA1" s="59" t="s">
        <v>25</v>
      </c>
      <c r="AB1" s="59" t="s">
        <v>26</v>
      </c>
      <c r="AC1" s="59" t="s">
        <v>27</v>
      </c>
      <c r="AD1" s="59" t="s">
        <v>28</v>
      </c>
      <c r="AE1" s="59" t="s">
        <v>29</v>
      </c>
    </row>
    <row r="2" spans="1:31" ht="392.5" x14ac:dyDescent="0.4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t="shared" ref="I2:I48" ca="1" si="0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2383</v>
      </c>
      <c r="S2" s="61" t="s">
        <v>75</v>
      </c>
      <c r="T2" s="61" t="s">
        <v>1688</v>
      </c>
      <c r="U2" s="61" t="e">
        <v>#N/A</v>
      </c>
      <c r="V2" s="61" t="str">
        <f>VLOOKUP(B2,[2]Overall!$A:$D,4,0)</f>
        <v>TELEINFRA NORD</v>
      </c>
      <c r="W2" s="61" t="str">
        <f>VLOOKUP(B2,[3]Sheet1!$A:$B,2,0)</f>
        <v>Martap</v>
      </c>
      <c r="X2" s="88" t="str">
        <f>LEFT(B2,3)</f>
        <v>ADM</v>
      </c>
      <c r="Y2" s="80" t="str">
        <f t="shared" ref="Y2:Y27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61">
        <f t="shared" ref="Z2:Z27" si="2">IF(OR(E2="", E2="affected_cells=unknown"), "", LEN(E2)-LEN(SUBSTITUTE(E2, ",", "")) + LEN(E2)-LEN(SUBSTITUTE(E2, ";", "")) + 1)</f>
        <v>1</v>
      </c>
      <c r="AA2" s="61" t="s">
        <v>1566</v>
      </c>
      <c r="AB2" s="61" t="s">
        <v>1904</v>
      </c>
      <c r="AC2" s="84" t="s">
        <v>2364</v>
      </c>
      <c r="AD2" s="84" t="s">
        <v>1994</v>
      </c>
      <c r="AE2" s="61"/>
    </row>
    <row r="3" spans="1:31" ht="291" x14ac:dyDescent="0.4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84" t="s">
        <v>2375</v>
      </c>
      <c r="S3" s="61" t="s">
        <v>40</v>
      </c>
      <c r="T3" s="61" t="s">
        <v>2129</v>
      </c>
      <c r="U3" s="61" t="s">
        <v>2129</v>
      </c>
      <c r="V3" s="61" t="str">
        <f>VLOOKUP(B3,[2]Overall!$A:$D,4,0)</f>
        <v>TELEINFRA NORD</v>
      </c>
      <c r="W3" s="61" t="str">
        <f>VLOOKUP(B3,[3]Sheet1!$A:$B,2,0)</f>
        <v>Dogba</v>
      </c>
      <c r="X3" s="88" t="str">
        <f t="shared" ref="X3:X27" si="3">LEFT(B4,3)</f>
        <v>EXN</v>
      </c>
      <c r="Y3" s="80" t="str">
        <f t="shared" ca="1" si="1"/>
        <v>T&gt;72H</v>
      </c>
      <c r="Z3" s="61">
        <f t="shared" si="2"/>
        <v>4</v>
      </c>
      <c r="AA3" s="61" t="s">
        <v>1566</v>
      </c>
      <c r="AB3" s="61" t="s">
        <v>1904</v>
      </c>
      <c r="AC3" s="84" t="s">
        <v>2364</v>
      </c>
      <c r="AD3" s="84" t="s">
        <v>1994</v>
      </c>
      <c r="AE3" s="61"/>
    </row>
    <row r="4" spans="1:31" ht="291" x14ac:dyDescent="0.4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84" t="s">
        <v>2375</v>
      </c>
      <c r="S4" s="61" t="s">
        <v>40</v>
      </c>
      <c r="T4" s="61" t="s">
        <v>2129</v>
      </c>
      <c r="U4" s="61" t="s">
        <v>2129</v>
      </c>
      <c r="V4" s="61" t="str">
        <f>VLOOKUP(B4,[2]Overall!$A:$D,4,0)</f>
        <v>TELEINFRA NORD</v>
      </c>
      <c r="W4" s="61" t="str">
        <f>VLOOKUP(B4,[3]Sheet1!$A:$B,2,0)</f>
        <v>Dogba</v>
      </c>
      <c r="X4" s="88" t="str">
        <f t="shared" si="3"/>
        <v>EXN</v>
      </c>
      <c r="Y4" s="80" t="str">
        <f t="shared" ca="1" si="1"/>
        <v>T&gt;72H</v>
      </c>
      <c r="Z4" s="61">
        <f t="shared" si="2"/>
        <v>3</v>
      </c>
      <c r="AA4" s="61" t="s">
        <v>1566</v>
      </c>
      <c r="AB4" s="61" t="s">
        <v>1904</v>
      </c>
      <c r="AC4" s="84" t="s">
        <v>2364</v>
      </c>
      <c r="AD4" s="84" t="s">
        <v>1994</v>
      </c>
      <c r="AE4" s="61"/>
    </row>
    <row r="5" spans="1:31" ht="131.5" x14ac:dyDescent="0.4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2244</v>
      </c>
      <c r="S5" s="61" t="s">
        <v>40</v>
      </c>
      <c r="T5" s="61" t="s">
        <v>1898</v>
      </c>
      <c r="U5" s="61" t="s">
        <v>1898</v>
      </c>
      <c r="V5" s="61" t="str">
        <f>VLOOKUP(B5,[2]Overall!$A:$D,4,0)</f>
        <v>TELEINFRA NORD</v>
      </c>
      <c r="W5" s="61" t="str">
        <f>VLOOKUP(B5,[3]Sheet1!$A:$B,2,0)</f>
        <v>Zigague</v>
      </c>
      <c r="X5" s="88" t="str">
        <f t="shared" si="3"/>
        <v>SUO</v>
      </c>
      <c r="Y5" s="80" t="str">
        <f t="shared" ca="1" si="1"/>
        <v>T&gt;72H</v>
      </c>
      <c r="Z5" s="61">
        <f t="shared" si="2"/>
        <v>1</v>
      </c>
      <c r="AA5" s="61" t="s">
        <v>1566</v>
      </c>
      <c r="AB5" s="61" t="s">
        <v>1904</v>
      </c>
      <c r="AC5" s="84" t="s">
        <v>2364</v>
      </c>
      <c r="AD5" s="84" t="s">
        <v>1994</v>
      </c>
      <c r="AE5" s="61"/>
    </row>
    <row r="6" spans="1:31" ht="160.5" x14ac:dyDescent="0.45">
      <c r="A6" s="61" t="s">
        <v>1834</v>
      </c>
      <c r="B6" s="61" t="s">
        <v>1835</v>
      </c>
      <c r="C6" s="65"/>
      <c r="D6" s="61"/>
      <c r="E6" s="61" t="s">
        <v>39</v>
      </c>
      <c r="F6" s="70" t="s">
        <v>53</v>
      </c>
      <c r="G6" s="70" t="s">
        <v>2121</v>
      </c>
      <c r="H6" s="67">
        <v>46168.908518518518</v>
      </c>
      <c r="I6" s="75">
        <f t="shared" ca="1" si="0"/>
        <v>11.760173842594668</v>
      </c>
      <c r="J6" s="61"/>
      <c r="K6" s="61"/>
      <c r="L6" s="61"/>
      <c r="M6" s="61" t="s">
        <v>1836</v>
      </c>
      <c r="N6" s="61" t="s">
        <v>1837</v>
      </c>
      <c r="O6" s="61"/>
      <c r="P6" s="61"/>
      <c r="Q6" s="61"/>
      <c r="R6" s="84" t="s">
        <v>2372</v>
      </c>
      <c r="S6" s="61" t="s">
        <v>85</v>
      </c>
      <c r="T6" s="61" t="s">
        <v>1899</v>
      </c>
      <c r="U6" s="61" t="s">
        <v>1899</v>
      </c>
      <c r="V6" s="61" t="str">
        <f>VLOOKUP(B6,[2]Overall!$A:$D,4,0)</f>
        <v>H-TELI</v>
      </c>
      <c r="W6" s="61" t="str">
        <f>VLOOKUP(B6,[3]Sheet1!$A:$B,2,0)</f>
        <v>Ebonji</v>
      </c>
      <c r="X6" s="88" t="e">
        <f>LEFT(#REF!,3)</f>
        <v>#REF!</v>
      </c>
      <c r="Y6" s="80" t="str">
        <f t="shared" ca="1" si="1"/>
        <v>T&gt;72H</v>
      </c>
      <c r="Z6" s="61">
        <f t="shared" si="2"/>
        <v>1</v>
      </c>
      <c r="AA6" s="61" t="s">
        <v>1566</v>
      </c>
      <c r="AB6" s="61" t="s">
        <v>1904</v>
      </c>
      <c r="AC6" s="84" t="s">
        <v>2364</v>
      </c>
      <c r="AD6" s="84" t="s">
        <v>1994</v>
      </c>
      <c r="AE6" s="61"/>
    </row>
    <row r="7" spans="1:31" ht="102.5" x14ac:dyDescent="0.45">
      <c r="A7" s="61" t="s">
        <v>1930</v>
      </c>
      <c r="B7" s="61" t="s">
        <v>1931</v>
      </c>
      <c r="C7" s="65"/>
      <c r="D7" s="61"/>
      <c r="E7" s="61" t="s">
        <v>34</v>
      </c>
      <c r="F7" s="70" t="s">
        <v>53</v>
      </c>
      <c r="G7" s="70" t="s">
        <v>2121</v>
      </c>
      <c r="H7" s="67">
        <v>46172.534074074072</v>
      </c>
      <c r="I7" s="75">
        <f t="shared" ca="1" si="0"/>
        <v>8.1346182870402117</v>
      </c>
      <c r="J7" s="61"/>
      <c r="K7" s="61"/>
      <c r="L7" s="61"/>
      <c r="M7" s="61" t="s">
        <v>1929</v>
      </c>
      <c r="N7" s="61" t="s">
        <v>1932</v>
      </c>
      <c r="O7" s="61"/>
      <c r="P7" s="61"/>
      <c r="Q7" s="61"/>
      <c r="R7" s="61" t="s">
        <v>2079</v>
      </c>
      <c r="S7" s="61" t="s">
        <v>40</v>
      </c>
      <c r="T7" s="61" t="s">
        <v>1898</v>
      </c>
      <c r="U7" s="61" t="s">
        <v>1898</v>
      </c>
      <c r="V7" s="61" t="str">
        <f>VLOOKUP(B7,[2]Overall!$A:$D,4,0)</f>
        <v>TELEINFRA NORD</v>
      </c>
      <c r="W7" s="61" t="str">
        <f>VLOOKUP(B7,[3]Sheet1!$A:$B,2,0)</f>
        <v>Mazera</v>
      </c>
      <c r="X7" s="88" t="str">
        <f t="shared" si="3"/>
        <v>NRD</v>
      </c>
      <c r="Y7" s="80" t="str">
        <f t="shared" ca="1" si="1"/>
        <v>T&gt;72H</v>
      </c>
      <c r="Z7" s="61">
        <f t="shared" si="2"/>
        <v>1</v>
      </c>
      <c r="AA7" s="61" t="s">
        <v>1566</v>
      </c>
      <c r="AB7" s="61" t="s">
        <v>1904</v>
      </c>
      <c r="AC7" s="84" t="s">
        <v>2364</v>
      </c>
      <c r="AD7" s="84" t="s">
        <v>1994</v>
      </c>
      <c r="AE7" s="61"/>
    </row>
    <row r="8" spans="1:31" ht="392.5" x14ac:dyDescent="0.45">
      <c r="A8" s="61" t="s">
        <v>1773</v>
      </c>
      <c r="B8" s="61" t="s">
        <v>1774</v>
      </c>
      <c r="C8" s="65"/>
      <c r="D8" s="61"/>
      <c r="E8" s="61" t="s">
        <v>1956</v>
      </c>
      <c r="F8" s="70" t="s">
        <v>53</v>
      </c>
      <c r="G8" s="70" t="s">
        <v>2121</v>
      </c>
      <c r="H8" s="67">
        <v>46172.719837962963</v>
      </c>
      <c r="I8" s="75">
        <f t="shared" ca="1" si="0"/>
        <v>7.948854398149706</v>
      </c>
      <c r="J8" s="61"/>
      <c r="K8" s="61"/>
      <c r="L8" s="61"/>
      <c r="M8" s="61" t="s">
        <v>31</v>
      </c>
      <c r="N8" s="61" t="s">
        <v>1957</v>
      </c>
      <c r="O8" s="61"/>
      <c r="P8" s="61"/>
      <c r="Q8" s="61"/>
      <c r="R8" s="84" t="s">
        <v>2376</v>
      </c>
      <c r="S8" s="61" t="s">
        <v>40</v>
      </c>
      <c r="T8" s="61" t="s">
        <v>1898</v>
      </c>
      <c r="U8" s="61" t="s">
        <v>1898</v>
      </c>
      <c r="V8" s="61" t="str">
        <f>VLOOKUP(B8,[2]Overall!$A:$D,4,0)</f>
        <v>TELEINFRA NORD</v>
      </c>
      <c r="W8" s="61" t="str">
        <f>VLOOKUP(B8,[3]Sheet1!$A:$B,2,0)</f>
        <v>Hamalade</v>
      </c>
      <c r="X8" s="88" t="str">
        <f t="shared" si="3"/>
        <v>NRD</v>
      </c>
      <c r="Y8" s="80" t="str">
        <f t="shared" ca="1" si="1"/>
        <v>T&gt;72H</v>
      </c>
      <c r="Z8" s="61">
        <f t="shared" si="2"/>
        <v>3</v>
      </c>
      <c r="AA8" s="61" t="s">
        <v>1566</v>
      </c>
      <c r="AB8" s="61" t="s">
        <v>1904</v>
      </c>
      <c r="AC8" s="84" t="s">
        <v>2364</v>
      </c>
      <c r="AD8" s="84" t="s">
        <v>1994</v>
      </c>
      <c r="AE8" s="61"/>
    </row>
    <row r="9" spans="1:31" ht="392.5" x14ac:dyDescent="0.45">
      <c r="A9" s="61" t="s">
        <v>1773</v>
      </c>
      <c r="B9" s="61" t="s">
        <v>1774</v>
      </c>
      <c r="C9" s="65"/>
      <c r="D9" s="61"/>
      <c r="E9" s="61" t="s">
        <v>35</v>
      </c>
      <c r="F9" s="70" t="s">
        <v>53</v>
      </c>
      <c r="G9" s="70" t="s">
        <v>2121</v>
      </c>
      <c r="H9" s="67">
        <v>46172.719837962963</v>
      </c>
      <c r="I9" s="75">
        <f t="shared" ca="1" si="0"/>
        <v>7.948854398149706</v>
      </c>
      <c r="J9" s="61"/>
      <c r="K9" s="61"/>
      <c r="L9" s="61"/>
      <c r="M9" s="61" t="s">
        <v>31</v>
      </c>
      <c r="N9" s="61" t="s">
        <v>1775</v>
      </c>
      <c r="O9" s="61"/>
      <c r="P9" s="61"/>
      <c r="Q9" s="61"/>
      <c r="R9" s="84" t="s">
        <v>2376</v>
      </c>
      <c r="S9" s="61" t="s">
        <v>40</v>
      </c>
      <c r="T9" s="61" t="s">
        <v>1898</v>
      </c>
      <c r="U9" s="61" t="s">
        <v>1898</v>
      </c>
      <c r="V9" s="61" t="str">
        <f>VLOOKUP(B9,[2]Overall!$A:$D,4,0)</f>
        <v>TELEINFRA NORD</v>
      </c>
      <c r="W9" s="61" t="str">
        <f>VLOOKUP(B9,[3]Sheet1!$A:$B,2,0)</f>
        <v>Hamalade</v>
      </c>
      <c r="X9" s="88" t="str">
        <f t="shared" si="3"/>
        <v>NRD</v>
      </c>
      <c r="Y9" s="80" t="str">
        <f t="shared" ca="1" si="1"/>
        <v>T&gt;72H</v>
      </c>
      <c r="Z9" s="61">
        <f t="shared" si="2"/>
        <v>3</v>
      </c>
      <c r="AA9" s="61" t="s">
        <v>1566</v>
      </c>
      <c r="AB9" s="61" t="s">
        <v>1904</v>
      </c>
      <c r="AC9" s="84" t="s">
        <v>2364</v>
      </c>
      <c r="AD9" s="84" t="s">
        <v>1994</v>
      </c>
      <c r="AE9" s="61"/>
    </row>
    <row r="10" spans="1:31" ht="392.5" x14ac:dyDescent="0.45">
      <c r="A10" s="61" t="s">
        <v>1773</v>
      </c>
      <c r="B10" s="61" t="s">
        <v>1774</v>
      </c>
      <c r="C10" s="65"/>
      <c r="D10" s="61"/>
      <c r="E10" s="61" t="s">
        <v>1954</v>
      </c>
      <c r="F10" s="70" t="s">
        <v>53</v>
      </c>
      <c r="G10" s="70" t="s">
        <v>2121</v>
      </c>
      <c r="H10" s="67">
        <v>46172.724965277775</v>
      </c>
      <c r="I10" s="75">
        <f t="shared" ca="1" si="0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84" t="s">
        <v>2376</v>
      </c>
      <c r="S10" s="61" t="s">
        <v>40</v>
      </c>
      <c r="T10" s="61" t="s">
        <v>1898</v>
      </c>
      <c r="U10" s="61" t="s">
        <v>1898</v>
      </c>
      <c r="V10" s="61" t="str">
        <f>VLOOKUP(B10,[2]Overall!$A:$D,4,0)</f>
        <v>TELEINFRA NORD</v>
      </c>
      <c r="W10" s="61" t="str">
        <f>VLOOKUP(B10,[3]Sheet1!$A:$B,2,0)</f>
        <v>Hamalade</v>
      </c>
      <c r="X10" s="88" t="str">
        <f t="shared" si="3"/>
        <v>NRD</v>
      </c>
      <c r="Y10" s="80" t="str">
        <f t="shared" ca="1" si="1"/>
        <v>T&gt;72H</v>
      </c>
      <c r="Z10" s="61">
        <f t="shared" si="2"/>
        <v>1</v>
      </c>
      <c r="AA10" s="61" t="s">
        <v>1566</v>
      </c>
      <c r="AB10" s="61" t="s">
        <v>1904</v>
      </c>
      <c r="AC10" s="84" t="s">
        <v>2364</v>
      </c>
      <c r="AD10" s="84" t="s">
        <v>1994</v>
      </c>
      <c r="AE10" s="61"/>
    </row>
    <row r="11" spans="1:31" ht="392.5" x14ac:dyDescent="0.45">
      <c r="A11" s="61" t="s">
        <v>1773</v>
      </c>
      <c r="B11" s="61" t="s">
        <v>1774</v>
      </c>
      <c r="C11" s="65"/>
      <c r="D11" s="61"/>
      <c r="E11" s="61" t="s">
        <v>1955</v>
      </c>
      <c r="F11" s="70" t="s">
        <v>53</v>
      </c>
      <c r="G11" s="70" t="s">
        <v>2121</v>
      </c>
      <c r="H11" s="67">
        <v>46172.724965277775</v>
      </c>
      <c r="I11" s="75">
        <f t="shared" ca="1" si="0"/>
        <v>7.943727083336853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84" t="s">
        <v>2376</v>
      </c>
      <c r="S11" s="61" t="s">
        <v>40</v>
      </c>
      <c r="T11" s="61" t="s">
        <v>1898</v>
      </c>
      <c r="U11" s="61" t="s">
        <v>1898</v>
      </c>
      <c r="V11" s="61" t="str">
        <f>VLOOKUP(B11,[2]Overall!$A:$D,4,0)</f>
        <v>TELEINFRA NORD</v>
      </c>
      <c r="W11" s="61" t="str">
        <f>VLOOKUP(B11,[3]Sheet1!$A:$B,2,0)</f>
        <v>Hamalade</v>
      </c>
      <c r="X11" s="88" t="str">
        <f t="shared" si="3"/>
        <v>NRD</v>
      </c>
      <c r="Y11" s="80" t="str">
        <f t="shared" ca="1" si="1"/>
        <v>T&gt;72H</v>
      </c>
      <c r="Z11" s="61">
        <f t="shared" si="2"/>
        <v>1</v>
      </c>
      <c r="AA11" s="61" t="s">
        <v>1566</v>
      </c>
      <c r="AB11" s="61" t="s">
        <v>1904</v>
      </c>
      <c r="AC11" s="84" t="s">
        <v>2364</v>
      </c>
      <c r="AD11" s="84" t="s">
        <v>1994</v>
      </c>
      <c r="AE11" s="61"/>
    </row>
    <row r="12" spans="1:31" ht="392.5" x14ac:dyDescent="0.45">
      <c r="A12" s="61" t="s">
        <v>1773</v>
      </c>
      <c r="B12" s="61" t="s">
        <v>1774</v>
      </c>
      <c r="C12" s="65"/>
      <c r="D12" s="61"/>
      <c r="E12" s="61" t="s">
        <v>1953</v>
      </c>
      <c r="F12" s="70" t="s">
        <v>53</v>
      </c>
      <c r="G12" s="70" t="s">
        <v>2121</v>
      </c>
      <c r="H12" s="67">
        <v>46172.724965277775</v>
      </c>
      <c r="I12" s="75">
        <f t="shared" ca="1" si="0"/>
        <v>7.943727083336853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84" t="s">
        <v>2376</v>
      </c>
      <c r="S12" s="61" t="s">
        <v>40</v>
      </c>
      <c r="T12" s="61" t="s">
        <v>1898</v>
      </c>
      <c r="U12" s="61" t="s">
        <v>1898</v>
      </c>
      <c r="V12" s="61" t="str">
        <f>VLOOKUP(B12,[2]Overall!$A:$D,4,0)</f>
        <v>TELEINFRA NORD</v>
      </c>
      <c r="W12" s="61" t="str">
        <f>VLOOKUP(B12,[3]Sheet1!$A:$B,2,0)</f>
        <v>Hamalade</v>
      </c>
      <c r="X12" s="88" t="str">
        <f t="shared" si="3"/>
        <v>NRO</v>
      </c>
      <c r="Y12" s="80" t="str">
        <f t="shared" ca="1" si="1"/>
        <v>T&gt;72H</v>
      </c>
      <c r="Z12" s="61">
        <f t="shared" si="2"/>
        <v>1</v>
      </c>
      <c r="AA12" s="61" t="s">
        <v>1566</v>
      </c>
      <c r="AB12" s="61" t="s">
        <v>1904</v>
      </c>
      <c r="AC12" s="84" t="s">
        <v>2364</v>
      </c>
      <c r="AD12" s="84" t="s">
        <v>1994</v>
      </c>
      <c r="AE12" s="61"/>
    </row>
    <row r="13" spans="1:31" ht="378" x14ac:dyDescent="0.45">
      <c r="A13" s="61" t="s">
        <v>1724</v>
      </c>
      <c r="B13" s="61" t="s">
        <v>1725</v>
      </c>
      <c r="C13" s="65"/>
      <c r="D13" s="61"/>
      <c r="E13" s="61" t="s">
        <v>1726</v>
      </c>
      <c r="F13" s="70" t="s">
        <v>53</v>
      </c>
      <c r="G13" s="70" t="s">
        <v>2121</v>
      </c>
      <c r="H13" s="67">
        <v>46172.76761574074</v>
      </c>
      <c r="I13" s="75">
        <f t="shared" ca="1" si="0"/>
        <v>7.9010766203718958</v>
      </c>
      <c r="J13" s="61"/>
      <c r="K13" s="61"/>
      <c r="L13" s="61"/>
      <c r="M13" s="61" t="s">
        <v>33</v>
      </c>
      <c r="N13" s="61" t="s">
        <v>1635</v>
      </c>
      <c r="O13" s="61"/>
      <c r="P13" s="61"/>
      <c r="Q13" s="61"/>
      <c r="R13" s="84" t="s">
        <v>2370</v>
      </c>
      <c r="S13" s="61" t="s">
        <v>32</v>
      </c>
      <c r="T13" s="61" t="s">
        <v>1898</v>
      </c>
      <c r="U13" s="61" t="s">
        <v>1898</v>
      </c>
      <c r="V13" s="61" t="str">
        <f>VLOOKUP(B13,[2]Overall!$A:$D,4,0)</f>
        <v xml:space="preserve">I-ENG </v>
      </c>
      <c r="W13" s="61" t="str">
        <f>VLOOKUP(B13,[3]Sheet1!$A:$B,2,0)</f>
        <v>Mbakong</v>
      </c>
      <c r="X13" s="88" t="str">
        <f t="shared" si="3"/>
        <v>NRD</v>
      </c>
      <c r="Y13" s="80" t="str">
        <f t="shared" ca="1" si="1"/>
        <v>T&gt;72H</v>
      </c>
      <c r="Z13" s="61">
        <f t="shared" si="2"/>
        <v>2</v>
      </c>
      <c r="AA13" s="61" t="s">
        <v>1566</v>
      </c>
      <c r="AB13" s="61" t="s">
        <v>1904</v>
      </c>
      <c r="AC13" s="84" t="s">
        <v>2364</v>
      </c>
      <c r="AD13" s="84" t="s">
        <v>1994</v>
      </c>
      <c r="AE13" s="61"/>
    </row>
    <row r="14" spans="1:31" ht="146" x14ac:dyDescent="0.45">
      <c r="A14" s="63" t="s">
        <v>1969</v>
      </c>
      <c r="B14" s="63" t="s">
        <v>1970</v>
      </c>
      <c r="C14" s="68"/>
      <c r="D14" s="63"/>
      <c r="E14" s="63" t="s">
        <v>1971</v>
      </c>
      <c r="F14" s="71" t="s">
        <v>53</v>
      </c>
      <c r="G14" s="71" t="s">
        <v>2121</v>
      </c>
      <c r="H14" s="69">
        <v>46173.005960648145</v>
      </c>
      <c r="I14" s="77">
        <f t="shared" ca="1" si="0"/>
        <v>7.6627317129677976</v>
      </c>
      <c r="J14" s="63"/>
      <c r="K14" s="63"/>
      <c r="L14" s="63"/>
      <c r="M14" s="63" t="s">
        <v>46</v>
      </c>
      <c r="N14" s="63" t="s">
        <v>1972</v>
      </c>
      <c r="O14" s="63"/>
      <c r="P14" s="63" t="s">
        <v>1906</v>
      </c>
      <c r="Q14" s="63"/>
      <c r="R14" s="85" t="s">
        <v>2410</v>
      </c>
      <c r="S14" s="63" t="s">
        <v>40</v>
      </c>
      <c r="T14" s="85" t="s">
        <v>1898</v>
      </c>
      <c r="U14" s="63" t="s">
        <v>1898</v>
      </c>
      <c r="V14" s="63" t="str">
        <f>VLOOKUP(B14,[2]Overall!$A:$D,4,0)</f>
        <v>TELEINFRA NORD</v>
      </c>
      <c r="W14" s="63" t="str">
        <f>VLOOKUP(B14,[3]Sheet1!$A:$B,2,0)</f>
        <v>Gaba</v>
      </c>
      <c r="X14" s="89" t="e">
        <f>LEFT(#REF!,3)</f>
        <v>#REF!</v>
      </c>
      <c r="Y14" s="81" t="str">
        <f t="shared" ca="1" si="1"/>
        <v>T&gt;72H</v>
      </c>
      <c r="Z14" s="63">
        <f t="shared" si="2"/>
        <v>1</v>
      </c>
      <c r="AA14" s="63" t="s">
        <v>77</v>
      </c>
      <c r="AB14" s="63" t="s">
        <v>1905</v>
      </c>
      <c r="AC14" s="85" t="s">
        <v>2364</v>
      </c>
      <c r="AD14" s="85" t="s">
        <v>1994</v>
      </c>
      <c r="AE14" s="63"/>
    </row>
    <row r="15" spans="1:31" ht="175" x14ac:dyDescent="0.45">
      <c r="A15" s="61" t="s">
        <v>1981</v>
      </c>
      <c r="B15" s="61" t="s">
        <v>1982</v>
      </c>
      <c r="C15" s="65"/>
      <c r="D15" s="61"/>
      <c r="E15" s="61" t="s">
        <v>39</v>
      </c>
      <c r="F15" s="70" t="s">
        <v>53</v>
      </c>
      <c r="G15" s="70" t="s">
        <v>2121</v>
      </c>
      <c r="H15" s="67">
        <v>46173.814502314817</v>
      </c>
      <c r="I15" s="75">
        <f t="shared" ca="1" si="0"/>
        <v>6.8541900462951162</v>
      </c>
      <c r="J15" s="61"/>
      <c r="K15" s="61"/>
      <c r="L15" s="61"/>
      <c r="M15" s="61" t="s">
        <v>1686</v>
      </c>
      <c r="N15" s="61" t="s">
        <v>1983</v>
      </c>
      <c r="O15" s="61"/>
      <c r="P15" s="61"/>
      <c r="Q15" s="61"/>
      <c r="R15" s="84" t="s">
        <v>2384</v>
      </c>
      <c r="S15" s="84" t="s">
        <v>75</v>
      </c>
      <c r="T15" s="61" t="s">
        <v>1902</v>
      </c>
      <c r="U15" s="61" t="s">
        <v>1896</v>
      </c>
      <c r="V15" s="61" t="str">
        <f>VLOOKUP(B15,[2]Overall!$A:$D,4,0)</f>
        <v>H-TELI</v>
      </c>
      <c r="W15" s="61" t="str">
        <f>VLOOKUP(B15,[3]Sheet1!$A:$B,2,0)</f>
        <v>Santchou</v>
      </c>
      <c r="X15" s="88" t="str">
        <f t="shared" si="3"/>
        <v>OST</v>
      </c>
      <c r="Y15" s="80" t="str">
        <f t="shared" ca="1" si="1"/>
        <v>T&gt;72H</v>
      </c>
      <c r="Z15" s="61">
        <f t="shared" si="2"/>
        <v>1</v>
      </c>
      <c r="AA15" s="61" t="s">
        <v>1566</v>
      </c>
      <c r="AB15" s="61" t="s">
        <v>1904</v>
      </c>
      <c r="AC15" s="84" t="s">
        <v>2364</v>
      </c>
      <c r="AD15" s="84" t="s">
        <v>1994</v>
      </c>
      <c r="AE15" s="61"/>
    </row>
    <row r="16" spans="1:31" ht="175" x14ac:dyDescent="0.45">
      <c r="A16" s="61" t="s">
        <v>1981</v>
      </c>
      <c r="B16" s="61" t="s">
        <v>1982</v>
      </c>
      <c r="C16" s="65"/>
      <c r="D16" s="61"/>
      <c r="E16" s="61" t="s">
        <v>1988</v>
      </c>
      <c r="F16" s="70" t="s">
        <v>53</v>
      </c>
      <c r="G16" s="70" t="s">
        <v>2121</v>
      </c>
      <c r="H16" s="67">
        <v>46173.819432870368</v>
      </c>
      <c r="I16" s="75">
        <f t="shared" ca="1" si="0"/>
        <v>6.8492594907438615</v>
      </c>
      <c r="J16" s="61"/>
      <c r="K16" s="61"/>
      <c r="L16" s="61"/>
      <c r="M16" s="61" t="s">
        <v>41</v>
      </c>
      <c r="N16" s="61" t="s">
        <v>1989</v>
      </c>
      <c r="O16" s="61"/>
      <c r="P16" s="61"/>
      <c r="Q16" s="61"/>
      <c r="R16" s="84" t="s">
        <v>2384</v>
      </c>
      <c r="S16" s="84" t="s">
        <v>75</v>
      </c>
      <c r="T16" s="61" t="s">
        <v>1902</v>
      </c>
      <c r="U16" s="61" t="s">
        <v>1896</v>
      </c>
      <c r="V16" s="61" t="str">
        <f>VLOOKUP(B16,[2]Overall!$A:$D,4,0)</f>
        <v>H-TELI</v>
      </c>
      <c r="W16" s="61" t="str">
        <f>VLOOKUP(B16,[3]Sheet1!$A:$B,2,0)</f>
        <v>Santchou</v>
      </c>
      <c r="X16" s="88" t="str">
        <f t="shared" si="3"/>
        <v>NRO</v>
      </c>
      <c r="Y16" s="80" t="str">
        <f t="shared" ca="1" si="1"/>
        <v>T&gt;72H</v>
      </c>
      <c r="Z16" s="61">
        <f t="shared" si="2"/>
        <v>1</v>
      </c>
      <c r="AA16" s="61" t="s">
        <v>1566</v>
      </c>
      <c r="AB16" s="61" t="s">
        <v>1904</v>
      </c>
      <c r="AC16" s="84" t="s">
        <v>2364</v>
      </c>
      <c r="AD16" s="84" t="s">
        <v>1994</v>
      </c>
      <c r="AE16" s="61"/>
    </row>
    <row r="17" spans="1:31" ht="175" x14ac:dyDescent="0.45">
      <c r="A17" s="61" t="s">
        <v>1881</v>
      </c>
      <c r="B17" s="61" t="s">
        <v>1880</v>
      </c>
      <c r="C17" s="65"/>
      <c r="D17" s="61"/>
      <c r="E17" s="61" t="s">
        <v>1991</v>
      </c>
      <c r="F17" s="70" t="s">
        <v>53</v>
      </c>
      <c r="G17" s="70" t="s">
        <v>2121</v>
      </c>
      <c r="H17" s="67">
        <v>46174.267314814817</v>
      </c>
      <c r="I17" s="75">
        <f t="shared" ca="1" si="0"/>
        <v>6.4013775462954072</v>
      </c>
      <c r="J17" s="61"/>
      <c r="K17" s="61"/>
      <c r="L17" s="61"/>
      <c r="M17" s="61" t="s">
        <v>1769</v>
      </c>
      <c r="N17" s="61" t="s">
        <v>1770</v>
      </c>
      <c r="O17" s="61"/>
      <c r="P17" s="61"/>
      <c r="Q17" s="61"/>
      <c r="R17" s="84" t="s">
        <v>2385</v>
      </c>
      <c r="S17" s="61" t="s">
        <v>71</v>
      </c>
      <c r="T17" s="61" t="s">
        <v>1902</v>
      </c>
      <c r="U17" s="61" t="s">
        <v>1896</v>
      </c>
      <c r="V17" s="61" t="str">
        <f>VLOOKUP(B17,[2]Overall!$A:$D,4,0)</f>
        <v xml:space="preserve">I-ENG </v>
      </c>
      <c r="W17" s="61" t="str">
        <f>VLOOKUP(B17,[3]Sheet1!$A:$B,2,0)</f>
        <v>Fundong</v>
      </c>
      <c r="X17" s="88" t="e">
        <f>LEFT(#REF!,3)</f>
        <v>#REF!</v>
      </c>
      <c r="Y17" s="80" t="str">
        <f t="shared" ca="1" si="1"/>
        <v>T&gt;72H</v>
      </c>
      <c r="Z17" s="61">
        <f t="shared" si="2"/>
        <v>1</v>
      </c>
      <c r="AA17" s="61" t="s">
        <v>1566</v>
      </c>
      <c r="AB17" s="61" t="s">
        <v>1904</v>
      </c>
      <c r="AC17" s="84" t="s">
        <v>2364</v>
      </c>
      <c r="AD17" s="84" t="s">
        <v>1994</v>
      </c>
      <c r="AE17" s="61"/>
    </row>
    <row r="18" spans="1:31" ht="131.5" x14ac:dyDescent="0.45">
      <c r="A18" s="61" t="s">
        <v>1843</v>
      </c>
      <c r="B18" s="61" t="s">
        <v>1844</v>
      </c>
      <c r="C18" s="65"/>
      <c r="D18" s="61"/>
      <c r="E18" s="61" t="s">
        <v>1879</v>
      </c>
      <c r="F18" s="70" t="s">
        <v>53</v>
      </c>
      <c r="G18" s="70" t="s">
        <v>2121</v>
      </c>
      <c r="H18" s="67">
        <v>46175.448993055557</v>
      </c>
      <c r="I18" s="75">
        <f t="shared" ca="1" si="0"/>
        <v>5.2196993055549683</v>
      </c>
      <c r="J18" s="61"/>
      <c r="K18" s="61"/>
      <c r="L18" s="61"/>
      <c r="M18" s="61" t="s">
        <v>38</v>
      </c>
      <c r="N18" s="61" t="s">
        <v>1845</v>
      </c>
      <c r="O18" s="61"/>
      <c r="P18" s="61"/>
      <c r="Q18" s="61"/>
      <c r="R18" s="61" t="s">
        <v>2380</v>
      </c>
      <c r="S18" s="61" t="s">
        <v>75</v>
      </c>
      <c r="T18" s="61" t="s">
        <v>1901</v>
      </c>
      <c r="U18" s="61" t="s">
        <v>1901</v>
      </c>
      <c r="V18" s="61" t="str">
        <f>VLOOKUP(B18,[2]Overall!$A:$D,4,0)</f>
        <v>TELEINFRA NORD</v>
      </c>
      <c r="W18" s="61" t="str">
        <f>VLOOKUP(B18,[3]Sheet1!$A:$B,2,0)</f>
        <v>Mayo-Nonde</v>
      </c>
      <c r="X18" s="88" t="str">
        <f t="shared" si="3"/>
        <v>SUO</v>
      </c>
      <c r="Y18" s="80" t="str">
        <f t="shared" ca="1" si="1"/>
        <v>T&gt;72H</v>
      </c>
      <c r="Z18" s="61">
        <f t="shared" si="2"/>
        <v>3</v>
      </c>
      <c r="AA18" s="61" t="s">
        <v>1566</v>
      </c>
      <c r="AB18" s="61" t="s">
        <v>1904</v>
      </c>
      <c r="AC18" s="84" t="s">
        <v>2364</v>
      </c>
      <c r="AD18" s="84" t="s">
        <v>1994</v>
      </c>
      <c r="AE18" s="61"/>
    </row>
    <row r="19" spans="1:31" ht="131.5" x14ac:dyDescent="0.45">
      <c r="A19" s="61" t="s">
        <v>1831</v>
      </c>
      <c r="B19" s="61" t="s">
        <v>1832</v>
      </c>
      <c r="C19" s="65"/>
      <c r="D19" s="61"/>
      <c r="E19" s="61" t="s">
        <v>1823</v>
      </c>
      <c r="F19" s="70" t="s">
        <v>53</v>
      </c>
      <c r="G19" s="70" t="s">
        <v>2121</v>
      </c>
      <c r="H19" s="67">
        <v>46175.508090277777</v>
      </c>
      <c r="I19" s="75">
        <f t="shared" ca="1" si="0"/>
        <v>5.1606020833351067</v>
      </c>
      <c r="J19" s="61"/>
      <c r="K19" s="61"/>
      <c r="L19" s="61"/>
      <c r="M19" s="61" t="s">
        <v>31</v>
      </c>
      <c r="N19" s="61" t="s">
        <v>1833</v>
      </c>
      <c r="O19" s="61"/>
      <c r="P19" s="61"/>
      <c r="Q19" s="61"/>
      <c r="R19" s="84" t="s">
        <v>2368</v>
      </c>
      <c r="S19" s="61" t="s">
        <v>85</v>
      </c>
      <c r="T19" s="61" t="s">
        <v>1898</v>
      </c>
      <c r="U19" s="61" t="s">
        <v>1898</v>
      </c>
      <c r="V19" s="61" t="str">
        <f>VLOOKUP(B19,[2]Overall!$A:$D,4,0)</f>
        <v>H-TELI</v>
      </c>
      <c r="W19" s="61" t="str">
        <f>VLOOKUP(B19,[3]Sheet1!$A:$B,2,0)</f>
        <v>Kumbe</v>
      </c>
      <c r="X19" s="88" t="str">
        <f t="shared" si="3"/>
        <v>EXN</v>
      </c>
      <c r="Y19" s="80" t="str">
        <f t="shared" ca="1" si="1"/>
        <v>T&gt;72H</v>
      </c>
      <c r="Z19" s="61">
        <f t="shared" si="2"/>
        <v>2</v>
      </c>
      <c r="AA19" s="61" t="s">
        <v>1566</v>
      </c>
      <c r="AB19" s="61" t="s">
        <v>1904</v>
      </c>
      <c r="AC19" s="84" t="s">
        <v>2364</v>
      </c>
      <c r="AD19" s="84" t="s">
        <v>1994</v>
      </c>
      <c r="AE19" s="61"/>
    </row>
    <row r="20" spans="1:31" ht="262" x14ac:dyDescent="0.45">
      <c r="A20" s="61" t="s">
        <v>1779</v>
      </c>
      <c r="B20" s="61" t="s">
        <v>1780</v>
      </c>
      <c r="C20" s="65"/>
      <c r="D20" s="61"/>
      <c r="E20" s="61" t="s">
        <v>37</v>
      </c>
      <c r="F20" s="70" t="s">
        <v>53</v>
      </c>
      <c r="G20" s="70" t="s">
        <v>2121</v>
      </c>
      <c r="H20" s="67">
        <v>46175.649039351854</v>
      </c>
      <c r="I20" s="75">
        <f t="shared" ca="1" si="0"/>
        <v>5.019653009258036</v>
      </c>
      <c r="J20" s="61"/>
      <c r="K20" s="61"/>
      <c r="L20" s="61"/>
      <c r="M20" s="61" t="s">
        <v>41</v>
      </c>
      <c r="N20" s="61" t="s">
        <v>1781</v>
      </c>
      <c r="O20" s="61"/>
      <c r="P20" s="61"/>
      <c r="Q20" s="61"/>
      <c r="R20" s="61" t="s">
        <v>2379</v>
      </c>
      <c r="S20" s="61" t="s">
        <v>75</v>
      </c>
      <c r="T20" s="61" t="s">
        <v>1840</v>
      </c>
      <c r="U20" s="61" t="s">
        <v>1840</v>
      </c>
      <c r="V20" s="61" t="str">
        <f>VLOOKUP(B20,[2]Overall!$A:$D,4,0)</f>
        <v>TELEINFRA NORD</v>
      </c>
      <c r="W20" s="61" t="str">
        <f>VLOOKUP(B20,[3]Sheet1!$A:$B,2,0)</f>
        <v>Badjonre</v>
      </c>
      <c r="X20" s="88" t="str">
        <f t="shared" si="3"/>
        <v>EXN</v>
      </c>
      <c r="Y20" s="80" t="str">
        <f t="shared" ca="1" si="1"/>
        <v>T&gt;72H</v>
      </c>
      <c r="Z20" s="61">
        <f t="shared" si="2"/>
        <v>1</v>
      </c>
      <c r="AA20" s="61" t="s">
        <v>1566</v>
      </c>
      <c r="AB20" s="61" t="s">
        <v>1904</v>
      </c>
      <c r="AC20" s="84" t="s">
        <v>2364</v>
      </c>
      <c r="AD20" s="84" t="s">
        <v>1994</v>
      </c>
      <c r="AE20" s="61"/>
    </row>
    <row r="21" spans="1:31" ht="262" x14ac:dyDescent="0.45">
      <c r="A21" s="61" t="s">
        <v>1779</v>
      </c>
      <c r="B21" s="61" t="s">
        <v>1780</v>
      </c>
      <c r="C21" s="65"/>
      <c r="D21" s="61"/>
      <c r="E21" s="61" t="s">
        <v>39</v>
      </c>
      <c r="F21" s="70" t="s">
        <v>53</v>
      </c>
      <c r="G21" s="70" t="s">
        <v>2121</v>
      </c>
      <c r="H21" s="67">
        <v>46175.681076388886</v>
      </c>
      <c r="I21" s="75">
        <f t="shared" ca="1" si="0"/>
        <v>4.9876159722261946</v>
      </c>
      <c r="J21" s="61"/>
      <c r="K21" s="61"/>
      <c r="L21" s="61"/>
      <c r="M21" s="61" t="s">
        <v>1707</v>
      </c>
      <c r="N21" s="61" t="s">
        <v>2162</v>
      </c>
      <c r="O21" s="61"/>
      <c r="P21" s="61"/>
      <c r="Q21" s="61"/>
      <c r="R21" s="61" t="s">
        <v>2379</v>
      </c>
      <c r="S21" s="61" t="s">
        <v>75</v>
      </c>
      <c r="T21" s="61" t="s">
        <v>1840</v>
      </c>
      <c r="U21" s="61" t="s">
        <v>1840</v>
      </c>
      <c r="V21" s="61" t="str">
        <f>VLOOKUP(B21,[2]Overall!$A:$D,4,0)</f>
        <v>TELEINFRA NORD</v>
      </c>
      <c r="W21" s="61" t="str">
        <f>VLOOKUP(B21,[3]Sheet1!$A:$B,2,0)</f>
        <v>Badjonre</v>
      </c>
      <c r="X21" s="88" t="str">
        <f t="shared" si="3"/>
        <v>EXN</v>
      </c>
      <c r="Y21" s="80" t="str">
        <f t="shared" ca="1" si="1"/>
        <v>T&gt;72H</v>
      </c>
      <c r="Z21" s="61">
        <f t="shared" si="2"/>
        <v>1</v>
      </c>
      <c r="AA21" s="61" t="s">
        <v>1566</v>
      </c>
      <c r="AB21" s="61" t="s">
        <v>1904</v>
      </c>
      <c r="AC21" s="84" t="s">
        <v>2364</v>
      </c>
      <c r="AD21" s="84" t="s">
        <v>1994</v>
      </c>
      <c r="AE21" s="61"/>
    </row>
    <row r="22" spans="1:31" ht="262" x14ac:dyDescent="0.45">
      <c r="A22" s="61" t="s">
        <v>1779</v>
      </c>
      <c r="B22" s="61" t="s">
        <v>1780</v>
      </c>
      <c r="C22" s="65"/>
      <c r="D22" s="61"/>
      <c r="E22" s="61" t="s">
        <v>2163</v>
      </c>
      <c r="F22" s="70" t="s">
        <v>53</v>
      </c>
      <c r="G22" s="70" t="s">
        <v>2121</v>
      </c>
      <c r="H22" s="67">
        <v>46175.683067129627</v>
      </c>
      <c r="I22" s="75">
        <f t="shared" ca="1" si="0"/>
        <v>4.9856252314857556</v>
      </c>
      <c r="J22" s="61"/>
      <c r="K22" s="61"/>
      <c r="L22" s="61"/>
      <c r="M22" s="61" t="s">
        <v>31</v>
      </c>
      <c r="N22" s="61" t="s">
        <v>2164</v>
      </c>
      <c r="O22" s="61"/>
      <c r="P22" s="61"/>
      <c r="Q22" s="61"/>
      <c r="R22" s="61" t="s">
        <v>2379</v>
      </c>
      <c r="S22" s="61" t="s">
        <v>75</v>
      </c>
      <c r="T22" s="61" t="s">
        <v>1840</v>
      </c>
      <c r="U22" s="61" t="s">
        <v>1840</v>
      </c>
      <c r="V22" s="61" t="str">
        <f>VLOOKUP(B22,[2]Overall!$A:$D,4,0)</f>
        <v>TELEINFRA NORD</v>
      </c>
      <c r="W22" s="61" t="str">
        <f>VLOOKUP(B22,[3]Sheet1!$A:$B,2,0)</f>
        <v>Badjonre</v>
      </c>
      <c r="X22" s="88" t="str">
        <f t="shared" si="3"/>
        <v>EXN</v>
      </c>
      <c r="Y22" s="80" t="str">
        <f t="shared" ca="1" si="1"/>
        <v>T&gt;72H</v>
      </c>
      <c r="Z22" s="61">
        <f t="shared" si="2"/>
        <v>9</v>
      </c>
      <c r="AA22" s="61" t="s">
        <v>1566</v>
      </c>
      <c r="AB22" s="61" t="s">
        <v>1904</v>
      </c>
      <c r="AC22" s="84" t="s">
        <v>2364</v>
      </c>
      <c r="AD22" s="84" t="s">
        <v>1994</v>
      </c>
      <c r="AE22" s="61"/>
    </row>
    <row r="23" spans="1:31" ht="262" x14ac:dyDescent="0.45">
      <c r="A23" s="61" t="s">
        <v>1779</v>
      </c>
      <c r="B23" s="61" t="s">
        <v>1780</v>
      </c>
      <c r="C23" s="65"/>
      <c r="D23" s="61"/>
      <c r="E23" s="61" t="s">
        <v>39</v>
      </c>
      <c r="F23" s="70" t="s">
        <v>53</v>
      </c>
      <c r="G23" s="70" t="s">
        <v>2121</v>
      </c>
      <c r="H23" s="67">
        <v>46175.683506944442</v>
      </c>
      <c r="I23" s="75">
        <f t="shared" ca="1" si="0"/>
        <v>4.9851854166699923</v>
      </c>
      <c r="J23" s="61"/>
      <c r="K23" s="61"/>
      <c r="L23" s="61"/>
      <c r="M23" s="61" t="s">
        <v>1769</v>
      </c>
      <c r="N23" s="61" t="s">
        <v>2165</v>
      </c>
      <c r="O23" s="61"/>
      <c r="P23" s="61"/>
      <c r="Q23" s="61"/>
      <c r="R23" s="61" t="s">
        <v>2379</v>
      </c>
      <c r="S23" s="61" t="s">
        <v>75</v>
      </c>
      <c r="T23" s="61" t="s">
        <v>1840</v>
      </c>
      <c r="U23" s="61" t="s">
        <v>1840</v>
      </c>
      <c r="V23" s="61" t="str">
        <f>VLOOKUP(B23,[2]Overall!$A:$D,4,0)</f>
        <v>TELEINFRA NORD</v>
      </c>
      <c r="W23" s="61" t="str">
        <f>VLOOKUP(B23,[3]Sheet1!$A:$B,2,0)</f>
        <v>Badjonre</v>
      </c>
      <c r="X23" s="88" t="str">
        <f t="shared" si="3"/>
        <v>EXN</v>
      </c>
      <c r="Y23" s="80" t="str">
        <f t="shared" ca="1" si="1"/>
        <v>T&gt;72H</v>
      </c>
      <c r="Z23" s="61">
        <f t="shared" si="2"/>
        <v>1</v>
      </c>
      <c r="AA23" s="61" t="s">
        <v>1566</v>
      </c>
      <c r="AB23" s="61" t="s">
        <v>1904</v>
      </c>
      <c r="AC23" s="84" t="s">
        <v>2364</v>
      </c>
      <c r="AD23" s="84" t="s">
        <v>1994</v>
      </c>
      <c r="AE23" s="61"/>
    </row>
    <row r="24" spans="1:31" ht="102.5" x14ac:dyDescent="0.45">
      <c r="A24" s="61" t="s">
        <v>1632</v>
      </c>
      <c r="B24" s="61" t="s">
        <v>1610</v>
      </c>
      <c r="C24" s="65"/>
      <c r="D24" s="61"/>
      <c r="E24" s="61" t="s">
        <v>49</v>
      </c>
      <c r="F24" s="70" t="s">
        <v>53</v>
      </c>
      <c r="G24" s="70" t="s">
        <v>2121</v>
      </c>
      <c r="H24" s="67">
        <v>46175.758483796293</v>
      </c>
      <c r="I24" s="75">
        <f t="shared" ca="1" si="0"/>
        <v>4.910208564819186</v>
      </c>
      <c r="J24" s="61"/>
      <c r="K24" s="61"/>
      <c r="L24" s="61"/>
      <c r="M24" s="61" t="s">
        <v>41</v>
      </c>
      <c r="N24" s="61" t="s">
        <v>1633</v>
      </c>
      <c r="O24" s="61"/>
      <c r="P24" s="61"/>
      <c r="Q24" s="61"/>
      <c r="R24" s="84" t="s">
        <v>2386</v>
      </c>
      <c r="S24" s="61" t="s">
        <v>71</v>
      </c>
      <c r="T24" s="61" t="s">
        <v>1902</v>
      </c>
      <c r="U24" s="61" t="s">
        <v>1896</v>
      </c>
      <c r="V24" s="61" t="str">
        <f>VLOOKUP(B24,[2]Overall!$A:$D,4,0)</f>
        <v>TELEINFRA NORD</v>
      </c>
      <c r="W24" s="61" t="str">
        <f>VLOOKUP(B24,[3]Sheet1!$A:$B,2,0)</f>
        <v>Zileng</v>
      </c>
      <c r="X24" s="88" t="str">
        <f t="shared" si="3"/>
        <v>EXN</v>
      </c>
      <c r="Y24" s="80" t="str">
        <f t="shared" ca="1" si="1"/>
        <v>T&gt;72H</v>
      </c>
      <c r="Z24" s="61">
        <f t="shared" si="2"/>
        <v>1</v>
      </c>
      <c r="AA24" s="61" t="s">
        <v>1566</v>
      </c>
      <c r="AB24" s="61" t="s">
        <v>1904</v>
      </c>
      <c r="AC24" s="84" t="s">
        <v>2364</v>
      </c>
      <c r="AD24" s="84" t="s">
        <v>1994</v>
      </c>
      <c r="AE24" s="61"/>
    </row>
    <row r="25" spans="1:31" ht="88" x14ac:dyDescent="0.45">
      <c r="A25" s="61" t="s">
        <v>1611</v>
      </c>
      <c r="B25" s="61" t="s">
        <v>1610</v>
      </c>
      <c r="C25" s="65"/>
      <c r="D25" s="61"/>
      <c r="E25" s="61" t="s">
        <v>1615</v>
      </c>
      <c r="F25" s="70" t="s">
        <v>53</v>
      </c>
      <c r="G25" s="70" t="s">
        <v>2121</v>
      </c>
      <c r="H25" s="67">
        <v>46175.759166666663</v>
      </c>
      <c r="I25" s="75">
        <f t="shared" ca="1" si="0"/>
        <v>4.9095256944492576</v>
      </c>
      <c r="J25" s="61"/>
      <c r="K25" s="61"/>
      <c r="L25" s="61"/>
      <c r="M25" s="61" t="s">
        <v>41</v>
      </c>
      <c r="N25" s="61" t="s">
        <v>42</v>
      </c>
      <c r="O25" s="61"/>
      <c r="P25" s="61"/>
      <c r="Q25" s="61"/>
      <c r="R25" s="84" t="s">
        <v>2386</v>
      </c>
      <c r="S25" s="61" t="s">
        <v>71</v>
      </c>
      <c r="T25" s="61" t="s">
        <v>1902</v>
      </c>
      <c r="U25" s="61" t="s">
        <v>1896</v>
      </c>
      <c r="V25" s="61" t="str">
        <f>VLOOKUP(B25,[2]Overall!$A:$D,4,0)</f>
        <v>TELEINFRA NORD</v>
      </c>
      <c r="W25" s="61" t="str">
        <f>VLOOKUP(B25,[3]Sheet1!$A:$B,2,0)</f>
        <v>Zileng</v>
      </c>
      <c r="X25" s="88" t="str">
        <f t="shared" si="3"/>
        <v>EXN</v>
      </c>
      <c r="Y25" s="80" t="str">
        <f t="shared" ca="1" si="1"/>
        <v>T&gt;72H</v>
      </c>
      <c r="Z25" s="61">
        <f t="shared" si="2"/>
        <v>1</v>
      </c>
      <c r="AA25" s="61" t="s">
        <v>1566</v>
      </c>
      <c r="AB25" s="61" t="s">
        <v>1904</v>
      </c>
      <c r="AC25" s="84" t="s">
        <v>2364</v>
      </c>
      <c r="AD25" s="84" t="s">
        <v>1994</v>
      </c>
      <c r="AE25" s="61"/>
    </row>
    <row r="26" spans="1:31" ht="88" x14ac:dyDescent="0.45">
      <c r="A26" s="61" t="s">
        <v>1611</v>
      </c>
      <c r="B26" s="61" t="s">
        <v>1610</v>
      </c>
      <c r="C26" s="65"/>
      <c r="D26" s="61"/>
      <c r="E26" s="61" t="s">
        <v>1613</v>
      </c>
      <c r="F26" s="70" t="s">
        <v>53</v>
      </c>
      <c r="G26" s="70" t="s">
        <v>2121</v>
      </c>
      <c r="H26" s="67">
        <v>46175.759166666663</v>
      </c>
      <c r="I26" s="75">
        <f t="shared" ca="1" si="0"/>
        <v>4.9095256944492576</v>
      </c>
      <c r="J26" s="61"/>
      <c r="K26" s="61"/>
      <c r="L26" s="61"/>
      <c r="M26" s="61" t="s">
        <v>41</v>
      </c>
      <c r="N26" s="61" t="s">
        <v>42</v>
      </c>
      <c r="O26" s="61"/>
      <c r="P26" s="61"/>
      <c r="Q26" s="61"/>
      <c r="R26" s="84" t="s">
        <v>2386</v>
      </c>
      <c r="S26" s="61" t="s">
        <v>71</v>
      </c>
      <c r="T26" s="61" t="s">
        <v>1902</v>
      </c>
      <c r="U26" s="61" t="s">
        <v>1896</v>
      </c>
      <c r="V26" s="61" t="str">
        <f>VLOOKUP(B26,[2]Overall!$A:$D,4,0)</f>
        <v>TELEINFRA NORD</v>
      </c>
      <c r="W26" s="61" t="str">
        <f>VLOOKUP(B26,[3]Sheet1!$A:$B,2,0)</f>
        <v>Zileng</v>
      </c>
      <c r="X26" s="88" t="str">
        <f t="shared" si="3"/>
        <v>EXN</v>
      </c>
      <c r="Y26" s="80" t="str">
        <f t="shared" ca="1" si="1"/>
        <v>T&gt;72H</v>
      </c>
      <c r="Z26" s="61">
        <f t="shared" si="2"/>
        <v>1</v>
      </c>
      <c r="AA26" s="61" t="s">
        <v>1566</v>
      </c>
      <c r="AB26" s="61" t="s">
        <v>1904</v>
      </c>
      <c r="AC26" s="84" t="s">
        <v>2364</v>
      </c>
      <c r="AD26" s="84" t="s">
        <v>1994</v>
      </c>
      <c r="AE26" s="61"/>
    </row>
    <row r="27" spans="1:31" ht="88" x14ac:dyDescent="0.45">
      <c r="A27" s="61" t="s">
        <v>1611</v>
      </c>
      <c r="B27" s="61" t="s">
        <v>1610</v>
      </c>
      <c r="C27" s="65"/>
      <c r="D27" s="61"/>
      <c r="E27" s="61" t="s">
        <v>1617</v>
      </c>
      <c r="F27" s="70" t="s">
        <v>53</v>
      </c>
      <c r="G27" s="70" t="s">
        <v>2121</v>
      </c>
      <c r="H27" s="67">
        <v>46175.759166666663</v>
      </c>
      <c r="I27" s="75">
        <f t="shared" ca="1" si="0"/>
        <v>4.9095256944492576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84" t="s">
        <v>2386</v>
      </c>
      <c r="S27" s="61" t="s">
        <v>71</v>
      </c>
      <c r="T27" s="61" t="s">
        <v>1902</v>
      </c>
      <c r="U27" s="61" t="s">
        <v>1896</v>
      </c>
      <c r="V27" s="61" t="str">
        <f>VLOOKUP(B27,[2]Overall!$A:$D,4,0)</f>
        <v>TELEINFRA NORD</v>
      </c>
      <c r="W27" s="61" t="str">
        <f>VLOOKUP(B27,[3]Sheet1!$A:$B,2,0)</f>
        <v>Zileng</v>
      </c>
      <c r="X27" s="88" t="str">
        <f t="shared" si="3"/>
        <v>OST</v>
      </c>
      <c r="Y27" s="80" t="str">
        <f t="shared" ca="1" si="1"/>
        <v>T&gt;72H</v>
      </c>
      <c r="Z27" s="61">
        <f t="shared" si="2"/>
        <v>1</v>
      </c>
      <c r="AA27" s="61" t="s">
        <v>1566</v>
      </c>
      <c r="AB27" s="61" t="s">
        <v>1904</v>
      </c>
      <c r="AC27" s="84" t="s">
        <v>2364</v>
      </c>
      <c r="AD27" s="84" t="s">
        <v>1994</v>
      </c>
      <c r="AE27" s="61"/>
    </row>
    <row r="28" spans="1:31" ht="117" x14ac:dyDescent="0.45">
      <c r="A28" s="61" t="s">
        <v>1892</v>
      </c>
      <c r="B28" s="61" t="s">
        <v>1893</v>
      </c>
      <c r="C28" s="65"/>
      <c r="D28" s="61"/>
      <c r="E28" s="61" t="s">
        <v>2199</v>
      </c>
      <c r="F28" s="70" t="s">
        <v>53</v>
      </c>
      <c r="G28" s="70" t="s">
        <v>2121</v>
      </c>
      <c r="H28" s="67">
        <v>46175.837418981479</v>
      </c>
      <c r="I28" s="75">
        <f t="shared" ca="1" si="0"/>
        <v>4.8312733796337852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84" t="s">
        <v>2378</v>
      </c>
      <c r="S28" s="61" t="s">
        <v>75</v>
      </c>
      <c r="T28" s="61" t="s">
        <v>1688</v>
      </c>
      <c r="U28" s="61" t="s">
        <v>1688</v>
      </c>
      <c r="V28" s="61" t="str">
        <f>VLOOKUP(B28,[2]Overall!$A:$D,4,0)</f>
        <v>H-TELI</v>
      </c>
      <c r="W28" s="61" t="str">
        <f>VLOOKUP(B28,[3]Sheet1!$A:$B,2,0)</f>
        <v>Santchou</v>
      </c>
      <c r="X28" s="88" t="str">
        <f t="shared" ref="X28:X73" si="4">LEFT(B29,3)</f>
        <v>OST</v>
      </c>
      <c r="Y28" s="80" t="str">
        <f t="shared" ref="Y28:Y73" ca="1" si="5">IF(I28 &lt; 1/24, "T&lt;1H", IF(AND(I28&lt;2/24, I28&gt;1/24), "1H&lt;T&lt;2H", IF(AND(I28&lt;4/24, I28&gt;2/24), "2H&lt;T&lt;4H", IF(AND(I28&lt;8/24, I28&gt;4/24), "4H&lt;T&lt;8H", IF(AND(I28&lt;16/24, I28&gt;8/24), "8H&lt;T&lt;16H",IF(AND(I28&lt;24/24, I28&gt;16/24),"16H&lt;T&lt;24H", IF(AND(I28&lt;48/24, I28&gt;24/24),"24H&lt;T&lt;48H",IF(AND(I28&lt;72/24, I28&gt;24/24),"48H&lt;T&lt;72H", "T&gt;72H"))))))))</f>
        <v>T&gt;72H</v>
      </c>
      <c r="Z28" s="61">
        <f t="shared" ref="Z28:Z73" si="6">IF(OR(E28="", E28="affected_cells=unknown"), "", LEN(E28)-LEN(SUBSTITUTE(E28, ",", "")) + LEN(E28)-LEN(SUBSTITUTE(E28, ";", "")) + 1)</f>
        <v>1</v>
      </c>
      <c r="AA28" s="61" t="s">
        <v>1566</v>
      </c>
      <c r="AB28" s="61" t="s">
        <v>1904</v>
      </c>
      <c r="AC28" s="84" t="s">
        <v>2364</v>
      </c>
      <c r="AD28" s="84" t="s">
        <v>1994</v>
      </c>
      <c r="AE28" s="61"/>
    </row>
    <row r="29" spans="1:31" ht="117" x14ac:dyDescent="0.45">
      <c r="A29" s="61" t="s">
        <v>1892</v>
      </c>
      <c r="B29" s="61" t="s">
        <v>1893</v>
      </c>
      <c r="C29" s="65"/>
      <c r="D29" s="61"/>
      <c r="E29" s="61" t="s">
        <v>2200</v>
      </c>
      <c r="F29" s="70" t="s">
        <v>53</v>
      </c>
      <c r="G29" s="70" t="s">
        <v>2121</v>
      </c>
      <c r="H29" s="67">
        <v>46175.837430555555</v>
      </c>
      <c r="I29" s="75">
        <f t="shared" ca="1" si="0"/>
        <v>4.8312618055570056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84" t="s">
        <v>2378</v>
      </c>
      <c r="S29" s="61" t="s">
        <v>75</v>
      </c>
      <c r="T29" s="61" t="s">
        <v>1688</v>
      </c>
      <c r="U29" s="61" t="s">
        <v>1688</v>
      </c>
      <c r="V29" s="61" t="str">
        <f>VLOOKUP(B29,[2]Overall!$A:$D,4,0)</f>
        <v>H-TELI</v>
      </c>
      <c r="W29" s="61" t="str">
        <f>VLOOKUP(B29,[3]Sheet1!$A:$B,2,0)</f>
        <v>Santchou</v>
      </c>
      <c r="X29" s="88" t="str">
        <f t="shared" si="4"/>
        <v>OST</v>
      </c>
      <c r="Y29" s="80" t="str">
        <f t="shared" ca="1" si="5"/>
        <v>T&gt;72H</v>
      </c>
      <c r="Z29" s="61">
        <f t="shared" si="6"/>
        <v>1</v>
      </c>
      <c r="AA29" s="61" t="s">
        <v>1566</v>
      </c>
      <c r="AB29" s="61" t="s">
        <v>1904</v>
      </c>
      <c r="AC29" s="84" t="s">
        <v>2364</v>
      </c>
      <c r="AD29" s="84" t="s">
        <v>1994</v>
      </c>
      <c r="AE29" s="61"/>
    </row>
    <row r="30" spans="1:31" ht="117" x14ac:dyDescent="0.45">
      <c r="A30" s="61" t="s">
        <v>1892</v>
      </c>
      <c r="B30" s="61" t="s">
        <v>1893</v>
      </c>
      <c r="C30" s="65"/>
      <c r="D30" s="61"/>
      <c r="E30" s="61" t="s">
        <v>2201</v>
      </c>
      <c r="F30" s="70" t="s">
        <v>53</v>
      </c>
      <c r="G30" s="70" t="s">
        <v>2121</v>
      </c>
      <c r="H30" s="67">
        <v>46175.837407407409</v>
      </c>
      <c r="I30" s="75">
        <f t="shared" ca="1" si="0"/>
        <v>4.8312849537032889</v>
      </c>
      <c r="J30" s="61"/>
      <c r="K30" s="61"/>
      <c r="L30" s="61"/>
      <c r="M30" s="61" t="s">
        <v>41</v>
      </c>
      <c r="N30" s="61" t="s">
        <v>42</v>
      </c>
      <c r="O30" s="61"/>
      <c r="P30" s="61"/>
      <c r="Q30" s="61"/>
      <c r="R30" s="84" t="s">
        <v>2378</v>
      </c>
      <c r="S30" s="61" t="s">
        <v>75</v>
      </c>
      <c r="T30" s="61" t="s">
        <v>1688</v>
      </c>
      <c r="U30" s="61" t="s">
        <v>1688</v>
      </c>
      <c r="V30" s="61" t="str">
        <f>VLOOKUP(B30,[2]Overall!$A:$D,4,0)</f>
        <v>H-TELI</v>
      </c>
      <c r="W30" s="61" t="str">
        <f>VLOOKUP(B30,[3]Sheet1!$A:$B,2,0)</f>
        <v>Santchou</v>
      </c>
      <c r="X30" s="88" t="str">
        <f t="shared" si="4"/>
        <v>OST</v>
      </c>
      <c r="Y30" s="80" t="str">
        <f t="shared" ca="1" si="5"/>
        <v>T&gt;72H</v>
      </c>
      <c r="Z30" s="61">
        <f t="shared" si="6"/>
        <v>1</v>
      </c>
      <c r="AA30" s="61" t="s">
        <v>1566</v>
      </c>
      <c r="AB30" s="61" t="s">
        <v>1904</v>
      </c>
      <c r="AC30" s="84" t="s">
        <v>2364</v>
      </c>
      <c r="AD30" s="84" t="s">
        <v>1994</v>
      </c>
      <c r="AE30" s="61"/>
    </row>
    <row r="31" spans="1:31" ht="117" x14ac:dyDescent="0.45">
      <c r="A31" s="61" t="s">
        <v>1892</v>
      </c>
      <c r="B31" s="61" t="s">
        <v>1893</v>
      </c>
      <c r="C31" s="65"/>
      <c r="D31" s="61"/>
      <c r="E31" s="61" t="s">
        <v>2202</v>
      </c>
      <c r="F31" s="70" t="s">
        <v>53</v>
      </c>
      <c r="G31" s="70" t="s">
        <v>2121</v>
      </c>
      <c r="H31" s="67">
        <v>46175.837430555555</v>
      </c>
      <c r="I31" s="75">
        <f t="shared" ca="1" si="0"/>
        <v>4.8312618055570056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84" t="s">
        <v>2378</v>
      </c>
      <c r="S31" s="61" t="s">
        <v>75</v>
      </c>
      <c r="T31" s="61" t="s">
        <v>1688</v>
      </c>
      <c r="U31" s="61" t="s">
        <v>1688</v>
      </c>
      <c r="V31" s="61" t="str">
        <f>VLOOKUP(B31,[2]Overall!$A:$D,4,0)</f>
        <v>H-TELI</v>
      </c>
      <c r="W31" s="61" t="str">
        <f>VLOOKUP(B31,[3]Sheet1!$A:$B,2,0)</f>
        <v>Santchou</v>
      </c>
      <c r="X31" s="88" t="str">
        <f t="shared" si="4"/>
        <v>OST</v>
      </c>
      <c r="Y31" s="80" t="str">
        <f t="shared" ca="1" si="5"/>
        <v>T&gt;72H</v>
      </c>
      <c r="Z31" s="61">
        <f t="shared" si="6"/>
        <v>1</v>
      </c>
      <c r="AA31" s="61" t="s">
        <v>1566</v>
      </c>
      <c r="AB31" s="61" t="s">
        <v>1904</v>
      </c>
      <c r="AC31" s="84" t="s">
        <v>2364</v>
      </c>
      <c r="AD31" s="84" t="s">
        <v>1994</v>
      </c>
      <c r="AE31" s="61"/>
    </row>
    <row r="32" spans="1:31" ht="117" x14ac:dyDescent="0.45">
      <c r="A32" s="61" t="s">
        <v>1892</v>
      </c>
      <c r="B32" s="61" t="s">
        <v>1893</v>
      </c>
      <c r="C32" s="65"/>
      <c r="D32" s="61"/>
      <c r="E32" s="61" t="s">
        <v>2203</v>
      </c>
      <c r="F32" s="70" t="s">
        <v>53</v>
      </c>
      <c r="G32" s="70" t="s">
        <v>2121</v>
      </c>
      <c r="H32" s="67">
        <v>46175.837430555555</v>
      </c>
      <c r="I32" s="75">
        <f t="shared" ca="1" si="0"/>
        <v>4.8312618055570056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84" t="s">
        <v>2378</v>
      </c>
      <c r="S32" s="61" t="s">
        <v>75</v>
      </c>
      <c r="T32" s="61" t="s">
        <v>1688</v>
      </c>
      <c r="U32" s="61" t="s">
        <v>1688</v>
      </c>
      <c r="V32" s="61" t="str">
        <f>VLOOKUP(B32,[2]Overall!$A:$D,4,0)</f>
        <v>H-TELI</v>
      </c>
      <c r="W32" s="61" t="str">
        <f>VLOOKUP(B32,[3]Sheet1!$A:$B,2,0)</f>
        <v>Santchou</v>
      </c>
      <c r="X32" s="88" t="str">
        <f t="shared" si="4"/>
        <v>OST</v>
      </c>
      <c r="Y32" s="80" t="str">
        <f t="shared" ca="1" si="5"/>
        <v>T&gt;72H</v>
      </c>
      <c r="Z32" s="61">
        <f t="shared" si="6"/>
        <v>1</v>
      </c>
      <c r="AA32" s="61" t="s">
        <v>1566</v>
      </c>
      <c r="AB32" s="61" t="s">
        <v>1904</v>
      </c>
      <c r="AC32" s="84" t="s">
        <v>2364</v>
      </c>
      <c r="AD32" s="84" t="s">
        <v>1994</v>
      </c>
      <c r="AE32" s="61"/>
    </row>
    <row r="33" spans="1:31" ht="117" x14ac:dyDescent="0.45">
      <c r="A33" s="61" t="s">
        <v>1892</v>
      </c>
      <c r="B33" s="61" t="s">
        <v>1893</v>
      </c>
      <c r="C33" s="65"/>
      <c r="D33" s="61"/>
      <c r="E33" s="61" t="s">
        <v>2204</v>
      </c>
      <c r="F33" s="70" t="s">
        <v>53</v>
      </c>
      <c r="G33" s="70" t="s">
        <v>2121</v>
      </c>
      <c r="H33" s="67">
        <v>46175.837430555555</v>
      </c>
      <c r="I33" s="75">
        <f t="shared" ca="1" si="0"/>
        <v>4.8312618055570056</v>
      </c>
      <c r="J33" s="61"/>
      <c r="K33" s="61"/>
      <c r="L33" s="61"/>
      <c r="M33" s="61" t="s">
        <v>41</v>
      </c>
      <c r="N33" s="61" t="s">
        <v>42</v>
      </c>
      <c r="O33" s="61"/>
      <c r="P33" s="61"/>
      <c r="Q33" s="61"/>
      <c r="R33" s="84" t="s">
        <v>2378</v>
      </c>
      <c r="S33" s="61" t="s">
        <v>75</v>
      </c>
      <c r="T33" s="61" t="s">
        <v>1688</v>
      </c>
      <c r="U33" s="61" t="s">
        <v>1688</v>
      </c>
      <c r="V33" s="61" t="str">
        <f>VLOOKUP(B33,[2]Overall!$A:$D,4,0)</f>
        <v>H-TELI</v>
      </c>
      <c r="W33" s="61" t="str">
        <f>VLOOKUP(B33,[3]Sheet1!$A:$B,2,0)</f>
        <v>Santchou</v>
      </c>
      <c r="X33" s="88" t="str">
        <f t="shared" si="4"/>
        <v>ADM</v>
      </c>
      <c r="Y33" s="80" t="str">
        <f t="shared" ca="1" si="5"/>
        <v>T&gt;72H</v>
      </c>
      <c r="Z33" s="61">
        <f t="shared" si="6"/>
        <v>1</v>
      </c>
      <c r="AA33" s="61" t="s">
        <v>1566</v>
      </c>
      <c r="AB33" s="61" t="s">
        <v>1904</v>
      </c>
      <c r="AC33" s="84" t="s">
        <v>2364</v>
      </c>
      <c r="AD33" s="84" t="s">
        <v>1994</v>
      </c>
      <c r="AE33" s="61"/>
    </row>
    <row r="34" spans="1:31" ht="392.5" x14ac:dyDescent="0.45">
      <c r="A34" s="61" t="s">
        <v>1917</v>
      </c>
      <c r="B34" s="61" t="s">
        <v>1711</v>
      </c>
      <c r="C34" s="65"/>
      <c r="D34" s="61"/>
      <c r="E34" s="61" t="s">
        <v>49</v>
      </c>
      <c r="F34" s="70" t="s">
        <v>53</v>
      </c>
      <c r="G34" s="70" t="s">
        <v>2121</v>
      </c>
      <c r="H34" s="67">
        <v>46176.253738425927</v>
      </c>
      <c r="I34" s="75">
        <f t="shared" ca="1" si="0"/>
        <v>4.414953935185622</v>
      </c>
      <c r="J34" s="61"/>
      <c r="K34" s="61"/>
      <c r="L34" s="61"/>
      <c r="M34" s="61" t="s">
        <v>38</v>
      </c>
      <c r="N34" s="61" t="s">
        <v>1918</v>
      </c>
      <c r="O34" s="61"/>
      <c r="P34" s="61"/>
      <c r="Q34" s="61"/>
      <c r="R34" s="61" t="s">
        <v>2383</v>
      </c>
      <c r="S34" s="61" t="s">
        <v>75</v>
      </c>
      <c r="T34" s="61" t="s">
        <v>1688</v>
      </c>
      <c r="U34" s="61" t="e">
        <v>#N/A</v>
      </c>
      <c r="V34" s="61" t="str">
        <f>VLOOKUP(B34,[2]Overall!$A:$D,4,0)</f>
        <v>TELEINFRA NORD</v>
      </c>
      <c r="W34" s="61" t="str">
        <f>VLOOKUP(B34,[3]Sheet1!$A:$B,2,0)</f>
        <v>Martap</v>
      </c>
      <c r="X34" s="88" t="str">
        <f t="shared" si="4"/>
        <v>NRD</v>
      </c>
      <c r="Y34" s="80" t="str">
        <f t="shared" ca="1" si="5"/>
        <v>T&gt;72H</v>
      </c>
      <c r="Z34" s="61">
        <f t="shared" si="6"/>
        <v>1</v>
      </c>
      <c r="AA34" s="61" t="s">
        <v>1566</v>
      </c>
      <c r="AB34" s="61" t="s">
        <v>1904</v>
      </c>
      <c r="AC34" s="84" t="s">
        <v>2364</v>
      </c>
      <c r="AD34" s="84" t="s">
        <v>1994</v>
      </c>
      <c r="AE34" s="61"/>
    </row>
    <row r="35" spans="1:31" ht="102.5" x14ac:dyDescent="0.45">
      <c r="A35" s="61" t="s">
        <v>2262</v>
      </c>
      <c r="B35" s="61" t="s">
        <v>2263</v>
      </c>
      <c r="C35" s="65"/>
      <c r="D35" s="61"/>
      <c r="E35" s="61" t="s">
        <v>2264</v>
      </c>
      <c r="F35" s="70" t="s">
        <v>53</v>
      </c>
      <c r="G35" s="70" t="s">
        <v>2121</v>
      </c>
      <c r="H35" s="67">
        <v>46176.41369212963</v>
      </c>
      <c r="I35" s="75">
        <f t="shared" ca="1" si="0"/>
        <v>4.2550002314819722</v>
      </c>
      <c r="J35" s="61"/>
      <c r="K35" s="61"/>
      <c r="L35" s="61"/>
      <c r="M35" s="61" t="s">
        <v>31</v>
      </c>
      <c r="N35" s="61" t="s">
        <v>2265</v>
      </c>
      <c r="O35" s="61"/>
      <c r="P35" s="61"/>
      <c r="Q35" s="61"/>
      <c r="R35" s="84" t="s">
        <v>2377</v>
      </c>
      <c r="S35" s="61" t="s">
        <v>40</v>
      </c>
      <c r="T35" s="61" t="s">
        <v>1898</v>
      </c>
      <c r="U35" s="61" t="s">
        <v>1898</v>
      </c>
      <c r="V35" s="61" t="str">
        <f>VLOOKUP(B35,[2]Overall!$A:$D,4,0)</f>
        <v>TELEINFRA NORD</v>
      </c>
      <c r="W35" s="61" t="str">
        <f>VLOOKUP(B35,[3]Sheet1!$A:$B,2,0)</f>
        <v>Ndiam-badji</v>
      </c>
      <c r="X35" s="88" t="str">
        <f t="shared" si="4"/>
        <v>NRD</v>
      </c>
      <c r="Y35" s="80" t="str">
        <f t="shared" ca="1" si="5"/>
        <v>T&gt;72H</v>
      </c>
      <c r="Z35" s="61">
        <f t="shared" si="6"/>
        <v>6</v>
      </c>
      <c r="AA35" s="61" t="s">
        <v>1566</v>
      </c>
      <c r="AB35" s="61" t="s">
        <v>1904</v>
      </c>
      <c r="AC35" s="84" t="s">
        <v>2364</v>
      </c>
      <c r="AD35" s="84" t="s">
        <v>1994</v>
      </c>
      <c r="AE35" s="61"/>
    </row>
    <row r="36" spans="1:31" ht="102.5" x14ac:dyDescent="0.45">
      <c r="A36" s="61" t="s">
        <v>2262</v>
      </c>
      <c r="B36" s="61" t="s">
        <v>2263</v>
      </c>
      <c r="C36" s="65"/>
      <c r="D36" s="61"/>
      <c r="E36" s="61" t="s">
        <v>2264</v>
      </c>
      <c r="F36" s="70" t="s">
        <v>53</v>
      </c>
      <c r="G36" s="70" t="s">
        <v>2121</v>
      </c>
      <c r="H36" s="67">
        <v>46176.450185185182</v>
      </c>
      <c r="I36" s="75">
        <f t="shared" ca="1" si="0"/>
        <v>4.2185071759304265</v>
      </c>
      <c r="J36" s="61"/>
      <c r="K36" s="61"/>
      <c r="L36" s="61"/>
      <c r="M36" s="61" t="s">
        <v>1713</v>
      </c>
      <c r="N36" s="61" t="s">
        <v>2266</v>
      </c>
      <c r="O36" s="61"/>
      <c r="P36" s="61"/>
      <c r="Q36" s="61"/>
      <c r="R36" s="84" t="s">
        <v>2377</v>
      </c>
      <c r="S36" s="61" t="s">
        <v>40</v>
      </c>
      <c r="T36" s="61" t="s">
        <v>1898</v>
      </c>
      <c r="U36" s="61" t="s">
        <v>1898</v>
      </c>
      <c r="V36" s="61" t="str">
        <f>VLOOKUP(B36,[2]Overall!$A:$D,4,0)</f>
        <v>TELEINFRA NORD</v>
      </c>
      <c r="W36" s="61" t="str">
        <f>VLOOKUP(B36,[3]Sheet1!$A:$B,2,0)</f>
        <v>Ndiam-badji</v>
      </c>
      <c r="X36" s="88" t="str">
        <f t="shared" si="4"/>
        <v>EXN</v>
      </c>
      <c r="Y36" s="80" t="str">
        <f t="shared" ca="1" si="5"/>
        <v>T&gt;72H</v>
      </c>
      <c r="Z36" s="61">
        <f t="shared" si="6"/>
        <v>6</v>
      </c>
      <c r="AA36" s="61" t="s">
        <v>1566</v>
      </c>
      <c r="AB36" s="61" t="s">
        <v>1904</v>
      </c>
      <c r="AC36" s="84" t="s">
        <v>2364</v>
      </c>
      <c r="AD36" s="84" t="s">
        <v>1994</v>
      </c>
      <c r="AE36" s="61"/>
    </row>
    <row r="37" spans="1:31" ht="102.5" x14ac:dyDescent="0.45">
      <c r="A37" s="61" t="s">
        <v>2267</v>
      </c>
      <c r="B37" s="61" t="s">
        <v>2268</v>
      </c>
      <c r="C37" s="65"/>
      <c r="D37" s="61"/>
      <c r="E37" s="61" t="s">
        <v>2269</v>
      </c>
      <c r="F37" s="70" t="s">
        <v>53</v>
      </c>
      <c r="G37" s="70" t="s">
        <v>2121</v>
      </c>
      <c r="H37" s="67">
        <v>46176.45103009259</v>
      </c>
      <c r="I37" s="75">
        <f t="shared" ca="1" si="0"/>
        <v>4.2176622685219627</v>
      </c>
      <c r="J37" s="61"/>
      <c r="K37" s="61"/>
      <c r="L37" s="61"/>
      <c r="M37" s="61" t="s">
        <v>31</v>
      </c>
      <c r="N37" s="61" t="s">
        <v>2270</v>
      </c>
      <c r="O37" s="61"/>
      <c r="P37" s="61"/>
      <c r="Q37" s="61"/>
      <c r="R37" s="84" t="s">
        <v>2374</v>
      </c>
      <c r="S37" s="61" t="s">
        <v>40</v>
      </c>
      <c r="T37" s="61" t="s">
        <v>1898</v>
      </c>
      <c r="U37" s="61" t="s">
        <v>1898</v>
      </c>
      <c r="V37" s="61" t="str">
        <f>VLOOKUP(B37,[2]Overall!$A:$D,4,0)</f>
        <v>TELEINFRA NORD</v>
      </c>
      <c r="W37" s="61" t="str">
        <f>VLOOKUP(B37,[3]Sheet1!$A:$B,2,0)</f>
        <v>Dabanga</v>
      </c>
      <c r="X37" s="88" t="str">
        <f t="shared" si="4"/>
        <v>EXN</v>
      </c>
      <c r="Y37" s="80" t="str">
        <f t="shared" ca="1" si="5"/>
        <v>T&gt;72H</v>
      </c>
      <c r="Z37" s="61">
        <f t="shared" si="6"/>
        <v>6</v>
      </c>
      <c r="AA37" s="61" t="s">
        <v>1566</v>
      </c>
      <c r="AB37" s="61" t="s">
        <v>1904</v>
      </c>
      <c r="AC37" s="84" t="s">
        <v>2364</v>
      </c>
      <c r="AD37" s="84" t="s">
        <v>1994</v>
      </c>
      <c r="AE37" s="61"/>
    </row>
    <row r="38" spans="1:31" ht="102.5" x14ac:dyDescent="0.45">
      <c r="A38" s="61" t="s">
        <v>2267</v>
      </c>
      <c r="B38" s="61" t="s">
        <v>2268</v>
      </c>
      <c r="C38" s="65"/>
      <c r="D38" s="61"/>
      <c r="E38" s="61" t="s">
        <v>2271</v>
      </c>
      <c r="F38" s="70" t="s">
        <v>53</v>
      </c>
      <c r="G38" s="70" t="s">
        <v>2121</v>
      </c>
      <c r="H38" s="67">
        <v>46176.45103009259</v>
      </c>
      <c r="I38" s="75">
        <f t="shared" ca="1" si="0"/>
        <v>4.2176622685219627</v>
      </c>
      <c r="J38" s="61"/>
      <c r="K38" s="61"/>
      <c r="L38" s="61"/>
      <c r="M38" s="61" t="s">
        <v>31</v>
      </c>
      <c r="N38" s="61" t="s">
        <v>2272</v>
      </c>
      <c r="O38" s="61"/>
      <c r="P38" s="61"/>
      <c r="Q38" s="61"/>
      <c r="R38" s="84" t="s">
        <v>2374</v>
      </c>
      <c r="S38" s="61" t="s">
        <v>40</v>
      </c>
      <c r="T38" s="61" t="s">
        <v>1898</v>
      </c>
      <c r="U38" s="61" t="s">
        <v>1898</v>
      </c>
      <c r="V38" s="61" t="str">
        <f>VLOOKUP(B38,[2]Overall!$A:$D,4,0)</f>
        <v>TELEINFRA NORD</v>
      </c>
      <c r="W38" s="61" t="str">
        <f>VLOOKUP(B38,[3]Sheet1!$A:$B,2,0)</f>
        <v>Dabanga</v>
      </c>
      <c r="X38" s="88" t="str">
        <f t="shared" si="4"/>
        <v>EXN</v>
      </c>
      <c r="Y38" s="80" t="str">
        <f t="shared" ca="1" si="5"/>
        <v>T&gt;72H</v>
      </c>
      <c r="Z38" s="61">
        <f t="shared" si="6"/>
        <v>4</v>
      </c>
      <c r="AA38" s="61" t="s">
        <v>1566</v>
      </c>
      <c r="AB38" s="61" t="s">
        <v>1904</v>
      </c>
      <c r="AC38" s="84" t="s">
        <v>2364</v>
      </c>
      <c r="AD38" s="84" t="s">
        <v>1994</v>
      </c>
      <c r="AE38" s="61"/>
    </row>
    <row r="39" spans="1:31" ht="102.5" x14ac:dyDescent="0.45">
      <c r="A39" s="61" t="s">
        <v>2273</v>
      </c>
      <c r="B39" s="61" t="s">
        <v>2268</v>
      </c>
      <c r="C39" s="65"/>
      <c r="D39" s="61"/>
      <c r="E39" s="61" t="s">
        <v>47</v>
      </c>
      <c r="F39" s="70" t="s">
        <v>53</v>
      </c>
      <c r="G39" s="70" t="s">
        <v>2121</v>
      </c>
      <c r="H39" s="67">
        <v>46176.45108796296</v>
      </c>
      <c r="I39" s="75">
        <f t="shared" ca="1" si="0"/>
        <v>4.2176043981526163</v>
      </c>
      <c r="J39" s="61"/>
      <c r="K39" s="61"/>
      <c r="L39" s="61"/>
      <c r="M39" s="61" t="s">
        <v>31</v>
      </c>
      <c r="N39" s="61" t="s">
        <v>2274</v>
      </c>
      <c r="O39" s="61"/>
      <c r="P39" s="61"/>
      <c r="Q39" s="61"/>
      <c r="R39" s="84" t="s">
        <v>2374</v>
      </c>
      <c r="S39" s="61" t="s">
        <v>40</v>
      </c>
      <c r="T39" s="61" t="s">
        <v>1898</v>
      </c>
      <c r="U39" s="61" t="s">
        <v>1898</v>
      </c>
      <c r="V39" s="61" t="str">
        <f>VLOOKUP(B39,[2]Overall!$A:$D,4,0)</f>
        <v>TELEINFRA NORD</v>
      </c>
      <c r="W39" s="61" t="str">
        <f>VLOOKUP(B39,[3]Sheet1!$A:$B,2,0)</f>
        <v>Dabanga</v>
      </c>
      <c r="X39" s="88" t="str">
        <f t="shared" si="4"/>
        <v>EXN</v>
      </c>
      <c r="Y39" s="80" t="str">
        <f t="shared" ca="1" si="5"/>
        <v>T&gt;72H</v>
      </c>
      <c r="Z39" s="61">
        <f t="shared" si="6"/>
        <v>3</v>
      </c>
      <c r="AA39" s="61" t="s">
        <v>1566</v>
      </c>
      <c r="AB39" s="61" t="s">
        <v>1904</v>
      </c>
      <c r="AC39" s="84" t="s">
        <v>2364</v>
      </c>
      <c r="AD39" s="84" t="s">
        <v>1994</v>
      </c>
      <c r="AE39" s="61"/>
    </row>
    <row r="40" spans="1:31" ht="102.5" x14ac:dyDescent="0.45">
      <c r="A40" s="61" t="s">
        <v>2273</v>
      </c>
      <c r="B40" s="61" t="s">
        <v>2268</v>
      </c>
      <c r="C40" s="65"/>
      <c r="D40" s="61"/>
      <c r="E40" s="61" t="s">
        <v>35</v>
      </c>
      <c r="F40" s="70" t="s">
        <v>53</v>
      </c>
      <c r="G40" s="70" t="s">
        <v>2121</v>
      </c>
      <c r="H40" s="67">
        <v>46176.45108796296</v>
      </c>
      <c r="I40" s="75">
        <f t="shared" ca="1" si="0"/>
        <v>4.2176043981526163</v>
      </c>
      <c r="J40" s="61"/>
      <c r="K40" s="61"/>
      <c r="L40" s="61"/>
      <c r="M40" s="61" t="s">
        <v>31</v>
      </c>
      <c r="N40" s="61" t="s">
        <v>2275</v>
      </c>
      <c r="O40" s="61"/>
      <c r="P40" s="61"/>
      <c r="Q40" s="61"/>
      <c r="R40" s="84" t="s">
        <v>2374</v>
      </c>
      <c r="S40" s="61" t="s">
        <v>40</v>
      </c>
      <c r="T40" s="61" t="s">
        <v>1898</v>
      </c>
      <c r="U40" s="61" t="s">
        <v>1898</v>
      </c>
      <c r="V40" s="61" t="str">
        <f>VLOOKUP(B40,[2]Overall!$A:$D,4,0)</f>
        <v>TELEINFRA NORD</v>
      </c>
      <c r="W40" s="61" t="str">
        <f>VLOOKUP(B40,[3]Sheet1!$A:$B,2,0)</f>
        <v>Dabanga</v>
      </c>
      <c r="X40" s="88" t="str">
        <f t="shared" si="4"/>
        <v>LIT</v>
      </c>
      <c r="Y40" s="80" t="str">
        <f t="shared" ca="1" si="5"/>
        <v>T&gt;72H</v>
      </c>
      <c r="Z40" s="61">
        <f t="shared" si="6"/>
        <v>3</v>
      </c>
      <c r="AA40" s="61" t="s">
        <v>1566</v>
      </c>
      <c r="AB40" s="61" t="s">
        <v>1904</v>
      </c>
      <c r="AC40" s="84" t="s">
        <v>2364</v>
      </c>
      <c r="AD40" s="84" t="s">
        <v>1994</v>
      </c>
      <c r="AE40" s="61"/>
    </row>
    <row r="41" spans="1:31" ht="88" x14ac:dyDescent="0.45">
      <c r="A41" s="61" t="s">
        <v>1807</v>
      </c>
      <c r="B41" s="61" t="s">
        <v>1808</v>
      </c>
      <c r="C41" s="65"/>
      <c r="D41" s="61"/>
      <c r="E41" s="61" t="s">
        <v>1814</v>
      </c>
      <c r="F41" s="70" t="s">
        <v>53</v>
      </c>
      <c r="G41" s="70" t="s">
        <v>2121</v>
      </c>
      <c r="H41" s="67">
        <v>46176.54959490741</v>
      </c>
      <c r="I41" s="75">
        <f t="shared" ca="1" si="0"/>
        <v>4.1190974537021248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84" t="s">
        <v>2345</v>
      </c>
      <c r="S41" s="61" t="s">
        <v>85</v>
      </c>
      <c r="T41" s="61" t="s">
        <v>1898</v>
      </c>
      <c r="U41" s="61" t="s">
        <v>1898</v>
      </c>
      <c r="V41" s="61" t="str">
        <f>VLOOKUP(B41,[2]Overall!$A:$D,4,0)</f>
        <v>H-TELI</v>
      </c>
      <c r="W41" s="61" t="str">
        <f>VLOOKUP(B41,[3]Sheet1!$A:$B,2,0)</f>
        <v>Songloulou</v>
      </c>
      <c r="X41" s="88" t="str">
        <f t="shared" si="4"/>
        <v>LIT</v>
      </c>
      <c r="Y41" s="80" t="str">
        <f t="shared" ca="1" si="5"/>
        <v>T&gt;72H</v>
      </c>
      <c r="Z41" s="61">
        <f t="shared" si="6"/>
        <v>1</v>
      </c>
      <c r="AA41" s="61" t="s">
        <v>1566</v>
      </c>
      <c r="AB41" s="61" t="s">
        <v>1904</v>
      </c>
      <c r="AC41" s="84" t="s">
        <v>2364</v>
      </c>
      <c r="AD41" s="84" t="s">
        <v>1994</v>
      </c>
      <c r="AE41" s="61"/>
    </row>
    <row r="42" spans="1:31" ht="88" x14ac:dyDescent="0.45">
      <c r="A42" s="61" t="s">
        <v>1807</v>
      </c>
      <c r="B42" s="61" t="s">
        <v>1808</v>
      </c>
      <c r="C42" s="65"/>
      <c r="D42" s="61"/>
      <c r="E42" s="61" t="s">
        <v>1813</v>
      </c>
      <c r="F42" s="70" t="s">
        <v>53</v>
      </c>
      <c r="G42" s="70" t="s">
        <v>2121</v>
      </c>
      <c r="H42" s="67">
        <v>46176.54959490741</v>
      </c>
      <c r="I42" s="75">
        <f t="shared" ca="1" si="0"/>
        <v>4.1190974537021248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2345</v>
      </c>
      <c r="S42" s="61" t="s">
        <v>85</v>
      </c>
      <c r="T42" s="61" t="s">
        <v>1898</v>
      </c>
      <c r="U42" s="61" t="s">
        <v>1898</v>
      </c>
      <c r="V42" s="61" t="str">
        <f>VLOOKUP(B42,[2]Overall!$A:$D,4,0)</f>
        <v>H-TELI</v>
      </c>
      <c r="W42" s="61" t="str">
        <f>VLOOKUP(B42,[3]Sheet1!$A:$B,2,0)</f>
        <v>Songloulou</v>
      </c>
      <c r="X42" s="88" t="str">
        <f t="shared" si="4"/>
        <v>LIT</v>
      </c>
      <c r="Y42" s="80" t="str">
        <f t="shared" ca="1" si="5"/>
        <v>T&gt;72H</v>
      </c>
      <c r="Z42" s="61">
        <f t="shared" si="6"/>
        <v>1</v>
      </c>
      <c r="AA42" s="61" t="s">
        <v>1566</v>
      </c>
      <c r="AB42" s="61" t="s">
        <v>1904</v>
      </c>
      <c r="AC42" s="84" t="s">
        <v>2364</v>
      </c>
      <c r="AD42" s="84" t="s">
        <v>1994</v>
      </c>
      <c r="AE42" s="61"/>
    </row>
    <row r="43" spans="1:31" ht="88" x14ac:dyDescent="0.45">
      <c r="A43" s="61" t="s">
        <v>1807</v>
      </c>
      <c r="B43" s="61" t="s">
        <v>1808</v>
      </c>
      <c r="C43" s="65"/>
      <c r="D43" s="61"/>
      <c r="E43" s="61" t="s">
        <v>1810</v>
      </c>
      <c r="F43" s="70" t="s">
        <v>53</v>
      </c>
      <c r="G43" s="70" t="s">
        <v>2121</v>
      </c>
      <c r="H43" s="67">
        <v>46176.54959490741</v>
      </c>
      <c r="I43" s="75">
        <f t="shared" ca="1" si="0"/>
        <v>4.1190974537021248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2345</v>
      </c>
      <c r="S43" s="61" t="s">
        <v>85</v>
      </c>
      <c r="T43" s="61" t="s">
        <v>1898</v>
      </c>
      <c r="U43" s="61" t="s">
        <v>1898</v>
      </c>
      <c r="V43" s="61" t="str">
        <f>VLOOKUP(B43,[2]Overall!$A:$D,4,0)</f>
        <v>H-TELI</v>
      </c>
      <c r="W43" s="61" t="str">
        <f>VLOOKUP(B43,[3]Sheet1!$A:$B,2,0)</f>
        <v>Songloulou</v>
      </c>
      <c r="X43" s="88" t="str">
        <f t="shared" si="4"/>
        <v>LIT</v>
      </c>
      <c r="Y43" s="80" t="str">
        <f t="shared" ca="1" si="5"/>
        <v>T&gt;72H</v>
      </c>
      <c r="Z43" s="61">
        <f t="shared" si="6"/>
        <v>1</v>
      </c>
      <c r="AA43" s="61" t="s">
        <v>1566</v>
      </c>
      <c r="AB43" s="61" t="s">
        <v>1904</v>
      </c>
      <c r="AC43" s="84" t="s">
        <v>2364</v>
      </c>
      <c r="AD43" s="84" t="s">
        <v>1994</v>
      </c>
      <c r="AE43" s="61"/>
    </row>
    <row r="44" spans="1:31" ht="88" x14ac:dyDescent="0.45">
      <c r="A44" s="61" t="s">
        <v>1807</v>
      </c>
      <c r="B44" s="61" t="s">
        <v>1808</v>
      </c>
      <c r="C44" s="65"/>
      <c r="D44" s="61"/>
      <c r="E44" s="61" t="s">
        <v>1817</v>
      </c>
      <c r="F44" s="70" t="s">
        <v>53</v>
      </c>
      <c r="G44" s="70" t="s">
        <v>2121</v>
      </c>
      <c r="H44" s="67">
        <v>46176.54959490741</v>
      </c>
      <c r="I44" s="75">
        <f t="shared" ca="1" si="0"/>
        <v>4.1190974537021248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2345</v>
      </c>
      <c r="S44" s="61" t="s">
        <v>85</v>
      </c>
      <c r="T44" s="61" t="s">
        <v>1898</v>
      </c>
      <c r="U44" s="61" t="s">
        <v>1898</v>
      </c>
      <c r="V44" s="61" t="str">
        <f>VLOOKUP(B44,[2]Overall!$A:$D,4,0)</f>
        <v>H-TELI</v>
      </c>
      <c r="W44" s="61" t="str">
        <f>VLOOKUP(B44,[3]Sheet1!$A:$B,2,0)</f>
        <v>Songloulou</v>
      </c>
      <c r="X44" s="88" t="str">
        <f t="shared" si="4"/>
        <v>LIT</v>
      </c>
      <c r="Y44" s="80" t="str">
        <f t="shared" ca="1" si="5"/>
        <v>T&gt;72H</v>
      </c>
      <c r="Z44" s="61">
        <f t="shared" si="6"/>
        <v>1</v>
      </c>
      <c r="AA44" s="61" t="s">
        <v>1566</v>
      </c>
      <c r="AB44" s="61" t="s">
        <v>1904</v>
      </c>
      <c r="AC44" s="84" t="s">
        <v>2364</v>
      </c>
      <c r="AD44" s="84" t="s">
        <v>1994</v>
      </c>
      <c r="AE44" s="61"/>
    </row>
    <row r="45" spans="1:31" ht="88" x14ac:dyDescent="0.45">
      <c r="A45" s="61" t="s">
        <v>1807</v>
      </c>
      <c r="B45" s="61" t="s">
        <v>1808</v>
      </c>
      <c r="C45" s="65"/>
      <c r="D45" s="61"/>
      <c r="E45" s="61" t="s">
        <v>1809</v>
      </c>
      <c r="F45" s="70" t="s">
        <v>53</v>
      </c>
      <c r="G45" s="70" t="s">
        <v>2121</v>
      </c>
      <c r="H45" s="67">
        <v>46176.549583333333</v>
      </c>
      <c r="I45" s="75">
        <f t="shared" ca="1" si="0"/>
        <v>4.1191090277789044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2345</v>
      </c>
      <c r="S45" s="61" t="s">
        <v>85</v>
      </c>
      <c r="T45" s="61" t="s">
        <v>1898</v>
      </c>
      <c r="U45" s="61" t="s">
        <v>1898</v>
      </c>
      <c r="V45" s="61" t="str">
        <f>VLOOKUP(B45,[2]Overall!$A:$D,4,0)</f>
        <v>H-TELI</v>
      </c>
      <c r="W45" s="61" t="str">
        <f>VLOOKUP(B45,[3]Sheet1!$A:$B,2,0)</f>
        <v>Songloulou</v>
      </c>
      <c r="X45" s="88" t="str">
        <f t="shared" si="4"/>
        <v>LIT</v>
      </c>
      <c r="Y45" s="80" t="str">
        <f t="shared" ca="1" si="5"/>
        <v>T&gt;72H</v>
      </c>
      <c r="Z45" s="61">
        <f t="shared" si="6"/>
        <v>1</v>
      </c>
      <c r="AA45" s="61" t="s">
        <v>1566</v>
      </c>
      <c r="AB45" s="61" t="s">
        <v>1904</v>
      </c>
      <c r="AC45" s="84" t="s">
        <v>2364</v>
      </c>
      <c r="AD45" s="84" t="s">
        <v>1994</v>
      </c>
      <c r="AE45" s="61"/>
    </row>
    <row r="46" spans="1:31" ht="88" x14ac:dyDescent="0.45">
      <c r="A46" s="61" t="s">
        <v>1807</v>
      </c>
      <c r="B46" s="61" t="s">
        <v>1808</v>
      </c>
      <c r="C46" s="65"/>
      <c r="D46" s="61"/>
      <c r="E46" s="61" t="s">
        <v>1816</v>
      </c>
      <c r="F46" s="70" t="s">
        <v>53</v>
      </c>
      <c r="G46" s="70" t="s">
        <v>2121</v>
      </c>
      <c r="H46" s="67">
        <v>46176.54959490741</v>
      </c>
      <c r="I46" s="75">
        <f t="shared" ca="1" si="0"/>
        <v>4.1190974537021248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2345</v>
      </c>
      <c r="S46" s="61" t="s">
        <v>85</v>
      </c>
      <c r="T46" s="61" t="s">
        <v>1898</v>
      </c>
      <c r="U46" s="61" t="s">
        <v>1898</v>
      </c>
      <c r="V46" s="61" t="str">
        <f>VLOOKUP(B46,[2]Overall!$A:$D,4,0)</f>
        <v>H-TELI</v>
      </c>
      <c r="W46" s="61" t="str">
        <f>VLOOKUP(B46,[3]Sheet1!$A:$B,2,0)</f>
        <v>Songloulou</v>
      </c>
      <c r="X46" s="88" t="str">
        <f t="shared" si="4"/>
        <v>LIT</v>
      </c>
      <c r="Y46" s="80" t="str">
        <f t="shared" ca="1" si="5"/>
        <v>T&gt;72H</v>
      </c>
      <c r="Z46" s="61">
        <f t="shared" si="6"/>
        <v>1</v>
      </c>
      <c r="AA46" s="61" t="s">
        <v>1566</v>
      </c>
      <c r="AB46" s="61" t="s">
        <v>1904</v>
      </c>
      <c r="AC46" s="84" t="s">
        <v>2364</v>
      </c>
      <c r="AD46" s="84" t="s">
        <v>1994</v>
      </c>
      <c r="AE46" s="61"/>
    </row>
    <row r="47" spans="1:31" ht="88" x14ac:dyDescent="0.45">
      <c r="A47" s="61" t="s">
        <v>1807</v>
      </c>
      <c r="B47" s="61" t="s">
        <v>1808</v>
      </c>
      <c r="C47" s="65"/>
      <c r="D47" s="61"/>
      <c r="E47" s="61" t="s">
        <v>1811</v>
      </c>
      <c r="F47" s="70" t="s">
        <v>53</v>
      </c>
      <c r="G47" s="70" t="s">
        <v>2121</v>
      </c>
      <c r="H47" s="67">
        <v>46176.54959490741</v>
      </c>
      <c r="I47" s="75">
        <f t="shared" ca="1" si="0"/>
        <v>4.1190974537021248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2345</v>
      </c>
      <c r="S47" s="61" t="s">
        <v>85</v>
      </c>
      <c r="T47" s="61" t="s">
        <v>1898</v>
      </c>
      <c r="U47" s="61" t="s">
        <v>1898</v>
      </c>
      <c r="V47" s="61" t="str">
        <f>VLOOKUP(B47,[2]Overall!$A:$D,4,0)</f>
        <v>H-TELI</v>
      </c>
      <c r="W47" s="61" t="str">
        <f>VLOOKUP(B47,[3]Sheet1!$A:$B,2,0)</f>
        <v>Songloulou</v>
      </c>
      <c r="X47" s="88" t="str">
        <f t="shared" si="4"/>
        <v>LIT</v>
      </c>
      <c r="Y47" s="80" t="str">
        <f t="shared" ca="1" si="5"/>
        <v>T&gt;72H</v>
      </c>
      <c r="Z47" s="61">
        <f t="shared" si="6"/>
        <v>1</v>
      </c>
      <c r="AA47" s="61" t="s">
        <v>1566</v>
      </c>
      <c r="AB47" s="61" t="s">
        <v>1904</v>
      </c>
      <c r="AC47" s="84" t="s">
        <v>2364</v>
      </c>
      <c r="AD47" s="84" t="s">
        <v>1994</v>
      </c>
      <c r="AE47" s="61"/>
    </row>
    <row r="48" spans="1:31" ht="88" x14ac:dyDescent="0.45">
      <c r="A48" s="61" t="s">
        <v>1807</v>
      </c>
      <c r="B48" s="61" t="s">
        <v>1808</v>
      </c>
      <c r="C48" s="65"/>
      <c r="D48" s="61"/>
      <c r="E48" s="61" t="s">
        <v>1815</v>
      </c>
      <c r="F48" s="70" t="s">
        <v>53</v>
      </c>
      <c r="G48" s="70" t="s">
        <v>2121</v>
      </c>
      <c r="H48" s="67">
        <v>46176.54959490741</v>
      </c>
      <c r="I48" s="75">
        <f t="shared" ca="1" si="0"/>
        <v>4.1190974537021248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2345</v>
      </c>
      <c r="S48" s="61" t="s">
        <v>85</v>
      </c>
      <c r="T48" s="61" t="s">
        <v>1898</v>
      </c>
      <c r="U48" s="61" t="s">
        <v>1898</v>
      </c>
      <c r="V48" s="61" t="str">
        <f>VLOOKUP(B48,[2]Overall!$A:$D,4,0)</f>
        <v>H-TELI</v>
      </c>
      <c r="W48" s="61" t="str">
        <f>VLOOKUP(B48,[3]Sheet1!$A:$B,2,0)</f>
        <v>Songloulou</v>
      </c>
      <c r="X48" s="88" t="str">
        <f t="shared" si="4"/>
        <v>LIT</v>
      </c>
      <c r="Y48" s="80" t="str">
        <f t="shared" ca="1" si="5"/>
        <v>T&gt;72H</v>
      </c>
      <c r="Z48" s="61">
        <f t="shared" si="6"/>
        <v>1</v>
      </c>
      <c r="AA48" s="61" t="s">
        <v>1566</v>
      </c>
      <c r="AB48" s="61" t="s">
        <v>1904</v>
      </c>
      <c r="AC48" s="84" t="s">
        <v>2364</v>
      </c>
      <c r="AD48" s="84" t="s">
        <v>1994</v>
      </c>
      <c r="AE48" s="61"/>
    </row>
    <row r="49" spans="1:31" ht="88" x14ac:dyDescent="0.45">
      <c r="A49" s="61" t="s">
        <v>1807</v>
      </c>
      <c r="B49" s="61" t="s">
        <v>1808</v>
      </c>
      <c r="C49" s="65"/>
      <c r="D49" s="61"/>
      <c r="E49" s="61" t="s">
        <v>1812</v>
      </c>
      <c r="F49" s="70" t="s">
        <v>53</v>
      </c>
      <c r="G49" s="70" t="s">
        <v>2121</v>
      </c>
      <c r="H49" s="67">
        <v>46176.54959490741</v>
      </c>
      <c r="I49" s="75">
        <f t="shared" ref="I49:I79" ca="1" si="7">NOW()-H49</f>
        <v>4.1190974537021248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2345</v>
      </c>
      <c r="S49" s="61" t="s">
        <v>85</v>
      </c>
      <c r="T49" s="61" t="s">
        <v>1898</v>
      </c>
      <c r="U49" s="61" t="s">
        <v>1898</v>
      </c>
      <c r="V49" s="61" t="str">
        <f>VLOOKUP(B49,[2]Overall!$A:$D,4,0)</f>
        <v>H-TELI</v>
      </c>
      <c r="W49" s="61" t="str">
        <f>VLOOKUP(B49,[3]Sheet1!$A:$B,2,0)</f>
        <v>Songloulou</v>
      </c>
      <c r="X49" s="88" t="str">
        <f t="shared" si="4"/>
        <v>LIT</v>
      </c>
      <c r="Y49" s="80" t="str">
        <f t="shared" ca="1" si="5"/>
        <v>T&gt;72H</v>
      </c>
      <c r="Z49" s="61">
        <f t="shared" si="6"/>
        <v>1</v>
      </c>
      <c r="AA49" s="61" t="s">
        <v>1566</v>
      </c>
      <c r="AB49" s="61" t="s">
        <v>1904</v>
      </c>
      <c r="AC49" s="84" t="s">
        <v>2364</v>
      </c>
      <c r="AD49" s="84" t="s">
        <v>1994</v>
      </c>
      <c r="AE49" s="61"/>
    </row>
    <row r="50" spans="1:31" ht="73.5" x14ac:dyDescent="0.45">
      <c r="A50" s="61" t="s">
        <v>2316</v>
      </c>
      <c r="B50" s="61" t="s">
        <v>2317</v>
      </c>
      <c r="C50" s="65"/>
      <c r="D50" s="61"/>
      <c r="E50" s="61" t="s">
        <v>2318</v>
      </c>
      <c r="F50" s="70" t="s">
        <v>53</v>
      </c>
      <c r="G50" s="70" t="s">
        <v>2121</v>
      </c>
      <c r="H50" s="67">
        <v>46176.571331018517</v>
      </c>
      <c r="I50" s="75">
        <f t="shared" ca="1" si="7"/>
        <v>4.097361342595832</v>
      </c>
      <c r="J50" s="61"/>
      <c r="K50" s="61"/>
      <c r="L50" s="61"/>
      <c r="M50" s="61" t="s">
        <v>38</v>
      </c>
      <c r="N50" s="61" t="s">
        <v>2319</v>
      </c>
      <c r="O50" s="61"/>
      <c r="P50" s="61"/>
      <c r="Q50" s="61"/>
      <c r="R50" s="61" t="s">
        <v>2294</v>
      </c>
      <c r="S50" s="61" t="s">
        <v>51</v>
      </c>
      <c r="T50" s="61" t="s">
        <v>1898</v>
      </c>
      <c r="U50" s="61" t="s">
        <v>1898</v>
      </c>
      <c r="V50" s="61" t="str">
        <f>VLOOKUP(B50,[2]Overall!$A:$D,4,0)</f>
        <v>H-TELI</v>
      </c>
      <c r="W50" s="61" t="str">
        <f>VLOOKUP(B50,[3]Sheet1!$A:$B,2,0)</f>
        <v>Logbong</v>
      </c>
      <c r="X50" s="88" t="str">
        <f t="shared" si="4"/>
        <v>EXN</v>
      </c>
      <c r="Y50" s="80" t="str">
        <f t="shared" ca="1" si="5"/>
        <v>T&gt;72H</v>
      </c>
      <c r="Z50" s="61">
        <f t="shared" si="6"/>
        <v>6</v>
      </c>
      <c r="AA50" s="61" t="s">
        <v>1566</v>
      </c>
      <c r="AB50" s="61" t="s">
        <v>1904</v>
      </c>
      <c r="AC50" s="84" t="s">
        <v>2364</v>
      </c>
      <c r="AD50" s="84" t="s">
        <v>1994</v>
      </c>
      <c r="AE50" s="61"/>
    </row>
    <row r="51" spans="1:31" ht="88" x14ac:dyDescent="0.45">
      <c r="A51" s="61" t="s">
        <v>1611</v>
      </c>
      <c r="B51" s="61" t="s">
        <v>1610</v>
      </c>
      <c r="C51" s="65"/>
      <c r="D51" s="61"/>
      <c r="E51" s="61" t="s">
        <v>1614</v>
      </c>
      <c r="F51" s="70" t="s">
        <v>53</v>
      </c>
      <c r="G51" s="70" t="s">
        <v>2121</v>
      </c>
      <c r="H51" s="67">
        <v>46176.618125000001</v>
      </c>
      <c r="I51" s="75">
        <f t="shared" ca="1" si="7"/>
        <v>4.0505673611114617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84" t="s">
        <v>2386</v>
      </c>
      <c r="S51" s="61" t="s">
        <v>71</v>
      </c>
      <c r="T51" s="61" t="s">
        <v>1902</v>
      </c>
      <c r="U51" s="61" t="s">
        <v>1896</v>
      </c>
      <c r="V51" s="61" t="str">
        <f>VLOOKUP(B51,[2]Overall!$A:$D,4,0)</f>
        <v>TELEINFRA NORD</v>
      </c>
      <c r="W51" s="61" t="str">
        <f>VLOOKUP(B51,[3]Sheet1!$A:$B,2,0)</f>
        <v>Zileng</v>
      </c>
      <c r="X51" s="88" t="str">
        <f t="shared" si="4"/>
        <v>EXN</v>
      </c>
      <c r="Y51" s="80" t="str">
        <f t="shared" ca="1" si="5"/>
        <v>T&gt;72H</v>
      </c>
      <c r="Z51" s="61">
        <f t="shared" si="6"/>
        <v>1</v>
      </c>
      <c r="AA51" s="61" t="s">
        <v>1566</v>
      </c>
      <c r="AB51" s="61" t="s">
        <v>1904</v>
      </c>
      <c r="AC51" s="84" t="s">
        <v>2364</v>
      </c>
      <c r="AD51" s="84" t="s">
        <v>1994</v>
      </c>
      <c r="AE51" s="61"/>
    </row>
    <row r="52" spans="1:31" ht="88" x14ac:dyDescent="0.45">
      <c r="A52" s="61" t="s">
        <v>1611</v>
      </c>
      <c r="B52" s="61" t="s">
        <v>1610</v>
      </c>
      <c r="C52" s="65"/>
      <c r="D52" s="61"/>
      <c r="E52" s="61" t="s">
        <v>1647</v>
      </c>
      <c r="F52" s="70" t="s">
        <v>53</v>
      </c>
      <c r="G52" s="70" t="s">
        <v>2121</v>
      </c>
      <c r="H52" s="67">
        <v>46176.618113425924</v>
      </c>
      <c r="I52" s="75">
        <f t="shared" ca="1" si="7"/>
        <v>4.0505789351882413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84" t="s">
        <v>2386</v>
      </c>
      <c r="S52" s="61" t="s">
        <v>71</v>
      </c>
      <c r="T52" s="61" t="s">
        <v>1902</v>
      </c>
      <c r="U52" s="61" t="s">
        <v>1896</v>
      </c>
      <c r="V52" s="61" t="str">
        <f>VLOOKUP(B52,[2]Overall!$A:$D,4,0)</f>
        <v>TELEINFRA NORD</v>
      </c>
      <c r="W52" s="61" t="str">
        <f>VLOOKUP(B52,[3]Sheet1!$A:$B,2,0)</f>
        <v>Zileng</v>
      </c>
      <c r="X52" s="88" t="str">
        <f t="shared" si="4"/>
        <v>EXN</v>
      </c>
      <c r="Y52" s="80" t="str">
        <f t="shared" ca="1" si="5"/>
        <v>T&gt;72H</v>
      </c>
      <c r="Z52" s="61">
        <f t="shared" si="6"/>
        <v>1</v>
      </c>
      <c r="AA52" s="61" t="s">
        <v>1566</v>
      </c>
      <c r="AB52" s="61" t="s">
        <v>1904</v>
      </c>
      <c r="AC52" s="84" t="s">
        <v>2364</v>
      </c>
      <c r="AD52" s="84" t="s">
        <v>1994</v>
      </c>
      <c r="AE52" s="61"/>
    </row>
    <row r="53" spans="1:31" ht="88" x14ac:dyDescent="0.45">
      <c r="A53" s="61" t="s">
        <v>1611</v>
      </c>
      <c r="B53" s="61" t="s">
        <v>1610</v>
      </c>
      <c r="C53" s="65"/>
      <c r="D53" s="61"/>
      <c r="E53" s="61" t="s">
        <v>1648</v>
      </c>
      <c r="F53" s="70" t="s">
        <v>53</v>
      </c>
      <c r="G53" s="70" t="s">
        <v>2121</v>
      </c>
      <c r="H53" s="67">
        <v>46176.618125000001</v>
      </c>
      <c r="I53" s="75">
        <f t="shared" ca="1" si="7"/>
        <v>4.0505673611114617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84" t="s">
        <v>2386</v>
      </c>
      <c r="S53" s="61" t="s">
        <v>71</v>
      </c>
      <c r="T53" s="61" t="s">
        <v>1902</v>
      </c>
      <c r="U53" s="61" t="s">
        <v>1896</v>
      </c>
      <c r="V53" s="61" t="str">
        <f>VLOOKUP(B53,[2]Overall!$A:$D,4,0)</f>
        <v>TELEINFRA NORD</v>
      </c>
      <c r="W53" s="61" t="str">
        <f>VLOOKUP(B53,[3]Sheet1!$A:$B,2,0)</f>
        <v>Zileng</v>
      </c>
      <c r="X53" s="88" t="str">
        <f t="shared" si="4"/>
        <v>EXN</v>
      </c>
      <c r="Y53" s="80" t="str">
        <f t="shared" ca="1" si="5"/>
        <v>T&gt;72H</v>
      </c>
      <c r="Z53" s="61">
        <f t="shared" si="6"/>
        <v>1</v>
      </c>
      <c r="AA53" s="61" t="s">
        <v>1566</v>
      </c>
      <c r="AB53" s="61" t="s">
        <v>1904</v>
      </c>
      <c r="AC53" s="84" t="s">
        <v>2364</v>
      </c>
      <c r="AD53" s="84" t="s">
        <v>1994</v>
      </c>
      <c r="AE53" s="61"/>
    </row>
    <row r="54" spans="1:31" ht="88" x14ac:dyDescent="0.45">
      <c r="A54" s="61" t="s">
        <v>1611</v>
      </c>
      <c r="B54" s="61" t="s">
        <v>1610</v>
      </c>
      <c r="C54" s="65"/>
      <c r="D54" s="61"/>
      <c r="E54" s="61" t="s">
        <v>1649</v>
      </c>
      <c r="F54" s="70" t="s">
        <v>53</v>
      </c>
      <c r="G54" s="70" t="s">
        <v>2121</v>
      </c>
      <c r="H54" s="67">
        <v>46176.618101851855</v>
      </c>
      <c r="I54" s="75">
        <f t="shared" ca="1" si="7"/>
        <v>4.050590509257745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84" t="s">
        <v>2386</v>
      </c>
      <c r="S54" s="61" t="s">
        <v>71</v>
      </c>
      <c r="T54" s="61" t="s">
        <v>1902</v>
      </c>
      <c r="U54" s="61" t="s">
        <v>1896</v>
      </c>
      <c r="V54" s="61" t="str">
        <f>VLOOKUP(B54,[2]Overall!$A:$D,4,0)</f>
        <v>TELEINFRA NORD</v>
      </c>
      <c r="W54" s="61" t="str">
        <f>VLOOKUP(B54,[3]Sheet1!$A:$B,2,0)</f>
        <v>Zileng</v>
      </c>
      <c r="X54" s="88" t="str">
        <f t="shared" si="4"/>
        <v>EXN</v>
      </c>
      <c r="Y54" s="80" t="str">
        <f t="shared" ca="1" si="5"/>
        <v>T&gt;72H</v>
      </c>
      <c r="Z54" s="61">
        <f t="shared" si="6"/>
        <v>1</v>
      </c>
      <c r="AA54" s="61" t="s">
        <v>1566</v>
      </c>
      <c r="AB54" s="61" t="s">
        <v>1904</v>
      </c>
      <c r="AC54" s="84" t="s">
        <v>2364</v>
      </c>
      <c r="AD54" s="84" t="s">
        <v>1994</v>
      </c>
      <c r="AE54" s="61"/>
    </row>
    <row r="55" spans="1:31" ht="88" x14ac:dyDescent="0.45">
      <c r="A55" s="61" t="s">
        <v>1611</v>
      </c>
      <c r="B55" s="61" t="s">
        <v>1610</v>
      </c>
      <c r="C55" s="65"/>
      <c r="D55" s="61"/>
      <c r="E55" s="61" t="s">
        <v>1644</v>
      </c>
      <c r="F55" s="70" t="s">
        <v>53</v>
      </c>
      <c r="G55" s="70" t="s">
        <v>2121</v>
      </c>
      <c r="H55" s="67">
        <v>46176.618113425924</v>
      </c>
      <c r="I55" s="75">
        <f t="shared" ca="1" si="7"/>
        <v>4.0505789351882413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84" t="s">
        <v>2386</v>
      </c>
      <c r="S55" s="61" t="s">
        <v>71</v>
      </c>
      <c r="T55" s="61" t="s">
        <v>1902</v>
      </c>
      <c r="U55" s="61" t="s">
        <v>1896</v>
      </c>
      <c r="V55" s="61" t="str">
        <f>VLOOKUP(B55,[2]Overall!$A:$D,4,0)</f>
        <v>TELEINFRA NORD</v>
      </c>
      <c r="W55" s="61" t="str">
        <f>VLOOKUP(B55,[3]Sheet1!$A:$B,2,0)</f>
        <v>Zileng</v>
      </c>
      <c r="X55" s="88" t="str">
        <f t="shared" si="4"/>
        <v>EXN</v>
      </c>
      <c r="Y55" s="80" t="str">
        <f t="shared" ca="1" si="5"/>
        <v>T&gt;72H</v>
      </c>
      <c r="Z55" s="61">
        <f t="shared" si="6"/>
        <v>1</v>
      </c>
      <c r="AA55" s="61" t="s">
        <v>1566</v>
      </c>
      <c r="AB55" s="61" t="s">
        <v>1904</v>
      </c>
      <c r="AC55" s="84" t="s">
        <v>2364</v>
      </c>
      <c r="AD55" s="84" t="s">
        <v>1994</v>
      </c>
      <c r="AE55" s="61"/>
    </row>
    <row r="56" spans="1:31" ht="88" x14ac:dyDescent="0.45">
      <c r="A56" s="61" t="s">
        <v>1611</v>
      </c>
      <c r="B56" s="61" t="s">
        <v>1610</v>
      </c>
      <c r="C56" s="65"/>
      <c r="D56" s="61"/>
      <c r="E56" s="61" t="s">
        <v>1645</v>
      </c>
      <c r="F56" s="70" t="s">
        <v>53</v>
      </c>
      <c r="G56" s="70" t="s">
        <v>2121</v>
      </c>
      <c r="H56" s="67">
        <v>46176.618125000001</v>
      </c>
      <c r="I56" s="75">
        <f t="shared" ca="1" si="7"/>
        <v>4.0505673611114617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84" t="s">
        <v>2386</v>
      </c>
      <c r="S56" s="61" t="s">
        <v>71</v>
      </c>
      <c r="T56" s="61" t="s">
        <v>1902</v>
      </c>
      <c r="U56" s="61" t="s">
        <v>1896</v>
      </c>
      <c r="V56" s="61" t="str">
        <f>VLOOKUP(B56,[2]Overall!$A:$D,4,0)</f>
        <v>TELEINFRA NORD</v>
      </c>
      <c r="W56" s="61" t="str">
        <f>VLOOKUP(B56,[3]Sheet1!$A:$B,2,0)</f>
        <v>Zileng</v>
      </c>
      <c r="X56" s="88" t="str">
        <f t="shared" si="4"/>
        <v>EXN</v>
      </c>
      <c r="Y56" s="80" t="str">
        <f t="shared" ca="1" si="5"/>
        <v>T&gt;72H</v>
      </c>
      <c r="Z56" s="61">
        <f t="shared" si="6"/>
        <v>1</v>
      </c>
      <c r="AA56" s="61" t="s">
        <v>1566</v>
      </c>
      <c r="AB56" s="61" t="s">
        <v>1904</v>
      </c>
      <c r="AC56" s="84" t="s">
        <v>2364</v>
      </c>
      <c r="AD56" s="84" t="s">
        <v>1994</v>
      </c>
      <c r="AE56" s="61"/>
    </row>
    <row r="57" spans="1:31" ht="88" x14ac:dyDescent="0.45">
      <c r="A57" s="61" t="s">
        <v>1611</v>
      </c>
      <c r="B57" s="61" t="s">
        <v>1610</v>
      </c>
      <c r="C57" s="65"/>
      <c r="D57" s="61"/>
      <c r="E57" s="61" t="s">
        <v>1646</v>
      </c>
      <c r="F57" s="70" t="s">
        <v>53</v>
      </c>
      <c r="G57" s="70" t="s">
        <v>2121</v>
      </c>
      <c r="H57" s="67">
        <v>46176.618125000001</v>
      </c>
      <c r="I57" s="75">
        <f t="shared" ca="1" si="7"/>
        <v>4.0505673611114617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84" t="s">
        <v>2386</v>
      </c>
      <c r="S57" s="61" t="s">
        <v>71</v>
      </c>
      <c r="T57" s="61" t="s">
        <v>1902</v>
      </c>
      <c r="U57" s="61" t="s">
        <v>1896</v>
      </c>
      <c r="V57" s="61" t="str">
        <f>VLOOKUP(B57,[2]Overall!$A:$D,4,0)</f>
        <v>TELEINFRA NORD</v>
      </c>
      <c r="W57" s="61" t="str">
        <f>VLOOKUP(B57,[3]Sheet1!$A:$B,2,0)</f>
        <v>Zileng</v>
      </c>
      <c r="X57" s="88" t="str">
        <f t="shared" si="4"/>
        <v>EXN</v>
      </c>
      <c r="Y57" s="80" t="str">
        <f t="shared" ca="1" si="5"/>
        <v>T&gt;72H</v>
      </c>
      <c r="Z57" s="61">
        <f t="shared" si="6"/>
        <v>1</v>
      </c>
      <c r="AA57" s="61" t="s">
        <v>1566</v>
      </c>
      <c r="AB57" s="61" t="s">
        <v>1904</v>
      </c>
      <c r="AC57" s="84" t="s">
        <v>2364</v>
      </c>
      <c r="AD57" s="84" t="s">
        <v>1994</v>
      </c>
      <c r="AE57" s="61"/>
    </row>
    <row r="58" spans="1:31" ht="88" x14ac:dyDescent="0.45">
      <c r="A58" s="61" t="s">
        <v>1611</v>
      </c>
      <c r="B58" s="61" t="s">
        <v>1610</v>
      </c>
      <c r="C58" s="65"/>
      <c r="D58" s="61"/>
      <c r="E58" s="61" t="s">
        <v>1643</v>
      </c>
      <c r="F58" s="70" t="s">
        <v>53</v>
      </c>
      <c r="G58" s="70" t="s">
        <v>2121</v>
      </c>
      <c r="H58" s="67">
        <v>46176.618113425924</v>
      </c>
      <c r="I58" s="75">
        <f t="shared" ca="1" si="7"/>
        <v>4.0505789351882413</v>
      </c>
      <c r="J58" s="61"/>
      <c r="K58" s="61"/>
      <c r="L58" s="61"/>
      <c r="M58" s="61" t="s">
        <v>41</v>
      </c>
      <c r="N58" s="61" t="s">
        <v>42</v>
      </c>
      <c r="O58" s="61"/>
      <c r="P58" s="61"/>
      <c r="Q58" s="61"/>
      <c r="R58" s="84" t="s">
        <v>2386</v>
      </c>
      <c r="S58" s="61" t="s">
        <v>71</v>
      </c>
      <c r="T58" s="61" t="s">
        <v>1902</v>
      </c>
      <c r="U58" s="61" t="s">
        <v>1896</v>
      </c>
      <c r="V58" s="61" t="str">
        <f>VLOOKUP(B58,[2]Overall!$A:$D,4,0)</f>
        <v>TELEINFRA NORD</v>
      </c>
      <c r="W58" s="61" t="str">
        <f>VLOOKUP(B58,[3]Sheet1!$A:$B,2,0)</f>
        <v>Zileng</v>
      </c>
      <c r="X58" s="88" t="str">
        <f t="shared" si="4"/>
        <v>EXN</v>
      </c>
      <c r="Y58" s="80" t="str">
        <f t="shared" ca="1" si="5"/>
        <v>T&gt;72H</v>
      </c>
      <c r="Z58" s="61">
        <f t="shared" si="6"/>
        <v>1</v>
      </c>
      <c r="AA58" s="61" t="s">
        <v>1566</v>
      </c>
      <c r="AB58" s="61" t="s">
        <v>1904</v>
      </c>
      <c r="AC58" s="84" t="s">
        <v>2364</v>
      </c>
      <c r="AD58" s="84" t="s">
        <v>1994</v>
      </c>
      <c r="AE58" s="61"/>
    </row>
    <row r="59" spans="1:31" ht="88" x14ac:dyDescent="0.45">
      <c r="A59" s="61" t="s">
        <v>1611</v>
      </c>
      <c r="B59" s="61" t="s">
        <v>1610</v>
      </c>
      <c r="C59" s="65"/>
      <c r="D59" s="61"/>
      <c r="E59" s="61" t="s">
        <v>1650</v>
      </c>
      <c r="F59" s="70" t="s">
        <v>53</v>
      </c>
      <c r="G59" s="70" t="s">
        <v>2121</v>
      </c>
      <c r="H59" s="67">
        <v>46176.618125000001</v>
      </c>
      <c r="I59" s="75">
        <f t="shared" ca="1" si="7"/>
        <v>4.0505673611114617</v>
      </c>
      <c r="J59" s="61"/>
      <c r="K59" s="61"/>
      <c r="L59" s="61"/>
      <c r="M59" s="61" t="s">
        <v>41</v>
      </c>
      <c r="N59" s="61" t="s">
        <v>42</v>
      </c>
      <c r="O59" s="61"/>
      <c r="P59" s="61"/>
      <c r="Q59" s="61"/>
      <c r="R59" s="84" t="s">
        <v>2386</v>
      </c>
      <c r="S59" s="61" t="s">
        <v>71</v>
      </c>
      <c r="T59" s="61" t="s">
        <v>1902</v>
      </c>
      <c r="U59" s="61" t="s">
        <v>1896</v>
      </c>
      <c r="V59" s="61" t="str">
        <f>VLOOKUP(B59,[2]Overall!$A:$D,4,0)</f>
        <v>TELEINFRA NORD</v>
      </c>
      <c r="W59" s="61" t="str">
        <f>VLOOKUP(B59,[3]Sheet1!$A:$B,2,0)</f>
        <v>Zileng</v>
      </c>
      <c r="X59" s="88" t="str">
        <f t="shared" si="4"/>
        <v>EXN</v>
      </c>
      <c r="Y59" s="80" t="str">
        <f t="shared" ca="1" si="5"/>
        <v>T&gt;72H</v>
      </c>
      <c r="Z59" s="61">
        <f t="shared" si="6"/>
        <v>1</v>
      </c>
      <c r="AA59" s="61" t="s">
        <v>1566</v>
      </c>
      <c r="AB59" s="61" t="s">
        <v>1904</v>
      </c>
      <c r="AC59" s="84" t="s">
        <v>2364</v>
      </c>
      <c r="AD59" s="84" t="s">
        <v>1994</v>
      </c>
      <c r="AE59" s="61"/>
    </row>
    <row r="60" spans="1:31" ht="88" x14ac:dyDescent="0.45">
      <c r="A60" s="61" t="s">
        <v>1611</v>
      </c>
      <c r="B60" s="61" t="s">
        <v>1610</v>
      </c>
      <c r="C60" s="65"/>
      <c r="D60" s="61"/>
      <c r="E60" s="61" t="s">
        <v>1612</v>
      </c>
      <c r="F60" s="70" t="s">
        <v>53</v>
      </c>
      <c r="G60" s="70" t="s">
        <v>2121</v>
      </c>
      <c r="H60" s="67">
        <v>46176.618125000001</v>
      </c>
      <c r="I60" s="75">
        <f t="shared" ca="1" si="7"/>
        <v>4.0505673611114617</v>
      </c>
      <c r="J60" s="61"/>
      <c r="K60" s="61"/>
      <c r="L60" s="61"/>
      <c r="M60" s="61" t="s">
        <v>41</v>
      </c>
      <c r="N60" s="61" t="s">
        <v>42</v>
      </c>
      <c r="O60" s="61"/>
      <c r="P60" s="61"/>
      <c r="Q60" s="61"/>
      <c r="R60" s="84" t="s">
        <v>2386</v>
      </c>
      <c r="S60" s="61" t="s">
        <v>71</v>
      </c>
      <c r="T60" s="61" t="s">
        <v>1902</v>
      </c>
      <c r="U60" s="61" t="s">
        <v>1896</v>
      </c>
      <c r="V60" s="61" t="str">
        <f>VLOOKUP(B60,[2]Overall!$A:$D,4,0)</f>
        <v>TELEINFRA NORD</v>
      </c>
      <c r="W60" s="61" t="str">
        <f>VLOOKUP(B60,[3]Sheet1!$A:$B,2,0)</f>
        <v>Zileng</v>
      </c>
      <c r="X60" s="88" t="str">
        <f t="shared" si="4"/>
        <v>EXN</v>
      </c>
      <c r="Y60" s="80" t="str">
        <f t="shared" ca="1" si="5"/>
        <v>T&gt;72H</v>
      </c>
      <c r="Z60" s="61">
        <f t="shared" si="6"/>
        <v>1</v>
      </c>
      <c r="AA60" s="61" t="s">
        <v>1566</v>
      </c>
      <c r="AB60" s="61" t="s">
        <v>1904</v>
      </c>
      <c r="AC60" s="84" t="s">
        <v>2364</v>
      </c>
      <c r="AD60" s="84" t="s">
        <v>1994</v>
      </c>
      <c r="AE60" s="61"/>
    </row>
    <row r="61" spans="1:31" ht="88" x14ac:dyDescent="0.45">
      <c r="A61" s="61" t="s">
        <v>1611</v>
      </c>
      <c r="B61" s="61" t="s">
        <v>1610</v>
      </c>
      <c r="C61" s="65"/>
      <c r="D61" s="61"/>
      <c r="E61" s="61" t="s">
        <v>1642</v>
      </c>
      <c r="F61" s="70" t="s">
        <v>53</v>
      </c>
      <c r="G61" s="70" t="s">
        <v>2121</v>
      </c>
      <c r="H61" s="67">
        <v>46176.618125000001</v>
      </c>
      <c r="I61" s="75">
        <f t="shared" ca="1" si="7"/>
        <v>4.0505673611114617</v>
      </c>
      <c r="J61" s="61"/>
      <c r="K61" s="61"/>
      <c r="L61" s="61"/>
      <c r="M61" s="61" t="s">
        <v>41</v>
      </c>
      <c r="N61" s="61" t="s">
        <v>42</v>
      </c>
      <c r="O61" s="61"/>
      <c r="P61" s="61"/>
      <c r="Q61" s="61"/>
      <c r="R61" s="84" t="s">
        <v>2386</v>
      </c>
      <c r="S61" s="61" t="s">
        <v>71</v>
      </c>
      <c r="T61" s="61" t="s">
        <v>1902</v>
      </c>
      <c r="U61" s="61" t="s">
        <v>1896</v>
      </c>
      <c r="V61" s="61" t="str">
        <f>VLOOKUP(B61,[2]Overall!$A:$D,4,0)</f>
        <v>TELEINFRA NORD</v>
      </c>
      <c r="W61" s="61" t="str">
        <f>VLOOKUP(B61,[3]Sheet1!$A:$B,2,0)</f>
        <v>Zileng</v>
      </c>
      <c r="X61" s="88" t="str">
        <f t="shared" si="4"/>
        <v>EXN</v>
      </c>
      <c r="Y61" s="80" t="str">
        <f t="shared" ca="1" si="5"/>
        <v>T&gt;72H</v>
      </c>
      <c r="Z61" s="61">
        <f t="shared" si="6"/>
        <v>1</v>
      </c>
      <c r="AA61" s="61" t="s">
        <v>1566</v>
      </c>
      <c r="AB61" s="61" t="s">
        <v>1904</v>
      </c>
      <c r="AC61" s="84" t="s">
        <v>2364</v>
      </c>
      <c r="AD61" s="84" t="s">
        <v>1994</v>
      </c>
      <c r="AE61" s="61"/>
    </row>
    <row r="62" spans="1:31" ht="88" x14ac:dyDescent="0.45">
      <c r="A62" s="61" t="s">
        <v>1611</v>
      </c>
      <c r="B62" s="61" t="s">
        <v>1610</v>
      </c>
      <c r="C62" s="65"/>
      <c r="D62" s="61"/>
      <c r="E62" s="61" t="s">
        <v>1616</v>
      </c>
      <c r="F62" s="70" t="s">
        <v>53</v>
      </c>
      <c r="G62" s="70" t="s">
        <v>2121</v>
      </c>
      <c r="H62" s="67">
        <v>46176.618125000001</v>
      </c>
      <c r="I62" s="75">
        <f t="shared" ca="1" si="7"/>
        <v>4.0505673611114617</v>
      </c>
      <c r="J62" s="61"/>
      <c r="K62" s="61"/>
      <c r="L62" s="61"/>
      <c r="M62" s="61" t="s">
        <v>41</v>
      </c>
      <c r="N62" s="61" t="s">
        <v>42</v>
      </c>
      <c r="O62" s="61"/>
      <c r="P62" s="61"/>
      <c r="Q62" s="61"/>
      <c r="R62" s="84" t="s">
        <v>2386</v>
      </c>
      <c r="S62" s="61" t="s">
        <v>71</v>
      </c>
      <c r="T62" s="61" t="s">
        <v>1902</v>
      </c>
      <c r="U62" s="61" t="s">
        <v>1896</v>
      </c>
      <c r="V62" s="61" t="str">
        <f>VLOOKUP(B62,[2]Overall!$A:$D,4,0)</f>
        <v>TELEINFRA NORD</v>
      </c>
      <c r="W62" s="61" t="str">
        <f>VLOOKUP(B62,[3]Sheet1!$A:$B,2,0)</f>
        <v>Zileng</v>
      </c>
      <c r="X62" s="88" t="str">
        <f t="shared" si="4"/>
        <v>ADM</v>
      </c>
      <c r="Y62" s="80" t="str">
        <f t="shared" ca="1" si="5"/>
        <v>T&gt;72H</v>
      </c>
      <c r="Z62" s="61">
        <f t="shared" si="6"/>
        <v>1</v>
      </c>
      <c r="AA62" s="61" t="s">
        <v>1566</v>
      </c>
      <c r="AB62" s="61" t="s">
        <v>1904</v>
      </c>
      <c r="AC62" s="84" t="s">
        <v>2364</v>
      </c>
      <c r="AD62" s="84" t="s">
        <v>1994</v>
      </c>
      <c r="AE62" s="61"/>
    </row>
    <row r="63" spans="1:31" ht="131.5" x14ac:dyDescent="0.45">
      <c r="A63" s="61" t="s">
        <v>2147</v>
      </c>
      <c r="B63" s="61" t="s">
        <v>2148</v>
      </c>
      <c r="C63" s="65"/>
      <c r="D63" s="61"/>
      <c r="E63" s="61" t="s">
        <v>2149</v>
      </c>
      <c r="F63" s="70" t="s">
        <v>53</v>
      </c>
      <c r="G63" s="70" t="s">
        <v>2121</v>
      </c>
      <c r="H63" s="67">
        <v>46176.646666666667</v>
      </c>
      <c r="I63" s="75">
        <f t="shared" ca="1" si="7"/>
        <v>4.022025694444892</v>
      </c>
      <c r="J63" s="61"/>
      <c r="K63" s="61"/>
      <c r="L63" s="61"/>
      <c r="M63" s="61" t="s">
        <v>33</v>
      </c>
      <c r="N63" s="61" t="s">
        <v>1626</v>
      </c>
      <c r="O63" s="61"/>
      <c r="P63" s="61"/>
      <c r="Q63" s="61"/>
      <c r="R63" s="84" t="s">
        <v>2369</v>
      </c>
      <c r="S63" s="61" t="s">
        <v>40</v>
      </c>
      <c r="T63" s="61" t="s">
        <v>1898</v>
      </c>
      <c r="U63" s="61" t="s">
        <v>1898</v>
      </c>
      <c r="V63" s="61" t="str">
        <f>VLOOKUP(B63,[2]Overall!$A:$D,4,0)</f>
        <v>TELEINFRA NORD</v>
      </c>
      <c r="W63" s="61" t="str">
        <f>VLOOKUP(B63,[3]Sheet1!$A:$B,2,0)</f>
        <v>Mboulai</v>
      </c>
      <c r="X63" s="88" t="str">
        <f t="shared" si="4"/>
        <v>EXN</v>
      </c>
      <c r="Y63" s="80" t="str">
        <f t="shared" ca="1" si="5"/>
        <v>T&gt;72H</v>
      </c>
      <c r="Z63" s="61">
        <f t="shared" si="6"/>
        <v>1</v>
      </c>
      <c r="AA63" s="61" t="s">
        <v>1566</v>
      </c>
      <c r="AB63" s="61" t="s">
        <v>1904</v>
      </c>
      <c r="AC63" s="84" t="s">
        <v>2364</v>
      </c>
      <c r="AD63" s="84" t="s">
        <v>1994</v>
      </c>
      <c r="AE63" s="61"/>
    </row>
    <row r="64" spans="1:31" ht="146" x14ac:dyDescent="0.45">
      <c r="A64" s="61" t="s">
        <v>2257</v>
      </c>
      <c r="B64" s="61" t="s">
        <v>1796</v>
      </c>
      <c r="C64" s="65"/>
      <c r="D64" s="61"/>
      <c r="E64" s="61" t="s">
        <v>49</v>
      </c>
      <c r="F64" s="70" t="s">
        <v>53</v>
      </c>
      <c r="G64" s="70" t="s">
        <v>2121</v>
      </c>
      <c r="H64" s="67">
        <v>46176.6872337963</v>
      </c>
      <c r="I64" s="75">
        <f t="shared" ca="1" si="7"/>
        <v>3.9814585648127832</v>
      </c>
      <c r="J64" s="61"/>
      <c r="K64" s="61"/>
      <c r="L64" s="61"/>
      <c r="M64" s="61" t="s">
        <v>41</v>
      </c>
      <c r="N64" s="61" t="s">
        <v>2347</v>
      </c>
      <c r="O64" s="61"/>
      <c r="P64" s="61"/>
      <c r="Q64" s="61"/>
      <c r="R64" s="84" t="s">
        <v>2389</v>
      </c>
      <c r="S64" s="84" t="s">
        <v>40</v>
      </c>
      <c r="T64" s="61" t="s">
        <v>1899</v>
      </c>
      <c r="U64" s="61" t="s">
        <v>1899</v>
      </c>
      <c r="V64" s="61" t="str">
        <f>VLOOKUP(B64,[2]Overall!$A:$D,4,0)</f>
        <v>TELEINFRA NORD</v>
      </c>
      <c r="W64" s="61" t="str">
        <f>VLOOKUP(B64,[3]Sheet1!$A:$B,2,0)</f>
        <v>Bagarao</v>
      </c>
      <c r="X64" s="88" t="str">
        <f t="shared" si="4"/>
        <v>EXN</v>
      </c>
      <c r="Y64" s="80" t="str">
        <f t="shared" ca="1" si="5"/>
        <v>T&gt;72H</v>
      </c>
      <c r="Z64" s="61">
        <f t="shared" si="6"/>
        <v>1</v>
      </c>
      <c r="AA64" s="61" t="s">
        <v>1566</v>
      </c>
      <c r="AB64" s="61" t="s">
        <v>1904</v>
      </c>
      <c r="AC64" s="84" t="s">
        <v>2364</v>
      </c>
      <c r="AD64" s="84" t="s">
        <v>1994</v>
      </c>
      <c r="AE64" s="61"/>
    </row>
    <row r="65" spans="1:31" ht="146" x14ac:dyDescent="0.45">
      <c r="A65" s="61" t="s">
        <v>2257</v>
      </c>
      <c r="B65" s="61" t="s">
        <v>1796</v>
      </c>
      <c r="C65" s="65"/>
      <c r="D65" s="61"/>
      <c r="E65" s="61" t="s">
        <v>1636</v>
      </c>
      <c r="F65" s="70" t="s">
        <v>53</v>
      </c>
      <c r="G65" s="70" t="s">
        <v>2121</v>
      </c>
      <c r="H65" s="67">
        <v>46176.6872337963</v>
      </c>
      <c r="I65" s="75">
        <f t="shared" ca="1" si="7"/>
        <v>3.9814585648127832</v>
      </c>
      <c r="J65" s="61"/>
      <c r="K65" s="61"/>
      <c r="L65" s="61"/>
      <c r="M65" s="61" t="s">
        <v>41</v>
      </c>
      <c r="N65" s="61" t="s">
        <v>2348</v>
      </c>
      <c r="O65" s="61"/>
      <c r="P65" s="61"/>
      <c r="Q65" s="61"/>
      <c r="R65" s="84" t="s">
        <v>2389</v>
      </c>
      <c r="S65" s="84" t="s">
        <v>40</v>
      </c>
      <c r="T65" s="61" t="s">
        <v>1899</v>
      </c>
      <c r="U65" s="61" t="s">
        <v>1899</v>
      </c>
      <c r="V65" s="61" t="str">
        <f>VLOOKUP(B65,[2]Overall!$A:$D,4,0)</f>
        <v>TELEINFRA NORD</v>
      </c>
      <c r="W65" s="61" t="str">
        <f>VLOOKUP(B65,[3]Sheet1!$A:$B,2,0)</f>
        <v>Bagarao</v>
      </c>
      <c r="X65" s="88" t="str">
        <f t="shared" si="4"/>
        <v>EXN</v>
      </c>
      <c r="Y65" s="80" t="str">
        <f t="shared" ca="1" si="5"/>
        <v>T&gt;72H</v>
      </c>
      <c r="Z65" s="61">
        <f t="shared" si="6"/>
        <v>1</v>
      </c>
      <c r="AA65" s="61" t="s">
        <v>1566</v>
      </c>
      <c r="AB65" s="61" t="s">
        <v>1904</v>
      </c>
      <c r="AC65" s="84" t="s">
        <v>2364</v>
      </c>
      <c r="AD65" s="84" t="s">
        <v>1994</v>
      </c>
      <c r="AE65" s="61"/>
    </row>
    <row r="66" spans="1:31" ht="146" x14ac:dyDescent="0.45">
      <c r="A66" s="61" t="s">
        <v>2257</v>
      </c>
      <c r="B66" s="61" t="s">
        <v>1796</v>
      </c>
      <c r="C66" s="65"/>
      <c r="D66" s="61"/>
      <c r="E66" s="61" t="s">
        <v>1641</v>
      </c>
      <c r="F66" s="70" t="s">
        <v>53</v>
      </c>
      <c r="G66" s="70" t="s">
        <v>2121</v>
      </c>
      <c r="H66" s="67">
        <v>46176.687222222223</v>
      </c>
      <c r="I66" s="75">
        <f t="shared" ca="1" si="7"/>
        <v>3.9814701388895628</v>
      </c>
      <c r="J66" s="61"/>
      <c r="K66" s="61"/>
      <c r="L66" s="61"/>
      <c r="M66" s="61" t="s">
        <v>41</v>
      </c>
      <c r="N66" s="61" t="s">
        <v>2349</v>
      </c>
      <c r="O66" s="61"/>
      <c r="P66" s="61"/>
      <c r="Q66" s="61"/>
      <c r="R66" s="84" t="s">
        <v>2389</v>
      </c>
      <c r="S66" s="84" t="s">
        <v>40</v>
      </c>
      <c r="T66" s="61" t="s">
        <v>1899</v>
      </c>
      <c r="U66" s="61" t="s">
        <v>1899</v>
      </c>
      <c r="V66" s="61" t="str">
        <f>VLOOKUP(B66,[2]Overall!$A:$D,4,0)</f>
        <v>TELEINFRA NORD</v>
      </c>
      <c r="W66" s="61" t="str">
        <f>VLOOKUP(B66,[3]Sheet1!$A:$B,2,0)</f>
        <v>Bagarao</v>
      </c>
      <c r="X66" s="88" t="str">
        <f t="shared" si="4"/>
        <v>LIT</v>
      </c>
      <c r="Y66" s="80" t="str">
        <f t="shared" ca="1" si="5"/>
        <v>T&gt;72H</v>
      </c>
      <c r="Z66" s="61">
        <f t="shared" si="6"/>
        <v>1</v>
      </c>
      <c r="AA66" s="61" t="s">
        <v>1566</v>
      </c>
      <c r="AB66" s="61" t="s">
        <v>1904</v>
      </c>
      <c r="AC66" s="84" t="s">
        <v>2364</v>
      </c>
      <c r="AD66" s="84" t="s">
        <v>1994</v>
      </c>
      <c r="AE66" s="61"/>
    </row>
    <row r="67" spans="1:31" ht="102.5" x14ac:dyDescent="0.45">
      <c r="A67" s="61" t="s">
        <v>1877</v>
      </c>
      <c r="B67" s="61" t="s">
        <v>1878</v>
      </c>
      <c r="C67" s="65"/>
      <c r="D67" s="61"/>
      <c r="E67" s="61" t="s">
        <v>49</v>
      </c>
      <c r="F67" s="70" t="s">
        <v>53</v>
      </c>
      <c r="G67" s="70" t="s">
        <v>2121</v>
      </c>
      <c r="H67" s="67">
        <v>46176.68891203704</v>
      </c>
      <c r="I67" s="75">
        <f t="shared" ca="1" si="7"/>
        <v>3.9797803240726353</v>
      </c>
      <c r="J67" s="61"/>
      <c r="K67" s="61"/>
      <c r="L67" s="61"/>
      <c r="M67" s="61" t="s">
        <v>38</v>
      </c>
      <c r="N67" s="61" t="s">
        <v>1943</v>
      </c>
      <c r="O67" s="61"/>
      <c r="P67" s="61"/>
      <c r="Q67" s="61"/>
      <c r="R67" s="84" t="s">
        <v>2373</v>
      </c>
      <c r="S67" s="61" t="s">
        <v>85</v>
      </c>
      <c r="T67" s="61" t="s">
        <v>1898</v>
      </c>
      <c r="U67" s="61" t="s">
        <v>1898</v>
      </c>
      <c r="V67" s="61" t="str">
        <f>VLOOKUP(B67,[2]Overall!$A:$D,4,0)</f>
        <v>H-TELI</v>
      </c>
      <c r="W67" s="61" t="str">
        <f>VLOOKUP(B67,[3]Sheet1!$A:$B,2,0)</f>
        <v>Massock-Songloulou</v>
      </c>
      <c r="X67" s="88" t="str">
        <f t="shared" si="4"/>
        <v>NRD</v>
      </c>
      <c r="Y67" s="80" t="str">
        <f t="shared" ca="1" si="5"/>
        <v>T&gt;72H</v>
      </c>
      <c r="Z67" s="61">
        <f t="shared" si="6"/>
        <v>1</v>
      </c>
      <c r="AA67" s="61" t="s">
        <v>1566</v>
      </c>
      <c r="AB67" s="61" t="s">
        <v>1904</v>
      </c>
      <c r="AC67" s="84" t="s">
        <v>2364</v>
      </c>
      <c r="AD67" s="84" t="s">
        <v>1994</v>
      </c>
      <c r="AE67" s="61"/>
    </row>
    <row r="68" spans="1:31" ht="73.5" x14ac:dyDescent="0.45">
      <c r="A68" s="63" t="s">
        <v>2350</v>
      </c>
      <c r="B68" s="63" t="s">
        <v>2351</v>
      </c>
      <c r="C68" s="68"/>
      <c r="D68" s="63"/>
      <c r="E68" s="63" t="s">
        <v>2352</v>
      </c>
      <c r="F68" s="71" t="s">
        <v>53</v>
      </c>
      <c r="G68" s="71" t="s">
        <v>2121</v>
      </c>
      <c r="H68" s="69">
        <v>46176.820127314815</v>
      </c>
      <c r="I68" s="77">
        <f t="shared" ca="1" si="7"/>
        <v>3.8485650462971535</v>
      </c>
      <c r="J68" s="63"/>
      <c r="K68" s="63"/>
      <c r="L68" s="63"/>
      <c r="M68" s="63" t="s">
        <v>38</v>
      </c>
      <c r="N68" s="63" t="s">
        <v>2353</v>
      </c>
      <c r="O68" s="63"/>
      <c r="P68" s="63" t="s">
        <v>1906</v>
      </c>
      <c r="Q68" s="63"/>
      <c r="R68" s="85" t="s">
        <v>2365</v>
      </c>
      <c r="S68" s="85" t="s">
        <v>51</v>
      </c>
      <c r="T68" s="63" t="s">
        <v>1898</v>
      </c>
      <c r="U68" s="63" t="s">
        <v>1898</v>
      </c>
      <c r="V68" s="63" t="str">
        <f>VLOOKUP(B68,[2]Overall!$A:$D,4,0)</f>
        <v>TELEINFRA NORD</v>
      </c>
      <c r="W68" s="63" t="str">
        <f>VLOOKUP(B68,[3]Sheet1!$A:$B,2,0)</f>
        <v>Guidjiba</v>
      </c>
      <c r="X68" s="89" t="str">
        <f t="shared" si="4"/>
        <v>ADM</v>
      </c>
      <c r="Y68" s="81" t="str">
        <f t="shared" ca="1" si="5"/>
        <v>T&gt;72H</v>
      </c>
      <c r="Z68" s="63">
        <f t="shared" si="6"/>
        <v>2</v>
      </c>
      <c r="AA68" s="63" t="s">
        <v>77</v>
      </c>
      <c r="AB68" s="63" t="s">
        <v>1905</v>
      </c>
      <c r="AC68" s="85" t="s">
        <v>2364</v>
      </c>
      <c r="AD68" s="85" t="s">
        <v>1994</v>
      </c>
      <c r="AE68" s="63"/>
    </row>
    <row r="69" spans="1:31" ht="73.5" x14ac:dyDescent="0.45">
      <c r="A69" s="61" t="s">
        <v>2322</v>
      </c>
      <c r="B69" s="61" t="s">
        <v>2323</v>
      </c>
      <c r="C69" s="65"/>
      <c r="D69" s="61"/>
      <c r="E69" s="61" t="s">
        <v>1823</v>
      </c>
      <c r="F69" s="70" t="s">
        <v>53</v>
      </c>
      <c r="G69" s="70" t="s">
        <v>2121</v>
      </c>
      <c r="H69" s="67">
        <v>46176.828912037039</v>
      </c>
      <c r="I69" s="75">
        <f t="shared" ca="1" si="7"/>
        <v>3.8397803240732173</v>
      </c>
      <c r="J69" s="61"/>
      <c r="K69" s="61"/>
      <c r="L69" s="61"/>
      <c r="M69" s="61" t="s">
        <v>2216</v>
      </c>
      <c r="N69" s="61" t="s">
        <v>2324</v>
      </c>
      <c r="O69" s="61"/>
      <c r="P69" s="61"/>
      <c r="Q69" s="61"/>
      <c r="R69" s="61" t="s">
        <v>2294</v>
      </c>
      <c r="S69" s="61" t="s">
        <v>51</v>
      </c>
      <c r="T69" s="61" t="s">
        <v>1898</v>
      </c>
      <c r="U69" s="61" t="s">
        <v>1898</v>
      </c>
      <c r="V69" s="61" t="str">
        <f>VLOOKUP(B69,[2]Overall!$A:$D,4,0)</f>
        <v>TELEINFRA NORD</v>
      </c>
      <c r="W69" s="61" t="str">
        <f>VLOOKUP(B69,[3]Sheet1!$A:$B,2,0)</f>
        <v>Oura-Dara</v>
      </c>
      <c r="X69" s="88" t="str">
        <f t="shared" si="4"/>
        <v>NRO</v>
      </c>
      <c r="Y69" s="80" t="str">
        <f t="shared" ca="1" si="5"/>
        <v>T&gt;72H</v>
      </c>
      <c r="Z69" s="61">
        <f t="shared" si="6"/>
        <v>2</v>
      </c>
      <c r="AA69" s="61" t="s">
        <v>1566</v>
      </c>
      <c r="AB69" s="61" t="s">
        <v>1904</v>
      </c>
      <c r="AC69" s="84" t="s">
        <v>2364</v>
      </c>
      <c r="AD69" s="84" t="s">
        <v>1994</v>
      </c>
      <c r="AE69" s="61"/>
    </row>
    <row r="70" spans="1:31" ht="73.5" x14ac:dyDescent="0.45">
      <c r="A70" s="61" t="s">
        <v>1939</v>
      </c>
      <c r="B70" s="61" t="s">
        <v>1940</v>
      </c>
      <c r="C70" s="65"/>
      <c r="D70" s="61"/>
      <c r="E70" s="61" t="s">
        <v>37</v>
      </c>
      <c r="F70" s="70" t="s">
        <v>53</v>
      </c>
      <c r="G70" s="70" t="s">
        <v>2121</v>
      </c>
      <c r="H70" s="67">
        <v>46176.852071759262</v>
      </c>
      <c r="I70" s="75">
        <f t="shared" ca="1" si="7"/>
        <v>3.8166206018504454</v>
      </c>
      <c r="J70" s="61"/>
      <c r="K70" s="61"/>
      <c r="L70" s="61"/>
      <c r="M70" s="61" t="s">
        <v>38</v>
      </c>
      <c r="N70" s="61" t="s">
        <v>1942</v>
      </c>
      <c r="O70" s="61"/>
      <c r="P70" s="61"/>
      <c r="Q70" s="61"/>
      <c r="R70" s="61" t="s">
        <v>2334</v>
      </c>
      <c r="S70" s="61" t="s">
        <v>32</v>
      </c>
      <c r="T70" s="61" t="s">
        <v>1898</v>
      </c>
      <c r="U70" s="61" t="s">
        <v>1898</v>
      </c>
      <c r="V70" s="61" t="str">
        <f>VLOOKUP(B70,[2]Overall!$A:$D,4,0)</f>
        <v xml:space="preserve">I-ENG </v>
      </c>
      <c r="W70" s="61" t="str">
        <f>VLOOKUP(B70,[3]Sheet1!$A:$B,2,0)</f>
        <v>Widikum</v>
      </c>
      <c r="X70" s="88" t="str">
        <f t="shared" si="4"/>
        <v>NRO</v>
      </c>
      <c r="Y70" s="80" t="str">
        <f t="shared" ca="1" si="5"/>
        <v>T&gt;72H</v>
      </c>
      <c r="Z70" s="61">
        <f t="shared" si="6"/>
        <v>1</v>
      </c>
      <c r="AA70" s="61" t="s">
        <v>1566</v>
      </c>
      <c r="AB70" s="61" t="s">
        <v>1904</v>
      </c>
      <c r="AC70" s="84" t="s">
        <v>2364</v>
      </c>
      <c r="AD70" s="84" t="s">
        <v>1994</v>
      </c>
      <c r="AE70" s="61"/>
    </row>
    <row r="71" spans="1:31" ht="59" x14ac:dyDescent="0.45">
      <c r="A71" s="61" t="s">
        <v>2354</v>
      </c>
      <c r="B71" s="61" t="s">
        <v>2355</v>
      </c>
      <c r="C71" s="65"/>
      <c r="D71" s="61"/>
      <c r="E71" s="61" t="s">
        <v>2356</v>
      </c>
      <c r="F71" s="70" t="s">
        <v>53</v>
      </c>
      <c r="G71" s="70" t="s">
        <v>2121</v>
      </c>
      <c r="H71" s="67">
        <v>46176.868483796294</v>
      </c>
      <c r="I71" s="75">
        <f t="shared" ca="1" si="7"/>
        <v>3.8002085648186039</v>
      </c>
      <c r="J71" s="61"/>
      <c r="K71" s="61"/>
      <c r="L71" s="61"/>
      <c r="M71" s="61" t="s">
        <v>33</v>
      </c>
      <c r="N71" s="61" t="s">
        <v>2357</v>
      </c>
      <c r="O71" s="61"/>
      <c r="P71" s="61"/>
      <c r="Q71" s="61"/>
      <c r="R71" s="84" t="s">
        <v>2365</v>
      </c>
      <c r="S71" s="84" t="s">
        <v>51</v>
      </c>
      <c r="T71" s="61" t="s">
        <v>1898</v>
      </c>
      <c r="U71" s="61" t="s">
        <v>1898</v>
      </c>
      <c r="V71" s="61" t="str">
        <f>VLOOKUP(B71,[2]Overall!$A:$D,4,0)</f>
        <v xml:space="preserve">I-ENG </v>
      </c>
      <c r="W71" s="61" t="str">
        <f>VLOOKUP(B71,[3]Sheet1!$A:$B,2,0)</f>
        <v>Sop</v>
      </c>
      <c r="X71" s="88" t="str">
        <f t="shared" si="4"/>
        <v>NRO</v>
      </c>
      <c r="Y71" s="80" t="str">
        <f t="shared" ca="1" si="5"/>
        <v>T&gt;72H</v>
      </c>
      <c r="Z71" s="61">
        <f t="shared" si="6"/>
        <v>2</v>
      </c>
      <c r="AA71" s="61" t="s">
        <v>1566</v>
      </c>
      <c r="AB71" s="61" t="s">
        <v>1905</v>
      </c>
      <c r="AC71" s="84" t="s">
        <v>2364</v>
      </c>
      <c r="AD71" s="84" t="s">
        <v>1994</v>
      </c>
      <c r="AE71" s="61"/>
    </row>
    <row r="72" spans="1:31" ht="59" x14ac:dyDescent="0.45">
      <c r="A72" s="61" t="s">
        <v>1705</v>
      </c>
      <c r="B72" s="61" t="s">
        <v>1706</v>
      </c>
      <c r="C72" s="65"/>
      <c r="D72" s="61"/>
      <c r="E72" s="61" t="s">
        <v>48</v>
      </c>
      <c r="F72" s="70" t="s">
        <v>53</v>
      </c>
      <c r="G72" s="70" t="s">
        <v>2121</v>
      </c>
      <c r="H72" s="67">
        <v>46176.877638888887</v>
      </c>
      <c r="I72" s="75">
        <f t="shared" ca="1" si="7"/>
        <v>3.7910534722250304</v>
      </c>
      <c r="J72" s="61"/>
      <c r="K72" s="61"/>
      <c r="L72" s="61"/>
      <c r="M72" s="61" t="s">
        <v>1707</v>
      </c>
      <c r="N72" s="61" t="s">
        <v>1708</v>
      </c>
      <c r="O72" s="61"/>
      <c r="P72" s="61"/>
      <c r="Q72" s="61"/>
      <c r="R72" s="82" t="s">
        <v>2242</v>
      </c>
      <c r="S72" s="82" t="s">
        <v>71</v>
      </c>
      <c r="T72" s="82" t="s">
        <v>1902</v>
      </c>
      <c r="U72" s="82" t="s">
        <v>1896</v>
      </c>
      <c r="V72" s="61" t="str">
        <f>VLOOKUP(B72,[2]Overall!$A:$D,4,0)</f>
        <v xml:space="preserve">I-ENG </v>
      </c>
      <c r="W72" s="61" t="str">
        <f>VLOOKUP(B72,[3]Sheet1!$A:$B,2,0)</f>
        <v>Laising</v>
      </c>
      <c r="X72" s="88" t="e">
        <f>LEFT(#REF!,3)</f>
        <v>#REF!</v>
      </c>
      <c r="Y72" s="80" t="str">
        <f t="shared" ca="1" si="5"/>
        <v>T&gt;72H</v>
      </c>
      <c r="Z72" s="61">
        <f t="shared" si="6"/>
        <v>1</v>
      </c>
      <c r="AA72" s="61" t="s">
        <v>1566</v>
      </c>
      <c r="AB72" s="61" t="s">
        <v>1905</v>
      </c>
      <c r="AC72" s="84" t="s">
        <v>2364</v>
      </c>
      <c r="AD72" s="84" t="s">
        <v>1994</v>
      </c>
      <c r="AE72" s="61"/>
    </row>
    <row r="73" spans="1:31" ht="102.5" x14ac:dyDescent="0.45">
      <c r="A73" s="61" t="s">
        <v>2276</v>
      </c>
      <c r="B73" s="61" t="s">
        <v>2277</v>
      </c>
      <c r="C73" s="65"/>
      <c r="D73" s="61"/>
      <c r="E73" s="61" t="s">
        <v>2278</v>
      </c>
      <c r="F73" s="70" t="s">
        <v>53</v>
      </c>
      <c r="G73" s="70" t="s">
        <v>2121</v>
      </c>
      <c r="H73" s="67">
        <v>46177.004976851851</v>
      </c>
      <c r="I73" s="75">
        <f t="shared" ca="1" si="7"/>
        <v>3.6637155092612375</v>
      </c>
      <c r="J73" s="61"/>
      <c r="K73" s="61"/>
      <c r="L73" s="61"/>
      <c r="M73" s="61" t="s">
        <v>38</v>
      </c>
      <c r="N73" s="61" t="s">
        <v>2279</v>
      </c>
      <c r="O73" s="61"/>
      <c r="P73" s="61"/>
      <c r="Q73" s="61"/>
      <c r="R73" s="84" t="s">
        <v>2382</v>
      </c>
      <c r="S73" s="61" t="s">
        <v>32</v>
      </c>
      <c r="T73" s="61" t="s">
        <v>1898</v>
      </c>
      <c r="U73" s="61" t="s">
        <v>1898</v>
      </c>
      <c r="V73" s="61" t="str">
        <f>VLOOKUP(B73,[2]Overall!$A:$D,4,0)</f>
        <v xml:space="preserve">I-ENG </v>
      </c>
      <c r="W73" s="61" t="str">
        <f>VLOOKUP(B73,[3]Sheet1!$A:$B,2,0)</f>
        <v>Babanki</v>
      </c>
      <c r="X73" s="88" t="str">
        <f t="shared" si="4"/>
        <v>NRO</v>
      </c>
      <c r="Y73" s="80" t="str">
        <f t="shared" ca="1" si="5"/>
        <v>T&gt;72H</v>
      </c>
      <c r="Z73" s="61">
        <f t="shared" si="6"/>
        <v>2</v>
      </c>
      <c r="AA73" s="61" t="s">
        <v>1566</v>
      </c>
      <c r="AB73" s="61" t="s">
        <v>1904</v>
      </c>
      <c r="AC73" s="84" t="s">
        <v>2364</v>
      </c>
      <c r="AD73" s="84" t="s">
        <v>1994</v>
      </c>
      <c r="AE73" s="61"/>
    </row>
    <row r="74" spans="1:31" ht="175" x14ac:dyDescent="0.45">
      <c r="A74" s="61" t="s">
        <v>1581</v>
      </c>
      <c r="B74" s="61" t="s">
        <v>1582</v>
      </c>
      <c r="C74" s="65"/>
      <c r="D74" s="61"/>
      <c r="E74" s="61" t="s">
        <v>1937</v>
      </c>
      <c r="F74" s="70" t="s">
        <v>53</v>
      </c>
      <c r="G74" s="70" t="s">
        <v>2121</v>
      </c>
      <c r="H74" s="67">
        <v>46177.249444444446</v>
      </c>
      <c r="I74" s="75">
        <f t="shared" ca="1" si="7"/>
        <v>3.4192479166667908</v>
      </c>
      <c r="J74" s="61"/>
      <c r="K74" s="61"/>
      <c r="L74" s="61"/>
      <c r="M74" s="61" t="s">
        <v>41</v>
      </c>
      <c r="N74" s="61" t="s">
        <v>1938</v>
      </c>
      <c r="O74" s="61"/>
      <c r="P74" s="61"/>
      <c r="Q74" s="61"/>
      <c r="R74" s="84" t="s">
        <v>2371</v>
      </c>
      <c r="S74" s="61" t="s">
        <v>32</v>
      </c>
      <c r="T74" s="61" t="s">
        <v>1840</v>
      </c>
      <c r="U74" s="61" t="s">
        <v>1840</v>
      </c>
      <c r="V74" s="61" t="str">
        <f>VLOOKUP(B74,[2]Overall!$A:$D,4,0)</f>
        <v xml:space="preserve">I-ENG </v>
      </c>
      <c r="W74" s="61" t="str">
        <f>VLOOKUP(B74,[3]Sheet1!$A:$B,2,0)</f>
        <v>Batibo</v>
      </c>
      <c r="X74" s="88" t="str">
        <f t="shared" ref="X74:X79" si="8">LEFT(B75,3)</f>
        <v>LIT</v>
      </c>
      <c r="Y74" s="80" t="str">
        <f t="shared" ref="Y74:Y79" ca="1" si="9">IF(I74 &lt; 1/24, "T&lt;1H", IF(AND(I74&lt;2/24, I74&gt;1/24), "1H&lt;T&lt;2H", IF(AND(I74&lt;4/24, I74&gt;2/24), "2H&lt;T&lt;4H", IF(AND(I74&lt;8/24, I74&gt;4/24), "4H&lt;T&lt;8H", IF(AND(I74&lt;16/24, I74&gt;8/24), "8H&lt;T&lt;16H",IF(AND(I74&lt;24/24, I74&gt;16/24),"16H&lt;T&lt;24H", IF(AND(I74&lt;48/24, I74&gt;24/24),"24H&lt;T&lt;48H",IF(AND(I74&lt;72/24, I74&gt;24/24),"48H&lt;T&lt;72H", "T&gt;72H"))))))))</f>
        <v>T&gt;72H</v>
      </c>
      <c r="Z74" s="61">
        <f t="shared" ref="Z74:Z79" si="10">IF(OR(E74="", E74="affected_cells=unknown"), "", LEN(E74)-LEN(SUBSTITUTE(E74, ",", "")) + LEN(E74)-LEN(SUBSTITUTE(E74, ";", "")) + 1)</f>
        <v>1</v>
      </c>
      <c r="AA74" s="61" t="s">
        <v>1566</v>
      </c>
      <c r="AB74" s="61" t="s">
        <v>1904</v>
      </c>
      <c r="AC74" s="84" t="s">
        <v>2364</v>
      </c>
      <c r="AD74" s="84" t="s">
        <v>1994</v>
      </c>
      <c r="AE74" s="61"/>
    </row>
    <row r="75" spans="1:31" ht="73.5" x14ac:dyDescent="0.45">
      <c r="A75" s="61" t="s">
        <v>2320</v>
      </c>
      <c r="B75" s="61" t="s">
        <v>2317</v>
      </c>
      <c r="C75" s="65"/>
      <c r="D75" s="61"/>
      <c r="E75" s="61" t="s">
        <v>1787</v>
      </c>
      <c r="F75" s="70" t="s">
        <v>53</v>
      </c>
      <c r="G75" s="70" t="s">
        <v>2121</v>
      </c>
      <c r="H75" s="67">
        <v>46177.253946759258</v>
      </c>
      <c r="I75" s="75">
        <f t="shared" ca="1" si="7"/>
        <v>3.4147456018545199</v>
      </c>
      <c r="J75" s="61"/>
      <c r="K75" s="61"/>
      <c r="L75" s="61"/>
      <c r="M75" s="61" t="s">
        <v>38</v>
      </c>
      <c r="N75" s="61" t="s">
        <v>2321</v>
      </c>
      <c r="O75" s="61"/>
      <c r="P75" s="61"/>
      <c r="Q75" s="61"/>
      <c r="R75" s="61" t="s">
        <v>2294</v>
      </c>
      <c r="S75" s="61" t="s">
        <v>51</v>
      </c>
      <c r="T75" s="61" t="s">
        <v>1898</v>
      </c>
      <c r="U75" s="61" t="s">
        <v>1898</v>
      </c>
      <c r="V75" s="61" t="str">
        <f>VLOOKUP(B75,[2]Overall!$A:$D,4,0)</f>
        <v>H-TELI</v>
      </c>
      <c r="W75" s="61" t="str">
        <f>VLOOKUP(B75,[3]Sheet1!$A:$B,2,0)</f>
        <v>Logbong</v>
      </c>
      <c r="X75" s="88" t="str">
        <f t="shared" si="8"/>
        <v>LIT</v>
      </c>
      <c r="Y75" s="80" t="str">
        <f t="shared" ca="1" si="9"/>
        <v>T&gt;72H</v>
      </c>
      <c r="Z75" s="61">
        <f t="shared" si="10"/>
        <v>2</v>
      </c>
      <c r="AA75" s="61" t="s">
        <v>1566</v>
      </c>
      <c r="AB75" s="61" t="s">
        <v>1904</v>
      </c>
      <c r="AC75" s="84" t="s">
        <v>2364</v>
      </c>
      <c r="AD75" s="84" t="s">
        <v>1994</v>
      </c>
      <c r="AE75" s="61"/>
    </row>
    <row r="76" spans="1:31" ht="73.5" x14ac:dyDescent="0.45">
      <c r="A76" s="63" t="s">
        <v>2360</v>
      </c>
      <c r="B76" s="63" t="s">
        <v>2361</v>
      </c>
      <c r="C76" s="68"/>
      <c r="D76" s="63"/>
      <c r="E76" s="63" t="s">
        <v>2362</v>
      </c>
      <c r="F76" s="71" t="s">
        <v>53</v>
      </c>
      <c r="G76" s="71" t="s">
        <v>2121</v>
      </c>
      <c r="H76" s="69">
        <v>46177.255555555559</v>
      </c>
      <c r="I76" s="77">
        <f t="shared" ca="1" si="7"/>
        <v>3.4131368055532221</v>
      </c>
      <c r="J76" s="63"/>
      <c r="K76" s="63"/>
      <c r="L76" s="63"/>
      <c r="M76" s="63" t="s">
        <v>46</v>
      </c>
      <c r="N76" s="63" t="s">
        <v>2363</v>
      </c>
      <c r="O76" s="63"/>
      <c r="P76" s="63" t="s">
        <v>1906</v>
      </c>
      <c r="Q76" s="63"/>
      <c r="R76" s="85" t="s">
        <v>2365</v>
      </c>
      <c r="S76" s="85" t="s">
        <v>51</v>
      </c>
      <c r="T76" s="63" t="s">
        <v>1898</v>
      </c>
      <c r="U76" s="63" t="s">
        <v>1898</v>
      </c>
      <c r="V76" s="63" t="str">
        <f>VLOOKUP(B76,[2]Overall!$A:$D,4,0)</f>
        <v>H-TELI</v>
      </c>
      <c r="W76" s="63" t="str">
        <f>VLOOKUP(B76,[3]Sheet1!$A:$B,2,0)</f>
        <v>Muyengue</v>
      </c>
      <c r="X76" s="89" t="str">
        <f t="shared" si="8"/>
        <v>NRO</v>
      </c>
      <c r="Y76" s="81" t="str">
        <f t="shared" ca="1" si="9"/>
        <v>T&gt;72H</v>
      </c>
      <c r="Z76" s="63">
        <f t="shared" si="10"/>
        <v>1</v>
      </c>
      <c r="AA76" s="63" t="s">
        <v>77</v>
      </c>
      <c r="AB76" s="63" t="s">
        <v>1905</v>
      </c>
      <c r="AC76" s="85" t="s">
        <v>2364</v>
      </c>
      <c r="AD76" s="85" t="s">
        <v>1994</v>
      </c>
      <c r="AE76" s="63"/>
    </row>
    <row r="77" spans="1:31" ht="204" x14ac:dyDescent="0.45">
      <c r="A77" s="61" t="s">
        <v>1776</v>
      </c>
      <c r="B77" s="61" t="s">
        <v>1777</v>
      </c>
      <c r="C77" s="65"/>
      <c r="D77" s="61"/>
      <c r="E77" s="61" t="s">
        <v>35</v>
      </c>
      <c r="F77" s="70" t="s">
        <v>53</v>
      </c>
      <c r="G77" s="70" t="s">
        <v>2121</v>
      </c>
      <c r="H77" s="67">
        <v>46177.256041666667</v>
      </c>
      <c r="I77" s="75">
        <f t="shared" ca="1" si="7"/>
        <v>3.412650694444892</v>
      </c>
      <c r="J77" s="61"/>
      <c r="K77" s="61"/>
      <c r="L77" s="61"/>
      <c r="M77" s="61" t="s">
        <v>31</v>
      </c>
      <c r="N77" s="61" t="s">
        <v>1778</v>
      </c>
      <c r="O77" s="61"/>
      <c r="P77" s="61"/>
      <c r="Q77" s="61"/>
      <c r="R77" s="61" t="s">
        <v>2337</v>
      </c>
      <c r="S77" s="61" t="s">
        <v>32</v>
      </c>
      <c r="T77" s="61" t="s">
        <v>1898</v>
      </c>
      <c r="U77" s="61" t="s">
        <v>1898</v>
      </c>
      <c r="V77" s="61" t="str">
        <f>VLOOKUP(B77,[2]Overall!$A:$D,4,0)</f>
        <v xml:space="preserve">I-ENG </v>
      </c>
      <c r="W77" s="61" t="str">
        <f>VLOOKUP(B77,[3]Sheet1!$A:$B,2,0)</f>
        <v>Bafmeng</v>
      </c>
      <c r="X77" s="88" t="str">
        <f t="shared" si="8"/>
        <v>CTR</v>
      </c>
      <c r="Y77" s="80" t="str">
        <f t="shared" ca="1" si="9"/>
        <v>T&gt;72H</v>
      </c>
      <c r="Z77" s="61">
        <f t="shared" si="10"/>
        <v>3</v>
      </c>
      <c r="AA77" s="61" t="s">
        <v>1566</v>
      </c>
      <c r="AB77" s="61" t="s">
        <v>1904</v>
      </c>
      <c r="AC77" s="84" t="s">
        <v>2364</v>
      </c>
      <c r="AD77" s="84" t="s">
        <v>1994</v>
      </c>
      <c r="AE77" s="61"/>
    </row>
    <row r="78" spans="1:31" ht="73.5" x14ac:dyDescent="0.45">
      <c r="A78" s="61" t="s">
        <v>2225</v>
      </c>
      <c r="B78" s="61" t="s">
        <v>2226</v>
      </c>
      <c r="C78" s="65"/>
      <c r="D78" s="61"/>
      <c r="E78" s="61" t="s">
        <v>39</v>
      </c>
      <c r="F78" s="70" t="s">
        <v>53</v>
      </c>
      <c r="G78" s="70" t="s">
        <v>2121</v>
      </c>
      <c r="H78" s="67">
        <v>46177.305810185186</v>
      </c>
      <c r="I78" s="75">
        <f t="shared" ca="1" si="7"/>
        <v>3.362882175926643</v>
      </c>
      <c r="J78" s="61"/>
      <c r="K78" s="61"/>
      <c r="L78" s="61"/>
      <c r="M78" s="61" t="s">
        <v>1712</v>
      </c>
      <c r="N78" s="61" t="s">
        <v>2227</v>
      </c>
      <c r="O78" s="61"/>
      <c r="P78" s="61"/>
      <c r="Q78" s="61"/>
      <c r="R78" s="84" t="s">
        <v>2365</v>
      </c>
      <c r="S78" s="84" t="s">
        <v>51</v>
      </c>
      <c r="T78" s="61" t="s">
        <v>1898</v>
      </c>
      <c r="U78" s="61" t="s">
        <v>1898</v>
      </c>
      <c r="V78" s="61" t="str">
        <f>VLOOKUP(B78,[2]Overall!$A:$D,4,0)</f>
        <v xml:space="preserve">I-ENG </v>
      </c>
      <c r="W78" s="61" t="str">
        <f>VLOOKUP(B78,[3]Sheet1!$A:$B,2,0)</f>
        <v>Matsari</v>
      </c>
      <c r="X78" s="88" t="str">
        <f t="shared" si="8"/>
        <v>CTR</v>
      </c>
      <c r="Y78" s="80" t="str">
        <f t="shared" ca="1" si="9"/>
        <v>T&gt;72H</v>
      </c>
      <c r="Z78" s="61">
        <f t="shared" si="10"/>
        <v>1</v>
      </c>
      <c r="AA78" s="61" t="s">
        <v>1566</v>
      </c>
      <c r="AB78" s="61" t="s">
        <v>1905</v>
      </c>
      <c r="AC78" s="84" t="s">
        <v>2364</v>
      </c>
      <c r="AD78" s="84" t="s">
        <v>1994</v>
      </c>
      <c r="AE78" s="61"/>
    </row>
    <row r="79" spans="1:31" ht="88" x14ac:dyDescent="0.45">
      <c r="A79" s="61" t="s">
        <v>2218</v>
      </c>
      <c r="B79" s="61" t="s">
        <v>2219</v>
      </c>
      <c r="C79" s="65"/>
      <c r="D79" s="61"/>
      <c r="E79" s="61" t="s">
        <v>2223</v>
      </c>
      <c r="F79" s="70" t="s">
        <v>53</v>
      </c>
      <c r="G79" s="70" t="s">
        <v>2121</v>
      </c>
      <c r="H79" s="67">
        <v>46177.319131944445</v>
      </c>
      <c r="I79" s="75">
        <f t="shared" ca="1" si="7"/>
        <v>3.3495604166673729</v>
      </c>
      <c r="J79" s="61"/>
      <c r="K79" s="61"/>
      <c r="L79" s="61"/>
      <c r="M79" s="61" t="s">
        <v>1730</v>
      </c>
      <c r="N79" s="61" t="s">
        <v>2224</v>
      </c>
      <c r="O79" s="61"/>
      <c r="P79" s="61"/>
      <c r="Q79" s="61"/>
      <c r="R79" s="84" t="s">
        <v>2381</v>
      </c>
      <c r="S79" s="61" t="s">
        <v>45</v>
      </c>
      <c r="T79" s="61" t="s">
        <v>1898</v>
      </c>
      <c r="U79" s="61" t="s">
        <v>1898</v>
      </c>
      <c r="V79" s="61" t="str">
        <f>VLOOKUP(B79,[2]Overall!$A:$D,4,0)</f>
        <v>TELEINFRA CENTRE</v>
      </c>
      <c r="W79" s="61" t="str">
        <f>VLOOKUP(B79,[3]Sheet1!$A:$B,2,0)</f>
        <v>Evodoula</v>
      </c>
      <c r="X79" s="88" t="str">
        <f t="shared" si="8"/>
        <v/>
      </c>
      <c r="Y79" s="80" t="str">
        <f t="shared" ca="1" si="9"/>
        <v>T&gt;72H</v>
      </c>
      <c r="Z79" s="61">
        <f t="shared" si="10"/>
        <v>2</v>
      </c>
      <c r="AA79" s="61" t="s">
        <v>1566</v>
      </c>
      <c r="AB79" s="61" t="s">
        <v>1904</v>
      </c>
      <c r="AC79" s="84" t="s">
        <v>2364</v>
      </c>
      <c r="AD79" s="84" t="s">
        <v>1994</v>
      </c>
      <c r="AE79" s="61"/>
    </row>
  </sheetData>
  <autoFilter ref="A1:AE79" xr:uid="{6FDE95D2-15B4-4F4E-9831-3AF001C06DFE}"/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914-9860-41EB-9CB1-D1864E1CB95C}">
  <sheetPr codeName="Sheet39">
    <tabColor rgb="FF00B0F0"/>
  </sheetPr>
  <dimension ref="A1:AE78"/>
  <sheetViews>
    <sheetView zoomScale="62" zoomScaleNormal="70" workbookViewId="0">
      <pane xSplit="6" topLeftCell="X1" activePane="topRight" state="frozen"/>
      <selection activeCell="AB4" sqref="AB4"/>
      <selection pane="topRight" activeCell="D3" sqref="D3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x14ac:dyDescent="0.35">
      <c r="A2" s="101" t="s">
        <v>1710</v>
      </c>
      <c r="B2" s="101" t="s">
        <v>1711</v>
      </c>
      <c r="C2" s="102"/>
      <c r="D2" s="101"/>
      <c r="E2" s="101" t="s">
        <v>49</v>
      </c>
      <c r="F2" s="70" t="s">
        <v>53</v>
      </c>
      <c r="G2" s="70" t="s">
        <v>2121</v>
      </c>
      <c r="H2" s="103">
        <v>46163.500115740739</v>
      </c>
      <c r="I2" s="104">
        <f ca="1">NOW()-H2</f>
        <v>17.168576620373642</v>
      </c>
      <c r="J2" s="101"/>
      <c r="K2" s="101"/>
      <c r="L2" s="101"/>
      <c r="M2" s="101" t="s">
        <v>38</v>
      </c>
      <c r="N2" s="101" t="s">
        <v>1714</v>
      </c>
      <c r="O2" s="101"/>
      <c r="P2" s="101"/>
      <c r="Q2" s="101"/>
      <c r="R2" s="101" t="s">
        <v>2383</v>
      </c>
      <c r="S2" s="101" t="s">
        <v>75</v>
      </c>
      <c r="T2" s="101" t="s">
        <v>1688</v>
      </c>
      <c r="U2" s="101" t="e">
        <v>#N/A</v>
      </c>
      <c r="V2" s="101" t="str">
        <f>VLOOKUP(B2,[2]Overall!$A:$D,4,0)</f>
        <v>TELEINFRA NORD</v>
      </c>
      <c r="W2" s="101" t="str">
        <f>VLOOKUP(B2,[3]Sheet1!$A:$B,2,0)</f>
        <v>Martap</v>
      </c>
      <c r="X2" s="88" t="str">
        <f t="shared" ref="X2:X33" si="0">LEFT(B2,3)</f>
        <v>ADM</v>
      </c>
      <c r="Y2" s="88" t="str">
        <f t="shared" ref="Y2:Y33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33" si="2">IF(OR(E2="", E2="affected_cells=unknown"), "", LEN(E2)-LEN(SUBSTITUTE(E2, ",", "")) + LEN(E2)-LEN(SUBSTITUTE(E2, ";", "")) + 1)</f>
        <v>1</v>
      </c>
      <c r="AA2" s="101" t="s">
        <v>1566</v>
      </c>
      <c r="AB2" s="101" t="s">
        <v>1554</v>
      </c>
      <c r="AC2" s="105" t="s">
        <v>2390</v>
      </c>
      <c r="AD2" s="106" t="s">
        <v>1994</v>
      </c>
      <c r="AE2" s="101"/>
    </row>
    <row r="3" spans="1:31" ht="319" x14ac:dyDescent="0.35">
      <c r="A3" s="101" t="s">
        <v>1913</v>
      </c>
      <c r="B3" s="101" t="s">
        <v>1914</v>
      </c>
      <c r="C3" s="102"/>
      <c r="D3" s="101"/>
      <c r="E3" s="101" t="s">
        <v>43</v>
      </c>
      <c r="F3" s="70" t="s">
        <v>53</v>
      </c>
      <c r="G3" s="70" t="s">
        <v>2121</v>
      </c>
      <c r="H3" s="103">
        <v>46168.171053240738</v>
      </c>
      <c r="I3" s="104">
        <f t="shared" ref="I3:I66" ca="1" si="3">NOW()-H3</f>
        <v>12.497639120374515</v>
      </c>
      <c r="J3" s="101"/>
      <c r="K3" s="101"/>
      <c r="L3" s="101"/>
      <c r="M3" s="101" t="s">
        <v>31</v>
      </c>
      <c r="N3" s="101" t="s">
        <v>1915</v>
      </c>
      <c r="O3" s="101"/>
      <c r="P3" s="101"/>
      <c r="Q3" s="101"/>
      <c r="R3" s="101" t="s">
        <v>2456</v>
      </c>
      <c r="S3" s="101" t="s">
        <v>40</v>
      </c>
      <c r="T3" s="101" t="s">
        <v>2129</v>
      </c>
      <c r="U3" s="10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ca="1" si="1"/>
        <v>T&gt;72H</v>
      </c>
      <c r="Z3" s="101">
        <f t="shared" si="2"/>
        <v>4</v>
      </c>
      <c r="AA3" s="101" t="s">
        <v>1566</v>
      </c>
      <c r="AB3" s="101" t="s">
        <v>1554</v>
      </c>
      <c r="AC3" s="105" t="s">
        <v>2390</v>
      </c>
      <c r="AD3" s="106" t="s">
        <v>1994</v>
      </c>
      <c r="AE3" s="101"/>
    </row>
    <row r="4" spans="1:31" ht="319" x14ac:dyDescent="0.35">
      <c r="A4" s="101" t="s">
        <v>1913</v>
      </c>
      <c r="B4" s="101" t="s">
        <v>1914</v>
      </c>
      <c r="C4" s="102"/>
      <c r="D4" s="101"/>
      <c r="E4" s="101" t="s">
        <v>35</v>
      </c>
      <c r="F4" s="70" t="s">
        <v>53</v>
      </c>
      <c r="G4" s="70" t="s">
        <v>2121</v>
      </c>
      <c r="H4" s="103">
        <v>46168.171064814815</v>
      </c>
      <c r="I4" s="104">
        <f t="shared" ca="1" si="3"/>
        <v>12.497627546297736</v>
      </c>
      <c r="J4" s="101"/>
      <c r="K4" s="101"/>
      <c r="L4" s="101"/>
      <c r="M4" s="101" t="s">
        <v>31</v>
      </c>
      <c r="N4" s="101" t="s">
        <v>1916</v>
      </c>
      <c r="O4" s="101"/>
      <c r="P4" s="101"/>
      <c r="Q4" s="101"/>
      <c r="R4" s="101" t="s">
        <v>2456</v>
      </c>
      <c r="S4" s="101" t="s">
        <v>40</v>
      </c>
      <c r="T4" s="101" t="s">
        <v>2129</v>
      </c>
      <c r="U4" s="10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0"/>
        <v>EXN</v>
      </c>
      <c r="Y4" s="88" t="str">
        <f t="shared" ca="1" si="1"/>
        <v>T&gt;72H</v>
      </c>
      <c r="Z4" s="101">
        <f t="shared" si="2"/>
        <v>3</v>
      </c>
      <c r="AA4" s="101" t="s">
        <v>1566</v>
      </c>
      <c r="AB4" s="101" t="s">
        <v>1554</v>
      </c>
      <c r="AC4" s="105" t="s">
        <v>2390</v>
      </c>
      <c r="AD4" s="106" t="s">
        <v>1994</v>
      </c>
      <c r="AE4" s="101"/>
    </row>
    <row r="5" spans="1:31" ht="130.5" x14ac:dyDescent="0.35">
      <c r="A5" s="101" t="s">
        <v>1828</v>
      </c>
      <c r="B5" s="101" t="s">
        <v>1829</v>
      </c>
      <c r="C5" s="102"/>
      <c r="D5" s="101"/>
      <c r="E5" s="101" t="s">
        <v>39</v>
      </c>
      <c r="F5" s="70" t="s">
        <v>53</v>
      </c>
      <c r="G5" s="70" t="s">
        <v>2121</v>
      </c>
      <c r="H5" s="103">
        <v>46168.536261574074</v>
      </c>
      <c r="I5" s="104">
        <f t="shared" ca="1" si="3"/>
        <v>12.132430787038174</v>
      </c>
      <c r="J5" s="101"/>
      <c r="K5" s="101"/>
      <c r="L5" s="101"/>
      <c r="M5" s="101" t="s">
        <v>1712</v>
      </c>
      <c r="N5" s="101" t="s">
        <v>1830</v>
      </c>
      <c r="O5" s="101"/>
      <c r="P5" s="101"/>
      <c r="Q5" s="101"/>
      <c r="R5" s="101" t="s">
        <v>2244</v>
      </c>
      <c r="S5" s="101" t="s">
        <v>40</v>
      </c>
      <c r="T5" s="101" t="s">
        <v>1898</v>
      </c>
      <c r="U5" s="10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0"/>
        <v>EXN</v>
      </c>
      <c r="Y5" s="88" t="str">
        <f t="shared" ca="1" si="1"/>
        <v>T&gt;72H</v>
      </c>
      <c r="Z5" s="101">
        <f t="shared" si="2"/>
        <v>1</v>
      </c>
      <c r="AA5" s="101" t="s">
        <v>1566</v>
      </c>
      <c r="AB5" s="101" t="s">
        <v>1554</v>
      </c>
      <c r="AC5" s="105" t="s">
        <v>2390</v>
      </c>
      <c r="AD5" s="106" t="s">
        <v>1994</v>
      </c>
      <c r="AE5" s="101"/>
    </row>
    <row r="6" spans="1:31" ht="159.5" x14ac:dyDescent="0.35">
      <c r="A6" s="101" t="s">
        <v>1834</v>
      </c>
      <c r="B6" s="101" t="s">
        <v>1835</v>
      </c>
      <c r="C6" s="102"/>
      <c r="D6" s="101"/>
      <c r="E6" s="101" t="s">
        <v>39</v>
      </c>
      <c r="F6" s="70" t="s">
        <v>53</v>
      </c>
      <c r="G6" s="70" t="s">
        <v>2121</v>
      </c>
      <c r="H6" s="103">
        <v>46168.908518518518</v>
      </c>
      <c r="I6" s="104">
        <f t="shared" ca="1" si="3"/>
        <v>11.760173842594668</v>
      </c>
      <c r="J6" s="101"/>
      <c r="K6" s="101"/>
      <c r="L6" s="101"/>
      <c r="M6" s="101" t="s">
        <v>1836</v>
      </c>
      <c r="N6" s="101" t="s">
        <v>1837</v>
      </c>
      <c r="O6" s="101"/>
      <c r="P6" s="101"/>
      <c r="Q6" s="101"/>
      <c r="R6" s="101" t="s">
        <v>2412</v>
      </c>
      <c r="S6" s="101" t="s">
        <v>85</v>
      </c>
      <c r="T6" s="101" t="s">
        <v>1899</v>
      </c>
      <c r="U6" s="101" t="s">
        <v>1899</v>
      </c>
      <c r="V6" s="101" t="str">
        <f>VLOOKUP(B6,[2]Overall!$A:$D,4,0)</f>
        <v>H-TELI</v>
      </c>
      <c r="W6" s="101" t="str">
        <f>VLOOKUP(B6,[3]Sheet1!$A:$B,2,0)</f>
        <v>Ebonji</v>
      </c>
      <c r="X6" s="88" t="str">
        <f t="shared" si="0"/>
        <v>SUO</v>
      </c>
      <c r="Y6" s="88" t="str">
        <f t="shared" ca="1" si="1"/>
        <v>T&gt;72H</v>
      </c>
      <c r="Z6" s="101">
        <f t="shared" si="2"/>
        <v>1</v>
      </c>
      <c r="AA6" s="101" t="s">
        <v>1566</v>
      </c>
      <c r="AB6" s="101" t="s">
        <v>1554</v>
      </c>
      <c r="AC6" s="105" t="s">
        <v>2390</v>
      </c>
      <c r="AD6" s="106" t="s">
        <v>1994</v>
      </c>
      <c r="AE6" s="101"/>
    </row>
    <row r="7" spans="1:31" ht="101.5" x14ac:dyDescent="0.35">
      <c r="A7" s="101" t="s">
        <v>1930</v>
      </c>
      <c r="B7" s="101" t="s">
        <v>1931</v>
      </c>
      <c r="C7" s="102"/>
      <c r="D7" s="101"/>
      <c r="E7" s="101" t="s">
        <v>34</v>
      </c>
      <c r="F7" s="70" t="s">
        <v>53</v>
      </c>
      <c r="G7" s="70" t="s">
        <v>2121</v>
      </c>
      <c r="H7" s="103">
        <v>46172.534074074072</v>
      </c>
      <c r="I7" s="104">
        <f t="shared" ca="1" si="3"/>
        <v>8.1346182870402117</v>
      </c>
      <c r="J7" s="101"/>
      <c r="K7" s="101"/>
      <c r="L7" s="101"/>
      <c r="M7" s="101" t="s">
        <v>1929</v>
      </c>
      <c r="N7" s="101" t="s">
        <v>1932</v>
      </c>
      <c r="O7" s="101"/>
      <c r="P7" s="101"/>
      <c r="Q7" s="101"/>
      <c r="R7" s="101" t="s">
        <v>2079</v>
      </c>
      <c r="S7" s="101" t="s">
        <v>40</v>
      </c>
      <c r="T7" s="101" t="s">
        <v>1898</v>
      </c>
      <c r="U7" s="101" t="s">
        <v>1898</v>
      </c>
      <c r="V7" s="101" t="str">
        <f>VLOOKUP(B7,[2]Overall!$A:$D,4,0)</f>
        <v>TELEINFRA NORD</v>
      </c>
      <c r="W7" s="101" t="str">
        <f>VLOOKUP(B7,[3]Sheet1!$A:$B,2,0)</f>
        <v>Mazera</v>
      </c>
      <c r="X7" s="88" t="str">
        <f t="shared" si="0"/>
        <v>EXN</v>
      </c>
      <c r="Y7" s="88" t="str">
        <f t="shared" ca="1" si="1"/>
        <v>T&gt;72H</v>
      </c>
      <c r="Z7" s="101">
        <f t="shared" si="2"/>
        <v>1</v>
      </c>
      <c r="AA7" s="101" t="s">
        <v>1566</v>
      </c>
      <c r="AB7" s="101" t="s">
        <v>1554</v>
      </c>
      <c r="AC7" s="105" t="s">
        <v>2390</v>
      </c>
      <c r="AD7" s="106" t="s">
        <v>1994</v>
      </c>
      <c r="AE7" s="101"/>
    </row>
    <row r="8" spans="1:31" ht="391.5" x14ac:dyDescent="0.35">
      <c r="A8" s="101" t="s">
        <v>1773</v>
      </c>
      <c r="B8" s="101" t="s">
        <v>1774</v>
      </c>
      <c r="C8" s="102"/>
      <c r="D8" s="101"/>
      <c r="E8" s="101" t="s">
        <v>1956</v>
      </c>
      <c r="F8" s="70" t="s">
        <v>53</v>
      </c>
      <c r="G8" s="70" t="s">
        <v>2121</v>
      </c>
      <c r="H8" s="103">
        <v>46172.719837962963</v>
      </c>
      <c r="I8" s="104">
        <f t="shared" ca="1" si="3"/>
        <v>7.948854398149706</v>
      </c>
      <c r="J8" s="101"/>
      <c r="K8" s="101"/>
      <c r="L8" s="101"/>
      <c r="M8" s="101" t="s">
        <v>31</v>
      </c>
      <c r="N8" s="101" t="s">
        <v>1957</v>
      </c>
      <c r="O8" s="101"/>
      <c r="P8" s="101"/>
      <c r="Q8" s="101"/>
      <c r="R8" s="101" t="s">
        <v>2455</v>
      </c>
      <c r="S8" s="101" t="s">
        <v>40</v>
      </c>
      <c r="T8" s="101" t="s">
        <v>1898</v>
      </c>
      <c r="U8" s="10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ca="1" si="1"/>
        <v>T&gt;72H</v>
      </c>
      <c r="Z8" s="101">
        <f t="shared" si="2"/>
        <v>3</v>
      </c>
      <c r="AA8" s="101" t="s">
        <v>1566</v>
      </c>
      <c r="AB8" s="101" t="s">
        <v>1554</v>
      </c>
      <c r="AC8" s="105" t="s">
        <v>2390</v>
      </c>
      <c r="AD8" s="106" t="s">
        <v>1994</v>
      </c>
      <c r="AE8" s="101"/>
    </row>
    <row r="9" spans="1:31" ht="391.5" x14ac:dyDescent="0.35">
      <c r="A9" s="101" t="s">
        <v>1773</v>
      </c>
      <c r="B9" s="101" t="s">
        <v>1774</v>
      </c>
      <c r="C9" s="102"/>
      <c r="D9" s="101"/>
      <c r="E9" s="101" t="s">
        <v>35</v>
      </c>
      <c r="F9" s="70" t="s">
        <v>53</v>
      </c>
      <c r="G9" s="70" t="s">
        <v>2121</v>
      </c>
      <c r="H9" s="103">
        <v>46172.719837962963</v>
      </c>
      <c r="I9" s="104">
        <f t="shared" ca="1" si="3"/>
        <v>7.948854398149706</v>
      </c>
      <c r="J9" s="101"/>
      <c r="K9" s="101"/>
      <c r="L9" s="101"/>
      <c r="M9" s="101" t="s">
        <v>31</v>
      </c>
      <c r="N9" s="101" t="s">
        <v>1775</v>
      </c>
      <c r="O9" s="101"/>
      <c r="P9" s="101"/>
      <c r="Q9" s="101"/>
      <c r="R9" s="101" t="s">
        <v>2455</v>
      </c>
      <c r="S9" s="101" t="s">
        <v>40</v>
      </c>
      <c r="T9" s="101" t="s">
        <v>1898</v>
      </c>
      <c r="U9" s="10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0"/>
        <v>NRD</v>
      </c>
      <c r="Y9" s="88" t="str">
        <f t="shared" ca="1" si="1"/>
        <v>T&gt;72H</v>
      </c>
      <c r="Z9" s="101">
        <f t="shared" si="2"/>
        <v>3</v>
      </c>
      <c r="AA9" s="101" t="s">
        <v>1566</v>
      </c>
      <c r="AB9" s="101" t="s">
        <v>1554</v>
      </c>
      <c r="AC9" s="105" t="s">
        <v>2390</v>
      </c>
      <c r="AD9" s="106" t="s">
        <v>1994</v>
      </c>
      <c r="AE9" s="101"/>
    </row>
    <row r="10" spans="1:31" ht="391.5" x14ac:dyDescent="0.35">
      <c r="A10" s="101" t="s">
        <v>1773</v>
      </c>
      <c r="B10" s="101" t="s">
        <v>1774</v>
      </c>
      <c r="C10" s="102"/>
      <c r="D10" s="101"/>
      <c r="E10" s="101" t="s">
        <v>1954</v>
      </c>
      <c r="F10" s="70" t="s">
        <v>53</v>
      </c>
      <c r="G10" s="70" t="s">
        <v>2121</v>
      </c>
      <c r="H10" s="103">
        <v>46172.724965277775</v>
      </c>
      <c r="I10" s="104">
        <f t="shared" ca="1" si="3"/>
        <v>7.943727083336853</v>
      </c>
      <c r="J10" s="101"/>
      <c r="K10" s="101"/>
      <c r="L10" s="101"/>
      <c r="M10" s="101" t="s">
        <v>1750</v>
      </c>
      <c r="N10" s="101" t="s">
        <v>1751</v>
      </c>
      <c r="O10" s="101"/>
      <c r="P10" s="101"/>
      <c r="Q10" s="101"/>
      <c r="R10" s="101" t="s">
        <v>2455</v>
      </c>
      <c r="S10" s="101" t="s">
        <v>40</v>
      </c>
      <c r="T10" s="101" t="s">
        <v>1898</v>
      </c>
      <c r="U10" s="10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0"/>
        <v>NRD</v>
      </c>
      <c r="Y10" s="88" t="str">
        <f t="shared" ca="1" si="1"/>
        <v>T&gt;72H</v>
      </c>
      <c r="Z10" s="101">
        <f t="shared" si="2"/>
        <v>1</v>
      </c>
      <c r="AA10" s="101" t="s">
        <v>1566</v>
      </c>
      <c r="AB10" s="101" t="s">
        <v>1554</v>
      </c>
      <c r="AC10" s="105" t="s">
        <v>2390</v>
      </c>
      <c r="AD10" s="106" t="s">
        <v>1994</v>
      </c>
      <c r="AE10" s="101"/>
    </row>
    <row r="11" spans="1:31" ht="391.5" x14ac:dyDescent="0.35">
      <c r="A11" s="101" t="s">
        <v>1773</v>
      </c>
      <c r="B11" s="101" t="s">
        <v>1774</v>
      </c>
      <c r="C11" s="102"/>
      <c r="D11" s="101"/>
      <c r="E11" s="101" t="s">
        <v>1955</v>
      </c>
      <c r="F11" s="70" t="s">
        <v>53</v>
      </c>
      <c r="G11" s="70" t="s">
        <v>2121</v>
      </c>
      <c r="H11" s="103">
        <v>46172.724965277775</v>
      </c>
      <c r="I11" s="104">
        <f t="shared" ca="1" si="3"/>
        <v>7.943727083336853</v>
      </c>
      <c r="J11" s="101"/>
      <c r="K11" s="101"/>
      <c r="L11" s="101"/>
      <c r="M11" s="101" t="s">
        <v>1750</v>
      </c>
      <c r="N11" s="101" t="s">
        <v>1751</v>
      </c>
      <c r="O11" s="101"/>
      <c r="P11" s="101"/>
      <c r="Q11" s="101"/>
      <c r="R11" s="101" t="s">
        <v>2455</v>
      </c>
      <c r="S11" s="101" t="s">
        <v>40</v>
      </c>
      <c r="T11" s="101" t="s">
        <v>1898</v>
      </c>
      <c r="U11" s="10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0"/>
        <v>NRD</v>
      </c>
      <c r="Y11" s="88" t="str">
        <f t="shared" ca="1" si="1"/>
        <v>T&gt;72H</v>
      </c>
      <c r="Z11" s="101">
        <f t="shared" si="2"/>
        <v>1</v>
      </c>
      <c r="AA11" s="101" t="s">
        <v>1566</v>
      </c>
      <c r="AB11" s="101" t="s">
        <v>1554</v>
      </c>
      <c r="AC11" s="105" t="s">
        <v>2390</v>
      </c>
      <c r="AD11" s="106" t="s">
        <v>1994</v>
      </c>
      <c r="AE11" s="101"/>
    </row>
    <row r="12" spans="1:31" ht="391.5" x14ac:dyDescent="0.35">
      <c r="A12" s="101" t="s">
        <v>1773</v>
      </c>
      <c r="B12" s="101" t="s">
        <v>1774</v>
      </c>
      <c r="C12" s="102"/>
      <c r="D12" s="101"/>
      <c r="E12" s="101" t="s">
        <v>1953</v>
      </c>
      <c r="F12" s="70" t="s">
        <v>53</v>
      </c>
      <c r="G12" s="70" t="s">
        <v>2121</v>
      </c>
      <c r="H12" s="103">
        <v>46172.724965277775</v>
      </c>
      <c r="I12" s="104">
        <f t="shared" ca="1" si="3"/>
        <v>7.943727083336853</v>
      </c>
      <c r="J12" s="101"/>
      <c r="K12" s="101"/>
      <c r="L12" s="101"/>
      <c r="M12" s="101" t="s">
        <v>1750</v>
      </c>
      <c r="N12" s="101" t="s">
        <v>1751</v>
      </c>
      <c r="O12" s="101"/>
      <c r="P12" s="101"/>
      <c r="Q12" s="101"/>
      <c r="R12" s="101" t="s">
        <v>2455</v>
      </c>
      <c r="S12" s="101" t="s">
        <v>40</v>
      </c>
      <c r="T12" s="101" t="s">
        <v>1898</v>
      </c>
      <c r="U12" s="101" t="s">
        <v>1898</v>
      </c>
      <c r="V12" s="101" t="str">
        <f>VLOOKUP(B12,[2]Overall!$A:$D,4,0)</f>
        <v>TELEINFRA NORD</v>
      </c>
      <c r="W12" s="101" t="str">
        <f>VLOOKUP(B12,[3]Sheet1!$A:$B,2,0)</f>
        <v>Hamalade</v>
      </c>
      <c r="X12" s="88" t="str">
        <f t="shared" si="0"/>
        <v>NRD</v>
      </c>
      <c r="Y12" s="88" t="str">
        <f t="shared" ca="1" si="1"/>
        <v>T&gt;72H</v>
      </c>
      <c r="Z12" s="101">
        <f t="shared" si="2"/>
        <v>1</v>
      </c>
      <c r="AA12" s="101" t="s">
        <v>1566</v>
      </c>
      <c r="AB12" s="101" t="s">
        <v>1554</v>
      </c>
      <c r="AC12" s="105" t="s">
        <v>2390</v>
      </c>
      <c r="AD12" s="106" t="s">
        <v>1994</v>
      </c>
      <c r="AE12" s="101"/>
    </row>
    <row r="13" spans="1:31" ht="406" x14ac:dyDescent="0.35">
      <c r="A13" s="101" t="s">
        <v>1724</v>
      </c>
      <c r="B13" s="101" t="s">
        <v>1725</v>
      </c>
      <c r="C13" s="102"/>
      <c r="D13" s="101"/>
      <c r="E13" s="101" t="s">
        <v>1726</v>
      </c>
      <c r="F13" s="70" t="s">
        <v>53</v>
      </c>
      <c r="G13" s="70" t="s">
        <v>2121</v>
      </c>
      <c r="H13" s="103">
        <v>46172.76761574074</v>
      </c>
      <c r="I13" s="104">
        <f t="shared" ca="1" si="3"/>
        <v>7.9010766203718958</v>
      </c>
      <c r="J13" s="101"/>
      <c r="K13" s="101"/>
      <c r="L13" s="101"/>
      <c r="M13" s="101" t="s">
        <v>33</v>
      </c>
      <c r="N13" s="101" t="s">
        <v>1635</v>
      </c>
      <c r="O13" s="101"/>
      <c r="P13" s="101"/>
      <c r="Q13" s="101"/>
      <c r="R13" s="101" t="s">
        <v>2409</v>
      </c>
      <c r="S13" s="101" t="s">
        <v>32</v>
      </c>
      <c r="T13" s="101" t="s">
        <v>1898</v>
      </c>
      <c r="U13" s="101" t="s">
        <v>1898</v>
      </c>
      <c r="V13" s="101" t="str">
        <f>VLOOKUP(B13,[2]Overall!$A:$D,4,0)</f>
        <v xml:space="preserve">I-ENG </v>
      </c>
      <c r="W13" s="101" t="str">
        <f>VLOOKUP(B13,[3]Sheet1!$A:$B,2,0)</f>
        <v>Mbakong</v>
      </c>
      <c r="X13" s="88" t="str">
        <f t="shared" si="0"/>
        <v>NRO</v>
      </c>
      <c r="Y13" s="88" t="str">
        <f t="shared" ca="1" si="1"/>
        <v>T&gt;72H</v>
      </c>
      <c r="Z13" s="101">
        <f t="shared" si="2"/>
        <v>2</v>
      </c>
      <c r="AA13" s="101" t="s">
        <v>1566</v>
      </c>
      <c r="AB13" s="101" t="s">
        <v>1554</v>
      </c>
      <c r="AC13" s="105" t="s">
        <v>2390</v>
      </c>
      <c r="AD13" s="106" t="s">
        <v>1994</v>
      </c>
      <c r="AE13" s="101"/>
    </row>
    <row r="14" spans="1:31" ht="174" x14ac:dyDescent="0.35">
      <c r="A14" s="107" t="s">
        <v>1981</v>
      </c>
      <c r="B14" s="107" t="s">
        <v>1982</v>
      </c>
      <c r="C14" s="110"/>
      <c r="D14" s="107"/>
      <c r="E14" s="107" t="s">
        <v>39</v>
      </c>
      <c r="F14" s="71" t="s">
        <v>53</v>
      </c>
      <c r="G14" s="71" t="s">
        <v>2121</v>
      </c>
      <c r="H14" s="111">
        <v>46173.814502314817</v>
      </c>
      <c r="I14" s="104">
        <f t="shared" ca="1" si="3"/>
        <v>6.8541900462951162</v>
      </c>
      <c r="J14" s="107"/>
      <c r="K14" s="107"/>
      <c r="L14" s="107"/>
      <c r="M14" s="107" t="s">
        <v>1686</v>
      </c>
      <c r="N14" s="107" t="s">
        <v>1983</v>
      </c>
      <c r="O14" s="107"/>
      <c r="P14" s="107" t="s">
        <v>2403</v>
      </c>
      <c r="Q14" s="107"/>
      <c r="R14" s="107" t="s">
        <v>2402</v>
      </c>
      <c r="S14" s="107" t="s">
        <v>75</v>
      </c>
      <c r="T14" s="107" t="s">
        <v>1902</v>
      </c>
      <c r="U14" s="107" t="s">
        <v>1896</v>
      </c>
      <c r="V14" s="107" t="str">
        <f>VLOOKUP(B14,[2]Overall!$A:$D,4,0)</f>
        <v>H-TELI</v>
      </c>
      <c r="W14" s="107" t="str">
        <f>VLOOKUP(B14,[3]Sheet1!$A:$B,2,0)</f>
        <v>Santchou</v>
      </c>
      <c r="X14" s="89" t="str">
        <f t="shared" si="0"/>
        <v>OST</v>
      </c>
      <c r="Y14" s="89" t="str">
        <f t="shared" ca="1" si="1"/>
        <v>T&gt;72H</v>
      </c>
      <c r="Z14" s="107">
        <f t="shared" si="2"/>
        <v>1</v>
      </c>
      <c r="AA14" s="107" t="s">
        <v>77</v>
      </c>
      <c r="AB14" s="107" t="s">
        <v>1554</v>
      </c>
      <c r="AC14" s="108" t="s">
        <v>2390</v>
      </c>
      <c r="AD14" s="109" t="s">
        <v>1994</v>
      </c>
      <c r="AE14" s="107"/>
    </row>
    <row r="15" spans="1:31" ht="174" x14ac:dyDescent="0.35">
      <c r="A15" s="107" t="s">
        <v>1981</v>
      </c>
      <c r="B15" s="107" t="s">
        <v>1982</v>
      </c>
      <c r="C15" s="110"/>
      <c r="D15" s="107"/>
      <c r="E15" s="107" t="s">
        <v>1988</v>
      </c>
      <c r="F15" s="71" t="s">
        <v>53</v>
      </c>
      <c r="G15" s="71" t="s">
        <v>2121</v>
      </c>
      <c r="H15" s="111">
        <v>46173.819432870368</v>
      </c>
      <c r="I15" s="104">
        <f t="shared" ca="1" si="3"/>
        <v>6.8492594907438615</v>
      </c>
      <c r="J15" s="107"/>
      <c r="K15" s="107"/>
      <c r="L15" s="107"/>
      <c r="M15" s="107" t="s">
        <v>41</v>
      </c>
      <c r="N15" s="107" t="s">
        <v>1989</v>
      </c>
      <c r="O15" s="107"/>
      <c r="P15" s="107" t="s">
        <v>2403</v>
      </c>
      <c r="Q15" s="107"/>
      <c r="R15" s="107" t="s">
        <v>2384</v>
      </c>
      <c r="S15" s="107" t="s">
        <v>75</v>
      </c>
      <c r="T15" s="107" t="s">
        <v>1902</v>
      </c>
      <c r="U15" s="107" t="s">
        <v>1896</v>
      </c>
      <c r="V15" s="107" t="str">
        <f>VLOOKUP(B15,[2]Overall!$A:$D,4,0)</f>
        <v>H-TELI</v>
      </c>
      <c r="W15" s="107" t="str">
        <f>VLOOKUP(B15,[3]Sheet1!$A:$B,2,0)</f>
        <v>Santchou</v>
      </c>
      <c r="X15" s="89" t="str">
        <f t="shared" si="0"/>
        <v>OST</v>
      </c>
      <c r="Y15" s="89" t="str">
        <f t="shared" ca="1" si="1"/>
        <v>T&gt;72H</v>
      </c>
      <c r="Z15" s="107">
        <f t="shared" si="2"/>
        <v>1</v>
      </c>
      <c r="AA15" s="107" t="s">
        <v>77</v>
      </c>
      <c r="AB15" s="107" t="s">
        <v>1554</v>
      </c>
      <c r="AC15" s="108" t="s">
        <v>2390</v>
      </c>
      <c r="AD15" s="109" t="s">
        <v>1994</v>
      </c>
      <c r="AE15" s="107"/>
    </row>
    <row r="16" spans="1:31" ht="174" x14ac:dyDescent="0.35">
      <c r="A16" s="101" t="s">
        <v>1881</v>
      </c>
      <c r="B16" s="101" t="s">
        <v>1880</v>
      </c>
      <c r="C16" s="102"/>
      <c r="D16" s="101"/>
      <c r="E16" s="101" t="s">
        <v>1991</v>
      </c>
      <c r="F16" s="70" t="s">
        <v>53</v>
      </c>
      <c r="G16" s="70" t="s">
        <v>2121</v>
      </c>
      <c r="H16" s="103">
        <v>46174.267314814817</v>
      </c>
      <c r="I16" s="104">
        <f t="shared" ca="1" si="3"/>
        <v>6.4013775462954072</v>
      </c>
      <c r="J16" s="101"/>
      <c r="K16" s="101"/>
      <c r="L16" s="101"/>
      <c r="M16" s="101" t="s">
        <v>1769</v>
      </c>
      <c r="N16" s="101" t="s">
        <v>1770</v>
      </c>
      <c r="O16" s="101"/>
      <c r="P16" s="101"/>
      <c r="Q16" s="101"/>
      <c r="R16" s="101" t="s">
        <v>2385</v>
      </c>
      <c r="S16" s="101" t="s">
        <v>71</v>
      </c>
      <c r="T16" s="101" t="s">
        <v>1902</v>
      </c>
      <c r="U16" s="101" t="s">
        <v>1896</v>
      </c>
      <c r="V16" s="101" t="str">
        <f>VLOOKUP(B16,[2]Overall!$A:$D,4,0)</f>
        <v xml:space="preserve">I-ENG </v>
      </c>
      <c r="W16" s="101" t="str">
        <f>VLOOKUP(B16,[3]Sheet1!$A:$B,2,0)</f>
        <v>Fundong</v>
      </c>
      <c r="X16" s="88" t="str">
        <f t="shared" si="0"/>
        <v>NRO</v>
      </c>
      <c r="Y16" s="88" t="str">
        <f t="shared" ca="1" si="1"/>
        <v>T&gt;72H</v>
      </c>
      <c r="Z16" s="101">
        <f t="shared" si="2"/>
        <v>1</v>
      </c>
      <c r="AA16" s="101" t="s">
        <v>1566</v>
      </c>
      <c r="AB16" s="101" t="s">
        <v>1554</v>
      </c>
      <c r="AC16" s="105" t="s">
        <v>2390</v>
      </c>
      <c r="AD16" s="106" t="s">
        <v>1994</v>
      </c>
      <c r="AE16" s="101"/>
    </row>
    <row r="17" spans="1:31" ht="130.5" x14ac:dyDescent="0.35">
      <c r="A17" s="101" t="s">
        <v>1843</v>
      </c>
      <c r="B17" s="101" t="s">
        <v>1844</v>
      </c>
      <c r="C17" s="102"/>
      <c r="D17" s="101"/>
      <c r="E17" s="101" t="s">
        <v>1879</v>
      </c>
      <c r="F17" s="70" t="s">
        <v>53</v>
      </c>
      <c r="G17" s="70" t="s">
        <v>2121</v>
      </c>
      <c r="H17" s="103">
        <v>46175.448993055557</v>
      </c>
      <c r="I17" s="104">
        <f t="shared" ca="1" si="3"/>
        <v>5.2196993055549683</v>
      </c>
      <c r="J17" s="101"/>
      <c r="K17" s="101"/>
      <c r="L17" s="101"/>
      <c r="M17" s="101" t="s">
        <v>38</v>
      </c>
      <c r="N17" s="101" t="s">
        <v>1845</v>
      </c>
      <c r="O17" s="101"/>
      <c r="P17" s="101"/>
      <c r="Q17" s="101"/>
      <c r="R17" s="101" t="s">
        <v>2380</v>
      </c>
      <c r="S17" s="101" t="s">
        <v>75</v>
      </c>
      <c r="T17" s="101" t="s">
        <v>1901</v>
      </c>
      <c r="U17" s="101" t="s">
        <v>1901</v>
      </c>
      <c r="V17" s="101" t="str">
        <f>VLOOKUP(B17,[2]Overall!$A:$D,4,0)</f>
        <v>TELEINFRA NORD</v>
      </c>
      <c r="W17" s="101" t="str">
        <f>VLOOKUP(B17,[3]Sheet1!$A:$B,2,0)</f>
        <v>Mayo-Nonde</v>
      </c>
      <c r="X17" s="88" t="str">
        <f t="shared" si="0"/>
        <v>NRD</v>
      </c>
      <c r="Y17" s="88" t="str">
        <f t="shared" ca="1" si="1"/>
        <v>T&gt;72H</v>
      </c>
      <c r="Z17" s="101">
        <f t="shared" si="2"/>
        <v>3</v>
      </c>
      <c r="AA17" s="101" t="s">
        <v>1566</v>
      </c>
      <c r="AB17" s="101" t="s">
        <v>1554</v>
      </c>
      <c r="AC17" s="105" t="s">
        <v>2390</v>
      </c>
      <c r="AD17" s="106" t="s">
        <v>1994</v>
      </c>
      <c r="AE17" s="101"/>
    </row>
    <row r="18" spans="1:31" ht="174" x14ac:dyDescent="0.35">
      <c r="A18" s="101" t="s">
        <v>1831</v>
      </c>
      <c r="B18" s="101" t="s">
        <v>1832</v>
      </c>
      <c r="C18" s="102"/>
      <c r="D18" s="101"/>
      <c r="E18" s="101" t="s">
        <v>1823</v>
      </c>
      <c r="F18" s="70" t="s">
        <v>53</v>
      </c>
      <c r="G18" s="70" t="s">
        <v>2121</v>
      </c>
      <c r="H18" s="103">
        <v>46175.508090277777</v>
      </c>
      <c r="I18" s="104">
        <f t="shared" ca="1" si="3"/>
        <v>5.1606020833351067</v>
      </c>
      <c r="J18" s="101"/>
      <c r="K18" s="101"/>
      <c r="L18" s="101"/>
      <c r="M18" s="101" t="s">
        <v>31</v>
      </c>
      <c r="N18" s="101" t="s">
        <v>1833</v>
      </c>
      <c r="O18" s="101"/>
      <c r="P18" s="101"/>
      <c r="Q18" s="101"/>
      <c r="R18" s="101" t="s">
        <v>2411</v>
      </c>
      <c r="S18" s="101" t="s">
        <v>85</v>
      </c>
      <c r="T18" s="101" t="s">
        <v>1898</v>
      </c>
      <c r="U18" s="101" t="s">
        <v>1898</v>
      </c>
      <c r="V18" s="101" t="str">
        <f>VLOOKUP(B18,[2]Overall!$A:$D,4,0)</f>
        <v>H-TELI</v>
      </c>
      <c r="W18" s="101" t="str">
        <f>VLOOKUP(B18,[3]Sheet1!$A:$B,2,0)</f>
        <v>Kumbe</v>
      </c>
      <c r="X18" s="88" t="str">
        <f t="shared" si="0"/>
        <v>SUO</v>
      </c>
      <c r="Y18" s="88" t="str">
        <f t="shared" ca="1" si="1"/>
        <v>T&gt;72H</v>
      </c>
      <c r="Z18" s="101">
        <f t="shared" si="2"/>
        <v>2</v>
      </c>
      <c r="AA18" s="101" t="s">
        <v>1566</v>
      </c>
      <c r="AB18" s="101" t="s">
        <v>1554</v>
      </c>
      <c r="AC18" s="105" t="s">
        <v>2390</v>
      </c>
      <c r="AD18" s="106" t="s">
        <v>1994</v>
      </c>
      <c r="AE18" s="101"/>
    </row>
    <row r="19" spans="1:31" ht="261" x14ac:dyDescent="0.35">
      <c r="A19" s="101" t="s">
        <v>1779</v>
      </c>
      <c r="B19" s="101" t="s">
        <v>1780</v>
      </c>
      <c r="C19" s="102"/>
      <c r="D19" s="101"/>
      <c r="E19" s="101" t="s">
        <v>37</v>
      </c>
      <c r="F19" s="70" t="s">
        <v>53</v>
      </c>
      <c r="G19" s="70" t="s">
        <v>2121</v>
      </c>
      <c r="H19" s="103">
        <v>46175.649039351854</v>
      </c>
      <c r="I19" s="104">
        <f t="shared" ca="1" si="3"/>
        <v>5.019653009258036</v>
      </c>
      <c r="J19" s="101"/>
      <c r="K19" s="101"/>
      <c r="L19" s="101"/>
      <c r="M19" s="101" t="s">
        <v>41</v>
      </c>
      <c r="N19" s="101" t="s">
        <v>1781</v>
      </c>
      <c r="O19" s="101"/>
      <c r="P19" s="101"/>
      <c r="Q19" s="101"/>
      <c r="R19" s="101" t="s">
        <v>2379</v>
      </c>
      <c r="S19" s="101" t="s">
        <v>75</v>
      </c>
      <c r="T19" s="101" t="s">
        <v>1840</v>
      </c>
      <c r="U19" s="101" t="s">
        <v>1840</v>
      </c>
      <c r="V19" s="101" t="str">
        <f>VLOOKUP(B19,[2]Overall!$A:$D,4,0)</f>
        <v>TELEINFRA NORD</v>
      </c>
      <c r="W19" s="101" t="str">
        <f>VLOOKUP(B19,[3]Sheet1!$A:$B,2,0)</f>
        <v>Badjonre</v>
      </c>
      <c r="X19" s="88" t="str">
        <f t="shared" si="0"/>
        <v>EXN</v>
      </c>
      <c r="Y19" s="88" t="str">
        <f t="shared" ca="1" si="1"/>
        <v>T&gt;72H</v>
      </c>
      <c r="Z19" s="101">
        <f t="shared" si="2"/>
        <v>1</v>
      </c>
      <c r="AA19" s="101" t="s">
        <v>1566</v>
      </c>
      <c r="AB19" s="101" t="s">
        <v>1554</v>
      </c>
      <c r="AC19" s="105" t="s">
        <v>2390</v>
      </c>
      <c r="AD19" s="106" t="s">
        <v>1994</v>
      </c>
      <c r="AE19" s="101"/>
    </row>
    <row r="20" spans="1:31" ht="261" x14ac:dyDescent="0.35">
      <c r="A20" s="101" t="s">
        <v>1779</v>
      </c>
      <c r="B20" s="101" t="s">
        <v>1780</v>
      </c>
      <c r="C20" s="102"/>
      <c r="D20" s="101"/>
      <c r="E20" s="101" t="s">
        <v>39</v>
      </c>
      <c r="F20" s="70" t="s">
        <v>53</v>
      </c>
      <c r="G20" s="70" t="s">
        <v>2121</v>
      </c>
      <c r="H20" s="103">
        <v>46175.681076388886</v>
      </c>
      <c r="I20" s="104">
        <f t="shared" ca="1" si="3"/>
        <v>4.9876159722261946</v>
      </c>
      <c r="J20" s="101"/>
      <c r="K20" s="101"/>
      <c r="L20" s="101"/>
      <c r="M20" s="101" t="s">
        <v>1707</v>
      </c>
      <c r="N20" s="101" t="s">
        <v>2162</v>
      </c>
      <c r="O20" s="101"/>
      <c r="P20" s="101"/>
      <c r="Q20" s="101"/>
      <c r="R20" s="101" t="s">
        <v>2379</v>
      </c>
      <c r="S20" s="101" t="s">
        <v>75</v>
      </c>
      <c r="T20" s="101" t="s">
        <v>1840</v>
      </c>
      <c r="U20" s="101" t="s">
        <v>1840</v>
      </c>
      <c r="V20" s="101" t="str">
        <f>VLOOKUP(B20,[2]Overall!$A:$D,4,0)</f>
        <v>TELEINFRA NORD</v>
      </c>
      <c r="W20" s="101" t="str">
        <f>VLOOKUP(B20,[3]Sheet1!$A:$B,2,0)</f>
        <v>Badjonre</v>
      </c>
      <c r="X20" s="88" t="str">
        <f t="shared" si="0"/>
        <v>EXN</v>
      </c>
      <c r="Y20" s="88" t="str">
        <f t="shared" ca="1" si="1"/>
        <v>T&gt;72H</v>
      </c>
      <c r="Z20" s="101">
        <f t="shared" si="2"/>
        <v>1</v>
      </c>
      <c r="AA20" s="101" t="s">
        <v>1566</v>
      </c>
      <c r="AB20" s="101" t="s">
        <v>1554</v>
      </c>
      <c r="AC20" s="105" t="s">
        <v>2390</v>
      </c>
      <c r="AD20" s="106" t="s">
        <v>1994</v>
      </c>
      <c r="AE20" s="101"/>
    </row>
    <row r="21" spans="1:31" ht="261" x14ac:dyDescent="0.35">
      <c r="A21" s="101" t="s">
        <v>1779</v>
      </c>
      <c r="B21" s="101" t="s">
        <v>1780</v>
      </c>
      <c r="C21" s="102"/>
      <c r="D21" s="101"/>
      <c r="E21" s="101" t="s">
        <v>2163</v>
      </c>
      <c r="F21" s="70" t="s">
        <v>53</v>
      </c>
      <c r="G21" s="70" t="s">
        <v>2121</v>
      </c>
      <c r="H21" s="103">
        <v>46175.683067129627</v>
      </c>
      <c r="I21" s="104">
        <f t="shared" ca="1" si="3"/>
        <v>4.9856252314857556</v>
      </c>
      <c r="J21" s="101"/>
      <c r="K21" s="101"/>
      <c r="L21" s="101"/>
      <c r="M21" s="101" t="s">
        <v>31</v>
      </c>
      <c r="N21" s="101" t="s">
        <v>2164</v>
      </c>
      <c r="O21" s="101"/>
      <c r="P21" s="101"/>
      <c r="Q21" s="101"/>
      <c r="R21" s="101" t="s">
        <v>2379</v>
      </c>
      <c r="S21" s="101" t="s">
        <v>75</v>
      </c>
      <c r="T21" s="101" t="s">
        <v>1840</v>
      </c>
      <c r="U21" s="101" t="s">
        <v>1840</v>
      </c>
      <c r="V21" s="101" t="str">
        <f>VLOOKUP(B21,[2]Overall!$A:$D,4,0)</f>
        <v>TELEINFRA NORD</v>
      </c>
      <c r="W21" s="101" t="str">
        <f>VLOOKUP(B21,[3]Sheet1!$A:$B,2,0)</f>
        <v>Badjonre</v>
      </c>
      <c r="X21" s="88" t="str">
        <f t="shared" si="0"/>
        <v>EXN</v>
      </c>
      <c r="Y21" s="88" t="str">
        <f t="shared" ca="1" si="1"/>
        <v>T&gt;72H</v>
      </c>
      <c r="Z21" s="101">
        <f t="shared" si="2"/>
        <v>9</v>
      </c>
      <c r="AA21" s="101" t="s">
        <v>1566</v>
      </c>
      <c r="AB21" s="101" t="s">
        <v>1554</v>
      </c>
      <c r="AC21" s="105" t="s">
        <v>2390</v>
      </c>
      <c r="AD21" s="106" t="s">
        <v>1994</v>
      </c>
      <c r="AE21" s="101"/>
    </row>
    <row r="22" spans="1:31" ht="261" x14ac:dyDescent="0.35">
      <c r="A22" s="101" t="s">
        <v>1779</v>
      </c>
      <c r="B22" s="101" t="s">
        <v>1780</v>
      </c>
      <c r="C22" s="102"/>
      <c r="D22" s="101"/>
      <c r="E22" s="101" t="s">
        <v>39</v>
      </c>
      <c r="F22" s="70" t="s">
        <v>53</v>
      </c>
      <c r="G22" s="70" t="s">
        <v>2121</v>
      </c>
      <c r="H22" s="103">
        <v>46175.683506944442</v>
      </c>
      <c r="I22" s="104">
        <f t="shared" ca="1" si="3"/>
        <v>4.9851854166699923</v>
      </c>
      <c r="J22" s="101"/>
      <c r="K22" s="101"/>
      <c r="L22" s="101"/>
      <c r="M22" s="101" t="s">
        <v>1769</v>
      </c>
      <c r="N22" s="101" t="s">
        <v>2165</v>
      </c>
      <c r="O22" s="101"/>
      <c r="P22" s="101"/>
      <c r="Q22" s="101"/>
      <c r="R22" s="101" t="s">
        <v>2379</v>
      </c>
      <c r="S22" s="101" t="s">
        <v>75</v>
      </c>
      <c r="T22" s="101" t="s">
        <v>1840</v>
      </c>
      <c r="U22" s="101" t="s">
        <v>1840</v>
      </c>
      <c r="V22" s="101" t="str">
        <f>VLOOKUP(B22,[2]Overall!$A:$D,4,0)</f>
        <v>TELEINFRA NORD</v>
      </c>
      <c r="W22" s="101" t="str">
        <f>VLOOKUP(B22,[3]Sheet1!$A:$B,2,0)</f>
        <v>Badjonre</v>
      </c>
      <c r="X22" s="88" t="str">
        <f t="shared" si="0"/>
        <v>EXN</v>
      </c>
      <c r="Y22" s="88" t="str">
        <f t="shared" ca="1" si="1"/>
        <v>T&gt;72H</v>
      </c>
      <c r="Z22" s="101">
        <f t="shared" si="2"/>
        <v>1</v>
      </c>
      <c r="AA22" s="101" t="s">
        <v>1566</v>
      </c>
      <c r="AB22" s="101" t="s">
        <v>1554</v>
      </c>
      <c r="AC22" s="105" t="s">
        <v>2390</v>
      </c>
      <c r="AD22" s="106" t="s">
        <v>1994</v>
      </c>
      <c r="AE22" s="101"/>
    </row>
    <row r="23" spans="1:31" ht="101.5" x14ac:dyDescent="0.35">
      <c r="A23" s="101" t="s">
        <v>1632</v>
      </c>
      <c r="B23" s="101" t="s">
        <v>1610</v>
      </c>
      <c r="C23" s="102"/>
      <c r="D23" s="101"/>
      <c r="E23" s="101" t="s">
        <v>49</v>
      </c>
      <c r="F23" s="70" t="s">
        <v>53</v>
      </c>
      <c r="G23" s="70" t="s">
        <v>2121</v>
      </c>
      <c r="H23" s="103">
        <v>46175.758483796293</v>
      </c>
      <c r="I23" s="104">
        <f t="shared" ca="1" si="3"/>
        <v>4.910208564819186</v>
      </c>
      <c r="J23" s="101"/>
      <c r="K23" s="101"/>
      <c r="L23" s="101"/>
      <c r="M23" s="101" t="s">
        <v>41</v>
      </c>
      <c r="N23" s="101" t="s">
        <v>1633</v>
      </c>
      <c r="O23" s="101"/>
      <c r="P23" s="101"/>
      <c r="Q23" s="101"/>
      <c r="R23" s="101" t="s">
        <v>2386</v>
      </c>
      <c r="S23" s="101" t="s">
        <v>71</v>
      </c>
      <c r="T23" s="101" t="s">
        <v>1902</v>
      </c>
      <c r="U23" s="101" t="s">
        <v>1896</v>
      </c>
      <c r="V23" s="101" t="str">
        <f>VLOOKUP(B23,[2]Overall!$A:$D,4,0)</f>
        <v>TELEINFRA NORD</v>
      </c>
      <c r="W23" s="101" t="str">
        <f>VLOOKUP(B23,[3]Sheet1!$A:$B,2,0)</f>
        <v>Zileng</v>
      </c>
      <c r="X23" s="88" t="str">
        <f t="shared" si="0"/>
        <v>EXN</v>
      </c>
      <c r="Y23" s="88" t="str">
        <f t="shared" ca="1" si="1"/>
        <v>T&gt;72H</v>
      </c>
      <c r="Z23" s="101">
        <f t="shared" si="2"/>
        <v>1</v>
      </c>
      <c r="AA23" s="101" t="s">
        <v>1566</v>
      </c>
      <c r="AB23" s="101" t="s">
        <v>1554</v>
      </c>
      <c r="AC23" s="105" t="s">
        <v>2390</v>
      </c>
      <c r="AD23" s="106" t="s">
        <v>1994</v>
      </c>
      <c r="AE23" s="101"/>
    </row>
    <row r="24" spans="1:31" ht="87" x14ac:dyDescent="0.35">
      <c r="A24" s="101" t="s">
        <v>1611</v>
      </c>
      <c r="B24" s="101" t="s">
        <v>1610</v>
      </c>
      <c r="C24" s="102"/>
      <c r="D24" s="101"/>
      <c r="E24" s="101" t="s">
        <v>1615</v>
      </c>
      <c r="F24" s="70" t="s">
        <v>53</v>
      </c>
      <c r="G24" s="70" t="s">
        <v>2121</v>
      </c>
      <c r="H24" s="103">
        <v>46175.759166666663</v>
      </c>
      <c r="I24" s="104">
        <f t="shared" ca="1" si="3"/>
        <v>4.9095256944492576</v>
      </c>
      <c r="J24" s="101"/>
      <c r="K24" s="101"/>
      <c r="L24" s="101"/>
      <c r="M24" s="101" t="s">
        <v>41</v>
      </c>
      <c r="N24" s="101" t="s">
        <v>42</v>
      </c>
      <c r="O24" s="101"/>
      <c r="P24" s="101"/>
      <c r="Q24" s="101"/>
      <c r="R24" s="101" t="s">
        <v>2386</v>
      </c>
      <c r="S24" s="101" t="s">
        <v>71</v>
      </c>
      <c r="T24" s="101" t="s">
        <v>1902</v>
      </c>
      <c r="U24" s="101" t="s">
        <v>1896</v>
      </c>
      <c r="V24" s="101" t="str">
        <f>VLOOKUP(B24,[2]Overall!$A:$D,4,0)</f>
        <v>TELEINFRA NORD</v>
      </c>
      <c r="W24" s="101" t="str">
        <f>VLOOKUP(B24,[3]Sheet1!$A:$B,2,0)</f>
        <v>Zileng</v>
      </c>
      <c r="X24" s="88" t="str">
        <f t="shared" si="0"/>
        <v>EXN</v>
      </c>
      <c r="Y24" s="88" t="str">
        <f t="shared" ca="1" si="1"/>
        <v>T&gt;72H</v>
      </c>
      <c r="Z24" s="101">
        <f t="shared" si="2"/>
        <v>1</v>
      </c>
      <c r="AA24" s="101" t="s">
        <v>1566</v>
      </c>
      <c r="AB24" s="101" t="s">
        <v>1554</v>
      </c>
      <c r="AC24" s="105" t="s">
        <v>2390</v>
      </c>
      <c r="AD24" s="106" t="s">
        <v>1994</v>
      </c>
      <c r="AE24" s="101"/>
    </row>
    <row r="25" spans="1:31" ht="87" x14ac:dyDescent="0.35">
      <c r="A25" s="101" t="s">
        <v>1611</v>
      </c>
      <c r="B25" s="101" t="s">
        <v>1610</v>
      </c>
      <c r="C25" s="102"/>
      <c r="D25" s="101"/>
      <c r="E25" s="101" t="s">
        <v>1613</v>
      </c>
      <c r="F25" s="70" t="s">
        <v>53</v>
      </c>
      <c r="G25" s="70" t="s">
        <v>2121</v>
      </c>
      <c r="H25" s="103">
        <v>46175.759166666663</v>
      </c>
      <c r="I25" s="104">
        <f t="shared" ca="1" si="3"/>
        <v>4.9095256944492576</v>
      </c>
      <c r="J25" s="101"/>
      <c r="K25" s="101"/>
      <c r="L25" s="101"/>
      <c r="M25" s="101" t="s">
        <v>41</v>
      </c>
      <c r="N25" s="101" t="s">
        <v>42</v>
      </c>
      <c r="O25" s="101"/>
      <c r="P25" s="101"/>
      <c r="Q25" s="101"/>
      <c r="R25" s="101" t="s">
        <v>2386</v>
      </c>
      <c r="S25" s="101" t="s">
        <v>71</v>
      </c>
      <c r="T25" s="101" t="s">
        <v>1902</v>
      </c>
      <c r="U25" s="101" t="s">
        <v>1896</v>
      </c>
      <c r="V25" s="101" t="str">
        <f>VLOOKUP(B25,[2]Overall!$A:$D,4,0)</f>
        <v>TELEINFRA NORD</v>
      </c>
      <c r="W25" s="101" t="str">
        <f>VLOOKUP(B25,[3]Sheet1!$A:$B,2,0)</f>
        <v>Zileng</v>
      </c>
      <c r="X25" s="88" t="str">
        <f t="shared" si="0"/>
        <v>EXN</v>
      </c>
      <c r="Y25" s="88" t="str">
        <f t="shared" ca="1" si="1"/>
        <v>T&gt;72H</v>
      </c>
      <c r="Z25" s="101">
        <f t="shared" si="2"/>
        <v>1</v>
      </c>
      <c r="AA25" s="101" t="s">
        <v>1566</v>
      </c>
      <c r="AB25" s="101" t="s">
        <v>1554</v>
      </c>
      <c r="AC25" s="105" t="s">
        <v>2390</v>
      </c>
      <c r="AD25" s="106" t="s">
        <v>1994</v>
      </c>
      <c r="AE25" s="101"/>
    </row>
    <row r="26" spans="1:31" ht="87" x14ac:dyDescent="0.35">
      <c r="A26" s="101" t="s">
        <v>1611</v>
      </c>
      <c r="B26" s="101" t="s">
        <v>1610</v>
      </c>
      <c r="C26" s="102"/>
      <c r="D26" s="101"/>
      <c r="E26" s="101" t="s">
        <v>1617</v>
      </c>
      <c r="F26" s="70" t="s">
        <v>53</v>
      </c>
      <c r="G26" s="70" t="s">
        <v>2121</v>
      </c>
      <c r="H26" s="103">
        <v>46175.759166666663</v>
      </c>
      <c r="I26" s="104">
        <f t="shared" ca="1" si="3"/>
        <v>4.9095256944492576</v>
      </c>
      <c r="J26" s="101"/>
      <c r="K26" s="101"/>
      <c r="L26" s="101"/>
      <c r="M26" s="101" t="s">
        <v>41</v>
      </c>
      <c r="N26" s="101" t="s">
        <v>42</v>
      </c>
      <c r="O26" s="101"/>
      <c r="P26" s="101"/>
      <c r="Q26" s="101"/>
      <c r="R26" s="101" t="s">
        <v>2386</v>
      </c>
      <c r="S26" s="101" t="s">
        <v>71</v>
      </c>
      <c r="T26" s="101" t="s">
        <v>1902</v>
      </c>
      <c r="U26" s="101" t="s">
        <v>1896</v>
      </c>
      <c r="V26" s="101" t="str">
        <f>VLOOKUP(B26,[2]Overall!$A:$D,4,0)</f>
        <v>TELEINFRA NORD</v>
      </c>
      <c r="W26" s="101" t="str">
        <f>VLOOKUP(B26,[3]Sheet1!$A:$B,2,0)</f>
        <v>Zileng</v>
      </c>
      <c r="X26" s="88" t="str">
        <f t="shared" si="0"/>
        <v>EXN</v>
      </c>
      <c r="Y26" s="88" t="str">
        <f t="shared" ca="1" si="1"/>
        <v>T&gt;72H</v>
      </c>
      <c r="Z26" s="101">
        <f t="shared" si="2"/>
        <v>1</v>
      </c>
      <c r="AA26" s="101" t="s">
        <v>1566</v>
      </c>
      <c r="AB26" s="101" t="s">
        <v>1554</v>
      </c>
      <c r="AC26" s="105" t="s">
        <v>2390</v>
      </c>
      <c r="AD26" s="106" t="s">
        <v>1994</v>
      </c>
      <c r="AE26" s="101"/>
    </row>
    <row r="27" spans="1:31" ht="116" x14ac:dyDescent="0.35">
      <c r="A27" s="101" t="s">
        <v>1892</v>
      </c>
      <c r="B27" s="101" t="s">
        <v>1893</v>
      </c>
      <c r="C27" s="102"/>
      <c r="D27" s="101"/>
      <c r="E27" s="101" t="s">
        <v>2199</v>
      </c>
      <c r="F27" s="70" t="s">
        <v>53</v>
      </c>
      <c r="G27" s="70" t="s">
        <v>2121</v>
      </c>
      <c r="H27" s="103">
        <v>46175.837418981479</v>
      </c>
      <c r="I27" s="104">
        <f t="shared" ca="1" si="3"/>
        <v>4.8312733796337852</v>
      </c>
      <c r="J27" s="101"/>
      <c r="K27" s="101"/>
      <c r="L27" s="101"/>
      <c r="M27" s="101" t="s">
        <v>41</v>
      </c>
      <c r="N27" s="101" t="s">
        <v>42</v>
      </c>
      <c r="O27" s="101"/>
      <c r="P27" s="101"/>
      <c r="Q27" s="101"/>
      <c r="R27" s="101" t="s">
        <v>2378</v>
      </c>
      <c r="S27" s="101" t="s">
        <v>75</v>
      </c>
      <c r="T27" s="101" t="s">
        <v>1688</v>
      </c>
      <c r="U27" s="10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0"/>
        <v>OST</v>
      </c>
      <c r="Y27" s="88" t="str">
        <f t="shared" ca="1" si="1"/>
        <v>T&gt;72H</v>
      </c>
      <c r="Z27" s="101">
        <f t="shared" si="2"/>
        <v>1</v>
      </c>
      <c r="AA27" s="101" t="s">
        <v>1566</v>
      </c>
      <c r="AB27" s="101" t="s">
        <v>1554</v>
      </c>
      <c r="AC27" s="105" t="s">
        <v>2390</v>
      </c>
      <c r="AD27" s="106" t="s">
        <v>1994</v>
      </c>
      <c r="AE27" s="101"/>
    </row>
    <row r="28" spans="1:31" ht="116" x14ac:dyDescent="0.35">
      <c r="A28" s="101" t="s">
        <v>1892</v>
      </c>
      <c r="B28" s="101" t="s">
        <v>1893</v>
      </c>
      <c r="C28" s="102"/>
      <c r="D28" s="101"/>
      <c r="E28" s="101" t="s">
        <v>2200</v>
      </c>
      <c r="F28" s="70" t="s">
        <v>53</v>
      </c>
      <c r="G28" s="70" t="s">
        <v>2121</v>
      </c>
      <c r="H28" s="103">
        <v>46175.837430555555</v>
      </c>
      <c r="I28" s="104">
        <f t="shared" ca="1" si="3"/>
        <v>4.8312618055570056</v>
      </c>
      <c r="J28" s="101"/>
      <c r="K28" s="101"/>
      <c r="L28" s="101"/>
      <c r="M28" s="101" t="s">
        <v>41</v>
      </c>
      <c r="N28" s="101" t="s">
        <v>42</v>
      </c>
      <c r="O28" s="101"/>
      <c r="P28" s="101"/>
      <c r="Q28" s="101"/>
      <c r="R28" s="101" t="s">
        <v>2378</v>
      </c>
      <c r="S28" s="101" t="s">
        <v>75</v>
      </c>
      <c r="T28" s="101" t="s">
        <v>1688</v>
      </c>
      <c r="U28" s="10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0"/>
        <v>OST</v>
      </c>
      <c r="Y28" s="88" t="str">
        <f t="shared" ca="1" si="1"/>
        <v>T&gt;72H</v>
      </c>
      <c r="Z28" s="101">
        <f t="shared" si="2"/>
        <v>1</v>
      </c>
      <c r="AA28" s="101" t="s">
        <v>1566</v>
      </c>
      <c r="AB28" s="101" t="s">
        <v>1554</v>
      </c>
      <c r="AC28" s="105" t="s">
        <v>2390</v>
      </c>
      <c r="AD28" s="106" t="s">
        <v>1994</v>
      </c>
      <c r="AE28" s="101"/>
    </row>
    <row r="29" spans="1:31" ht="116" x14ac:dyDescent="0.35">
      <c r="A29" s="101" t="s">
        <v>1892</v>
      </c>
      <c r="B29" s="101" t="s">
        <v>1893</v>
      </c>
      <c r="C29" s="102"/>
      <c r="D29" s="101"/>
      <c r="E29" s="101" t="s">
        <v>2201</v>
      </c>
      <c r="F29" s="70" t="s">
        <v>53</v>
      </c>
      <c r="G29" s="70" t="s">
        <v>2121</v>
      </c>
      <c r="H29" s="103">
        <v>46175.837407407409</v>
      </c>
      <c r="I29" s="104">
        <f t="shared" ca="1" si="3"/>
        <v>4.8312849537032889</v>
      </c>
      <c r="J29" s="101"/>
      <c r="K29" s="101"/>
      <c r="L29" s="101"/>
      <c r="M29" s="101" t="s">
        <v>41</v>
      </c>
      <c r="N29" s="101" t="s">
        <v>42</v>
      </c>
      <c r="O29" s="101"/>
      <c r="P29" s="101"/>
      <c r="Q29" s="101"/>
      <c r="R29" s="101" t="s">
        <v>2378</v>
      </c>
      <c r="S29" s="101" t="s">
        <v>75</v>
      </c>
      <c r="T29" s="101" t="s">
        <v>1688</v>
      </c>
      <c r="U29" s="10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0"/>
        <v>OST</v>
      </c>
      <c r="Y29" s="88" t="str">
        <f t="shared" ca="1" si="1"/>
        <v>T&gt;72H</v>
      </c>
      <c r="Z29" s="101">
        <f t="shared" si="2"/>
        <v>1</v>
      </c>
      <c r="AA29" s="101" t="s">
        <v>1566</v>
      </c>
      <c r="AB29" s="101" t="s">
        <v>1554</v>
      </c>
      <c r="AC29" s="105" t="s">
        <v>2390</v>
      </c>
      <c r="AD29" s="106" t="s">
        <v>1994</v>
      </c>
      <c r="AE29" s="101"/>
    </row>
    <row r="30" spans="1:31" ht="116" x14ac:dyDescent="0.35">
      <c r="A30" s="101" t="s">
        <v>1892</v>
      </c>
      <c r="B30" s="101" t="s">
        <v>1893</v>
      </c>
      <c r="C30" s="102"/>
      <c r="D30" s="101"/>
      <c r="E30" s="101" t="s">
        <v>2202</v>
      </c>
      <c r="F30" s="70" t="s">
        <v>53</v>
      </c>
      <c r="G30" s="70" t="s">
        <v>2121</v>
      </c>
      <c r="H30" s="103">
        <v>46175.837430555555</v>
      </c>
      <c r="I30" s="104">
        <f t="shared" ca="1" si="3"/>
        <v>4.8312618055570056</v>
      </c>
      <c r="J30" s="101"/>
      <c r="K30" s="101"/>
      <c r="L30" s="101"/>
      <c r="M30" s="101" t="s">
        <v>41</v>
      </c>
      <c r="N30" s="101" t="s">
        <v>42</v>
      </c>
      <c r="O30" s="101"/>
      <c r="P30" s="101"/>
      <c r="Q30" s="101"/>
      <c r="R30" s="101" t="s">
        <v>2378</v>
      </c>
      <c r="S30" s="101" t="s">
        <v>75</v>
      </c>
      <c r="T30" s="101" t="s">
        <v>1688</v>
      </c>
      <c r="U30" s="101" t="s">
        <v>1688</v>
      </c>
      <c r="V30" s="101" t="str">
        <f>VLOOKUP(B30,[2]Overall!$A:$D,4,0)</f>
        <v>H-TELI</v>
      </c>
      <c r="W30" s="101" t="str">
        <f>VLOOKUP(B30,[3]Sheet1!$A:$B,2,0)</f>
        <v>Santchou</v>
      </c>
      <c r="X30" s="88" t="str">
        <f t="shared" si="0"/>
        <v>OST</v>
      </c>
      <c r="Y30" s="88" t="str">
        <f t="shared" ca="1" si="1"/>
        <v>T&gt;72H</v>
      </c>
      <c r="Z30" s="101">
        <f t="shared" si="2"/>
        <v>1</v>
      </c>
      <c r="AA30" s="101" t="s">
        <v>1566</v>
      </c>
      <c r="AB30" s="101" t="s">
        <v>1554</v>
      </c>
      <c r="AC30" s="105" t="s">
        <v>2390</v>
      </c>
      <c r="AD30" s="106" t="s">
        <v>1994</v>
      </c>
      <c r="AE30" s="101"/>
    </row>
    <row r="31" spans="1:31" ht="116" x14ac:dyDescent="0.35">
      <c r="A31" s="101" t="s">
        <v>1892</v>
      </c>
      <c r="B31" s="101" t="s">
        <v>1893</v>
      </c>
      <c r="C31" s="102"/>
      <c r="D31" s="101"/>
      <c r="E31" s="101" t="s">
        <v>2203</v>
      </c>
      <c r="F31" s="70" t="s">
        <v>53</v>
      </c>
      <c r="G31" s="70" t="s">
        <v>2121</v>
      </c>
      <c r="H31" s="103">
        <v>46175.837430555555</v>
      </c>
      <c r="I31" s="104">
        <f t="shared" ca="1" si="3"/>
        <v>4.8312618055570056</v>
      </c>
      <c r="J31" s="101"/>
      <c r="K31" s="101"/>
      <c r="L31" s="101"/>
      <c r="M31" s="101" t="s">
        <v>41</v>
      </c>
      <c r="N31" s="101" t="s">
        <v>42</v>
      </c>
      <c r="O31" s="101"/>
      <c r="P31" s="101"/>
      <c r="Q31" s="101"/>
      <c r="R31" s="101" t="s">
        <v>2378</v>
      </c>
      <c r="S31" s="101" t="s">
        <v>75</v>
      </c>
      <c r="T31" s="101" t="s">
        <v>1688</v>
      </c>
      <c r="U31" s="101" t="s">
        <v>1688</v>
      </c>
      <c r="V31" s="101" t="str">
        <f>VLOOKUP(B31,[2]Overall!$A:$D,4,0)</f>
        <v>H-TELI</v>
      </c>
      <c r="W31" s="101" t="str">
        <f>VLOOKUP(B31,[3]Sheet1!$A:$B,2,0)</f>
        <v>Santchou</v>
      </c>
      <c r="X31" s="88" t="str">
        <f t="shared" si="0"/>
        <v>OST</v>
      </c>
      <c r="Y31" s="88" t="str">
        <f t="shared" ca="1" si="1"/>
        <v>T&gt;72H</v>
      </c>
      <c r="Z31" s="101">
        <f t="shared" si="2"/>
        <v>1</v>
      </c>
      <c r="AA31" s="101" t="s">
        <v>1566</v>
      </c>
      <c r="AB31" s="101" t="s">
        <v>1554</v>
      </c>
      <c r="AC31" s="105" t="s">
        <v>2390</v>
      </c>
      <c r="AD31" s="106" t="s">
        <v>1994</v>
      </c>
      <c r="AE31" s="101"/>
    </row>
    <row r="32" spans="1:31" ht="116" x14ac:dyDescent="0.35">
      <c r="A32" s="101" t="s">
        <v>1892</v>
      </c>
      <c r="B32" s="101" t="s">
        <v>1893</v>
      </c>
      <c r="C32" s="102"/>
      <c r="D32" s="101"/>
      <c r="E32" s="101" t="s">
        <v>2204</v>
      </c>
      <c r="F32" s="70" t="s">
        <v>53</v>
      </c>
      <c r="G32" s="70" t="s">
        <v>2121</v>
      </c>
      <c r="H32" s="103">
        <v>46175.837430555555</v>
      </c>
      <c r="I32" s="104">
        <f t="shared" ca="1" si="3"/>
        <v>4.8312618055570056</v>
      </c>
      <c r="J32" s="101"/>
      <c r="K32" s="101"/>
      <c r="L32" s="101"/>
      <c r="M32" s="101" t="s">
        <v>41</v>
      </c>
      <c r="N32" s="101" t="s">
        <v>42</v>
      </c>
      <c r="O32" s="101"/>
      <c r="P32" s="101"/>
      <c r="Q32" s="101"/>
      <c r="R32" s="101" t="s">
        <v>2378</v>
      </c>
      <c r="S32" s="101" t="s">
        <v>75</v>
      </c>
      <c r="T32" s="101" t="s">
        <v>1688</v>
      </c>
      <c r="U32" s="101" t="s">
        <v>1688</v>
      </c>
      <c r="V32" s="101" t="str">
        <f>VLOOKUP(B32,[2]Overall!$A:$D,4,0)</f>
        <v>H-TELI</v>
      </c>
      <c r="W32" s="101" t="str">
        <f>VLOOKUP(B32,[3]Sheet1!$A:$B,2,0)</f>
        <v>Santchou</v>
      </c>
      <c r="X32" s="88" t="str">
        <f t="shared" si="0"/>
        <v>OST</v>
      </c>
      <c r="Y32" s="88" t="str">
        <f t="shared" ca="1" si="1"/>
        <v>T&gt;72H</v>
      </c>
      <c r="Z32" s="101">
        <f t="shared" si="2"/>
        <v>1</v>
      </c>
      <c r="AA32" s="101" t="s">
        <v>1566</v>
      </c>
      <c r="AB32" s="101" t="s">
        <v>1554</v>
      </c>
      <c r="AC32" s="105" t="s">
        <v>2390</v>
      </c>
      <c r="AD32" s="106" t="s">
        <v>1994</v>
      </c>
      <c r="AE32" s="101"/>
    </row>
    <row r="33" spans="1:31" ht="391.5" x14ac:dyDescent="0.35">
      <c r="A33" s="101" t="s">
        <v>1917</v>
      </c>
      <c r="B33" s="101" t="s">
        <v>1711</v>
      </c>
      <c r="C33" s="102"/>
      <c r="D33" s="101"/>
      <c r="E33" s="101" t="s">
        <v>49</v>
      </c>
      <c r="F33" s="70" t="s">
        <v>53</v>
      </c>
      <c r="G33" s="70" t="s">
        <v>2121</v>
      </c>
      <c r="H33" s="103">
        <v>46176.253738425927</v>
      </c>
      <c r="I33" s="104">
        <f t="shared" ca="1" si="3"/>
        <v>4.414953935185622</v>
      </c>
      <c r="J33" s="101"/>
      <c r="K33" s="101"/>
      <c r="L33" s="101"/>
      <c r="M33" s="101" t="s">
        <v>38</v>
      </c>
      <c r="N33" s="101" t="s">
        <v>1918</v>
      </c>
      <c r="O33" s="101"/>
      <c r="P33" s="101"/>
      <c r="Q33" s="101"/>
      <c r="R33" s="101" t="s">
        <v>2383</v>
      </c>
      <c r="S33" s="101" t="s">
        <v>75</v>
      </c>
      <c r="T33" s="101" t="s">
        <v>1688</v>
      </c>
      <c r="U33" s="101" t="e">
        <v>#N/A</v>
      </c>
      <c r="V33" s="101" t="str">
        <f>VLOOKUP(B33,[2]Overall!$A:$D,4,0)</f>
        <v>TELEINFRA NORD</v>
      </c>
      <c r="W33" s="101" t="str">
        <f>VLOOKUP(B33,[3]Sheet1!$A:$B,2,0)</f>
        <v>Martap</v>
      </c>
      <c r="X33" s="88" t="str">
        <f t="shared" si="0"/>
        <v>ADM</v>
      </c>
      <c r="Y33" s="88" t="str">
        <f t="shared" ca="1" si="1"/>
        <v>T&gt;72H</v>
      </c>
      <c r="Z33" s="101">
        <f t="shared" si="2"/>
        <v>1</v>
      </c>
      <c r="AA33" s="101" t="s">
        <v>1566</v>
      </c>
      <c r="AB33" s="101" t="s">
        <v>1554</v>
      </c>
      <c r="AC33" s="105" t="s">
        <v>2390</v>
      </c>
      <c r="AD33" s="106" t="s">
        <v>1994</v>
      </c>
      <c r="AE33" s="101"/>
    </row>
    <row r="34" spans="1:31" ht="101.5" x14ac:dyDescent="0.35">
      <c r="A34" s="101" t="s">
        <v>2262</v>
      </c>
      <c r="B34" s="101" t="s">
        <v>2263</v>
      </c>
      <c r="C34" s="102"/>
      <c r="D34" s="101"/>
      <c r="E34" s="101" t="s">
        <v>2264</v>
      </c>
      <c r="F34" s="70" t="s">
        <v>53</v>
      </c>
      <c r="G34" s="70" t="s">
        <v>2121</v>
      </c>
      <c r="H34" s="103">
        <v>46176.41369212963</v>
      </c>
      <c r="I34" s="104">
        <f t="shared" ca="1" si="3"/>
        <v>4.2550002314819722</v>
      </c>
      <c r="J34" s="101"/>
      <c r="K34" s="101"/>
      <c r="L34" s="101"/>
      <c r="M34" s="101" t="s">
        <v>31</v>
      </c>
      <c r="N34" s="101" t="s">
        <v>2265</v>
      </c>
      <c r="O34" s="101"/>
      <c r="P34" s="101"/>
      <c r="Q34" s="101"/>
      <c r="R34" s="101" t="s">
        <v>2377</v>
      </c>
      <c r="S34" s="101" t="s">
        <v>40</v>
      </c>
      <c r="T34" s="101" t="s">
        <v>1898</v>
      </c>
      <c r="U34" s="101" t="s">
        <v>1898</v>
      </c>
      <c r="V34" s="101" t="str">
        <f>VLOOKUP(B34,[2]Overall!$A:$D,4,0)</f>
        <v>TELEINFRA NORD</v>
      </c>
      <c r="W34" s="101" t="str">
        <f>VLOOKUP(B34,[3]Sheet1!$A:$B,2,0)</f>
        <v>Ndiam-badji</v>
      </c>
      <c r="X34" s="88" t="str">
        <f t="shared" ref="X34:X65" si="4">LEFT(B34,3)</f>
        <v>NRD</v>
      </c>
      <c r="Y34" s="88" t="str">
        <f t="shared" ref="Y34:Y65" ca="1" si="5">IF(I34 &lt; 1/24, "T&lt;1H", IF(AND(I34&lt;2/24, I34&gt;1/24), "1H&lt;T&lt;2H", IF(AND(I34&lt;4/24, I34&gt;2/24), "2H&lt;T&lt;4H", IF(AND(I34&lt;8/24, I34&gt;4/24), "4H&lt;T&lt;8H", IF(AND(I34&lt;16/24, I34&gt;8/24), "8H&lt;T&lt;16H",IF(AND(I34&lt;24/24, I34&gt;16/24),"16H&lt;T&lt;24H", IF(AND(I34&lt;48/24, I34&gt;24/24),"24H&lt;T&lt;48H",IF(AND(I34&lt;72/24, I34&gt;24/24),"48H&lt;T&lt;72H", "T&gt;72H"))))))))</f>
        <v>T&gt;72H</v>
      </c>
      <c r="Z34" s="101">
        <f t="shared" ref="Z34:Z65" si="6">IF(OR(E34="", E34="affected_cells=unknown"), "", LEN(E34)-LEN(SUBSTITUTE(E34, ",", "")) + LEN(E34)-LEN(SUBSTITUTE(E34, ";", "")) + 1)</f>
        <v>6</v>
      </c>
      <c r="AA34" s="101" t="s">
        <v>1566</v>
      </c>
      <c r="AB34" s="101" t="s">
        <v>1554</v>
      </c>
      <c r="AC34" s="105" t="s">
        <v>2390</v>
      </c>
      <c r="AD34" s="106" t="s">
        <v>1994</v>
      </c>
      <c r="AE34" s="101"/>
    </row>
    <row r="35" spans="1:31" ht="101.5" x14ac:dyDescent="0.35">
      <c r="A35" s="101" t="s">
        <v>2262</v>
      </c>
      <c r="B35" s="101" t="s">
        <v>2263</v>
      </c>
      <c r="C35" s="102"/>
      <c r="D35" s="101"/>
      <c r="E35" s="101" t="s">
        <v>2264</v>
      </c>
      <c r="F35" s="70" t="s">
        <v>53</v>
      </c>
      <c r="G35" s="70" t="s">
        <v>2121</v>
      </c>
      <c r="H35" s="103">
        <v>46176.450185185182</v>
      </c>
      <c r="I35" s="104">
        <f t="shared" ca="1" si="3"/>
        <v>4.2185071759304265</v>
      </c>
      <c r="J35" s="101"/>
      <c r="K35" s="101"/>
      <c r="L35" s="101"/>
      <c r="M35" s="101" t="s">
        <v>1713</v>
      </c>
      <c r="N35" s="101" t="s">
        <v>2266</v>
      </c>
      <c r="O35" s="101"/>
      <c r="P35" s="101"/>
      <c r="Q35" s="101"/>
      <c r="R35" s="101" t="s">
        <v>2377</v>
      </c>
      <c r="S35" s="101" t="s">
        <v>40</v>
      </c>
      <c r="T35" s="101" t="s">
        <v>1898</v>
      </c>
      <c r="U35" s="101" t="s">
        <v>1898</v>
      </c>
      <c r="V35" s="101" t="str">
        <f>VLOOKUP(B35,[2]Overall!$A:$D,4,0)</f>
        <v>TELEINFRA NORD</v>
      </c>
      <c r="W35" s="101" t="str">
        <f>VLOOKUP(B35,[3]Sheet1!$A:$B,2,0)</f>
        <v>Ndiam-badji</v>
      </c>
      <c r="X35" s="88" t="str">
        <f t="shared" si="4"/>
        <v>NRD</v>
      </c>
      <c r="Y35" s="88" t="str">
        <f t="shared" ca="1" si="5"/>
        <v>T&gt;72H</v>
      </c>
      <c r="Z35" s="101">
        <f t="shared" si="6"/>
        <v>6</v>
      </c>
      <c r="AA35" s="101" t="s">
        <v>1566</v>
      </c>
      <c r="AB35" s="101" t="s">
        <v>1554</v>
      </c>
      <c r="AC35" s="105" t="s">
        <v>2390</v>
      </c>
      <c r="AD35" s="106" t="s">
        <v>1994</v>
      </c>
      <c r="AE35" s="101"/>
    </row>
    <row r="36" spans="1:31" ht="101.5" x14ac:dyDescent="0.35">
      <c r="A36" s="101" t="s">
        <v>2273</v>
      </c>
      <c r="B36" s="101" t="s">
        <v>2268</v>
      </c>
      <c r="C36" s="102"/>
      <c r="D36" s="101"/>
      <c r="E36" s="101" t="s">
        <v>47</v>
      </c>
      <c r="F36" s="70" t="s">
        <v>53</v>
      </c>
      <c r="G36" s="70" t="s">
        <v>2121</v>
      </c>
      <c r="H36" s="103">
        <v>46176.45108796296</v>
      </c>
      <c r="I36" s="104">
        <f t="shared" ca="1" si="3"/>
        <v>4.2176043981526163</v>
      </c>
      <c r="J36" s="101"/>
      <c r="K36" s="101"/>
      <c r="L36" s="101"/>
      <c r="M36" s="101" t="s">
        <v>31</v>
      </c>
      <c r="N36" s="101" t="s">
        <v>2274</v>
      </c>
      <c r="O36" s="101"/>
      <c r="P36" s="101"/>
      <c r="Q36" s="101"/>
      <c r="R36" s="101" t="s">
        <v>2374</v>
      </c>
      <c r="S36" s="101" t="s">
        <v>40</v>
      </c>
      <c r="T36" s="101" t="s">
        <v>1898</v>
      </c>
      <c r="U36" s="101" t="s">
        <v>1898</v>
      </c>
      <c r="V36" s="101" t="str">
        <f>VLOOKUP(B36,[2]Overall!$A:$D,4,0)</f>
        <v>TELEINFRA NORD</v>
      </c>
      <c r="W36" s="101" t="str">
        <f>VLOOKUP(B36,[3]Sheet1!$A:$B,2,0)</f>
        <v>Dabanga</v>
      </c>
      <c r="X36" s="88" t="str">
        <f t="shared" si="4"/>
        <v>EXN</v>
      </c>
      <c r="Y36" s="88" t="str">
        <f t="shared" ca="1" si="5"/>
        <v>T&gt;72H</v>
      </c>
      <c r="Z36" s="101">
        <f t="shared" si="6"/>
        <v>3</v>
      </c>
      <c r="AA36" s="101" t="s">
        <v>1566</v>
      </c>
      <c r="AB36" s="101" t="s">
        <v>1554</v>
      </c>
      <c r="AC36" s="105" t="s">
        <v>2390</v>
      </c>
      <c r="AD36" s="106" t="s">
        <v>1994</v>
      </c>
      <c r="AE36" s="101"/>
    </row>
    <row r="37" spans="1:31" ht="101.5" x14ac:dyDescent="0.35">
      <c r="A37" s="101" t="s">
        <v>2273</v>
      </c>
      <c r="B37" s="101" t="s">
        <v>2268</v>
      </c>
      <c r="C37" s="102"/>
      <c r="D37" s="101"/>
      <c r="E37" s="101" t="s">
        <v>35</v>
      </c>
      <c r="F37" s="70" t="s">
        <v>53</v>
      </c>
      <c r="G37" s="70" t="s">
        <v>2121</v>
      </c>
      <c r="H37" s="103">
        <v>46176.45108796296</v>
      </c>
      <c r="I37" s="104">
        <f t="shared" ca="1" si="3"/>
        <v>4.2176043981526163</v>
      </c>
      <c r="J37" s="101"/>
      <c r="K37" s="101"/>
      <c r="L37" s="101"/>
      <c r="M37" s="101" t="s">
        <v>31</v>
      </c>
      <c r="N37" s="101" t="s">
        <v>2275</v>
      </c>
      <c r="O37" s="101"/>
      <c r="P37" s="101"/>
      <c r="Q37" s="101"/>
      <c r="R37" s="101" t="s">
        <v>2374</v>
      </c>
      <c r="S37" s="101" t="s">
        <v>40</v>
      </c>
      <c r="T37" s="101" t="s">
        <v>1898</v>
      </c>
      <c r="U37" s="101" t="s">
        <v>1898</v>
      </c>
      <c r="V37" s="101" t="str">
        <f>VLOOKUP(B37,[2]Overall!$A:$D,4,0)</f>
        <v>TELEINFRA NORD</v>
      </c>
      <c r="W37" s="101" t="str">
        <f>VLOOKUP(B37,[3]Sheet1!$A:$B,2,0)</f>
        <v>Dabanga</v>
      </c>
      <c r="X37" s="88" t="str">
        <f t="shared" si="4"/>
        <v>EXN</v>
      </c>
      <c r="Y37" s="88" t="str">
        <f t="shared" ca="1" si="5"/>
        <v>T&gt;72H</v>
      </c>
      <c r="Z37" s="101">
        <f t="shared" si="6"/>
        <v>3</v>
      </c>
      <c r="AA37" s="101" t="s">
        <v>1566</v>
      </c>
      <c r="AB37" s="101" t="s">
        <v>1554</v>
      </c>
      <c r="AC37" s="105" t="s">
        <v>2390</v>
      </c>
      <c r="AD37" s="106" t="s">
        <v>1994</v>
      </c>
      <c r="AE37" s="101"/>
    </row>
    <row r="38" spans="1:31" ht="87" x14ac:dyDescent="0.35">
      <c r="A38" s="101" t="s">
        <v>1807</v>
      </c>
      <c r="B38" s="101" t="s">
        <v>1808</v>
      </c>
      <c r="C38" s="102"/>
      <c r="D38" s="101"/>
      <c r="E38" s="101" t="s">
        <v>1814</v>
      </c>
      <c r="F38" s="70" t="s">
        <v>53</v>
      </c>
      <c r="G38" s="70" t="s">
        <v>2121</v>
      </c>
      <c r="H38" s="103">
        <v>46176.54959490741</v>
      </c>
      <c r="I38" s="104">
        <f t="shared" ca="1" si="3"/>
        <v>4.1190974537021248</v>
      </c>
      <c r="J38" s="101"/>
      <c r="K38" s="101"/>
      <c r="L38" s="101"/>
      <c r="M38" s="101" t="s">
        <v>41</v>
      </c>
      <c r="N38" s="101" t="s">
        <v>42</v>
      </c>
      <c r="O38" s="101"/>
      <c r="P38" s="101"/>
      <c r="Q38" s="101"/>
      <c r="R38" s="101" t="s">
        <v>2345</v>
      </c>
      <c r="S38" s="101" t="s">
        <v>85</v>
      </c>
      <c r="T38" s="101" t="s">
        <v>1898</v>
      </c>
      <c r="U38" s="101" t="s">
        <v>1898</v>
      </c>
      <c r="V38" s="101" t="str">
        <f>VLOOKUP(B38,[2]Overall!$A:$D,4,0)</f>
        <v>H-TELI</v>
      </c>
      <c r="W38" s="101" t="str">
        <f>VLOOKUP(B38,[3]Sheet1!$A:$B,2,0)</f>
        <v>Songloulou</v>
      </c>
      <c r="X38" s="88" t="str">
        <f t="shared" si="4"/>
        <v>LIT</v>
      </c>
      <c r="Y38" s="88" t="str">
        <f t="shared" ca="1" si="5"/>
        <v>T&gt;72H</v>
      </c>
      <c r="Z38" s="101">
        <f t="shared" si="6"/>
        <v>1</v>
      </c>
      <c r="AA38" s="101" t="s">
        <v>1566</v>
      </c>
      <c r="AB38" s="101" t="s">
        <v>1554</v>
      </c>
      <c r="AC38" s="105" t="s">
        <v>2390</v>
      </c>
      <c r="AD38" s="106" t="s">
        <v>1994</v>
      </c>
      <c r="AE38" s="101"/>
    </row>
    <row r="39" spans="1:31" ht="87" x14ac:dyDescent="0.35">
      <c r="A39" s="101" t="s">
        <v>1807</v>
      </c>
      <c r="B39" s="101" t="s">
        <v>1808</v>
      </c>
      <c r="C39" s="102"/>
      <c r="D39" s="101"/>
      <c r="E39" s="101" t="s">
        <v>1813</v>
      </c>
      <c r="F39" s="70" t="s">
        <v>53</v>
      </c>
      <c r="G39" s="70" t="s">
        <v>2121</v>
      </c>
      <c r="H39" s="103">
        <v>46176.54959490741</v>
      </c>
      <c r="I39" s="104">
        <f t="shared" ca="1" si="3"/>
        <v>4.1190974537021248</v>
      </c>
      <c r="J39" s="101"/>
      <c r="K39" s="101"/>
      <c r="L39" s="101"/>
      <c r="M39" s="101" t="s">
        <v>41</v>
      </c>
      <c r="N39" s="101" t="s">
        <v>42</v>
      </c>
      <c r="O39" s="101"/>
      <c r="P39" s="101"/>
      <c r="Q39" s="101"/>
      <c r="R39" s="101" t="s">
        <v>2345</v>
      </c>
      <c r="S39" s="101" t="s">
        <v>85</v>
      </c>
      <c r="T39" s="101" t="s">
        <v>1898</v>
      </c>
      <c r="U39" s="101" t="s">
        <v>1898</v>
      </c>
      <c r="V39" s="101" t="str">
        <f>VLOOKUP(B39,[2]Overall!$A:$D,4,0)</f>
        <v>H-TELI</v>
      </c>
      <c r="W39" s="101" t="str">
        <f>VLOOKUP(B39,[3]Sheet1!$A:$B,2,0)</f>
        <v>Songloulou</v>
      </c>
      <c r="X39" s="88" t="str">
        <f t="shared" si="4"/>
        <v>LIT</v>
      </c>
      <c r="Y39" s="88" t="str">
        <f t="shared" ca="1" si="5"/>
        <v>T&gt;72H</v>
      </c>
      <c r="Z39" s="101">
        <f t="shared" si="6"/>
        <v>1</v>
      </c>
      <c r="AA39" s="101" t="s">
        <v>1566</v>
      </c>
      <c r="AB39" s="101" t="s">
        <v>1554</v>
      </c>
      <c r="AC39" s="105" t="s">
        <v>2390</v>
      </c>
      <c r="AD39" s="106" t="s">
        <v>1994</v>
      </c>
      <c r="AE39" s="101"/>
    </row>
    <row r="40" spans="1:31" ht="87" x14ac:dyDescent="0.35">
      <c r="A40" s="101" t="s">
        <v>1807</v>
      </c>
      <c r="B40" s="101" t="s">
        <v>1808</v>
      </c>
      <c r="C40" s="102"/>
      <c r="D40" s="101"/>
      <c r="E40" s="101" t="s">
        <v>1810</v>
      </c>
      <c r="F40" s="70" t="s">
        <v>53</v>
      </c>
      <c r="G40" s="70" t="s">
        <v>2121</v>
      </c>
      <c r="H40" s="103">
        <v>46176.54959490741</v>
      </c>
      <c r="I40" s="104">
        <f t="shared" ca="1" si="3"/>
        <v>4.1190974537021248</v>
      </c>
      <c r="J40" s="101"/>
      <c r="K40" s="101"/>
      <c r="L40" s="101"/>
      <c r="M40" s="101" t="s">
        <v>41</v>
      </c>
      <c r="N40" s="101" t="s">
        <v>42</v>
      </c>
      <c r="O40" s="101"/>
      <c r="P40" s="101"/>
      <c r="Q40" s="101"/>
      <c r="R40" s="101" t="s">
        <v>2345</v>
      </c>
      <c r="S40" s="101" t="s">
        <v>85</v>
      </c>
      <c r="T40" s="101" t="s">
        <v>1898</v>
      </c>
      <c r="U40" s="101" t="s">
        <v>1898</v>
      </c>
      <c r="V40" s="101" t="str">
        <f>VLOOKUP(B40,[2]Overall!$A:$D,4,0)</f>
        <v>H-TELI</v>
      </c>
      <c r="W40" s="101" t="str">
        <f>VLOOKUP(B40,[3]Sheet1!$A:$B,2,0)</f>
        <v>Songloulou</v>
      </c>
      <c r="X40" s="88" t="str">
        <f t="shared" si="4"/>
        <v>LIT</v>
      </c>
      <c r="Y40" s="88" t="str">
        <f t="shared" ca="1" si="5"/>
        <v>T&gt;72H</v>
      </c>
      <c r="Z40" s="101">
        <f t="shared" si="6"/>
        <v>1</v>
      </c>
      <c r="AA40" s="101" t="s">
        <v>1566</v>
      </c>
      <c r="AB40" s="101" t="s">
        <v>1554</v>
      </c>
      <c r="AC40" s="105" t="s">
        <v>2390</v>
      </c>
      <c r="AD40" s="106" t="s">
        <v>1994</v>
      </c>
      <c r="AE40" s="101"/>
    </row>
    <row r="41" spans="1:31" ht="87" x14ac:dyDescent="0.35">
      <c r="A41" s="101" t="s">
        <v>1807</v>
      </c>
      <c r="B41" s="101" t="s">
        <v>1808</v>
      </c>
      <c r="C41" s="102"/>
      <c r="D41" s="101"/>
      <c r="E41" s="101" t="s">
        <v>1817</v>
      </c>
      <c r="F41" s="70" t="s">
        <v>53</v>
      </c>
      <c r="G41" s="70" t="s">
        <v>2121</v>
      </c>
      <c r="H41" s="103">
        <v>46176.54959490741</v>
      </c>
      <c r="I41" s="104">
        <f t="shared" ca="1" si="3"/>
        <v>4.1190974537021248</v>
      </c>
      <c r="J41" s="101"/>
      <c r="K41" s="101"/>
      <c r="L41" s="101"/>
      <c r="M41" s="101" t="s">
        <v>41</v>
      </c>
      <c r="N41" s="101" t="s">
        <v>42</v>
      </c>
      <c r="O41" s="101"/>
      <c r="P41" s="101"/>
      <c r="Q41" s="101"/>
      <c r="R41" s="101" t="s">
        <v>2345</v>
      </c>
      <c r="S41" s="101" t="s">
        <v>85</v>
      </c>
      <c r="T41" s="101" t="s">
        <v>1898</v>
      </c>
      <c r="U41" s="101" t="s">
        <v>1898</v>
      </c>
      <c r="V41" s="101" t="str">
        <f>VLOOKUP(B41,[2]Overall!$A:$D,4,0)</f>
        <v>H-TELI</v>
      </c>
      <c r="W41" s="101" t="str">
        <f>VLOOKUP(B41,[3]Sheet1!$A:$B,2,0)</f>
        <v>Songloulou</v>
      </c>
      <c r="X41" s="88" t="str">
        <f t="shared" si="4"/>
        <v>LIT</v>
      </c>
      <c r="Y41" s="88" t="str">
        <f t="shared" ca="1" si="5"/>
        <v>T&gt;72H</v>
      </c>
      <c r="Z41" s="101">
        <f t="shared" si="6"/>
        <v>1</v>
      </c>
      <c r="AA41" s="101" t="s">
        <v>1566</v>
      </c>
      <c r="AB41" s="101" t="s">
        <v>1554</v>
      </c>
      <c r="AC41" s="105" t="s">
        <v>2390</v>
      </c>
      <c r="AD41" s="106" t="s">
        <v>1994</v>
      </c>
      <c r="AE41" s="101"/>
    </row>
    <row r="42" spans="1:31" ht="87" x14ac:dyDescent="0.35">
      <c r="A42" s="101" t="s">
        <v>1807</v>
      </c>
      <c r="B42" s="101" t="s">
        <v>1808</v>
      </c>
      <c r="C42" s="102"/>
      <c r="D42" s="101"/>
      <c r="E42" s="101" t="s">
        <v>1809</v>
      </c>
      <c r="F42" s="70" t="s">
        <v>53</v>
      </c>
      <c r="G42" s="70" t="s">
        <v>2121</v>
      </c>
      <c r="H42" s="103">
        <v>46176.549583333333</v>
      </c>
      <c r="I42" s="104">
        <f t="shared" ca="1" si="3"/>
        <v>4.1191090277789044</v>
      </c>
      <c r="J42" s="101"/>
      <c r="K42" s="101"/>
      <c r="L42" s="101"/>
      <c r="M42" s="101" t="s">
        <v>41</v>
      </c>
      <c r="N42" s="101" t="s">
        <v>42</v>
      </c>
      <c r="O42" s="101"/>
      <c r="P42" s="101"/>
      <c r="Q42" s="101"/>
      <c r="R42" s="101" t="s">
        <v>2345</v>
      </c>
      <c r="S42" s="101" t="s">
        <v>85</v>
      </c>
      <c r="T42" s="101" t="s">
        <v>1898</v>
      </c>
      <c r="U42" s="101" t="s">
        <v>1898</v>
      </c>
      <c r="V42" s="101" t="str">
        <f>VLOOKUP(B42,[2]Overall!$A:$D,4,0)</f>
        <v>H-TELI</v>
      </c>
      <c r="W42" s="101" t="str">
        <f>VLOOKUP(B42,[3]Sheet1!$A:$B,2,0)</f>
        <v>Songloulou</v>
      </c>
      <c r="X42" s="88" t="str">
        <f t="shared" si="4"/>
        <v>LIT</v>
      </c>
      <c r="Y42" s="88" t="str">
        <f t="shared" ca="1" si="5"/>
        <v>T&gt;72H</v>
      </c>
      <c r="Z42" s="101">
        <f t="shared" si="6"/>
        <v>1</v>
      </c>
      <c r="AA42" s="101" t="s">
        <v>1566</v>
      </c>
      <c r="AB42" s="101" t="s">
        <v>1554</v>
      </c>
      <c r="AC42" s="105" t="s">
        <v>2390</v>
      </c>
      <c r="AD42" s="106" t="s">
        <v>1994</v>
      </c>
      <c r="AE42" s="101"/>
    </row>
    <row r="43" spans="1:31" ht="87" x14ac:dyDescent="0.35">
      <c r="A43" s="101" t="s">
        <v>1807</v>
      </c>
      <c r="B43" s="101" t="s">
        <v>1808</v>
      </c>
      <c r="C43" s="102"/>
      <c r="D43" s="101"/>
      <c r="E43" s="101" t="s">
        <v>1816</v>
      </c>
      <c r="F43" s="70" t="s">
        <v>53</v>
      </c>
      <c r="G43" s="70" t="s">
        <v>2121</v>
      </c>
      <c r="H43" s="103">
        <v>46176.54959490741</v>
      </c>
      <c r="I43" s="104">
        <f t="shared" ca="1" si="3"/>
        <v>4.1190974537021248</v>
      </c>
      <c r="J43" s="101"/>
      <c r="K43" s="101"/>
      <c r="L43" s="101"/>
      <c r="M43" s="101" t="s">
        <v>41</v>
      </c>
      <c r="N43" s="101" t="s">
        <v>42</v>
      </c>
      <c r="O43" s="101"/>
      <c r="P43" s="101"/>
      <c r="Q43" s="101"/>
      <c r="R43" s="101" t="s">
        <v>2345</v>
      </c>
      <c r="S43" s="101" t="s">
        <v>85</v>
      </c>
      <c r="T43" s="101" t="s">
        <v>1898</v>
      </c>
      <c r="U43" s="101" t="s">
        <v>1898</v>
      </c>
      <c r="V43" s="101" t="str">
        <f>VLOOKUP(B43,[2]Overall!$A:$D,4,0)</f>
        <v>H-TELI</v>
      </c>
      <c r="W43" s="101" t="str">
        <f>VLOOKUP(B43,[3]Sheet1!$A:$B,2,0)</f>
        <v>Songloulou</v>
      </c>
      <c r="X43" s="88" t="str">
        <f t="shared" si="4"/>
        <v>LIT</v>
      </c>
      <c r="Y43" s="88" t="str">
        <f t="shared" ca="1" si="5"/>
        <v>T&gt;72H</v>
      </c>
      <c r="Z43" s="101">
        <f t="shared" si="6"/>
        <v>1</v>
      </c>
      <c r="AA43" s="101" t="s">
        <v>1566</v>
      </c>
      <c r="AB43" s="101" t="s">
        <v>1554</v>
      </c>
      <c r="AC43" s="105" t="s">
        <v>2390</v>
      </c>
      <c r="AD43" s="106" t="s">
        <v>1994</v>
      </c>
      <c r="AE43" s="101"/>
    </row>
    <row r="44" spans="1:31" ht="87" x14ac:dyDescent="0.35">
      <c r="A44" s="101" t="s">
        <v>1807</v>
      </c>
      <c r="B44" s="101" t="s">
        <v>1808</v>
      </c>
      <c r="C44" s="102"/>
      <c r="D44" s="101"/>
      <c r="E44" s="101" t="s">
        <v>1811</v>
      </c>
      <c r="F44" s="70" t="s">
        <v>53</v>
      </c>
      <c r="G44" s="70" t="s">
        <v>2121</v>
      </c>
      <c r="H44" s="103">
        <v>46176.54959490741</v>
      </c>
      <c r="I44" s="104">
        <f t="shared" ca="1" si="3"/>
        <v>4.1190974537021248</v>
      </c>
      <c r="J44" s="101"/>
      <c r="K44" s="101"/>
      <c r="L44" s="101"/>
      <c r="M44" s="101" t="s">
        <v>41</v>
      </c>
      <c r="N44" s="101" t="s">
        <v>42</v>
      </c>
      <c r="O44" s="101"/>
      <c r="P44" s="101"/>
      <c r="Q44" s="101"/>
      <c r="R44" s="101" t="s">
        <v>2345</v>
      </c>
      <c r="S44" s="101" t="s">
        <v>85</v>
      </c>
      <c r="T44" s="101" t="s">
        <v>1898</v>
      </c>
      <c r="U44" s="101" t="s">
        <v>1898</v>
      </c>
      <c r="V44" s="101" t="str">
        <f>VLOOKUP(B44,[2]Overall!$A:$D,4,0)</f>
        <v>H-TELI</v>
      </c>
      <c r="W44" s="101" t="str">
        <f>VLOOKUP(B44,[3]Sheet1!$A:$B,2,0)</f>
        <v>Songloulou</v>
      </c>
      <c r="X44" s="88" t="str">
        <f t="shared" si="4"/>
        <v>LIT</v>
      </c>
      <c r="Y44" s="88" t="str">
        <f t="shared" ca="1" si="5"/>
        <v>T&gt;72H</v>
      </c>
      <c r="Z44" s="101">
        <f t="shared" si="6"/>
        <v>1</v>
      </c>
      <c r="AA44" s="101" t="s">
        <v>1566</v>
      </c>
      <c r="AB44" s="101" t="s">
        <v>1554</v>
      </c>
      <c r="AC44" s="105" t="s">
        <v>2390</v>
      </c>
      <c r="AD44" s="106" t="s">
        <v>1994</v>
      </c>
      <c r="AE44" s="101"/>
    </row>
    <row r="45" spans="1:31" ht="87" x14ac:dyDescent="0.35">
      <c r="A45" s="101" t="s">
        <v>1807</v>
      </c>
      <c r="B45" s="101" t="s">
        <v>1808</v>
      </c>
      <c r="C45" s="102"/>
      <c r="D45" s="101"/>
      <c r="E45" s="101" t="s">
        <v>1815</v>
      </c>
      <c r="F45" s="70" t="s">
        <v>53</v>
      </c>
      <c r="G45" s="70" t="s">
        <v>2121</v>
      </c>
      <c r="H45" s="103">
        <v>46176.54959490741</v>
      </c>
      <c r="I45" s="104">
        <f t="shared" ca="1" si="3"/>
        <v>4.1190974537021248</v>
      </c>
      <c r="J45" s="101"/>
      <c r="K45" s="101"/>
      <c r="L45" s="101"/>
      <c r="M45" s="101" t="s">
        <v>41</v>
      </c>
      <c r="N45" s="101" t="s">
        <v>42</v>
      </c>
      <c r="O45" s="101"/>
      <c r="P45" s="101"/>
      <c r="Q45" s="101"/>
      <c r="R45" s="101" t="s">
        <v>2345</v>
      </c>
      <c r="S45" s="101" t="s">
        <v>85</v>
      </c>
      <c r="T45" s="101" t="s">
        <v>1898</v>
      </c>
      <c r="U45" s="101" t="s">
        <v>1898</v>
      </c>
      <c r="V45" s="101" t="str">
        <f>VLOOKUP(B45,[2]Overall!$A:$D,4,0)</f>
        <v>H-TELI</v>
      </c>
      <c r="W45" s="101" t="str">
        <f>VLOOKUP(B45,[3]Sheet1!$A:$B,2,0)</f>
        <v>Songloulou</v>
      </c>
      <c r="X45" s="88" t="str">
        <f t="shared" si="4"/>
        <v>LIT</v>
      </c>
      <c r="Y45" s="88" t="str">
        <f t="shared" ca="1" si="5"/>
        <v>T&gt;72H</v>
      </c>
      <c r="Z45" s="101">
        <f t="shared" si="6"/>
        <v>1</v>
      </c>
      <c r="AA45" s="101" t="s">
        <v>1566</v>
      </c>
      <c r="AB45" s="101" t="s">
        <v>1554</v>
      </c>
      <c r="AC45" s="105" t="s">
        <v>2390</v>
      </c>
      <c r="AD45" s="106" t="s">
        <v>1994</v>
      </c>
      <c r="AE45" s="101"/>
    </row>
    <row r="46" spans="1:31" ht="87" x14ac:dyDescent="0.35">
      <c r="A46" s="101" t="s">
        <v>1807</v>
      </c>
      <c r="B46" s="101" t="s">
        <v>1808</v>
      </c>
      <c r="C46" s="102"/>
      <c r="D46" s="101"/>
      <c r="E46" s="101" t="s">
        <v>1812</v>
      </c>
      <c r="F46" s="70" t="s">
        <v>53</v>
      </c>
      <c r="G46" s="70" t="s">
        <v>2121</v>
      </c>
      <c r="H46" s="103">
        <v>46176.54959490741</v>
      </c>
      <c r="I46" s="104">
        <f t="shared" ca="1" si="3"/>
        <v>4.1190974537021248</v>
      </c>
      <c r="J46" s="101"/>
      <c r="K46" s="101"/>
      <c r="L46" s="101"/>
      <c r="M46" s="101" t="s">
        <v>41</v>
      </c>
      <c r="N46" s="101" t="s">
        <v>42</v>
      </c>
      <c r="O46" s="101"/>
      <c r="P46" s="101"/>
      <c r="Q46" s="101"/>
      <c r="R46" s="101" t="s">
        <v>2345</v>
      </c>
      <c r="S46" s="101" t="s">
        <v>85</v>
      </c>
      <c r="T46" s="101" t="s">
        <v>1898</v>
      </c>
      <c r="U46" s="101" t="s">
        <v>1898</v>
      </c>
      <c r="V46" s="101" t="str">
        <f>VLOOKUP(B46,[2]Overall!$A:$D,4,0)</f>
        <v>H-TELI</v>
      </c>
      <c r="W46" s="101" t="str">
        <f>VLOOKUP(B46,[3]Sheet1!$A:$B,2,0)</f>
        <v>Songloulou</v>
      </c>
      <c r="X46" s="88" t="str">
        <f t="shared" si="4"/>
        <v>LIT</v>
      </c>
      <c r="Y46" s="88" t="str">
        <f t="shared" ca="1" si="5"/>
        <v>T&gt;72H</v>
      </c>
      <c r="Z46" s="101">
        <f t="shared" si="6"/>
        <v>1</v>
      </c>
      <c r="AA46" s="101" t="s">
        <v>1566</v>
      </c>
      <c r="AB46" s="101" t="s">
        <v>1554</v>
      </c>
      <c r="AC46" s="105" t="s">
        <v>2390</v>
      </c>
      <c r="AD46" s="106" t="s">
        <v>1994</v>
      </c>
      <c r="AE46" s="101"/>
    </row>
    <row r="47" spans="1:31" ht="72.5" x14ac:dyDescent="0.35">
      <c r="A47" s="101" t="s">
        <v>2316</v>
      </c>
      <c r="B47" s="101" t="s">
        <v>2317</v>
      </c>
      <c r="C47" s="102"/>
      <c r="D47" s="101"/>
      <c r="E47" s="101" t="s">
        <v>2318</v>
      </c>
      <c r="F47" s="70" t="s">
        <v>53</v>
      </c>
      <c r="G47" s="70" t="s">
        <v>2121</v>
      </c>
      <c r="H47" s="103">
        <v>46176.571331018517</v>
      </c>
      <c r="I47" s="104">
        <f t="shared" ca="1" si="3"/>
        <v>4.097361342595832</v>
      </c>
      <c r="J47" s="101"/>
      <c r="K47" s="101"/>
      <c r="L47" s="101"/>
      <c r="M47" s="101" t="s">
        <v>38</v>
      </c>
      <c r="N47" s="101" t="s">
        <v>2319</v>
      </c>
      <c r="O47" s="101"/>
      <c r="P47" s="101"/>
      <c r="Q47" s="101"/>
      <c r="R47" s="101" t="s">
        <v>2405</v>
      </c>
      <c r="S47" s="101" t="s">
        <v>85</v>
      </c>
      <c r="T47" s="101" t="s">
        <v>1898</v>
      </c>
      <c r="U47" s="101" t="s">
        <v>1898</v>
      </c>
      <c r="V47" s="101" t="str">
        <f>VLOOKUP(B47,[2]Overall!$A:$D,4,0)</f>
        <v>H-TELI</v>
      </c>
      <c r="W47" s="101" t="str">
        <f>VLOOKUP(B47,[3]Sheet1!$A:$B,2,0)</f>
        <v>Logbong</v>
      </c>
      <c r="X47" s="88" t="str">
        <f t="shared" si="4"/>
        <v>LIT</v>
      </c>
      <c r="Y47" s="88" t="str">
        <f t="shared" ca="1" si="5"/>
        <v>T&gt;72H</v>
      </c>
      <c r="Z47" s="101">
        <f t="shared" si="6"/>
        <v>6</v>
      </c>
      <c r="AA47" s="101" t="s">
        <v>1566</v>
      </c>
      <c r="AB47" s="101" t="s">
        <v>1554</v>
      </c>
      <c r="AC47" s="105" t="s">
        <v>2390</v>
      </c>
      <c r="AD47" s="106" t="s">
        <v>1994</v>
      </c>
      <c r="AE47" s="101"/>
    </row>
    <row r="48" spans="1:31" ht="87" x14ac:dyDescent="0.35">
      <c r="A48" s="101" t="s">
        <v>1611</v>
      </c>
      <c r="B48" s="101" t="s">
        <v>1610</v>
      </c>
      <c r="C48" s="102"/>
      <c r="D48" s="101"/>
      <c r="E48" s="101" t="s">
        <v>1614</v>
      </c>
      <c r="F48" s="70" t="s">
        <v>53</v>
      </c>
      <c r="G48" s="70" t="s">
        <v>2121</v>
      </c>
      <c r="H48" s="103">
        <v>46176.618125000001</v>
      </c>
      <c r="I48" s="104">
        <f t="shared" ca="1" si="3"/>
        <v>4.0505673611114617</v>
      </c>
      <c r="J48" s="101"/>
      <c r="K48" s="101"/>
      <c r="L48" s="101"/>
      <c r="M48" s="101" t="s">
        <v>41</v>
      </c>
      <c r="N48" s="101" t="s">
        <v>42</v>
      </c>
      <c r="O48" s="101"/>
      <c r="P48" s="101"/>
      <c r="Q48" s="101"/>
      <c r="R48" s="101" t="s">
        <v>2386</v>
      </c>
      <c r="S48" s="101" t="s">
        <v>71</v>
      </c>
      <c r="T48" s="101" t="s">
        <v>1902</v>
      </c>
      <c r="U48" s="101" t="s">
        <v>1896</v>
      </c>
      <c r="V48" s="101" t="str">
        <f>VLOOKUP(B48,[2]Overall!$A:$D,4,0)</f>
        <v>TELEINFRA NORD</v>
      </c>
      <c r="W48" s="101" t="str">
        <f>VLOOKUP(B48,[3]Sheet1!$A:$B,2,0)</f>
        <v>Zileng</v>
      </c>
      <c r="X48" s="88" t="str">
        <f t="shared" si="4"/>
        <v>EXN</v>
      </c>
      <c r="Y48" s="88" t="str">
        <f t="shared" ca="1" si="5"/>
        <v>T&gt;72H</v>
      </c>
      <c r="Z48" s="101">
        <f t="shared" si="6"/>
        <v>1</v>
      </c>
      <c r="AA48" s="101" t="s">
        <v>1566</v>
      </c>
      <c r="AB48" s="101" t="s">
        <v>1554</v>
      </c>
      <c r="AC48" s="105" t="s">
        <v>2390</v>
      </c>
      <c r="AD48" s="106" t="s">
        <v>1994</v>
      </c>
      <c r="AE48" s="101"/>
    </row>
    <row r="49" spans="1:31" ht="87" x14ac:dyDescent="0.35">
      <c r="A49" s="101" t="s">
        <v>1611</v>
      </c>
      <c r="B49" s="101" t="s">
        <v>1610</v>
      </c>
      <c r="C49" s="102"/>
      <c r="D49" s="101"/>
      <c r="E49" s="101" t="s">
        <v>1647</v>
      </c>
      <c r="F49" s="70" t="s">
        <v>53</v>
      </c>
      <c r="G49" s="70" t="s">
        <v>2121</v>
      </c>
      <c r="H49" s="103">
        <v>46176.618113425924</v>
      </c>
      <c r="I49" s="104">
        <f t="shared" ca="1" si="3"/>
        <v>4.0505789351882413</v>
      </c>
      <c r="J49" s="101"/>
      <c r="K49" s="101"/>
      <c r="L49" s="101"/>
      <c r="M49" s="101" t="s">
        <v>41</v>
      </c>
      <c r="N49" s="101" t="s">
        <v>42</v>
      </c>
      <c r="O49" s="101"/>
      <c r="P49" s="101"/>
      <c r="Q49" s="101"/>
      <c r="R49" s="101" t="s">
        <v>2386</v>
      </c>
      <c r="S49" s="101" t="s">
        <v>71</v>
      </c>
      <c r="T49" s="101" t="s">
        <v>1902</v>
      </c>
      <c r="U49" s="101" t="s">
        <v>1896</v>
      </c>
      <c r="V49" s="101" t="str">
        <f>VLOOKUP(B49,[2]Overall!$A:$D,4,0)</f>
        <v>TELEINFRA NORD</v>
      </c>
      <c r="W49" s="101" t="str">
        <f>VLOOKUP(B49,[3]Sheet1!$A:$B,2,0)</f>
        <v>Zileng</v>
      </c>
      <c r="X49" s="88" t="str">
        <f t="shared" si="4"/>
        <v>EXN</v>
      </c>
      <c r="Y49" s="88" t="str">
        <f t="shared" ca="1" si="5"/>
        <v>T&gt;72H</v>
      </c>
      <c r="Z49" s="101">
        <f t="shared" si="6"/>
        <v>1</v>
      </c>
      <c r="AA49" s="101" t="s">
        <v>1566</v>
      </c>
      <c r="AB49" s="101" t="s">
        <v>1554</v>
      </c>
      <c r="AC49" s="105" t="s">
        <v>2390</v>
      </c>
      <c r="AD49" s="106" t="s">
        <v>1994</v>
      </c>
      <c r="AE49" s="101"/>
    </row>
    <row r="50" spans="1:31" ht="87" x14ac:dyDescent="0.35">
      <c r="A50" s="101" t="s">
        <v>1611</v>
      </c>
      <c r="B50" s="101" t="s">
        <v>1610</v>
      </c>
      <c r="C50" s="102"/>
      <c r="D50" s="101"/>
      <c r="E50" s="101" t="s">
        <v>1648</v>
      </c>
      <c r="F50" s="70" t="s">
        <v>53</v>
      </c>
      <c r="G50" s="70" t="s">
        <v>2121</v>
      </c>
      <c r="H50" s="103">
        <v>46176.618125000001</v>
      </c>
      <c r="I50" s="104">
        <f t="shared" ca="1" si="3"/>
        <v>4.0505673611114617</v>
      </c>
      <c r="J50" s="101"/>
      <c r="K50" s="101"/>
      <c r="L50" s="101"/>
      <c r="M50" s="101" t="s">
        <v>41</v>
      </c>
      <c r="N50" s="101" t="s">
        <v>42</v>
      </c>
      <c r="O50" s="101"/>
      <c r="P50" s="101"/>
      <c r="Q50" s="101"/>
      <c r="R50" s="101" t="s">
        <v>2386</v>
      </c>
      <c r="S50" s="101" t="s">
        <v>71</v>
      </c>
      <c r="T50" s="101" t="s">
        <v>1902</v>
      </c>
      <c r="U50" s="101" t="s">
        <v>1896</v>
      </c>
      <c r="V50" s="101" t="str">
        <f>VLOOKUP(B50,[2]Overall!$A:$D,4,0)</f>
        <v>TELEINFRA NORD</v>
      </c>
      <c r="W50" s="101" t="str">
        <f>VLOOKUP(B50,[3]Sheet1!$A:$B,2,0)</f>
        <v>Zileng</v>
      </c>
      <c r="X50" s="88" t="str">
        <f t="shared" si="4"/>
        <v>EXN</v>
      </c>
      <c r="Y50" s="88" t="str">
        <f t="shared" ca="1" si="5"/>
        <v>T&gt;72H</v>
      </c>
      <c r="Z50" s="101">
        <f t="shared" si="6"/>
        <v>1</v>
      </c>
      <c r="AA50" s="101" t="s">
        <v>1566</v>
      </c>
      <c r="AB50" s="101" t="s">
        <v>1554</v>
      </c>
      <c r="AC50" s="105" t="s">
        <v>2390</v>
      </c>
      <c r="AD50" s="106" t="s">
        <v>1994</v>
      </c>
      <c r="AE50" s="101"/>
    </row>
    <row r="51" spans="1:31" ht="87" x14ac:dyDescent="0.35">
      <c r="A51" s="101" t="s">
        <v>1611</v>
      </c>
      <c r="B51" s="101" t="s">
        <v>1610</v>
      </c>
      <c r="C51" s="102"/>
      <c r="D51" s="101"/>
      <c r="E51" s="101" t="s">
        <v>1649</v>
      </c>
      <c r="F51" s="70" t="s">
        <v>53</v>
      </c>
      <c r="G51" s="70" t="s">
        <v>2121</v>
      </c>
      <c r="H51" s="103">
        <v>46176.618101851855</v>
      </c>
      <c r="I51" s="104">
        <f t="shared" ca="1" si="3"/>
        <v>4.050590509257745</v>
      </c>
      <c r="J51" s="101"/>
      <c r="K51" s="101"/>
      <c r="L51" s="101"/>
      <c r="M51" s="101" t="s">
        <v>41</v>
      </c>
      <c r="N51" s="101" t="s">
        <v>42</v>
      </c>
      <c r="O51" s="101"/>
      <c r="P51" s="101"/>
      <c r="Q51" s="101"/>
      <c r="R51" s="101" t="s">
        <v>2386</v>
      </c>
      <c r="S51" s="101" t="s">
        <v>71</v>
      </c>
      <c r="T51" s="101" t="s">
        <v>1902</v>
      </c>
      <c r="U51" s="101" t="s">
        <v>1896</v>
      </c>
      <c r="V51" s="101" t="str">
        <f>VLOOKUP(B51,[2]Overall!$A:$D,4,0)</f>
        <v>TELEINFRA NORD</v>
      </c>
      <c r="W51" s="101" t="str">
        <f>VLOOKUP(B51,[3]Sheet1!$A:$B,2,0)</f>
        <v>Zileng</v>
      </c>
      <c r="X51" s="88" t="str">
        <f t="shared" si="4"/>
        <v>EXN</v>
      </c>
      <c r="Y51" s="88" t="str">
        <f t="shared" ca="1" si="5"/>
        <v>T&gt;72H</v>
      </c>
      <c r="Z51" s="101">
        <f t="shared" si="6"/>
        <v>1</v>
      </c>
      <c r="AA51" s="101" t="s">
        <v>1566</v>
      </c>
      <c r="AB51" s="101" t="s">
        <v>1554</v>
      </c>
      <c r="AC51" s="105" t="s">
        <v>2390</v>
      </c>
      <c r="AD51" s="106" t="s">
        <v>1994</v>
      </c>
      <c r="AE51" s="101"/>
    </row>
    <row r="52" spans="1:31" ht="87" x14ac:dyDescent="0.35">
      <c r="A52" s="101" t="s">
        <v>1611</v>
      </c>
      <c r="B52" s="101" t="s">
        <v>1610</v>
      </c>
      <c r="C52" s="102"/>
      <c r="D52" s="101"/>
      <c r="E52" s="101" t="s">
        <v>1644</v>
      </c>
      <c r="F52" s="70" t="s">
        <v>53</v>
      </c>
      <c r="G52" s="70" t="s">
        <v>2121</v>
      </c>
      <c r="H52" s="103">
        <v>46176.618113425924</v>
      </c>
      <c r="I52" s="104">
        <f t="shared" ca="1" si="3"/>
        <v>4.0505789351882413</v>
      </c>
      <c r="J52" s="101"/>
      <c r="K52" s="101"/>
      <c r="L52" s="101"/>
      <c r="M52" s="101" t="s">
        <v>41</v>
      </c>
      <c r="N52" s="101" t="s">
        <v>42</v>
      </c>
      <c r="O52" s="101"/>
      <c r="P52" s="101"/>
      <c r="Q52" s="101"/>
      <c r="R52" s="101" t="s">
        <v>2386</v>
      </c>
      <c r="S52" s="101" t="s">
        <v>71</v>
      </c>
      <c r="T52" s="101" t="s">
        <v>1902</v>
      </c>
      <c r="U52" s="101" t="s">
        <v>1896</v>
      </c>
      <c r="V52" s="101" t="str">
        <f>VLOOKUP(B52,[2]Overall!$A:$D,4,0)</f>
        <v>TELEINFRA NORD</v>
      </c>
      <c r="W52" s="101" t="str">
        <f>VLOOKUP(B52,[3]Sheet1!$A:$B,2,0)</f>
        <v>Zileng</v>
      </c>
      <c r="X52" s="88" t="str">
        <f t="shared" si="4"/>
        <v>EXN</v>
      </c>
      <c r="Y52" s="88" t="str">
        <f t="shared" ca="1" si="5"/>
        <v>T&gt;72H</v>
      </c>
      <c r="Z52" s="101">
        <f t="shared" si="6"/>
        <v>1</v>
      </c>
      <c r="AA52" s="101" t="s">
        <v>1566</v>
      </c>
      <c r="AB52" s="101" t="s">
        <v>1554</v>
      </c>
      <c r="AC52" s="105" t="s">
        <v>2390</v>
      </c>
      <c r="AD52" s="106" t="s">
        <v>1994</v>
      </c>
      <c r="AE52" s="101"/>
    </row>
    <row r="53" spans="1:31" ht="87" x14ac:dyDescent="0.35">
      <c r="A53" s="101" t="s">
        <v>1611</v>
      </c>
      <c r="B53" s="101" t="s">
        <v>1610</v>
      </c>
      <c r="C53" s="102"/>
      <c r="D53" s="101"/>
      <c r="E53" s="101" t="s">
        <v>1645</v>
      </c>
      <c r="F53" s="70" t="s">
        <v>53</v>
      </c>
      <c r="G53" s="70" t="s">
        <v>2121</v>
      </c>
      <c r="H53" s="103">
        <v>46176.618125000001</v>
      </c>
      <c r="I53" s="104">
        <f t="shared" ca="1" si="3"/>
        <v>4.0505673611114617</v>
      </c>
      <c r="J53" s="101"/>
      <c r="K53" s="101"/>
      <c r="L53" s="101"/>
      <c r="M53" s="101" t="s">
        <v>41</v>
      </c>
      <c r="N53" s="101" t="s">
        <v>42</v>
      </c>
      <c r="O53" s="101"/>
      <c r="P53" s="101"/>
      <c r="Q53" s="101"/>
      <c r="R53" s="101" t="s">
        <v>2386</v>
      </c>
      <c r="S53" s="101" t="s">
        <v>71</v>
      </c>
      <c r="T53" s="101" t="s">
        <v>1902</v>
      </c>
      <c r="U53" s="101" t="s">
        <v>1896</v>
      </c>
      <c r="V53" s="101" t="str">
        <f>VLOOKUP(B53,[2]Overall!$A:$D,4,0)</f>
        <v>TELEINFRA NORD</v>
      </c>
      <c r="W53" s="101" t="str">
        <f>VLOOKUP(B53,[3]Sheet1!$A:$B,2,0)</f>
        <v>Zileng</v>
      </c>
      <c r="X53" s="88" t="str">
        <f t="shared" si="4"/>
        <v>EXN</v>
      </c>
      <c r="Y53" s="88" t="str">
        <f t="shared" ca="1" si="5"/>
        <v>T&gt;72H</v>
      </c>
      <c r="Z53" s="101">
        <f t="shared" si="6"/>
        <v>1</v>
      </c>
      <c r="AA53" s="101" t="s">
        <v>1566</v>
      </c>
      <c r="AB53" s="101" t="s">
        <v>1554</v>
      </c>
      <c r="AC53" s="105" t="s">
        <v>2390</v>
      </c>
      <c r="AD53" s="106" t="s">
        <v>1994</v>
      </c>
      <c r="AE53" s="101"/>
    </row>
    <row r="54" spans="1:31" ht="87" x14ac:dyDescent="0.35">
      <c r="A54" s="101" t="s">
        <v>1611</v>
      </c>
      <c r="B54" s="101" t="s">
        <v>1610</v>
      </c>
      <c r="C54" s="102"/>
      <c r="D54" s="101"/>
      <c r="E54" s="101" t="s">
        <v>1646</v>
      </c>
      <c r="F54" s="70" t="s">
        <v>53</v>
      </c>
      <c r="G54" s="70" t="s">
        <v>2121</v>
      </c>
      <c r="H54" s="103">
        <v>46176.618125000001</v>
      </c>
      <c r="I54" s="104">
        <f t="shared" ca="1" si="3"/>
        <v>4.0505673611114617</v>
      </c>
      <c r="J54" s="101"/>
      <c r="K54" s="101"/>
      <c r="L54" s="101"/>
      <c r="M54" s="101" t="s">
        <v>41</v>
      </c>
      <c r="N54" s="101" t="s">
        <v>42</v>
      </c>
      <c r="O54" s="101"/>
      <c r="P54" s="101"/>
      <c r="Q54" s="101"/>
      <c r="R54" s="101" t="s">
        <v>2386</v>
      </c>
      <c r="S54" s="101" t="s">
        <v>71</v>
      </c>
      <c r="T54" s="101" t="s">
        <v>1902</v>
      </c>
      <c r="U54" s="101" t="s">
        <v>1896</v>
      </c>
      <c r="V54" s="101" t="str">
        <f>VLOOKUP(B54,[2]Overall!$A:$D,4,0)</f>
        <v>TELEINFRA NORD</v>
      </c>
      <c r="W54" s="101" t="str">
        <f>VLOOKUP(B54,[3]Sheet1!$A:$B,2,0)</f>
        <v>Zileng</v>
      </c>
      <c r="X54" s="88" t="str">
        <f t="shared" si="4"/>
        <v>EXN</v>
      </c>
      <c r="Y54" s="88" t="str">
        <f t="shared" ca="1" si="5"/>
        <v>T&gt;72H</v>
      </c>
      <c r="Z54" s="101">
        <f t="shared" si="6"/>
        <v>1</v>
      </c>
      <c r="AA54" s="101" t="s">
        <v>1566</v>
      </c>
      <c r="AB54" s="101" t="s">
        <v>1554</v>
      </c>
      <c r="AC54" s="105" t="s">
        <v>2390</v>
      </c>
      <c r="AD54" s="106" t="s">
        <v>1994</v>
      </c>
      <c r="AE54" s="101"/>
    </row>
    <row r="55" spans="1:31" ht="87" x14ac:dyDescent="0.35">
      <c r="A55" s="101" t="s">
        <v>1611</v>
      </c>
      <c r="B55" s="101" t="s">
        <v>1610</v>
      </c>
      <c r="C55" s="102"/>
      <c r="D55" s="101"/>
      <c r="E55" s="101" t="s">
        <v>1643</v>
      </c>
      <c r="F55" s="70" t="s">
        <v>53</v>
      </c>
      <c r="G55" s="70" t="s">
        <v>2121</v>
      </c>
      <c r="H55" s="103">
        <v>46176.618113425924</v>
      </c>
      <c r="I55" s="104">
        <f t="shared" ca="1" si="3"/>
        <v>4.0505789351882413</v>
      </c>
      <c r="J55" s="101"/>
      <c r="K55" s="101"/>
      <c r="L55" s="101"/>
      <c r="M55" s="101" t="s">
        <v>41</v>
      </c>
      <c r="N55" s="101" t="s">
        <v>42</v>
      </c>
      <c r="O55" s="101"/>
      <c r="P55" s="101"/>
      <c r="Q55" s="101"/>
      <c r="R55" s="101" t="s">
        <v>2386</v>
      </c>
      <c r="S55" s="101" t="s">
        <v>71</v>
      </c>
      <c r="T55" s="101" t="s">
        <v>1902</v>
      </c>
      <c r="U55" s="101" t="s">
        <v>1896</v>
      </c>
      <c r="V55" s="101" t="str">
        <f>VLOOKUP(B55,[2]Overall!$A:$D,4,0)</f>
        <v>TELEINFRA NORD</v>
      </c>
      <c r="W55" s="101" t="str">
        <f>VLOOKUP(B55,[3]Sheet1!$A:$B,2,0)</f>
        <v>Zileng</v>
      </c>
      <c r="X55" s="88" t="str">
        <f t="shared" si="4"/>
        <v>EXN</v>
      </c>
      <c r="Y55" s="88" t="str">
        <f t="shared" ca="1" si="5"/>
        <v>T&gt;72H</v>
      </c>
      <c r="Z55" s="101">
        <f t="shared" si="6"/>
        <v>1</v>
      </c>
      <c r="AA55" s="101" t="s">
        <v>1566</v>
      </c>
      <c r="AB55" s="101" t="s">
        <v>1554</v>
      </c>
      <c r="AC55" s="105" t="s">
        <v>2390</v>
      </c>
      <c r="AD55" s="106" t="s">
        <v>1994</v>
      </c>
      <c r="AE55" s="101"/>
    </row>
    <row r="56" spans="1:31" ht="87" x14ac:dyDescent="0.35">
      <c r="A56" s="101" t="s">
        <v>1611</v>
      </c>
      <c r="B56" s="101" t="s">
        <v>1610</v>
      </c>
      <c r="C56" s="102"/>
      <c r="D56" s="101"/>
      <c r="E56" s="101" t="s">
        <v>1650</v>
      </c>
      <c r="F56" s="70" t="s">
        <v>53</v>
      </c>
      <c r="G56" s="70" t="s">
        <v>2121</v>
      </c>
      <c r="H56" s="103">
        <v>46176.618125000001</v>
      </c>
      <c r="I56" s="104">
        <f t="shared" ca="1" si="3"/>
        <v>4.0505673611114617</v>
      </c>
      <c r="J56" s="101"/>
      <c r="K56" s="101"/>
      <c r="L56" s="101"/>
      <c r="M56" s="101" t="s">
        <v>41</v>
      </c>
      <c r="N56" s="101" t="s">
        <v>42</v>
      </c>
      <c r="O56" s="101"/>
      <c r="P56" s="101"/>
      <c r="Q56" s="101"/>
      <c r="R56" s="101" t="s">
        <v>2386</v>
      </c>
      <c r="S56" s="101" t="s">
        <v>71</v>
      </c>
      <c r="T56" s="101" t="s">
        <v>1902</v>
      </c>
      <c r="U56" s="101" t="s">
        <v>1896</v>
      </c>
      <c r="V56" s="101" t="str">
        <f>VLOOKUP(B56,[2]Overall!$A:$D,4,0)</f>
        <v>TELEINFRA NORD</v>
      </c>
      <c r="W56" s="101" t="str">
        <f>VLOOKUP(B56,[3]Sheet1!$A:$B,2,0)</f>
        <v>Zileng</v>
      </c>
      <c r="X56" s="88" t="str">
        <f t="shared" si="4"/>
        <v>EXN</v>
      </c>
      <c r="Y56" s="88" t="str">
        <f t="shared" ca="1" si="5"/>
        <v>T&gt;72H</v>
      </c>
      <c r="Z56" s="101">
        <f t="shared" si="6"/>
        <v>1</v>
      </c>
      <c r="AA56" s="101" t="s">
        <v>1566</v>
      </c>
      <c r="AB56" s="101" t="s">
        <v>1554</v>
      </c>
      <c r="AC56" s="105" t="s">
        <v>2390</v>
      </c>
      <c r="AD56" s="106" t="s">
        <v>1994</v>
      </c>
      <c r="AE56" s="101"/>
    </row>
    <row r="57" spans="1:31" ht="87" x14ac:dyDescent="0.35">
      <c r="A57" s="101" t="s">
        <v>1611</v>
      </c>
      <c r="B57" s="101" t="s">
        <v>1610</v>
      </c>
      <c r="C57" s="102"/>
      <c r="D57" s="101"/>
      <c r="E57" s="101" t="s">
        <v>1612</v>
      </c>
      <c r="F57" s="70" t="s">
        <v>53</v>
      </c>
      <c r="G57" s="70" t="s">
        <v>2121</v>
      </c>
      <c r="H57" s="103">
        <v>46176.618125000001</v>
      </c>
      <c r="I57" s="104">
        <f t="shared" ca="1" si="3"/>
        <v>4.0505673611114617</v>
      </c>
      <c r="J57" s="101"/>
      <c r="K57" s="101"/>
      <c r="L57" s="101"/>
      <c r="M57" s="101" t="s">
        <v>41</v>
      </c>
      <c r="N57" s="101" t="s">
        <v>42</v>
      </c>
      <c r="O57" s="101"/>
      <c r="P57" s="101"/>
      <c r="Q57" s="101"/>
      <c r="R57" s="101" t="s">
        <v>2386</v>
      </c>
      <c r="S57" s="101" t="s">
        <v>71</v>
      </c>
      <c r="T57" s="101" t="s">
        <v>1902</v>
      </c>
      <c r="U57" s="101" t="s">
        <v>1896</v>
      </c>
      <c r="V57" s="101" t="str">
        <f>VLOOKUP(B57,[2]Overall!$A:$D,4,0)</f>
        <v>TELEINFRA NORD</v>
      </c>
      <c r="W57" s="101" t="str">
        <f>VLOOKUP(B57,[3]Sheet1!$A:$B,2,0)</f>
        <v>Zileng</v>
      </c>
      <c r="X57" s="88" t="str">
        <f t="shared" si="4"/>
        <v>EXN</v>
      </c>
      <c r="Y57" s="88" t="str">
        <f t="shared" ca="1" si="5"/>
        <v>T&gt;72H</v>
      </c>
      <c r="Z57" s="101">
        <f t="shared" si="6"/>
        <v>1</v>
      </c>
      <c r="AA57" s="101" t="s">
        <v>1566</v>
      </c>
      <c r="AB57" s="101" t="s">
        <v>1554</v>
      </c>
      <c r="AC57" s="105" t="s">
        <v>2390</v>
      </c>
      <c r="AD57" s="106" t="s">
        <v>1994</v>
      </c>
      <c r="AE57" s="101"/>
    </row>
    <row r="58" spans="1:31" ht="87" x14ac:dyDescent="0.35">
      <c r="A58" s="101" t="s">
        <v>1611</v>
      </c>
      <c r="B58" s="101" t="s">
        <v>1610</v>
      </c>
      <c r="C58" s="102"/>
      <c r="D58" s="101"/>
      <c r="E58" s="101" t="s">
        <v>1642</v>
      </c>
      <c r="F58" s="70" t="s">
        <v>53</v>
      </c>
      <c r="G58" s="70" t="s">
        <v>2121</v>
      </c>
      <c r="H58" s="103">
        <v>46176.618125000001</v>
      </c>
      <c r="I58" s="104">
        <f t="shared" ca="1" si="3"/>
        <v>4.0505673611114617</v>
      </c>
      <c r="J58" s="101"/>
      <c r="K58" s="101"/>
      <c r="L58" s="101"/>
      <c r="M58" s="101" t="s">
        <v>41</v>
      </c>
      <c r="N58" s="101" t="s">
        <v>42</v>
      </c>
      <c r="O58" s="101"/>
      <c r="P58" s="101"/>
      <c r="Q58" s="101"/>
      <c r="R58" s="101" t="s">
        <v>2386</v>
      </c>
      <c r="S58" s="101" t="s">
        <v>71</v>
      </c>
      <c r="T58" s="101" t="s">
        <v>1902</v>
      </c>
      <c r="U58" s="101" t="s">
        <v>1896</v>
      </c>
      <c r="V58" s="101" t="str">
        <f>VLOOKUP(B58,[2]Overall!$A:$D,4,0)</f>
        <v>TELEINFRA NORD</v>
      </c>
      <c r="W58" s="101" t="str">
        <f>VLOOKUP(B58,[3]Sheet1!$A:$B,2,0)</f>
        <v>Zileng</v>
      </c>
      <c r="X58" s="88" t="str">
        <f t="shared" si="4"/>
        <v>EXN</v>
      </c>
      <c r="Y58" s="88" t="str">
        <f t="shared" ca="1" si="5"/>
        <v>T&gt;72H</v>
      </c>
      <c r="Z58" s="101">
        <f t="shared" si="6"/>
        <v>1</v>
      </c>
      <c r="AA58" s="101" t="s">
        <v>1566</v>
      </c>
      <c r="AB58" s="101" t="s">
        <v>1554</v>
      </c>
      <c r="AC58" s="105" t="s">
        <v>2390</v>
      </c>
      <c r="AD58" s="106" t="s">
        <v>1994</v>
      </c>
      <c r="AE58" s="101"/>
    </row>
    <row r="59" spans="1:31" ht="87" x14ac:dyDescent="0.35">
      <c r="A59" s="101" t="s">
        <v>1611</v>
      </c>
      <c r="B59" s="101" t="s">
        <v>1610</v>
      </c>
      <c r="C59" s="102"/>
      <c r="D59" s="101"/>
      <c r="E59" s="101" t="s">
        <v>1616</v>
      </c>
      <c r="F59" s="70" t="s">
        <v>53</v>
      </c>
      <c r="G59" s="70" t="s">
        <v>2121</v>
      </c>
      <c r="H59" s="103">
        <v>46176.618125000001</v>
      </c>
      <c r="I59" s="104">
        <f t="shared" ca="1" si="3"/>
        <v>4.0505673611114617</v>
      </c>
      <c r="J59" s="101"/>
      <c r="K59" s="101"/>
      <c r="L59" s="101"/>
      <c r="M59" s="101" t="s">
        <v>41</v>
      </c>
      <c r="N59" s="101" t="s">
        <v>42</v>
      </c>
      <c r="O59" s="101"/>
      <c r="P59" s="101"/>
      <c r="Q59" s="101"/>
      <c r="R59" s="101" t="s">
        <v>2386</v>
      </c>
      <c r="S59" s="101" t="s">
        <v>71</v>
      </c>
      <c r="T59" s="101" t="s">
        <v>1902</v>
      </c>
      <c r="U59" s="101" t="s">
        <v>1896</v>
      </c>
      <c r="V59" s="101" t="str">
        <f>VLOOKUP(B59,[2]Overall!$A:$D,4,0)</f>
        <v>TELEINFRA NORD</v>
      </c>
      <c r="W59" s="101" t="str">
        <f>VLOOKUP(B59,[3]Sheet1!$A:$B,2,0)</f>
        <v>Zileng</v>
      </c>
      <c r="X59" s="88" t="str">
        <f t="shared" si="4"/>
        <v>EXN</v>
      </c>
      <c r="Y59" s="88" t="str">
        <f t="shared" ca="1" si="5"/>
        <v>T&gt;72H</v>
      </c>
      <c r="Z59" s="101">
        <f t="shared" si="6"/>
        <v>1</v>
      </c>
      <c r="AA59" s="101" t="s">
        <v>1566</v>
      </c>
      <c r="AB59" s="101" t="s">
        <v>1554</v>
      </c>
      <c r="AC59" s="105" t="s">
        <v>2390</v>
      </c>
      <c r="AD59" s="106" t="s">
        <v>1994</v>
      </c>
      <c r="AE59" s="101"/>
    </row>
    <row r="60" spans="1:31" ht="130.5" x14ac:dyDescent="0.35">
      <c r="A60" s="107" t="s">
        <v>2147</v>
      </c>
      <c r="B60" s="107" t="s">
        <v>2148</v>
      </c>
      <c r="C60" s="110"/>
      <c r="D60" s="107"/>
      <c r="E60" s="107" t="s">
        <v>2149</v>
      </c>
      <c r="F60" s="71" t="s">
        <v>53</v>
      </c>
      <c r="G60" s="71" t="s">
        <v>2121</v>
      </c>
      <c r="H60" s="111">
        <v>46176.646666666667</v>
      </c>
      <c r="I60" s="104">
        <f t="shared" ca="1" si="3"/>
        <v>4.022025694444892</v>
      </c>
      <c r="J60" s="107"/>
      <c r="K60" s="107"/>
      <c r="L60" s="107"/>
      <c r="M60" s="107" t="s">
        <v>33</v>
      </c>
      <c r="N60" s="107" t="s">
        <v>1626</v>
      </c>
      <c r="O60" s="107"/>
      <c r="P60" s="107"/>
      <c r="Q60" s="107"/>
      <c r="R60" s="107" t="s">
        <v>2401</v>
      </c>
      <c r="S60" s="107" t="s">
        <v>40</v>
      </c>
      <c r="T60" s="107" t="s">
        <v>1898</v>
      </c>
      <c r="U60" s="107" t="s">
        <v>1898</v>
      </c>
      <c r="V60" s="107" t="str">
        <f>VLOOKUP(B60,[2]Overall!$A:$D,4,0)</f>
        <v>TELEINFRA NORD</v>
      </c>
      <c r="W60" s="107" t="str">
        <f>VLOOKUP(B60,[3]Sheet1!$A:$B,2,0)</f>
        <v>Mboulai</v>
      </c>
      <c r="X60" s="89" t="str">
        <f t="shared" si="4"/>
        <v>ADM</v>
      </c>
      <c r="Y60" s="89" t="str">
        <f t="shared" ca="1" si="5"/>
        <v>T&gt;72H</v>
      </c>
      <c r="Z60" s="107">
        <f t="shared" si="6"/>
        <v>1</v>
      </c>
      <c r="AA60" s="107" t="s">
        <v>77</v>
      </c>
      <c r="AB60" s="107" t="s">
        <v>1554</v>
      </c>
      <c r="AC60" s="108" t="s">
        <v>2390</v>
      </c>
      <c r="AD60" s="109" t="s">
        <v>1994</v>
      </c>
      <c r="AE60" s="107"/>
    </row>
    <row r="61" spans="1:31" ht="116" x14ac:dyDescent="0.35">
      <c r="A61" s="101" t="s">
        <v>1877</v>
      </c>
      <c r="B61" s="101" t="s">
        <v>1878</v>
      </c>
      <c r="C61" s="102"/>
      <c r="D61" s="101"/>
      <c r="E61" s="101" t="s">
        <v>49</v>
      </c>
      <c r="F61" s="70" t="s">
        <v>53</v>
      </c>
      <c r="G61" s="70" t="s">
        <v>2121</v>
      </c>
      <c r="H61" s="103">
        <v>46176.68891203704</v>
      </c>
      <c r="I61" s="104">
        <f t="shared" ca="1" si="3"/>
        <v>3.9797803240726353</v>
      </c>
      <c r="J61" s="101"/>
      <c r="K61" s="101"/>
      <c r="L61" s="101"/>
      <c r="M61" s="101" t="s">
        <v>38</v>
      </c>
      <c r="N61" s="101" t="s">
        <v>1943</v>
      </c>
      <c r="O61" s="101"/>
      <c r="P61" s="101"/>
      <c r="Q61" s="101"/>
      <c r="R61" s="101" t="s">
        <v>2408</v>
      </c>
      <c r="S61" s="101" t="s">
        <v>85</v>
      </c>
      <c r="T61" s="101" t="s">
        <v>1688</v>
      </c>
      <c r="U61" s="101" t="s">
        <v>1688</v>
      </c>
      <c r="V61" s="101" t="str">
        <f>VLOOKUP(B61,[2]Overall!$A:$D,4,0)</f>
        <v>H-TELI</v>
      </c>
      <c r="W61" s="101" t="str">
        <f>VLOOKUP(B61,[3]Sheet1!$A:$B,2,0)</f>
        <v>Massock-Songloulou</v>
      </c>
      <c r="X61" s="88" t="str">
        <f t="shared" si="4"/>
        <v>LIT</v>
      </c>
      <c r="Y61" s="88" t="str">
        <f t="shared" ca="1" si="5"/>
        <v>T&gt;72H</v>
      </c>
      <c r="Z61" s="101">
        <f t="shared" si="6"/>
        <v>1</v>
      </c>
      <c r="AA61" s="101" t="s">
        <v>1566</v>
      </c>
      <c r="AB61" s="101" t="s">
        <v>1554</v>
      </c>
      <c r="AC61" s="105" t="s">
        <v>2390</v>
      </c>
      <c r="AD61" s="106" t="s">
        <v>1994</v>
      </c>
      <c r="AE61" s="101"/>
    </row>
    <row r="62" spans="1:31" ht="72.5" x14ac:dyDescent="0.35">
      <c r="A62" s="107" t="s">
        <v>2322</v>
      </c>
      <c r="B62" s="107" t="s">
        <v>2323</v>
      </c>
      <c r="C62" s="110"/>
      <c r="D62" s="107"/>
      <c r="E62" s="107" t="s">
        <v>1823</v>
      </c>
      <c r="F62" s="71" t="s">
        <v>53</v>
      </c>
      <c r="G62" s="71" t="s">
        <v>2121</v>
      </c>
      <c r="H62" s="111">
        <v>46176.828912037039</v>
      </c>
      <c r="I62" s="104">
        <f t="shared" ca="1" si="3"/>
        <v>3.8397803240732173</v>
      </c>
      <c r="J62" s="107"/>
      <c r="K62" s="107"/>
      <c r="L62" s="107"/>
      <c r="M62" s="107" t="s">
        <v>2216</v>
      </c>
      <c r="N62" s="107" t="s">
        <v>2324</v>
      </c>
      <c r="O62" s="107"/>
      <c r="P62" s="107"/>
      <c r="Q62" s="107"/>
      <c r="R62" s="107" t="s">
        <v>2413</v>
      </c>
      <c r="S62" s="107" t="s">
        <v>40</v>
      </c>
      <c r="T62" s="107" t="s">
        <v>2406</v>
      </c>
      <c r="U62" s="107" t="s">
        <v>2406</v>
      </c>
      <c r="V62" s="107" t="str">
        <f>VLOOKUP(B62,[2]Overall!$A:$D,4,0)</f>
        <v>TELEINFRA NORD</v>
      </c>
      <c r="W62" s="107" t="str">
        <f>VLOOKUP(B62,[3]Sheet1!$A:$B,2,0)</f>
        <v>Oura-Dara</v>
      </c>
      <c r="X62" s="89" t="str">
        <f t="shared" si="4"/>
        <v>ADM</v>
      </c>
      <c r="Y62" s="89" t="str">
        <f t="shared" ca="1" si="5"/>
        <v>T&gt;72H</v>
      </c>
      <c r="Z62" s="107">
        <f t="shared" si="6"/>
        <v>2</v>
      </c>
      <c r="AA62" s="107" t="s">
        <v>77</v>
      </c>
      <c r="AB62" s="107" t="s">
        <v>1554</v>
      </c>
      <c r="AC62" s="108" t="s">
        <v>2390</v>
      </c>
      <c r="AD62" s="109" t="s">
        <v>1994</v>
      </c>
      <c r="AE62" s="107"/>
    </row>
    <row r="63" spans="1:31" ht="72.5" x14ac:dyDescent="0.35">
      <c r="A63" s="101" t="s">
        <v>1939</v>
      </c>
      <c r="B63" s="101" t="s">
        <v>1940</v>
      </c>
      <c r="C63" s="102"/>
      <c r="D63" s="101"/>
      <c r="E63" s="101" t="s">
        <v>37</v>
      </c>
      <c r="F63" s="70" t="s">
        <v>53</v>
      </c>
      <c r="G63" s="70" t="s">
        <v>2121</v>
      </c>
      <c r="H63" s="103">
        <v>46176.852071759262</v>
      </c>
      <c r="I63" s="104">
        <f t="shared" ca="1" si="3"/>
        <v>3.8166206018504454</v>
      </c>
      <c r="J63" s="101"/>
      <c r="K63" s="101"/>
      <c r="L63" s="101"/>
      <c r="M63" s="101" t="s">
        <v>38</v>
      </c>
      <c r="N63" s="101" t="s">
        <v>1942</v>
      </c>
      <c r="O63" s="101"/>
      <c r="P63" s="101"/>
      <c r="Q63" s="101"/>
      <c r="R63" s="101" t="s">
        <v>2334</v>
      </c>
      <c r="S63" s="101" t="s">
        <v>32</v>
      </c>
      <c r="T63" s="101" t="s">
        <v>1898</v>
      </c>
      <c r="U63" s="101" t="s">
        <v>1898</v>
      </c>
      <c r="V63" s="101" t="str">
        <f>VLOOKUP(B63,[2]Overall!$A:$D,4,0)</f>
        <v xml:space="preserve">I-ENG </v>
      </c>
      <c r="W63" s="101" t="str">
        <f>VLOOKUP(B63,[3]Sheet1!$A:$B,2,0)</f>
        <v>Widikum</v>
      </c>
      <c r="X63" s="88" t="str">
        <f t="shared" si="4"/>
        <v>NRO</v>
      </c>
      <c r="Y63" s="88" t="str">
        <f t="shared" ca="1" si="5"/>
        <v>T&gt;72H</v>
      </c>
      <c r="Z63" s="101">
        <f t="shared" si="6"/>
        <v>1</v>
      </c>
      <c r="AA63" s="101" t="s">
        <v>1566</v>
      </c>
      <c r="AB63" s="101" t="s">
        <v>1554</v>
      </c>
      <c r="AC63" s="105" t="s">
        <v>2390</v>
      </c>
      <c r="AD63" s="106" t="s">
        <v>1994</v>
      </c>
      <c r="AE63" s="101"/>
    </row>
    <row r="64" spans="1:31" ht="58" x14ac:dyDescent="0.35">
      <c r="A64" s="107" t="s">
        <v>2354</v>
      </c>
      <c r="B64" s="107" t="s">
        <v>2355</v>
      </c>
      <c r="C64" s="110"/>
      <c r="D64" s="107"/>
      <c r="E64" s="107" t="s">
        <v>2356</v>
      </c>
      <c r="F64" s="71" t="s">
        <v>53</v>
      </c>
      <c r="G64" s="71" t="s">
        <v>2121</v>
      </c>
      <c r="H64" s="111">
        <v>46176.868483796294</v>
      </c>
      <c r="I64" s="104">
        <f t="shared" ca="1" si="3"/>
        <v>3.8002085648186039</v>
      </c>
      <c r="J64" s="107"/>
      <c r="K64" s="107"/>
      <c r="L64" s="107"/>
      <c r="M64" s="107" t="s">
        <v>33</v>
      </c>
      <c r="N64" s="107" t="s">
        <v>2357</v>
      </c>
      <c r="O64" s="107"/>
      <c r="P64" s="107"/>
      <c r="Q64" s="107"/>
      <c r="R64" s="107" t="s">
        <v>2365</v>
      </c>
      <c r="S64" s="107" t="s">
        <v>51</v>
      </c>
      <c r="T64" s="107" t="s">
        <v>1898</v>
      </c>
      <c r="U64" s="107" t="s">
        <v>1898</v>
      </c>
      <c r="V64" s="107" t="str">
        <f>VLOOKUP(B64,[2]Overall!$A:$D,4,0)</f>
        <v xml:space="preserve">I-ENG </v>
      </c>
      <c r="W64" s="107" t="str">
        <f>VLOOKUP(B64,[3]Sheet1!$A:$B,2,0)</f>
        <v>Sop</v>
      </c>
      <c r="X64" s="89" t="str">
        <f t="shared" si="4"/>
        <v>NRO</v>
      </c>
      <c r="Y64" s="89" t="str">
        <f t="shared" ca="1" si="5"/>
        <v>T&gt;72H</v>
      </c>
      <c r="Z64" s="107">
        <f t="shared" si="6"/>
        <v>2</v>
      </c>
      <c r="AA64" s="107" t="s">
        <v>77</v>
      </c>
      <c r="AB64" s="107" t="s">
        <v>1554</v>
      </c>
      <c r="AC64" s="108" t="s">
        <v>2390</v>
      </c>
      <c r="AD64" s="109" t="s">
        <v>1994</v>
      </c>
      <c r="AE64" s="107"/>
    </row>
    <row r="65" spans="1:31" ht="58" x14ac:dyDescent="0.35">
      <c r="A65" s="101" t="s">
        <v>1820</v>
      </c>
      <c r="B65" s="101" t="s">
        <v>1821</v>
      </c>
      <c r="C65" s="102"/>
      <c r="D65" s="101"/>
      <c r="E65" s="101" t="s">
        <v>2358</v>
      </c>
      <c r="F65" s="70" t="s">
        <v>53</v>
      </c>
      <c r="G65" s="70" t="s">
        <v>2121</v>
      </c>
      <c r="H65" s="103">
        <v>46176.940011574072</v>
      </c>
      <c r="I65" s="104">
        <f t="shared" ca="1" si="3"/>
        <v>3.7286807870405028</v>
      </c>
      <c r="J65" s="101"/>
      <c r="K65" s="101"/>
      <c r="L65" s="101"/>
      <c r="M65" s="101" t="s">
        <v>33</v>
      </c>
      <c r="N65" s="101" t="s">
        <v>2359</v>
      </c>
      <c r="O65" s="101"/>
      <c r="P65" s="101"/>
      <c r="Q65" s="101"/>
      <c r="R65" s="61" t="s">
        <v>2404</v>
      </c>
      <c r="S65" s="61" t="s">
        <v>40</v>
      </c>
      <c r="T65" s="61" t="s">
        <v>1898</v>
      </c>
      <c r="U65" s="61" t="s">
        <v>1898</v>
      </c>
      <c r="V65" s="101" t="str">
        <f>VLOOKUP(B65,[2]Overall!$A:$D,4,0)</f>
        <v>TELEINFRA NORD</v>
      </c>
      <c r="W65" s="101" t="str">
        <f>VLOOKUP(B65,[3]Sheet1!$A:$B,2,0)</f>
        <v>Nganha</v>
      </c>
      <c r="X65" s="88" t="str">
        <f t="shared" si="4"/>
        <v>ADM</v>
      </c>
      <c r="Y65" s="88" t="str">
        <f t="shared" ca="1" si="5"/>
        <v>T&gt;72H</v>
      </c>
      <c r="Z65" s="101">
        <f t="shared" si="6"/>
        <v>2</v>
      </c>
      <c r="AA65" s="101" t="s">
        <v>1566</v>
      </c>
      <c r="AB65" s="101" t="s">
        <v>1554</v>
      </c>
      <c r="AC65" s="105" t="s">
        <v>2390</v>
      </c>
      <c r="AD65" s="106" t="s">
        <v>1994</v>
      </c>
      <c r="AE65" s="101"/>
    </row>
    <row r="66" spans="1:31" ht="174" x14ac:dyDescent="0.35">
      <c r="A66" s="101" t="s">
        <v>1581</v>
      </c>
      <c r="B66" s="101" t="s">
        <v>1582</v>
      </c>
      <c r="C66" s="102"/>
      <c r="D66" s="101"/>
      <c r="E66" s="101" t="s">
        <v>1937</v>
      </c>
      <c r="F66" s="70" t="s">
        <v>53</v>
      </c>
      <c r="G66" s="70" t="s">
        <v>2121</v>
      </c>
      <c r="H66" s="103">
        <v>46177.249444444446</v>
      </c>
      <c r="I66" s="104">
        <f t="shared" ca="1" si="3"/>
        <v>3.4192479166667908</v>
      </c>
      <c r="J66" s="101"/>
      <c r="K66" s="101"/>
      <c r="L66" s="101"/>
      <c r="M66" s="101" t="s">
        <v>41</v>
      </c>
      <c r="N66" s="101" t="s">
        <v>1938</v>
      </c>
      <c r="O66" s="101"/>
      <c r="P66" s="101"/>
      <c r="Q66" s="101"/>
      <c r="R66" s="101" t="s">
        <v>2371</v>
      </c>
      <c r="S66" s="101" t="s">
        <v>32</v>
      </c>
      <c r="T66" s="101" t="s">
        <v>1840</v>
      </c>
      <c r="U66" s="101" t="s">
        <v>1840</v>
      </c>
      <c r="V66" s="101" t="str">
        <f>VLOOKUP(B66,[2]Overall!$A:$D,4,0)</f>
        <v xml:space="preserve">I-ENG </v>
      </c>
      <c r="W66" s="101" t="str">
        <f>VLOOKUP(B66,[3]Sheet1!$A:$B,2,0)</f>
        <v>Batibo</v>
      </c>
      <c r="X66" s="88" t="str">
        <f t="shared" ref="X66:X78" si="7">LEFT(B66,3)</f>
        <v>NRO</v>
      </c>
      <c r="Y66" s="88" t="str">
        <f t="shared" ref="Y66:Y78" ca="1" si="8">IF(I66 &lt; 1/24, "T&lt;1H", IF(AND(I66&lt;2/24, I66&gt;1/24), "1H&lt;T&lt;2H", IF(AND(I66&lt;4/24, I66&gt;2/24), "2H&lt;T&lt;4H", IF(AND(I66&lt;8/24, I66&gt;4/24), "4H&lt;T&lt;8H", IF(AND(I66&lt;16/24, I66&gt;8/24), "8H&lt;T&lt;16H",IF(AND(I66&lt;24/24, I66&gt;16/24),"16H&lt;T&lt;24H", IF(AND(I66&lt;48/24, I66&gt;24/24),"24H&lt;T&lt;48H",IF(AND(I66&lt;72/24, I66&gt;24/24),"48H&lt;T&lt;72H", "T&gt;72H"))))))))</f>
        <v>T&gt;72H</v>
      </c>
      <c r="Z66" s="101">
        <f t="shared" ref="Z66:Z78" si="9">IF(OR(E66="", E66="affected_cells=unknown"), "", LEN(E66)-LEN(SUBSTITUTE(E66, ",", "")) + LEN(E66)-LEN(SUBSTITUTE(E66, ";", "")) + 1)</f>
        <v>1</v>
      </c>
      <c r="AA66" s="101" t="s">
        <v>1566</v>
      </c>
      <c r="AB66" s="101" t="s">
        <v>1554</v>
      </c>
      <c r="AC66" s="105" t="s">
        <v>2390</v>
      </c>
      <c r="AD66" s="106" t="s">
        <v>1994</v>
      </c>
      <c r="AE66" s="101"/>
    </row>
    <row r="67" spans="1:31" ht="72.5" x14ac:dyDescent="0.35">
      <c r="A67" s="101" t="s">
        <v>2320</v>
      </c>
      <c r="B67" s="101" t="s">
        <v>2317</v>
      </c>
      <c r="C67" s="102"/>
      <c r="D67" s="101"/>
      <c r="E67" s="101" t="s">
        <v>1787</v>
      </c>
      <c r="F67" s="70" t="s">
        <v>53</v>
      </c>
      <c r="G67" s="70" t="s">
        <v>2121</v>
      </c>
      <c r="H67" s="103">
        <v>46177.253946759258</v>
      </c>
      <c r="I67" s="104">
        <f t="shared" ref="I67:I78" ca="1" si="10">NOW()-H67</f>
        <v>3.4147456018545199</v>
      </c>
      <c r="J67" s="101"/>
      <c r="K67" s="101"/>
      <c r="L67" s="101"/>
      <c r="M67" s="101" t="s">
        <v>38</v>
      </c>
      <c r="N67" s="101" t="s">
        <v>2321</v>
      </c>
      <c r="O67" s="101"/>
      <c r="P67" s="101"/>
      <c r="Q67" s="101"/>
      <c r="R67" s="101" t="s">
        <v>2407</v>
      </c>
      <c r="S67" s="101" t="s">
        <v>85</v>
      </c>
      <c r="T67" s="101" t="s">
        <v>1898</v>
      </c>
      <c r="U67" s="101" t="s">
        <v>1898</v>
      </c>
      <c r="V67" s="101" t="str">
        <f>VLOOKUP(B67,[2]Overall!$A:$D,4,0)</f>
        <v>H-TELI</v>
      </c>
      <c r="W67" s="101" t="str">
        <f>VLOOKUP(B67,[3]Sheet1!$A:$B,2,0)</f>
        <v>Logbong</v>
      </c>
      <c r="X67" s="88" t="str">
        <f t="shared" si="7"/>
        <v>LIT</v>
      </c>
      <c r="Y67" s="88" t="str">
        <f t="shared" ca="1" si="8"/>
        <v>T&gt;72H</v>
      </c>
      <c r="Z67" s="101">
        <f t="shared" si="9"/>
        <v>2</v>
      </c>
      <c r="AA67" s="101" t="s">
        <v>1566</v>
      </c>
      <c r="AB67" s="101" t="s">
        <v>1554</v>
      </c>
      <c r="AC67" s="105" t="s">
        <v>2390</v>
      </c>
      <c r="AD67" s="106" t="s">
        <v>1994</v>
      </c>
      <c r="AE67" s="101"/>
    </row>
    <row r="68" spans="1:31" ht="203" x14ac:dyDescent="0.35">
      <c r="A68" s="101" t="s">
        <v>1776</v>
      </c>
      <c r="B68" s="101" t="s">
        <v>1777</v>
      </c>
      <c r="C68" s="102"/>
      <c r="D68" s="101"/>
      <c r="E68" s="101" t="s">
        <v>35</v>
      </c>
      <c r="F68" s="70" t="s">
        <v>53</v>
      </c>
      <c r="G68" s="70" t="s">
        <v>2121</v>
      </c>
      <c r="H68" s="103">
        <v>46177.256041666667</v>
      </c>
      <c r="I68" s="104">
        <f t="shared" ca="1" si="10"/>
        <v>3.412650694444892</v>
      </c>
      <c r="J68" s="101"/>
      <c r="K68" s="101"/>
      <c r="L68" s="101"/>
      <c r="M68" s="101" t="s">
        <v>31</v>
      </c>
      <c r="N68" s="101" t="s">
        <v>1778</v>
      </c>
      <c r="O68" s="101"/>
      <c r="P68" s="101"/>
      <c r="Q68" s="101"/>
      <c r="R68" s="101" t="s">
        <v>2337</v>
      </c>
      <c r="S68" s="101" t="s">
        <v>32</v>
      </c>
      <c r="T68" s="101" t="s">
        <v>1898</v>
      </c>
      <c r="U68" s="101" t="s">
        <v>1898</v>
      </c>
      <c r="V68" s="101" t="str">
        <f>VLOOKUP(B68,[2]Overall!$A:$D,4,0)</f>
        <v xml:space="preserve">I-ENG </v>
      </c>
      <c r="W68" s="101" t="str">
        <f>VLOOKUP(B68,[3]Sheet1!$A:$B,2,0)</f>
        <v>Bafmeng</v>
      </c>
      <c r="X68" s="88" t="str">
        <f t="shared" si="7"/>
        <v>NRO</v>
      </c>
      <c r="Y68" s="88" t="str">
        <f t="shared" ca="1" si="8"/>
        <v>T&gt;72H</v>
      </c>
      <c r="Z68" s="101">
        <f t="shared" si="9"/>
        <v>3</v>
      </c>
      <c r="AA68" s="101" t="s">
        <v>1566</v>
      </c>
      <c r="AB68" s="101" t="s">
        <v>1554</v>
      </c>
      <c r="AC68" s="105" t="s">
        <v>2390</v>
      </c>
      <c r="AD68" s="106" t="s">
        <v>1994</v>
      </c>
      <c r="AE68" s="101"/>
    </row>
    <row r="69" spans="1:31" ht="72.5" x14ac:dyDescent="0.35">
      <c r="A69" s="101" t="s">
        <v>2225</v>
      </c>
      <c r="B69" s="101" t="s">
        <v>2226</v>
      </c>
      <c r="C69" s="102"/>
      <c r="D69" s="101"/>
      <c r="E69" s="101" t="s">
        <v>39</v>
      </c>
      <c r="F69" s="70" t="s">
        <v>53</v>
      </c>
      <c r="G69" s="70" t="s">
        <v>2121</v>
      </c>
      <c r="H69" s="103">
        <v>46177.305810185186</v>
      </c>
      <c r="I69" s="104">
        <f t="shared" ca="1" si="10"/>
        <v>3.362882175926643</v>
      </c>
      <c r="J69" s="101"/>
      <c r="K69" s="101"/>
      <c r="L69" s="101"/>
      <c r="M69" s="101" t="s">
        <v>1712</v>
      </c>
      <c r="N69" s="101" t="s">
        <v>2227</v>
      </c>
      <c r="O69" s="101"/>
      <c r="P69" s="101"/>
      <c r="Q69" s="101"/>
      <c r="R69" s="101" t="s">
        <v>2365</v>
      </c>
      <c r="S69" s="101" t="s">
        <v>51</v>
      </c>
      <c r="T69" s="101" t="s">
        <v>1898</v>
      </c>
      <c r="U69" s="101" t="s">
        <v>1898</v>
      </c>
      <c r="V69" s="101" t="str">
        <f>VLOOKUP(B69,[2]Overall!$A:$D,4,0)</f>
        <v xml:space="preserve">I-ENG </v>
      </c>
      <c r="W69" s="101" t="str">
        <f>VLOOKUP(B69,[3]Sheet1!$A:$B,2,0)</f>
        <v>Matsari</v>
      </c>
      <c r="X69" s="88" t="str">
        <f t="shared" si="7"/>
        <v>CTR</v>
      </c>
      <c r="Y69" s="88" t="str">
        <f t="shared" ca="1" si="8"/>
        <v>T&gt;72H</v>
      </c>
      <c r="Z69" s="101">
        <f t="shared" si="9"/>
        <v>1</v>
      </c>
      <c r="AA69" s="101" t="s">
        <v>1566</v>
      </c>
      <c r="AB69" s="101" t="s">
        <v>1554</v>
      </c>
      <c r="AC69" s="105" t="s">
        <v>2390</v>
      </c>
      <c r="AD69" s="106" t="s">
        <v>1994</v>
      </c>
      <c r="AE69" s="101"/>
    </row>
    <row r="70" spans="1:31" ht="87" x14ac:dyDescent="0.35">
      <c r="A70" s="101" t="s">
        <v>2218</v>
      </c>
      <c r="B70" s="101" t="s">
        <v>2219</v>
      </c>
      <c r="C70" s="102"/>
      <c r="D70" s="101"/>
      <c r="E70" s="101" t="s">
        <v>2223</v>
      </c>
      <c r="F70" s="70" t="s">
        <v>53</v>
      </c>
      <c r="G70" s="70" t="s">
        <v>2121</v>
      </c>
      <c r="H70" s="103">
        <v>46177.319131944445</v>
      </c>
      <c r="I70" s="104">
        <f t="shared" ca="1" si="10"/>
        <v>3.3495604166673729</v>
      </c>
      <c r="J70" s="101"/>
      <c r="K70" s="101"/>
      <c r="L70" s="101"/>
      <c r="M70" s="101" t="s">
        <v>1730</v>
      </c>
      <c r="N70" s="101" t="s">
        <v>2224</v>
      </c>
      <c r="O70" s="101"/>
      <c r="P70" s="101"/>
      <c r="Q70" s="101"/>
      <c r="R70" s="101" t="s">
        <v>2415</v>
      </c>
      <c r="S70" s="101" t="s">
        <v>45</v>
      </c>
      <c r="T70" s="101" t="s">
        <v>1898</v>
      </c>
      <c r="U70" s="101" t="s">
        <v>1898</v>
      </c>
      <c r="V70" s="101" t="str">
        <f>VLOOKUP(B70,[2]Overall!$A:$D,4,0)</f>
        <v>TELEINFRA CENTRE</v>
      </c>
      <c r="W70" s="101" t="str">
        <f>VLOOKUP(B70,[3]Sheet1!$A:$B,2,0)</f>
        <v>Evodoula</v>
      </c>
      <c r="X70" s="88" t="str">
        <f t="shared" si="7"/>
        <v>CTR</v>
      </c>
      <c r="Y70" s="88" t="str">
        <f t="shared" ca="1" si="8"/>
        <v>T&gt;72H</v>
      </c>
      <c r="Z70" s="101">
        <f t="shared" si="9"/>
        <v>2</v>
      </c>
      <c r="AA70" s="101" t="s">
        <v>1566</v>
      </c>
      <c r="AB70" s="101" t="s">
        <v>1554</v>
      </c>
      <c r="AC70" s="105" t="s">
        <v>2390</v>
      </c>
      <c r="AD70" s="106" t="s">
        <v>1994</v>
      </c>
      <c r="AE70" s="101"/>
    </row>
    <row r="71" spans="1:31" ht="72.5" x14ac:dyDescent="0.35">
      <c r="A71" s="101" t="s">
        <v>1705</v>
      </c>
      <c r="B71" s="101" t="s">
        <v>1706</v>
      </c>
      <c r="C71" s="102"/>
      <c r="D71" s="101"/>
      <c r="E71" s="101" t="s">
        <v>48</v>
      </c>
      <c r="F71" s="70" t="s">
        <v>53</v>
      </c>
      <c r="G71" s="70" t="s">
        <v>2121</v>
      </c>
      <c r="H71" s="103">
        <v>46177.386990740742</v>
      </c>
      <c r="I71" s="104">
        <f t="shared" ca="1" si="10"/>
        <v>3.2817016203698586</v>
      </c>
      <c r="J71" s="101"/>
      <c r="K71" s="101"/>
      <c r="L71" s="101"/>
      <c r="M71" s="101" t="s">
        <v>1707</v>
      </c>
      <c r="N71" s="101" t="s">
        <v>1708</v>
      </c>
      <c r="O71" s="101"/>
      <c r="P71" s="101"/>
      <c r="Q71" s="101"/>
      <c r="R71" s="101" t="s">
        <v>2418</v>
      </c>
      <c r="S71" s="101" t="s">
        <v>32</v>
      </c>
      <c r="T71" s="84" t="s">
        <v>1898</v>
      </c>
      <c r="U71" s="61" t="s">
        <v>1898</v>
      </c>
      <c r="V71" s="101" t="str">
        <f>VLOOKUP(B71,[2]Overall!$A:$D,4,0)</f>
        <v xml:space="preserve">I-ENG </v>
      </c>
      <c r="W71" s="101" t="str">
        <f>VLOOKUP(B71,[3]Sheet1!$A:$B,2,0)</f>
        <v>Laising</v>
      </c>
      <c r="X71" s="88" t="str">
        <f t="shared" si="7"/>
        <v>NRO</v>
      </c>
      <c r="Y71" s="88" t="str">
        <f t="shared" ca="1" si="8"/>
        <v>T&gt;72H</v>
      </c>
      <c r="Z71" s="101">
        <f t="shared" si="9"/>
        <v>1</v>
      </c>
      <c r="AA71" s="101" t="s">
        <v>1566</v>
      </c>
      <c r="AB71" s="101" t="s">
        <v>1554</v>
      </c>
      <c r="AC71" s="105" t="s">
        <v>2390</v>
      </c>
      <c r="AD71" s="106" t="s">
        <v>1994</v>
      </c>
      <c r="AE71" s="101"/>
    </row>
    <row r="72" spans="1:31" ht="101.5" x14ac:dyDescent="0.35">
      <c r="A72" s="101" t="s">
        <v>2267</v>
      </c>
      <c r="B72" s="101" t="s">
        <v>2268</v>
      </c>
      <c r="C72" s="102"/>
      <c r="D72" s="101"/>
      <c r="E72" s="101" t="s">
        <v>39</v>
      </c>
      <c r="F72" s="70" t="s">
        <v>53</v>
      </c>
      <c r="G72" s="70" t="s">
        <v>2121</v>
      </c>
      <c r="H72" s="103">
        <v>46177.408888888887</v>
      </c>
      <c r="I72" s="104">
        <f t="shared" ca="1" si="10"/>
        <v>3.2598034722250304</v>
      </c>
      <c r="J72" s="101"/>
      <c r="K72" s="101"/>
      <c r="L72" s="101"/>
      <c r="M72" s="101" t="s">
        <v>2391</v>
      </c>
      <c r="N72" s="101" t="s">
        <v>2392</v>
      </c>
      <c r="O72" s="101"/>
      <c r="P72" s="101"/>
      <c r="Q72" s="101"/>
      <c r="R72" s="101" t="s">
        <v>2374</v>
      </c>
      <c r="S72" s="101" t="s">
        <v>40</v>
      </c>
      <c r="T72" s="101" t="s">
        <v>1898</v>
      </c>
      <c r="U72" s="101" t="s">
        <v>1898</v>
      </c>
      <c r="V72" s="101" t="str">
        <f>VLOOKUP(B72,[2]Overall!$A:$D,4,0)</f>
        <v>TELEINFRA NORD</v>
      </c>
      <c r="W72" s="101" t="str">
        <f>VLOOKUP(B72,[3]Sheet1!$A:$B,2,0)</f>
        <v>Dabanga</v>
      </c>
      <c r="X72" s="88" t="str">
        <f t="shared" si="7"/>
        <v>EXN</v>
      </c>
      <c r="Y72" s="88" t="str">
        <f t="shared" ca="1" si="8"/>
        <v>T&gt;72H</v>
      </c>
      <c r="Z72" s="101">
        <f t="shared" si="9"/>
        <v>1</v>
      </c>
      <c r="AA72" s="101" t="s">
        <v>1566</v>
      </c>
      <c r="AB72" s="101" t="s">
        <v>1554</v>
      </c>
      <c r="AC72" s="105" t="s">
        <v>2390</v>
      </c>
      <c r="AD72" s="106" t="s">
        <v>1994</v>
      </c>
      <c r="AE72" s="101"/>
    </row>
    <row r="73" spans="1:31" ht="101.5" x14ac:dyDescent="0.35">
      <c r="A73" s="101" t="s">
        <v>2267</v>
      </c>
      <c r="B73" s="101" t="s">
        <v>2268</v>
      </c>
      <c r="C73" s="102"/>
      <c r="D73" s="101"/>
      <c r="E73" s="101" t="s">
        <v>34</v>
      </c>
      <c r="F73" s="70" t="s">
        <v>53</v>
      </c>
      <c r="G73" s="70" t="s">
        <v>2121</v>
      </c>
      <c r="H73" s="103">
        <v>46177.417199074072</v>
      </c>
      <c r="I73" s="104">
        <f t="shared" ca="1" si="10"/>
        <v>3.2514932870399207</v>
      </c>
      <c r="J73" s="101"/>
      <c r="K73" s="101"/>
      <c r="L73" s="101"/>
      <c r="M73" s="101" t="s">
        <v>31</v>
      </c>
      <c r="N73" s="101" t="s">
        <v>2272</v>
      </c>
      <c r="O73" s="101"/>
      <c r="P73" s="101"/>
      <c r="Q73" s="101"/>
      <c r="R73" s="101" t="s">
        <v>2374</v>
      </c>
      <c r="S73" s="101" t="s">
        <v>40</v>
      </c>
      <c r="T73" s="101" t="s">
        <v>1898</v>
      </c>
      <c r="U73" s="101" t="s">
        <v>1898</v>
      </c>
      <c r="V73" s="101" t="str">
        <f>VLOOKUP(B73,[2]Overall!$A:$D,4,0)</f>
        <v>TELEINFRA NORD</v>
      </c>
      <c r="W73" s="101" t="str">
        <f>VLOOKUP(B73,[3]Sheet1!$A:$B,2,0)</f>
        <v>Dabanga</v>
      </c>
      <c r="X73" s="88" t="str">
        <f t="shared" si="7"/>
        <v>EXN</v>
      </c>
      <c r="Y73" s="88" t="str">
        <f t="shared" ca="1" si="8"/>
        <v>T&gt;72H</v>
      </c>
      <c r="Z73" s="101">
        <f t="shared" si="9"/>
        <v>1</v>
      </c>
      <c r="AA73" s="101" t="s">
        <v>1566</v>
      </c>
      <c r="AB73" s="101" t="s">
        <v>1554</v>
      </c>
      <c r="AC73" s="105" t="s">
        <v>2390</v>
      </c>
      <c r="AD73" s="106" t="s">
        <v>1994</v>
      </c>
      <c r="AE73" s="101"/>
    </row>
    <row r="74" spans="1:31" ht="43.5" x14ac:dyDescent="0.35">
      <c r="A74" s="101" t="s">
        <v>2393</v>
      </c>
      <c r="B74" s="101" t="s">
        <v>2394</v>
      </c>
      <c r="C74" s="102"/>
      <c r="D74" s="101"/>
      <c r="E74" s="101" t="s">
        <v>34</v>
      </c>
      <c r="F74" s="70" t="s">
        <v>53</v>
      </c>
      <c r="G74" s="70" t="s">
        <v>2121</v>
      </c>
      <c r="H74" s="103">
        <v>46177.47216435185</v>
      </c>
      <c r="I74" s="104">
        <f t="shared" ca="1" si="10"/>
        <v>3.1965280092626926</v>
      </c>
      <c r="J74" s="101"/>
      <c r="K74" s="101"/>
      <c r="L74" s="101"/>
      <c r="M74" s="101" t="s">
        <v>1929</v>
      </c>
      <c r="N74" s="101" t="s">
        <v>2395</v>
      </c>
      <c r="O74" s="101"/>
      <c r="P74" s="101"/>
      <c r="Q74" s="101"/>
      <c r="R74" s="61" t="s">
        <v>2365</v>
      </c>
      <c r="S74" s="61" t="s">
        <v>51</v>
      </c>
      <c r="T74" s="61" t="s">
        <v>1898</v>
      </c>
      <c r="U74" s="61" t="s">
        <v>1898</v>
      </c>
      <c r="V74" s="101" t="e">
        <f>VLOOKUP(B74,[2]Overall!$A:$D,4,0)</f>
        <v>#N/A</v>
      </c>
      <c r="W74" s="101" t="e">
        <f>VLOOKUP(B74,[3]Sheet1!$A:$B,2,0)</f>
        <v>#N/A</v>
      </c>
      <c r="X74" s="88" t="str">
        <f t="shared" si="7"/>
        <v>SUD</v>
      </c>
      <c r="Y74" s="88" t="str">
        <f t="shared" ca="1" si="8"/>
        <v>T&gt;72H</v>
      </c>
      <c r="Z74" s="101">
        <f t="shared" si="9"/>
        <v>1</v>
      </c>
      <c r="AA74" s="101" t="s">
        <v>1566</v>
      </c>
      <c r="AB74" s="101" t="s">
        <v>1555</v>
      </c>
      <c r="AC74" s="105" t="s">
        <v>2390</v>
      </c>
      <c r="AD74" s="106" t="s">
        <v>1994</v>
      </c>
      <c r="AE74" s="101"/>
    </row>
    <row r="75" spans="1:31" ht="43.5" x14ac:dyDescent="0.35">
      <c r="A75" s="101" t="s">
        <v>2396</v>
      </c>
      <c r="B75" s="101" t="s">
        <v>2397</v>
      </c>
      <c r="C75" s="102"/>
      <c r="D75" s="101"/>
      <c r="E75" s="101" t="s">
        <v>2398</v>
      </c>
      <c r="F75" s="70" t="s">
        <v>53</v>
      </c>
      <c r="G75" s="70" t="s">
        <v>2121</v>
      </c>
      <c r="H75" s="103">
        <v>46177.493981481479</v>
      </c>
      <c r="I75" s="104">
        <f t="shared" ca="1" si="10"/>
        <v>3.1747108796334942</v>
      </c>
      <c r="J75" s="101"/>
      <c r="K75" s="101"/>
      <c r="L75" s="101"/>
      <c r="M75" s="101" t="s">
        <v>1732</v>
      </c>
      <c r="N75" s="101" t="s">
        <v>2185</v>
      </c>
      <c r="O75" s="101"/>
      <c r="P75" s="101"/>
      <c r="Q75" s="101"/>
      <c r="R75" s="61" t="s">
        <v>2365</v>
      </c>
      <c r="S75" s="61" t="s">
        <v>51</v>
      </c>
      <c r="T75" s="61" t="s">
        <v>1898</v>
      </c>
      <c r="U75" s="61" t="s">
        <v>1898</v>
      </c>
      <c r="V75" s="101" t="str">
        <f>VLOOKUP(B75,[2]Overall!$A:$D,4,0)</f>
        <v>H-TELI</v>
      </c>
      <c r="W75" s="101" t="str">
        <f>VLOOKUP(B75,[3]Sheet1!$A:$B,2,0)</f>
        <v>Yoyo</v>
      </c>
      <c r="X75" s="88" t="str">
        <f t="shared" si="7"/>
        <v>LIT</v>
      </c>
      <c r="Y75" s="88" t="str">
        <f t="shared" ca="1" si="8"/>
        <v>T&gt;72H</v>
      </c>
      <c r="Z75" s="101">
        <f t="shared" si="9"/>
        <v>3</v>
      </c>
      <c r="AA75" s="101" t="s">
        <v>1566</v>
      </c>
      <c r="AB75" s="101" t="s">
        <v>1555</v>
      </c>
      <c r="AC75" s="105" t="s">
        <v>2390</v>
      </c>
      <c r="AD75" s="106" t="s">
        <v>1994</v>
      </c>
      <c r="AE75" s="101"/>
    </row>
    <row r="76" spans="1:31" ht="101.5" x14ac:dyDescent="0.35">
      <c r="A76" s="101" t="s">
        <v>2276</v>
      </c>
      <c r="B76" s="101" t="s">
        <v>2277</v>
      </c>
      <c r="C76" s="102"/>
      <c r="D76" s="101"/>
      <c r="E76" s="101" t="s">
        <v>2278</v>
      </c>
      <c r="F76" s="70" t="s">
        <v>53</v>
      </c>
      <c r="G76" s="70" t="s">
        <v>2121</v>
      </c>
      <c r="H76" s="103">
        <v>46177.514849537038</v>
      </c>
      <c r="I76" s="104">
        <f t="shared" ca="1" si="10"/>
        <v>3.1538428240746725</v>
      </c>
      <c r="J76" s="101"/>
      <c r="K76" s="101"/>
      <c r="L76" s="101"/>
      <c r="M76" s="101" t="s">
        <v>38</v>
      </c>
      <c r="N76" s="101" t="s">
        <v>2279</v>
      </c>
      <c r="O76" s="101"/>
      <c r="P76" s="101"/>
      <c r="Q76" s="101"/>
      <c r="R76" s="101" t="s">
        <v>2382</v>
      </c>
      <c r="S76" s="101" t="s">
        <v>32</v>
      </c>
      <c r="T76" s="101" t="s">
        <v>1898</v>
      </c>
      <c r="U76" s="101" t="s">
        <v>1898</v>
      </c>
      <c r="V76" s="101" t="str">
        <f>VLOOKUP(B76,[2]Overall!$A:$D,4,0)</f>
        <v xml:space="preserve">I-ENG </v>
      </c>
      <c r="W76" s="101" t="str">
        <f>VLOOKUP(B76,[3]Sheet1!$A:$B,2,0)</f>
        <v>Babanki</v>
      </c>
      <c r="X76" s="88" t="str">
        <f t="shared" si="7"/>
        <v>NRO</v>
      </c>
      <c r="Y76" s="88" t="str">
        <f t="shared" ca="1" si="8"/>
        <v>T&gt;72H</v>
      </c>
      <c r="Z76" s="101">
        <f t="shared" si="9"/>
        <v>2</v>
      </c>
      <c r="AA76" s="101" t="s">
        <v>1566</v>
      </c>
      <c r="AB76" s="101" t="s">
        <v>1554</v>
      </c>
      <c r="AC76" s="105" t="s">
        <v>2390</v>
      </c>
      <c r="AD76" s="106" t="s">
        <v>1994</v>
      </c>
      <c r="AE76" s="101"/>
    </row>
    <row r="77" spans="1:31" ht="72.5" x14ac:dyDescent="0.35">
      <c r="A77" s="101" t="s">
        <v>1939</v>
      </c>
      <c r="B77" s="101" t="s">
        <v>1940</v>
      </c>
      <c r="C77" s="102"/>
      <c r="D77" s="101"/>
      <c r="E77" s="101" t="s">
        <v>35</v>
      </c>
      <c r="F77" s="70" t="s">
        <v>53</v>
      </c>
      <c r="G77" s="70" t="s">
        <v>2121</v>
      </c>
      <c r="H77" s="103">
        <v>46177.518287037034</v>
      </c>
      <c r="I77" s="104">
        <f t="shared" ca="1" si="10"/>
        <v>3.1504053240787471</v>
      </c>
      <c r="J77" s="101"/>
      <c r="K77" s="101"/>
      <c r="L77" s="101"/>
      <c r="M77" s="101" t="s">
        <v>1686</v>
      </c>
      <c r="N77" s="101" t="s">
        <v>2399</v>
      </c>
      <c r="O77" s="101"/>
      <c r="P77" s="101"/>
      <c r="Q77" s="101"/>
      <c r="R77" s="101" t="s">
        <v>2334</v>
      </c>
      <c r="S77" s="101" t="s">
        <v>32</v>
      </c>
      <c r="T77" s="101" t="s">
        <v>1898</v>
      </c>
      <c r="U77" s="101" t="s">
        <v>1898</v>
      </c>
      <c r="V77" s="101" t="str">
        <f>VLOOKUP(B77,[2]Overall!$A:$D,4,0)</f>
        <v xml:space="preserve">I-ENG </v>
      </c>
      <c r="W77" s="101" t="str">
        <f>VLOOKUP(B77,[3]Sheet1!$A:$B,2,0)</f>
        <v>Widikum</v>
      </c>
      <c r="X77" s="88" t="str">
        <f t="shared" si="7"/>
        <v>NRO</v>
      </c>
      <c r="Y77" s="88" t="str">
        <f t="shared" ca="1" si="8"/>
        <v>T&gt;72H</v>
      </c>
      <c r="Z77" s="101">
        <f t="shared" si="9"/>
        <v>3</v>
      </c>
      <c r="AA77" s="101" t="s">
        <v>1566</v>
      </c>
      <c r="AB77" s="101" t="s">
        <v>1554</v>
      </c>
      <c r="AC77" s="105" t="s">
        <v>2390</v>
      </c>
      <c r="AD77" s="106" t="s">
        <v>1994</v>
      </c>
      <c r="AE77" s="101"/>
    </row>
    <row r="78" spans="1:31" ht="145" x14ac:dyDescent="0.35">
      <c r="A78" s="101" t="s">
        <v>2257</v>
      </c>
      <c r="B78" s="101" t="s">
        <v>1796</v>
      </c>
      <c r="C78" s="102"/>
      <c r="D78" s="101"/>
      <c r="E78" s="101" t="s">
        <v>35</v>
      </c>
      <c r="F78" s="70" t="s">
        <v>53</v>
      </c>
      <c r="G78" s="70" t="s">
        <v>2121</v>
      </c>
      <c r="H78" s="103">
        <v>46177.521458333336</v>
      </c>
      <c r="I78" s="104">
        <f t="shared" ca="1" si="10"/>
        <v>3.147234027775994</v>
      </c>
      <c r="J78" s="101"/>
      <c r="K78" s="101"/>
      <c r="L78" s="101"/>
      <c r="M78" s="101" t="s">
        <v>31</v>
      </c>
      <c r="N78" s="101" t="s">
        <v>2400</v>
      </c>
      <c r="O78" s="101"/>
      <c r="P78" s="101"/>
      <c r="Q78" s="101"/>
      <c r="R78" s="101" t="s">
        <v>2389</v>
      </c>
      <c r="S78" s="101" t="s">
        <v>40</v>
      </c>
      <c r="T78" s="101" t="s">
        <v>1899</v>
      </c>
      <c r="U78" s="101" t="s">
        <v>1899</v>
      </c>
      <c r="V78" s="101" t="str">
        <f>VLOOKUP(B78,[2]Overall!$A:$D,4,0)</f>
        <v>TELEINFRA NORD</v>
      </c>
      <c r="W78" s="101" t="str">
        <f>VLOOKUP(B78,[3]Sheet1!$A:$B,2,0)</f>
        <v>Bagarao</v>
      </c>
      <c r="X78" s="88" t="str">
        <f t="shared" si="7"/>
        <v>EXN</v>
      </c>
      <c r="Y78" s="88" t="str">
        <f t="shared" ca="1" si="8"/>
        <v>T&gt;72H</v>
      </c>
      <c r="Z78" s="101">
        <f t="shared" si="9"/>
        <v>3</v>
      </c>
      <c r="AA78" s="101" t="s">
        <v>1566</v>
      </c>
      <c r="AB78" s="101" t="s">
        <v>1554</v>
      </c>
      <c r="AC78" s="105" t="s">
        <v>2390</v>
      </c>
      <c r="AD78" s="106" t="s">
        <v>1994</v>
      </c>
      <c r="AE78" s="101"/>
    </row>
  </sheetData>
  <autoFilter ref="A1:AE78" xr:uid="{AE6A9914-9860-41EB-9CB1-D1864E1CB95C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3122-22FA-4AA9-B682-195542C6DDC2}">
  <sheetPr codeName="Sheet41">
    <tabColor rgb="FFFFFF00"/>
  </sheetPr>
  <dimension ref="A1:AE83"/>
  <sheetViews>
    <sheetView zoomScale="70" zoomScaleNormal="70" workbookViewId="0">
      <pane xSplit="6" topLeftCell="W1" activePane="topRight" state="frozen"/>
      <selection activeCell="AB4" sqref="AB4"/>
      <selection pane="topRight" activeCell="I52" sqref="I52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x14ac:dyDescent="0.3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ca="1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2383</v>
      </c>
      <c r="S2" s="61" t="s">
        <v>75</v>
      </c>
      <c r="T2" s="61" t="s">
        <v>1688</v>
      </c>
      <c r="U2" s="61" t="e">
        <v>#N/A</v>
      </c>
      <c r="V2" s="101" t="str">
        <f>VLOOKUP(B2,[2]Overall!$A:$D,4,0)</f>
        <v>TELEINFRA NORD</v>
      </c>
      <c r="W2" s="101" t="str">
        <f>VLOOKUP(B2,[3]Sheet1!$A:$B,2,0)</f>
        <v>Martap</v>
      </c>
      <c r="X2" s="88" t="str">
        <f t="shared" ref="X2:X43" si="0">LEFT(B2,3)</f>
        <v>ADM</v>
      </c>
      <c r="Y2" s="88" t="str">
        <f t="shared" ref="Y2:Y43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43" si="2">IF(OR(E2="", E2="affected_cells=unknown"), "", LEN(E2)-LEN(SUBSTITUTE(E2, ",", "")) + LEN(E2)-LEN(SUBSTITUTE(E2, ";", "")) + 1)</f>
        <v>1</v>
      </c>
      <c r="AA2" s="61" t="s">
        <v>1566</v>
      </c>
      <c r="AB2" s="61" t="s">
        <v>1554</v>
      </c>
      <c r="AC2" s="105" t="s">
        <v>2423</v>
      </c>
      <c r="AD2" s="106" t="s">
        <v>1994</v>
      </c>
      <c r="AE2" s="61"/>
    </row>
    <row r="3" spans="1:31" ht="319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ref="I3:I66" ca="1" si="3">NOW()-H3</f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101" t="s">
        <v>2456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ca="1" si="1"/>
        <v>T&gt;72H</v>
      </c>
      <c r="Z3" s="101">
        <f t="shared" si="2"/>
        <v>4</v>
      </c>
      <c r="AA3" s="61" t="s">
        <v>1566</v>
      </c>
      <c r="AB3" s="61" t="s">
        <v>1554</v>
      </c>
      <c r="AC3" s="105" t="s">
        <v>2423</v>
      </c>
      <c r="AD3" s="106" t="s">
        <v>1994</v>
      </c>
      <c r="AE3" s="61"/>
    </row>
    <row r="4" spans="1:31" ht="319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3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101" t="s">
        <v>2456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0"/>
        <v>EXN</v>
      </c>
      <c r="Y4" s="88" t="str">
        <f t="shared" ca="1" si="1"/>
        <v>T&gt;72H</v>
      </c>
      <c r="Z4" s="101">
        <f t="shared" si="2"/>
        <v>3</v>
      </c>
      <c r="AA4" s="61" t="s">
        <v>1566</v>
      </c>
      <c r="AB4" s="61" t="s">
        <v>1554</v>
      </c>
      <c r="AC4" s="105" t="s">
        <v>2423</v>
      </c>
      <c r="AD4" s="106" t="s">
        <v>1994</v>
      </c>
      <c r="AE4" s="61"/>
    </row>
    <row r="5" spans="1:31" ht="130.5" x14ac:dyDescent="0.3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3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2244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0"/>
        <v>EXN</v>
      </c>
      <c r="Y5" s="88" t="str">
        <f t="shared" ca="1" si="1"/>
        <v>T&gt;72H</v>
      </c>
      <c r="Z5" s="101">
        <f t="shared" si="2"/>
        <v>1</v>
      </c>
      <c r="AA5" s="61" t="s">
        <v>1566</v>
      </c>
      <c r="AB5" s="61" t="s">
        <v>1554</v>
      </c>
      <c r="AC5" s="105" t="s">
        <v>2423</v>
      </c>
      <c r="AD5" s="106" t="s">
        <v>1994</v>
      </c>
      <c r="AE5" s="61"/>
    </row>
    <row r="6" spans="1:31" ht="174" x14ac:dyDescent="0.35">
      <c r="A6" s="61" t="s">
        <v>1834</v>
      </c>
      <c r="B6" s="61" t="s">
        <v>1835</v>
      </c>
      <c r="C6" s="65"/>
      <c r="D6" s="61"/>
      <c r="E6" s="61" t="s">
        <v>39</v>
      </c>
      <c r="F6" s="70" t="s">
        <v>53</v>
      </c>
      <c r="G6" s="70" t="s">
        <v>2121</v>
      </c>
      <c r="H6" s="67">
        <v>46168.908518518518</v>
      </c>
      <c r="I6" s="75">
        <f t="shared" ca="1" si="3"/>
        <v>11.760173842594668</v>
      </c>
      <c r="J6" s="61"/>
      <c r="K6" s="61"/>
      <c r="L6" s="61"/>
      <c r="M6" s="61" t="s">
        <v>1836</v>
      </c>
      <c r="N6" s="61" t="s">
        <v>1837</v>
      </c>
      <c r="O6" s="61"/>
      <c r="P6" s="61"/>
      <c r="Q6" s="61"/>
      <c r="R6" s="61" t="s">
        <v>2457</v>
      </c>
      <c r="S6" s="61" t="s">
        <v>85</v>
      </c>
      <c r="T6" s="61" t="s">
        <v>1899</v>
      </c>
      <c r="U6" s="61" t="s">
        <v>1899</v>
      </c>
      <c r="V6" s="101" t="str">
        <f>VLOOKUP(B6,[2]Overall!$A:$D,4,0)</f>
        <v>H-TELI</v>
      </c>
      <c r="W6" s="101" t="str">
        <f>VLOOKUP(B6,[3]Sheet1!$A:$B,2,0)</f>
        <v>Ebonji</v>
      </c>
      <c r="X6" s="88" t="str">
        <f t="shared" si="0"/>
        <v>SUO</v>
      </c>
      <c r="Y6" s="88" t="str">
        <f t="shared" ca="1" si="1"/>
        <v>T&gt;72H</v>
      </c>
      <c r="Z6" s="101">
        <f t="shared" si="2"/>
        <v>1</v>
      </c>
      <c r="AA6" s="61" t="s">
        <v>1566</v>
      </c>
      <c r="AB6" s="61" t="s">
        <v>1554</v>
      </c>
      <c r="AC6" s="105" t="s">
        <v>2423</v>
      </c>
      <c r="AD6" s="106" t="s">
        <v>1994</v>
      </c>
      <c r="AE6" s="61"/>
    </row>
    <row r="7" spans="1:31" ht="101.5" x14ac:dyDescent="0.35">
      <c r="A7" s="61" t="s">
        <v>1930</v>
      </c>
      <c r="B7" s="61" t="s">
        <v>1931</v>
      </c>
      <c r="C7" s="65"/>
      <c r="D7" s="61"/>
      <c r="E7" s="61" t="s">
        <v>34</v>
      </c>
      <c r="F7" s="70" t="s">
        <v>53</v>
      </c>
      <c r="G7" s="70" t="s">
        <v>2121</v>
      </c>
      <c r="H7" s="67">
        <v>46172.534074074072</v>
      </c>
      <c r="I7" s="75">
        <f t="shared" ca="1" si="3"/>
        <v>8.1346182870402117</v>
      </c>
      <c r="J7" s="61"/>
      <c r="K7" s="61"/>
      <c r="L7" s="61"/>
      <c r="M7" s="61" t="s">
        <v>1929</v>
      </c>
      <c r="N7" s="61" t="s">
        <v>1932</v>
      </c>
      <c r="O7" s="61"/>
      <c r="P7" s="61"/>
      <c r="Q7" s="61"/>
      <c r="R7" s="61" t="s">
        <v>2079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Mazera</v>
      </c>
      <c r="X7" s="88" t="str">
        <f t="shared" si="0"/>
        <v>EXN</v>
      </c>
      <c r="Y7" s="88" t="str">
        <f t="shared" ca="1" si="1"/>
        <v>T&gt;72H</v>
      </c>
      <c r="Z7" s="101">
        <f t="shared" si="2"/>
        <v>1</v>
      </c>
      <c r="AA7" s="61" t="s">
        <v>1566</v>
      </c>
      <c r="AB7" s="61" t="s">
        <v>1554</v>
      </c>
      <c r="AC7" s="105" t="s">
        <v>2423</v>
      </c>
      <c r="AD7" s="106" t="s">
        <v>1994</v>
      </c>
      <c r="AE7" s="61"/>
    </row>
    <row r="8" spans="1:31" ht="409.5" x14ac:dyDescent="0.35">
      <c r="A8" s="61" t="s">
        <v>1773</v>
      </c>
      <c r="B8" s="61" t="s">
        <v>1774</v>
      </c>
      <c r="C8" s="65"/>
      <c r="D8" s="61"/>
      <c r="E8" s="61" t="s">
        <v>1956</v>
      </c>
      <c r="F8" s="70" t="s">
        <v>53</v>
      </c>
      <c r="G8" s="70" t="s">
        <v>2121</v>
      </c>
      <c r="H8" s="67">
        <v>46172.719837962963</v>
      </c>
      <c r="I8" s="75">
        <f t="shared" ca="1" si="3"/>
        <v>7.948854398149706</v>
      </c>
      <c r="J8" s="61"/>
      <c r="K8" s="61"/>
      <c r="L8" s="61"/>
      <c r="M8" s="61" t="s">
        <v>31</v>
      </c>
      <c r="N8" s="61" t="s">
        <v>1957</v>
      </c>
      <c r="O8" s="61"/>
      <c r="P8" s="61"/>
      <c r="Q8" s="61"/>
      <c r="R8" s="61" t="s">
        <v>2431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ca="1" si="1"/>
        <v>T&gt;72H</v>
      </c>
      <c r="Z8" s="101">
        <f t="shared" si="2"/>
        <v>3</v>
      </c>
      <c r="AA8" s="61" t="s">
        <v>1566</v>
      </c>
      <c r="AB8" s="61" t="s">
        <v>1554</v>
      </c>
      <c r="AC8" s="105" t="s">
        <v>2423</v>
      </c>
      <c r="AD8" s="106" t="s">
        <v>1994</v>
      </c>
      <c r="AE8" s="61"/>
    </row>
    <row r="9" spans="1:31" ht="409.5" x14ac:dyDescent="0.35">
      <c r="A9" s="61" t="s">
        <v>1773</v>
      </c>
      <c r="B9" s="61" t="s">
        <v>1774</v>
      </c>
      <c r="C9" s="65"/>
      <c r="D9" s="61"/>
      <c r="E9" s="61" t="s">
        <v>35</v>
      </c>
      <c r="F9" s="70" t="s">
        <v>53</v>
      </c>
      <c r="G9" s="70" t="s">
        <v>2121</v>
      </c>
      <c r="H9" s="67">
        <v>46172.719837962963</v>
      </c>
      <c r="I9" s="75">
        <f t="shared" ca="1" si="3"/>
        <v>7.948854398149706</v>
      </c>
      <c r="J9" s="61"/>
      <c r="K9" s="61"/>
      <c r="L9" s="61"/>
      <c r="M9" s="61" t="s">
        <v>31</v>
      </c>
      <c r="N9" s="61" t="s">
        <v>1775</v>
      </c>
      <c r="O9" s="61"/>
      <c r="P9" s="61"/>
      <c r="Q9" s="61"/>
      <c r="R9" s="61" t="s">
        <v>2431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0"/>
        <v>NRD</v>
      </c>
      <c r="Y9" s="88" t="str">
        <f t="shared" ca="1" si="1"/>
        <v>T&gt;72H</v>
      </c>
      <c r="Z9" s="101">
        <f t="shared" si="2"/>
        <v>3</v>
      </c>
      <c r="AA9" s="61" t="s">
        <v>1566</v>
      </c>
      <c r="AB9" s="61" t="s">
        <v>1554</v>
      </c>
      <c r="AC9" s="105" t="s">
        <v>2423</v>
      </c>
      <c r="AD9" s="106" t="s">
        <v>1994</v>
      </c>
      <c r="AE9" s="61"/>
    </row>
    <row r="10" spans="1:31" ht="409.5" x14ac:dyDescent="0.35">
      <c r="A10" s="61" t="s">
        <v>1773</v>
      </c>
      <c r="B10" s="61" t="s">
        <v>1774</v>
      </c>
      <c r="C10" s="65"/>
      <c r="D10" s="61"/>
      <c r="E10" s="61" t="s">
        <v>1954</v>
      </c>
      <c r="F10" s="70" t="s">
        <v>53</v>
      </c>
      <c r="G10" s="70" t="s">
        <v>2121</v>
      </c>
      <c r="H10" s="67">
        <v>46172.724965277775</v>
      </c>
      <c r="I10" s="75">
        <f t="shared" ca="1" si="3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2431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0"/>
        <v>NRD</v>
      </c>
      <c r="Y10" s="88" t="str">
        <f t="shared" ca="1" si="1"/>
        <v>T&gt;72H</v>
      </c>
      <c r="Z10" s="101">
        <f t="shared" si="2"/>
        <v>1</v>
      </c>
      <c r="AA10" s="61" t="s">
        <v>1566</v>
      </c>
      <c r="AB10" s="61" t="s">
        <v>1554</v>
      </c>
      <c r="AC10" s="105" t="s">
        <v>2423</v>
      </c>
      <c r="AD10" s="106" t="s">
        <v>1994</v>
      </c>
      <c r="AE10" s="61"/>
    </row>
    <row r="11" spans="1:31" ht="409.5" x14ac:dyDescent="0.35">
      <c r="A11" s="61" t="s">
        <v>1773</v>
      </c>
      <c r="B11" s="61" t="s">
        <v>1774</v>
      </c>
      <c r="C11" s="65"/>
      <c r="D11" s="61"/>
      <c r="E11" s="61" t="s">
        <v>1955</v>
      </c>
      <c r="F11" s="70" t="s">
        <v>53</v>
      </c>
      <c r="G11" s="70" t="s">
        <v>2121</v>
      </c>
      <c r="H11" s="67">
        <v>46172.724965277775</v>
      </c>
      <c r="I11" s="75">
        <f t="shared" ca="1" si="3"/>
        <v>7.943727083336853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2431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0"/>
        <v>NRD</v>
      </c>
      <c r="Y11" s="88" t="str">
        <f t="shared" ca="1" si="1"/>
        <v>T&gt;72H</v>
      </c>
      <c r="Z11" s="101">
        <f t="shared" si="2"/>
        <v>1</v>
      </c>
      <c r="AA11" s="61" t="s">
        <v>1566</v>
      </c>
      <c r="AB11" s="61" t="s">
        <v>1554</v>
      </c>
      <c r="AC11" s="105" t="s">
        <v>2423</v>
      </c>
      <c r="AD11" s="106" t="s">
        <v>1994</v>
      </c>
      <c r="AE11" s="61"/>
    </row>
    <row r="12" spans="1:31" ht="409.5" x14ac:dyDescent="0.35">
      <c r="A12" s="61" t="s">
        <v>1773</v>
      </c>
      <c r="B12" s="61" t="s">
        <v>1774</v>
      </c>
      <c r="C12" s="65"/>
      <c r="D12" s="61"/>
      <c r="E12" s="61" t="s">
        <v>1953</v>
      </c>
      <c r="F12" s="70" t="s">
        <v>53</v>
      </c>
      <c r="G12" s="70" t="s">
        <v>2121</v>
      </c>
      <c r="H12" s="67">
        <v>46172.724965277775</v>
      </c>
      <c r="I12" s="75">
        <f t="shared" ca="1" si="3"/>
        <v>7.943727083336853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61" t="s">
        <v>2431</v>
      </c>
      <c r="S12" s="61" t="s">
        <v>40</v>
      </c>
      <c r="T12" s="61" t="s">
        <v>1898</v>
      </c>
      <c r="U12" s="61" t="s">
        <v>1898</v>
      </c>
      <c r="V12" s="101" t="str">
        <f>VLOOKUP(B12,[2]Overall!$A:$D,4,0)</f>
        <v>TELEINFRA NORD</v>
      </c>
      <c r="W12" s="101" t="str">
        <f>VLOOKUP(B12,[3]Sheet1!$A:$B,2,0)</f>
        <v>Hamalade</v>
      </c>
      <c r="X12" s="88" t="str">
        <f t="shared" si="0"/>
        <v>NRD</v>
      </c>
      <c r="Y12" s="88" t="str">
        <f t="shared" ca="1" si="1"/>
        <v>T&gt;72H</v>
      </c>
      <c r="Z12" s="101">
        <f t="shared" si="2"/>
        <v>1</v>
      </c>
      <c r="AA12" s="61" t="s">
        <v>1566</v>
      </c>
      <c r="AB12" s="61" t="s">
        <v>1554</v>
      </c>
      <c r="AC12" s="105" t="s">
        <v>2423</v>
      </c>
      <c r="AD12" s="106" t="s">
        <v>1994</v>
      </c>
      <c r="AE12" s="61"/>
    </row>
    <row r="13" spans="1:31" ht="406" x14ac:dyDescent="0.35">
      <c r="A13" s="61" t="s">
        <v>1724</v>
      </c>
      <c r="B13" s="61" t="s">
        <v>1725</v>
      </c>
      <c r="C13" s="65"/>
      <c r="D13" s="61"/>
      <c r="E13" s="61" t="s">
        <v>1726</v>
      </c>
      <c r="F13" s="70" t="s">
        <v>53</v>
      </c>
      <c r="G13" s="70" t="s">
        <v>2121</v>
      </c>
      <c r="H13" s="67">
        <v>46172.76761574074</v>
      </c>
      <c r="I13" s="75">
        <f t="shared" ca="1" si="3"/>
        <v>7.9010766203718958</v>
      </c>
      <c r="J13" s="61"/>
      <c r="K13" s="61"/>
      <c r="L13" s="61"/>
      <c r="M13" s="61" t="s">
        <v>33</v>
      </c>
      <c r="N13" s="61" t="s">
        <v>1635</v>
      </c>
      <c r="O13" s="61"/>
      <c r="P13" s="61"/>
      <c r="Q13" s="61"/>
      <c r="R13" s="61" t="s">
        <v>2409</v>
      </c>
      <c r="S13" s="61" t="s">
        <v>32</v>
      </c>
      <c r="T13" s="61" t="s">
        <v>1898</v>
      </c>
      <c r="U13" s="61" t="s">
        <v>1898</v>
      </c>
      <c r="V13" s="101" t="str">
        <f>VLOOKUP(B13,[2]Overall!$A:$D,4,0)</f>
        <v xml:space="preserve">I-ENG </v>
      </c>
      <c r="W13" s="101" t="str">
        <f>VLOOKUP(B13,[3]Sheet1!$A:$B,2,0)</f>
        <v>Mbakong</v>
      </c>
      <c r="X13" s="88" t="str">
        <f t="shared" si="0"/>
        <v>NRO</v>
      </c>
      <c r="Y13" s="88" t="str">
        <f t="shared" ca="1" si="1"/>
        <v>T&gt;72H</v>
      </c>
      <c r="Z13" s="101">
        <f t="shared" si="2"/>
        <v>2</v>
      </c>
      <c r="AA13" s="61" t="s">
        <v>1566</v>
      </c>
      <c r="AB13" s="61" t="s">
        <v>1554</v>
      </c>
      <c r="AC13" s="105" t="s">
        <v>2423</v>
      </c>
      <c r="AD13" s="106" t="s">
        <v>1994</v>
      </c>
      <c r="AE13" s="61"/>
    </row>
    <row r="14" spans="1:31" ht="145" x14ac:dyDescent="0.35">
      <c r="A14" s="63" t="s">
        <v>1969</v>
      </c>
      <c r="B14" s="63" t="s">
        <v>1970</v>
      </c>
      <c r="C14" s="68"/>
      <c r="D14" s="63"/>
      <c r="E14" s="63" t="s">
        <v>1971</v>
      </c>
      <c r="F14" s="71" t="s">
        <v>53</v>
      </c>
      <c r="G14" s="71" t="s">
        <v>2121</v>
      </c>
      <c r="H14" s="69">
        <v>46173.005960648145</v>
      </c>
      <c r="I14" s="77">
        <f t="shared" ca="1" si="3"/>
        <v>7.6627317129677976</v>
      </c>
      <c r="J14" s="63"/>
      <c r="K14" s="63"/>
      <c r="L14" s="63"/>
      <c r="M14" s="63" t="s">
        <v>46</v>
      </c>
      <c r="N14" s="63" t="s">
        <v>1972</v>
      </c>
      <c r="O14" s="63"/>
      <c r="P14" s="63" t="s">
        <v>2507</v>
      </c>
      <c r="Q14" s="63"/>
      <c r="R14" s="85" t="s">
        <v>2410</v>
      </c>
      <c r="S14" s="63" t="s">
        <v>40</v>
      </c>
      <c r="T14" s="85" t="s">
        <v>1898</v>
      </c>
      <c r="U14" s="63" t="s">
        <v>1898</v>
      </c>
      <c r="V14" s="107" t="str">
        <f>VLOOKUP(B14,[2]Overall!$A:$D,4,0)</f>
        <v>TELEINFRA NORD</v>
      </c>
      <c r="W14" s="107" t="str">
        <f>VLOOKUP(B14,[3]Sheet1!$A:$B,2,0)</f>
        <v>Gaba</v>
      </c>
      <c r="X14" s="89" t="str">
        <f t="shared" si="0"/>
        <v>NRD</v>
      </c>
      <c r="Y14" s="89" t="str">
        <f t="shared" ca="1" si="1"/>
        <v>T&gt;72H</v>
      </c>
      <c r="Z14" s="107">
        <f t="shared" si="2"/>
        <v>1</v>
      </c>
      <c r="AA14" s="63" t="s">
        <v>77</v>
      </c>
      <c r="AB14" s="63" t="s">
        <v>1555</v>
      </c>
      <c r="AC14" s="108" t="s">
        <v>2423</v>
      </c>
      <c r="AD14" s="109" t="s">
        <v>1994</v>
      </c>
      <c r="AE14" s="63"/>
    </row>
    <row r="15" spans="1:31" ht="174" x14ac:dyDescent="0.35">
      <c r="A15" s="61" t="s">
        <v>1881</v>
      </c>
      <c r="B15" s="61" t="s">
        <v>1880</v>
      </c>
      <c r="C15" s="65"/>
      <c r="D15" s="61"/>
      <c r="E15" s="61" t="s">
        <v>1991</v>
      </c>
      <c r="F15" s="70" t="s">
        <v>53</v>
      </c>
      <c r="G15" s="70" t="s">
        <v>2121</v>
      </c>
      <c r="H15" s="67">
        <v>46174.267314814817</v>
      </c>
      <c r="I15" s="75">
        <f t="shared" ca="1" si="3"/>
        <v>6.4013775462954072</v>
      </c>
      <c r="J15" s="61"/>
      <c r="K15" s="61"/>
      <c r="L15" s="61"/>
      <c r="M15" s="61" t="s">
        <v>1769</v>
      </c>
      <c r="N15" s="61" t="s">
        <v>1770</v>
      </c>
      <c r="O15" s="61"/>
      <c r="P15" s="61"/>
      <c r="Q15" s="61"/>
      <c r="R15" s="61" t="s">
        <v>2385</v>
      </c>
      <c r="S15" s="61" t="s">
        <v>71</v>
      </c>
      <c r="T15" s="61" t="s">
        <v>1902</v>
      </c>
      <c r="U15" s="61" t="s">
        <v>1896</v>
      </c>
      <c r="V15" s="101" t="str">
        <f>VLOOKUP(B15,[2]Overall!$A:$D,4,0)</f>
        <v xml:space="preserve">I-ENG </v>
      </c>
      <c r="W15" s="101" t="str">
        <f>VLOOKUP(B15,[3]Sheet1!$A:$B,2,0)</f>
        <v>Fundong</v>
      </c>
      <c r="X15" s="88" t="str">
        <f t="shared" si="0"/>
        <v>NRO</v>
      </c>
      <c r="Y15" s="88" t="str">
        <f t="shared" ca="1" si="1"/>
        <v>T&gt;72H</v>
      </c>
      <c r="Z15" s="101">
        <f t="shared" si="2"/>
        <v>1</v>
      </c>
      <c r="AA15" s="61" t="s">
        <v>1566</v>
      </c>
      <c r="AB15" s="61" t="s">
        <v>1554</v>
      </c>
      <c r="AC15" s="105" t="s">
        <v>2423</v>
      </c>
      <c r="AD15" s="106" t="s">
        <v>1994</v>
      </c>
      <c r="AE15" s="61"/>
    </row>
    <row r="16" spans="1:31" ht="130.5" x14ac:dyDescent="0.35">
      <c r="A16" s="61" t="s">
        <v>1843</v>
      </c>
      <c r="B16" s="61" t="s">
        <v>1844</v>
      </c>
      <c r="C16" s="65"/>
      <c r="D16" s="61"/>
      <c r="E16" s="61" t="s">
        <v>1879</v>
      </c>
      <c r="F16" s="70" t="s">
        <v>53</v>
      </c>
      <c r="G16" s="70" t="s">
        <v>2121</v>
      </c>
      <c r="H16" s="67">
        <v>46175.448993055557</v>
      </c>
      <c r="I16" s="75">
        <f t="shared" ca="1" si="3"/>
        <v>5.2196993055549683</v>
      </c>
      <c r="J16" s="61"/>
      <c r="K16" s="61"/>
      <c r="L16" s="61"/>
      <c r="M16" s="61" t="s">
        <v>38</v>
      </c>
      <c r="N16" s="61" t="s">
        <v>1845</v>
      </c>
      <c r="O16" s="61"/>
      <c r="P16" s="61"/>
      <c r="Q16" s="61"/>
      <c r="R16" s="61" t="s">
        <v>2380</v>
      </c>
      <c r="S16" s="61" t="s">
        <v>75</v>
      </c>
      <c r="T16" s="61" t="s">
        <v>1901</v>
      </c>
      <c r="U16" s="61" t="s">
        <v>1901</v>
      </c>
      <c r="V16" s="101" t="str">
        <f>VLOOKUP(B16,[2]Overall!$A:$D,4,0)</f>
        <v>TELEINFRA NORD</v>
      </c>
      <c r="W16" s="101" t="str">
        <f>VLOOKUP(B16,[3]Sheet1!$A:$B,2,0)</f>
        <v>Mayo-Nonde</v>
      </c>
      <c r="X16" s="88" t="str">
        <f t="shared" si="0"/>
        <v>NRD</v>
      </c>
      <c r="Y16" s="88" t="str">
        <f t="shared" ca="1" si="1"/>
        <v>T&gt;72H</v>
      </c>
      <c r="Z16" s="101">
        <f t="shared" si="2"/>
        <v>3</v>
      </c>
      <c r="AA16" s="61" t="s">
        <v>1566</v>
      </c>
      <c r="AB16" s="61" t="s">
        <v>1554</v>
      </c>
      <c r="AC16" s="105" t="s">
        <v>2423</v>
      </c>
      <c r="AD16" s="106" t="s">
        <v>1994</v>
      </c>
      <c r="AE16" s="61"/>
    </row>
    <row r="17" spans="1:31" ht="159.5" x14ac:dyDescent="0.35">
      <c r="A17" s="63" t="s">
        <v>1831</v>
      </c>
      <c r="B17" s="63" t="s">
        <v>1832</v>
      </c>
      <c r="C17" s="68"/>
      <c r="D17" s="63"/>
      <c r="E17" s="63" t="s">
        <v>1823</v>
      </c>
      <c r="F17" s="71" t="s">
        <v>53</v>
      </c>
      <c r="G17" s="71" t="s">
        <v>2121</v>
      </c>
      <c r="H17" s="69">
        <v>46175.508090277777</v>
      </c>
      <c r="I17" s="77">
        <f t="shared" ca="1" si="3"/>
        <v>5.1606020833351067</v>
      </c>
      <c r="J17" s="63"/>
      <c r="K17" s="63"/>
      <c r="L17" s="63"/>
      <c r="M17" s="63" t="s">
        <v>31</v>
      </c>
      <c r="N17" s="63" t="s">
        <v>1833</v>
      </c>
      <c r="O17" s="63"/>
      <c r="P17" s="107" t="s">
        <v>2432</v>
      </c>
      <c r="Q17" s="108">
        <v>46118</v>
      </c>
      <c r="R17" s="63" t="s">
        <v>2461</v>
      </c>
      <c r="S17" s="63" t="s">
        <v>85</v>
      </c>
      <c r="T17" s="63" t="s">
        <v>1898</v>
      </c>
      <c r="U17" s="63" t="s">
        <v>1898</v>
      </c>
      <c r="V17" s="107" t="str">
        <f>VLOOKUP(B17,[2]Overall!$A:$D,4,0)</f>
        <v>H-TELI</v>
      </c>
      <c r="W17" s="107" t="str">
        <f>VLOOKUP(B17,[3]Sheet1!$A:$B,2,0)</f>
        <v>Kumbe</v>
      </c>
      <c r="X17" s="89" t="str">
        <f t="shared" si="0"/>
        <v>SUO</v>
      </c>
      <c r="Y17" s="89" t="str">
        <f t="shared" ca="1" si="1"/>
        <v>T&gt;72H</v>
      </c>
      <c r="Z17" s="107">
        <f t="shared" si="2"/>
        <v>2</v>
      </c>
      <c r="AA17" s="63" t="s">
        <v>77</v>
      </c>
      <c r="AB17" s="63" t="s">
        <v>1554</v>
      </c>
      <c r="AC17" s="108" t="s">
        <v>2423</v>
      </c>
      <c r="AD17" s="109" t="s">
        <v>1994</v>
      </c>
      <c r="AE17" s="63"/>
    </row>
    <row r="18" spans="1:31" ht="261" x14ac:dyDescent="0.35">
      <c r="A18" s="61" t="s">
        <v>1779</v>
      </c>
      <c r="B18" s="61" t="s">
        <v>1780</v>
      </c>
      <c r="C18" s="65"/>
      <c r="D18" s="61"/>
      <c r="E18" s="61" t="s">
        <v>37</v>
      </c>
      <c r="F18" s="70" t="s">
        <v>53</v>
      </c>
      <c r="G18" s="70" t="s">
        <v>2121</v>
      </c>
      <c r="H18" s="67">
        <v>46175.649039351854</v>
      </c>
      <c r="I18" s="75">
        <f t="shared" ca="1" si="3"/>
        <v>5.019653009258036</v>
      </c>
      <c r="J18" s="61"/>
      <c r="K18" s="61"/>
      <c r="L18" s="61"/>
      <c r="M18" s="61" t="s">
        <v>41</v>
      </c>
      <c r="N18" s="61" t="s">
        <v>1781</v>
      </c>
      <c r="O18" s="61"/>
      <c r="P18" s="61"/>
      <c r="Q18" s="61"/>
      <c r="R18" s="61" t="s">
        <v>2379</v>
      </c>
      <c r="S18" s="61" t="s">
        <v>75</v>
      </c>
      <c r="T18" s="61" t="s">
        <v>1840</v>
      </c>
      <c r="U18" s="61" t="s">
        <v>1840</v>
      </c>
      <c r="V18" s="101" t="str">
        <f>VLOOKUP(B18,[2]Overall!$A:$D,4,0)</f>
        <v>TELEINFRA NORD</v>
      </c>
      <c r="W18" s="101" t="str">
        <f>VLOOKUP(B18,[3]Sheet1!$A:$B,2,0)</f>
        <v>Badjonre</v>
      </c>
      <c r="X18" s="88" t="str">
        <f t="shared" si="0"/>
        <v>EXN</v>
      </c>
      <c r="Y18" s="88" t="str">
        <f t="shared" ca="1" si="1"/>
        <v>T&gt;72H</v>
      </c>
      <c r="Z18" s="101">
        <f t="shared" si="2"/>
        <v>1</v>
      </c>
      <c r="AA18" s="61" t="s">
        <v>1566</v>
      </c>
      <c r="AB18" s="61" t="s">
        <v>1554</v>
      </c>
      <c r="AC18" s="105" t="s">
        <v>2423</v>
      </c>
      <c r="AD18" s="106" t="s">
        <v>1994</v>
      </c>
      <c r="AE18" s="61"/>
    </row>
    <row r="19" spans="1:31" ht="261" x14ac:dyDescent="0.35">
      <c r="A19" s="61" t="s">
        <v>1779</v>
      </c>
      <c r="B19" s="61" t="s">
        <v>1780</v>
      </c>
      <c r="C19" s="65"/>
      <c r="D19" s="61"/>
      <c r="E19" s="61" t="s">
        <v>39</v>
      </c>
      <c r="F19" s="70" t="s">
        <v>53</v>
      </c>
      <c r="G19" s="70" t="s">
        <v>2121</v>
      </c>
      <c r="H19" s="67">
        <v>46175.681076388886</v>
      </c>
      <c r="I19" s="75">
        <f t="shared" ca="1" si="3"/>
        <v>4.9876159722261946</v>
      </c>
      <c r="J19" s="61"/>
      <c r="K19" s="61"/>
      <c r="L19" s="61"/>
      <c r="M19" s="61" t="s">
        <v>1707</v>
      </c>
      <c r="N19" s="61" t="s">
        <v>2162</v>
      </c>
      <c r="O19" s="61"/>
      <c r="P19" s="61"/>
      <c r="Q19" s="61"/>
      <c r="R19" s="61" t="s">
        <v>2379</v>
      </c>
      <c r="S19" s="61" t="s">
        <v>75</v>
      </c>
      <c r="T19" s="61" t="s">
        <v>1840</v>
      </c>
      <c r="U19" s="61" t="s">
        <v>1840</v>
      </c>
      <c r="V19" s="101" t="str">
        <f>VLOOKUP(B19,[2]Overall!$A:$D,4,0)</f>
        <v>TELEINFRA NORD</v>
      </c>
      <c r="W19" s="101" t="str">
        <f>VLOOKUP(B19,[3]Sheet1!$A:$B,2,0)</f>
        <v>Badjonre</v>
      </c>
      <c r="X19" s="88" t="str">
        <f t="shared" si="0"/>
        <v>EXN</v>
      </c>
      <c r="Y19" s="88" t="str">
        <f t="shared" ca="1" si="1"/>
        <v>T&gt;72H</v>
      </c>
      <c r="Z19" s="101">
        <f t="shared" si="2"/>
        <v>1</v>
      </c>
      <c r="AA19" s="61" t="s">
        <v>1566</v>
      </c>
      <c r="AB19" s="61" t="s">
        <v>1554</v>
      </c>
      <c r="AC19" s="105" t="s">
        <v>2423</v>
      </c>
      <c r="AD19" s="106" t="s">
        <v>1994</v>
      </c>
      <c r="AE19" s="61"/>
    </row>
    <row r="20" spans="1:31" ht="261" x14ac:dyDescent="0.35">
      <c r="A20" s="61" t="s">
        <v>1779</v>
      </c>
      <c r="B20" s="61" t="s">
        <v>1780</v>
      </c>
      <c r="C20" s="65"/>
      <c r="D20" s="61"/>
      <c r="E20" s="61" t="s">
        <v>2163</v>
      </c>
      <c r="F20" s="70" t="s">
        <v>53</v>
      </c>
      <c r="G20" s="70" t="s">
        <v>2121</v>
      </c>
      <c r="H20" s="67">
        <v>46175.683067129627</v>
      </c>
      <c r="I20" s="75">
        <f t="shared" ca="1" si="3"/>
        <v>4.9856252314857556</v>
      </c>
      <c r="J20" s="61"/>
      <c r="K20" s="61"/>
      <c r="L20" s="61"/>
      <c r="M20" s="61" t="s">
        <v>31</v>
      </c>
      <c r="N20" s="61" t="s">
        <v>2164</v>
      </c>
      <c r="O20" s="61"/>
      <c r="P20" s="61"/>
      <c r="Q20" s="61"/>
      <c r="R20" s="61" t="s">
        <v>2379</v>
      </c>
      <c r="S20" s="61" t="s">
        <v>75</v>
      </c>
      <c r="T20" s="61" t="s">
        <v>1840</v>
      </c>
      <c r="U20" s="61" t="s">
        <v>1840</v>
      </c>
      <c r="V20" s="101" t="str">
        <f>VLOOKUP(B20,[2]Overall!$A:$D,4,0)</f>
        <v>TELEINFRA NORD</v>
      </c>
      <c r="W20" s="101" t="str">
        <f>VLOOKUP(B20,[3]Sheet1!$A:$B,2,0)</f>
        <v>Badjonre</v>
      </c>
      <c r="X20" s="88" t="str">
        <f t="shared" si="0"/>
        <v>EXN</v>
      </c>
      <c r="Y20" s="88" t="str">
        <f t="shared" ca="1" si="1"/>
        <v>T&gt;72H</v>
      </c>
      <c r="Z20" s="101">
        <f t="shared" si="2"/>
        <v>9</v>
      </c>
      <c r="AA20" s="61" t="s">
        <v>1566</v>
      </c>
      <c r="AB20" s="61" t="s">
        <v>1554</v>
      </c>
      <c r="AC20" s="105" t="s">
        <v>2423</v>
      </c>
      <c r="AD20" s="106" t="s">
        <v>1994</v>
      </c>
      <c r="AE20" s="61"/>
    </row>
    <row r="21" spans="1:31" ht="261" x14ac:dyDescent="0.35">
      <c r="A21" s="61" t="s">
        <v>1779</v>
      </c>
      <c r="B21" s="61" t="s">
        <v>1780</v>
      </c>
      <c r="C21" s="65"/>
      <c r="D21" s="61"/>
      <c r="E21" s="61" t="s">
        <v>39</v>
      </c>
      <c r="F21" s="70" t="s">
        <v>53</v>
      </c>
      <c r="G21" s="70" t="s">
        <v>2121</v>
      </c>
      <c r="H21" s="67">
        <v>46175.683506944442</v>
      </c>
      <c r="I21" s="75">
        <f t="shared" ca="1" si="3"/>
        <v>4.9851854166699923</v>
      </c>
      <c r="J21" s="61"/>
      <c r="K21" s="61"/>
      <c r="L21" s="61"/>
      <c r="M21" s="61" t="s">
        <v>1769</v>
      </c>
      <c r="N21" s="61" t="s">
        <v>2165</v>
      </c>
      <c r="O21" s="61"/>
      <c r="P21" s="61"/>
      <c r="Q21" s="61"/>
      <c r="R21" s="61" t="s">
        <v>2379</v>
      </c>
      <c r="S21" s="61" t="s">
        <v>75</v>
      </c>
      <c r="T21" s="61" t="s">
        <v>1840</v>
      </c>
      <c r="U21" s="61" t="s">
        <v>1840</v>
      </c>
      <c r="V21" s="101" t="str">
        <f>VLOOKUP(B21,[2]Overall!$A:$D,4,0)</f>
        <v>TELEINFRA NORD</v>
      </c>
      <c r="W21" s="101" t="str">
        <f>VLOOKUP(B21,[3]Sheet1!$A:$B,2,0)</f>
        <v>Badjonre</v>
      </c>
      <c r="X21" s="88" t="str">
        <f t="shared" si="0"/>
        <v>EXN</v>
      </c>
      <c r="Y21" s="88" t="str">
        <f t="shared" ca="1" si="1"/>
        <v>T&gt;72H</v>
      </c>
      <c r="Z21" s="101">
        <f t="shared" si="2"/>
        <v>1</v>
      </c>
      <c r="AA21" s="61" t="s">
        <v>1566</v>
      </c>
      <c r="AB21" s="61" t="s">
        <v>1554</v>
      </c>
      <c r="AC21" s="105" t="s">
        <v>2423</v>
      </c>
      <c r="AD21" s="106" t="s">
        <v>1994</v>
      </c>
      <c r="AE21" s="61"/>
    </row>
    <row r="22" spans="1:31" ht="101.5" x14ac:dyDescent="0.35">
      <c r="A22" s="61" t="s">
        <v>1632</v>
      </c>
      <c r="B22" s="61" t="s">
        <v>1610</v>
      </c>
      <c r="C22" s="65"/>
      <c r="D22" s="61"/>
      <c r="E22" s="61" t="s">
        <v>49</v>
      </c>
      <c r="F22" s="70" t="s">
        <v>53</v>
      </c>
      <c r="G22" s="70" t="s">
        <v>2121</v>
      </c>
      <c r="H22" s="67">
        <v>46175.758483796293</v>
      </c>
      <c r="I22" s="75">
        <f t="shared" ca="1" si="3"/>
        <v>4.910208564819186</v>
      </c>
      <c r="J22" s="61"/>
      <c r="K22" s="61"/>
      <c r="L22" s="61"/>
      <c r="M22" s="61" t="s">
        <v>41</v>
      </c>
      <c r="N22" s="61" t="s">
        <v>1633</v>
      </c>
      <c r="O22" s="61"/>
      <c r="P22" s="61"/>
      <c r="Q22" s="61"/>
      <c r="R22" s="61" t="s">
        <v>2386</v>
      </c>
      <c r="S22" s="61" t="s">
        <v>71</v>
      </c>
      <c r="T22" s="61" t="s">
        <v>1902</v>
      </c>
      <c r="U22" s="61" t="s">
        <v>1896</v>
      </c>
      <c r="V22" s="101" t="str">
        <f>VLOOKUP(B22,[2]Overall!$A:$D,4,0)</f>
        <v>TELEINFRA NORD</v>
      </c>
      <c r="W22" s="101" t="str">
        <f>VLOOKUP(B22,[3]Sheet1!$A:$B,2,0)</f>
        <v>Zileng</v>
      </c>
      <c r="X22" s="88" t="str">
        <f t="shared" si="0"/>
        <v>EXN</v>
      </c>
      <c r="Y22" s="88" t="str">
        <f t="shared" ca="1" si="1"/>
        <v>T&gt;72H</v>
      </c>
      <c r="Z22" s="101">
        <f t="shared" si="2"/>
        <v>1</v>
      </c>
      <c r="AA22" s="61" t="s">
        <v>1566</v>
      </c>
      <c r="AB22" s="61" t="s">
        <v>1554</v>
      </c>
      <c r="AC22" s="105" t="s">
        <v>2423</v>
      </c>
      <c r="AD22" s="106" t="s">
        <v>1994</v>
      </c>
      <c r="AE22" s="61"/>
    </row>
    <row r="23" spans="1:31" ht="87" x14ac:dyDescent="0.35">
      <c r="A23" s="61" t="s">
        <v>1611</v>
      </c>
      <c r="B23" s="61" t="s">
        <v>1610</v>
      </c>
      <c r="C23" s="65"/>
      <c r="D23" s="61"/>
      <c r="E23" s="61" t="s">
        <v>1615</v>
      </c>
      <c r="F23" s="70" t="s">
        <v>53</v>
      </c>
      <c r="G23" s="70" t="s">
        <v>2121</v>
      </c>
      <c r="H23" s="67">
        <v>46175.759166666663</v>
      </c>
      <c r="I23" s="75">
        <f t="shared" ca="1" si="3"/>
        <v>4.9095256944492576</v>
      </c>
      <c r="J23" s="61"/>
      <c r="K23" s="61"/>
      <c r="L23" s="61"/>
      <c r="M23" s="61" t="s">
        <v>41</v>
      </c>
      <c r="N23" s="61" t="s">
        <v>42</v>
      </c>
      <c r="O23" s="61"/>
      <c r="P23" s="61"/>
      <c r="Q23" s="61"/>
      <c r="R23" s="61" t="s">
        <v>2386</v>
      </c>
      <c r="S23" s="61" t="s">
        <v>71</v>
      </c>
      <c r="T23" s="61" t="s">
        <v>1902</v>
      </c>
      <c r="U23" s="61" t="s">
        <v>1896</v>
      </c>
      <c r="V23" s="101" t="str">
        <f>VLOOKUP(B23,[2]Overall!$A:$D,4,0)</f>
        <v>TELEINFRA NORD</v>
      </c>
      <c r="W23" s="101" t="str">
        <f>VLOOKUP(B23,[3]Sheet1!$A:$B,2,0)</f>
        <v>Zileng</v>
      </c>
      <c r="X23" s="88" t="str">
        <f t="shared" si="0"/>
        <v>EXN</v>
      </c>
      <c r="Y23" s="88" t="str">
        <f t="shared" ca="1" si="1"/>
        <v>T&gt;72H</v>
      </c>
      <c r="Z23" s="101">
        <f t="shared" si="2"/>
        <v>1</v>
      </c>
      <c r="AA23" s="61" t="s">
        <v>1566</v>
      </c>
      <c r="AB23" s="61" t="s">
        <v>1554</v>
      </c>
      <c r="AC23" s="105" t="s">
        <v>2423</v>
      </c>
      <c r="AD23" s="106" t="s">
        <v>1994</v>
      </c>
      <c r="AE23" s="61"/>
    </row>
    <row r="24" spans="1:31" ht="87" x14ac:dyDescent="0.35">
      <c r="A24" s="61" t="s">
        <v>1611</v>
      </c>
      <c r="B24" s="61" t="s">
        <v>1610</v>
      </c>
      <c r="C24" s="65"/>
      <c r="D24" s="61"/>
      <c r="E24" s="61" t="s">
        <v>1613</v>
      </c>
      <c r="F24" s="70" t="s">
        <v>53</v>
      </c>
      <c r="G24" s="70" t="s">
        <v>2121</v>
      </c>
      <c r="H24" s="67">
        <v>46175.759166666663</v>
      </c>
      <c r="I24" s="75">
        <f t="shared" ca="1" si="3"/>
        <v>4.9095256944492576</v>
      </c>
      <c r="J24" s="61"/>
      <c r="K24" s="61"/>
      <c r="L24" s="61"/>
      <c r="M24" s="61" t="s">
        <v>41</v>
      </c>
      <c r="N24" s="61" t="s">
        <v>42</v>
      </c>
      <c r="O24" s="61"/>
      <c r="P24" s="61"/>
      <c r="Q24" s="61"/>
      <c r="R24" s="61" t="s">
        <v>2386</v>
      </c>
      <c r="S24" s="61" t="s">
        <v>71</v>
      </c>
      <c r="T24" s="61" t="s">
        <v>1902</v>
      </c>
      <c r="U24" s="61" t="s">
        <v>1896</v>
      </c>
      <c r="V24" s="101" t="str">
        <f>VLOOKUP(B24,[2]Overall!$A:$D,4,0)</f>
        <v>TELEINFRA NORD</v>
      </c>
      <c r="W24" s="101" t="str">
        <f>VLOOKUP(B24,[3]Sheet1!$A:$B,2,0)</f>
        <v>Zileng</v>
      </c>
      <c r="X24" s="88" t="str">
        <f t="shared" si="0"/>
        <v>EXN</v>
      </c>
      <c r="Y24" s="88" t="str">
        <f t="shared" ca="1" si="1"/>
        <v>T&gt;72H</v>
      </c>
      <c r="Z24" s="101">
        <f t="shared" si="2"/>
        <v>1</v>
      </c>
      <c r="AA24" s="61" t="s">
        <v>1566</v>
      </c>
      <c r="AB24" s="61" t="s">
        <v>1554</v>
      </c>
      <c r="AC24" s="105" t="s">
        <v>2423</v>
      </c>
      <c r="AD24" s="106" t="s">
        <v>1994</v>
      </c>
      <c r="AE24" s="61"/>
    </row>
    <row r="25" spans="1:31" ht="87" x14ac:dyDescent="0.35">
      <c r="A25" s="61" t="s">
        <v>1611</v>
      </c>
      <c r="B25" s="61" t="s">
        <v>1610</v>
      </c>
      <c r="C25" s="65"/>
      <c r="D25" s="61"/>
      <c r="E25" s="61" t="s">
        <v>1617</v>
      </c>
      <c r="F25" s="70" t="s">
        <v>53</v>
      </c>
      <c r="G25" s="70" t="s">
        <v>2121</v>
      </c>
      <c r="H25" s="67">
        <v>46175.759166666663</v>
      </c>
      <c r="I25" s="75">
        <f t="shared" ca="1" si="3"/>
        <v>4.9095256944492576</v>
      </c>
      <c r="J25" s="61"/>
      <c r="K25" s="61"/>
      <c r="L25" s="61"/>
      <c r="M25" s="61" t="s">
        <v>41</v>
      </c>
      <c r="N25" s="61" t="s">
        <v>42</v>
      </c>
      <c r="O25" s="61"/>
      <c r="P25" s="61"/>
      <c r="Q25" s="61"/>
      <c r="R25" s="61" t="s">
        <v>2386</v>
      </c>
      <c r="S25" s="61" t="s">
        <v>71</v>
      </c>
      <c r="T25" s="61" t="s">
        <v>1902</v>
      </c>
      <c r="U25" s="61" t="s">
        <v>1896</v>
      </c>
      <c r="V25" s="101" t="str">
        <f>VLOOKUP(B25,[2]Overall!$A:$D,4,0)</f>
        <v>TELEINFRA NORD</v>
      </c>
      <c r="W25" s="101" t="str">
        <f>VLOOKUP(B25,[3]Sheet1!$A:$B,2,0)</f>
        <v>Zileng</v>
      </c>
      <c r="X25" s="88" t="str">
        <f t="shared" si="0"/>
        <v>EXN</v>
      </c>
      <c r="Y25" s="88" t="str">
        <f t="shared" ca="1" si="1"/>
        <v>T&gt;72H</v>
      </c>
      <c r="Z25" s="101">
        <f t="shared" si="2"/>
        <v>1</v>
      </c>
      <c r="AA25" s="61" t="s">
        <v>1566</v>
      </c>
      <c r="AB25" s="61" t="s">
        <v>1554</v>
      </c>
      <c r="AC25" s="105" t="s">
        <v>2423</v>
      </c>
      <c r="AD25" s="106" t="s">
        <v>1994</v>
      </c>
      <c r="AE25" s="61"/>
    </row>
    <row r="26" spans="1:31" ht="116" x14ac:dyDescent="0.35">
      <c r="A26" s="61" t="s">
        <v>1892</v>
      </c>
      <c r="B26" s="61" t="s">
        <v>1893</v>
      </c>
      <c r="C26" s="65"/>
      <c r="D26" s="61"/>
      <c r="E26" s="61" t="s">
        <v>2199</v>
      </c>
      <c r="F26" s="70" t="s">
        <v>53</v>
      </c>
      <c r="G26" s="70" t="s">
        <v>2121</v>
      </c>
      <c r="H26" s="67">
        <v>46175.837418981479</v>
      </c>
      <c r="I26" s="75">
        <f t="shared" ca="1" si="3"/>
        <v>4.8312733796337852</v>
      </c>
      <c r="J26" s="61"/>
      <c r="K26" s="61"/>
      <c r="L26" s="61"/>
      <c r="M26" s="61" t="s">
        <v>41</v>
      </c>
      <c r="N26" s="61" t="s">
        <v>42</v>
      </c>
      <c r="O26" s="61"/>
      <c r="P26" s="61"/>
      <c r="Q26" s="61"/>
      <c r="R26" s="61" t="s">
        <v>2378</v>
      </c>
      <c r="S26" s="61" t="s">
        <v>75</v>
      </c>
      <c r="T26" s="61" t="s">
        <v>1688</v>
      </c>
      <c r="U26" s="61" t="s">
        <v>1688</v>
      </c>
      <c r="V26" s="101" t="str">
        <f>VLOOKUP(B26,[2]Overall!$A:$D,4,0)</f>
        <v>H-TELI</v>
      </c>
      <c r="W26" s="101" t="str">
        <f>VLOOKUP(B26,[3]Sheet1!$A:$B,2,0)</f>
        <v>Santchou</v>
      </c>
      <c r="X26" s="88" t="str">
        <f t="shared" si="0"/>
        <v>OST</v>
      </c>
      <c r="Y26" s="88" t="str">
        <f t="shared" ca="1" si="1"/>
        <v>T&gt;72H</v>
      </c>
      <c r="Z26" s="101">
        <f t="shared" si="2"/>
        <v>1</v>
      </c>
      <c r="AA26" s="61" t="s">
        <v>1566</v>
      </c>
      <c r="AB26" s="61" t="s">
        <v>1554</v>
      </c>
      <c r="AC26" s="105" t="s">
        <v>2423</v>
      </c>
      <c r="AD26" s="106" t="s">
        <v>1994</v>
      </c>
      <c r="AE26" s="61"/>
    </row>
    <row r="27" spans="1:31" ht="116" x14ac:dyDescent="0.35">
      <c r="A27" s="61" t="s">
        <v>1892</v>
      </c>
      <c r="B27" s="61" t="s">
        <v>1893</v>
      </c>
      <c r="C27" s="65"/>
      <c r="D27" s="61"/>
      <c r="E27" s="61" t="s">
        <v>2200</v>
      </c>
      <c r="F27" s="70" t="s">
        <v>53</v>
      </c>
      <c r="G27" s="70" t="s">
        <v>2121</v>
      </c>
      <c r="H27" s="67">
        <v>46175.837430555555</v>
      </c>
      <c r="I27" s="75">
        <f t="shared" ca="1" si="3"/>
        <v>4.8312618055570056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2378</v>
      </c>
      <c r="S27" s="61" t="s">
        <v>75</v>
      </c>
      <c r="T27" s="61" t="s">
        <v>1688</v>
      </c>
      <c r="U27" s="6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0"/>
        <v>OST</v>
      </c>
      <c r="Y27" s="88" t="str">
        <f t="shared" ca="1" si="1"/>
        <v>T&gt;72H</v>
      </c>
      <c r="Z27" s="101">
        <f t="shared" si="2"/>
        <v>1</v>
      </c>
      <c r="AA27" s="61" t="s">
        <v>1566</v>
      </c>
      <c r="AB27" s="61" t="s">
        <v>1554</v>
      </c>
      <c r="AC27" s="105" t="s">
        <v>2423</v>
      </c>
      <c r="AD27" s="106" t="s">
        <v>1994</v>
      </c>
      <c r="AE27" s="61"/>
    </row>
    <row r="28" spans="1:31" ht="116" x14ac:dyDescent="0.35">
      <c r="A28" s="61" t="s">
        <v>1892</v>
      </c>
      <c r="B28" s="61" t="s">
        <v>1893</v>
      </c>
      <c r="C28" s="65"/>
      <c r="D28" s="61"/>
      <c r="E28" s="61" t="s">
        <v>2201</v>
      </c>
      <c r="F28" s="70" t="s">
        <v>53</v>
      </c>
      <c r="G28" s="70" t="s">
        <v>2121</v>
      </c>
      <c r="H28" s="67">
        <v>46175.837407407409</v>
      </c>
      <c r="I28" s="75">
        <f t="shared" ca="1" si="3"/>
        <v>4.8312849537032889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2378</v>
      </c>
      <c r="S28" s="61" t="s">
        <v>75</v>
      </c>
      <c r="T28" s="61" t="s">
        <v>1688</v>
      </c>
      <c r="U28" s="6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0"/>
        <v>OST</v>
      </c>
      <c r="Y28" s="88" t="str">
        <f t="shared" ca="1" si="1"/>
        <v>T&gt;72H</v>
      </c>
      <c r="Z28" s="101">
        <f t="shared" si="2"/>
        <v>1</v>
      </c>
      <c r="AA28" s="61" t="s">
        <v>1566</v>
      </c>
      <c r="AB28" s="61" t="s">
        <v>1554</v>
      </c>
      <c r="AC28" s="105" t="s">
        <v>2423</v>
      </c>
      <c r="AD28" s="106" t="s">
        <v>1994</v>
      </c>
      <c r="AE28" s="61"/>
    </row>
    <row r="29" spans="1:31" ht="116" x14ac:dyDescent="0.35">
      <c r="A29" s="61" t="s">
        <v>1892</v>
      </c>
      <c r="B29" s="61" t="s">
        <v>1893</v>
      </c>
      <c r="C29" s="65"/>
      <c r="D29" s="61"/>
      <c r="E29" s="61" t="s">
        <v>2202</v>
      </c>
      <c r="F29" s="70" t="s">
        <v>53</v>
      </c>
      <c r="G29" s="70" t="s">
        <v>2121</v>
      </c>
      <c r="H29" s="67">
        <v>46175.837430555555</v>
      </c>
      <c r="I29" s="75">
        <f t="shared" ca="1" si="3"/>
        <v>4.8312618055570056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2378</v>
      </c>
      <c r="S29" s="61" t="s">
        <v>75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0"/>
        <v>OST</v>
      </c>
      <c r="Y29" s="88" t="str">
        <f t="shared" ca="1" si="1"/>
        <v>T&gt;72H</v>
      </c>
      <c r="Z29" s="101">
        <f t="shared" si="2"/>
        <v>1</v>
      </c>
      <c r="AA29" s="61" t="s">
        <v>1566</v>
      </c>
      <c r="AB29" s="61" t="s">
        <v>1554</v>
      </c>
      <c r="AC29" s="105" t="s">
        <v>2423</v>
      </c>
      <c r="AD29" s="106" t="s">
        <v>1994</v>
      </c>
      <c r="AE29" s="61"/>
    </row>
    <row r="30" spans="1:31" ht="116" x14ac:dyDescent="0.35">
      <c r="A30" s="61" t="s">
        <v>1892</v>
      </c>
      <c r="B30" s="61" t="s">
        <v>1893</v>
      </c>
      <c r="C30" s="65"/>
      <c r="D30" s="61"/>
      <c r="E30" s="61" t="s">
        <v>2203</v>
      </c>
      <c r="F30" s="70" t="s">
        <v>53</v>
      </c>
      <c r="G30" s="70" t="s">
        <v>2121</v>
      </c>
      <c r="H30" s="67">
        <v>46175.837430555555</v>
      </c>
      <c r="I30" s="75">
        <f t="shared" ca="1" si="3"/>
        <v>4.8312618055570056</v>
      </c>
      <c r="J30" s="61"/>
      <c r="K30" s="61"/>
      <c r="L30" s="61"/>
      <c r="M30" s="61" t="s">
        <v>41</v>
      </c>
      <c r="N30" s="61" t="s">
        <v>42</v>
      </c>
      <c r="O30" s="61"/>
      <c r="P30" s="61"/>
      <c r="Q30" s="61"/>
      <c r="R30" s="61" t="s">
        <v>2378</v>
      </c>
      <c r="S30" s="61" t="s">
        <v>75</v>
      </c>
      <c r="T30" s="61" t="s">
        <v>1688</v>
      </c>
      <c r="U30" s="61" t="s">
        <v>1688</v>
      </c>
      <c r="V30" s="101" t="str">
        <f>VLOOKUP(B30,[2]Overall!$A:$D,4,0)</f>
        <v>H-TELI</v>
      </c>
      <c r="W30" s="101" t="str">
        <f>VLOOKUP(B30,[3]Sheet1!$A:$B,2,0)</f>
        <v>Santchou</v>
      </c>
      <c r="X30" s="88" t="str">
        <f t="shared" si="0"/>
        <v>OST</v>
      </c>
      <c r="Y30" s="88" t="str">
        <f t="shared" ca="1" si="1"/>
        <v>T&gt;72H</v>
      </c>
      <c r="Z30" s="101">
        <f t="shared" si="2"/>
        <v>1</v>
      </c>
      <c r="AA30" s="61" t="s">
        <v>1566</v>
      </c>
      <c r="AB30" s="61" t="s">
        <v>1554</v>
      </c>
      <c r="AC30" s="105" t="s">
        <v>2423</v>
      </c>
      <c r="AD30" s="106" t="s">
        <v>1994</v>
      </c>
      <c r="AE30" s="61"/>
    </row>
    <row r="31" spans="1:31" ht="116" x14ac:dyDescent="0.35">
      <c r="A31" s="61" t="s">
        <v>1892</v>
      </c>
      <c r="B31" s="61" t="s">
        <v>1893</v>
      </c>
      <c r="C31" s="65"/>
      <c r="D31" s="61"/>
      <c r="E31" s="61" t="s">
        <v>2204</v>
      </c>
      <c r="F31" s="70" t="s">
        <v>53</v>
      </c>
      <c r="G31" s="70" t="s">
        <v>2121</v>
      </c>
      <c r="H31" s="67">
        <v>46175.837430555555</v>
      </c>
      <c r="I31" s="75">
        <f t="shared" ca="1" si="3"/>
        <v>4.8312618055570056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2378</v>
      </c>
      <c r="S31" s="61" t="s">
        <v>75</v>
      </c>
      <c r="T31" s="61" t="s">
        <v>1688</v>
      </c>
      <c r="U31" s="61" t="s">
        <v>1688</v>
      </c>
      <c r="V31" s="101" t="str">
        <f>VLOOKUP(B31,[2]Overall!$A:$D,4,0)</f>
        <v>H-TELI</v>
      </c>
      <c r="W31" s="101" t="str">
        <f>VLOOKUP(B31,[3]Sheet1!$A:$B,2,0)</f>
        <v>Santchou</v>
      </c>
      <c r="X31" s="88" t="str">
        <f t="shared" si="0"/>
        <v>OST</v>
      </c>
      <c r="Y31" s="88" t="str">
        <f t="shared" ca="1" si="1"/>
        <v>T&gt;72H</v>
      </c>
      <c r="Z31" s="101">
        <f t="shared" si="2"/>
        <v>1</v>
      </c>
      <c r="AA31" s="61" t="s">
        <v>1566</v>
      </c>
      <c r="AB31" s="61" t="s">
        <v>1554</v>
      </c>
      <c r="AC31" s="105" t="s">
        <v>2423</v>
      </c>
      <c r="AD31" s="106" t="s">
        <v>1994</v>
      </c>
      <c r="AE31" s="61"/>
    </row>
    <row r="32" spans="1:31" ht="391.5" x14ac:dyDescent="0.35">
      <c r="A32" s="61" t="s">
        <v>1917</v>
      </c>
      <c r="B32" s="61" t="s">
        <v>1711</v>
      </c>
      <c r="C32" s="65"/>
      <c r="D32" s="61"/>
      <c r="E32" s="61" t="s">
        <v>49</v>
      </c>
      <c r="F32" s="70" t="s">
        <v>53</v>
      </c>
      <c r="G32" s="70" t="s">
        <v>2121</v>
      </c>
      <c r="H32" s="67">
        <v>46176.253738425927</v>
      </c>
      <c r="I32" s="75">
        <f t="shared" ca="1" si="3"/>
        <v>4.414953935185622</v>
      </c>
      <c r="J32" s="61"/>
      <c r="K32" s="61"/>
      <c r="L32" s="61"/>
      <c r="M32" s="61" t="s">
        <v>38</v>
      </c>
      <c r="N32" s="61" t="s">
        <v>1918</v>
      </c>
      <c r="O32" s="61"/>
      <c r="P32" s="61"/>
      <c r="Q32" s="61"/>
      <c r="R32" s="61" t="s">
        <v>2383</v>
      </c>
      <c r="S32" s="61" t="s">
        <v>75</v>
      </c>
      <c r="T32" s="61" t="s">
        <v>1688</v>
      </c>
      <c r="U32" s="61" t="e">
        <v>#N/A</v>
      </c>
      <c r="V32" s="101" t="str">
        <f>VLOOKUP(B32,[2]Overall!$A:$D,4,0)</f>
        <v>TELEINFRA NORD</v>
      </c>
      <c r="W32" s="101" t="str">
        <f>VLOOKUP(B32,[3]Sheet1!$A:$B,2,0)</f>
        <v>Martap</v>
      </c>
      <c r="X32" s="88" t="str">
        <f t="shared" si="0"/>
        <v>ADM</v>
      </c>
      <c r="Y32" s="88" t="str">
        <f t="shared" ca="1" si="1"/>
        <v>T&gt;72H</v>
      </c>
      <c r="Z32" s="101">
        <f t="shared" si="2"/>
        <v>1</v>
      </c>
      <c r="AA32" s="61" t="s">
        <v>1566</v>
      </c>
      <c r="AB32" s="61" t="s">
        <v>1554</v>
      </c>
      <c r="AC32" s="105" t="s">
        <v>2423</v>
      </c>
      <c r="AD32" s="106" t="s">
        <v>1994</v>
      </c>
      <c r="AE32" s="61"/>
    </row>
    <row r="33" spans="1:31" ht="101.5" x14ac:dyDescent="0.35">
      <c r="A33" s="61" t="s">
        <v>2262</v>
      </c>
      <c r="B33" s="61" t="s">
        <v>2263</v>
      </c>
      <c r="C33" s="65"/>
      <c r="D33" s="61"/>
      <c r="E33" s="61" t="s">
        <v>2264</v>
      </c>
      <c r="F33" s="70" t="s">
        <v>53</v>
      </c>
      <c r="G33" s="70" t="s">
        <v>2121</v>
      </c>
      <c r="H33" s="67">
        <v>46176.41369212963</v>
      </c>
      <c r="I33" s="75">
        <f t="shared" ca="1" si="3"/>
        <v>4.2550002314819722</v>
      </c>
      <c r="J33" s="61"/>
      <c r="K33" s="61"/>
      <c r="L33" s="61"/>
      <c r="M33" s="61" t="s">
        <v>31</v>
      </c>
      <c r="N33" s="61" t="s">
        <v>2265</v>
      </c>
      <c r="O33" s="61"/>
      <c r="P33" s="61"/>
      <c r="Q33" s="61"/>
      <c r="R33" s="61" t="s">
        <v>2377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Ndiam-badji</v>
      </c>
      <c r="X33" s="88" t="str">
        <f t="shared" si="0"/>
        <v>NRD</v>
      </c>
      <c r="Y33" s="88" t="str">
        <f t="shared" ca="1" si="1"/>
        <v>T&gt;72H</v>
      </c>
      <c r="Z33" s="101">
        <f t="shared" si="2"/>
        <v>6</v>
      </c>
      <c r="AA33" s="61" t="s">
        <v>1566</v>
      </c>
      <c r="AB33" s="61" t="s">
        <v>1554</v>
      </c>
      <c r="AC33" s="105" t="s">
        <v>2423</v>
      </c>
      <c r="AD33" s="106" t="s">
        <v>1994</v>
      </c>
      <c r="AE33" s="61"/>
    </row>
    <row r="34" spans="1:31" ht="101.5" x14ac:dyDescent="0.35">
      <c r="A34" s="61" t="s">
        <v>2262</v>
      </c>
      <c r="B34" s="61" t="s">
        <v>2263</v>
      </c>
      <c r="C34" s="65"/>
      <c r="D34" s="61"/>
      <c r="E34" s="61" t="s">
        <v>2264</v>
      </c>
      <c r="F34" s="70" t="s">
        <v>53</v>
      </c>
      <c r="G34" s="70" t="s">
        <v>2121</v>
      </c>
      <c r="H34" s="67">
        <v>46176.450185185182</v>
      </c>
      <c r="I34" s="75">
        <f t="shared" ca="1" si="3"/>
        <v>4.2185071759304265</v>
      </c>
      <c r="J34" s="61"/>
      <c r="K34" s="61"/>
      <c r="L34" s="61"/>
      <c r="M34" s="61" t="s">
        <v>1713</v>
      </c>
      <c r="N34" s="61" t="s">
        <v>2266</v>
      </c>
      <c r="O34" s="61"/>
      <c r="P34" s="61"/>
      <c r="Q34" s="61"/>
      <c r="R34" s="61" t="s">
        <v>2377</v>
      </c>
      <c r="S34" s="61" t="s">
        <v>40</v>
      </c>
      <c r="T34" s="61" t="s">
        <v>1898</v>
      </c>
      <c r="U34" s="61" t="s">
        <v>1898</v>
      </c>
      <c r="V34" s="101" t="str">
        <f>VLOOKUP(B34,[2]Overall!$A:$D,4,0)</f>
        <v>TELEINFRA NORD</v>
      </c>
      <c r="W34" s="101" t="str">
        <f>VLOOKUP(B34,[3]Sheet1!$A:$B,2,0)</f>
        <v>Ndiam-badji</v>
      </c>
      <c r="X34" s="88" t="str">
        <f t="shared" si="0"/>
        <v>NRD</v>
      </c>
      <c r="Y34" s="88" t="str">
        <f t="shared" ca="1" si="1"/>
        <v>T&gt;72H</v>
      </c>
      <c r="Z34" s="101">
        <f t="shared" si="2"/>
        <v>6</v>
      </c>
      <c r="AA34" s="61" t="s">
        <v>1566</v>
      </c>
      <c r="AB34" s="61" t="s">
        <v>1554</v>
      </c>
      <c r="AC34" s="105" t="s">
        <v>2423</v>
      </c>
      <c r="AD34" s="106" t="s">
        <v>1994</v>
      </c>
      <c r="AE34" s="61"/>
    </row>
    <row r="35" spans="1:31" ht="101.5" x14ac:dyDescent="0.35">
      <c r="A35" s="61" t="s">
        <v>2273</v>
      </c>
      <c r="B35" s="61" t="s">
        <v>2268</v>
      </c>
      <c r="C35" s="65"/>
      <c r="D35" s="61"/>
      <c r="E35" s="61" t="s">
        <v>47</v>
      </c>
      <c r="F35" s="70" t="s">
        <v>53</v>
      </c>
      <c r="G35" s="70" t="s">
        <v>2121</v>
      </c>
      <c r="H35" s="67">
        <v>46176.45108796296</v>
      </c>
      <c r="I35" s="75">
        <f t="shared" ca="1" si="3"/>
        <v>4.2176043981526163</v>
      </c>
      <c r="J35" s="61"/>
      <c r="K35" s="61"/>
      <c r="L35" s="61"/>
      <c r="M35" s="61" t="s">
        <v>31</v>
      </c>
      <c r="N35" s="61" t="s">
        <v>2274</v>
      </c>
      <c r="O35" s="61"/>
      <c r="P35" s="61"/>
      <c r="Q35" s="61"/>
      <c r="R35" s="61" t="s">
        <v>2374</v>
      </c>
      <c r="S35" s="61" t="s">
        <v>40</v>
      </c>
      <c r="T35" s="61" t="s">
        <v>1898</v>
      </c>
      <c r="U35" s="61" t="s">
        <v>1898</v>
      </c>
      <c r="V35" s="101" t="str">
        <f>VLOOKUP(B35,[2]Overall!$A:$D,4,0)</f>
        <v>TELEINFRA NORD</v>
      </c>
      <c r="W35" s="101" t="str">
        <f>VLOOKUP(B35,[3]Sheet1!$A:$B,2,0)</f>
        <v>Dabanga</v>
      </c>
      <c r="X35" s="88" t="str">
        <f t="shared" si="0"/>
        <v>EXN</v>
      </c>
      <c r="Y35" s="88" t="str">
        <f t="shared" ca="1" si="1"/>
        <v>T&gt;72H</v>
      </c>
      <c r="Z35" s="101">
        <f t="shared" si="2"/>
        <v>3</v>
      </c>
      <c r="AA35" s="61" t="s">
        <v>1566</v>
      </c>
      <c r="AB35" s="61" t="s">
        <v>1554</v>
      </c>
      <c r="AC35" s="105" t="s">
        <v>2423</v>
      </c>
      <c r="AD35" s="106" t="s">
        <v>1994</v>
      </c>
      <c r="AE35" s="61"/>
    </row>
    <row r="36" spans="1:31" ht="101.5" x14ac:dyDescent="0.35">
      <c r="A36" s="61" t="s">
        <v>2273</v>
      </c>
      <c r="B36" s="61" t="s">
        <v>2268</v>
      </c>
      <c r="C36" s="65"/>
      <c r="D36" s="61"/>
      <c r="E36" s="61" t="s">
        <v>35</v>
      </c>
      <c r="F36" s="70" t="s">
        <v>53</v>
      </c>
      <c r="G36" s="70" t="s">
        <v>2121</v>
      </c>
      <c r="H36" s="67">
        <v>46176.45108796296</v>
      </c>
      <c r="I36" s="75">
        <f t="shared" ca="1" si="3"/>
        <v>4.2176043981526163</v>
      </c>
      <c r="J36" s="61"/>
      <c r="K36" s="61"/>
      <c r="L36" s="61"/>
      <c r="M36" s="61" t="s">
        <v>31</v>
      </c>
      <c r="N36" s="61" t="s">
        <v>2275</v>
      </c>
      <c r="O36" s="61"/>
      <c r="P36" s="61"/>
      <c r="Q36" s="61"/>
      <c r="R36" s="61" t="s">
        <v>2374</v>
      </c>
      <c r="S36" s="61" t="s">
        <v>40</v>
      </c>
      <c r="T36" s="61" t="s">
        <v>1898</v>
      </c>
      <c r="U36" s="61" t="s">
        <v>1898</v>
      </c>
      <c r="V36" s="101" t="str">
        <f>VLOOKUP(B36,[2]Overall!$A:$D,4,0)</f>
        <v>TELEINFRA NORD</v>
      </c>
      <c r="W36" s="101" t="str">
        <f>VLOOKUP(B36,[3]Sheet1!$A:$B,2,0)</f>
        <v>Dabanga</v>
      </c>
      <c r="X36" s="88" t="str">
        <f t="shared" si="0"/>
        <v>EXN</v>
      </c>
      <c r="Y36" s="88" t="str">
        <f t="shared" ca="1" si="1"/>
        <v>T&gt;72H</v>
      </c>
      <c r="Z36" s="101">
        <f t="shared" si="2"/>
        <v>3</v>
      </c>
      <c r="AA36" s="61" t="s">
        <v>1566</v>
      </c>
      <c r="AB36" s="61" t="s">
        <v>1554</v>
      </c>
      <c r="AC36" s="105" t="s">
        <v>2423</v>
      </c>
      <c r="AD36" s="106" t="s">
        <v>1994</v>
      </c>
      <c r="AE36" s="61"/>
    </row>
    <row r="37" spans="1:31" ht="87" x14ac:dyDescent="0.35">
      <c r="A37" s="61" t="s">
        <v>1611</v>
      </c>
      <c r="B37" s="61" t="s">
        <v>1610</v>
      </c>
      <c r="C37" s="65"/>
      <c r="D37" s="61"/>
      <c r="E37" s="61" t="s">
        <v>1614</v>
      </c>
      <c r="F37" s="70" t="s">
        <v>53</v>
      </c>
      <c r="G37" s="70" t="s">
        <v>2121</v>
      </c>
      <c r="H37" s="67">
        <v>46176.618125000001</v>
      </c>
      <c r="I37" s="75">
        <f t="shared" ca="1" si="3"/>
        <v>4.0505673611114617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2386</v>
      </c>
      <c r="S37" s="61" t="s">
        <v>71</v>
      </c>
      <c r="T37" s="61" t="s">
        <v>1902</v>
      </c>
      <c r="U37" s="61" t="s">
        <v>1896</v>
      </c>
      <c r="V37" s="101" t="str">
        <f>VLOOKUP(B37,[2]Overall!$A:$D,4,0)</f>
        <v>TELEINFRA NORD</v>
      </c>
      <c r="W37" s="101" t="str">
        <f>VLOOKUP(B37,[3]Sheet1!$A:$B,2,0)</f>
        <v>Zileng</v>
      </c>
      <c r="X37" s="88" t="str">
        <f t="shared" si="0"/>
        <v>EXN</v>
      </c>
      <c r="Y37" s="88" t="str">
        <f t="shared" ca="1" si="1"/>
        <v>T&gt;72H</v>
      </c>
      <c r="Z37" s="101">
        <f t="shared" si="2"/>
        <v>1</v>
      </c>
      <c r="AA37" s="61" t="s">
        <v>1566</v>
      </c>
      <c r="AB37" s="61" t="s">
        <v>1554</v>
      </c>
      <c r="AC37" s="105" t="s">
        <v>2423</v>
      </c>
      <c r="AD37" s="106" t="s">
        <v>1994</v>
      </c>
      <c r="AE37" s="61"/>
    </row>
    <row r="38" spans="1:31" ht="87" x14ac:dyDescent="0.35">
      <c r="A38" s="61" t="s">
        <v>1611</v>
      </c>
      <c r="B38" s="61" t="s">
        <v>1610</v>
      </c>
      <c r="C38" s="65"/>
      <c r="D38" s="61"/>
      <c r="E38" s="61" t="s">
        <v>1647</v>
      </c>
      <c r="F38" s="70" t="s">
        <v>53</v>
      </c>
      <c r="G38" s="70" t="s">
        <v>2121</v>
      </c>
      <c r="H38" s="67">
        <v>46176.618113425924</v>
      </c>
      <c r="I38" s="75">
        <f t="shared" ca="1" si="3"/>
        <v>4.0505789351882413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2386</v>
      </c>
      <c r="S38" s="61" t="s">
        <v>71</v>
      </c>
      <c r="T38" s="61" t="s">
        <v>1902</v>
      </c>
      <c r="U38" s="61" t="s">
        <v>1896</v>
      </c>
      <c r="V38" s="101" t="str">
        <f>VLOOKUP(B38,[2]Overall!$A:$D,4,0)</f>
        <v>TELEINFRA NORD</v>
      </c>
      <c r="W38" s="101" t="str">
        <f>VLOOKUP(B38,[3]Sheet1!$A:$B,2,0)</f>
        <v>Zileng</v>
      </c>
      <c r="X38" s="88" t="str">
        <f t="shared" si="0"/>
        <v>EXN</v>
      </c>
      <c r="Y38" s="88" t="str">
        <f t="shared" ca="1" si="1"/>
        <v>T&gt;72H</v>
      </c>
      <c r="Z38" s="101">
        <f t="shared" si="2"/>
        <v>1</v>
      </c>
      <c r="AA38" s="61" t="s">
        <v>1566</v>
      </c>
      <c r="AB38" s="61" t="s">
        <v>1554</v>
      </c>
      <c r="AC38" s="105" t="s">
        <v>2423</v>
      </c>
      <c r="AD38" s="106" t="s">
        <v>1994</v>
      </c>
      <c r="AE38" s="61"/>
    </row>
    <row r="39" spans="1:31" ht="87" x14ac:dyDescent="0.35">
      <c r="A39" s="61" t="s">
        <v>1611</v>
      </c>
      <c r="B39" s="61" t="s">
        <v>1610</v>
      </c>
      <c r="C39" s="65"/>
      <c r="D39" s="61"/>
      <c r="E39" s="61" t="s">
        <v>1648</v>
      </c>
      <c r="F39" s="70" t="s">
        <v>53</v>
      </c>
      <c r="G39" s="70" t="s">
        <v>2121</v>
      </c>
      <c r="H39" s="67">
        <v>46176.618125000001</v>
      </c>
      <c r="I39" s="75">
        <f t="shared" ca="1" si="3"/>
        <v>4.0505673611114617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2386</v>
      </c>
      <c r="S39" s="61" t="s">
        <v>71</v>
      </c>
      <c r="T39" s="61" t="s">
        <v>1902</v>
      </c>
      <c r="U39" s="61" t="s">
        <v>1896</v>
      </c>
      <c r="V39" s="101" t="str">
        <f>VLOOKUP(B39,[2]Overall!$A:$D,4,0)</f>
        <v>TELEINFRA NORD</v>
      </c>
      <c r="W39" s="101" t="str">
        <f>VLOOKUP(B39,[3]Sheet1!$A:$B,2,0)</f>
        <v>Zileng</v>
      </c>
      <c r="X39" s="88" t="str">
        <f t="shared" si="0"/>
        <v>EXN</v>
      </c>
      <c r="Y39" s="88" t="str">
        <f t="shared" ca="1" si="1"/>
        <v>T&gt;72H</v>
      </c>
      <c r="Z39" s="101">
        <f t="shared" si="2"/>
        <v>1</v>
      </c>
      <c r="AA39" s="61" t="s">
        <v>1566</v>
      </c>
      <c r="AB39" s="61" t="s">
        <v>1554</v>
      </c>
      <c r="AC39" s="105" t="s">
        <v>2423</v>
      </c>
      <c r="AD39" s="106" t="s">
        <v>1994</v>
      </c>
      <c r="AE39" s="61"/>
    </row>
    <row r="40" spans="1:31" ht="87" x14ac:dyDescent="0.35">
      <c r="A40" s="61" t="s">
        <v>1611</v>
      </c>
      <c r="B40" s="61" t="s">
        <v>1610</v>
      </c>
      <c r="C40" s="65"/>
      <c r="D40" s="61"/>
      <c r="E40" s="61" t="s">
        <v>1649</v>
      </c>
      <c r="F40" s="70" t="s">
        <v>53</v>
      </c>
      <c r="G40" s="70" t="s">
        <v>2121</v>
      </c>
      <c r="H40" s="67">
        <v>46176.618101851855</v>
      </c>
      <c r="I40" s="75">
        <f t="shared" ca="1" si="3"/>
        <v>4.050590509257745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2386</v>
      </c>
      <c r="S40" s="61" t="s">
        <v>71</v>
      </c>
      <c r="T40" s="61" t="s">
        <v>1902</v>
      </c>
      <c r="U40" s="61" t="s">
        <v>1896</v>
      </c>
      <c r="V40" s="101" t="str">
        <f>VLOOKUP(B40,[2]Overall!$A:$D,4,0)</f>
        <v>TELEINFRA NORD</v>
      </c>
      <c r="W40" s="101" t="str">
        <f>VLOOKUP(B40,[3]Sheet1!$A:$B,2,0)</f>
        <v>Zileng</v>
      </c>
      <c r="X40" s="88" t="str">
        <f t="shared" si="0"/>
        <v>EXN</v>
      </c>
      <c r="Y40" s="88" t="str">
        <f t="shared" ca="1" si="1"/>
        <v>T&gt;72H</v>
      </c>
      <c r="Z40" s="101">
        <f t="shared" si="2"/>
        <v>1</v>
      </c>
      <c r="AA40" s="61" t="s">
        <v>1566</v>
      </c>
      <c r="AB40" s="61" t="s">
        <v>1554</v>
      </c>
      <c r="AC40" s="105" t="s">
        <v>2423</v>
      </c>
      <c r="AD40" s="106" t="s">
        <v>1994</v>
      </c>
      <c r="AE40" s="61"/>
    </row>
    <row r="41" spans="1:31" ht="87" x14ac:dyDescent="0.35">
      <c r="A41" s="61" t="s">
        <v>1611</v>
      </c>
      <c r="B41" s="61" t="s">
        <v>1610</v>
      </c>
      <c r="C41" s="65"/>
      <c r="D41" s="61"/>
      <c r="E41" s="61" t="s">
        <v>1644</v>
      </c>
      <c r="F41" s="70" t="s">
        <v>53</v>
      </c>
      <c r="G41" s="70" t="s">
        <v>2121</v>
      </c>
      <c r="H41" s="67">
        <v>46176.618113425924</v>
      </c>
      <c r="I41" s="75">
        <f t="shared" ca="1" si="3"/>
        <v>4.0505789351882413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2386</v>
      </c>
      <c r="S41" s="61" t="s">
        <v>71</v>
      </c>
      <c r="T41" s="61" t="s">
        <v>1902</v>
      </c>
      <c r="U41" s="61" t="s">
        <v>1896</v>
      </c>
      <c r="V41" s="101" t="str">
        <f>VLOOKUP(B41,[2]Overall!$A:$D,4,0)</f>
        <v>TELEINFRA NORD</v>
      </c>
      <c r="W41" s="101" t="str">
        <f>VLOOKUP(B41,[3]Sheet1!$A:$B,2,0)</f>
        <v>Zileng</v>
      </c>
      <c r="X41" s="88" t="str">
        <f t="shared" si="0"/>
        <v>EXN</v>
      </c>
      <c r="Y41" s="88" t="str">
        <f t="shared" ca="1" si="1"/>
        <v>T&gt;72H</v>
      </c>
      <c r="Z41" s="101">
        <f t="shared" si="2"/>
        <v>1</v>
      </c>
      <c r="AA41" s="61" t="s">
        <v>1566</v>
      </c>
      <c r="AB41" s="61" t="s">
        <v>1554</v>
      </c>
      <c r="AC41" s="105" t="s">
        <v>2423</v>
      </c>
      <c r="AD41" s="106" t="s">
        <v>1994</v>
      </c>
      <c r="AE41" s="61"/>
    </row>
    <row r="42" spans="1:31" ht="87" x14ac:dyDescent="0.35">
      <c r="A42" s="61" t="s">
        <v>1611</v>
      </c>
      <c r="B42" s="61" t="s">
        <v>1610</v>
      </c>
      <c r="C42" s="65"/>
      <c r="D42" s="61"/>
      <c r="E42" s="61" t="s">
        <v>1645</v>
      </c>
      <c r="F42" s="70" t="s">
        <v>53</v>
      </c>
      <c r="G42" s="70" t="s">
        <v>2121</v>
      </c>
      <c r="H42" s="67">
        <v>46176.618125000001</v>
      </c>
      <c r="I42" s="75">
        <f t="shared" ca="1" si="3"/>
        <v>4.0505673611114617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2386</v>
      </c>
      <c r="S42" s="61" t="s">
        <v>71</v>
      </c>
      <c r="T42" s="61" t="s">
        <v>1902</v>
      </c>
      <c r="U42" s="61" t="s">
        <v>1896</v>
      </c>
      <c r="V42" s="101" t="str">
        <f>VLOOKUP(B42,[2]Overall!$A:$D,4,0)</f>
        <v>TELEINFRA NORD</v>
      </c>
      <c r="W42" s="101" t="str">
        <f>VLOOKUP(B42,[3]Sheet1!$A:$B,2,0)</f>
        <v>Zileng</v>
      </c>
      <c r="X42" s="88" t="str">
        <f t="shared" si="0"/>
        <v>EXN</v>
      </c>
      <c r="Y42" s="88" t="str">
        <f t="shared" ca="1" si="1"/>
        <v>T&gt;72H</v>
      </c>
      <c r="Z42" s="101">
        <f t="shared" si="2"/>
        <v>1</v>
      </c>
      <c r="AA42" s="61" t="s">
        <v>1566</v>
      </c>
      <c r="AB42" s="61" t="s">
        <v>1554</v>
      </c>
      <c r="AC42" s="105" t="s">
        <v>2423</v>
      </c>
      <c r="AD42" s="106" t="s">
        <v>1994</v>
      </c>
      <c r="AE42" s="61"/>
    </row>
    <row r="43" spans="1:31" ht="87" x14ac:dyDescent="0.35">
      <c r="A43" s="61" t="s">
        <v>1611</v>
      </c>
      <c r="B43" s="61" t="s">
        <v>1610</v>
      </c>
      <c r="C43" s="65"/>
      <c r="D43" s="61"/>
      <c r="E43" s="61" t="s">
        <v>1646</v>
      </c>
      <c r="F43" s="70" t="s">
        <v>53</v>
      </c>
      <c r="G43" s="70" t="s">
        <v>2121</v>
      </c>
      <c r="H43" s="67">
        <v>46176.618125000001</v>
      </c>
      <c r="I43" s="75">
        <f t="shared" ca="1" si="3"/>
        <v>4.0505673611114617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2386</v>
      </c>
      <c r="S43" s="61" t="s">
        <v>71</v>
      </c>
      <c r="T43" s="61" t="s">
        <v>1902</v>
      </c>
      <c r="U43" s="61" t="s">
        <v>1896</v>
      </c>
      <c r="V43" s="101" t="str">
        <f>VLOOKUP(B43,[2]Overall!$A:$D,4,0)</f>
        <v>TELEINFRA NORD</v>
      </c>
      <c r="W43" s="101" t="str">
        <f>VLOOKUP(B43,[3]Sheet1!$A:$B,2,0)</f>
        <v>Zileng</v>
      </c>
      <c r="X43" s="88" t="str">
        <f t="shared" si="0"/>
        <v>EXN</v>
      </c>
      <c r="Y43" s="88" t="str">
        <f t="shared" ca="1" si="1"/>
        <v>T&gt;72H</v>
      </c>
      <c r="Z43" s="101">
        <f t="shared" si="2"/>
        <v>1</v>
      </c>
      <c r="AA43" s="61" t="s">
        <v>1566</v>
      </c>
      <c r="AB43" s="61" t="s">
        <v>1554</v>
      </c>
      <c r="AC43" s="105" t="s">
        <v>2423</v>
      </c>
      <c r="AD43" s="106" t="s">
        <v>1994</v>
      </c>
      <c r="AE43" s="61"/>
    </row>
    <row r="44" spans="1:31" ht="87" x14ac:dyDescent="0.35">
      <c r="A44" s="61" t="s">
        <v>1611</v>
      </c>
      <c r="B44" s="61" t="s">
        <v>1610</v>
      </c>
      <c r="C44" s="65"/>
      <c r="D44" s="61"/>
      <c r="E44" s="61" t="s">
        <v>1643</v>
      </c>
      <c r="F44" s="70" t="s">
        <v>53</v>
      </c>
      <c r="G44" s="70" t="s">
        <v>2121</v>
      </c>
      <c r="H44" s="67">
        <v>46176.618113425924</v>
      </c>
      <c r="I44" s="75">
        <f t="shared" ca="1" si="3"/>
        <v>4.0505789351882413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2386</v>
      </c>
      <c r="S44" s="61" t="s">
        <v>71</v>
      </c>
      <c r="T44" s="61" t="s">
        <v>1902</v>
      </c>
      <c r="U44" s="61" t="s">
        <v>1896</v>
      </c>
      <c r="V44" s="101" t="str">
        <f>VLOOKUP(B44,[2]Overall!$A:$D,4,0)</f>
        <v>TELEINFRA NORD</v>
      </c>
      <c r="W44" s="101" t="str">
        <f>VLOOKUP(B44,[3]Sheet1!$A:$B,2,0)</f>
        <v>Zileng</v>
      </c>
      <c r="X44" s="88" t="str">
        <f t="shared" ref="X44:X83" si="4">LEFT(B44,3)</f>
        <v>EXN</v>
      </c>
      <c r="Y44" s="88" t="str">
        <f t="shared" ref="Y44:Y83" ca="1" si="5">IF(I44 &lt; 1/24, "T&lt;1H", IF(AND(I44&lt;2/24, I44&gt;1/24), "1H&lt;T&lt;2H", IF(AND(I44&lt;4/24, I44&gt;2/24), "2H&lt;T&lt;4H", IF(AND(I44&lt;8/24, I44&gt;4/24), "4H&lt;T&lt;8H", IF(AND(I44&lt;16/24, I44&gt;8/24), "8H&lt;T&lt;16H",IF(AND(I44&lt;24/24, I44&gt;16/24),"16H&lt;T&lt;24H", IF(AND(I44&lt;48/24, I44&gt;24/24),"24H&lt;T&lt;48H",IF(AND(I44&lt;72/24, I44&gt;24/24),"48H&lt;T&lt;72H", "T&gt;72H"))))))))</f>
        <v>T&gt;72H</v>
      </c>
      <c r="Z44" s="101">
        <f t="shared" ref="Z44:Z83" si="6">IF(OR(E44="", E44="affected_cells=unknown"), "", LEN(E44)-LEN(SUBSTITUTE(E44, ",", "")) + LEN(E44)-LEN(SUBSTITUTE(E44, ";", "")) + 1)</f>
        <v>1</v>
      </c>
      <c r="AA44" s="61" t="s">
        <v>1566</v>
      </c>
      <c r="AB44" s="61" t="s">
        <v>1554</v>
      </c>
      <c r="AC44" s="105" t="s">
        <v>2423</v>
      </c>
      <c r="AD44" s="106" t="s">
        <v>1994</v>
      </c>
      <c r="AE44" s="61"/>
    </row>
    <row r="45" spans="1:31" ht="87" x14ac:dyDescent="0.35">
      <c r="A45" s="61" t="s">
        <v>1611</v>
      </c>
      <c r="B45" s="61" t="s">
        <v>1610</v>
      </c>
      <c r="C45" s="65"/>
      <c r="D45" s="61"/>
      <c r="E45" s="61" t="s">
        <v>1650</v>
      </c>
      <c r="F45" s="70" t="s">
        <v>53</v>
      </c>
      <c r="G45" s="70" t="s">
        <v>2121</v>
      </c>
      <c r="H45" s="67">
        <v>46176.618125000001</v>
      </c>
      <c r="I45" s="75">
        <f t="shared" ca="1" si="3"/>
        <v>4.0505673611114617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2386</v>
      </c>
      <c r="S45" s="61" t="s">
        <v>71</v>
      </c>
      <c r="T45" s="61" t="s">
        <v>1902</v>
      </c>
      <c r="U45" s="61" t="s">
        <v>1896</v>
      </c>
      <c r="V45" s="101" t="str">
        <f>VLOOKUP(B45,[2]Overall!$A:$D,4,0)</f>
        <v>TELEINFRA NORD</v>
      </c>
      <c r="W45" s="101" t="str">
        <f>VLOOKUP(B45,[3]Sheet1!$A:$B,2,0)</f>
        <v>Zileng</v>
      </c>
      <c r="X45" s="88" t="str">
        <f t="shared" si="4"/>
        <v>EXN</v>
      </c>
      <c r="Y45" s="88" t="str">
        <f t="shared" ca="1" si="5"/>
        <v>T&gt;72H</v>
      </c>
      <c r="Z45" s="101">
        <f t="shared" si="6"/>
        <v>1</v>
      </c>
      <c r="AA45" s="61" t="s">
        <v>1566</v>
      </c>
      <c r="AB45" s="61" t="s">
        <v>1554</v>
      </c>
      <c r="AC45" s="105" t="s">
        <v>2423</v>
      </c>
      <c r="AD45" s="106" t="s">
        <v>1994</v>
      </c>
      <c r="AE45" s="61"/>
    </row>
    <row r="46" spans="1:31" ht="87" x14ac:dyDescent="0.35">
      <c r="A46" s="61" t="s">
        <v>1611</v>
      </c>
      <c r="B46" s="61" t="s">
        <v>1610</v>
      </c>
      <c r="C46" s="65"/>
      <c r="D46" s="61"/>
      <c r="E46" s="61" t="s">
        <v>1612</v>
      </c>
      <c r="F46" s="70" t="s">
        <v>53</v>
      </c>
      <c r="G46" s="70" t="s">
        <v>2121</v>
      </c>
      <c r="H46" s="67">
        <v>46176.618125000001</v>
      </c>
      <c r="I46" s="75">
        <f t="shared" ca="1" si="3"/>
        <v>4.0505673611114617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2386</v>
      </c>
      <c r="S46" s="61" t="s">
        <v>71</v>
      </c>
      <c r="T46" s="61" t="s">
        <v>1902</v>
      </c>
      <c r="U46" s="61" t="s">
        <v>1896</v>
      </c>
      <c r="V46" s="101" t="str">
        <f>VLOOKUP(B46,[2]Overall!$A:$D,4,0)</f>
        <v>TELEINFRA NORD</v>
      </c>
      <c r="W46" s="101" t="str">
        <f>VLOOKUP(B46,[3]Sheet1!$A:$B,2,0)</f>
        <v>Zileng</v>
      </c>
      <c r="X46" s="88" t="str">
        <f t="shared" si="4"/>
        <v>EXN</v>
      </c>
      <c r="Y46" s="88" t="str">
        <f t="shared" ca="1" si="5"/>
        <v>T&gt;72H</v>
      </c>
      <c r="Z46" s="101">
        <f t="shared" si="6"/>
        <v>1</v>
      </c>
      <c r="AA46" s="61" t="s">
        <v>1566</v>
      </c>
      <c r="AB46" s="61" t="s">
        <v>1554</v>
      </c>
      <c r="AC46" s="105" t="s">
        <v>2423</v>
      </c>
      <c r="AD46" s="106" t="s">
        <v>1994</v>
      </c>
      <c r="AE46" s="61"/>
    </row>
    <row r="47" spans="1:31" ht="87" x14ac:dyDescent="0.35">
      <c r="A47" s="61" t="s">
        <v>1611</v>
      </c>
      <c r="B47" s="61" t="s">
        <v>1610</v>
      </c>
      <c r="C47" s="65"/>
      <c r="D47" s="61"/>
      <c r="E47" s="61" t="s">
        <v>1642</v>
      </c>
      <c r="F47" s="70" t="s">
        <v>53</v>
      </c>
      <c r="G47" s="70" t="s">
        <v>2121</v>
      </c>
      <c r="H47" s="67">
        <v>46176.618125000001</v>
      </c>
      <c r="I47" s="75">
        <f t="shared" ca="1" si="3"/>
        <v>4.0505673611114617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2386</v>
      </c>
      <c r="S47" s="61" t="s">
        <v>71</v>
      </c>
      <c r="T47" s="61" t="s">
        <v>1902</v>
      </c>
      <c r="U47" s="61" t="s">
        <v>1896</v>
      </c>
      <c r="V47" s="101" t="str">
        <f>VLOOKUP(B47,[2]Overall!$A:$D,4,0)</f>
        <v>TELEINFRA NORD</v>
      </c>
      <c r="W47" s="101" t="str">
        <f>VLOOKUP(B47,[3]Sheet1!$A:$B,2,0)</f>
        <v>Zileng</v>
      </c>
      <c r="X47" s="88" t="str">
        <f t="shared" si="4"/>
        <v>EXN</v>
      </c>
      <c r="Y47" s="88" t="str">
        <f t="shared" ca="1" si="5"/>
        <v>T&gt;72H</v>
      </c>
      <c r="Z47" s="101">
        <f t="shared" si="6"/>
        <v>1</v>
      </c>
      <c r="AA47" s="61" t="s">
        <v>1566</v>
      </c>
      <c r="AB47" s="61" t="s">
        <v>1554</v>
      </c>
      <c r="AC47" s="105" t="s">
        <v>2423</v>
      </c>
      <c r="AD47" s="106" t="s">
        <v>1994</v>
      </c>
      <c r="AE47" s="61"/>
    </row>
    <row r="48" spans="1:31" ht="87" x14ac:dyDescent="0.35">
      <c r="A48" s="61" t="s">
        <v>1611</v>
      </c>
      <c r="B48" s="61" t="s">
        <v>1610</v>
      </c>
      <c r="C48" s="65"/>
      <c r="D48" s="61"/>
      <c r="E48" s="61" t="s">
        <v>1616</v>
      </c>
      <c r="F48" s="70" t="s">
        <v>53</v>
      </c>
      <c r="G48" s="70" t="s">
        <v>2121</v>
      </c>
      <c r="H48" s="67">
        <v>46176.618125000001</v>
      </c>
      <c r="I48" s="75">
        <f t="shared" ca="1" si="3"/>
        <v>4.0505673611114617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2386</v>
      </c>
      <c r="S48" s="61" t="s">
        <v>71</v>
      </c>
      <c r="T48" s="61" t="s">
        <v>1902</v>
      </c>
      <c r="U48" s="61" t="s">
        <v>1896</v>
      </c>
      <c r="V48" s="101" t="str">
        <f>VLOOKUP(B48,[2]Overall!$A:$D,4,0)</f>
        <v>TELEINFRA NORD</v>
      </c>
      <c r="W48" s="101" t="str">
        <f>VLOOKUP(B48,[3]Sheet1!$A:$B,2,0)</f>
        <v>Zileng</v>
      </c>
      <c r="X48" s="88" t="str">
        <f t="shared" si="4"/>
        <v>EXN</v>
      </c>
      <c r="Y48" s="88" t="str">
        <f t="shared" ca="1" si="5"/>
        <v>T&gt;72H</v>
      </c>
      <c r="Z48" s="101">
        <f t="shared" si="6"/>
        <v>1</v>
      </c>
      <c r="AA48" s="61" t="s">
        <v>1566</v>
      </c>
      <c r="AB48" s="61" t="s">
        <v>1554</v>
      </c>
      <c r="AC48" s="105" t="s">
        <v>2423</v>
      </c>
      <c r="AD48" s="106" t="s">
        <v>1994</v>
      </c>
      <c r="AE48" s="61"/>
    </row>
    <row r="49" spans="1:31" ht="130.5" x14ac:dyDescent="0.35">
      <c r="A49" s="61" t="s">
        <v>1877</v>
      </c>
      <c r="B49" s="61" t="s">
        <v>1878</v>
      </c>
      <c r="C49" s="65"/>
      <c r="D49" s="61"/>
      <c r="E49" s="61" t="s">
        <v>49</v>
      </c>
      <c r="F49" s="70" t="s">
        <v>53</v>
      </c>
      <c r="G49" s="70" t="s">
        <v>2121</v>
      </c>
      <c r="H49" s="67">
        <v>46176.68891203704</v>
      </c>
      <c r="I49" s="75">
        <f t="shared" ca="1" si="3"/>
        <v>3.9797803240726353</v>
      </c>
      <c r="J49" s="61"/>
      <c r="K49" s="61"/>
      <c r="L49" s="61"/>
      <c r="M49" s="61" t="s">
        <v>38</v>
      </c>
      <c r="N49" s="61" t="s">
        <v>1943</v>
      </c>
      <c r="O49" s="61"/>
      <c r="P49" s="61"/>
      <c r="Q49" s="61"/>
      <c r="R49" s="61" t="s">
        <v>2433</v>
      </c>
      <c r="S49" s="61" t="s">
        <v>85</v>
      </c>
      <c r="T49" s="61" t="s">
        <v>1688</v>
      </c>
      <c r="U49" s="61" t="s">
        <v>1688</v>
      </c>
      <c r="V49" s="101" t="str">
        <f>VLOOKUP(B49,[2]Overall!$A:$D,4,0)</f>
        <v>H-TELI</v>
      </c>
      <c r="W49" s="101" t="str">
        <f>VLOOKUP(B49,[3]Sheet1!$A:$B,2,0)</f>
        <v>Massock-Songloulou</v>
      </c>
      <c r="X49" s="88" t="str">
        <f t="shared" si="4"/>
        <v>LIT</v>
      </c>
      <c r="Y49" s="88" t="str">
        <f t="shared" ca="1" si="5"/>
        <v>T&gt;72H</v>
      </c>
      <c r="Z49" s="101">
        <f t="shared" si="6"/>
        <v>1</v>
      </c>
      <c r="AA49" s="61" t="s">
        <v>1566</v>
      </c>
      <c r="AB49" s="61" t="s">
        <v>1554</v>
      </c>
      <c r="AC49" s="105" t="s">
        <v>2423</v>
      </c>
      <c r="AD49" s="106" t="s">
        <v>1994</v>
      </c>
      <c r="AE49" s="61"/>
    </row>
    <row r="50" spans="1:31" ht="72.5" x14ac:dyDescent="0.35">
      <c r="A50" s="61" t="s">
        <v>1939</v>
      </c>
      <c r="B50" s="61" t="s">
        <v>1940</v>
      </c>
      <c r="C50" s="65"/>
      <c r="D50" s="61"/>
      <c r="E50" s="61" t="s">
        <v>37</v>
      </c>
      <c r="F50" s="70" t="s">
        <v>53</v>
      </c>
      <c r="G50" s="70" t="s">
        <v>2121</v>
      </c>
      <c r="H50" s="67">
        <v>46176.852071759262</v>
      </c>
      <c r="I50" s="75">
        <f t="shared" ca="1" si="3"/>
        <v>3.8166206018504454</v>
      </c>
      <c r="J50" s="61"/>
      <c r="K50" s="61"/>
      <c r="L50" s="61"/>
      <c r="M50" s="61" t="s">
        <v>38</v>
      </c>
      <c r="N50" s="61" t="s">
        <v>1942</v>
      </c>
      <c r="O50" s="61"/>
      <c r="P50" s="61"/>
      <c r="Q50" s="61"/>
      <c r="R50" s="61" t="s">
        <v>2334</v>
      </c>
      <c r="S50" s="61" t="s">
        <v>32</v>
      </c>
      <c r="T50" s="61" t="s">
        <v>1898</v>
      </c>
      <c r="U50" s="61" t="s">
        <v>1898</v>
      </c>
      <c r="V50" s="101" t="str">
        <f>VLOOKUP(B50,[2]Overall!$A:$D,4,0)</f>
        <v xml:space="preserve">I-ENG </v>
      </c>
      <c r="W50" s="101" t="str">
        <f>VLOOKUP(B50,[3]Sheet1!$A:$B,2,0)</f>
        <v>Widikum</v>
      </c>
      <c r="X50" s="88" t="str">
        <f t="shared" si="4"/>
        <v>NRO</v>
      </c>
      <c r="Y50" s="88" t="str">
        <f t="shared" ca="1" si="5"/>
        <v>T&gt;72H</v>
      </c>
      <c r="Z50" s="101">
        <f t="shared" si="6"/>
        <v>1</v>
      </c>
      <c r="AA50" s="61" t="s">
        <v>1566</v>
      </c>
      <c r="AB50" s="61" t="s">
        <v>1554</v>
      </c>
      <c r="AC50" s="105" t="s">
        <v>2423</v>
      </c>
      <c r="AD50" s="106" t="s">
        <v>1994</v>
      </c>
      <c r="AE50" s="61"/>
    </row>
    <row r="51" spans="1:31" ht="174" x14ac:dyDescent="0.35">
      <c r="A51" s="61" t="s">
        <v>1581</v>
      </c>
      <c r="B51" s="61" t="s">
        <v>1582</v>
      </c>
      <c r="C51" s="65"/>
      <c r="D51" s="61"/>
      <c r="E51" s="61" t="s">
        <v>1937</v>
      </c>
      <c r="F51" s="70" t="s">
        <v>53</v>
      </c>
      <c r="G51" s="70" t="s">
        <v>2121</v>
      </c>
      <c r="H51" s="67">
        <v>46177.249444444446</v>
      </c>
      <c r="I51" s="75">
        <f t="shared" ca="1" si="3"/>
        <v>3.4192479166667908</v>
      </c>
      <c r="J51" s="61"/>
      <c r="K51" s="61"/>
      <c r="L51" s="61"/>
      <c r="M51" s="61" t="s">
        <v>41</v>
      </c>
      <c r="N51" s="61" t="s">
        <v>1938</v>
      </c>
      <c r="O51" s="61"/>
      <c r="P51" s="61"/>
      <c r="Q51" s="61"/>
      <c r="R51" s="61" t="s">
        <v>2371</v>
      </c>
      <c r="S51" s="61" t="s">
        <v>32</v>
      </c>
      <c r="T51" s="61" t="s">
        <v>1840</v>
      </c>
      <c r="U51" s="61" t="s">
        <v>1840</v>
      </c>
      <c r="V51" s="101" t="str">
        <f>VLOOKUP(B51,[2]Overall!$A:$D,4,0)</f>
        <v xml:space="preserve">I-ENG </v>
      </c>
      <c r="W51" s="101" t="str">
        <f>VLOOKUP(B51,[3]Sheet1!$A:$B,2,0)</f>
        <v>Batibo</v>
      </c>
      <c r="X51" s="88" t="str">
        <f t="shared" si="4"/>
        <v>NRO</v>
      </c>
      <c r="Y51" s="88" t="str">
        <f t="shared" ca="1" si="5"/>
        <v>T&gt;72H</v>
      </c>
      <c r="Z51" s="101">
        <f t="shared" si="6"/>
        <v>1</v>
      </c>
      <c r="AA51" s="61" t="s">
        <v>1566</v>
      </c>
      <c r="AB51" s="61" t="s">
        <v>1554</v>
      </c>
      <c r="AC51" s="105" t="s">
        <v>2423</v>
      </c>
      <c r="AD51" s="106" t="s">
        <v>1994</v>
      </c>
      <c r="AE51" s="61"/>
    </row>
    <row r="52" spans="1:31" ht="203" x14ac:dyDescent="0.35">
      <c r="A52" s="63" t="s">
        <v>1776</v>
      </c>
      <c r="B52" s="63" t="s">
        <v>1777</v>
      </c>
      <c r="C52" s="68"/>
      <c r="D52" s="63"/>
      <c r="E52" s="63" t="s">
        <v>35</v>
      </c>
      <c r="F52" s="71" t="s">
        <v>53</v>
      </c>
      <c r="G52" s="71" t="s">
        <v>2121</v>
      </c>
      <c r="H52" s="69">
        <v>46177.256041666667</v>
      </c>
      <c r="I52" s="77">
        <f t="shared" ca="1" si="3"/>
        <v>3.412650694444892</v>
      </c>
      <c r="J52" s="63"/>
      <c r="K52" s="63"/>
      <c r="L52" s="63"/>
      <c r="M52" s="63" t="s">
        <v>31</v>
      </c>
      <c r="N52" s="63" t="s">
        <v>1778</v>
      </c>
      <c r="O52" s="63"/>
      <c r="P52" s="63" t="s">
        <v>1906</v>
      </c>
      <c r="Q52" s="63"/>
      <c r="R52" s="63" t="s">
        <v>2337</v>
      </c>
      <c r="S52" s="63" t="s">
        <v>32</v>
      </c>
      <c r="T52" s="63" t="s">
        <v>1898</v>
      </c>
      <c r="U52" s="63" t="s">
        <v>1898</v>
      </c>
      <c r="V52" s="107" t="str">
        <f>VLOOKUP(B52,[2]Overall!$A:$D,4,0)</f>
        <v xml:space="preserve">I-ENG </v>
      </c>
      <c r="W52" s="107" t="str">
        <f>VLOOKUP(B52,[3]Sheet1!$A:$B,2,0)</f>
        <v>Bafmeng</v>
      </c>
      <c r="X52" s="89" t="str">
        <f t="shared" si="4"/>
        <v>NRO</v>
      </c>
      <c r="Y52" s="89" t="str">
        <f t="shared" ca="1" si="5"/>
        <v>T&gt;72H</v>
      </c>
      <c r="Z52" s="107">
        <f t="shared" si="6"/>
        <v>3</v>
      </c>
      <c r="AA52" s="63" t="s">
        <v>77</v>
      </c>
      <c r="AB52" s="63" t="s">
        <v>1554</v>
      </c>
      <c r="AC52" s="108" t="s">
        <v>2423</v>
      </c>
      <c r="AD52" s="109" t="s">
        <v>1994</v>
      </c>
      <c r="AE52" s="63"/>
    </row>
    <row r="53" spans="1:31" ht="72.5" x14ac:dyDescent="0.35">
      <c r="A53" s="61" t="s">
        <v>2225</v>
      </c>
      <c r="B53" s="61" t="s">
        <v>2226</v>
      </c>
      <c r="C53" s="65"/>
      <c r="D53" s="61"/>
      <c r="E53" s="61" t="s">
        <v>39</v>
      </c>
      <c r="F53" s="70" t="s">
        <v>53</v>
      </c>
      <c r="G53" s="70" t="s">
        <v>2121</v>
      </c>
      <c r="H53" s="67">
        <v>46177.305810185186</v>
      </c>
      <c r="I53" s="75">
        <f t="shared" ca="1" si="3"/>
        <v>3.362882175926643</v>
      </c>
      <c r="J53" s="61"/>
      <c r="K53" s="61"/>
      <c r="L53" s="61"/>
      <c r="M53" s="61" t="s">
        <v>1712</v>
      </c>
      <c r="N53" s="61" t="s">
        <v>2227</v>
      </c>
      <c r="O53" s="61"/>
      <c r="P53" s="61"/>
      <c r="Q53" s="61"/>
      <c r="R53" s="61" t="s">
        <v>2365</v>
      </c>
      <c r="S53" s="61" t="s">
        <v>51</v>
      </c>
      <c r="T53" s="61" t="s">
        <v>1898</v>
      </c>
      <c r="U53" s="61" t="s">
        <v>1898</v>
      </c>
      <c r="V53" s="101" t="str">
        <f>VLOOKUP(B53,[2]Overall!$A:$D,4,0)</f>
        <v xml:space="preserve">I-ENG </v>
      </c>
      <c r="W53" s="101" t="str">
        <f>VLOOKUP(B53,[3]Sheet1!$A:$B,2,0)</f>
        <v>Matsari</v>
      </c>
      <c r="X53" s="88" t="str">
        <f t="shared" si="4"/>
        <v>CTR</v>
      </c>
      <c r="Y53" s="88" t="str">
        <f t="shared" ca="1" si="5"/>
        <v>T&gt;72H</v>
      </c>
      <c r="Z53" s="101">
        <f t="shared" si="6"/>
        <v>1</v>
      </c>
      <c r="AA53" s="61" t="s">
        <v>1566</v>
      </c>
      <c r="AB53" s="61" t="s">
        <v>1554</v>
      </c>
      <c r="AC53" s="105" t="s">
        <v>2423</v>
      </c>
      <c r="AD53" s="106" t="s">
        <v>1994</v>
      </c>
      <c r="AE53" s="61"/>
    </row>
    <row r="54" spans="1:31" ht="87" x14ac:dyDescent="0.35">
      <c r="A54" s="61" t="s">
        <v>2218</v>
      </c>
      <c r="B54" s="61" t="s">
        <v>2219</v>
      </c>
      <c r="C54" s="65"/>
      <c r="D54" s="61"/>
      <c r="E54" s="61" t="s">
        <v>2223</v>
      </c>
      <c r="F54" s="70" t="s">
        <v>53</v>
      </c>
      <c r="G54" s="70" t="s">
        <v>2121</v>
      </c>
      <c r="H54" s="67">
        <v>46177.319131944445</v>
      </c>
      <c r="I54" s="75">
        <f t="shared" ca="1" si="3"/>
        <v>3.3495604166673729</v>
      </c>
      <c r="J54" s="61"/>
      <c r="K54" s="61"/>
      <c r="L54" s="61"/>
      <c r="M54" s="61" t="s">
        <v>1730</v>
      </c>
      <c r="N54" s="61" t="s">
        <v>2224</v>
      </c>
      <c r="O54" s="61"/>
      <c r="P54" s="61"/>
      <c r="Q54" s="61"/>
      <c r="R54" s="61" t="s">
        <v>2459</v>
      </c>
      <c r="S54" s="61" t="s">
        <v>45</v>
      </c>
      <c r="T54" s="61" t="s">
        <v>1898</v>
      </c>
      <c r="U54" s="61" t="s">
        <v>1898</v>
      </c>
      <c r="V54" s="101" t="str">
        <f>VLOOKUP(B54,[2]Overall!$A:$D,4,0)</f>
        <v>TELEINFRA CENTRE</v>
      </c>
      <c r="W54" s="101" t="str">
        <f>VLOOKUP(B54,[3]Sheet1!$A:$B,2,0)</f>
        <v>Evodoula</v>
      </c>
      <c r="X54" s="88" t="str">
        <f t="shared" si="4"/>
        <v>CTR</v>
      </c>
      <c r="Y54" s="88" t="str">
        <f t="shared" ca="1" si="5"/>
        <v>T&gt;72H</v>
      </c>
      <c r="Z54" s="101">
        <f t="shared" si="6"/>
        <v>2</v>
      </c>
      <c r="AA54" s="61" t="s">
        <v>1566</v>
      </c>
      <c r="AB54" s="61" t="s">
        <v>1554</v>
      </c>
      <c r="AC54" s="105" t="s">
        <v>2423</v>
      </c>
      <c r="AD54" s="106" t="s">
        <v>1994</v>
      </c>
      <c r="AE54" s="61"/>
    </row>
    <row r="55" spans="1:31" ht="87" x14ac:dyDescent="0.35">
      <c r="A55" s="61" t="s">
        <v>1705</v>
      </c>
      <c r="B55" s="61" t="s">
        <v>1706</v>
      </c>
      <c r="C55" s="65"/>
      <c r="D55" s="61"/>
      <c r="E55" s="61" t="s">
        <v>48</v>
      </c>
      <c r="F55" s="70" t="s">
        <v>53</v>
      </c>
      <c r="G55" s="70" t="s">
        <v>2121</v>
      </c>
      <c r="H55" s="67">
        <v>46177.386990740742</v>
      </c>
      <c r="I55" s="75">
        <f t="shared" ca="1" si="3"/>
        <v>3.2817016203698586</v>
      </c>
      <c r="J55" s="61"/>
      <c r="K55" s="61"/>
      <c r="L55" s="61"/>
      <c r="M55" s="61" t="s">
        <v>1707</v>
      </c>
      <c r="N55" s="61" t="s">
        <v>1708</v>
      </c>
      <c r="O55" s="61"/>
      <c r="P55" s="61"/>
      <c r="Q55" s="61"/>
      <c r="R55" s="61" t="s">
        <v>2414</v>
      </c>
      <c r="S55" s="61" t="s">
        <v>71</v>
      </c>
      <c r="T55" s="61" t="s">
        <v>1902</v>
      </c>
      <c r="U55" s="61" t="s">
        <v>1896</v>
      </c>
      <c r="V55" s="101" t="str">
        <f>VLOOKUP(B55,[2]Overall!$A:$D,4,0)</f>
        <v xml:space="preserve">I-ENG </v>
      </c>
      <c r="W55" s="101" t="str">
        <f>VLOOKUP(B55,[3]Sheet1!$A:$B,2,0)</f>
        <v>Laising</v>
      </c>
      <c r="X55" s="88" t="str">
        <f t="shared" si="4"/>
        <v>NRO</v>
      </c>
      <c r="Y55" s="88" t="str">
        <f t="shared" ca="1" si="5"/>
        <v>T&gt;72H</v>
      </c>
      <c r="Z55" s="101">
        <f t="shared" si="6"/>
        <v>1</v>
      </c>
      <c r="AA55" s="61" t="s">
        <v>1566</v>
      </c>
      <c r="AB55" s="61" t="s">
        <v>1554</v>
      </c>
      <c r="AC55" s="105" t="s">
        <v>2423</v>
      </c>
      <c r="AD55" s="106" t="s">
        <v>1994</v>
      </c>
      <c r="AE55" s="61"/>
    </row>
    <row r="56" spans="1:31" ht="101.5" x14ac:dyDescent="0.35">
      <c r="A56" s="61" t="s">
        <v>2267</v>
      </c>
      <c r="B56" s="61" t="s">
        <v>2268</v>
      </c>
      <c r="C56" s="65"/>
      <c r="D56" s="61"/>
      <c r="E56" s="61" t="s">
        <v>39</v>
      </c>
      <c r="F56" s="70" t="s">
        <v>53</v>
      </c>
      <c r="G56" s="70" t="s">
        <v>2121</v>
      </c>
      <c r="H56" s="67">
        <v>46177.408888888887</v>
      </c>
      <c r="I56" s="75">
        <f t="shared" ca="1" si="3"/>
        <v>3.2598034722250304</v>
      </c>
      <c r="J56" s="61"/>
      <c r="K56" s="61"/>
      <c r="L56" s="61"/>
      <c r="M56" s="61" t="s">
        <v>2391</v>
      </c>
      <c r="N56" s="61" t="s">
        <v>2392</v>
      </c>
      <c r="O56" s="61"/>
      <c r="P56" s="61"/>
      <c r="Q56" s="61"/>
      <c r="R56" s="61" t="s">
        <v>2374</v>
      </c>
      <c r="S56" s="61" t="s">
        <v>40</v>
      </c>
      <c r="T56" s="61" t="s">
        <v>1898</v>
      </c>
      <c r="U56" s="61" t="s">
        <v>1898</v>
      </c>
      <c r="V56" s="101" t="str">
        <f>VLOOKUP(B56,[2]Overall!$A:$D,4,0)</f>
        <v>TELEINFRA NORD</v>
      </c>
      <c r="W56" s="101" t="str">
        <f>VLOOKUP(B56,[3]Sheet1!$A:$B,2,0)</f>
        <v>Dabanga</v>
      </c>
      <c r="X56" s="88" t="str">
        <f t="shared" si="4"/>
        <v>EXN</v>
      </c>
      <c r="Y56" s="88" t="str">
        <f t="shared" ca="1" si="5"/>
        <v>T&gt;72H</v>
      </c>
      <c r="Z56" s="101">
        <f t="shared" si="6"/>
        <v>1</v>
      </c>
      <c r="AA56" s="61" t="s">
        <v>1566</v>
      </c>
      <c r="AB56" s="61" t="s">
        <v>1554</v>
      </c>
      <c r="AC56" s="105" t="s">
        <v>2423</v>
      </c>
      <c r="AD56" s="106" t="s">
        <v>1994</v>
      </c>
      <c r="AE56" s="61"/>
    </row>
    <row r="57" spans="1:31" ht="101.5" x14ac:dyDescent="0.35">
      <c r="A57" s="61" t="s">
        <v>2267</v>
      </c>
      <c r="B57" s="61" t="s">
        <v>2268</v>
      </c>
      <c r="C57" s="65"/>
      <c r="D57" s="61"/>
      <c r="E57" s="61" t="s">
        <v>34</v>
      </c>
      <c r="F57" s="70" t="s">
        <v>53</v>
      </c>
      <c r="G57" s="70" t="s">
        <v>2121</v>
      </c>
      <c r="H57" s="67">
        <v>46177.417199074072</v>
      </c>
      <c r="I57" s="75">
        <f t="shared" ca="1" si="3"/>
        <v>3.2514932870399207</v>
      </c>
      <c r="J57" s="61"/>
      <c r="K57" s="61"/>
      <c r="L57" s="61"/>
      <c r="M57" s="61" t="s">
        <v>31</v>
      </c>
      <c r="N57" s="61" t="s">
        <v>2272</v>
      </c>
      <c r="O57" s="61"/>
      <c r="P57" s="61"/>
      <c r="Q57" s="61"/>
      <c r="R57" s="61" t="s">
        <v>2374</v>
      </c>
      <c r="S57" s="61" t="s">
        <v>40</v>
      </c>
      <c r="T57" s="61" t="s">
        <v>1898</v>
      </c>
      <c r="U57" s="61" t="s">
        <v>1898</v>
      </c>
      <c r="V57" s="101" t="str">
        <f>VLOOKUP(B57,[2]Overall!$A:$D,4,0)</f>
        <v>TELEINFRA NORD</v>
      </c>
      <c r="W57" s="101" t="str">
        <f>VLOOKUP(B57,[3]Sheet1!$A:$B,2,0)</f>
        <v>Dabanga</v>
      </c>
      <c r="X57" s="88" t="str">
        <f t="shared" si="4"/>
        <v>EXN</v>
      </c>
      <c r="Y57" s="88" t="str">
        <f t="shared" ca="1" si="5"/>
        <v>T&gt;72H</v>
      </c>
      <c r="Z57" s="101">
        <f t="shared" si="6"/>
        <v>1</v>
      </c>
      <c r="AA57" s="61" t="s">
        <v>1566</v>
      </c>
      <c r="AB57" s="61" t="s">
        <v>1554</v>
      </c>
      <c r="AC57" s="105" t="s">
        <v>2423</v>
      </c>
      <c r="AD57" s="106" t="s">
        <v>1994</v>
      </c>
      <c r="AE57" s="61"/>
    </row>
    <row r="58" spans="1:31" ht="43.5" x14ac:dyDescent="0.35">
      <c r="A58" s="63" t="s">
        <v>2393</v>
      </c>
      <c r="B58" s="63" t="s">
        <v>2394</v>
      </c>
      <c r="C58" s="68"/>
      <c r="D58" s="63"/>
      <c r="E58" s="63" t="s">
        <v>34</v>
      </c>
      <c r="F58" s="71" t="s">
        <v>53</v>
      </c>
      <c r="G58" s="71" t="s">
        <v>2121</v>
      </c>
      <c r="H58" s="69">
        <v>46177.47216435185</v>
      </c>
      <c r="I58" s="77">
        <f t="shared" ca="1" si="3"/>
        <v>3.1965280092626926</v>
      </c>
      <c r="J58" s="63"/>
      <c r="K58" s="63"/>
      <c r="L58" s="63"/>
      <c r="M58" s="63" t="s">
        <v>1929</v>
      </c>
      <c r="N58" s="63" t="s">
        <v>2395</v>
      </c>
      <c r="O58" s="63"/>
      <c r="P58" s="63" t="s">
        <v>1906</v>
      </c>
      <c r="Q58" s="63"/>
      <c r="R58" s="63" t="s">
        <v>2365</v>
      </c>
      <c r="S58" s="63" t="s">
        <v>51</v>
      </c>
      <c r="T58" s="63" t="s">
        <v>1898</v>
      </c>
      <c r="U58" s="63" t="s">
        <v>1898</v>
      </c>
      <c r="V58" s="107" t="e">
        <f>VLOOKUP(B58,[2]Overall!$A:$D,4,0)</f>
        <v>#N/A</v>
      </c>
      <c r="W58" s="107" t="e">
        <f>VLOOKUP(B58,[3]Sheet1!$A:$B,2,0)</f>
        <v>#N/A</v>
      </c>
      <c r="X58" s="89" t="str">
        <f t="shared" si="4"/>
        <v>SUD</v>
      </c>
      <c r="Y58" s="89" t="str">
        <f t="shared" ca="1" si="5"/>
        <v>T&gt;72H</v>
      </c>
      <c r="Z58" s="107">
        <f t="shared" si="6"/>
        <v>1</v>
      </c>
      <c r="AA58" s="63" t="s">
        <v>77</v>
      </c>
      <c r="AB58" s="63" t="s">
        <v>1554</v>
      </c>
      <c r="AC58" s="108" t="s">
        <v>2423</v>
      </c>
      <c r="AD58" s="109" t="s">
        <v>1994</v>
      </c>
      <c r="AE58" s="63"/>
    </row>
    <row r="59" spans="1:31" ht="43.5" x14ac:dyDescent="0.35">
      <c r="A59" s="63" t="s">
        <v>2393</v>
      </c>
      <c r="B59" s="63" t="s">
        <v>2394</v>
      </c>
      <c r="C59" s="68"/>
      <c r="D59" s="63"/>
      <c r="E59" s="63" t="s">
        <v>39</v>
      </c>
      <c r="F59" s="71" t="s">
        <v>53</v>
      </c>
      <c r="G59" s="71" t="s">
        <v>2121</v>
      </c>
      <c r="H59" s="69">
        <v>46177.475694444445</v>
      </c>
      <c r="I59" s="77">
        <f t="shared" ca="1" si="3"/>
        <v>3.1929979166670819</v>
      </c>
      <c r="J59" s="63"/>
      <c r="K59" s="63"/>
      <c r="L59" s="63"/>
      <c r="M59" s="63" t="s">
        <v>2434</v>
      </c>
      <c r="N59" s="63" t="s">
        <v>2435</v>
      </c>
      <c r="O59" s="63"/>
      <c r="P59" s="63" t="s">
        <v>1906</v>
      </c>
      <c r="Q59" s="63"/>
      <c r="R59" s="63" t="s">
        <v>2365</v>
      </c>
      <c r="S59" s="63" t="s">
        <v>51</v>
      </c>
      <c r="T59" s="63" t="s">
        <v>1898</v>
      </c>
      <c r="U59" s="63" t="s">
        <v>1898</v>
      </c>
      <c r="V59" s="107" t="e">
        <f>VLOOKUP(B59,[2]Overall!$A:$D,4,0)</f>
        <v>#N/A</v>
      </c>
      <c r="W59" s="107" t="e">
        <f>VLOOKUP(B59,[3]Sheet1!$A:$B,2,0)</f>
        <v>#N/A</v>
      </c>
      <c r="X59" s="89" t="str">
        <f t="shared" si="4"/>
        <v>SUD</v>
      </c>
      <c r="Y59" s="89" t="str">
        <f t="shared" ca="1" si="5"/>
        <v>T&gt;72H</v>
      </c>
      <c r="Z59" s="107">
        <f t="shared" si="6"/>
        <v>1</v>
      </c>
      <c r="AA59" s="63" t="s">
        <v>77</v>
      </c>
      <c r="AB59" s="63" t="s">
        <v>1554</v>
      </c>
      <c r="AC59" s="108" t="s">
        <v>2423</v>
      </c>
      <c r="AD59" s="109" t="s">
        <v>1994</v>
      </c>
      <c r="AE59" s="63"/>
    </row>
    <row r="60" spans="1:31" ht="145" x14ac:dyDescent="0.35">
      <c r="A60" s="61" t="s">
        <v>2257</v>
      </c>
      <c r="B60" s="61" t="s">
        <v>1796</v>
      </c>
      <c r="C60" s="65"/>
      <c r="D60" s="61"/>
      <c r="E60" s="61" t="s">
        <v>35</v>
      </c>
      <c r="F60" s="70" t="s">
        <v>53</v>
      </c>
      <c r="G60" s="70" t="s">
        <v>2121</v>
      </c>
      <c r="H60" s="67">
        <v>46177.521458333336</v>
      </c>
      <c r="I60" s="75">
        <f t="shared" ca="1" si="3"/>
        <v>3.147234027775994</v>
      </c>
      <c r="J60" s="61"/>
      <c r="K60" s="61"/>
      <c r="L60" s="61"/>
      <c r="M60" s="61" t="s">
        <v>31</v>
      </c>
      <c r="N60" s="61" t="s">
        <v>2400</v>
      </c>
      <c r="O60" s="61"/>
      <c r="P60" s="61"/>
      <c r="Q60" s="61"/>
      <c r="R60" s="61" t="s">
        <v>2389</v>
      </c>
      <c r="S60" s="61" t="s">
        <v>40</v>
      </c>
      <c r="T60" s="61" t="s">
        <v>1899</v>
      </c>
      <c r="U60" s="61" t="s">
        <v>1899</v>
      </c>
      <c r="V60" s="101" t="str">
        <f>VLOOKUP(B60,[2]Overall!$A:$D,4,0)</f>
        <v>TELEINFRA NORD</v>
      </c>
      <c r="W60" s="101" t="str">
        <f>VLOOKUP(B60,[3]Sheet1!$A:$B,2,0)</f>
        <v>Bagarao</v>
      </c>
      <c r="X60" s="88" t="str">
        <f t="shared" si="4"/>
        <v>EXN</v>
      </c>
      <c r="Y60" s="88" t="str">
        <f t="shared" ca="1" si="5"/>
        <v>T&gt;72H</v>
      </c>
      <c r="Z60" s="101">
        <f t="shared" si="6"/>
        <v>3</v>
      </c>
      <c r="AA60" s="61" t="s">
        <v>1566</v>
      </c>
      <c r="AB60" s="61" t="s">
        <v>1554</v>
      </c>
      <c r="AC60" s="105" t="s">
        <v>2423</v>
      </c>
      <c r="AD60" s="106" t="s">
        <v>1994</v>
      </c>
      <c r="AE60" s="61"/>
    </row>
    <row r="61" spans="1:31" ht="72.5" x14ac:dyDescent="0.35">
      <c r="A61" s="61" t="s">
        <v>2436</v>
      </c>
      <c r="B61" s="61" t="s">
        <v>2437</v>
      </c>
      <c r="C61" s="65"/>
      <c r="D61" s="61"/>
      <c r="E61" s="61" t="s">
        <v>34</v>
      </c>
      <c r="F61" s="70" t="s">
        <v>53</v>
      </c>
      <c r="G61" s="70" t="s">
        <v>2121</v>
      </c>
      <c r="H61" s="67">
        <v>46177.556296296294</v>
      </c>
      <c r="I61" s="75">
        <f t="shared" ca="1" si="3"/>
        <v>3.1123960648183129</v>
      </c>
      <c r="J61" s="61"/>
      <c r="K61" s="61"/>
      <c r="L61" s="61"/>
      <c r="M61" s="61" t="s">
        <v>31</v>
      </c>
      <c r="N61" s="61" t="s">
        <v>2438</v>
      </c>
      <c r="O61" s="61"/>
      <c r="P61" s="61"/>
      <c r="Q61" s="61"/>
      <c r="R61" s="61" t="s">
        <v>2460</v>
      </c>
      <c r="S61" s="61" t="s">
        <v>45</v>
      </c>
      <c r="T61" s="61" t="s">
        <v>1898</v>
      </c>
      <c r="U61" s="61" t="s">
        <v>1898</v>
      </c>
      <c r="V61" s="101" t="str">
        <f>VLOOKUP(B61,[2]Overall!$A:$D,4,0)</f>
        <v>TELEINFRA CENTRE</v>
      </c>
      <c r="W61" s="101" t="str">
        <f>VLOOKUP(B61,[3]Sheet1!$A:$B,2,0)</f>
        <v>Ngola</v>
      </c>
      <c r="X61" s="88" t="str">
        <f t="shared" si="4"/>
        <v>EST</v>
      </c>
      <c r="Y61" s="88" t="str">
        <f t="shared" ca="1" si="5"/>
        <v>T&gt;72H</v>
      </c>
      <c r="Z61" s="101">
        <f t="shared" si="6"/>
        <v>1</v>
      </c>
      <c r="AA61" s="61" t="s">
        <v>1566</v>
      </c>
      <c r="AB61" s="61" t="s">
        <v>1555</v>
      </c>
      <c r="AC61" s="105" t="s">
        <v>2423</v>
      </c>
      <c r="AD61" s="106" t="s">
        <v>1994</v>
      </c>
      <c r="AE61" s="61"/>
    </row>
    <row r="62" spans="1:31" ht="72.5" x14ac:dyDescent="0.35">
      <c r="A62" s="61" t="s">
        <v>2316</v>
      </c>
      <c r="B62" s="61" t="s">
        <v>2317</v>
      </c>
      <c r="C62" s="65"/>
      <c r="D62" s="61"/>
      <c r="E62" s="61" t="s">
        <v>2439</v>
      </c>
      <c r="F62" s="70" t="s">
        <v>53</v>
      </c>
      <c r="G62" s="70" t="s">
        <v>2121</v>
      </c>
      <c r="H62" s="67">
        <v>46177.589004629626</v>
      </c>
      <c r="I62" s="75">
        <f t="shared" ca="1" si="3"/>
        <v>3.0796877314860467</v>
      </c>
      <c r="J62" s="61"/>
      <c r="K62" s="61"/>
      <c r="L62" s="61"/>
      <c r="M62" s="61" t="s">
        <v>38</v>
      </c>
      <c r="N62" s="61" t="s">
        <v>2319</v>
      </c>
      <c r="O62" s="61"/>
      <c r="P62" s="61"/>
      <c r="Q62" s="61"/>
      <c r="R62" s="61" t="s">
        <v>2440</v>
      </c>
      <c r="S62" s="61" t="s">
        <v>85</v>
      </c>
      <c r="T62" s="61" t="s">
        <v>1898</v>
      </c>
      <c r="U62" s="61" t="s">
        <v>1898</v>
      </c>
      <c r="V62" s="101" t="str">
        <f>VLOOKUP(B62,[2]Overall!$A:$D,4,0)</f>
        <v>H-TELI</v>
      </c>
      <c r="W62" s="101" t="str">
        <f>VLOOKUP(B62,[3]Sheet1!$A:$B,2,0)</f>
        <v>Logbong</v>
      </c>
      <c r="X62" s="88" t="str">
        <f t="shared" si="4"/>
        <v>LIT</v>
      </c>
      <c r="Y62" s="88" t="str">
        <f t="shared" ca="1" si="5"/>
        <v>T&gt;72H</v>
      </c>
      <c r="Z62" s="101">
        <f t="shared" si="6"/>
        <v>6</v>
      </c>
      <c r="AA62" s="61" t="s">
        <v>1566</v>
      </c>
      <c r="AB62" s="61" t="s">
        <v>1554</v>
      </c>
      <c r="AC62" s="105" t="s">
        <v>2423</v>
      </c>
      <c r="AD62" s="106" t="s">
        <v>1994</v>
      </c>
      <c r="AE62" s="61"/>
    </row>
    <row r="63" spans="1:31" ht="72.5" x14ac:dyDescent="0.35">
      <c r="A63" s="61" t="s">
        <v>2320</v>
      </c>
      <c r="B63" s="61" t="s">
        <v>2317</v>
      </c>
      <c r="C63" s="65"/>
      <c r="D63" s="61"/>
      <c r="E63" s="61" t="s">
        <v>1787</v>
      </c>
      <c r="F63" s="70" t="s">
        <v>53</v>
      </c>
      <c r="G63" s="70" t="s">
        <v>2121</v>
      </c>
      <c r="H63" s="67">
        <v>46177.589270833334</v>
      </c>
      <c r="I63" s="75">
        <f t="shared" ca="1" si="3"/>
        <v>3.0794215277783223</v>
      </c>
      <c r="J63" s="61"/>
      <c r="K63" s="61"/>
      <c r="L63" s="61"/>
      <c r="M63" s="61" t="s">
        <v>38</v>
      </c>
      <c r="N63" s="61" t="s">
        <v>2321</v>
      </c>
      <c r="O63" s="61"/>
      <c r="P63" s="61"/>
      <c r="Q63" s="61"/>
      <c r="R63" s="61" t="s">
        <v>2440</v>
      </c>
      <c r="S63" s="61" t="s">
        <v>85</v>
      </c>
      <c r="T63" s="61" t="s">
        <v>1898</v>
      </c>
      <c r="U63" s="61" t="s">
        <v>1898</v>
      </c>
      <c r="V63" s="101" t="str">
        <f>VLOOKUP(B63,[2]Overall!$A:$D,4,0)</f>
        <v>H-TELI</v>
      </c>
      <c r="W63" s="101" t="str">
        <f>VLOOKUP(B63,[3]Sheet1!$A:$B,2,0)</f>
        <v>Logbong</v>
      </c>
      <c r="X63" s="88" t="str">
        <f t="shared" si="4"/>
        <v>LIT</v>
      </c>
      <c r="Y63" s="88" t="str">
        <f t="shared" ca="1" si="5"/>
        <v>T&gt;72H</v>
      </c>
      <c r="Z63" s="101">
        <f t="shared" si="6"/>
        <v>2</v>
      </c>
      <c r="AA63" s="61" t="s">
        <v>1566</v>
      </c>
      <c r="AB63" s="61" t="s">
        <v>1554</v>
      </c>
      <c r="AC63" s="105" t="s">
        <v>2423</v>
      </c>
      <c r="AD63" s="106" t="s">
        <v>1994</v>
      </c>
      <c r="AE63" s="61"/>
    </row>
    <row r="64" spans="1:31" ht="101.5" x14ac:dyDescent="0.35">
      <c r="A64" s="61" t="s">
        <v>2276</v>
      </c>
      <c r="B64" s="61" t="s">
        <v>2277</v>
      </c>
      <c r="C64" s="65"/>
      <c r="D64" s="61"/>
      <c r="E64" s="61" t="s">
        <v>2278</v>
      </c>
      <c r="F64" s="70" t="s">
        <v>53</v>
      </c>
      <c r="G64" s="70" t="s">
        <v>2121</v>
      </c>
      <c r="H64" s="67">
        <v>46177.591168981482</v>
      </c>
      <c r="I64" s="75">
        <f t="shared" ca="1" si="3"/>
        <v>3.0775233796302928</v>
      </c>
      <c r="J64" s="61"/>
      <c r="K64" s="61"/>
      <c r="L64" s="61"/>
      <c r="M64" s="61" t="s">
        <v>38</v>
      </c>
      <c r="N64" s="61" t="s">
        <v>2279</v>
      </c>
      <c r="O64" s="61"/>
      <c r="P64" s="61"/>
      <c r="Q64" s="61"/>
      <c r="R64" s="61" t="s">
        <v>2382</v>
      </c>
      <c r="S64" s="61" t="s">
        <v>32</v>
      </c>
      <c r="T64" s="61" t="s">
        <v>1898</v>
      </c>
      <c r="U64" s="61" t="s">
        <v>1898</v>
      </c>
      <c r="V64" s="101" t="str">
        <f>VLOOKUP(B64,[2]Overall!$A:$D,4,0)</f>
        <v xml:space="preserve">I-ENG </v>
      </c>
      <c r="W64" s="101" t="str">
        <f>VLOOKUP(B64,[3]Sheet1!$A:$B,2,0)</f>
        <v>Babanki</v>
      </c>
      <c r="X64" s="88" t="str">
        <f t="shared" si="4"/>
        <v>NRO</v>
      </c>
      <c r="Y64" s="88" t="str">
        <f t="shared" ca="1" si="5"/>
        <v>T&gt;72H</v>
      </c>
      <c r="Z64" s="101">
        <f t="shared" si="6"/>
        <v>2</v>
      </c>
      <c r="AA64" s="61" t="s">
        <v>1566</v>
      </c>
      <c r="AB64" s="61" t="s">
        <v>1554</v>
      </c>
      <c r="AC64" s="105" t="s">
        <v>2423</v>
      </c>
      <c r="AD64" s="106" t="s">
        <v>1994</v>
      </c>
      <c r="AE64" s="61"/>
    </row>
    <row r="65" spans="1:31" ht="58" x14ac:dyDescent="0.35">
      <c r="A65" s="61" t="s">
        <v>2441</v>
      </c>
      <c r="B65" s="61" t="s">
        <v>2442</v>
      </c>
      <c r="C65" s="65"/>
      <c r="D65" s="61"/>
      <c r="E65" s="61" t="s">
        <v>2443</v>
      </c>
      <c r="F65" s="70" t="s">
        <v>53</v>
      </c>
      <c r="G65" s="70" t="s">
        <v>2121</v>
      </c>
      <c r="H65" s="67">
        <v>46177.498171296298</v>
      </c>
      <c r="I65" s="75">
        <f t="shared" ca="1" si="3"/>
        <v>3.1705210648142383</v>
      </c>
      <c r="J65" s="61"/>
      <c r="K65" s="61"/>
      <c r="L65" s="61"/>
      <c r="M65" s="61" t="s">
        <v>33</v>
      </c>
      <c r="N65" s="61" t="s">
        <v>2444</v>
      </c>
      <c r="O65" s="61"/>
      <c r="P65" s="61"/>
      <c r="Q65" s="61"/>
      <c r="R65" s="61" t="s">
        <v>2365</v>
      </c>
      <c r="S65" s="61" t="s">
        <v>51</v>
      </c>
      <c r="T65" s="61" t="s">
        <v>1898</v>
      </c>
      <c r="U65" s="61" t="s">
        <v>1898</v>
      </c>
      <c r="V65" s="101" t="str">
        <f>VLOOKUP(B65,[2]Overall!$A:$D,4,0)</f>
        <v>TELEINFRA CENTRE</v>
      </c>
      <c r="W65" s="101" t="str">
        <f>VLOOKUP(B65,[3]Sheet1!$A:$B,2,0)</f>
        <v>Yola</v>
      </c>
      <c r="X65" s="88" t="str">
        <f t="shared" si="4"/>
        <v>EST</v>
      </c>
      <c r="Y65" s="88" t="str">
        <f t="shared" ca="1" si="5"/>
        <v>T&gt;72H</v>
      </c>
      <c r="Z65" s="101">
        <f t="shared" si="6"/>
        <v>2</v>
      </c>
      <c r="AA65" s="61" t="s">
        <v>1566</v>
      </c>
      <c r="AB65" s="61" t="s">
        <v>1555</v>
      </c>
      <c r="AC65" s="105" t="s">
        <v>2423</v>
      </c>
      <c r="AD65" s="106" t="s">
        <v>1994</v>
      </c>
      <c r="AE65" s="61"/>
    </row>
    <row r="66" spans="1:31" ht="43.5" x14ac:dyDescent="0.35">
      <c r="A66" s="63" t="s">
        <v>2396</v>
      </c>
      <c r="B66" s="63" t="s">
        <v>2397</v>
      </c>
      <c r="C66" s="68"/>
      <c r="D66" s="63"/>
      <c r="E66" s="63" t="s">
        <v>2398</v>
      </c>
      <c r="F66" s="71" t="s">
        <v>53</v>
      </c>
      <c r="G66" s="71" t="s">
        <v>2121</v>
      </c>
      <c r="H66" s="69">
        <v>46177.692731481482</v>
      </c>
      <c r="I66" s="77">
        <f t="shared" ca="1" si="3"/>
        <v>2.9759608796302928</v>
      </c>
      <c r="J66" s="63"/>
      <c r="K66" s="63"/>
      <c r="L66" s="63"/>
      <c r="M66" s="63" t="s">
        <v>1732</v>
      </c>
      <c r="N66" s="63" t="s">
        <v>2185</v>
      </c>
      <c r="O66" s="63"/>
      <c r="P66" s="63" t="s">
        <v>1906</v>
      </c>
      <c r="Q66" s="63"/>
      <c r="R66" s="63" t="s">
        <v>2365</v>
      </c>
      <c r="S66" s="63" t="s">
        <v>51</v>
      </c>
      <c r="T66" s="63" t="s">
        <v>1898</v>
      </c>
      <c r="U66" s="63" t="s">
        <v>1898</v>
      </c>
      <c r="V66" s="107" t="str">
        <f>VLOOKUP(B66,[2]Overall!$A:$D,4,0)</f>
        <v>H-TELI</v>
      </c>
      <c r="W66" s="107" t="str">
        <f>VLOOKUP(B66,[3]Sheet1!$A:$B,2,0)</f>
        <v>Yoyo</v>
      </c>
      <c r="X66" s="89" t="str">
        <f t="shared" si="4"/>
        <v>LIT</v>
      </c>
      <c r="Y66" s="89" t="str">
        <f t="shared" ca="1" si="5"/>
        <v>48H&lt;T&lt;72H</v>
      </c>
      <c r="Z66" s="107">
        <f t="shared" si="6"/>
        <v>3</v>
      </c>
      <c r="AA66" s="63" t="s">
        <v>77</v>
      </c>
      <c r="AB66" s="63" t="s">
        <v>1554</v>
      </c>
      <c r="AC66" s="108" t="s">
        <v>2423</v>
      </c>
      <c r="AD66" s="109" t="s">
        <v>1994</v>
      </c>
      <c r="AE66" s="63"/>
    </row>
    <row r="67" spans="1:31" ht="72.5" x14ac:dyDescent="0.35">
      <c r="A67" s="61" t="s">
        <v>1684</v>
      </c>
      <c r="B67" s="61" t="s">
        <v>1620</v>
      </c>
      <c r="C67" s="65"/>
      <c r="D67" s="61"/>
      <c r="E67" s="61" t="s">
        <v>1793</v>
      </c>
      <c r="F67" s="70" t="s">
        <v>53</v>
      </c>
      <c r="G67" s="70" t="s">
        <v>2121</v>
      </c>
      <c r="H67" s="67">
        <v>46177.706493055557</v>
      </c>
      <c r="I67" s="75">
        <f t="shared" ref="I67:I83" ca="1" si="7">NOW()-H67</f>
        <v>2.9621993055552593</v>
      </c>
      <c r="J67" s="61"/>
      <c r="K67" s="61"/>
      <c r="L67" s="61"/>
      <c r="M67" s="61" t="s">
        <v>33</v>
      </c>
      <c r="N67" s="61" t="s">
        <v>1653</v>
      </c>
      <c r="O67" s="61"/>
      <c r="P67" s="61"/>
      <c r="Q67" s="61"/>
      <c r="R67" s="84" t="s">
        <v>2297</v>
      </c>
      <c r="S67" s="84" t="s">
        <v>40</v>
      </c>
      <c r="T67" s="61" t="s">
        <v>1898</v>
      </c>
      <c r="U67" s="61" t="s">
        <v>1898</v>
      </c>
      <c r="V67" s="101" t="str">
        <f>VLOOKUP(B67,[2]Overall!$A:$D,4,0)</f>
        <v>TELEINFRA NORD</v>
      </c>
      <c r="W67" s="101" t="str">
        <f>VLOOKUP(B67,[3]Sheet1!$A:$B,2,0)</f>
        <v>Batoua-Godole</v>
      </c>
      <c r="X67" s="88" t="str">
        <f t="shared" si="4"/>
        <v>ADM</v>
      </c>
      <c r="Y67" s="88" t="str">
        <f t="shared" ca="1" si="5"/>
        <v>48H&lt;T&lt;72H</v>
      </c>
      <c r="Z67" s="101">
        <f t="shared" si="6"/>
        <v>2</v>
      </c>
      <c r="AA67" s="61" t="s">
        <v>1566</v>
      </c>
      <c r="AB67" s="61" t="s">
        <v>1555</v>
      </c>
      <c r="AC67" s="105" t="s">
        <v>2423</v>
      </c>
      <c r="AD67" s="106" t="s">
        <v>1994</v>
      </c>
      <c r="AE67" s="61"/>
    </row>
    <row r="68" spans="1:31" ht="58" x14ac:dyDescent="0.35">
      <c r="A68" s="61" t="s">
        <v>1807</v>
      </c>
      <c r="B68" s="61" t="s">
        <v>1808</v>
      </c>
      <c r="C68" s="65"/>
      <c r="D68" s="61"/>
      <c r="E68" s="61" t="s">
        <v>1810</v>
      </c>
      <c r="F68" s="70" t="s">
        <v>53</v>
      </c>
      <c r="G68" s="70" t="s">
        <v>2121</v>
      </c>
      <c r="H68" s="67">
        <v>46177.708969907406</v>
      </c>
      <c r="I68" s="75">
        <f t="shared" ca="1" si="7"/>
        <v>2.9597224537064903</v>
      </c>
      <c r="J68" s="61"/>
      <c r="K68" s="61"/>
      <c r="L68" s="61"/>
      <c r="M68" s="61" t="s">
        <v>2053</v>
      </c>
      <c r="N68" s="61" t="s">
        <v>2054</v>
      </c>
      <c r="O68" s="61"/>
      <c r="P68" s="61"/>
      <c r="Q68" s="61"/>
      <c r="R68" s="61" t="s">
        <v>2345</v>
      </c>
      <c r="S68" s="61" t="s">
        <v>85</v>
      </c>
      <c r="T68" s="61" t="s">
        <v>1898</v>
      </c>
      <c r="U68" s="61" t="s">
        <v>1898</v>
      </c>
      <c r="V68" s="101" t="str">
        <f>VLOOKUP(B68,[2]Overall!$A:$D,4,0)</f>
        <v>H-TELI</v>
      </c>
      <c r="W68" s="101" t="str">
        <f>VLOOKUP(B68,[3]Sheet1!$A:$B,2,0)</f>
        <v>Songloulou</v>
      </c>
      <c r="X68" s="88" t="str">
        <f t="shared" si="4"/>
        <v>LIT</v>
      </c>
      <c r="Y68" s="88" t="str">
        <f t="shared" ca="1" si="5"/>
        <v>48H&lt;T&lt;72H</v>
      </c>
      <c r="Z68" s="101">
        <f t="shared" si="6"/>
        <v>1</v>
      </c>
      <c r="AA68" s="61" t="s">
        <v>1566</v>
      </c>
      <c r="AB68" s="61" t="s">
        <v>1554</v>
      </c>
      <c r="AC68" s="105" t="s">
        <v>2423</v>
      </c>
      <c r="AD68" s="106" t="s">
        <v>1994</v>
      </c>
      <c r="AE68" s="61"/>
    </row>
    <row r="69" spans="1:31" ht="58" x14ac:dyDescent="0.35">
      <c r="A69" s="61" t="s">
        <v>1807</v>
      </c>
      <c r="B69" s="61" t="s">
        <v>1808</v>
      </c>
      <c r="C69" s="65"/>
      <c r="D69" s="61"/>
      <c r="E69" s="61" t="s">
        <v>1811</v>
      </c>
      <c r="F69" s="70" t="s">
        <v>53</v>
      </c>
      <c r="G69" s="70" t="s">
        <v>2121</v>
      </c>
      <c r="H69" s="67">
        <v>46177.709398148145</v>
      </c>
      <c r="I69" s="75">
        <f t="shared" ca="1" si="7"/>
        <v>2.9592942129675066</v>
      </c>
      <c r="J69" s="61"/>
      <c r="K69" s="61"/>
      <c r="L69" s="61"/>
      <c r="M69" s="61" t="s">
        <v>2053</v>
      </c>
      <c r="N69" s="61" t="s">
        <v>2054</v>
      </c>
      <c r="O69" s="61"/>
      <c r="P69" s="61"/>
      <c r="Q69" s="61"/>
      <c r="R69" s="61" t="s">
        <v>2345</v>
      </c>
      <c r="S69" s="61" t="s">
        <v>85</v>
      </c>
      <c r="T69" s="61" t="s">
        <v>1898</v>
      </c>
      <c r="U69" s="61" t="s">
        <v>1898</v>
      </c>
      <c r="V69" s="101" t="str">
        <f>VLOOKUP(B69,[2]Overall!$A:$D,4,0)</f>
        <v>H-TELI</v>
      </c>
      <c r="W69" s="101" t="str">
        <f>VLOOKUP(B69,[3]Sheet1!$A:$B,2,0)</f>
        <v>Songloulou</v>
      </c>
      <c r="X69" s="88" t="str">
        <f t="shared" si="4"/>
        <v>LIT</v>
      </c>
      <c r="Y69" s="88" t="str">
        <f t="shared" ca="1" si="5"/>
        <v>48H&lt;T&lt;72H</v>
      </c>
      <c r="Z69" s="101">
        <f t="shared" si="6"/>
        <v>1</v>
      </c>
      <c r="AA69" s="61" t="s">
        <v>1566</v>
      </c>
      <c r="AB69" s="61" t="s">
        <v>1554</v>
      </c>
      <c r="AC69" s="105" t="s">
        <v>2423</v>
      </c>
      <c r="AD69" s="106" t="s">
        <v>1994</v>
      </c>
      <c r="AE69" s="61"/>
    </row>
    <row r="70" spans="1:31" ht="58" x14ac:dyDescent="0.35">
      <c r="A70" s="61" t="s">
        <v>1807</v>
      </c>
      <c r="B70" s="61" t="s">
        <v>1808</v>
      </c>
      <c r="C70" s="65"/>
      <c r="D70" s="61"/>
      <c r="E70" s="61" t="s">
        <v>1814</v>
      </c>
      <c r="F70" s="70" t="s">
        <v>53</v>
      </c>
      <c r="G70" s="70" t="s">
        <v>2121</v>
      </c>
      <c r="H70" s="67">
        <v>46177.709374999999</v>
      </c>
      <c r="I70" s="75">
        <f t="shared" ca="1" si="7"/>
        <v>2.95931736111379</v>
      </c>
      <c r="J70" s="61"/>
      <c r="K70" s="61"/>
      <c r="L70" s="61"/>
      <c r="M70" s="61" t="s">
        <v>2053</v>
      </c>
      <c r="N70" s="61" t="s">
        <v>2054</v>
      </c>
      <c r="O70" s="61"/>
      <c r="P70" s="61"/>
      <c r="Q70" s="61"/>
      <c r="R70" s="61" t="s">
        <v>2345</v>
      </c>
      <c r="S70" s="61" t="s">
        <v>85</v>
      </c>
      <c r="T70" s="61" t="s">
        <v>1898</v>
      </c>
      <c r="U70" s="61" t="s">
        <v>1898</v>
      </c>
      <c r="V70" s="101" t="str">
        <f>VLOOKUP(B70,[2]Overall!$A:$D,4,0)</f>
        <v>H-TELI</v>
      </c>
      <c r="W70" s="101" t="str">
        <f>VLOOKUP(B70,[3]Sheet1!$A:$B,2,0)</f>
        <v>Songloulou</v>
      </c>
      <c r="X70" s="88" t="str">
        <f t="shared" si="4"/>
        <v>LIT</v>
      </c>
      <c r="Y70" s="88" t="str">
        <f t="shared" ca="1" si="5"/>
        <v>48H&lt;T&lt;72H</v>
      </c>
      <c r="Z70" s="101">
        <f t="shared" si="6"/>
        <v>1</v>
      </c>
      <c r="AA70" s="61" t="s">
        <v>1566</v>
      </c>
      <c r="AB70" s="61" t="s">
        <v>1554</v>
      </c>
      <c r="AC70" s="105" t="s">
        <v>2423</v>
      </c>
      <c r="AD70" s="106" t="s">
        <v>1994</v>
      </c>
      <c r="AE70" s="61"/>
    </row>
    <row r="71" spans="1:31" ht="58" x14ac:dyDescent="0.35">
      <c r="A71" s="61" t="s">
        <v>1807</v>
      </c>
      <c r="B71" s="61" t="s">
        <v>1808</v>
      </c>
      <c r="C71" s="65"/>
      <c r="D71" s="61"/>
      <c r="E71" s="61" t="s">
        <v>1817</v>
      </c>
      <c r="F71" s="70" t="s">
        <v>53</v>
      </c>
      <c r="G71" s="70" t="s">
        <v>2121</v>
      </c>
      <c r="H71" s="67">
        <v>46177.709386574075</v>
      </c>
      <c r="I71" s="75">
        <f t="shared" ca="1" si="7"/>
        <v>2.9593057870370103</v>
      </c>
      <c r="J71" s="61"/>
      <c r="K71" s="61"/>
      <c r="L71" s="61"/>
      <c r="M71" s="61" t="s">
        <v>2053</v>
      </c>
      <c r="N71" s="61" t="s">
        <v>2054</v>
      </c>
      <c r="O71" s="61"/>
      <c r="P71" s="61"/>
      <c r="Q71" s="61"/>
      <c r="R71" s="61" t="s">
        <v>2345</v>
      </c>
      <c r="S71" s="61" t="s">
        <v>85</v>
      </c>
      <c r="T71" s="61" t="s">
        <v>1898</v>
      </c>
      <c r="U71" s="61" t="s">
        <v>1898</v>
      </c>
      <c r="V71" s="101" t="str">
        <f>VLOOKUP(B71,[2]Overall!$A:$D,4,0)</f>
        <v>H-TELI</v>
      </c>
      <c r="W71" s="101" t="str">
        <f>VLOOKUP(B71,[3]Sheet1!$A:$B,2,0)</f>
        <v>Songloulou</v>
      </c>
      <c r="X71" s="88" t="str">
        <f t="shared" si="4"/>
        <v>LIT</v>
      </c>
      <c r="Y71" s="88" t="str">
        <f t="shared" ca="1" si="5"/>
        <v>48H&lt;T&lt;72H</v>
      </c>
      <c r="Z71" s="101">
        <f t="shared" si="6"/>
        <v>1</v>
      </c>
      <c r="AA71" s="61" t="s">
        <v>1566</v>
      </c>
      <c r="AB71" s="61" t="s">
        <v>1554</v>
      </c>
      <c r="AC71" s="105" t="s">
        <v>2423</v>
      </c>
      <c r="AD71" s="106" t="s">
        <v>1994</v>
      </c>
      <c r="AE71" s="61"/>
    </row>
    <row r="72" spans="1:31" ht="58" x14ac:dyDescent="0.35">
      <c r="A72" s="61" t="s">
        <v>1807</v>
      </c>
      <c r="B72" s="61" t="s">
        <v>1808</v>
      </c>
      <c r="C72" s="65"/>
      <c r="D72" s="61"/>
      <c r="E72" s="61" t="s">
        <v>1809</v>
      </c>
      <c r="F72" s="70" t="s">
        <v>53</v>
      </c>
      <c r="G72" s="70" t="s">
        <v>2121</v>
      </c>
      <c r="H72" s="67">
        <v>46177.709386574075</v>
      </c>
      <c r="I72" s="75">
        <f t="shared" ca="1" si="7"/>
        <v>2.9593057870370103</v>
      </c>
      <c r="J72" s="61"/>
      <c r="K72" s="61"/>
      <c r="L72" s="61"/>
      <c r="M72" s="61" t="s">
        <v>2053</v>
      </c>
      <c r="N72" s="61" t="s">
        <v>2054</v>
      </c>
      <c r="O72" s="61"/>
      <c r="P72" s="61"/>
      <c r="Q72" s="61"/>
      <c r="R72" s="61" t="s">
        <v>2345</v>
      </c>
      <c r="S72" s="61" t="s">
        <v>85</v>
      </c>
      <c r="T72" s="61" t="s">
        <v>1898</v>
      </c>
      <c r="U72" s="61" t="s">
        <v>1898</v>
      </c>
      <c r="V72" s="101" t="str">
        <f>VLOOKUP(B72,[2]Overall!$A:$D,4,0)</f>
        <v>H-TELI</v>
      </c>
      <c r="W72" s="101" t="str">
        <f>VLOOKUP(B72,[3]Sheet1!$A:$B,2,0)</f>
        <v>Songloulou</v>
      </c>
      <c r="X72" s="88" t="str">
        <f t="shared" si="4"/>
        <v>LIT</v>
      </c>
      <c r="Y72" s="88" t="str">
        <f t="shared" ca="1" si="5"/>
        <v>48H&lt;T&lt;72H</v>
      </c>
      <c r="Z72" s="101">
        <f t="shared" si="6"/>
        <v>1</v>
      </c>
      <c r="AA72" s="61" t="s">
        <v>1566</v>
      </c>
      <c r="AB72" s="61" t="s">
        <v>1554</v>
      </c>
      <c r="AC72" s="105" t="s">
        <v>2423</v>
      </c>
      <c r="AD72" s="106" t="s">
        <v>1994</v>
      </c>
      <c r="AE72" s="61"/>
    </row>
    <row r="73" spans="1:31" ht="58" x14ac:dyDescent="0.35">
      <c r="A73" s="61" t="s">
        <v>1807</v>
      </c>
      <c r="B73" s="61" t="s">
        <v>1808</v>
      </c>
      <c r="C73" s="65"/>
      <c r="D73" s="61"/>
      <c r="E73" s="61" t="s">
        <v>1813</v>
      </c>
      <c r="F73" s="70" t="s">
        <v>53</v>
      </c>
      <c r="G73" s="70" t="s">
        <v>2121</v>
      </c>
      <c r="H73" s="67">
        <v>46177.709398148145</v>
      </c>
      <c r="I73" s="75">
        <f t="shared" ca="1" si="7"/>
        <v>2.9592942129675066</v>
      </c>
      <c r="J73" s="61"/>
      <c r="K73" s="61"/>
      <c r="L73" s="61"/>
      <c r="M73" s="61" t="s">
        <v>2053</v>
      </c>
      <c r="N73" s="61" t="s">
        <v>2054</v>
      </c>
      <c r="O73" s="61"/>
      <c r="P73" s="61"/>
      <c r="Q73" s="61"/>
      <c r="R73" s="61" t="s">
        <v>2345</v>
      </c>
      <c r="S73" s="61" t="s">
        <v>85</v>
      </c>
      <c r="T73" s="61" t="s">
        <v>1898</v>
      </c>
      <c r="U73" s="61" t="s">
        <v>1898</v>
      </c>
      <c r="V73" s="101" t="str">
        <f>VLOOKUP(B73,[2]Overall!$A:$D,4,0)</f>
        <v>H-TELI</v>
      </c>
      <c r="W73" s="101" t="str">
        <f>VLOOKUP(B73,[3]Sheet1!$A:$B,2,0)</f>
        <v>Songloulou</v>
      </c>
      <c r="X73" s="88" t="str">
        <f t="shared" si="4"/>
        <v>LIT</v>
      </c>
      <c r="Y73" s="88" t="str">
        <f t="shared" ca="1" si="5"/>
        <v>48H&lt;T&lt;72H</v>
      </c>
      <c r="Z73" s="101">
        <f t="shared" si="6"/>
        <v>1</v>
      </c>
      <c r="AA73" s="61" t="s">
        <v>1566</v>
      </c>
      <c r="AB73" s="61" t="s">
        <v>1554</v>
      </c>
      <c r="AC73" s="105" t="s">
        <v>2423</v>
      </c>
      <c r="AD73" s="106" t="s">
        <v>1994</v>
      </c>
      <c r="AE73" s="61"/>
    </row>
    <row r="74" spans="1:31" ht="58" x14ac:dyDescent="0.35">
      <c r="A74" s="61" t="s">
        <v>1807</v>
      </c>
      <c r="B74" s="61" t="s">
        <v>1808</v>
      </c>
      <c r="C74" s="65"/>
      <c r="D74" s="61"/>
      <c r="E74" s="61" t="s">
        <v>1812</v>
      </c>
      <c r="F74" s="70" t="s">
        <v>53</v>
      </c>
      <c r="G74" s="70" t="s">
        <v>2121</v>
      </c>
      <c r="H74" s="67">
        <v>46177.709386574075</v>
      </c>
      <c r="I74" s="75">
        <f t="shared" ca="1" si="7"/>
        <v>2.9593057870370103</v>
      </c>
      <c r="J74" s="61"/>
      <c r="K74" s="61"/>
      <c r="L74" s="61"/>
      <c r="M74" s="61" t="s">
        <v>2053</v>
      </c>
      <c r="N74" s="61" t="s">
        <v>2054</v>
      </c>
      <c r="O74" s="61"/>
      <c r="P74" s="61"/>
      <c r="Q74" s="61"/>
      <c r="R74" s="61" t="s">
        <v>2345</v>
      </c>
      <c r="S74" s="61" t="s">
        <v>85</v>
      </c>
      <c r="T74" s="61" t="s">
        <v>1898</v>
      </c>
      <c r="U74" s="61" t="s">
        <v>1898</v>
      </c>
      <c r="V74" s="101" t="str">
        <f>VLOOKUP(B74,[2]Overall!$A:$D,4,0)</f>
        <v>H-TELI</v>
      </c>
      <c r="W74" s="101" t="str">
        <f>VLOOKUP(B74,[3]Sheet1!$A:$B,2,0)</f>
        <v>Songloulou</v>
      </c>
      <c r="X74" s="88" t="str">
        <f t="shared" si="4"/>
        <v>LIT</v>
      </c>
      <c r="Y74" s="88" t="str">
        <f t="shared" ca="1" si="5"/>
        <v>48H&lt;T&lt;72H</v>
      </c>
      <c r="Z74" s="101">
        <f t="shared" si="6"/>
        <v>1</v>
      </c>
      <c r="AA74" s="61" t="s">
        <v>1566</v>
      </c>
      <c r="AB74" s="61" t="s">
        <v>1554</v>
      </c>
      <c r="AC74" s="105" t="s">
        <v>2423</v>
      </c>
      <c r="AD74" s="106" t="s">
        <v>1994</v>
      </c>
      <c r="AE74" s="61"/>
    </row>
    <row r="75" spans="1:31" ht="58" x14ac:dyDescent="0.35">
      <c r="A75" s="61" t="s">
        <v>1807</v>
      </c>
      <c r="B75" s="61" t="s">
        <v>1808</v>
      </c>
      <c r="C75" s="65"/>
      <c r="D75" s="61"/>
      <c r="E75" s="61" t="s">
        <v>1816</v>
      </c>
      <c r="F75" s="70" t="s">
        <v>53</v>
      </c>
      <c r="G75" s="70" t="s">
        <v>2121</v>
      </c>
      <c r="H75" s="67">
        <v>46177.709386574075</v>
      </c>
      <c r="I75" s="75">
        <f t="shared" ca="1" si="7"/>
        <v>2.9593057870370103</v>
      </c>
      <c r="J75" s="61"/>
      <c r="K75" s="61"/>
      <c r="L75" s="61"/>
      <c r="M75" s="61" t="s">
        <v>2053</v>
      </c>
      <c r="N75" s="61" t="s">
        <v>2054</v>
      </c>
      <c r="O75" s="61"/>
      <c r="P75" s="61"/>
      <c r="Q75" s="61"/>
      <c r="R75" s="61" t="s">
        <v>2345</v>
      </c>
      <c r="S75" s="61" t="s">
        <v>85</v>
      </c>
      <c r="T75" s="61" t="s">
        <v>1898</v>
      </c>
      <c r="U75" s="61" t="s">
        <v>1898</v>
      </c>
      <c r="V75" s="101" t="str">
        <f>VLOOKUP(B75,[2]Overall!$A:$D,4,0)</f>
        <v>H-TELI</v>
      </c>
      <c r="W75" s="101" t="str">
        <f>VLOOKUP(B75,[3]Sheet1!$A:$B,2,0)</f>
        <v>Songloulou</v>
      </c>
      <c r="X75" s="88" t="str">
        <f t="shared" si="4"/>
        <v>LIT</v>
      </c>
      <c r="Y75" s="88" t="str">
        <f t="shared" ca="1" si="5"/>
        <v>48H&lt;T&lt;72H</v>
      </c>
      <c r="Z75" s="101">
        <f t="shared" si="6"/>
        <v>1</v>
      </c>
      <c r="AA75" s="61" t="s">
        <v>1566</v>
      </c>
      <c r="AB75" s="61" t="s">
        <v>1554</v>
      </c>
      <c r="AC75" s="105" t="s">
        <v>2423</v>
      </c>
      <c r="AD75" s="106" t="s">
        <v>1994</v>
      </c>
      <c r="AE75" s="61"/>
    </row>
    <row r="76" spans="1:31" ht="58" x14ac:dyDescent="0.35">
      <c r="A76" s="61" t="s">
        <v>1807</v>
      </c>
      <c r="B76" s="61" t="s">
        <v>1808</v>
      </c>
      <c r="C76" s="65"/>
      <c r="D76" s="61"/>
      <c r="E76" s="61" t="s">
        <v>1815</v>
      </c>
      <c r="F76" s="70" t="s">
        <v>53</v>
      </c>
      <c r="G76" s="70" t="s">
        <v>2121</v>
      </c>
      <c r="H76" s="67">
        <v>46177.709386574075</v>
      </c>
      <c r="I76" s="75">
        <f t="shared" ca="1" si="7"/>
        <v>2.9593057870370103</v>
      </c>
      <c r="J76" s="61"/>
      <c r="K76" s="61"/>
      <c r="L76" s="61"/>
      <c r="M76" s="61" t="s">
        <v>2053</v>
      </c>
      <c r="N76" s="61" t="s">
        <v>2054</v>
      </c>
      <c r="O76" s="61"/>
      <c r="P76" s="61"/>
      <c r="Q76" s="61"/>
      <c r="R76" s="61" t="s">
        <v>2345</v>
      </c>
      <c r="S76" s="61" t="s">
        <v>85</v>
      </c>
      <c r="T76" s="61" t="s">
        <v>1898</v>
      </c>
      <c r="U76" s="61" t="s">
        <v>1898</v>
      </c>
      <c r="V76" s="101" t="str">
        <f>VLOOKUP(B76,[2]Overall!$A:$D,4,0)</f>
        <v>H-TELI</v>
      </c>
      <c r="W76" s="101" t="str">
        <f>VLOOKUP(B76,[3]Sheet1!$A:$B,2,0)</f>
        <v>Songloulou</v>
      </c>
      <c r="X76" s="88" t="str">
        <f t="shared" si="4"/>
        <v>LIT</v>
      </c>
      <c r="Y76" s="88" t="str">
        <f t="shared" ca="1" si="5"/>
        <v>48H&lt;T&lt;72H</v>
      </c>
      <c r="Z76" s="101">
        <f t="shared" si="6"/>
        <v>1</v>
      </c>
      <c r="AA76" s="61" t="s">
        <v>1566</v>
      </c>
      <c r="AB76" s="61" t="s">
        <v>1554</v>
      </c>
      <c r="AC76" s="105" t="s">
        <v>2423</v>
      </c>
      <c r="AD76" s="106" t="s">
        <v>1994</v>
      </c>
      <c r="AE76" s="61"/>
    </row>
    <row r="77" spans="1:31" ht="58" x14ac:dyDescent="0.35">
      <c r="A77" s="61" t="s">
        <v>1807</v>
      </c>
      <c r="B77" s="61" t="s">
        <v>1808</v>
      </c>
      <c r="C77" s="65"/>
      <c r="D77" s="61"/>
      <c r="E77" s="61" t="s">
        <v>2445</v>
      </c>
      <c r="F77" s="70" t="s">
        <v>53</v>
      </c>
      <c r="G77" s="70" t="s">
        <v>2121</v>
      </c>
      <c r="H77" s="67">
        <v>46177.70952546296</v>
      </c>
      <c r="I77" s="75">
        <f t="shared" ca="1" si="7"/>
        <v>2.9591668981520343</v>
      </c>
      <c r="J77" s="61"/>
      <c r="K77" s="61"/>
      <c r="L77" s="61"/>
      <c r="M77" s="61" t="s">
        <v>2053</v>
      </c>
      <c r="N77" s="61" t="s">
        <v>2054</v>
      </c>
      <c r="O77" s="61"/>
      <c r="P77" s="61"/>
      <c r="Q77" s="61"/>
      <c r="R77" s="61" t="s">
        <v>2345</v>
      </c>
      <c r="S77" s="61" t="s">
        <v>85</v>
      </c>
      <c r="T77" s="61" t="s">
        <v>1898</v>
      </c>
      <c r="U77" s="61" t="s">
        <v>1898</v>
      </c>
      <c r="V77" s="101" t="str">
        <f>VLOOKUP(B77,[2]Overall!$A:$D,4,0)</f>
        <v>H-TELI</v>
      </c>
      <c r="W77" s="101" t="str">
        <f>VLOOKUP(B77,[3]Sheet1!$A:$B,2,0)</f>
        <v>Songloulou</v>
      </c>
      <c r="X77" s="88" t="str">
        <f t="shared" si="4"/>
        <v>LIT</v>
      </c>
      <c r="Y77" s="88" t="str">
        <f t="shared" ca="1" si="5"/>
        <v>48H&lt;T&lt;72H</v>
      </c>
      <c r="Z77" s="101">
        <f t="shared" si="6"/>
        <v>1</v>
      </c>
      <c r="AA77" s="61" t="s">
        <v>1566</v>
      </c>
      <c r="AB77" s="61" t="s">
        <v>1554</v>
      </c>
      <c r="AC77" s="105" t="s">
        <v>2423</v>
      </c>
      <c r="AD77" s="106" t="s">
        <v>1994</v>
      </c>
      <c r="AE77" s="61"/>
    </row>
    <row r="78" spans="1:31" ht="58" x14ac:dyDescent="0.35">
      <c r="A78" s="61" t="s">
        <v>1807</v>
      </c>
      <c r="B78" s="61" t="s">
        <v>1808</v>
      </c>
      <c r="C78" s="65"/>
      <c r="D78" s="61"/>
      <c r="E78" s="61" t="s">
        <v>2446</v>
      </c>
      <c r="F78" s="70" t="s">
        <v>53</v>
      </c>
      <c r="G78" s="70" t="s">
        <v>2121</v>
      </c>
      <c r="H78" s="67">
        <v>46177.70952546296</v>
      </c>
      <c r="I78" s="75">
        <f t="shared" ca="1" si="7"/>
        <v>2.9591668981520343</v>
      </c>
      <c r="J78" s="61"/>
      <c r="K78" s="61"/>
      <c r="L78" s="61"/>
      <c r="M78" s="61" t="s">
        <v>2053</v>
      </c>
      <c r="N78" s="61" t="s">
        <v>2054</v>
      </c>
      <c r="O78" s="61"/>
      <c r="P78" s="61"/>
      <c r="Q78" s="61"/>
      <c r="R78" s="61" t="s">
        <v>2345</v>
      </c>
      <c r="S78" s="61" t="s">
        <v>85</v>
      </c>
      <c r="T78" s="61" t="s">
        <v>1898</v>
      </c>
      <c r="U78" s="61" t="s">
        <v>1898</v>
      </c>
      <c r="V78" s="101" t="str">
        <f>VLOOKUP(B78,[2]Overall!$A:$D,4,0)</f>
        <v>H-TELI</v>
      </c>
      <c r="W78" s="101" t="str">
        <f>VLOOKUP(B78,[3]Sheet1!$A:$B,2,0)</f>
        <v>Songloulou</v>
      </c>
      <c r="X78" s="88" t="str">
        <f t="shared" si="4"/>
        <v>LIT</v>
      </c>
      <c r="Y78" s="88" t="str">
        <f t="shared" ca="1" si="5"/>
        <v>48H&lt;T&lt;72H</v>
      </c>
      <c r="Z78" s="101">
        <f t="shared" si="6"/>
        <v>1</v>
      </c>
      <c r="AA78" s="61" t="s">
        <v>1566</v>
      </c>
      <c r="AB78" s="61" t="s">
        <v>1554</v>
      </c>
      <c r="AC78" s="105" t="s">
        <v>2423</v>
      </c>
      <c r="AD78" s="106" t="s">
        <v>1994</v>
      </c>
      <c r="AE78" s="61"/>
    </row>
    <row r="79" spans="1:31" ht="58" x14ac:dyDescent="0.35">
      <c r="A79" s="61" t="s">
        <v>1807</v>
      </c>
      <c r="B79" s="61" t="s">
        <v>1808</v>
      </c>
      <c r="C79" s="65"/>
      <c r="D79" s="61"/>
      <c r="E79" s="61" t="s">
        <v>2447</v>
      </c>
      <c r="F79" s="70" t="s">
        <v>53</v>
      </c>
      <c r="G79" s="70" t="s">
        <v>2121</v>
      </c>
      <c r="H79" s="67">
        <v>46177.70952546296</v>
      </c>
      <c r="I79" s="75">
        <f t="shared" ca="1" si="7"/>
        <v>2.9591668981520343</v>
      </c>
      <c r="J79" s="61"/>
      <c r="K79" s="61"/>
      <c r="L79" s="61"/>
      <c r="M79" s="61" t="s">
        <v>2053</v>
      </c>
      <c r="N79" s="61" t="s">
        <v>2054</v>
      </c>
      <c r="O79" s="61"/>
      <c r="P79" s="61"/>
      <c r="Q79" s="61"/>
      <c r="R79" s="61" t="s">
        <v>2345</v>
      </c>
      <c r="S79" s="61" t="s">
        <v>85</v>
      </c>
      <c r="T79" s="61" t="s">
        <v>1898</v>
      </c>
      <c r="U79" s="61" t="s">
        <v>1898</v>
      </c>
      <c r="V79" s="101" t="str">
        <f>VLOOKUP(B79,[2]Overall!$A:$D,4,0)</f>
        <v>H-TELI</v>
      </c>
      <c r="W79" s="101" t="str">
        <f>VLOOKUP(B79,[3]Sheet1!$A:$B,2,0)</f>
        <v>Songloulou</v>
      </c>
      <c r="X79" s="88" t="str">
        <f t="shared" si="4"/>
        <v>LIT</v>
      </c>
      <c r="Y79" s="88" t="str">
        <f t="shared" ca="1" si="5"/>
        <v>48H&lt;T&lt;72H</v>
      </c>
      <c r="Z79" s="101">
        <f t="shared" si="6"/>
        <v>1</v>
      </c>
      <c r="AA79" s="61" t="s">
        <v>1566</v>
      </c>
      <c r="AB79" s="61" t="s">
        <v>1554</v>
      </c>
      <c r="AC79" s="105" t="s">
        <v>2423</v>
      </c>
      <c r="AD79" s="106" t="s">
        <v>1994</v>
      </c>
      <c r="AE79" s="61"/>
    </row>
    <row r="80" spans="1:31" ht="58" x14ac:dyDescent="0.35">
      <c r="A80" s="61" t="s">
        <v>1807</v>
      </c>
      <c r="B80" s="61" t="s">
        <v>1808</v>
      </c>
      <c r="C80" s="65"/>
      <c r="D80" s="61"/>
      <c r="E80" s="61" t="s">
        <v>2448</v>
      </c>
      <c r="F80" s="70" t="s">
        <v>53</v>
      </c>
      <c r="G80" s="70" t="s">
        <v>2121</v>
      </c>
      <c r="H80" s="67">
        <v>46177.70952546296</v>
      </c>
      <c r="I80" s="75">
        <f t="shared" ca="1" si="7"/>
        <v>2.9591668981520343</v>
      </c>
      <c r="J80" s="61"/>
      <c r="K80" s="61"/>
      <c r="L80" s="61"/>
      <c r="M80" s="61" t="s">
        <v>2053</v>
      </c>
      <c r="N80" s="61" t="s">
        <v>2054</v>
      </c>
      <c r="O80" s="61"/>
      <c r="P80" s="61"/>
      <c r="Q80" s="61"/>
      <c r="R80" s="61" t="s">
        <v>2345</v>
      </c>
      <c r="S80" s="61" t="s">
        <v>85</v>
      </c>
      <c r="T80" s="61" t="s">
        <v>1898</v>
      </c>
      <c r="U80" s="61" t="s">
        <v>1898</v>
      </c>
      <c r="V80" s="101" t="str">
        <f>VLOOKUP(B80,[2]Overall!$A:$D,4,0)</f>
        <v>H-TELI</v>
      </c>
      <c r="W80" s="101" t="str">
        <f>VLOOKUP(B80,[3]Sheet1!$A:$B,2,0)</f>
        <v>Songloulou</v>
      </c>
      <c r="X80" s="88" t="str">
        <f t="shared" si="4"/>
        <v>LIT</v>
      </c>
      <c r="Y80" s="88" t="str">
        <f t="shared" ca="1" si="5"/>
        <v>48H&lt;T&lt;72H</v>
      </c>
      <c r="Z80" s="101">
        <f t="shared" si="6"/>
        <v>1</v>
      </c>
      <c r="AA80" s="61" t="s">
        <v>1566</v>
      </c>
      <c r="AB80" s="61" t="s">
        <v>1554</v>
      </c>
      <c r="AC80" s="105" t="s">
        <v>2423</v>
      </c>
      <c r="AD80" s="106" t="s">
        <v>1994</v>
      </c>
      <c r="AE80" s="61"/>
    </row>
    <row r="81" spans="1:31" ht="58" x14ac:dyDescent="0.35">
      <c r="A81" s="61" t="s">
        <v>1807</v>
      </c>
      <c r="B81" s="61" t="s">
        <v>1808</v>
      </c>
      <c r="C81" s="65"/>
      <c r="D81" s="61"/>
      <c r="E81" s="61" t="s">
        <v>2449</v>
      </c>
      <c r="F81" s="70" t="s">
        <v>53</v>
      </c>
      <c r="G81" s="70" t="s">
        <v>2121</v>
      </c>
      <c r="H81" s="67">
        <v>46177.70952546296</v>
      </c>
      <c r="I81" s="75">
        <f t="shared" ca="1" si="7"/>
        <v>2.9591668981520343</v>
      </c>
      <c r="J81" s="61"/>
      <c r="K81" s="61"/>
      <c r="L81" s="61"/>
      <c r="M81" s="61" t="s">
        <v>2053</v>
      </c>
      <c r="N81" s="61" t="s">
        <v>2054</v>
      </c>
      <c r="O81" s="61"/>
      <c r="P81" s="61"/>
      <c r="Q81" s="61"/>
      <c r="R81" s="61" t="s">
        <v>2345</v>
      </c>
      <c r="S81" s="61" t="s">
        <v>85</v>
      </c>
      <c r="T81" s="61" t="s">
        <v>1898</v>
      </c>
      <c r="U81" s="61" t="s">
        <v>1898</v>
      </c>
      <c r="V81" s="101" t="str">
        <f>VLOOKUP(B81,[2]Overall!$A:$D,4,0)</f>
        <v>H-TELI</v>
      </c>
      <c r="W81" s="101" t="str">
        <f>VLOOKUP(B81,[3]Sheet1!$A:$B,2,0)</f>
        <v>Songloulou</v>
      </c>
      <c r="X81" s="88" t="str">
        <f t="shared" si="4"/>
        <v>LIT</v>
      </c>
      <c r="Y81" s="88" t="str">
        <f t="shared" ca="1" si="5"/>
        <v>48H&lt;T&lt;72H</v>
      </c>
      <c r="Z81" s="101">
        <f t="shared" si="6"/>
        <v>1</v>
      </c>
      <c r="AA81" s="61" t="s">
        <v>1566</v>
      </c>
      <c r="AB81" s="61" t="s">
        <v>1554</v>
      </c>
      <c r="AC81" s="105" t="s">
        <v>2423</v>
      </c>
      <c r="AD81" s="106" t="s">
        <v>1994</v>
      </c>
      <c r="AE81" s="61"/>
    </row>
    <row r="82" spans="1:31" ht="58" x14ac:dyDescent="0.35">
      <c r="A82" s="61" t="s">
        <v>1807</v>
      </c>
      <c r="B82" s="61" t="s">
        <v>1808</v>
      </c>
      <c r="C82" s="65"/>
      <c r="D82" s="61"/>
      <c r="E82" s="61" t="s">
        <v>2450</v>
      </c>
      <c r="F82" s="70" t="s">
        <v>53</v>
      </c>
      <c r="G82" s="70" t="s">
        <v>2121</v>
      </c>
      <c r="H82" s="67">
        <v>46177.70952546296</v>
      </c>
      <c r="I82" s="75">
        <f t="shared" ca="1" si="7"/>
        <v>2.9591668981520343</v>
      </c>
      <c r="J82" s="61"/>
      <c r="K82" s="61"/>
      <c r="L82" s="61"/>
      <c r="M82" s="61" t="s">
        <v>2053</v>
      </c>
      <c r="N82" s="61" t="s">
        <v>2054</v>
      </c>
      <c r="O82" s="61"/>
      <c r="P82" s="61"/>
      <c r="Q82" s="61"/>
      <c r="R82" s="61" t="s">
        <v>2345</v>
      </c>
      <c r="S82" s="61" t="s">
        <v>85</v>
      </c>
      <c r="T82" s="61" t="s">
        <v>1898</v>
      </c>
      <c r="U82" s="61" t="s">
        <v>1898</v>
      </c>
      <c r="V82" s="101" t="str">
        <f>VLOOKUP(B82,[2]Overall!$A:$D,4,0)</f>
        <v>H-TELI</v>
      </c>
      <c r="W82" s="101" t="str">
        <f>VLOOKUP(B82,[3]Sheet1!$A:$B,2,0)</f>
        <v>Songloulou</v>
      </c>
      <c r="X82" s="88" t="str">
        <f t="shared" si="4"/>
        <v>LIT</v>
      </c>
      <c r="Y82" s="88" t="str">
        <f t="shared" ca="1" si="5"/>
        <v>48H&lt;T&lt;72H</v>
      </c>
      <c r="Z82" s="101">
        <f t="shared" si="6"/>
        <v>1</v>
      </c>
      <c r="AA82" s="61" t="s">
        <v>1566</v>
      </c>
      <c r="AB82" s="61" t="s">
        <v>1554</v>
      </c>
      <c r="AC82" s="105" t="s">
        <v>2423</v>
      </c>
      <c r="AD82" s="106" t="s">
        <v>1994</v>
      </c>
      <c r="AE82" s="61"/>
    </row>
    <row r="83" spans="1:31" ht="116" x14ac:dyDescent="0.35">
      <c r="A83" s="63" t="s">
        <v>1704</v>
      </c>
      <c r="B83" s="63" t="s">
        <v>1663</v>
      </c>
      <c r="C83" s="68"/>
      <c r="D83" s="63"/>
      <c r="E83" s="63" t="s">
        <v>2223</v>
      </c>
      <c r="F83" s="71" t="s">
        <v>53</v>
      </c>
      <c r="G83" s="71" t="s">
        <v>2121</v>
      </c>
      <c r="H83" s="69">
        <v>46177.709988425922</v>
      </c>
      <c r="I83" s="77">
        <f t="shared" ca="1" si="7"/>
        <v>2.9587039351899875</v>
      </c>
      <c r="J83" s="63"/>
      <c r="K83" s="63"/>
      <c r="L83" s="63"/>
      <c r="M83" s="63" t="s">
        <v>31</v>
      </c>
      <c r="N83" s="63" t="s">
        <v>2451</v>
      </c>
      <c r="O83" s="63"/>
      <c r="P83" s="63" t="s">
        <v>1906</v>
      </c>
      <c r="Q83" s="63"/>
      <c r="R83" s="63" t="s">
        <v>2458</v>
      </c>
      <c r="S83" s="63" t="s">
        <v>40</v>
      </c>
      <c r="T83" s="63" t="s">
        <v>1898</v>
      </c>
      <c r="U83" s="63" t="s">
        <v>1898</v>
      </c>
      <c r="V83" s="107" t="str">
        <f>VLOOKUP(B83,[2]Overall!$A:$D,4,0)</f>
        <v>TELEINFRA NORD</v>
      </c>
      <c r="W83" s="107" t="str">
        <f>VLOOKUP(B83,[3]Sheet1!$A:$B,2,0)</f>
        <v>Kaele</v>
      </c>
      <c r="X83" s="89" t="str">
        <f t="shared" si="4"/>
        <v>EXN</v>
      </c>
      <c r="Y83" s="89" t="str">
        <f t="shared" ca="1" si="5"/>
        <v>48H&lt;T&lt;72H</v>
      </c>
      <c r="Z83" s="107">
        <f t="shared" si="6"/>
        <v>2</v>
      </c>
      <c r="AA83" s="63" t="s">
        <v>77</v>
      </c>
      <c r="AB83" s="63" t="s">
        <v>1555</v>
      </c>
      <c r="AC83" s="108" t="s">
        <v>2423</v>
      </c>
      <c r="AD83" s="109" t="s">
        <v>1994</v>
      </c>
      <c r="AE83" s="63"/>
    </row>
  </sheetData>
  <autoFilter ref="A1:AE83" xr:uid="{DEE83122-22FA-4AA9-B682-195542C6DDC2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4618-1482-4D3A-91D6-941F8D49739F}">
  <sheetPr codeName="Sheet43" filterMode="1">
    <tabColor theme="5"/>
  </sheetPr>
  <dimension ref="A1:AE74"/>
  <sheetViews>
    <sheetView zoomScale="68" zoomScaleNormal="68" workbookViewId="0">
      <pane xSplit="6" topLeftCell="P1" activePane="topRight" state="frozen"/>
      <selection activeCell="AB4" sqref="AB4"/>
      <selection pane="topRight" activeCell="R72" sqref="R72:U72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hidden="1" x14ac:dyDescent="0.3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v>14.864989120374958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2383</v>
      </c>
      <c r="S2" s="61" t="s">
        <v>75</v>
      </c>
      <c r="T2" s="61" t="s">
        <v>1688</v>
      </c>
      <c r="U2" s="61" t="e">
        <v>#N/A</v>
      </c>
      <c r="V2" s="101" t="str">
        <f>VLOOKUP(B2,[2]Overall!$A:$D,4,0)</f>
        <v>TELEINFRA NORD</v>
      </c>
      <c r="W2" s="101" t="str">
        <f>VLOOKUP(B2,[3]Sheet1!$A:$B,2,0)</f>
        <v>Martap</v>
      </c>
      <c r="X2" s="88" t="str">
        <f t="shared" ref="X2:X31" si="0">LEFT(B2,3)</f>
        <v>ADM</v>
      </c>
      <c r="Y2" s="88" t="str">
        <f t="shared" ref="Y2:Y3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31" si="2">IF(OR(E2="", E2="affected_cells=unknown"), "", LEN(E2)-LEN(SUBSTITUTE(E2, ",", "")) + LEN(E2)-LEN(SUBSTITUTE(E2, ";", "")) + 1)</f>
        <v>1</v>
      </c>
      <c r="AA2" s="61" t="s">
        <v>1566</v>
      </c>
      <c r="AB2" s="61" t="s">
        <v>1904</v>
      </c>
      <c r="AC2" s="105" t="s">
        <v>2485</v>
      </c>
      <c r="AD2" s="106" t="s">
        <v>1994</v>
      </c>
      <c r="AE2" s="61"/>
    </row>
    <row r="3" spans="1:31" ht="348" hidden="1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v>10.194051620375831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2491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si="1"/>
        <v>T&gt;72H</v>
      </c>
      <c r="Z3" s="101">
        <f t="shared" si="2"/>
        <v>4</v>
      </c>
      <c r="AA3" s="61" t="s">
        <v>1566</v>
      </c>
      <c r="AB3" s="61" t="s">
        <v>1904</v>
      </c>
      <c r="AC3" s="105" t="s">
        <v>2485</v>
      </c>
      <c r="AD3" s="106" t="s">
        <v>1994</v>
      </c>
      <c r="AE3" s="61"/>
    </row>
    <row r="4" spans="1:31" ht="348" hidden="1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v>10.194040046299051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2491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0"/>
        <v>EXN</v>
      </c>
      <c r="Y4" s="88" t="str">
        <f t="shared" si="1"/>
        <v>T&gt;72H</v>
      </c>
      <c r="Z4" s="101">
        <f t="shared" si="2"/>
        <v>3</v>
      </c>
      <c r="AA4" s="61" t="s">
        <v>1566</v>
      </c>
      <c r="AB4" s="61" t="s">
        <v>1904</v>
      </c>
      <c r="AC4" s="105" t="s">
        <v>2485</v>
      </c>
      <c r="AD4" s="106" t="s">
        <v>1994</v>
      </c>
      <c r="AE4" s="61"/>
    </row>
    <row r="5" spans="1:31" ht="145" hidden="1" x14ac:dyDescent="0.3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v>9.82884328703949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2496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0"/>
        <v>EXN</v>
      </c>
      <c r="Y5" s="88" t="str">
        <f t="shared" si="1"/>
        <v>T&gt;72H</v>
      </c>
      <c r="Z5" s="101">
        <f t="shared" si="2"/>
        <v>1</v>
      </c>
      <c r="AA5" s="61" t="s">
        <v>1566</v>
      </c>
      <c r="AB5" s="61" t="s">
        <v>1904</v>
      </c>
      <c r="AC5" s="105" t="s">
        <v>2485</v>
      </c>
      <c r="AD5" s="106" t="s">
        <v>1994</v>
      </c>
      <c r="AE5" s="61"/>
    </row>
    <row r="6" spans="1:31" ht="217.5" hidden="1" x14ac:dyDescent="0.35">
      <c r="A6" s="63" t="s">
        <v>1834</v>
      </c>
      <c r="B6" s="63" t="s">
        <v>1835</v>
      </c>
      <c r="C6" s="68"/>
      <c r="D6" s="63"/>
      <c r="E6" s="63" t="s">
        <v>39</v>
      </c>
      <c r="F6" s="71" t="s">
        <v>53</v>
      </c>
      <c r="G6" s="71" t="s">
        <v>2121</v>
      </c>
      <c r="H6" s="69">
        <v>46168.908518518518</v>
      </c>
      <c r="I6" s="77">
        <v>9.4565863425959833</v>
      </c>
      <c r="J6" s="63"/>
      <c r="K6" s="63"/>
      <c r="L6" s="63"/>
      <c r="M6" s="63" t="s">
        <v>1836</v>
      </c>
      <c r="N6" s="63" t="s">
        <v>1837</v>
      </c>
      <c r="O6" s="63"/>
      <c r="P6" s="63" t="s">
        <v>2545</v>
      </c>
      <c r="Q6" s="108">
        <v>46148</v>
      </c>
      <c r="R6" s="85" t="s">
        <v>2544</v>
      </c>
      <c r="S6" s="63" t="s">
        <v>85</v>
      </c>
      <c r="T6" s="63" t="s">
        <v>1899</v>
      </c>
      <c r="U6" s="63" t="s">
        <v>1899</v>
      </c>
      <c r="V6" s="107" t="str">
        <f>VLOOKUP(B6,[2]Overall!$A:$D,4,0)</f>
        <v>H-TELI</v>
      </c>
      <c r="W6" s="107" t="str">
        <f>VLOOKUP(B6,[3]Sheet1!$A:$B,2,0)</f>
        <v>Ebonji</v>
      </c>
      <c r="X6" s="89" t="str">
        <f t="shared" si="0"/>
        <v>SUO</v>
      </c>
      <c r="Y6" s="89" t="str">
        <f t="shared" si="1"/>
        <v>T&gt;72H</v>
      </c>
      <c r="Z6" s="107">
        <f t="shared" si="2"/>
        <v>1</v>
      </c>
      <c r="AA6" s="63" t="s">
        <v>77</v>
      </c>
      <c r="AB6" s="63" t="s">
        <v>1904</v>
      </c>
      <c r="AC6" s="108" t="s">
        <v>2485</v>
      </c>
      <c r="AD6" s="109" t="s">
        <v>1994</v>
      </c>
      <c r="AE6" s="63"/>
    </row>
    <row r="7" spans="1:31" ht="130.5" hidden="1" x14ac:dyDescent="0.35">
      <c r="A7" s="61" t="s">
        <v>1930</v>
      </c>
      <c r="B7" s="61" t="s">
        <v>1931</v>
      </c>
      <c r="C7" s="65"/>
      <c r="D7" s="61"/>
      <c r="E7" s="61" t="s">
        <v>34</v>
      </c>
      <c r="F7" s="70" t="s">
        <v>53</v>
      </c>
      <c r="G7" s="70" t="s">
        <v>2121</v>
      </c>
      <c r="H7" s="67">
        <v>46172.534074074072</v>
      </c>
      <c r="I7" s="75">
        <v>5.8310307870415272</v>
      </c>
      <c r="J7" s="61"/>
      <c r="K7" s="61"/>
      <c r="L7" s="61"/>
      <c r="M7" s="61" t="s">
        <v>1929</v>
      </c>
      <c r="N7" s="61" t="s">
        <v>1932</v>
      </c>
      <c r="O7" s="61"/>
      <c r="P7" s="61"/>
      <c r="Q7" s="61"/>
      <c r="R7" s="61" t="s">
        <v>2493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Mazera</v>
      </c>
      <c r="X7" s="88" t="str">
        <f t="shared" si="0"/>
        <v>EXN</v>
      </c>
      <c r="Y7" s="88" t="str">
        <f t="shared" si="1"/>
        <v>T&gt;72H</v>
      </c>
      <c r="Z7" s="101">
        <f t="shared" si="2"/>
        <v>1</v>
      </c>
      <c r="AA7" s="61" t="s">
        <v>1566</v>
      </c>
      <c r="AB7" s="61" t="s">
        <v>1904</v>
      </c>
      <c r="AC7" s="105" t="s">
        <v>2485</v>
      </c>
      <c r="AD7" s="106" t="s">
        <v>1994</v>
      </c>
      <c r="AE7" s="61"/>
    </row>
    <row r="8" spans="1:31" ht="409.5" hidden="1" x14ac:dyDescent="0.35">
      <c r="A8" s="61" t="s">
        <v>1773</v>
      </c>
      <c r="B8" s="61" t="s">
        <v>1774</v>
      </c>
      <c r="C8" s="65"/>
      <c r="D8" s="61"/>
      <c r="E8" s="61" t="s">
        <v>1956</v>
      </c>
      <c r="F8" s="70" t="s">
        <v>53</v>
      </c>
      <c r="G8" s="70" t="s">
        <v>2121</v>
      </c>
      <c r="H8" s="67">
        <v>46172.719837962963</v>
      </c>
      <c r="I8" s="75">
        <v>5.6452668981510215</v>
      </c>
      <c r="J8" s="61"/>
      <c r="K8" s="61"/>
      <c r="L8" s="61"/>
      <c r="M8" s="61" t="s">
        <v>31</v>
      </c>
      <c r="N8" s="61" t="s">
        <v>1957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si="1"/>
        <v>T&gt;72H</v>
      </c>
      <c r="Z8" s="101">
        <f t="shared" si="2"/>
        <v>3</v>
      </c>
      <c r="AA8" s="61" t="s">
        <v>1566</v>
      </c>
      <c r="AB8" s="61" t="s">
        <v>1904</v>
      </c>
      <c r="AC8" s="105" t="s">
        <v>2485</v>
      </c>
      <c r="AD8" s="106" t="s">
        <v>1994</v>
      </c>
      <c r="AE8" s="61"/>
    </row>
    <row r="9" spans="1:31" ht="409.5" hidden="1" x14ac:dyDescent="0.35">
      <c r="A9" s="61" t="s">
        <v>1773</v>
      </c>
      <c r="B9" s="61" t="s">
        <v>1774</v>
      </c>
      <c r="C9" s="65"/>
      <c r="D9" s="61"/>
      <c r="E9" s="61" t="s">
        <v>35</v>
      </c>
      <c r="F9" s="70" t="s">
        <v>53</v>
      </c>
      <c r="G9" s="70" t="s">
        <v>2121</v>
      </c>
      <c r="H9" s="67">
        <v>46172.719837962963</v>
      </c>
      <c r="I9" s="75">
        <v>5.6452668981510215</v>
      </c>
      <c r="J9" s="61"/>
      <c r="K9" s="61"/>
      <c r="L9" s="61"/>
      <c r="M9" s="61" t="s">
        <v>31</v>
      </c>
      <c r="N9" s="61" t="s">
        <v>1775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0"/>
        <v>NRD</v>
      </c>
      <c r="Y9" s="88" t="str">
        <f t="shared" si="1"/>
        <v>T&gt;72H</v>
      </c>
      <c r="Z9" s="101">
        <f t="shared" si="2"/>
        <v>3</v>
      </c>
      <c r="AA9" s="61" t="s">
        <v>1566</v>
      </c>
      <c r="AB9" s="61" t="s">
        <v>1904</v>
      </c>
      <c r="AC9" s="105" t="s">
        <v>2485</v>
      </c>
      <c r="AD9" s="106" t="s">
        <v>1994</v>
      </c>
      <c r="AE9" s="61"/>
    </row>
    <row r="10" spans="1:31" ht="409.5" hidden="1" x14ac:dyDescent="0.35">
      <c r="A10" s="61" t="s">
        <v>1773</v>
      </c>
      <c r="B10" s="61" t="s">
        <v>1774</v>
      </c>
      <c r="C10" s="65"/>
      <c r="D10" s="61"/>
      <c r="E10" s="61" t="s">
        <v>1954</v>
      </c>
      <c r="F10" s="70" t="s">
        <v>53</v>
      </c>
      <c r="G10" s="70" t="s">
        <v>2121</v>
      </c>
      <c r="H10" s="67">
        <v>46172.724965277775</v>
      </c>
      <c r="I10" s="75">
        <v>5.6401395833381684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0"/>
        <v>NRD</v>
      </c>
      <c r="Y10" s="88" t="str">
        <f t="shared" si="1"/>
        <v>T&gt;72H</v>
      </c>
      <c r="Z10" s="101">
        <f t="shared" si="2"/>
        <v>1</v>
      </c>
      <c r="AA10" s="61" t="s">
        <v>1566</v>
      </c>
      <c r="AB10" s="61" t="s">
        <v>1904</v>
      </c>
      <c r="AC10" s="105" t="s">
        <v>2485</v>
      </c>
      <c r="AD10" s="106" t="s">
        <v>1994</v>
      </c>
      <c r="AE10" s="61"/>
    </row>
    <row r="11" spans="1:31" ht="409.5" hidden="1" x14ac:dyDescent="0.35">
      <c r="A11" s="61" t="s">
        <v>1773</v>
      </c>
      <c r="B11" s="61" t="s">
        <v>1774</v>
      </c>
      <c r="C11" s="65"/>
      <c r="D11" s="61"/>
      <c r="E11" s="61" t="s">
        <v>1955</v>
      </c>
      <c r="F11" s="70" t="s">
        <v>53</v>
      </c>
      <c r="G11" s="70" t="s">
        <v>2121</v>
      </c>
      <c r="H11" s="67">
        <v>46172.724965277775</v>
      </c>
      <c r="I11" s="75">
        <v>5.6401395833381684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2492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0"/>
        <v>NRD</v>
      </c>
      <c r="Y11" s="88" t="str">
        <f t="shared" si="1"/>
        <v>T&gt;72H</v>
      </c>
      <c r="Z11" s="101">
        <f t="shared" si="2"/>
        <v>1</v>
      </c>
      <c r="AA11" s="61" t="s">
        <v>1566</v>
      </c>
      <c r="AB11" s="61" t="s">
        <v>1904</v>
      </c>
      <c r="AC11" s="105" t="s">
        <v>2485</v>
      </c>
      <c r="AD11" s="106" t="s">
        <v>1994</v>
      </c>
      <c r="AE11" s="61"/>
    </row>
    <row r="12" spans="1:31" ht="409.5" hidden="1" x14ac:dyDescent="0.35">
      <c r="A12" s="61" t="s">
        <v>1773</v>
      </c>
      <c r="B12" s="61" t="s">
        <v>1774</v>
      </c>
      <c r="C12" s="65"/>
      <c r="D12" s="61"/>
      <c r="E12" s="61" t="s">
        <v>1953</v>
      </c>
      <c r="F12" s="70" t="s">
        <v>53</v>
      </c>
      <c r="G12" s="70" t="s">
        <v>2121</v>
      </c>
      <c r="H12" s="67">
        <v>46172.724965277775</v>
      </c>
      <c r="I12" s="75">
        <v>5.6401395833381684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61" t="s">
        <v>2492</v>
      </c>
      <c r="S12" s="61" t="s">
        <v>40</v>
      </c>
      <c r="T12" s="61" t="s">
        <v>1898</v>
      </c>
      <c r="U12" s="61" t="s">
        <v>1898</v>
      </c>
      <c r="V12" s="101" t="str">
        <f>VLOOKUP(B12,[2]Overall!$A:$D,4,0)</f>
        <v>TELEINFRA NORD</v>
      </c>
      <c r="W12" s="101" t="str">
        <f>VLOOKUP(B12,[3]Sheet1!$A:$B,2,0)</f>
        <v>Hamalade</v>
      </c>
      <c r="X12" s="88" t="str">
        <f t="shared" si="0"/>
        <v>NRD</v>
      </c>
      <c r="Y12" s="88" t="str">
        <f t="shared" si="1"/>
        <v>T&gt;72H</v>
      </c>
      <c r="Z12" s="101">
        <f t="shared" si="2"/>
        <v>1</v>
      </c>
      <c r="AA12" s="61" t="s">
        <v>1566</v>
      </c>
      <c r="AB12" s="61" t="s">
        <v>1904</v>
      </c>
      <c r="AC12" s="105" t="s">
        <v>2485</v>
      </c>
      <c r="AD12" s="106" t="s">
        <v>1994</v>
      </c>
      <c r="AE12" s="61"/>
    </row>
    <row r="13" spans="1:31" ht="409.5" hidden="1" x14ac:dyDescent="0.35">
      <c r="A13" s="61" t="s">
        <v>1724</v>
      </c>
      <c r="B13" s="61" t="s">
        <v>1725</v>
      </c>
      <c r="C13" s="65"/>
      <c r="D13" s="61"/>
      <c r="E13" s="61" t="s">
        <v>1726</v>
      </c>
      <c r="F13" s="70" t="s">
        <v>53</v>
      </c>
      <c r="G13" s="70" t="s">
        <v>2121</v>
      </c>
      <c r="H13" s="67">
        <v>46172.76761574074</v>
      </c>
      <c r="I13" s="75">
        <v>5.5974891203732113</v>
      </c>
      <c r="J13" s="61"/>
      <c r="K13" s="61"/>
      <c r="L13" s="61"/>
      <c r="M13" s="61" t="s">
        <v>33</v>
      </c>
      <c r="N13" s="61" t="s">
        <v>1635</v>
      </c>
      <c r="O13" s="61"/>
      <c r="P13" s="61"/>
      <c r="Q13" s="61"/>
      <c r="R13" s="84" t="s">
        <v>2504</v>
      </c>
      <c r="S13" s="61" t="s">
        <v>32</v>
      </c>
      <c r="T13" s="61" t="s">
        <v>1898</v>
      </c>
      <c r="U13" s="61" t="s">
        <v>1898</v>
      </c>
      <c r="V13" s="101" t="str">
        <f>VLOOKUP(B13,[2]Overall!$A:$D,4,0)</f>
        <v xml:space="preserve">I-ENG </v>
      </c>
      <c r="W13" s="101" t="str">
        <f>VLOOKUP(B13,[3]Sheet1!$A:$B,2,0)</f>
        <v>Mbakong</v>
      </c>
      <c r="X13" s="88" t="str">
        <f t="shared" si="0"/>
        <v>NRO</v>
      </c>
      <c r="Y13" s="88" t="str">
        <f t="shared" si="1"/>
        <v>T&gt;72H</v>
      </c>
      <c r="Z13" s="101">
        <f t="shared" si="2"/>
        <v>2</v>
      </c>
      <c r="AA13" s="61" t="s">
        <v>1566</v>
      </c>
      <c r="AB13" s="61" t="s">
        <v>1904</v>
      </c>
      <c r="AC13" s="105" t="s">
        <v>2485</v>
      </c>
      <c r="AD13" s="106" t="s">
        <v>1994</v>
      </c>
      <c r="AE13" s="61"/>
    </row>
    <row r="14" spans="1:31" ht="188.5" hidden="1" x14ac:dyDescent="0.35">
      <c r="A14" s="61" t="s">
        <v>1881</v>
      </c>
      <c r="B14" s="61" t="s">
        <v>1880</v>
      </c>
      <c r="C14" s="65"/>
      <c r="D14" s="61"/>
      <c r="E14" s="61" t="s">
        <v>1991</v>
      </c>
      <c r="F14" s="70" t="s">
        <v>53</v>
      </c>
      <c r="G14" s="70" t="s">
        <v>2121</v>
      </c>
      <c r="H14" s="67">
        <v>46174.267314814817</v>
      </c>
      <c r="I14" s="75">
        <v>4.0977900462967227</v>
      </c>
      <c r="J14" s="61"/>
      <c r="K14" s="61"/>
      <c r="L14" s="61"/>
      <c r="M14" s="61" t="s">
        <v>1769</v>
      </c>
      <c r="N14" s="61" t="s">
        <v>1770</v>
      </c>
      <c r="O14" s="61"/>
      <c r="P14" s="61"/>
      <c r="Q14" s="61"/>
      <c r="R14" s="84" t="s">
        <v>2487</v>
      </c>
      <c r="S14" s="61" t="s">
        <v>71</v>
      </c>
      <c r="T14" s="61" t="s">
        <v>1902</v>
      </c>
      <c r="U14" s="61" t="s">
        <v>1896</v>
      </c>
      <c r="V14" s="101" t="str">
        <f>VLOOKUP(B14,[2]Overall!$A:$D,4,0)</f>
        <v xml:space="preserve">I-ENG </v>
      </c>
      <c r="W14" s="101" t="str">
        <f>VLOOKUP(B14,[3]Sheet1!$A:$B,2,0)</f>
        <v>Fundong</v>
      </c>
      <c r="X14" s="88" t="str">
        <f t="shared" si="0"/>
        <v>NRO</v>
      </c>
      <c r="Y14" s="88" t="str">
        <f t="shared" si="1"/>
        <v>T&gt;72H</v>
      </c>
      <c r="Z14" s="101">
        <f t="shared" si="2"/>
        <v>1</v>
      </c>
      <c r="AA14" s="61" t="s">
        <v>1566</v>
      </c>
      <c r="AB14" s="61" t="s">
        <v>1904</v>
      </c>
      <c r="AC14" s="105" t="s">
        <v>2485</v>
      </c>
      <c r="AD14" s="106" t="s">
        <v>1994</v>
      </c>
      <c r="AE14" s="61"/>
    </row>
    <row r="15" spans="1:31" ht="130.5" hidden="1" x14ac:dyDescent="0.35">
      <c r="A15" s="61" t="s">
        <v>1843</v>
      </c>
      <c r="B15" s="61" t="s">
        <v>1844</v>
      </c>
      <c r="C15" s="65"/>
      <c r="D15" s="61"/>
      <c r="E15" s="61" t="s">
        <v>1879</v>
      </c>
      <c r="F15" s="70" t="s">
        <v>53</v>
      </c>
      <c r="G15" s="70" t="s">
        <v>2121</v>
      </c>
      <c r="H15" s="67">
        <v>46175.448993055557</v>
      </c>
      <c r="I15" s="75">
        <v>2.9161118055562838</v>
      </c>
      <c r="J15" s="61"/>
      <c r="K15" s="61"/>
      <c r="L15" s="61"/>
      <c r="M15" s="61" t="s">
        <v>38</v>
      </c>
      <c r="N15" s="61" t="s">
        <v>1845</v>
      </c>
      <c r="O15" s="61"/>
      <c r="P15" s="61"/>
      <c r="Q15" s="61"/>
      <c r="R15" s="61" t="s">
        <v>2380</v>
      </c>
      <c r="S15" s="61" t="s">
        <v>75</v>
      </c>
      <c r="T15" s="61" t="s">
        <v>1901</v>
      </c>
      <c r="U15" s="61" t="s">
        <v>1901</v>
      </c>
      <c r="V15" s="101" t="str">
        <f>VLOOKUP(B15,[2]Overall!$A:$D,4,0)</f>
        <v>TELEINFRA NORD</v>
      </c>
      <c r="W15" s="101" t="str">
        <f>VLOOKUP(B15,[3]Sheet1!$A:$B,2,0)</f>
        <v>Mayo-Nonde</v>
      </c>
      <c r="X15" s="88" t="str">
        <f t="shared" si="0"/>
        <v>NRD</v>
      </c>
      <c r="Y15" s="88" t="str">
        <f t="shared" si="1"/>
        <v>48H&lt;T&lt;72H</v>
      </c>
      <c r="Z15" s="101">
        <f t="shared" si="2"/>
        <v>3</v>
      </c>
      <c r="AA15" s="61" t="s">
        <v>1566</v>
      </c>
      <c r="AB15" s="61" t="s">
        <v>1904</v>
      </c>
      <c r="AC15" s="105" t="s">
        <v>2485</v>
      </c>
      <c r="AD15" s="106" t="s">
        <v>1994</v>
      </c>
      <c r="AE15" s="61"/>
    </row>
    <row r="16" spans="1:31" ht="261" hidden="1" x14ac:dyDescent="0.35">
      <c r="A16" s="61" t="s">
        <v>1779</v>
      </c>
      <c r="B16" s="61" t="s">
        <v>1780</v>
      </c>
      <c r="C16" s="65"/>
      <c r="D16" s="61"/>
      <c r="E16" s="61" t="s">
        <v>37</v>
      </c>
      <c r="F16" s="70" t="s">
        <v>53</v>
      </c>
      <c r="G16" s="70" t="s">
        <v>2121</v>
      </c>
      <c r="H16" s="67">
        <v>46175.649039351854</v>
      </c>
      <c r="I16" s="75">
        <v>2.7160655092593515</v>
      </c>
      <c r="J16" s="61"/>
      <c r="K16" s="61"/>
      <c r="L16" s="61"/>
      <c r="M16" s="61" t="s">
        <v>41</v>
      </c>
      <c r="N16" s="61" t="s">
        <v>1781</v>
      </c>
      <c r="O16" s="61"/>
      <c r="P16" s="61"/>
      <c r="Q16" s="61"/>
      <c r="R16" s="61" t="s">
        <v>2379</v>
      </c>
      <c r="S16" s="61" t="s">
        <v>75</v>
      </c>
      <c r="T16" s="61" t="s">
        <v>1840</v>
      </c>
      <c r="U16" s="61" t="s">
        <v>1840</v>
      </c>
      <c r="V16" s="101" t="str">
        <f>VLOOKUP(B16,[2]Overall!$A:$D,4,0)</f>
        <v>TELEINFRA NORD</v>
      </c>
      <c r="W16" s="101" t="str">
        <f>VLOOKUP(B16,[3]Sheet1!$A:$B,2,0)</f>
        <v>Badjonre</v>
      </c>
      <c r="X16" s="88" t="str">
        <f t="shared" si="0"/>
        <v>EXN</v>
      </c>
      <c r="Y16" s="88" t="str">
        <f t="shared" si="1"/>
        <v>48H&lt;T&lt;72H</v>
      </c>
      <c r="Z16" s="101">
        <f t="shared" si="2"/>
        <v>1</v>
      </c>
      <c r="AA16" s="61" t="s">
        <v>1566</v>
      </c>
      <c r="AB16" s="61" t="s">
        <v>1904</v>
      </c>
      <c r="AC16" s="105" t="s">
        <v>2485</v>
      </c>
      <c r="AD16" s="106" t="s">
        <v>1994</v>
      </c>
      <c r="AE16" s="61"/>
    </row>
    <row r="17" spans="1:31" ht="261" hidden="1" x14ac:dyDescent="0.35">
      <c r="A17" s="61" t="s">
        <v>1779</v>
      </c>
      <c r="B17" s="61" t="s">
        <v>1780</v>
      </c>
      <c r="C17" s="65"/>
      <c r="D17" s="61"/>
      <c r="E17" s="61" t="s">
        <v>39</v>
      </c>
      <c r="F17" s="70" t="s">
        <v>53</v>
      </c>
      <c r="G17" s="70" t="s">
        <v>2121</v>
      </c>
      <c r="H17" s="67">
        <v>46175.681076388886</v>
      </c>
      <c r="I17" s="75">
        <v>2.6840284722275101</v>
      </c>
      <c r="J17" s="61"/>
      <c r="K17" s="61"/>
      <c r="L17" s="61"/>
      <c r="M17" s="61" t="s">
        <v>1707</v>
      </c>
      <c r="N17" s="61" t="s">
        <v>2162</v>
      </c>
      <c r="O17" s="61"/>
      <c r="P17" s="61"/>
      <c r="Q17" s="61"/>
      <c r="R17" s="61" t="s">
        <v>2379</v>
      </c>
      <c r="S17" s="61" t="s">
        <v>75</v>
      </c>
      <c r="T17" s="61" t="s">
        <v>1840</v>
      </c>
      <c r="U17" s="61" t="s">
        <v>1840</v>
      </c>
      <c r="V17" s="101" t="str">
        <f>VLOOKUP(B17,[2]Overall!$A:$D,4,0)</f>
        <v>TELEINFRA NORD</v>
      </c>
      <c r="W17" s="101" t="str">
        <f>VLOOKUP(B17,[3]Sheet1!$A:$B,2,0)</f>
        <v>Badjonre</v>
      </c>
      <c r="X17" s="88" t="str">
        <f t="shared" si="0"/>
        <v>EXN</v>
      </c>
      <c r="Y17" s="88" t="str">
        <f t="shared" si="1"/>
        <v>48H&lt;T&lt;72H</v>
      </c>
      <c r="Z17" s="101">
        <f t="shared" si="2"/>
        <v>1</v>
      </c>
      <c r="AA17" s="61" t="s">
        <v>1566</v>
      </c>
      <c r="AB17" s="61" t="s">
        <v>1904</v>
      </c>
      <c r="AC17" s="105" t="s">
        <v>2485</v>
      </c>
      <c r="AD17" s="106" t="s">
        <v>1994</v>
      </c>
      <c r="AE17" s="61"/>
    </row>
    <row r="18" spans="1:31" ht="261" hidden="1" x14ac:dyDescent="0.35">
      <c r="A18" s="61" t="s">
        <v>1779</v>
      </c>
      <c r="B18" s="61" t="s">
        <v>1780</v>
      </c>
      <c r="C18" s="65"/>
      <c r="D18" s="61"/>
      <c r="E18" s="61" t="s">
        <v>2163</v>
      </c>
      <c r="F18" s="70" t="s">
        <v>53</v>
      </c>
      <c r="G18" s="70" t="s">
        <v>2121</v>
      </c>
      <c r="H18" s="67">
        <v>46175.683067129627</v>
      </c>
      <c r="I18" s="75">
        <v>2.6820377314870711</v>
      </c>
      <c r="J18" s="61"/>
      <c r="K18" s="61"/>
      <c r="L18" s="61"/>
      <c r="M18" s="61" t="s">
        <v>31</v>
      </c>
      <c r="N18" s="61" t="s">
        <v>2164</v>
      </c>
      <c r="O18" s="61"/>
      <c r="P18" s="61"/>
      <c r="Q18" s="61"/>
      <c r="R18" s="61" t="s">
        <v>2379</v>
      </c>
      <c r="S18" s="61" t="s">
        <v>75</v>
      </c>
      <c r="T18" s="61" t="s">
        <v>1840</v>
      </c>
      <c r="U18" s="61" t="s">
        <v>1840</v>
      </c>
      <c r="V18" s="101" t="str">
        <f>VLOOKUP(B18,[2]Overall!$A:$D,4,0)</f>
        <v>TELEINFRA NORD</v>
      </c>
      <c r="W18" s="101" t="str">
        <f>VLOOKUP(B18,[3]Sheet1!$A:$B,2,0)</f>
        <v>Badjonre</v>
      </c>
      <c r="X18" s="88" t="str">
        <f t="shared" si="0"/>
        <v>EXN</v>
      </c>
      <c r="Y18" s="88" t="str">
        <f t="shared" si="1"/>
        <v>48H&lt;T&lt;72H</v>
      </c>
      <c r="Z18" s="101">
        <f t="shared" si="2"/>
        <v>9</v>
      </c>
      <c r="AA18" s="61" t="s">
        <v>1566</v>
      </c>
      <c r="AB18" s="61" t="s">
        <v>1904</v>
      </c>
      <c r="AC18" s="105" t="s">
        <v>2485</v>
      </c>
      <c r="AD18" s="106" t="s">
        <v>1994</v>
      </c>
      <c r="AE18" s="61"/>
    </row>
    <row r="19" spans="1:31" ht="261" hidden="1" x14ac:dyDescent="0.35">
      <c r="A19" s="61" t="s">
        <v>1779</v>
      </c>
      <c r="B19" s="61" t="s">
        <v>1780</v>
      </c>
      <c r="C19" s="65"/>
      <c r="D19" s="61"/>
      <c r="E19" s="61" t="s">
        <v>39</v>
      </c>
      <c r="F19" s="70" t="s">
        <v>53</v>
      </c>
      <c r="G19" s="70" t="s">
        <v>2121</v>
      </c>
      <c r="H19" s="67">
        <v>46175.683506944442</v>
      </c>
      <c r="I19" s="75">
        <v>2.6815979166713078</v>
      </c>
      <c r="J19" s="61"/>
      <c r="K19" s="61"/>
      <c r="L19" s="61"/>
      <c r="M19" s="61" t="s">
        <v>1769</v>
      </c>
      <c r="N19" s="61" t="s">
        <v>2165</v>
      </c>
      <c r="O19" s="61"/>
      <c r="P19" s="61"/>
      <c r="Q19" s="61"/>
      <c r="R19" s="61" t="s">
        <v>2379</v>
      </c>
      <c r="S19" s="61" t="s">
        <v>75</v>
      </c>
      <c r="T19" s="61" t="s">
        <v>1840</v>
      </c>
      <c r="U19" s="61" t="s">
        <v>1840</v>
      </c>
      <c r="V19" s="101" t="str">
        <f>VLOOKUP(B19,[2]Overall!$A:$D,4,0)</f>
        <v>TELEINFRA NORD</v>
      </c>
      <c r="W19" s="101" t="str">
        <f>VLOOKUP(B19,[3]Sheet1!$A:$B,2,0)</f>
        <v>Badjonre</v>
      </c>
      <c r="X19" s="88" t="str">
        <f t="shared" si="0"/>
        <v>EXN</v>
      </c>
      <c r="Y19" s="88" t="str">
        <f t="shared" si="1"/>
        <v>48H&lt;T&lt;72H</v>
      </c>
      <c r="Z19" s="101">
        <f t="shared" si="2"/>
        <v>1</v>
      </c>
      <c r="AA19" s="61" t="s">
        <v>1566</v>
      </c>
      <c r="AB19" s="61" t="s">
        <v>1904</v>
      </c>
      <c r="AC19" s="105" t="s">
        <v>2485</v>
      </c>
      <c r="AD19" s="106" t="s">
        <v>1994</v>
      </c>
      <c r="AE19" s="61"/>
    </row>
    <row r="20" spans="1:31" ht="101.5" hidden="1" x14ac:dyDescent="0.35">
      <c r="A20" s="61" t="s">
        <v>1632</v>
      </c>
      <c r="B20" s="61" t="s">
        <v>1610</v>
      </c>
      <c r="C20" s="65"/>
      <c r="D20" s="61"/>
      <c r="E20" s="61" t="s">
        <v>49</v>
      </c>
      <c r="F20" s="70" t="s">
        <v>53</v>
      </c>
      <c r="G20" s="70" t="s">
        <v>2121</v>
      </c>
      <c r="H20" s="67">
        <v>46175.758483796293</v>
      </c>
      <c r="I20" s="75">
        <v>2.6066210648205015</v>
      </c>
      <c r="J20" s="61"/>
      <c r="K20" s="61"/>
      <c r="L20" s="61"/>
      <c r="M20" s="61" t="s">
        <v>41</v>
      </c>
      <c r="N20" s="61" t="s">
        <v>1633</v>
      </c>
      <c r="O20" s="61"/>
      <c r="P20" s="61"/>
      <c r="Q20" s="61"/>
      <c r="R20" s="61" t="s">
        <v>2386</v>
      </c>
      <c r="S20" s="61" t="s">
        <v>71</v>
      </c>
      <c r="T20" s="61" t="s">
        <v>1902</v>
      </c>
      <c r="U20" s="61" t="s">
        <v>1896</v>
      </c>
      <c r="V20" s="101" t="str">
        <f>VLOOKUP(B20,[2]Overall!$A:$D,4,0)</f>
        <v>TELEINFRA NORD</v>
      </c>
      <c r="W20" s="101" t="str">
        <f>VLOOKUP(B20,[3]Sheet1!$A:$B,2,0)</f>
        <v>Zileng</v>
      </c>
      <c r="X20" s="88" t="str">
        <f t="shared" si="0"/>
        <v>EXN</v>
      </c>
      <c r="Y20" s="88" t="str">
        <f t="shared" si="1"/>
        <v>48H&lt;T&lt;72H</v>
      </c>
      <c r="Z20" s="101">
        <f t="shared" si="2"/>
        <v>1</v>
      </c>
      <c r="AA20" s="61" t="s">
        <v>1566</v>
      </c>
      <c r="AB20" s="61" t="s">
        <v>1904</v>
      </c>
      <c r="AC20" s="105" t="s">
        <v>2485</v>
      </c>
      <c r="AD20" s="106" t="s">
        <v>1994</v>
      </c>
      <c r="AE20" s="61"/>
    </row>
    <row r="21" spans="1:31" ht="87" hidden="1" x14ac:dyDescent="0.35">
      <c r="A21" s="61" t="s">
        <v>1611</v>
      </c>
      <c r="B21" s="61" t="s">
        <v>1610</v>
      </c>
      <c r="C21" s="65"/>
      <c r="D21" s="61"/>
      <c r="E21" s="61" t="s">
        <v>1615</v>
      </c>
      <c r="F21" s="70" t="s">
        <v>53</v>
      </c>
      <c r="G21" s="70" t="s">
        <v>2121</v>
      </c>
      <c r="H21" s="67">
        <v>46175.759166666663</v>
      </c>
      <c r="I21" s="75">
        <v>2.6059381944505731</v>
      </c>
      <c r="J21" s="61"/>
      <c r="K21" s="61"/>
      <c r="L21" s="61"/>
      <c r="M21" s="61" t="s">
        <v>41</v>
      </c>
      <c r="N21" s="61" t="s">
        <v>42</v>
      </c>
      <c r="O21" s="61"/>
      <c r="P21" s="61"/>
      <c r="Q21" s="61"/>
      <c r="R21" s="61" t="s">
        <v>2386</v>
      </c>
      <c r="S21" s="61" t="s">
        <v>71</v>
      </c>
      <c r="T21" s="61" t="s">
        <v>1902</v>
      </c>
      <c r="U21" s="61" t="s">
        <v>1896</v>
      </c>
      <c r="V21" s="101" t="str">
        <f>VLOOKUP(B21,[2]Overall!$A:$D,4,0)</f>
        <v>TELEINFRA NORD</v>
      </c>
      <c r="W21" s="101" t="str">
        <f>VLOOKUP(B21,[3]Sheet1!$A:$B,2,0)</f>
        <v>Zileng</v>
      </c>
      <c r="X21" s="88" t="str">
        <f t="shared" si="0"/>
        <v>EXN</v>
      </c>
      <c r="Y21" s="88" t="str">
        <f t="shared" si="1"/>
        <v>48H&lt;T&lt;72H</v>
      </c>
      <c r="Z21" s="101">
        <f t="shared" si="2"/>
        <v>1</v>
      </c>
      <c r="AA21" s="61" t="s">
        <v>1566</v>
      </c>
      <c r="AB21" s="61" t="s">
        <v>1904</v>
      </c>
      <c r="AC21" s="105" t="s">
        <v>2485</v>
      </c>
      <c r="AD21" s="106" t="s">
        <v>1994</v>
      </c>
      <c r="AE21" s="61"/>
    </row>
    <row r="22" spans="1:31" ht="87" hidden="1" x14ac:dyDescent="0.35">
      <c r="A22" s="61" t="s">
        <v>1611</v>
      </c>
      <c r="B22" s="61" t="s">
        <v>1610</v>
      </c>
      <c r="C22" s="65"/>
      <c r="D22" s="61"/>
      <c r="E22" s="61" t="s">
        <v>1613</v>
      </c>
      <c r="F22" s="70" t="s">
        <v>53</v>
      </c>
      <c r="G22" s="70" t="s">
        <v>2121</v>
      </c>
      <c r="H22" s="67">
        <v>46175.759166666663</v>
      </c>
      <c r="I22" s="75">
        <v>2.6059381944505731</v>
      </c>
      <c r="J22" s="61"/>
      <c r="K22" s="61"/>
      <c r="L22" s="61"/>
      <c r="M22" s="61" t="s">
        <v>41</v>
      </c>
      <c r="N22" s="61" t="s">
        <v>42</v>
      </c>
      <c r="O22" s="61"/>
      <c r="P22" s="61"/>
      <c r="Q22" s="61"/>
      <c r="R22" s="61" t="s">
        <v>2386</v>
      </c>
      <c r="S22" s="61" t="s">
        <v>71</v>
      </c>
      <c r="T22" s="61" t="s">
        <v>1902</v>
      </c>
      <c r="U22" s="61" t="s">
        <v>1896</v>
      </c>
      <c r="V22" s="101" t="str">
        <f>VLOOKUP(B22,[2]Overall!$A:$D,4,0)</f>
        <v>TELEINFRA NORD</v>
      </c>
      <c r="W22" s="101" t="str">
        <f>VLOOKUP(B22,[3]Sheet1!$A:$B,2,0)</f>
        <v>Zileng</v>
      </c>
      <c r="X22" s="88" t="str">
        <f t="shared" si="0"/>
        <v>EXN</v>
      </c>
      <c r="Y22" s="88" t="str">
        <f t="shared" si="1"/>
        <v>48H&lt;T&lt;72H</v>
      </c>
      <c r="Z22" s="101">
        <f t="shared" si="2"/>
        <v>1</v>
      </c>
      <c r="AA22" s="61" t="s">
        <v>1566</v>
      </c>
      <c r="AB22" s="61" t="s">
        <v>1904</v>
      </c>
      <c r="AC22" s="105" t="s">
        <v>2485</v>
      </c>
      <c r="AD22" s="106" t="s">
        <v>1994</v>
      </c>
      <c r="AE22" s="61"/>
    </row>
    <row r="23" spans="1:31" ht="87" hidden="1" x14ac:dyDescent="0.35">
      <c r="A23" s="61" t="s">
        <v>1611</v>
      </c>
      <c r="B23" s="61" t="s">
        <v>1610</v>
      </c>
      <c r="C23" s="65"/>
      <c r="D23" s="61"/>
      <c r="E23" s="61" t="s">
        <v>1617</v>
      </c>
      <c r="F23" s="70" t="s">
        <v>53</v>
      </c>
      <c r="G23" s="70" t="s">
        <v>2121</v>
      </c>
      <c r="H23" s="67">
        <v>46175.759166666663</v>
      </c>
      <c r="I23" s="75">
        <v>2.6059381944505731</v>
      </c>
      <c r="J23" s="61"/>
      <c r="K23" s="61"/>
      <c r="L23" s="61"/>
      <c r="M23" s="61" t="s">
        <v>41</v>
      </c>
      <c r="N23" s="61" t="s">
        <v>42</v>
      </c>
      <c r="O23" s="61"/>
      <c r="P23" s="61"/>
      <c r="Q23" s="61"/>
      <c r="R23" s="61" t="s">
        <v>2386</v>
      </c>
      <c r="S23" s="61" t="s">
        <v>71</v>
      </c>
      <c r="T23" s="61" t="s">
        <v>1902</v>
      </c>
      <c r="U23" s="61" t="s">
        <v>1896</v>
      </c>
      <c r="V23" s="101" t="str">
        <f>VLOOKUP(B23,[2]Overall!$A:$D,4,0)</f>
        <v>TELEINFRA NORD</v>
      </c>
      <c r="W23" s="101" t="str">
        <f>VLOOKUP(B23,[3]Sheet1!$A:$B,2,0)</f>
        <v>Zileng</v>
      </c>
      <c r="X23" s="88" t="str">
        <f t="shared" si="0"/>
        <v>EXN</v>
      </c>
      <c r="Y23" s="88" t="str">
        <f t="shared" si="1"/>
        <v>48H&lt;T&lt;72H</v>
      </c>
      <c r="Z23" s="101">
        <f t="shared" si="2"/>
        <v>1</v>
      </c>
      <c r="AA23" s="61" t="s">
        <v>1566</v>
      </c>
      <c r="AB23" s="61" t="s">
        <v>1904</v>
      </c>
      <c r="AC23" s="105" t="s">
        <v>2485</v>
      </c>
      <c r="AD23" s="106" t="s">
        <v>1994</v>
      </c>
      <c r="AE23" s="61"/>
    </row>
    <row r="24" spans="1:31" ht="116" hidden="1" x14ac:dyDescent="0.35">
      <c r="A24" s="61" t="s">
        <v>1892</v>
      </c>
      <c r="B24" s="61" t="s">
        <v>1893</v>
      </c>
      <c r="C24" s="65"/>
      <c r="D24" s="61"/>
      <c r="E24" s="61" t="s">
        <v>2199</v>
      </c>
      <c r="F24" s="70" t="s">
        <v>53</v>
      </c>
      <c r="G24" s="70" t="s">
        <v>2121</v>
      </c>
      <c r="H24" s="67">
        <v>46175.837418981479</v>
      </c>
      <c r="I24" s="75">
        <v>2.5276858796351007</v>
      </c>
      <c r="J24" s="61"/>
      <c r="K24" s="61"/>
      <c r="L24" s="61"/>
      <c r="M24" s="61" t="s">
        <v>41</v>
      </c>
      <c r="N24" s="61" t="s">
        <v>42</v>
      </c>
      <c r="O24" s="61"/>
      <c r="P24" s="61"/>
      <c r="Q24" s="61"/>
      <c r="R24" s="61" t="s">
        <v>2378</v>
      </c>
      <c r="S24" s="61" t="s">
        <v>75</v>
      </c>
      <c r="T24" s="61" t="s">
        <v>1688</v>
      </c>
      <c r="U24" s="61" t="s">
        <v>1688</v>
      </c>
      <c r="V24" s="101" t="str">
        <f>VLOOKUP(B24,[2]Overall!$A:$D,4,0)</f>
        <v>H-TELI</v>
      </c>
      <c r="W24" s="101" t="str">
        <f>VLOOKUP(B24,[3]Sheet1!$A:$B,2,0)</f>
        <v>Santchou</v>
      </c>
      <c r="X24" s="88" t="str">
        <f t="shared" si="0"/>
        <v>OST</v>
      </c>
      <c r="Y24" s="88" t="str">
        <f t="shared" si="1"/>
        <v>48H&lt;T&lt;72H</v>
      </c>
      <c r="Z24" s="101">
        <f t="shared" si="2"/>
        <v>1</v>
      </c>
      <c r="AA24" s="61" t="s">
        <v>1566</v>
      </c>
      <c r="AB24" s="61" t="s">
        <v>1904</v>
      </c>
      <c r="AC24" s="105" t="s">
        <v>2485</v>
      </c>
      <c r="AD24" s="106" t="s">
        <v>1994</v>
      </c>
      <c r="AE24" s="61"/>
    </row>
    <row r="25" spans="1:31" ht="116" hidden="1" x14ac:dyDescent="0.35">
      <c r="A25" s="61" t="s">
        <v>1892</v>
      </c>
      <c r="B25" s="61" t="s">
        <v>1893</v>
      </c>
      <c r="C25" s="65"/>
      <c r="D25" s="61"/>
      <c r="E25" s="61" t="s">
        <v>2200</v>
      </c>
      <c r="F25" s="70" t="s">
        <v>53</v>
      </c>
      <c r="G25" s="70" t="s">
        <v>2121</v>
      </c>
      <c r="H25" s="67">
        <v>46175.837430555555</v>
      </c>
      <c r="I25" s="75">
        <v>2.5276743055583211</v>
      </c>
      <c r="J25" s="61"/>
      <c r="K25" s="61"/>
      <c r="L25" s="61"/>
      <c r="M25" s="61" t="s">
        <v>41</v>
      </c>
      <c r="N25" s="61" t="s">
        <v>42</v>
      </c>
      <c r="O25" s="61"/>
      <c r="P25" s="61"/>
      <c r="Q25" s="61"/>
      <c r="R25" s="61" t="s">
        <v>2378</v>
      </c>
      <c r="S25" s="61" t="s">
        <v>75</v>
      </c>
      <c r="T25" s="61" t="s">
        <v>1688</v>
      </c>
      <c r="U25" s="61" t="s">
        <v>1688</v>
      </c>
      <c r="V25" s="101" t="str">
        <f>VLOOKUP(B25,[2]Overall!$A:$D,4,0)</f>
        <v>H-TELI</v>
      </c>
      <c r="W25" s="101" t="str">
        <f>VLOOKUP(B25,[3]Sheet1!$A:$B,2,0)</f>
        <v>Santchou</v>
      </c>
      <c r="X25" s="88" t="str">
        <f t="shared" si="0"/>
        <v>OST</v>
      </c>
      <c r="Y25" s="88" t="str">
        <f t="shared" si="1"/>
        <v>48H&lt;T&lt;72H</v>
      </c>
      <c r="Z25" s="101">
        <f t="shared" si="2"/>
        <v>1</v>
      </c>
      <c r="AA25" s="61" t="s">
        <v>1566</v>
      </c>
      <c r="AB25" s="61" t="s">
        <v>1904</v>
      </c>
      <c r="AC25" s="105" t="s">
        <v>2485</v>
      </c>
      <c r="AD25" s="106" t="s">
        <v>1994</v>
      </c>
      <c r="AE25" s="61"/>
    </row>
    <row r="26" spans="1:31" ht="116" hidden="1" x14ac:dyDescent="0.35">
      <c r="A26" s="61" t="s">
        <v>1892</v>
      </c>
      <c r="B26" s="61" t="s">
        <v>1893</v>
      </c>
      <c r="C26" s="65"/>
      <c r="D26" s="61"/>
      <c r="E26" s="61" t="s">
        <v>2201</v>
      </c>
      <c r="F26" s="70" t="s">
        <v>53</v>
      </c>
      <c r="G26" s="70" t="s">
        <v>2121</v>
      </c>
      <c r="H26" s="67">
        <v>46175.837407407409</v>
      </c>
      <c r="I26" s="75">
        <v>2.5276974537046044</v>
      </c>
      <c r="J26" s="61"/>
      <c r="K26" s="61"/>
      <c r="L26" s="61"/>
      <c r="M26" s="61" t="s">
        <v>41</v>
      </c>
      <c r="N26" s="61" t="s">
        <v>42</v>
      </c>
      <c r="O26" s="61"/>
      <c r="P26" s="61"/>
      <c r="Q26" s="61"/>
      <c r="R26" s="61" t="s">
        <v>2378</v>
      </c>
      <c r="S26" s="61" t="s">
        <v>75</v>
      </c>
      <c r="T26" s="61" t="s">
        <v>1688</v>
      </c>
      <c r="U26" s="61" t="s">
        <v>1688</v>
      </c>
      <c r="V26" s="101" t="str">
        <f>VLOOKUP(B26,[2]Overall!$A:$D,4,0)</f>
        <v>H-TELI</v>
      </c>
      <c r="W26" s="101" t="str">
        <f>VLOOKUP(B26,[3]Sheet1!$A:$B,2,0)</f>
        <v>Santchou</v>
      </c>
      <c r="X26" s="88" t="str">
        <f t="shared" si="0"/>
        <v>OST</v>
      </c>
      <c r="Y26" s="88" t="str">
        <f t="shared" si="1"/>
        <v>48H&lt;T&lt;72H</v>
      </c>
      <c r="Z26" s="101">
        <f t="shared" si="2"/>
        <v>1</v>
      </c>
      <c r="AA26" s="61" t="s">
        <v>1566</v>
      </c>
      <c r="AB26" s="61" t="s">
        <v>1904</v>
      </c>
      <c r="AC26" s="105" t="s">
        <v>2485</v>
      </c>
      <c r="AD26" s="106" t="s">
        <v>1994</v>
      </c>
      <c r="AE26" s="61"/>
    </row>
    <row r="27" spans="1:31" ht="116" hidden="1" x14ac:dyDescent="0.35">
      <c r="A27" s="61" t="s">
        <v>1892</v>
      </c>
      <c r="B27" s="61" t="s">
        <v>1893</v>
      </c>
      <c r="C27" s="65"/>
      <c r="D27" s="61"/>
      <c r="E27" s="61" t="s">
        <v>2202</v>
      </c>
      <c r="F27" s="70" t="s">
        <v>53</v>
      </c>
      <c r="G27" s="70" t="s">
        <v>2121</v>
      </c>
      <c r="H27" s="67">
        <v>46175.837430555555</v>
      </c>
      <c r="I27" s="75">
        <v>2.5276743055583211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2378</v>
      </c>
      <c r="S27" s="61" t="s">
        <v>75</v>
      </c>
      <c r="T27" s="61" t="s">
        <v>1688</v>
      </c>
      <c r="U27" s="6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0"/>
        <v>OST</v>
      </c>
      <c r="Y27" s="88" t="str">
        <f t="shared" si="1"/>
        <v>48H&lt;T&lt;72H</v>
      </c>
      <c r="Z27" s="101">
        <f t="shared" si="2"/>
        <v>1</v>
      </c>
      <c r="AA27" s="61" t="s">
        <v>1566</v>
      </c>
      <c r="AB27" s="61" t="s">
        <v>1904</v>
      </c>
      <c r="AC27" s="105" t="s">
        <v>2485</v>
      </c>
      <c r="AD27" s="106" t="s">
        <v>1994</v>
      </c>
      <c r="AE27" s="61"/>
    </row>
    <row r="28" spans="1:31" ht="116" hidden="1" x14ac:dyDescent="0.35">
      <c r="A28" s="61" t="s">
        <v>1892</v>
      </c>
      <c r="B28" s="61" t="s">
        <v>1893</v>
      </c>
      <c r="C28" s="65"/>
      <c r="D28" s="61"/>
      <c r="E28" s="61" t="s">
        <v>2203</v>
      </c>
      <c r="F28" s="70" t="s">
        <v>53</v>
      </c>
      <c r="G28" s="70" t="s">
        <v>2121</v>
      </c>
      <c r="H28" s="67">
        <v>46175.837430555555</v>
      </c>
      <c r="I28" s="75">
        <v>2.5276743055583211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2378</v>
      </c>
      <c r="S28" s="61" t="s">
        <v>75</v>
      </c>
      <c r="T28" s="61" t="s">
        <v>1688</v>
      </c>
      <c r="U28" s="6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0"/>
        <v>OST</v>
      </c>
      <c r="Y28" s="88" t="str">
        <f t="shared" si="1"/>
        <v>48H&lt;T&lt;72H</v>
      </c>
      <c r="Z28" s="101">
        <f t="shared" si="2"/>
        <v>1</v>
      </c>
      <c r="AA28" s="61" t="s">
        <v>1566</v>
      </c>
      <c r="AB28" s="61" t="s">
        <v>1904</v>
      </c>
      <c r="AC28" s="105" t="s">
        <v>2485</v>
      </c>
      <c r="AD28" s="106" t="s">
        <v>1994</v>
      </c>
      <c r="AE28" s="61"/>
    </row>
    <row r="29" spans="1:31" ht="116" hidden="1" x14ac:dyDescent="0.35">
      <c r="A29" s="61" t="s">
        <v>1892</v>
      </c>
      <c r="B29" s="61" t="s">
        <v>1893</v>
      </c>
      <c r="C29" s="65"/>
      <c r="D29" s="61"/>
      <c r="E29" s="61" t="s">
        <v>2204</v>
      </c>
      <c r="F29" s="70" t="s">
        <v>53</v>
      </c>
      <c r="G29" s="70" t="s">
        <v>2121</v>
      </c>
      <c r="H29" s="67">
        <v>46175.837430555555</v>
      </c>
      <c r="I29" s="75">
        <v>2.5276743055583211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2378</v>
      </c>
      <c r="S29" s="61" t="s">
        <v>75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0"/>
        <v>OST</v>
      </c>
      <c r="Y29" s="88" t="str">
        <f t="shared" si="1"/>
        <v>48H&lt;T&lt;72H</v>
      </c>
      <c r="Z29" s="101">
        <f t="shared" si="2"/>
        <v>1</v>
      </c>
      <c r="AA29" s="61" t="s">
        <v>1566</v>
      </c>
      <c r="AB29" s="61" t="s">
        <v>1904</v>
      </c>
      <c r="AC29" s="105" t="s">
        <v>2485</v>
      </c>
      <c r="AD29" s="106" t="s">
        <v>1994</v>
      </c>
      <c r="AE29" s="61"/>
    </row>
    <row r="30" spans="1:31" ht="391.5" hidden="1" x14ac:dyDescent="0.35">
      <c r="A30" s="61" t="s">
        <v>1917</v>
      </c>
      <c r="B30" s="61" t="s">
        <v>1711</v>
      </c>
      <c r="C30" s="65"/>
      <c r="D30" s="61"/>
      <c r="E30" s="61" t="s">
        <v>49</v>
      </c>
      <c r="F30" s="70" t="s">
        <v>53</v>
      </c>
      <c r="G30" s="70" t="s">
        <v>2121</v>
      </c>
      <c r="H30" s="67">
        <v>46176.253738425927</v>
      </c>
      <c r="I30" s="75">
        <v>2.1113664351869375</v>
      </c>
      <c r="J30" s="61"/>
      <c r="K30" s="61"/>
      <c r="L30" s="61"/>
      <c r="M30" s="61" t="s">
        <v>38</v>
      </c>
      <c r="N30" s="61" t="s">
        <v>1918</v>
      </c>
      <c r="O30" s="61"/>
      <c r="P30" s="61"/>
      <c r="Q30" s="61"/>
      <c r="R30" s="61" t="s">
        <v>2383</v>
      </c>
      <c r="S30" s="61" t="s">
        <v>75</v>
      </c>
      <c r="T30" s="61" t="s">
        <v>1688</v>
      </c>
      <c r="U30" s="61" t="e">
        <v>#N/A</v>
      </c>
      <c r="V30" s="101" t="str">
        <f>VLOOKUP(B30,[2]Overall!$A:$D,4,0)</f>
        <v>TELEINFRA NORD</v>
      </c>
      <c r="W30" s="101" t="str">
        <f>VLOOKUP(B30,[3]Sheet1!$A:$B,2,0)</f>
        <v>Martap</v>
      </c>
      <c r="X30" s="88" t="str">
        <f t="shared" si="0"/>
        <v>ADM</v>
      </c>
      <c r="Y30" s="88" t="str">
        <f t="shared" si="1"/>
        <v>48H&lt;T&lt;72H</v>
      </c>
      <c r="Z30" s="101">
        <f t="shared" si="2"/>
        <v>1</v>
      </c>
      <c r="AA30" s="61" t="s">
        <v>1566</v>
      </c>
      <c r="AB30" s="61" t="s">
        <v>1904</v>
      </c>
      <c r="AC30" s="105" t="s">
        <v>2485</v>
      </c>
      <c r="AD30" s="106" t="s">
        <v>1994</v>
      </c>
      <c r="AE30" s="61"/>
    </row>
    <row r="31" spans="1:31" ht="145" hidden="1" x14ac:dyDescent="0.35">
      <c r="A31" s="61" t="s">
        <v>2262</v>
      </c>
      <c r="B31" s="61" t="s">
        <v>2263</v>
      </c>
      <c r="C31" s="65"/>
      <c r="D31" s="61"/>
      <c r="E31" s="61" t="s">
        <v>2264</v>
      </c>
      <c r="F31" s="70" t="s">
        <v>53</v>
      </c>
      <c r="G31" s="70" t="s">
        <v>2121</v>
      </c>
      <c r="H31" s="67">
        <v>46176.41369212963</v>
      </c>
      <c r="I31" s="75">
        <v>1.9514127314832876</v>
      </c>
      <c r="J31" s="61"/>
      <c r="K31" s="61"/>
      <c r="L31" s="61"/>
      <c r="M31" s="61" t="s">
        <v>31</v>
      </c>
      <c r="N31" s="61" t="s">
        <v>2265</v>
      </c>
      <c r="O31" s="61"/>
      <c r="P31" s="61"/>
      <c r="Q31" s="61"/>
      <c r="R31" s="61" t="s">
        <v>2495</v>
      </c>
      <c r="S31" s="61" t="s">
        <v>40</v>
      </c>
      <c r="T31" s="61" t="s">
        <v>1898</v>
      </c>
      <c r="U31" s="61" t="s">
        <v>1898</v>
      </c>
      <c r="V31" s="101" t="str">
        <f>VLOOKUP(B31,[2]Overall!$A:$D,4,0)</f>
        <v>TELEINFRA NORD</v>
      </c>
      <c r="W31" s="101" t="str">
        <f>VLOOKUP(B31,[3]Sheet1!$A:$B,2,0)</f>
        <v>Ndiam-badji</v>
      </c>
      <c r="X31" s="88" t="str">
        <f t="shared" si="0"/>
        <v>NRD</v>
      </c>
      <c r="Y31" s="88" t="str">
        <f t="shared" si="1"/>
        <v>24H&lt;T&lt;48H</v>
      </c>
      <c r="Z31" s="101">
        <f t="shared" si="2"/>
        <v>6</v>
      </c>
      <c r="AA31" s="61" t="s">
        <v>1566</v>
      </c>
      <c r="AB31" s="61" t="s">
        <v>1904</v>
      </c>
      <c r="AC31" s="105" t="s">
        <v>2485</v>
      </c>
      <c r="AD31" s="106" t="s">
        <v>1994</v>
      </c>
      <c r="AE31" s="61"/>
    </row>
    <row r="32" spans="1:31" ht="145" hidden="1" x14ac:dyDescent="0.35">
      <c r="A32" s="61" t="s">
        <v>2262</v>
      </c>
      <c r="B32" s="61" t="s">
        <v>2263</v>
      </c>
      <c r="C32" s="65"/>
      <c r="D32" s="61"/>
      <c r="E32" s="61" t="s">
        <v>2264</v>
      </c>
      <c r="F32" s="70" t="s">
        <v>53</v>
      </c>
      <c r="G32" s="70" t="s">
        <v>2121</v>
      </c>
      <c r="H32" s="67">
        <v>46176.450185185182</v>
      </c>
      <c r="I32" s="75">
        <v>1.9149196759317419</v>
      </c>
      <c r="J32" s="61"/>
      <c r="K32" s="61"/>
      <c r="L32" s="61"/>
      <c r="M32" s="61" t="s">
        <v>1713</v>
      </c>
      <c r="N32" s="61" t="s">
        <v>2266</v>
      </c>
      <c r="O32" s="61"/>
      <c r="P32" s="61"/>
      <c r="Q32" s="61"/>
      <c r="R32" s="61" t="s">
        <v>2495</v>
      </c>
      <c r="S32" s="61" t="s">
        <v>40</v>
      </c>
      <c r="T32" s="61" t="s">
        <v>1898</v>
      </c>
      <c r="U32" s="61" t="s">
        <v>1898</v>
      </c>
      <c r="V32" s="101" t="str">
        <f>VLOOKUP(B32,[2]Overall!$A:$D,4,0)</f>
        <v>TELEINFRA NORD</v>
      </c>
      <c r="W32" s="101" t="str">
        <f>VLOOKUP(B32,[3]Sheet1!$A:$B,2,0)</f>
        <v>Ndiam-badji</v>
      </c>
      <c r="X32" s="88" t="str">
        <f t="shared" ref="X32:X70" si="3">LEFT(B32,3)</f>
        <v>NRD</v>
      </c>
      <c r="Y32" s="88" t="str">
        <f t="shared" ref="Y32:Y70" si="4">IF(I32 &lt; 1/24, "T&lt;1H", IF(AND(I32&lt;2/24, I32&gt;1/24), "1H&lt;T&lt;2H", IF(AND(I32&lt;4/24, I32&gt;2/24), "2H&lt;T&lt;4H", IF(AND(I32&lt;8/24, I32&gt;4/24), "4H&lt;T&lt;8H", IF(AND(I32&lt;16/24, I32&gt;8/24), "8H&lt;T&lt;16H",IF(AND(I32&lt;24/24, I32&gt;16/24),"16H&lt;T&lt;24H", IF(AND(I32&lt;48/24, I32&gt;24/24),"24H&lt;T&lt;48H",IF(AND(I32&lt;72/24, I32&gt;24/24),"48H&lt;T&lt;72H", "T&gt;72H"))))))))</f>
        <v>24H&lt;T&lt;48H</v>
      </c>
      <c r="Z32" s="101">
        <f t="shared" ref="Z32:Z70" si="5">IF(OR(E32="", E32="affected_cells=unknown"), "", LEN(E32)-LEN(SUBSTITUTE(E32, ",", "")) + LEN(E32)-LEN(SUBSTITUTE(E32, ";", "")) + 1)</f>
        <v>6</v>
      </c>
      <c r="AA32" s="61" t="s">
        <v>1566</v>
      </c>
      <c r="AB32" s="61" t="s">
        <v>1904</v>
      </c>
      <c r="AC32" s="105" t="s">
        <v>2485</v>
      </c>
      <c r="AD32" s="106" t="s">
        <v>1994</v>
      </c>
      <c r="AE32" s="61"/>
    </row>
    <row r="33" spans="1:31" ht="101.5" hidden="1" x14ac:dyDescent="0.35">
      <c r="A33" s="61" t="s">
        <v>2273</v>
      </c>
      <c r="B33" s="61" t="s">
        <v>2268</v>
      </c>
      <c r="C33" s="65"/>
      <c r="D33" s="61"/>
      <c r="E33" s="61" t="s">
        <v>47</v>
      </c>
      <c r="F33" s="70" t="s">
        <v>53</v>
      </c>
      <c r="G33" s="70" t="s">
        <v>2121</v>
      </c>
      <c r="H33" s="67">
        <v>46176.45108796296</v>
      </c>
      <c r="I33" s="75">
        <v>1.9140168981539318</v>
      </c>
      <c r="J33" s="61"/>
      <c r="K33" s="61"/>
      <c r="L33" s="61"/>
      <c r="M33" s="61" t="s">
        <v>31</v>
      </c>
      <c r="N33" s="61" t="s">
        <v>2274</v>
      </c>
      <c r="O33" s="61"/>
      <c r="P33" s="61"/>
      <c r="Q33" s="61"/>
      <c r="R33" s="61" t="s">
        <v>2490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Dabanga</v>
      </c>
      <c r="X33" s="88" t="str">
        <f t="shared" si="3"/>
        <v>EXN</v>
      </c>
      <c r="Y33" s="88" t="str">
        <f t="shared" si="4"/>
        <v>24H&lt;T&lt;48H</v>
      </c>
      <c r="Z33" s="101">
        <f t="shared" si="5"/>
        <v>3</v>
      </c>
      <c r="AA33" s="61" t="s">
        <v>1566</v>
      </c>
      <c r="AB33" s="61" t="s">
        <v>1904</v>
      </c>
      <c r="AC33" s="105" t="s">
        <v>2485</v>
      </c>
      <c r="AD33" s="106" t="s">
        <v>1994</v>
      </c>
      <c r="AE33" s="61"/>
    </row>
    <row r="34" spans="1:31" ht="101.5" hidden="1" x14ac:dyDescent="0.35">
      <c r="A34" s="61" t="s">
        <v>2273</v>
      </c>
      <c r="B34" s="61" t="s">
        <v>2268</v>
      </c>
      <c r="C34" s="65"/>
      <c r="D34" s="61"/>
      <c r="E34" s="61" t="s">
        <v>35</v>
      </c>
      <c r="F34" s="70" t="s">
        <v>53</v>
      </c>
      <c r="G34" s="70" t="s">
        <v>2121</v>
      </c>
      <c r="H34" s="67">
        <v>46176.45108796296</v>
      </c>
      <c r="I34" s="75">
        <v>1.9140168981539318</v>
      </c>
      <c r="J34" s="61"/>
      <c r="K34" s="61"/>
      <c r="L34" s="61"/>
      <c r="M34" s="61" t="s">
        <v>31</v>
      </c>
      <c r="N34" s="61" t="s">
        <v>2275</v>
      </c>
      <c r="O34" s="61"/>
      <c r="P34" s="61"/>
      <c r="Q34" s="61"/>
      <c r="R34" s="61" t="s">
        <v>2490</v>
      </c>
      <c r="S34" s="61" t="s">
        <v>40</v>
      </c>
      <c r="T34" s="61" t="s">
        <v>1898</v>
      </c>
      <c r="U34" s="61" t="s">
        <v>1898</v>
      </c>
      <c r="V34" s="101" t="str">
        <f>VLOOKUP(B34,[2]Overall!$A:$D,4,0)</f>
        <v>TELEINFRA NORD</v>
      </c>
      <c r="W34" s="101" t="str">
        <f>VLOOKUP(B34,[3]Sheet1!$A:$B,2,0)</f>
        <v>Dabanga</v>
      </c>
      <c r="X34" s="88" t="str">
        <f t="shared" si="3"/>
        <v>EXN</v>
      </c>
      <c r="Y34" s="88" t="str">
        <f t="shared" si="4"/>
        <v>24H&lt;T&lt;48H</v>
      </c>
      <c r="Z34" s="101">
        <f t="shared" si="5"/>
        <v>3</v>
      </c>
      <c r="AA34" s="61" t="s">
        <v>1566</v>
      </c>
      <c r="AB34" s="61" t="s">
        <v>1904</v>
      </c>
      <c r="AC34" s="105" t="s">
        <v>2485</v>
      </c>
      <c r="AD34" s="106" t="s">
        <v>1994</v>
      </c>
      <c r="AE34" s="61"/>
    </row>
    <row r="35" spans="1:31" ht="87" hidden="1" x14ac:dyDescent="0.35">
      <c r="A35" s="61" t="s">
        <v>1611</v>
      </c>
      <c r="B35" s="61" t="s">
        <v>1610</v>
      </c>
      <c r="C35" s="65"/>
      <c r="D35" s="61"/>
      <c r="E35" s="61" t="s">
        <v>1614</v>
      </c>
      <c r="F35" s="70" t="s">
        <v>53</v>
      </c>
      <c r="G35" s="70" t="s">
        <v>2121</v>
      </c>
      <c r="H35" s="67">
        <v>46176.618125000001</v>
      </c>
      <c r="I35" s="75">
        <v>1.7469798611127771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2386</v>
      </c>
      <c r="S35" s="61" t="s">
        <v>71</v>
      </c>
      <c r="T35" s="61" t="s">
        <v>1902</v>
      </c>
      <c r="U35" s="61" t="s">
        <v>1896</v>
      </c>
      <c r="V35" s="101" t="str">
        <f>VLOOKUP(B35,[2]Overall!$A:$D,4,0)</f>
        <v>TELEINFRA NORD</v>
      </c>
      <c r="W35" s="101" t="str">
        <f>VLOOKUP(B35,[3]Sheet1!$A:$B,2,0)</f>
        <v>Zileng</v>
      </c>
      <c r="X35" s="88" t="str">
        <f t="shared" si="3"/>
        <v>EXN</v>
      </c>
      <c r="Y35" s="88" t="str">
        <f t="shared" si="4"/>
        <v>24H&lt;T&lt;48H</v>
      </c>
      <c r="Z35" s="101">
        <f t="shared" si="5"/>
        <v>1</v>
      </c>
      <c r="AA35" s="61" t="s">
        <v>1566</v>
      </c>
      <c r="AB35" s="61" t="s">
        <v>1904</v>
      </c>
      <c r="AC35" s="105" t="s">
        <v>2485</v>
      </c>
      <c r="AD35" s="106" t="s">
        <v>1994</v>
      </c>
      <c r="AE35" s="61"/>
    </row>
    <row r="36" spans="1:31" ht="87" hidden="1" x14ac:dyDescent="0.35">
      <c r="A36" s="61" t="s">
        <v>1611</v>
      </c>
      <c r="B36" s="61" t="s">
        <v>1610</v>
      </c>
      <c r="C36" s="65"/>
      <c r="D36" s="61"/>
      <c r="E36" s="61" t="s">
        <v>1647</v>
      </c>
      <c r="F36" s="70" t="s">
        <v>53</v>
      </c>
      <c r="G36" s="70" t="s">
        <v>2121</v>
      </c>
      <c r="H36" s="67">
        <v>46176.618113425924</v>
      </c>
      <c r="I36" s="75">
        <v>1.7469914351895568</v>
      </c>
      <c r="J36" s="61"/>
      <c r="K36" s="61"/>
      <c r="L36" s="61"/>
      <c r="M36" s="61" t="s">
        <v>41</v>
      </c>
      <c r="N36" s="61" t="s">
        <v>42</v>
      </c>
      <c r="O36" s="61"/>
      <c r="P36" s="61"/>
      <c r="Q36" s="61"/>
      <c r="R36" s="61" t="s">
        <v>2386</v>
      </c>
      <c r="S36" s="61" t="s">
        <v>71</v>
      </c>
      <c r="T36" s="61" t="s">
        <v>1902</v>
      </c>
      <c r="U36" s="61" t="s">
        <v>1896</v>
      </c>
      <c r="V36" s="101" t="str">
        <f>VLOOKUP(B36,[2]Overall!$A:$D,4,0)</f>
        <v>TELEINFRA NORD</v>
      </c>
      <c r="W36" s="101" t="str">
        <f>VLOOKUP(B36,[3]Sheet1!$A:$B,2,0)</f>
        <v>Zileng</v>
      </c>
      <c r="X36" s="88" t="str">
        <f t="shared" si="3"/>
        <v>EXN</v>
      </c>
      <c r="Y36" s="88" t="str">
        <f t="shared" si="4"/>
        <v>24H&lt;T&lt;48H</v>
      </c>
      <c r="Z36" s="101">
        <f t="shared" si="5"/>
        <v>1</v>
      </c>
      <c r="AA36" s="61" t="s">
        <v>1566</v>
      </c>
      <c r="AB36" s="61" t="s">
        <v>1904</v>
      </c>
      <c r="AC36" s="105" t="s">
        <v>2485</v>
      </c>
      <c r="AD36" s="106" t="s">
        <v>1994</v>
      </c>
      <c r="AE36" s="61"/>
    </row>
    <row r="37" spans="1:31" ht="87" hidden="1" x14ac:dyDescent="0.35">
      <c r="A37" s="61" t="s">
        <v>1611</v>
      </c>
      <c r="B37" s="61" t="s">
        <v>1610</v>
      </c>
      <c r="C37" s="65"/>
      <c r="D37" s="61"/>
      <c r="E37" s="61" t="s">
        <v>1648</v>
      </c>
      <c r="F37" s="70" t="s">
        <v>53</v>
      </c>
      <c r="G37" s="70" t="s">
        <v>2121</v>
      </c>
      <c r="H37" s="67">
        <v>46176.618125000001</v>
      </c>
      <c r="I37" s="75">
        <v>1.7469798611127771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2386</v>
      </c>
      <c r="S37" s="61" t="s">
        <v>71</v>
      </c>
      <c r="T37" s="61" t="s">
        <v>1902</v>
      </c>
      <c r="U37" s="61" t="s">
        <v>1896</v>
      </c>
      <c r="V37" s="101" t="str">
        <f>VLOOKUP(B37,[2]Overall!$A:$D,4,0)</f>
        <v>TELEINFRA NORD</v>
      </c>
      <c r="W37" s="101" t="str">
        <f>VLOOKUP(B37,[3]Sheet1!$A:$B,2,0)</f>
        <v>Zileng</v>
      </c>
      <c r="X37" s="88" t="str">
        <f t="shared" si="3"/>
        <v>EXN</v>
      </c>
      <c r="Y37" s="88" t="str">
        <f t="shared" si="4"/>
        <v>24H&lt;T&lt;48H</v>
      </c>
      <c r="Z37" s="101">
        <f t="shared" si="5"/>
        <v>1</v>
      </c>
      <c r="AA37" s="61" t="s">
        <v>1566</v>
      </c>
      <c r="AB37" s="61" t="s">
        <v>1904</v>
      </c>
      <c r="AC37" s="105" t="s">
        <v>2485</v>
      </c>
      <c r="AD37" s="106" t="s">
        <v>1994</v>
      </c>
      <c r="AE37" s="61"/>
    </row>
    <row r="38" spans="1:31" ht="87" hidden="1" x14ac:dyDescent="0.35">
      <c r="A38" s="61" t="s">
        <v>1611</v>
      </c>
      <c r="B38" s="61" t="s">
        <v>1610</v>
      </c>
      <c r="C38" s="65"/>
      <c r="D38" s="61"/>
      <c r="E38" s="61" t="s">
        <v>1649</v>
      </c>
      <c r="F38" s="70" t="s">
        <v>53</v>
      </c>
      <c r="G38" s="70" t="s">
        <v>2121</v>
      </c>
      <c r="H38" s="67">
        <v>46176.618101851855</v>
      </c>
      <c r="I38" s="75">
        <v>1.7470030092590605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2386</v>
      </c>
      <c r="S38" s="61" t="s">
        <v>71</v>
      </c>
      <c r="T38" s="61" t="s">
        <v>1902</v>
      </c>
      <c r="U38" s="61" t="s">
        <v>1896</v>
      </c>
      <c r="V38" s="101" t="str">
        <f>VLOOKUP(B38,[2]Overall!$A:$D,4,0)</f>
        <v>TELEINFRA NORD</v>
      </c>
      <c r="W38" s="101" t="str">
        <f>VLOOKUP(B38,[3]Sheet1!$A:$B,2,0)</f>
        <v>Zileng</v>
      </c>
      <c r="X38" s="88" t="str">
        <f t="shared" si="3"/>
        <v>EXN</v>
      </c>
      <c r="Y38" s="88" t="str">
        <f t="shared" si="4"/>
        <v>24H&lt;T&lt;48H</v>
      </c>
      <c r="Z38" s="101">
        <f t="shared" si="5"/>
        <v>1</v>
      </c>
      <c r="AA38" s="61" t="s">
        <v>1566</v>
      </c>
      <c r="AB38" s="61" t="s">
        <v>1904</v>
      </c>
      <c r="AC38" s="105" t="s">
        <v>2485</v>
      </c>
      <c r="AD38" s="106" t="s">
        <v>1994</v>
      </c>
      <c r="AE38" s="61"/>
    </row>
    <row r="39" spans="1:31" ht="87" hidden="1" x14ac:dyDescent="0.35">
      <c r="A39" s="61" t="s">
        <v>1611</v>
      </c>
      <c r="B39" s="61" t="s">
        <v>1610</v>
      </c>
      <c r="C39" s="65"/>
      <c r="D39" s="61"/>
      <c r="E39" s="61" t="s">
        <v>1644</v>
      </c>
      <c r="F39" s="70" t="s">
        <v>53</v>
      </c>
      <c r="G39" s="70" t="s">
        <v>2121</v>
      </c>
      <c r="H39" s="67">
        <v>46176.618113425924</v>
      </c>
      <c r="I39" s="75">
        <v>1.7469914351895568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2386</v>
      </c>
      <c r="S39" s="61" t="s">
        <v>71</v>
      </c>
      <c r="T39" s="61" t="s">
        <v>1902</v>
      </c>
      <c r="U39" s="61" t="s">
        <v>1896</v>
      </c>
      <c r="V39" s="101" t="str">
        <f>VLOOKUP(B39,[2]Overall!$A:$D,4,0)</f>
        <v>TELEINFRA NORD</v>
      </c>
      <c r="W39" s="101" t="str">
        <f>VLOOKUP(B39,[3]Sheet1!$A:$B,2,0)</f>
        <v>Zileng</v>
      </c>
      <c r="X39" s="88" t="str">
        <f t="shared" si="3"/>
        <v>EXN</v>
      </c>
      <c r="Y39" s="88" t="str">
        <f t="shared" si="4"/>
        <v>24H&lt;T&lt;48H</v>
      </c>
      <c r="Z39" s="101">
        <f t="shared" si="5"/>
        <v>1</v>
      </c>
      <c r="AA39" s="61" t="s">
        <v>1566</v>
      </c>
      <c r="AB39" s="61" t="s">
        <v>1904</v>
      </c>
      <c r="AC39" s="105" t="s">
        <v>2485</v>
      </c>
      <c r="AD39" s="106" t="s">
        <v>1994</v>
      </c>
      <c r="AE39" s="61"/>
    </row>
    <row r="40" spans="1:31" ht="87" hidden="1" x14ac:dyDescent="0.35">
      <c r="A40" s="61" t="s">
        <v>1611</v>
      </c>
      <c r="B40" s="61" t="s">
        <v>1610</v>
      </c>
      <c r="C40" s="65"/>
      <c r="D40" s="61"/>
      <c r="E40" s="61" t="s">
        <v>1645</v>
      </c>
      <c r="F40" s="70" t="s">
        <v>53</v>
      </c>
      <c r="G40" s="70" t="s">
        <v>2121</v>
      </c>
      <c r="H40" s="67">
        <v>46176.618125000001</v>
      </c>
      <c r="I40" s="75">
        <v>1.7469798611127771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2386</v>
      </c>
      <c r="S40" s="61" t="s">
        <v>71</v>
      </c>
      <c r="T40" s="61" t="s">
        <v>1902</v>
      </c>
      <c r="U40" s="61" t="s">
        <v>1896</v>
      </c>
      <c r="V40" s="101" t="str">
        <f>VLOOKUP(B40,[2]Overall!$A:$D,4,0)</f>
        <v>TELEINFRA NORD</v>
      </c>
      <c r="W40" s="101" t="str">
        <f>VLOOKUP(B40,[3]Sheet1!$A:$B,2,0)</f>
        <v>Zileng</v>
      </c>
      <c r="X40" s="88" t="str">
        <f t="shared" si="3"/>
        <v>EXN</v>
      </c>
      <c r="Y40" s="88" t="str">
        <f t="shared" si="4"/>
        <v>24H&lt;T&lt;48H</v>
      </c>
      <c r="Z40" s="101">
        <f t="shared" si="5"/>
        <v>1</v>
      </c>
      <c r="AA40" s="61" t="s">
        <v>1566</v>
      </c>
      <c r="AB40" s="61" t="s">
        <v>1904</v>
      </c>
      <c r="AC40" s="105" t="s">
        <v>2485</v>
      </c>
      <c r="AD40" s="106" t="s">
        <v>1994</v>
      </c>
      <c r="AE40" s="61"/>
    </row>
    <row r="41" spans="1:31" ht="87" hidden="1" x14ac:dyDescent="0.35">
      <c r="A41" s="61" t="s">
        <v>1611</v>
      </c>
      <c r="B41" s="61" t="s">
        <v>1610</v>
      </c>
      <c r="C41" s="65"/>
      <c r="D41" s="61"/>
      <c r="E41" s="61" t="s">
        <v>1646</v>
      </c>
      <c r="F41" s="70" t="s">
        <v>53</v>
      </c>
      <c r="G41" s="70" t="s">
        <v>2121</v>
      </c>
      <c r="H41" s="67">
        <v>46176.618125000001</v>
      </c>
      <c r="I41" s="75">
        <v>1.7469798611127771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2386</v>
      </c>
      <c r="S41" s="61" t="s">
        <v>71</v>
      </c>
      <c r="T41" s="61" t="s">
        <v>1902</v>
      </c>
      <c r="U41" s="61" t="s">
        <v>1896</v>
      </c>
      <c r="V41" s="101" t="str">
        <f>VLOOKUP(B41,[2]Overall!$A:$D,4,0)</f>
        <v>TELEINFRA NORD</v>
      </c>
      <c r="W41" s="101" t="str">
        <f>VLOOKUP(B41,[3]Sheet1!$A:$B,2,0)</f>
        <v>Zileng</v>
      </c>
      <c r="X41" s="88" t="str">
        <f t="shared" si="3"/>
        <v>EXN</v>
      </c>
      <c r="Y41" s="88" t="str">
        <f t="shared" si="4"/>
        <v>24H&lt;T&lt;48H</v>
      </c>
      <c r="Z41" s="101">
        <f t="shared" si="5"/>
        <v>1</v>
      </c>
      <c r="AA41" s="61" t="s">
        <v>1566</v>
      </c>
      <c r="AB41" s="61" t="s">
        <v>1904</v>
      </c>
      <c r="AC41" s="105" t="s">
        <v>2485</v>
      </c>
      <c r="AD41" s="106" t="s">
        <v>1994</v>
      </c>
      <c r="AE41" s="61"/>
    </row>
    <row r="42" spans="1:31" ht="87" hidden="1" x14ac:dyDescent="0.35">
      <c r="A42" s="61" t="s">
        <v>1611</v>
      </c>
      <c r="B42" s="61" t="s">
        <v>1610</v>
      </c>
      <c r="C42" s="65"/>
      <c r="D42" s="61"/>
      <c r="E42" s="61" t="s">
        <v>1643</v>
      </c>
      <c r="F42" s="70" t="s">
        <v>53</v>
      </c>
      <c r="G42" s="70" t="s">
        <v>2121</v>
      </c>
      <c r="H42" s="67">
        <v>46176.618113425924</v>
      </c>
      <c r="I42" s="75">
        <v>1.7469914351895568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2386</v>
      </c>
      <c r="S42" s="61" t="s">
        <v>71</v>
      </c>
      <c r="T42" s="61" t="s">
        <v>1902</v>
      </c>
      <c r="U42" s="61" t="s">
        <v>1896</v>
      </c>
      <c r="V42" s="101" t="str">
        <f>VLOOKUP(B42,[2]Overall!$A:$D,4,0)</f>
        <v>TELEINFRA NORD</v>
      </c>
      <c r="W42" s="101" t="str">
        <f>VLOOKUP(B42,[3]Sheet1!$A:$B,2,0)</f>
        <v>Zileng</v>
      </c>
      <c r="X42" s="88" t="str">
        <f t="shared" si="3"/>
        <v>EXN</v>
      </c>
      <c r="Y42" s="88" t="str">
        <f t="shared" si="4"/>
        <v>24H&lt;T&lt;48H</v>
      </c>
      <c r="Z42" s="101">
        <f t="shared" si="5"/>
        <v>1</v>
      </c>
      <c r="AA42" s="61" t="s">
        <v>1566</v>
      </c>
      <c r="AB42" s="61" t="s">
        <v>1904</v>
      </c>
      <c r="AC42" s="105" t="s">
        <v>2485</v>
      </c>
      <c r="AD42" s="106" t="s">
        <v>1994</v>
      </c>
      <c r="AE42" s="61"/>
    </row>
    <row r="43" spans="1:31" ht="87" hidden="1" x14ac:dyDescent="0.35">
      <c r="A43" s="61" t="s">
        <v>1611</v>
      </c>
      <c r="B43" s="61" t="s">
        <v>1610</v>
      </c>
      <c r="C43" s="65"/>
      <c r="D43" s="61"/>
      <c r="E43" s="61" t="s">
        <v>1650</v>
      </c>
      <c r="F43" s="70" t="s">
        <v>53</v>
      </c>
      <c r="G43" s="70" t="s">
        <v>2121</v>
      </c>
      <c r="H43" s="67">
        <v>46176.618125000001</v>
      </c>
      <c r="I43" s="75">
        <v>1.7469798611127771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2386</v>
      </c>
      <c r="S43" s="61" t="s">
        <v>71</v>
      </c>
      <c r="T43" s="61" t="s">
        <v>1902</v>
      </c>
      <c r="U43" s="61" t="s">
        <v>1896</v>
      </c>
      <c r="V43" s="101" t="str">
        <f>VLOOKUP(B43,[2]Overall!$A:$D,4,0)</f>
        <v>TELEINFRA NORD</v>
      </c>
      <c r="W43" s="101" t="str">
        <f>VLOOKUP(B43,[3]Sheet1!$A:$B,2,0)</f>
        <v>Zileng</v>
      </c>
      <c r="X43" s="88" t="str">
        <f t="shared" si="3"/>
        <v>EXN</v>
      </c>
      <c r="Y43" s="88" t="str">
        <f t="shared" si="4"/>
        <v>24H&lt;T&lt;48H</v>
      </c>
      <c r="Z43" s="101">
        <f t="shared" si="5"/>
        <v>1</v>
      </c>
      <c r="AA43" s="61" t="s">
        <v>1566</v>
      </c>
      <c r="AB43" s="61" t="s">
        <v>1904</v>
      </c>
      <c r="AC43" s="105" t="s">
        <v>2485</v>
      </c>
      <c r="AD43" s="106" t="s">
        <v>1994</v>
      </c>
      <c r="AE43" s="61"/>
    </row>
    <row r="44" spans="1:31" ht="87" hidden="1" x14ac:dyDescent="0.35">
      <c r="A44" s="61" t="s">
        <v>1611</v>
      </c>
      <c r="B44" s="61" t="s">
        <v>1610</v>
      </c>
      <c r="C44" s="65"/>
      <c r="D44" s="61"/>
      <c r="E44" s="61" t="s">
        <v>1612</v>
      </c>
      <c r="F44" s="70" t="s">
        <v>53</v>
      </c>
      <c r="G44" s="70" t="s">
        <v>2121</v>
      </c>
      <c r="H44" s="67">
        <v>46176.618125000001</v>
      </c>
      <c r="I44" s="75">
        <v>1.7469798611127771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2386</v>
      </c>
      <c r="S44" s="61" t="s">
        <v>71</v>
      </c>
      <c r="T44" s="61" t="s">
        <v>1902</v>
      </c>
      <c r="U44" s="61" t="s">
        <v>1896</v>
      </c>
      <c r="V44" s="101" t="str">
        <f>VLOOKUP(B44,[2]Overall!$A:$D,4,0)</f>
        <v>TELEINFRA NORD</v>
      </c>
      <c r="W44" s="101" t="str">
        <f>VLOOKUP(B44,[3]Sheet1!$A:$B,2,0)</f>
        <v>Zileng</v>
      </c>
      <c r="X44" s="88" t="str">
        <f t="shared" si="3"/>
        <v>EXN</v>
      </c>
      <c r="Y44" s="88" t="str">
        <f t="shared" si="4"/>
        <v>24H&lt;T&lt;48H</v>
      </c>
      <c r="Z44" s="101">
        <f t="shared" si="5"/>
        <v>1</v>
      </c>
      <c r="AA44" s="61" t="s">
        <v>1566</v>
      </c>
      <c r="AB44" s="61" t="s">
        <v>1904</v>
      </c>
      <c r="AC44" s="105" t="s">
        <v>2485</v>
      </c>
      <c r="AD44" s="106" t="s">
        <v>1994</v>
      </c>
      <c r="AE44" s="61"/>
    </row>
    <row r="45" spans="1:31" ht="87" hidden="1" x14ac:dyDescent="0.35">
      <c r="A45" s="61" t="s">
        <v>1611</v>
      </c>
      <c r="B45" s="61" t="s">
        <v>1610</v>
      </c>
      <c r="C45" s="65"/>
      <c r="D45" s="61"/>
      <c r="E45" s="61" t="s">
        <v>1642</v>
      </c>
      <c r="F45" s="70" t="s">
        <v>53</v>
      </c>
      <c r="G45" s="70" t="s">
        <v>2121</v>
      </c>
      <c r="H45" s="67">
        <v>46176.618125000001</v>
      </c>
      <c r="I45" s="75">
        <v>1.7469798611127771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2386</v>
      </c>
      <c r="S45" s="61" t="s">
        <v>71</v>
      </c>
      <c r="T45" s="61" t="s">
        <v>1902</v>
      </c>
      <c r="U45" s="61" t="s">
        <v>1896</v>
      </c>
      <c r="V45" s="101" t="str">
        <f>VLOOKUP(B45,[2]Overall!$A:$D,4,0)</f>
        <v>TELEINFRA NORD</v>
      </c>
      <c r="W45" s="101" t="str">
        <f>VLOOKUP(B45,[3]Sheet1!$A:$B,2,0)</f>
        <v>Zileng</v>
      </c>
      <c r="X45" s="88" t="str">
        <f t="shared" si="3"/>
        <v>EXN</v>
      </c>
      <c r="Y45" s="88" t="str">
        <f t="shared" si="4"/>
        <v>24H&lt;T&lt;48H</v>
      </c>
      <c r="Z45" s="101">
        <f t="shared" si="5"/>
        <v>1</v>
      </c>
      <c r="AA45" s="61" t="s">
        <v>1566</v>
      </c>
      <c r="AB45" s="61" t="s">
        <v>1904</v>
      </c>
      <c r="AC45" s="105" t="s">
        <v>2485</v>
      </c>
      <c r="AD45" s="106" t="s">
        <v>1994</v>
      </c>
      <c r="AE45" s="61"/>
    </row>
    <row r="46" spans="1:31" ht="87" hidden="1" x14ac:dyDescent="0.35">
      <c r="A46" s="61" t="s">
        <v>1611</v>
      </c>
      <c r="B46" s="61" t="s">
        <v>1610</v>
      </c>
      <c r="C46" s="65"/>
      <c r="D46" s="61"/>
      <c r="E46" s="61" t="s">
        <v>1616</v>
      </c>
      <c r="F46" s="70" t="s">
        <v>53</v>
      </c>
      <c r="G46" s="70" t="s">
        <v>2121</v>
      </c>
      <c r="H46" s="67">
        <v>46176.618125000001</v>
      </c>
      <c r="I46" s="75">
        <v>1.7469798611127771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2386</v>
      </c>
      <c r="S46" s="61" t="s">
        <v>71</v>
      </c>
      <c r="T46" s="61" t="s">
        <v>1902</v>
      </c>
      <c r="U46" s="61" t="s">
        <v>1896</v>
      </c>
      <c r="V46" s="101" t="str">
        <f>VLOOKUP(B46,[2]Overall!$A:$D,4,0)</f>
        <v>TELEINFRA NORD</v>
      </c>
      <c r="W46" s="101" t="str">
        <f>VLOOKUP(B46,[3]Sheet1!$A:$B,2,0)</f>
        <v>Zileng</v>
      </c>
      <c r="X46" s="88" t="str">
        <f t="shared" si="3"/>
        <v>EXN</v>
      </c>
      <c r="Y46" s="88" t="str">
        <f t="shared" si="4"/>
        <v>24H&lt;T&lt;48H</v>
      </c>
      <c r="Z46" s="101">
        <f t="shared" si="5"/>
        <v>1</v>
      </c>
      <c r="AA46" s="61" t="s">
        <v>1566</v>
      </c>
      <c r="AB46" s="61" t="s">
        <v>1904</v>
      </c>
      <c r="AC46" s="105" t="s">
        <v>2485</v>
      </c>
      <c r="AD46" s="106" t="s">
        <v>1994</v>
      </c>
      <c r="AE46" s="61"/>
    </row>
    <row r="47" spans="1:31" ht="159.5" hidden="1" x14ac:dyDescent="0.35">
      <c r="A47" s="61" t="s">
        <v>1877</v>
      </c>
      <c r="B47" s="61" t="s">
        <v>1878</v>
      </c>
      <c r="C47" s="65"/>
      <c r="D47" s="61"/>
      <c r="E47" s="61" t="s">
        <v>49</v>
      </c>
      <c r="F47" s="70" t="s">
        <v>53</v>
      </c>
      <c r="G47" s="70" t="s">
        <v>2121</v>
      </c>
      <c r="H47" s="67">
        <v>46176.68891203704</v>
      </c>
      <c r="I47" s="75">
        <v>1.6761928240739508</v>
      </c>
      <c r="J47" s="61"/>
      <c r="K47" s="61"/>
      <c r="L47" s="61"/>
      <c r="M47" s="61" t="s">
        <v>38</v>
      </c>
      <c r="N47" s="61" t="s">
        <v>1943</v>
      </c>
      <c r="O47" s="61"/>
      <c r="P47" s="61"/>
      <c r="Q47" s="61"/>
      <c r="R47" s="84" t="s">
        <v>2498</v>
      </c>
      <c r="S47" s="61" t="s">
        <v>85</v>
      </c>
      <c r="T47" s="61" t="s">
        <v>1688</v>
      </c>
      <c r="U47" s="61" t="s">
        <v>1688</v>
      </c>
      <c r="V47" s="101" t="str">
        <f>VLOOKUP(B47,[2]Overall!$A:$D,4,0)</f>
        <v>H-TELI</v>
      </c>
      <c r="W47" s="101" t="str">
        <f>VLOOKUP(B47,[3]Sheet1!$A:$B,2,0)</f>
        <v>Massock-Songloulou</v>
      </c>
      <c r="X47" s="88" t="str">
        <f t="shared" si="3"/>
        <v>LIT</v>
      </c>
      <c r="Y47" s="88" t="str">
        <f t="shared" si="4"/>
        <v>24H&lt;T&lt;48H</v>
      </c>
      <c r="Z47" s="101">
        <f t="shared" si="5"/>
        <v>1</v>
      </c>
      <c r="AA47" s="61" t="s">
        <v>1566</v>
      </c>
      <c r="AB47" s="61" t="s">
        <v>1904</v>
      </c>
      <c r="AC47" s="105" t="s">
        <v>2485</v>
      </c>
      <c r="AD47" s="106" t="s">
        <v>1994</v>
      </c>
      <c r="AE47" s="61"/>
    </row>
    <row r="48" spans="1:31" ht="116" hidden="1" x14ac:dyDescent="0.35">
      <c r="A48" s="61" t="s">
        <v>1939</v>
      </c>
      <c r="B48" s="61" t="s">
        <v>1940</v>
      </c>
      <c r="C48" s="65"/>
      <c r="D48" s="61"/>
      <c r="E48" s="61" t="s">
        <v>37</v>
      </c>
      <c r="F48" s="70" t="s">
        <v>53</v>
      </c>
      <c r="G48" s="70" t="s">
        <v>2121</v>
      </c>
      <c r="H48" s="67">
        <v>46176.852071759262</v>
      </c>
      <c r="I48" s="75">
        <v>1.5130331018517609</v>
      </c>
      <c r="J48" s="61"/>
      <c r="K48" s="61"/>
      <c r="L48" s="61"/>
      <c r="M48" s="61" t="s">
        <v>38</v>
      </c>
      <c r="N48" s="61" t="s">
        <v>1942</v>
      </c>
      <c r="O48" s="61"/>
      <c r="P48" s="61"/>
      <c r="Q48" s="61"/>
      <c r="R48" s="84" t="s">
        <v>2488</v>
      </c>
      <c r="S48" s="61" t="s">
        <v>32</v>
      </c>
      <c r="T48" s="61" t="s">
        <v>1898</v>
      </c>
      <c r="U48" s="61" t="s">
        <v>1898</v>
      </c>
      <c r="V48" s="101" t="str">
        <f>VLOOKUP(B48,[2]Overall!$A:$D,4,0)</f>
        <v xml:space="preserve">I-ENG </v>
      </c>
      <c r="W48" s="101" t="str">
        <f>VLOOKUP(B48,[3]Sheet1!$A:$B,2,0)</f>
        <v>Widikum</v>
      </c>
      <c r="X48" s="88" t="str">
        <f t="shared" si="3"/>
        <v>NRO</v>
      </c>
      <c r="Y48" s="88" t="str">
        <f t="shared" si="4"/>
        <v>24H&lt;T&lt;48H</v>
      </c>
      <c r="Z48" s="101">
        <f t="shared" si="5"/>
        <v>1</v>
      </c>
      <c r="AA48" s="61" t="s">
        <v>1566</v>
      </c>
      <c r="AB48" s="61" t="s">
        <v>1904</v>
      </c>
      <c r="AC48" s="105" t="s">
        <v>2485</v>
      </c>
      <c r="AD48" s="106" t="s">
        <v>1994</v>
      </c>
      <c r="AE48" s="61"/>
    </row>
    <row r="49" spans="1:31" ht="203" hidden="1" x14ac:dyDescent="0.35">
      <c r="A49" s="61" t="s">
        <v>1581</v>
      </c>
      <c r="B49" s="61" t="s">
        <v>1582</v>
      </c>
      <c r="C49" s="65"/>
      <c r="D49" s="61"/>
      <c r="E49" s="61" t="s">
        <v>1937</v>
      </c>
      <c r="F49" s="70" t="s">
        <v>53</v>
      </c>
      <c r="G49" s="70" t="s">
        <v>2121</v>
      </c>
      <c r="H49" s="67">
        <v>46177.249444444446</v>
      </c>
      <c r="I49" s="75">
        <v>1.1156604166681063</v>
      </c>
      <c r="J49" s="61"/>
      <c r="K49" s="61"/>
      <c r="L49" s="61"/>
      <c r="M49" s="61" t="s">
        <v>41</v>
      </c>
      <c r="N49" s="61" t="s">
        <v>1938</v>
      </c>
      <c r="O49" s="61"/>
      <c r="P49" s="61"/>
      <c r="Q49" s="61"/>
      <c r="R49" s="84" t="s">
        <v>2501</v>
      </c>
      <c r="S49" s="61" t="s">
        <v>32</v>
      </c>
      <c r="T49" s="61" t="s">
        <v>1840</v>
      </c>
      <c r="U49" s="61" t="s">
        <v>1840</v>
      </c>
      <c r="V49" s="101" t="str">
        <f>VLOOKUP(B49,[2]Overall!$A:$D,4,0)</f>
        <v xml:space="preserve">I-ENG </v>
      </c>
      <c r="W49" s="101" t="str">
        <f>VLOOKUP(B49,[3]Sheet1!$A:$B,2,0)</f>
        <v>Batibo</v>
      </c>
      <c r="X49" s="88" t="str">
        <f t="shared" si="3"/>
        <v>NRO</v>
      </c>
      <c r="Y49" s="88" t="str">
        <f t="shared" si="4"/>
        <v>24H&lt;T&lt;48H</v>
      </c>
      <c r="Z49" s="101">
        <f t="shared" si="5"/>
        <v>1</v>
      </c>
      <c r="AA49" s="61" t="s">
        <v>1566</v>
      </c>
      <c r="AB49" s="61" t="s">
        <v>1904</v>
      </c>
      <c r="AC49" s="105" t="s">
        <v>2485</v>
      </c>
      <c r="AD49" s="106" t="s">
        <v>1994</v>
      </c>
      <c r="AE49" s="61"/>
    </row>
    <row r="50" spans="1:31" ht="87" hidden="1" x14ac:dyDescent="0.35">
      <c r="A50" s="61" t="s">
        <v>1705</v>
      </c>
      <c r="B50" s="61" t="s">
        <v>1706</v>
      </c>
      <c r="C50" s="65"/>
      <c r="D50" s="61"/>
      <c r="E50" s="61" t="s">
        <v>48</v>
      </c>
      <c r="F50" s="70" t="s">
        <v>53</v>
      </c>
      <c r="G50" s="70" t="s">
        <v>2121</v>
      </c>
      <c r="H50" s="67">
        <v>46177.386990740742</v>
      </c>
      <c r="I50" s="75">
        <v>0.97811412037117407</v>
      </c>
      <c r="J50" s="61"/>
      <c r="K50" s="61"/>
      <c r="L50" s="61"/>
      <c r="M50" s="61" t="s">
        <v>1707</v>
      </c>
      <c r="N50" s="61" t="s">
        <v>1708</v>
      </c>
      <c r="O50" s="61"/>
      <c r="P50" s="61"/>
      <c r="Q50" s="61"/>
      <c r="R50" s="61" t="s">
        <v>2414</v>
      </c>
      <c r="S50" s="61" t="s">
        <v>71</v>
      </c>
      <c r="T50" s="61" t="s">
        <v>1902</v>
      </c>
      <c r="U50" s="61" t="s">
        <v>1896</v>
      </c>
      <c r="V50" s="101" t="str">
        <f>VLOOKUP(B50,[2]Overall!$A:$D,4,0)</f>
        <v xml:space="preserve">I-ENG </v>
      </c>
      <c r="W50" s="101" t="str">
        <f>VLOOKUP(B50,[3]Sheet1!$A:$B,2,0)</f>
        <v>Laising</v>
      </c>
      <c r="X50" s="88" t="str">
        <f t="shared" si="3"/>
        <v>NRO</v>
      </c>
      <c r="Y50" s="88" t="str">
        <f t="shared" si="4"/>
        <v>16H&lt;T&lt;24H</v>
      </c>
      <c r="Z50" s="101">
        <f t="shared" si="5"/>
        <v>1</v>
      </c>
      <c r="AA50" s="61" t="s">
        <v>1566</v>
      </c>
      <c r="AB50" s="61" t="s">
        <v>1904</v>
      </c>
      <c r="AC50" s="105" t="s">
        <v>2485</v>
      </c>
      <c r="AD50" s="106" t="s">
        <v>1994</v>
      </c>
      <c r="AE50" s="61"/>
    </row>
    <row r="51" spans="1:31" ht="101.5" hidden="1" x14ac:dyDescent="0.35">
      <c r="A51" s="61" t="s">
        <v>2267</v>
      </c>
      <c r="B51" s="61" t="s">
        <v>2268</v>
      </c>
      <c r="C51" s="65"/>
      <c r="D51" s="61"/>
      <c r="E51" s="61" t="s">
        <v>39</v>
      </c>
      <c r="F51" s="70" t="s">
        <v>53</v>
      </c>
      <c r="G51" s="70" t="s">
        <v>2121</v>
      </c>
      <c r="H51" s="67">
        <v>46177.408888888887</v>
      </c>
      <c r="I51" s="75">
        <v>0.95621597222634591</v>
      </c>
      <c r="J51" s="61"/>
      <c r="K51" s="61"/>
      <c r="L51" s="61"/>
      <c r="M51" s="61" t="s">
        <v>2391</v>
      </c>
      <c r="N51" s="61" t="s">
        <v>2392</v>
      </c>
      <c r="O51" s="61"/>
      <c r="P51" s="61"/>
      <c r="Q51" s="61"/>
      <c r="R51" s="61" t="s">
        <v>2490</v>
      </c>
      <c r="S51" s="61" t="s">
        <v>40</v>
      </c>
      <c r="T51" s="61" t="s">
        <v>1898</v>
      </c>
      <c r="U51" s="61" t="s">
        <v>1898</v>
      </c>
      <c r="V51" s="101" t="str">
        <f>VLOOKUP(B51,[2]Overall!$A:$D,4,0)</f>
        <v>TELEINFRA NORD</v>
      </c>
      <c r="W51" s="101" t="str">
        <f>VLOOKUP(B51,[3]Sheet1!$A:$B,2,0)</f>
        <v>Dabanga</v>
      </c>
      <c r="X51" s="88" t="str">
        <f t="shared" si="3"/>
        <v>EXN</v>
      </c>
      <c r="Y51" s="88" t="str">
        <f t="shared" si="4"/>
        <v>16H&lt;T&lt;24H</v>
      </c>
      <c r="Z51" s="101">
        <f t="shared" si="5"/>
        <v>1</v>
      </c>
      <c r="AA51" s="61" t="s">
        <v>1566</v>
      </c>
      <c r="AB51" s="61" t="s">
        <v>1904</v>
      </c>
      <c r="AC51" s="105" t="s">
        <v>2485</v>
      </c>
      <c r="AD51" s="106" t="s">
        <v>1994</v>
      </c>
      <c r="AE51" s="61"/>
    </row>
    <row r="52" spans="1:31" ht="101.5" hidden="1" x14ac:dyDescent="0.35">
      <c r="A52" s="61" t="s">
        <v>2267</v>
      </c>
      <c r="B52" s="61" t="s">
        <v>2268</v>
      </c>
      <c r="C52" s="65"/>
      <c r="D52" s="61"/>
      <c r="E52" s="61" t="s">
        <v>34</v>
      </c>
      <c r="F52" s="70" t="s">
        <v>53</v>
      </c>
      <c r="G52" s="70" t="s">
        <v>2121</v>
      </c>
      <c r="H52" s="67">
        <v>46177.417199074072</v>
      </c>
      <c r="I52" s="75">
        <v>0.94790578704123618</v>
      </c>
      <c r="J52" s="61"/>
      <c r="K52" s="61"/>
      <c r="L52" s="61"/>
      <c r="M52" s="61" t="s">
        <v>31</v>
      </c>
      <c r="N52" s="61" t="s">
        <v>2272</v>
      </c>
      <c r="O52" s="61"/>
      <c r="P52" s="61"/>
      <c r="Q52" s="61"/>
      <c r="R52" s="61" t="s">
        <v>2490</v>
      </c>
      <c r="S52" s="61" t="s">
        <v>40</v>
      </c>
      <c r="T52" s="61" t="s">
        <v>1898</v>
      </c>
      <c r="U52" s="61" t="s">
        <v>1898</v>
      </c>
      <c r="V52" s="101" t="str">
        <f>VLOOKUP(B52,[2]Overall!$A:$D,4,0)</f>
        <v>TELEINFRA NORD</v>
      </c>
      <c r="W52" s="101" t="str">
        <f>VLOOKUP(B52,[3]Sheet1!$A:$B,2,0)</f>
        <v>Dabanga</v>
      </c>
      <c r="X52" s="88" t="str">
        <f t="shared" si="3"/>
        <v>EXN</v>
      </c>
      <c r="Y52" s="88" t="str">
        <f t="shared" si="4"/>
        <v>16H&lt;T&lt;24H</v>
      </c>
      <c r="Z52" s="101">
        <f t="shared" si="5"/>
        <v>1</v>
      </c>
      <c r="AA52" s="61" t="s">
        <v>1566</v>
      </c>
      <c r="AB52" s="61" t="s">
        <v>1904</v>
      </c>
      <c r="AC52" s="105" t="s">
        <v>2485</v>
      </c>
      <c r="AD52" s="106" t="s">
        <v>1994</v>
      </c>
      <c r="AE52" s="61"/>
    </row>
    <row r="53" spans="1:31" ht="159.5" hidden="1" x14ac:dyDescent="0.35">
      <c r="A53" s="61" t="s">
        <v>2257</v>
      </c>
      <c r="B53" s="61" t="s">
        <v>1796</v>
      </c>
      <c r="C53" s="65"/>
      <c r="D53" s="61"/>
      <c r="E53" s="61" t="s">
        <v>35</v>
      </c>
      <c r="F53" s="70" t="s">
        <v>53</v>
      </c>
      <c r="G53" s="70" t="s">
        <v>2121</v>
      </c>
      <c r="H53" s="67">
        <v>46177.521458333336</v>
      </c>
      <c r="I53" s="75">
        <v>0.84364652777730953</v>
      </c>
      <c r="J53" s="61"/>
      <c r="K53" s="61"/>
      <c r="L53" s="61"/>
      <c r="M53" s="61" t="s">
        <v>31</v>
      </c>
      <c r="N53" s="61" t="s">
        <v>2400</v>
      </c>
      <c r="O53" s="61"/>
      <c r="P53" s="61"/>
      <c r="Q53" s="61"/>
      <c r="R53" s="61" t="s">
        <v>2489</v>
      </c>
      <c r="S53" s="61" t="s">
        <v>40</v>
      </c>
      <c r="T53" s="61" t="s">
        <v>1899</v>
      </c>
      <c r="U53" s="61" t="s">
        <v>1899</v>
      </c>
      <c r="V53" s="101" t="str">
        <f>VLOOKUP(B53,[2]Overall!$A:$D,4,0)</f>
        <v>TELEINFRA NORD</v>
      </c>
      <c r="W53" s="101" t="str">
        <f>VLOOKUP(B53,[3]Sheet1!$A:$B,2,0)</f>
        <v>Bagarao</v>
      </c>
      <c r="X53" s="88" t="str">
        <f t="shared" si="3"/>
        <v>EXN</v>
      </c>
      <c r="Y53" s="88" t="str">
        <f t="shared" si="4"/>
        <v>16H&lt;T&lt;24H</v>
      </c>
      <c r="Z53" s="101">
        <f t="shared" si="5"/>
        <v>3</v>
      </c>
      <c r="AA53" s="61" t="s">
        <v>1566</v>
      </c>
      <c r="AB53" s="61" t="s">
        <v>1904</v>
      </c>
      <c r="AC53" s="105" t="s">
        <v>2485</v>
      </c>
      <c r="AD53" s="106" t="s">
        <v>1994</v>
      </c>
      <c r="AE53" s="61"/>
    </row>
    <row r="54" spans="1:31" ht="87" hidden="1" x14ac:dyDescent="0.35">
      <c r="A54" s="61" t="s">
        <v>2436</v>
      </c>
      <c r="B54" s="61" t="s">
        <v>2437</v>
      </c>
      <c r="C54" s="65"/>
      <c r="D54" s="61"/>
      <c r="E54" s="61" t="s">
        <v>34</v>
      </c>
      <c r="F54" s="70" t="s">
        <v>53</v>
      </c>
      <c r="G54" s="70" t="s">
        <v>2121</v>
      </c>
      <c r="H54" s="67">
        <v>46177.556296296294</v>
      </c>
      <c r="I54" s="75">
        <v>0.80880856481962837</v>
      </c>
      <c r="J54" s="61"/>
      <c r="K54" s="61"/>
      <c r="L54" s="61"/>
      <c r="M54" s="61" t="s">
        <v>31</v>
      </c>
      <c r="N54" s="61" t="s">
        <v>2438</v>
      </c>
      <c r="O54" s="61"/>
      <c r="P54" s="61"/>
      <c r="Q54" s="61"/>
      <c r="R54" s="61" t="s">
        <v>2505</v>
      </c>
      <c r="S54" s="61" t="s">
        <v>45</v>
      </c>
      <c r="T54" s="61" t="s">
        <v>1898</v>
      </c>
      <c r="U54" s="61" t="s">
        <v>1898</v>
      </c>
      <c r="V54" s="101" t="str">
        <f>VLOOKUP(B54,[2]Overall!$A:$D,4,0)</f>
        <v>TELEINFRA CENTRE</v>
      </c>
      <c r="W54" s="101" t="str">
        <f>VLOOKUP(B54,[3]Sheet1!$A:$B,2,0)</f>
        <v>Ngola</v>
      </c>
      <c r="X54" s="88" t="str">
        <f t="shared" si="3"/>
        <v>EST</v>
      </c>
      <c r="Y54" s="88" t="str">
        <f t="shared" si="4"/>
        <v>16H&lt;T&lt;24H</v>
      </c>
      <c r="Z54" s="101">
        <f t="shared" si="5"/>
        <v>1</v>
      </c>
      <c r="AA54" s="61" t="s">
        <v>1566</v>
      </c>
      <c r="AB54" s="61" t="s">
        <v>1904</v>
      </c>
      <c r="AC54" s="105" t="s">
        <v>2485</v>
      </c>
      <c r="AD54" s="106" t="s">
        <v>1994</v>
      </c>
      <c r="AE54" s="61"/>
    </row>
    <row r="55" spans="1:31" ht="72.5" hidden="1" x14ac:dyDescent="0.35">
      <c r="A55" s="61" t="s">
        <v>2316</v>
      </c>
      <c r="B55" s="61" t="s">
        <v>2317</v>
      </c>
      <c r="C55" s="65"/>
      <c r="D55" s="61"/>
      <c r="E55" s="61" t="s">
        <v>2439</v>
      </c>
      <c r="F55" s="70" t="s">
        <v>53</v>
      </c>
      <c r="G55" s="70" t="s">
        <v>2121</v>
      </c>
      <c r="H55" s="67">
        <v>46177.589004629626</v>
      </c>
      <c r="I55" s="75">
        <v>0.77610023148736218</v>
      </c>
      <c r="J55" s="61"/>
      <c r="K55" s="61"/>
      <c r="L55" s="61"/>
      <c r="M55" s="61" t="s">
        <v>38</v>
      </c>
      <c r="N55" s="61" t="s">
        <v>2319</v>
      </c>
      <c r="O55" s="61"/>
      <c r="P55" s="61"/>
      <c r="Q55" s="61"/>
      <c r="R55" s="61" t="s">
        <v>2499</v>
      </c>
      <c r="S55" s="61" t="s">
        <v>85</v>
      </c>
      <c r="T55" s="61" t="s">
        <v>1898</v>
      </c>
      <c r="U55" s="61" t="s">
        <v>1898</v>
      </c>
      <c r="V55" s="101" t="str">
        <f>VLOOKUP(B55,[2]Overall!$A:$D,4,0)</f>
        <v>H-TELI</v>
      </c>
      <c r="W55" s="101" t="str">
        <f>VLOOKUP(B55,[3]Sheet1!$A:$B,2,0)</f>
        <v>Logbong</v>
      </c>
      <c r="X55" s="88" t="str">
        <f t="shared" si="3"/>
        <v>LIT</v>
      </c>
      <c r="Y55" s="88" t="str">
        <f t="shared" si="4"/>
        <v>16H&lt;T&lt;24H</v>
      </c>
      <c r="Z55" s="101">
        <f t="shared" si="5"/>
        <v>6</v>
      </c>
      <c r="AA55" s="61" t="s">
        <v>1566</v>
      </c>
      <c r="AB55" s="61" t="s">
        <v>1904</v>
      </c>
      <c r="AC55" s="105" t="s">
        <v>2485</v>
      </c>
      <c r="AD55" s="106" t="s">
        <v>1994</v>
      </c>
      <c r="AE55" s="61"/>
    </row>
    <row r="56" spans="1:31" ht="72.5" hidden="1" x14ac:dyDescent="0.35">
      <c r="A56" s="61" t="s">
        <v>2320</v>
      </c>
      <c r="B56" s="61" t="s">
        <v>2317</v>
      </c>
      <c r="C56" s="65"/>
      <c r="D56" s="61"/>
      <c r="E56" s="61" t="s">
        <v>1787</v>
      </c>
      <c r="F56" s="70" t="s">
        <v>53</v>
      </c>
      <c r="G56" s="70" t="s">
        <v>2121</v>
      </c>
      <c r="H56" s="67">
        <v>46177.589270833334</v>
      </c>
      <c r="I56" s="75">
        <v>0.77583402777963784</v>
      </c>
      <c r="J56" s="61"/>
      <c r="K56" s="61"/>
      <c r="L56" s="61"/>
      <c r="M56" s="61" t="s">
        <v>38</v>
      </c>
      <c r="N56" s="61" t="s">
        <v>2321</v>
      </c>
      <c r="O56" s="61"/>
      <c r="P56" s="61"/>
      <c r="Q56" s="61"/>
      <c r="R56" s="61" t="s">
        <v>2499</v>
      </c>
      <c r="S56" s="61" t="s">
        <v>85</v>
      </c>
      <c r="T56" s="61" t="s">
        <v>1898</v>
      </c>
      <c r="U56" s="61" t="s">
        <v>1898</v>
      </c>
      <c r="V56" s="101" t="str">
        <f>VLOOKUP(B56,[2]Overall!$A:$D,4,0)</f>
        <v>H-TELI</v>
      </c>
      <c r="W56" s="101" t="str">
        <f>VLOOKUP(B56,[3]Sheet1!$A:$B,2,0)</f>
        <v>Logbong</v>
      </c>
      <c r="X56" s="88" t="str">
        <f t="shared" si="3"/>
        <v>LIT</v>
      </c>
      <c r="Y56" s="88" t="str">
        <f t="shared" si="4"/>
        <v>16H&lt;T&lt;24H</v>
      </c>
      <c r="Z56" s="101">
        <f t="shared" si="5"/>
        <v>2</v>
      </c>
      <c r="AA56" s="61" t="s">
        <v>1566</v>
      </c>
      <c r="AB56" s="61" t="s">
        <v>1904</v>
      </c>
      <c r="AC56" s="105" t="s">
        <v>2485</v>
      </c>
      <c r="AD56" s="106" t="s">
        <v>1994</v>
      </c>
      <c r="AE56" s="61"/>
    </row>
    <row r="57" spans="1:31" ht="72.5" hidden="1" x14ac:dyDescent="0.35">
      <c r="A57" s="61" t="s">
        <v>2276</v>
      </c>
      <c r="B57" s="61" t="s">
        <v>2277</v>
      </c>
      <c r="C57" s="65"/>
      <c r="D57" s="61"/>
      <c r="E57" s="61" t="s">
        <v>2278</v>
      </c>
      <c r="F57" s="70" t="s">
        <v>53</v>
      </c>
      <c r="G57" s="70" t="s">
        <v>2121</v>
      </c>
      <c r="H57" s="67">
        <v>46177.591168981482</v>
      </c>
      <c r="I57" s="75">
        <v>0.77393587963160826</v>
      </c>
      <c r="J57" s="61"/>
      <c r="K57" s="61"/>
      <c r="L57" s="61"/>
      <c r="M57" s="61" t="s">
        <v>38</v>
      </c>
      <c r="N57" s="61" t="s">
        <v>2279</v>
      </c>
      <c r="O57" s="61"/>
      <c r="P57" s="61"/>
      <c r="Q57" s="61"/>
      <c r="R57" s="61" t="s">
        <v>2502</v>
      </c>
      <c r="S57" s="61" t="s">
        <v>32</v>
      </c>
      <c r="T57" s="61" t="s">
        <v>1898</v>
      </c>
      <c r="U57" s="61" t="s">
        <v>1898</v>
      </c>
      <c r="V57" s="101" t="str">
        <f>VLOOKUP(B57,[2]Overall!$A:$D,4,0)</f>
        <v xml:space="preserve">I-ENG </v>
      </c>
      <c r="W57" s="101" t="str">
        <f>VLOOKUP(B57,[3]Sheet1!$A:$B,2,0)</f>
        <v>Babanki</v>
      </c>
      <c r="X57" s="88" t="str">
        <f t="shared" si="3"/>
        <v>NRO</v>
      </c>
      <c r="Y57" s="88" t="str">
        <f t="shared" si="4"/>
        <v>16H&lt;T&lt;24H</v>
      </c>
      <c r="Z57" s="101">
        <f t="shared" si="5"/>
        <v>2</v>
      </c>
      <c r="AA57" s="61" t="s">
        <v>1566</v>
      </c>
      <c r="AB57" s="61" t="s">
        <v>1904</v>
      </c>
      <c r="AC57" s="105" t="s">
        <v>2485</v>
      </c>
      <c r="AD57" s="106" t="s">
        <v>1994</v>
      </c>
      <c r="AE57" s="61"/>
    </row>
    <row r="58" spans="1:31" ht="87" hidden="1" x14ac:dyDescent="0.35">
      <c r="A58" s="57" t="s">
        <v>1684</v>
      </c>
      <c r="B58" s="61" t="s">
        <v>1620</v>
      </c>
      <c r="C58" s="65"/>
      <c r="D58" s="61"/>
      <c r="E58" s="61" t="s">
        <v>1793</v>
      </c>
      <c r="F58" s="70" t="s">
        <v>53</v>
      </c>
      <c r="G58" s="70" t="s">
        <v>2121</v>
      </c>
      <c r="H58" s="67">
        <v>46177.706493055557</v>
      </c>
      <c r="I58" s="75">
        <v>0.65861180555657484</v>
      </c>
      <c r="J58" s="61"/>
      <c r="K58" s="61"/>
      <c r="L58" s="61"/>
      <c r="M58" s="61" t="s">
        <v>33</v>
      </c>
      <c r="N58" s="61" t="s">
        <v>1653</v>
      </c>
      <c r="O58" s="61"/>
      <c r="P58" s="61"/>
      <c r="Q58" s="61"/>
      <c r="R58" s="61" t="s">
        <v>2497</v>
      </c>
      <c r="S58" s="61" t="s">
        <v>75</v>
      </c>
      <c r="T58" s="61" t="s">
        <v>1898</v>
      </c>
      <c r="U58" s="61" t="s">
        <v>1898</v>
      </c>
      <c r="V58" s="101" t="str">
        <f>VLOOKUP(B58,[2]Overall!$A:$D,4,0)</f>
        <v>TELEINFRA NORD</v>
      </c>
      <c r="W58" s="101" t="str">
        <f>VLOOKUP(B58,[3]Sheet1!$A:$B,2,0)</f>
        <v>Batoua-Godole</v>
      </c>
      <c r="X58" s="88" t="str">
        <f t="shared" si="3"/>
        <v>ADM</v>
      </c>
      <c r="Y58" s="88" t="str">
        <f t="shared" si="4"/>
        <v>8H&lt;T&lt;16H</v>
      </c>
      <c r="Z58" s="101">
        <f t="shared" si="5"/>
        <v>2</v>
      </c>
      <c r="AA58" s="61" t="s">
        <v>1566</v>
      </c>
      <c r="AB58" s="61" t="s">
        <v>1904</v>
      </c>
      <c r="AC58" s="105" t="s">
        <v>2485</v>
      </c>
      <c r="AD58" s="106" t="s">
        <v>1994</v>
      </c>
      <c r="AE58" s="61"/>
    </row>
    <row r="59" spans="1:31" ht="87" hidden="1" x14ac:dyDescent="0.35">
      <c r="A59" s="61" t="s">
        <v>1807</v>
      </c>
      <c r="B59" s="61" t="s">
        <v>1808</v>
      </c>
      <c r="C59" s="65"/>
      <c r="D59" s="61"/>
      <c r="E59" s="61" t="s">
        <v>1810</v>
      </c>
      <c r="F59" s="70" t="s">
        <v>53</v>
      </c>
      <c r="G59" s="70" t="s">
        <v>2121</v>
      </c>
      <c r="H59" s="67">
        <v>46177.733206018522</v>
      </c>
      <c r="I59" s="75">
        <v>0.63189884259190876</v>
      </c>
      <c r="J59" s="61"/>
      <c r="K59" s="61"/>
      <c r="L59" s="61"/>
      <c r="M59" s="61" t="s">
        <v>2053</v>
      </c>
      <c r="N59" s="61" t="s">
        <v>2054</v>
      </c>
      <c r="O59" s="61"/>
      <c r="P59" s="61"/>
      <c r="Q59" s="61"/>
      <c r="R59" s="84" t="s">
        <v>2500</v>
      </c>
      <c r="S59" s="61" t="s">
        <v>85</v>
      </c>
      <c r="T59" s="61" t="s">
        <v>1898</v>
      </c>
      <c r="U59" s="61" t="s">
        <v>1898</v>
      </c>
      <c r="V59" s="101" t="str">
        <f>VLOOKUP(B59,[2]Overall!$A:$D,4,0)</f>
        <v>H-TELI</v>
      </c>
      <c r="W59" s="101" t="str">
        <f>VLOOKUP(B59,[3]Sheet1!$A:$B,2,0)</f>
        <v>Songloulou</v>
      </c>
      <c r="X59" s="88" t="str">
        <f t="shared" si="3"/>
        <v>LIT</v>
      </c>
      <c r="Y59" s="88" t="str">
        <f t="shared" si="4"/>
        <v>8H&lt;T&lt;16H</v>
      </c>
      <c r="Z59" s="101">
        <f t="shared" si="5"/>
        <v>1</v>
      </c>
      <c r="AA59" s="61" t="s">
        <v>1566</v>
      </c>
      <c r="AB59" s="61" t="s">
        <v>1904</v>
      </c>
      <c r="AC59" s="105" t="s">
        <v>2485</v>
      </c>
      <c r="AD59" s="106" t="s">
        <v>1994</v>
      </c>
      <c r="AE59" s="61"/>
    </row>
    <row r="60" spans="1:31" ht="87" hidden="1" x14ac:dyDescent="0.35">
      <c r="A60" s="61" t="s">
        <v>1807</v>
      </c>
      <c r="B60" s="61" t="s">
        <v>1808</v>
      </c>
      <c r="C60" s="65"/>
      <c r="D60" s="61"/>
      <c r="E60" s="61" t="s">
        <v>2446</v>
      </c>
      <c r="F60" s="70" t="s">
        <v>53</v>
      </c>
      <c r="G60" s="70" t="s">
        <v>2121</v>
      </c>
      <c r="H60" s="67">
        <v>46177.734120370369</v>
      </c>
      <c r="I60" s="75">
        <v>0.63098449074459495</v>
      </c>
      <c r="J60" s="61"/>
      <c r="K60" s="61"/>
      <c r="L60" s="61"/>
      <c r="M60" s="61" t="s">
        <v>2053</v>
      </c>
      <c r="N60" s="61" t="s">
        <v>2054</v>
      </c>
      <c r="O60" s="61"/>
      <c r="P60" s="61"/>
      <c r="Q60" s="61"/>
      <c r="R60" s="84" t="s">
        <v>2500</v>
      </c>
      <c r="S60" s="61" t="s">
        <v>85</v>
      </c>
      <c r="T60" s="61" t="s">
        <v>1898</v>
      </c>
      <c r="U60" s="61" t="s">
        <v>1898</v>
      </c>
      <c r="V60" s="101" t="str">
        <f>VLOOKUP(B60,[2]Overall!$A:$D,4,0)</f>
        <v>H-TELI</v>
      </c>
      <c r="W60" s="101" t="str">
        <f>VLOOKUP(B60,[3]Sheet1!$A:$B,2,0)</f>
        <v>Songloulou</v>
      </c>
      <c r="X60" s="88" t="str">
        <f t="shared" si="3"/>
        <v>LIT</v>
      </c>
      <c r="Y60" s="88" t="str">
        <f t="shared" si="4"/>
        <v>8H&lt;T&lt;16H</v>
      </c>
      <c r="Z60" s="101">
        <f t="shared" si="5"/>
        <v>1</v>
      </c>
      <c r="AA60" s="61" t="s">
        <v>1566</v>
      </c>
      <c r="AB60" s="61" t="s">
        <v>1904</v>
      </c>
      <c r="AC60" s="105" t="s">
        <v>2485</v>
      </c>
      <c r="AD60" s="106" t="s">
        <v>1994</v>
      </c>
      <c r="AE60" s="61"/>
    </row>
    <row r="61" spans="1:31" ht="409.5" hidden="1" x14ac:dyDescent="0.35">
      <c r="A61" s="63" t="s">
        <v>2462</v>
      </c>
      <c r="B61" s="63" t="s">
        <v>1625</v>
      </c>
      <c r="C61" s="68"/>
      <c r="D61" s="63"/>
      <c r="E61" s="63" t="s">
        <v>2463</v>
      </c>
      <c r="F61" s="71" t="s">
        <v>53</v>
      </c>
      <c r="G61" s="71" t="s">
        <v>2121</v>
      </c>
      <c r="H61" s="69">
        <v>46177.739351851851</v>
      </c>
      <c r="I61" s="77">
        <v>0.62575300926255295</v>
      </c>
      <c r="J61" s="63"/>
      <c r="K61" s="63"/>
      <c r="L61" s="63"/>
      <c r="M61" s="63" t="s">
        <v>33</v>
      </c>
      <c r="N61" s="63" t="s">
        <v>2464</v>
      </c>
      <c r="O61" s="63"/>
      <c r="P61" s="63" t="s">
        <v>2548</v>
      </c>
      <c r="Q61" s="63"/>
      <c r="R61" s="85" t="s">
        <v>2547</v>
      </c>
      <c r="S61" s="63" t="s">
        <v>32</v>
      </c>
      <c r="T61" s="63" t="s">
        <v>1900</v>
      </c>
      <c r="U61" s="63" t="s">
        <v>1900</v>
      </c>
      <c r="V61" s="107" t="str">
        <f>VLOOKUP(B61,[2]Overall!$A:$D,4,0)</f>
        <v xml:space="preserve">I-ENG </v>
      </c>
      <c r="W61" s="107" t="str">
        <f>VLOOKUP(B61,[3]Sheet1!$A:$B,2,0)</f>
        <v>Kembong</v>
      </c>
      <c r="X61" s="89" t="str">
        <f t="shared" si="3"/>
        <v>NRO</v>
      </c>
      <c r="Y61" s="89" t="str">
        <f t="shared" si="4"/>
        <v>8H&lt;T&lt;16H</v>
      </c>
      <c r="Z61" s="107">
        <f t="shared" si="5"/>
        <v>1</v>
      </c>
      <c r="AA61" s="63" t="s">
        <v>77</v>
      </c>
      <c r="AB61" s="63" t="s">
        <v>1905</v>
      </c>
      <c r="AC61" s="108" t="s">
        <v>2485</v>
      </c>
      <c r="AD61" s="109" t="s">
        <v>1994</v>
      </c>
      <c r="AE61" s="63"/>
    </row>
    <row r="62" spans="1:31" ht="409.5" hidden="1" x14ac:dyDescent="0.35">
      <c r="A62" s="63" t="s">
        <v>2462</v>
      </c>
      <c r="B62" s="63" t="s">
        <v>1625</v>
      </c>
      <c r="C62" s="68"/>
      <c r="D62" s="63"/>
      <c r="E62" s="63" t="s">
        <v>1641</v>
      </c>
      <c r="F62" s="71" t="s">
        <v>53</v>
      </c>
      <c r="G62" s="71" t="s">
        <v>2121</v>
      </c>
      <c r="H62" s="69">
        <v>46177.739351851851</v>
      </c>
      <c r="I62" s="77">
        <v>0.62575300926255295</v>
      </c>
      <c r="J62" s="63"/>
      <c r="K62" s="63"/>
      <c r="L62" s="63"/>
      <c r="M62" s="63" t="s">
        <v>33</v>
      </c>
      <c r="N62" s="63" t="s">
        <v>2465</v>
      </c>
      <c r="O62" s="63"/>
      <c r="P62" s="63" t="s">
        <v>2548</v>
      </c>
      <c r="Q62" s="63"/>
      <c r="R62" s="85" t="s">
        <v>2543</v>
      </c>
      <c r="S62" s="63" t="s">
        <v>32</v>
      </c>
      <c r="T62" s="63" t="s">
        <v>1900</v>
      </c>
      <c r="U62" s="63" t="s">
        <v>1900</v>
      </c>
      <c r="V62" s="107" t="str">
        <f>VLOOKUP(B62,[2]Overall!$A:$D,4,0)</f>
        <v xml:space="preserve">I-ENG </v>
      </c>
      <c r="W62" s="107" t="str">
        <f>VLOOKUP(B62,[3]Sheet1!$A:$B,2,0)</f>
        <v>Kembong</v>
      </c>
      <c r="X62" s="89" t="str">
        <f t="shared" si="3"/>
        <v>NRO</v>
      </c>
      <c r="Y62" s="89" t="str">
        <f t="shared" si="4"/>
        <v>8H&lt;T&lt;16H</v>
      </c>
      <c r="Z62" s="107">
        <f t="shared" si="5"/>
        <v>1</v>
      </c>
      <c r="AA62" s="63" t="s">
        <v>77</v>
      </c>
      <c r="AB62" s="63" t="s">
        <v>1905</v>
      </c>
      <c r="AC62" s="108" t="s">
        <v>2485</v>
      </c>
      <c r="AD62" s="109" t="s">
        <v>1994</v>
      </c>
      <c r="AE62" s="63"/>
    </row>
    <row r="63" spans="1:31" ht="87" hidden="1" x14ac:dyDescent="0.35">
      <c r="A63" s="61" t="s">
        <v>1807</v>
      </c>
      <c r="B63" s="61" t="s">
        <v>1808</v>
      </c>
      <c r="C63" s="65"/>
      <c r="D63" s="61"/>
      <c r="E63" s="61" t="s">
        <v>1813</v>
      </c>
      <c r="F63" s="70" t="s">
        <v>53</v>
      </c>
      <c r="G63" s="70" t="s">
        <v>2121</v>
      </c>
      <c r="H63" s="67">
        <v>46177.741377314815</v>
      </c>
      <c r="I63" s="75">
        <v>0.62372754629905103</v>
      </c>
      <c r="J63" s="61"/>
      <c r="K63" s="61"/>
      <c r="L63" s="61"/>
      <c r="M63" s="61" t="s">
        <v>41</v>
      </c>
      <c r="N63" s="61" t="s">
        <v>42</v>
      </c>
      <c r="O63" s="61"/>
      <c r="P63" s="61"/>
      <c r="Q63" s="61"/>
      <c r="R63" s="84" t="s">
        <v>2500</v>
      </c>
      <c r="S63" s="61" t="s">
        <v>85</v>
      </c>
      <c r="T63" s="61" t="s">
        <v>1898</v>
      </c>
      <c r="U63" s="61" t="s">
        <v>1898</v>
      </c>
      <c r="V63" s="101" t="str">
        <f>VLOOKUP(B63,[2]Overall!$A:$D,4,0)</f>
        <v>H-TELI</v>
      </c>
      <c r="W63" s="101" t="str">
        <f>VLOOKUP(B63,[3]Sheet1!$A:$B,2,0)</f>
        <v>Songloulou</v>
      </c>
      <c r="X63" s="88" t="str">
        <f t="shared" si="3"/>
        <v>LIT</v>
      </c>
      <c r="Y63" s="88" t="str">
        <f t="shared" si="4"/>
        <v>8H&lt;T&lt;16H</v>
      </c>
      <c r="Z63" s="101">
        <f t="shared" si="5"/>
        <v>1</v>
      </c>
      <c r="AA63" s="61" t="s">
        <v>1566</v>
      </c>
      <c r="AB63" s="61" t="s">
        <v>1904</v>
      </c>
      <c r="AC63" s="105" t="s">
        <v>2485</v>
      </c>
      <c r="AD63" s="106" t="s">
        <v>1994</v>
      </c>
      <c r="AE63" s="61"/>
    </row>
    <row r="64" spans="1:31" ht="87" hidden="1" x14ac:dyDescent="0.35">
      <c r="A64" s="61" t="s">
        <v>1807</v>
      </c>
      <c r="B64" s="61" t="s">
        <v>1808</v>
      </c>
      <c r="C64" s="65"/>
      <c r="D64" s="61"/>
      <c r="E64" s="61" t="s">
        <v>1812</v>
      </c>
      <c r="F64" s="70" t="s">
        <v>53</v>
      </c>
      <c r="G64" s="70" t="s">
        <v>2121</v>
      </c>
      <c r="H64" s="67">
        <v>46177.742442129631</v>
      </c>
      <c r="I64" s="75">
        <v>0.62266273148270557</v>
      </c>
      <c r="J64" s="61"/>
      <c r="K64" s="61"/>
      <c r="L64" s="61"/>
      <c r="M64" s="61" t="s">
        <v>41</v>
      </c>
      <c r="N64" s="61" t="s">
        <v>42</v>
      </c>
      <c r="O64" s="61"/>
      <c r="P64" s="61"/>
      <c r="Q64" s="61"/>
      <c r="R64" s="84" t="s">
        <v>2500</v>
      </c>
      <c r="S64" s="61" t="s">
        <v>85</v>
      </c>
      <c r="T64" s="61" t="s">
        <v>1898</v>
      </c>
      <c r="U64" s="61" t="s">
        <v>1898</v>
      </c>
      <c r="V64" s="101" t="str">
        <f>VLOOKUP(B64,[2]Overall!$A:$D,4,0)</f>
        <v>H-TELI</v>
      </c>
      <c r="W64" s="101" t="str">
        <f>VLOOKUP(B64,[3]Sheet1!$A:$B,2,0)</f>
        <v>Songloulou</v>
      </c>
      <c r="X64" s="88" t="str">
        <f t="shared" si="3"/>
        <v>LIT</v>
      </c>
      <c r="Y64" s="88" t="str">
        <f t="shared" si="4"/>
        <v>8H&lt;T&lt;16H</v>
      </c>
      <c r="Z64" s="101">
        <f t="shared" si="5"/>
        <v>1</v>
      </c>
      <c r="AA64" s="61" t="s">
        <v>1566</v>
      </c>
      <c r="AB64" s="61" t="s">
        <v>1904</v>
      </c>
      <c r="AC64" s="105" t="s">
        <v>2485</v>
      </c>
      <c r="AD64" s="106" t="s">
        <v>1994</v>
      </c>
      <c r="AE64" s="61"/>
    </row>
    <row r="65" spans="1:31" ht="409.5" hidden="1" x14ac:dyDescent="0.35">
      <c r="A65" s="63" t="s">
        <v>1624</v>
      </c>
      <c r="B65" s="63" t="s">
        <v>1625</v>
      </c>
      <c r="C65" s="68"/>
      <c r="D65" s="63"/>
      <c r="E65" s="63" t="s">
        <v>2466</v>
      </c>
      <c r="F65" s="71" t="s">
        <v>53</v>
      </c>
      <c r="G65" s="71" t="s">
        <v>2121</v>
      </c>
      <c r="H65" s="69">
        <v>46177.741435185184</v>
      </c>
      <c r="I65" s="77">
        <v>0.62366967592970468</v>
      </c>
      <c r="J65" s="63"/>
      <c r="K65" s="63"/>
      <c r="L65" s="63"/>
      <c r="M65" s="63" t="s">
        <v>33</v>
      </c>
      <c r="N65" s="63" t="s">
        <v>1626</v>
      </c>
      <c r="O65" s="63"/>
      <c r="P65" s="63" t="s">
        <v>2548</v>
      </c>
      <c r="Q65" s="63"/>
      <c r="R65" s="85" t="s">
        <v>2543</v>
      </c>
      <c r="S65" s="63" t="s">
        <v>32</v>
      </c>
      <c r="T65" s="63" t="s">
        <v>1900</v>
      </c>
      <c r="U65" s="63" t="s">
        <v>1900</v>
      </c>
      <c r="V65" s="107" t="str">
        <f>VLOOKUP(B65,[2]Overall!$A:$D,4,0)</f>
        <v xml:space="preserve">I-ENG </v>
      </c>
      <c r="W65" s="107" t="str">
        <f>VLOOKUP(B65,[3]Sheet1!$A:$B,2,0)</f>
        <v>Kembong</v>
      </c>
      <c r="X65" s="89" t="str">
        <f t="shared" si="3"/>
        <v>NRO</v>
      </c>
      <c r="Y65" s="89" t="str">
        <f t="shared" si="4"/>
        <v>8H&lt;T&lt;16H</v>
      </c>
      <c r="Z65" s="107">
        <f t="shared" si="5"/>
        <v>2</v>
      </c>
      <c r="AA65" s="63" t="s">
        <v>77</v>
      </c>
      <c r="AB65" s="63" t="s">
        <v>1905</v>
      </c>
      <c r="AC65" s="108" t="s">
        <v>2485</v>
      </c>
      <c r="AD65" s="109" t="s">
        <v>1994</v>
      </c>
      <c r="AE65" s="63"/>
    </row>
    <row r="66" spans="1:31" ht="409.5" hidden="1" x14ac:dyDescent="0.35">
      <c r="A66" s="63" t="s">
        <v>1624</v>
      </c>
      <c r="B66" s="63" t="s">
        <v>1625</v>
      </c>
      <c r="C66" s="68"/>
      <c r="D66" s="63"/>
      <c r="E66" s="63" t="s">
        <v>2467</v>
      </c>
      <c r="F66" s="71" t="s">
        <v>53</v>
      </c>
      <c r="G66" s="71" t="s">
        <v>2121</v>
      </c>
      <c r="H66" s="69">
        <v>46177.740891203706</v>
      </c>
      <c r="I66" s="77">
        <v>0.62421365740738111</v>
      </c>
      <c r="J66" s="63"/>
      <c r="K66" s="63"/>
      <c r="L66" s="63"/>
      <c r="M66" s="63" t="s">
        <v>33</v>
      </c>
      <c r="N66" s="63" t="s">
        <v>2468</v>
      </c>
      <c r="O66" s="63"/>
      <c r="P66" s="63" t="s">
        <v>2548</v>
      </c>
      <c r="Q66" s="63"/>
      <c r="R66" s="85" t="s">
        <v>2543</v>
      </c>
      <c r="S66" s="63" t="s">
        <v>32</v>
      </c>
      <c r="T66" s="63" t="s">
        <v>1900</v>
      </c>
      <c r="U66" s="63" t="s">
        <v>1900</v>
      </c>
      <c r="V66" s="107" t="str">
        <f>VLOOKUP(B66,[2]Overall!$A:$D,4,0)</f>
        <v xml:space="preserve">I-ENG </v>
      </c>
      <c r="W66" s="107" t="str">
        <f>VLOOKUP(B66,[3]Sheet1!$A:$B,2,0)</f>
        <v>Kembong</v>
      </c>
      <c r="X66" s="89" t="str">
        <f t="shared" si="3"/>
        <v>NRO</v>
      </c>
      <c r="Y66" s="89" t="str">
        <f t="shared" si="4"/>
        <v>8H&lt;T&lt;16H</v>
      </c>
      <c r="Z66" s="107">
        <f t="shared" si="5"/>
        <v>2</v>
      </c>
      <c r="AA66" s="63" t="s">
        <v>77</v>
      </c>
      <c r="AB66" s="63" t="s">
        <v>1905</v>
      </c>
      <c r="AC66" s="108" t="s">
        <v>2485</v>
      </c>
      <c r="AD66" s="109" t="s">
        <v>1994</v>
      </c>
      <c r="AE66" s="63"/>
    </row>
    <row r="67" spans="1:31" ht="409.5" hidden="1" x14ac:dyDescent="0.35">
      <c r="A67" s="63" t="s">
        <v>1624</v>
      </c>
      <c r="B67" s="63" t="s">
        <v>1625</v>
      </c>
      <c r="C67" s="68"/>
      <c r="D67" s="63"/>
      <c r="E67" s="63" t="s">
        <v>2469</v>
      </c>
      <c r="F67" s="71" t="s">
        <v>53</v>
      </c>
      <c r="G67" s="71" t="s">
        <v>2121</v>
      </c>
      <c r="H67" s="69">
        <v>46177.741516203707</v>
      </c>
      <c r="I67" s="77">
        <v>0.62358865740679903</v>
      </c>
      <c r="J67" s="63"/>
      <c r="K67" s="63"/>
      <c r="L67" s="63"/>
      <c r="M67" s="63" t="s">
        <v>33</v>
      </c>
      <c r="N67" s="63" t="s">
        <v>2470</v>
      </c>
      <c r="O67" s="63"/>
      <c r="P67" s="63" t="s">
        <v>2548</v>
      </c>
      <c r="Q67" s="63"/>
      <c r="R67" s="85" t="s">
        <v>2543</v>
      </c>
      <c r="S67" s="63" t="s">
        <v>32</v>
      </c>
      <c r="T67" s="63" t="s">
        <v>1900</v>
      </c>
      <c r="U67" s="63" t="s">
        <v>1900</v>
      </c>
      <c r="V67" s="107" t="str">
        <f>VLOOKUP(B67,[2]Overall!$A:$D,4,0)</f>
        <v xml:space="preserve">I-ENG </v>
      </c>
      <c r="W67" s="107" t="str">
        <f>VLOOKUP(B67,[3]Sheet1!$A:$B,2,0)</f>
        <v>Kembong</v>
      </c>
      <c r="X67" s="89" t="str">
        <f t="shared" si="3"/>
        <v>NRO</v>
      </c>
      <c r="Y67" s="89" t="str">
        <f t="shared" si="4"/>
        <v>8H&lt;T&lt;16H</v>
      </c>
      <c r="Z67" s="107">
        <f t="shared" si="5"/>
        <v>2</v>
      </c>
      <c r="AA67" s="63" t="s">
        <v>77</v>
      </c>
      <c r="AB67" s="63" t="s">
        <v>1905</v>
      </c>
      <c r="AC67" s="108" t="s">
        <v>2485</v>
      </c>
      <c r="AD67" s="109" t="s">
        <v>1994</v>
      </c>
      <c r="AE67" s="63"/>
    </row>
    <row r="68" spans="1:31" ht="87" hidden="1" x14ac:dyDescent="0.35">
      <c r="A68" s="61" t="s">
        <v>2441</v>
      </c>
      <c r="B68" s="61" t="s">
        <v>2442</v>
      </c>
      <c r="C68" s="65"/>
      <c r="D68" s="61"/>
      <c r="E68" s="61" t="s">
        <v>2471</v>
      </c>
      <c r="F68" s="70" t="s">
        <v>53</v>
      </c>
      <c r="G68" s="70" t="s">
        <v>2121</v>
      </c>
      <c r="H68" s="67">
        <v>46177.765081018515</v>
      </c>
      <c r="I68" s="75">
        <v>0.60002384259860264</v>
      </c>
      <c r="J68" s="61"/>
      <c r="K68" s="61"/>
      <c r="L68" s="61"/>
      <c r="M68" s="61" t="s">
        <v>33</v>
      </c>
      <c r="N68" s="61" t="s">
        <v>2444</v>
      </c>
      <c r="O68" s="61"/>
      <c r="P68" s="61"/>
      <c r="Q68" s="61"/>
      <c r="R68" s="84" t="s">
        <v>2506</v>
      </c>
      <c r="S68" s="84" t="s">
        <v>45</v>
      </c>
      <c r="T68" s="61" t="s">
        <v>1898</v>
      </c>
      <c r="U68" s="61" t="s">
        <v>1898</v>
      </c>
      <c r="V68" s="101" t="str">
        <f>VLOOKUP(B68,[2]Overall!$A:$D,4,0)</f>
        <v>TELEINFRA CENTRE</v>
      </c>
      <c r="W68" s="101" t="str">
        <f>VLOOKUP(B68,[3]Sheet1!$A:$B,2,0)</f>
        <v>Yola</v>
      </c>
      <c r="X68" s="88" t="str">
        <f t="shared" si="3"/>
        <v>EST</v>
      </c>
      <c r="Y68" s="88" t="str">
        <f t="shared" si="4"/>
        <v>8H&lt;T&lt;16H</v>
      </c>
      <c r="Z68" s="101">
        <f t="shared" si="5"/>
        <v>2</v>
      </c>
      <c r="AA68" s="61" t="s">
        <v>1566</v>
      </c>
      <c r="AB68" s="61" t="s">
        <v>1904</v>
      </c>
      <c r="AC68" s="105" t="s">
        <v>2485</v>
      </c>
      <c r="AD68" s="106" t="s">
        <v>1994</v>
      </c>
      <c r="AE68" s="61"/>
    </row>
    <row r="69" spans="1:31" ht="159.5" hidden="1" x14ac:dyDescent="0.35">
      <c r="A69" s="61" t="s">
        <v>2147</v>
      </c>
      <c r="B69" s="61" t="s">
        <v>2148</v>
      </c>
      <c r="C69" s="65"/>
      <c r="D69" s="61"/>
      <c r="E69" s="61" t="s">
        <v>2149</v>
      </c>
      <c r="F69" s="70" t="s">
        <v>53</v>
      </c>
      <c r="G69" s="70" t="s">
        <v>2121</v>
      </c>
      <c r="H69" s="67">
        <v>46177.806562500002</v>
      </c>
      <c r="I69" s="75">
        <v>0.55854236111190403</v>
      </c>
      <c r="J69" s="61"/>
      <c r="K69" s="61"/>
      <c r="L69" s="61"/>
      <c r="M69" s="61" t="s">
        <v>33</v>
      </c>
      <c r="N69" s="61" t="s">
        <v>1626</v>
      </c>
      <c r="O69" s="61"/>
      <c r="P69" s="61"/>
      <c r="Q69" s="61"/>
      <c r="R69" s="84" t="s">
        <v>2494</v>
      </c>
      <c r="S69" s="61" t="s">
        <v>40</v>
      </c>
      <c r="T69" s="61" t="s">
        <v>1898</v>
      </c>
      <c r="U69" s="61" t="s">
        <v>1898</v>
      </c>
      <c r="V69" s="101" t="str">
        <f>VLOOKUP(B69,[2]Overall!$A:$D,4,0)</f>
        <v>TELEINFRA NORD</v>
      </c>
      <c r="W69" s="101" t="str">
        <f>VLOOKUP(B69,[3]Sheet1!$A:$B,2,0)</f>
        <v>Mboulai</v>
      </c>
      <c r="X69" s="88" t="str">
        <f t="shared" si="3"/>
        <v>ADM</v>
      </c>
      <c r="Y69" s="88" t="str">
        <f t="shared" si="4"/>
        <v>8H&lt;T&lt;16H</v>
      </c>
      <c r="Z69" s="101">
        <f t="shared" si="5"/>
        <v>1</v>
      </c>
      <c r="AA69" s="61" t="s">
        <v>1566</v>
      </c>
      <c r="AB69" s="61" t="s">
        <v>1905</v>
      </c>
      <c r="AC69" s="105" t="s">
        <v>2485</v>
      </c>
      <c r="AD69" s="106" t="s">
        <v>1994</v>
      </c>
      <c r="AE69" s="61"/>
    </row>
    <row r="70" spans="1:31" ht="72.5" hidden="1" x14ac:dyDescent="0.35">
      <c r="A70" s="61" t="s">
        <v>2350</v>
      </c>
      <c r="B70" s="61" t="s">
        <v>2351</v>
      </c>
      <c r="C70" s="65"/>
      <c r="D70" s="61"/>
      <c r="E70" s="61" t="s">
        <v>2352</v>
      </c>
      <c r="F70" s="70" t="s">
        <v>53</v>
      </c>
      <c r="G70" s="70" t="s">
        <v>2121</v>
      </c>
      <c r="H70" s="67">
        <v>46177.830648148149</v>
      </c>
      <c r="I70" s="75">
        <v>0.53445671296503861</v>
      </c>
      <c r="J70" s="61"/>
      <c r="K70" s="61"/>
      <c r="L70" s="61"/>
      <c r="M70" s="61" t="s">
        <v>38</v>
      </c>
      <c r="N70" s="61" t="s">
        <v>2353</v>
      </c>
      <c r="O70" s="61"/>
      <c r="P70" s="61"/>
      <c r="Q70" s="61"/>
      <c r="R70" s="86" t="s">
        <v>2533</v>
      </c>
      <c r="S70" s="86" t="s">
        <v>51</v>
      </c>
      <c r="T70" s="82" t="s">
        <v>1898</v>
      </c>
      <c r="U70" s="82" t="s">
        <v>1898</v>
      </c>
      <c r="V70" s="101" t="str">
        <f>VLOOKUP(B70,[2]Overall!$A:$D,4,0)</f>
        <v>TELEINFRA NORD</v>
      </c>
      <c r="W70" s="101" t="str">
        <f>VLOOKUP(B70,[3]Sheet1!$A:$B,2,0)</f>
        <v>Guidjiba</v>
      </c>
      <c r="X70" s="88" t="str">
        <f t="shared" si="3"/>
        <v>NRD</v>
      </c>
      <c r="Y70" s="88" t="str">
        <f t="shared" si="4"/>
        <v>8H&lt;T&lt;16H</v>
      </c>
      <c r="Z70" s="101">
        <f t="shared" si="5"/>
        <v>2</v>
      </c>
      <c r="AA70" s="61" t="s">
        <v>1566</v>
      </c>
      <c r="AB70" s="61" t="s">
        <v>1905</v>
      </c>
      <c r="AC70" s="105" t="s">
        <v>2485</v>
      </c>
      <c r="AD70" s="106" t="s">
        <v>1994</v>
      </c>
      <c r="AE70" s="61"/>
    </row>
    <row r="71" spans="1:31" ht="58" hidden="1" x14ac:dyDescent="0.35">
      <c r="A71" s="61" t="s">
        <v>2477</v>
      </c>
      <c r="B71" s="61" t="s">
        <v>2478</v>
      </c>
      <c r="C71" s="65"/>
      <c r="D71" s="61"/>
      <c r="E71" s="61" t="s">
        <v>2479</v>
      </c>
      <c r="F71" s="70" t="s">
        <v>53</v>
      </c>
      <c r="G71" s="70" t="s">
        <v>2121</v>
      </c>
      <c r="H71" s="67">
        <v>46177.938472222224</v>
      </c>
      <c r="I71" s="75">
        <v>0.42663263888971414</v>
      </c>
      <c r="J71" s="61"/>
      <c r="K71" s="61"/>
      <c r="L71" s="61"/>
      <c r="M71" s="61" t="s">
        <v>33</v>
      </c>
      <c r="N71" s="61" t="s">
        <v>2480</v>
      </c>
      <c r="O71" s="61"/>
      <c r="P71" s="61"/>
      <c r="Q71" s="61"/>
      <c r="R71" s="86" t="s">
        <v>2532</v>
      </c>
      <c r="S71" s="86" t="s">
        <v>51</v>
      </c>
      <c r="T71" s="82" t="s">
        <v>1898</v>
      </c>
      <c r="U71" s="82" t="s">
        <v>1898</v>
      </c>
      <c r="V71" s="101" t="str">
        <f>VLOOKUP(B71,[2]Overall!$A:$D,4,0)</f>
        <v>TELEINFRA NORD</v>
      </c>
      <c r="W71" s="101" t="str">
        <f>VLOOKUP(B71,[3]Sheet1!$A:$B,2,0)</f>
        <v>Salak</v>
      </c>
      <c r="X71" s="88" t="str">
        <f>LEFT(B71,3)</f>
        <v>EXN</v>
      </c>
      <c r="Y71" s="88" t="str">
        <f>IF(I71 &lt; 1/24, "T&lt;1H", IF(AND(I71&lt;2/24, I71&gt;1/24), "1H&lt;T&lt;2H", IF(AND(I71&lt;4/24, I71&gt;2/24), "2H&lt;T&lt;4H", IF(AND(I71&lt;8/24, I71&gt;4/24), "4H&lt;T&lt;8H", IF(AND(I71&lt;16/24, I71&gt;8/24), "8H&lt;T&lt;16H",IF(AND(I71&lt;24/24, I71&gt;16/24),"16H&lt;T&lt;24H", IF(AND(I71&lt;48/24, I71&gt;24/24),"24H&lt;T&lt;48H",IF(AND(I71&lt;72/24, I71&gt;24/24),"48H&lt;T&lt;72H", "T&gt;72H"))))))))</f>
        <v>8H&lt;T&lt;16H</v>
      </c>
      <c r="Z71" s="101">
        <f>IF(OR(E71="", E71="affected_cells=unknown"), "", LEN(E71)-LEN(SUBSTITUTE(E71, ",", "")) + LEN(E71)-LEN(SUBSTITUTE(E71, ";", "")) + 1)</f>
        <v>2</v>
      </c>
      <c r="AA71" s="61" t="s">
        <v>1566</v>
      </c>
      <c r="AB71" s="61" t="s">
        <v>1905</v>
      </c>
      <c r="AC71" s="105" t="s">
        <v>2485</v>
      </c>
      <c r="AD71" s="106" t="s">
        <v>1994</v>
      </c>
      <c r="AE71" s="61"/>
    </row>
    <row r="72" spans="1:31" ht="101.5" x14ac:dyDescent="0.35">
      <c r="A72" s="63" t="s">
        <v>2225</v>
      </c>
      <c r="B72" s="63" t="s">
        <v>2226</v>
      </c>
      <c r="C72" s="68"/>
      <c r="D72" s="63"/>
      <c r="E72" s="63" t="s">
        <v>39</v>
      </c>
      <c r="F72" s="71" t="s">
        <v>53</v>
      </c>
      <c r="G72" s="71" t="s">
        <v>2121</v>
      </c>
      <c r="H72" s="69">
        <v>46177.993148148147</v>
      </c>
      <c r="I72" s="77">
        <v>0.3719567129664938</v>
      </c>
      <c r="J72" s="63"/>
      <c r="K72" s="63"/>
      <c r="L72" s="63"/>
      <c r="M72" s="63" t="s">
        <v>1712</v>
      </c>
      <c r="N72" s="63" t="s">
        <v>2227</v>
      </c>
      <c r="O72" s="63"/>
      <c r="P72" s="63" t="s">
        <v>2549</v>
      </c>
      <c r="Q72" s="63"/>
      <c r="R72" s="85" t="s">
        <v>2503</v>
      </c>
      <c r="S72" s="63" t="s">
        <v>32</v>
      </c>
      <c r="T72" s="63" t="s">
        <v>1898</v>
      </c>
      <c r="U72" s="63" t="s">
        <v>1898</v>
      </c>
      <c r="V72" s="107" t="str">
        <f>VLOOKUP(B72,[2]Overall!$A:$D,4,0)</f>
        <v xml:space="preserve">I-ENG </v>
      </c>
      <c r="W72" s="107" t="str">
        <f>VLOOKUP(B72,[3]Sheet1!$A:$B,2,0)</f>
        <v>Matsari</v>
      </c>
      <c r="X72" s="89" t="str">
        <f>LEFT(B72,3)</f>
        <v>CTR</v>
      </c>
      <c r="Y72" s="89" t="str">
        <f>IF(I72 &lt; 1/24, "T&lt;1H", IF(AND(I72&lt;2/24, I72&gt;1/24), "1H&lt;T&lt;2H", IF(AND(I72&lt;4/24, I72&gt;2/24), "2H&lt;T&lt;4H", IF(AND(I72&lt;8/24, I72&gt;4/24), "4H&lt;T&lt;8H", IF(AND(I72&lt;16/24, I72&gt;8/24), "8H&lt;T&lt;16H",IF(AND(I72&lt;24/24, I72&gt;16/24),"16H&lt;T&lt;24H", IF(AND(I72&lt;48/24, I72&gt;24/24),"24H&lt;T&lt;48H",IF(AND(I72&lt;72/24, I72&gt;24/24),"48H&lt;T&lt;72H", "T&gt;72H"))))))))</f>
        <v>8H&lt;T&lt;16H</v>
      </c>
      <c r="Z72" s="107">
        <f>IF(OR(E72="", E72="affected_cells=unknown"), "", LEN(E72)-LEN(SUBSTITUTE(E72, ",", "")) + LEN(E72)-LEN(SUBSTITUTE(E72, ";", "")) + 1)</f>
        <v>1</v>
      </c>
      <c r="AA72" s="63" t="s">
        <v>77</v>
      </c>
      <c r="AB72" s="63" t="s">
        <v>1904</v>
      </c>
      <c r="AC72" s="108" t="s">
        <v>2485</v>
      </c>
      <c r="AD72" s="109" t="s">
        <v>1994</v>
      </c>
      <c r="AE72" s="63"/>
    </row>
    <row r="73" spans="1:31" ht="72.5" hidden="1" x14ac:dyDescent="0.35">
      <c r="A73" s="61" t="s">
        <v>2481</v>
      </c>
      <c r="B73" s="61" t="s">
        <v>2482</v>
      </c>
      <c r="C73" s="65"/>
      <c r="D73" s="61"/>
      <c r="E73" s="61" t="s">
        <v>2483</v>
      </c>
      <c r="F73" s="70" t="s">
        <v>53</v>
      </c>
      <c r="G73" s="70" t="s">
        <v>2121</v>
      </c>
      <c r="H73" s="67">
        <v>46178.255555555559</v>
      </c>
      <c r="I73" s="75">
        <v>0.10954930555453757</v>
      </c>
      <c r="J73" s="61"/>
      <c r="K73" s="61"/>
      <c r="L73" s="61"/>
      <c r="M73" s="61" t="s">
        <v>46</v>
      </c>
      <c r="N73" s="61" t="s">
        <v>2484</v>
      </c>
      <c r="O73" s="61"/>
      <c r="P73" s="61"/>
      <c r="Q73" s="61"/>
      <c r="R73" s="86" t="s">
        <v>2534</v>
      </c>
      <c r="S73" s="86" t="s">
        <v>51</v>
      </c>
      <c r="T73" s="82" t="s">
        <v>1898</v>
      </c>
      <c r="U73" s="82" t="s">
        <v>1898</v>
      </c>
      <c r="V73" s="101" t="str">
        <f>VLOOKUP(B73,[2]Overall!$A:$D,4,0)</f>
        <v>H-TELI</v>
      </c>
      <c r="W73" s="101" t="str">
        <f>VLOOKUP(B73,[3]Sheet1!$A:$B,2,0)</f>
        <v>Banguem</v>
      </c>
      <c r="X73" s="88" t="str">
        <f>LEFT(B73,3)</f>
        <v>SUO</v>
      </c>
      <c r="Y73" s="88" t="str">
        <f>IF(I73 &lt; 1/24, "T&lt;1H", IF(AND(I73&lt;2/24, I73&gt;1/24), "1H&lt;T&lt;2H", IF(AND(I73&lt;4/24, I73&gt;2/24), "2H&lt;T&lt;4H", IF(AND(I73&lt;8/24, I73&gt;4/24), "4H&lt;T&lt;8H", IF(AND(I73&lt;16/24, I73&gt;8/24), "8H&lt;T&lt;16H",IF(AND(I73&lt;24/24, I73&gt;16/24),"16H&lt;T&lt;24H", IF(AND(I73&lt;48/24, I73&gt;24/24),"24H&lt;T&lt;48H",IF(AND(I73&lt;72/24, I73&gt;24/24),"48H&lt;T&lt;72H", "T&gt;72H"))))))))</f>
        <v>2H&lt;T&lt;4H</v>
      </c>
      <c r="Z73" s="101">
        <f>IF(OR(E73="", E73="affected_cells=unknown"), "", LEN(E73)-LEN(SUBSTITUTE(E73, ",", "")) + LEN(E73)-LEN(SUBSTITUTE(E73, ";", "")) + 1)</f>
        <v>1</v>
      </c>
      <c r="AA73" s="61" t="s">
        <v>1566</v>
      </c>
      <c r="AB73" s="61" t="s">
        <v>1905</v>
      </c>
      <c r="AC73" s="105" t="s">
        <v>2485</v>
      </c>
      <c r="AD73" s="106" t="s">
        <v>1994</v>
      </c>
      <c r="AE73" s="61"/>
    </row>
    <row r="74" spans="1:31" ht="87" hidden="1" x14ac:dyDescent="0.35">
      <c r="A74" s="61" t="s">
        <v>2218</v>
      </c>
      <c r="B74" s="61" t="s">
        <v>2219</v>
      </c>
      <c r="C74" s="65"/>
      <c r="D74" s="61"/>
      <c r="E74" s="61" t="s">
        <v>2223</v>
      </c>
      <c r="F74" s="70" t="s">
        <v>53</v>
      </c>
      <c r="G74" s="70" t="s">
        <v>2121</v>
      </c>
      <c r="H74" s="67">
        <v>46178.305</v>
      </c>
      <c r="I74" s="75">
        <v>6.010486111335922E-2</v>
      </c>
      <c r="J74" s="61"/>
      <c r="K74" s="61"/>
      <c r="L74" s="61"/>
      <c r="M74" s="61" t="s">
        <v>1730</v>
      </c>
      <c r="N74" s="61" t="s">
        <v>2224</v>
      </c>
      <c r="O74" s="61"/>
      <c r="P74" s="61"/>
      <c r="Q74" s="61"/>
      <c r="R74" s="61" t="s">
        <v>2459</v>
      </c>
      <c r="S74" s="84" t="s">
        <v>45</v>
      </c>
      <c r="T74" s="61" t="s">
        <v>1898</v>
      </c>
      <c r="U74" s="61" t="s">
        <v>1898</v>
      </c>
      <c r="V74" s="101" t="str">
        <f>VLOOKUP(B74,[2]Overall!$A:$D,4,0)</f>
        <v>TELEINFRA CENTRE</v>
      </c>
      <c r="W74" s="101" t="str">
        <f>VLOOKUP(B74,[3]Sheet1!$A:$B,2,0)</f>
        <v>Evodoula</v>
      </c>
      <c r="X74" s="88" t="str">
        <f>LEFT(B74,3)</f>
        <v>CTR</v>
      </c>
      <c r="Y74" s="88" t="str">
        <f>IF(I74 &lt; 1/24, "T&lt;1H", IF(AND(I74&lt;2/24, I74&gt;1/24), "1H&lt;T&lt;2H", IF(AND(I74&lt;4/24, I74&gt;2/24), "2H&lt;T&lt;4H", IF(AND(I74&lt;8/24, I74&gt;4/24), "4H&lt;T&lt;8H", IF(AND(I74&lt;16/24, I74&gt;8/24), "8H&lt;T&lt;16H",IF(AND(I74&lt;24/24, I74&gt;16/24),"16H&lt;T&lt;24H", IF(AND(I74&lt;48/24, I74&gt;24/24),"24H&lt;T&lt;48H",IF(AND(I74&lt;72/24, I74&gt;24/24),"48H&lt;T&lt;72H", "T&gt;72H"))))))))</f>
        <v>1H&lt;T&lt;2H</v>
      </c>
      <c r="Z74" s="101">
        <f>IF(OR(E74="", E74="affected_cells=unknown"), "", LEN(E74)-LEN(SUBSTITUTE(E74, ",", "")) + LEN(E74)-LEN(SUBSTITUTE(E74, ";", "")) + 1)</f>
        <v>2</v>
      </c>
      <c r="AA74" s="61" t="s">
        <v>1566</v>
      </c>
      <c r="AB74" s="61" t="s">
        <v>1904</v>
      </c>
      <c r="AC74" s="105" t="s">
        <v>2485</v>
      </c>
      <c r="AD74" s="106" t="s">
        <v>1994</v>
      </c>
      <c r="AE74" s="61"/>
    </row>
  </sheetData>
  <autoFilter ref="A1:AE74" xr:uid="{25A04618-1482-4D3A-91D6-941F8D49739F}">
    <filterColumn colId="0">
      <filters>
        <filter val="Matsari_G9U9L8L7_CTR_301_MRBTS1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E422-D25A-4A77-B437-FF86B7EFB65D}">
  <sheetPr codeName="Sheet44">
    <tabColor rgb="FF0070C0"/>
  </sheetPr>
  <dimension ref="A1:AE77"/>
  <sheetViews>
    <sheetView zoomScale="53" zoomScaleNormal="53" workbookViewId="0">
      <pane xSplit="6" topLeftCell="P1" activePane="topRight" state="frozen"/>
      <selection activeCell="AB4" sqref="AB4"/>
      <selection pane="topRight" activeCell="E2" sqref="E2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x14ac:dyDescent="0.3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75">
        <f t="shared" ref="I2:I48" ca="1" si="0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61" t="s">
        <v>2383</v>
      </c>
      <c r="S2" s="61" t="s">
        <v>75</v>
      </c>
      <c r="T2" s="61" t="s">
        <v>1688</v>
      </c>
      <c r="U2" s="61" t="e">
        <v>#N/A</v>
      </c>
      <c r="V2" s="101" t="str">
        <f>VLOOKUP(B2,[2]Overall!$A:$D,4,0)</f>
        <v>TELEINFRA NORD</v>
      </c>
      <c r="W2" s="101" t="str">
        <f>VLOOKUP(B2,[3]Sheet1!$A:$B,2,0)</f>
        <v>Martap</v>
      </c>
      <c r="X2" s="88" t="str">
        <f t="shared" ref="X2:X30" si="1">LEFT(B2,3)</f>
        <v>ADM</v>
      </c>
      <c r="Y2" s="88" t="str">
        <f t="shared" ref="Y2:Y30" ca="1" si="2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30" si="3">IF(OR(E2="", E2="affected_cells=unknown"), "", LEN(E2)-LEN(SUBSTITUTE(E2, ",", "")) + LEN(E2)-LEN(SUBSTITUTE(E2, ";", "")) + 1)</f>
        <v>1</v>
      </c>
      <c r="AA2" s="61" t="s">
        <v>1566</v>
      </c>
      <c r="AB2" s="61" t="s">
        <v>1554</v>
      </c>
      <c r="AC2" s="105" t="s">
        <v>2530</v>
      </c>
      <c r="AD2" s="106" t="s">
        <v>1994</v>
      </c>
      <c r="AE2" s="61"/>
    </row>
    <row r="3" spans="1:31" ht="348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2491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1"/>
        <v>EXN</v>
      </c>
      <c r="Y3" s="88" t="str">
        <f t="shared" ca="1" si="2"/>
        <v>T&gt;72H</v>
      </c>
      <c r="Z3" s="101">
        <f t="shared" si="3"/>
        <v>4</v>
      </c>
      <c r="AA3" s="61" t="s">
        <v>1566</v>
      </c>
      <c r="AB3" s="61" t="s">
        <v>1554</v>
      </c>
      <c r="AC3" s="105" t="s">
        <v>2530</v>
      </c>
      <c r="AD3" s="106" t="s">
        <v>1994</v>
      </c>
      <c r="AE3" s="61"/>
    </row>
    <row r="4" spans="1:31" ht="348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2491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1"/>
        <v>EXN</v>
      </c>
      <c r="Y4" s="88" t="str">
        <f t="shared" ca="1" si="2"/>
        <v>T&gt;72H</v>
      </c>
      <c r="Z4" s="101">
        <f t="shared" si="3"/>
        <v>3</v>
      </c>
      <c r="AA4" s="61" t="s">
        <v>1566</v>
      </c>
      <c r="AB4" s="61" t="s">
        <v>1554</v>
      </c>
      <c r="AC4" s="105" t="s">
        <v>2530</v>
      </c>
      <c r="AD4" s="106" t="s">
        <v>1994</v>
      </c>
      <c r="AE4" s="61"/>
    </row>
    <row r="5" spans="1:31" ht="145" x14ac:dyDescent="0.3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2496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1"/>
        <v>EXN</v>
      </c>
      <c r="Y5" s="88" t="str">
        <f t="shared" ca="1" si="2"/>
        <v>T&gt;72H</v>
      </c>
      <c r="Z5" s="101">
        <f t="shared" si="3"/>
        <v>1</v>
      </c>
      <c r="AA5" s="61" t="s">
        <v>1566</v>
      </c>
      <c r="AB5" s="61" t="s">
        <v>1554</v>
      </c>
      <c r="AC5" s="105" t="s">
        <v>2530</v>
      </c>
      <c r="AD5" s="106" t="s">
        <v>1994</v>
      </c>
      <c r="AE5" s="61"/>
    </row>
    <row r="6" spans="1:31" ht="217.5" x14ac:dyDescent="0.35">
      <c r="A6" s="63" t="s">
        <v>1834</v>
      </c>
      <c r="B6" s="63" t="s">
        <v>1835</v>
      </c>
      <c r="C6" s="68"/>
      <c r="D6" s="63"/>
      <c r="E6" s="63" t="s">
        <v>39</v>
      </c>
      <c r="F6" s="71" t="s">
        <v>53</v>
      </c>
      <c r="G6" s="71" t="s">
        <v>2121</v>
      </c>
      <c r="H6" s="69">
        <v>46168.908518518518</v>
      </c>
      <c r="I6" s="77">
        <f t="shared" ca="1" si="0"/>
        <v>11.760173842594668</v>
      </c>
      <c r="J6" s="63"/>
      <c r="K6" s="63"/>
      <c r="L6" s="63"/>
      <c r="M6" s="63" t="s">
        <v>1836</v>
      </c>
      <c r="N6" s="63" t="s">
        <v>1837</v>
      </c>
      <c r="O6" s="63"/>
      <c r="P6" s="63" t="s">
        <v>2594</v>
      </c>
      <c r="Q6" s="108">
        <v>46148</v>
      </c>
      <c r="R6" s="63" t="s">
        <v>2593</v>
      </c>
      <c r="S6" s="63" t="s">
        <v>85</v>
      </c>
      <c r="T6" s="63" t="s">
        <v>1899</v>
      </c>
      <c r="U6" s="63" t="s">
        <v>1899</v>
      </c>
      <c r="V6" s="107" t="str">
        <f>VLOOKUP(B6,[2]Overall!$A:$D,4,0)</f>
        <v>H-TELI</v>
      </c>
      <c r="W6" s="107" t="str">
        <f>VLOOKUP(B6,[3]Sheet1!$A:$B,2,0)</f>
        <v>Ebonji</v>
      </c>
      <c r="X6" s="89" t="str">
        <f t="shared" si="1"/>
        <v>SUO</v>
      </c>
      <c r="Y6" s="89" t="str">
        <f t="shared" ca="1" si="2"/>
        <v>T&gt;72H</v>
      </c>
      <c r="Z6" s="107">
        <f t="shared" si="3"/>
        <v>1</v>
      </c>
      <c r="AA6" s="63" t="s">
        <v>77</v>
      </c>
      <c r="AB6" s="63" t="s">
        <v>1554</v>
      </c>
      <c r="AC6" s="108" t="s">
        <v>2530</v>
      </c>
      <c r="AD6" s="109" t="s">
        <v>1994</v>
      </c>
      <c r="AE6" s="63"/>
    </row>
    <row r="7" spans="1:31" ht="130.5" x14ac:dyDescent="0.35">
      <c r="A7" s="61" t="s">
        <v>1930</v>
      </c>
      <c r="B7" s="61" t="s">
        <v>1931</v>
      </c>
      <c r="C7" s="65"/>
      <c r="D7" s="61"/>
      <c r="E7" s="61" t="s">
        <v>34</v>
      </c>
      <c r="F7" s="70" t="s">
        <v>53</v>
      </c>
      <c r="G7" s="70" t="s">
        <v>2121</v>
      </c>
      <c r="H7" s="67">
        <v>46172.534074074072</v>
      </c>
      <c r="I7" s="75">
        <f t="shared" ca="1" si="0"/>
        <v>8.1346182870402117</v>
      </c>
      <c r="J7" s="61"/>
      <c r="K7" s="61"/>
      <c r="L7" s="61"/>
      <c r="M7" s="61" t="s">
        <v>1929</v>
      </c>
      <c r="N7" s="61" t="s">
        <v>1932</v>
      </c>
      <c r="O7" s="61"/>
      <c r="P7" s="61"/>
      <c r="Q7" s="61"/>
      <c r="R7" s="61" t="s">
        <v>2493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Mazera</v>
      </c>
      <c r="X7" s="88" t="str">
        <f t="shared" si="1"/>
        <v>EXN</v>
      </c>
      <c r="Y7" s="88" t="str">
        <f t="shared" ca="1" si="2"/>
        <v>T&gt;72H</v>
      </c>
      <c r="Z7" s="101">
        <f t="shared" si="3"/>
        <v>1</v>
      </c>
      <c r="AA7" s="61" t="s">
        <v>1566</v>
      </c>
      <c r="AB7" s="61" t="s">
        <v>1554</v>
      </c>
      <c r="AC7" s="105" t="s">
        <v>2530</v>
      </c>
      <c r="AD7" s="106" t="s">
        <v>1994</v>
      </c>
      <c r="AE7" s="61"/>
    </row>
    <row r="8" spans="1:31" ht="409.5" x14ac:dyDescent="0.35">
      <c r="A8" s="61" t="s">
        <v>1773</v>
      </c>
      <c r="B8" s="61" t="s">
        <v>1774</v>
      </c>
      <c r="C8" s="65"/>
      <c r="D8" s="61"/>
      <c r="E8" s="61" t="s">
        <v>1956</v>
      </c>
      <c r="F8" s="70" t="s">
        <v>53</v>
      </c>
      <c r="G8" s="70" t="s">
        <v>2121</v>
      </c>
      <c r="H8" s="67">
        <v>46172.719837962963</v>
      </c>
      <c r="I8" s="75">
        <f t="shared" ca="1" si="0"/>
        <v>7.948854398149706</v>
      </c>
      <c r="J8" s="61"/>
      <c r="K8" s="61"/>
      <c r="L8" s="61"/>
      <c r="M8" s="61" t="s">
        <v>31</v>
      </c>
      <c r="N8" s="61" t="s">
        <v>1957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1"/>
        <v>NRD</v>
      </c>
      <c r="Y8" s="88" t="str">
        <f t="shared" ca="1" si="2"/>
        <v>T&gt;72H</v>
      </c>
      <c r="Z8" s="101">
        <f t="shared" si="3"/>
        <v>3</v>
      </c>
      <c r="AA8" s="61" t="s">
        <v>1566</v>
      </c>
      <c r="AB8" s="61" t="s">
        <v>1554</v>
      </c>
      <c r="AC8" s="105" t="s">
        <v>2530</v>
      </c>
      <c r="AD8" s="106" t="s">
        <v>1994</v>
      </c>
      <c r="AE8" s="61"/>
    </row>
    <row r="9" spans="1:31" ht="409.5" x14ac:dyDescent="0.35">
      <c r="A9" s="61" t="s">
        <v>1773</v>
      </c>
      <c r="B9" s="61" t="s">
        <v>1774</v>
      </c>
      <c r="C9" s="65"/>
      <c r="D9" s="61"/>
      <c r="E9" s="61" t="s">
        <v>35</v>
      </c>
      <c r="F9" s="70" t="s">
        <v>53</v>
      </c>
      <c r="G9" s="70" t="s">
        <v>2121</v>
      </c>
      <c r="H9" s="67">
        <v>46172.719837962963</v>
      </c>
      <c r="I9" s="75">
        <f t="shared" ca="1" si="0"/>
        <v>7.948854398149706</v>
      </c>
      <c r="J9" s="61"/>
      <c r="K9" s="61"/>
      <c r="L9" s="61"/>
      <c r="M9" s="61" t="s">
        <v>31</v>
      </c>
      <c r="N9" s="61" t="s">
        <v>1775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1"/>
        <v>NRD</v>
      </c>
      <c r="Y9" s="88" t="str">
        <f t="shared" ca="1" si="2"/>
        <v>T&gt;72H</v>
      </c>
      <c r="Z9" s="101">
        <f t="shared" si="3"/>
        <v>3</v>
      </c>
      <c r="AA9" s="61" t="s">
        <v>1566</v>
      </c>
      <c r="AB9" s="61" t="s">
        <v>1554</v>
      </c>
      <c r="AC9" s="105" t="s">
        <v>2530</v>
      </c>
      <c r="AD9" s="106" t="s">
        <v>1994</v>
      </c>
      <c r="AE9" s="61"/>
    </row>
    <row r="10" spans="1:31" ht="409.5" x14ac:dyDescent="0.35">
      <c r="A10" s="61" t="s">
        <v>1773</v>
      </c>
      <c r="B10" s="61" t="s">
        <v>1774</v>
      </c>
      <c r="C10" s="65"/>
      <c r="D10" s="61"/>
      <c r="E10" s="61" t="s">
        <v>1954</v>
      </c>
      <c r="F10" s="70" t="s">
        <v>53</v>
      </c>
      <c r="G10" s="70" t="s">
        <v>2121</v>
      </c>
      <c r="H10" s="67">
        <v>46172.724965277775</v>
      </c>
      <c r="I10" s="75">
        <f t="shared" ca="1" si="0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1"/>
        <v>NRD</v>
      </c>
      <c r="Y10" s="88" t="str">
        <f t="shared" ca="1" si="2"/>
        <v>T&gt;72H</v>
      </c>
      <c r="Z10" s="101">
        <f t="shared" si="3"/>
        <v>1</v>
      </c>
      <c r="AA10" s="61" t="s">
        <v>1566</v>
      </c>
      <c r="AB10" s="61" t="s">
        <v>1554</v>
      </c>
      <c r="AC10" s="105" t="s">
        <v>2530</v>
      </c>
      <c r="AD10" s="106" t="s">
        <v>1994</v>
      </c>
      <c r="AE10" s="61"/>
    </row>
    <row r="11" spans="1:31" ht="409.5" x14ac:dyDescent="0.35">
      <c r="A11" s="61" t="s">
        <v>1773</v>
      </c>
      <c r="B11" s="61" t="s">
        <v>1774</v>
      </c>
      <c r="C11" s="65"/>
      <c r="D11" s="61"/>
      <c r="E11" s="61" t="s">
        <v>1955</v>
      </c>
      <c r="F11" s="70" t="s">
        <v>53</v>
      </c>
      <c r="G11" s="70" t="s">
        <v>2121</v>
      </c>
      <c r="H11" s="67">
        <v>46172.724965277775</v>
      </c>
      <c r="I11" s="75">
        <f t="shared" ca="1" si="0"/>
        <v>7.943727083336853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2492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1"/>
        <v>NRD</v>
      </c>
      <c r="Y11" s="88" t="str">
        <f t="shared" ca="1" si="2"/>
        <v>T&gt;72H</v>
      </c>
      <c r="Z11" s="101">
        <f t="shared" si="3"/>
        <v>1</v>
      </c>
      <c r="AA11" s="61" t="s">
        <v>1566</v>
      </c>
      <c r="AB11" s="61" t="s">
        <v>1554</v>
      </c>
      <c r="AC11" s="105" t="s">
        <v>2530</v>
      </c>
      <c r="AD11" s="106" t="s">
        <v>1994</v>
      </c>
      <c r="AE11" s="61"/>
    </row>
    <row r="12" spans="1:31" ht="409.5" x14ac:dyDescent="0.35">
      <c r="A12" s="61" t="s">
        <v>1773</v>
      </c>
      <c r="B12" s="61" t="s">
        <v>1774</v>
      </c>
      <c r="C12" s="65"/>
      <c r="D12" s="61"/>
      <c r="E12" s="61" t="s">
        <v>1953</v>
      </c>
      <c r="F12" s="70" t="s">
        <v>53</v>
      </c>
      <c r="G12" s="70" t="s">
        <v>2121</v>
      </c>
      <c r="H12" s="67">
        <v>46172.724965277775</v>
      </c>
      <c r="I12" s="75">
        <f t="shared" ca="1" si="0"/>
        <v>7.943727083336853</v>
      </c>
      <c r="J12" s="61"/>
      <c r="K12" s="61"/>
      <c r="L12" s="61"/>
      <c r="M12" s="61" t="s">
        <v>1750</v>
      </c>
      <c r="N12" s="61" t="s">
        <v>1751</v>
      </c>
      <c r="O12" s="61"/>
      <c r="P12" s="61"/>
      <c r="Q12" s="61"/>
      <c r="R12" s="61" t="s">
        <v>2492</v>
      </c>
      <c r="S12" s="61" t="s">
        <v>40</v>
      </c>
      <c r="T12" s="61" t="s">
        <v>1898</v>
      </c>
      <c r="U12" s="61" t="s">
        <v>1898</v>
      </c>
      <c r="V12" s="101" t="str">
        <f>VLOOKUP(B12,[2]Overall!$A:$D,4,0)</f>
        <v>TELEINFRA NORD</v>
      </c>
      <c r="W12" s="101" t="str">
        <f>VLOOKUP(B12,[3]Sheet1!$A:$B,2,0)</f>
        <v>Hamalade</v>
      </c>
      <c r="X12" s="88" t="str">
        <f t="shared" si="1"/>
        <v>NRD</v>
      </c>
      <c r="Y12" s="88" t="str">
        <f t="shared" ca="1" si="2"/>
        <v>T&gt;72H</v>
      </c>
      <c r="Z12" s="101">
        <f t="shared" si="3"/>
        <v>1</v>
      </c>
      <c r="AA12" s="61" t="s">
        <v>1566</v>
      </c>
      <c r="AB12" s="61" t="s">
        <v>1554</v>
      </c>
      <c r="AC12" s="105" t="s">
        <v>2530</v>
      </c>
      <c r="AD12" s="106" t="s">
        <v>1994</v>
      </c>
      <c r="AE12" s="61"/>
    </row>
    <row r="13" spans="1:31" ht="409.5" x14ac:dyDescent="0.35">
      <c r="A13" s="61" t="s">
        <v>1724</v>
      </c>
      <c r="B13" s="61" t="s">
        <v>1725</v>
      </c>
      <c r="C13" s="65"/>
      <c r="D13" s="61"/>
      <c r="E13" s="61" t="s">
        <v>1726</v>
      </c>
      <c r="F13" s="70" t="s">
        <v>53</v>
      </c>
      <c r="G13" s="70" t="s">
        <v>2121</v>
      </c>
      <c r="H13" s="67">
        <v>46172.76761574074</v>
      </c>
      <c r="I13" s="75">
        <f t="shared" ca="1" si="0"/>
        <v>7.9010766203718958</v>
      </c>
      <c r="J13" s="61"/>
      <c r="K13" s="61"/>
      <c r="L13" s="61"/>
      <c r="M13" s="61" t="s">
        <v>33</v>
      </c>
      <c r="N13" s="61" t="s">
        <v>1635</v>
      </c>
      <c r="O13" s="61"/>
      <c r="P13" s="61"/>
      <c r="Q13" s="61"/>
      <c r="R13" s="61" t="s">
        <v>2504</v>
      </c>
      <c r="S13" s="61" t="s">
        <v>32</v>
      </c>
      <c r="T13" s="61" t="s">
        <v>1898</v>
      </c>
      <c r="U13" s="61" t="s">
        <v>1898</v>
      </c>
      <c r="V13" s="101" t="str">
        <f>VLOOKUP(B13,[2]Overall!$A:$D,4,0)</f>
        <v xml:space="preserve">I-ENG </v>
      </c>
      <c r="W13" s="101" t="str">
        <f>VLOOKUP(B13,[3]Sheet1!$A:$B,2,0)</f>
        <v>Mbakong</v>
      </c>
      <c r="X13" s="88" t="str">
        <f t="shared" si="1"/>
        <v>NRO</v>
      </c>
      <c r="Y13" s="88" t="str">
        <f t="shared" ca="1" si="2"/>
        <v>T&gt;72H</v>
      </c>
      <c r="Z13" s="101">
        <f t="shared" si="3"/>
        <v>2</v>
      </c>
      <c r="AA13" s="61" t="s">
        <v>1566</v>
      </c>
      <c r="AB13" s="61" t="s">
        <v>1554</v>
      </c>
      <c r="AC13" s="105" t="s">
        <v>2530</v>
      </c>
      <c r="AD13" s="106" t="s">
        <v>1994</v>
      </c>
      <c r="AE13" s="61"/>
    </row>
    <row r="14" spans="1:31" ht="188.5" x14ac:dyDescent="0.35">
      <c r="A14" s="63" t="s">
        <v>1881</v>
      </c>
      <c r="B14" s="63" t="s">
        <v>1880</v>
      </c>
      <c r="C14" s="68"/>
      <c r="D14" s="63"/>
      <c r="E14" s="63" t="s">
        <v>1991</v>
      </c>
      <c r="F14" s="71" t="s">
        <v>53</v>
      </c>
      <c r="G14" s="71" t="s">
        <v>2121</v>
      </c>
      <c r="H14" s="69">
        <v>46174.267314814817</v>
      </c>
      <c r="I14" s="77">
        <f t="shared" ca="1" si="0"/>
        <v>6.4013775462954072</v>
      </c>
      <c r="J14" s="63"/>
      <c r="K14" s="63"/>
      <c r="L14" s="63"/>
      <c r="M14" s="63" t="s">
        <v>1769</v>
      </c>
      <c r="N14" s="63" t="s">
        <v>1770</v>
      </c>
      <c r="O14" s="63"/>
      <c r="P14" s="63" t="s">
        <v>2595</v>
      </c>
      <c r="Q14" s="63"/>
      <c r="R14" s="63" t="s">
        <v>2487</v>
      </c>
      <c r="S14" s="63" t="s">
        <v>71</v>
      </c>
      <c r="T14" s="63" t="s">
        <v>1902</v>
      </c>
      <c r="U14" s="63" t="s">
        <v>1896</v>
      </c>
      <c r="V14" s="107" t="str">
        <f>VLOOKUP(B14,[2]Overall!$A:$D,4,0)</f>
        <v xml:space="preserve">I-ENG </v>
      </c>
      <c r="W14" s="107" t="str">
        <f>VLOOKUP(B14,[3]Sheet1!$A:$B,2,0)</f>
        <v>Fundong</v>
      </c>
      <c r="X14" s="89" t="str">
        <f t="shared" si="1"/>
        <v>NRO</v>
      </c>
      <c r="Y14" s="89" t="str">
        <f t="shared" ca="1" si="2"/>
        <v>T&gt;72H</v>
      </c>
      <c r="Z14" s="107">
        <f t="shared" si="3"/>
        <v>1</v>
      </c>
      <c r="AA14" s="63" t="s">
        <v>77</v>
      </c>
      <c r="AB14" s="63" t="s">
        <v>1554</v>
      </c>
      <c r="AC14" s="108" t="s">
        <v>2530</v>
      </c>
      <c r="AD14" s="109" t="s">
        <v>1994</v>
      </c>
      <c r="AE14" s="63"/>
    </row>
    <row r="15" spans="1:31" ht="130.5" x14ac:dyDescent="0.35">
      <c r="A15" s="61" t="s">
        <v>1843</v>
      </c>
      <c r="B15" s="61" t="s">
        <v>1844</v>
      </c>
      <c r="C15" s="65"/>
      <c r="D15" s="61"/>
      <c r="E15" s="61" t="s">
        <v>1879</v>
      </c>
      <c r="F15" s="70" t="s">
        <v>53</v>
      </c>
      <c r="G15" s="70" t="s">
        <v>2121</v>
      </c>
      <c r="H15" s="67">
        <v>46175.448993055557</v>
      </c>
      <c r="I15" s="75">
        <f t="shared" ca="1" si="0"/>
        <v>5.2196993055549683</v>
      </c>
      <c r="J15" s="61"/>
      <c r="K15" s="61"/>
      <c r="L15" s="61"/>
      <c r="M15" s="61" t="s">
        <v>38</v>
      </c>
      <c r="N15" s="61" t="s">
        <v>1845</v>
      </c>
      <c r="O15" s="61"/>
      <c r="P15" s="61"/>
      <c r="Q15" s="61"/>
      <c r="R15" s="61" t="s">
        <v>2380</v>
      </c>
      <c r="S15" s="61" t="s">
        <v>75</v>
      </c>
      <c r="T15" s="61" t="s">
        <v>1901</v>
      </c>
      <c r="U15" s="61" t="s">
        <v>1901</v>
      </c>
      <c r="V15" s="101" t="str">
        <f>VLOOKUP(B15,[2]Overall!$A:$D,4,0)</f>
        <v>TELEINFRA NORD</v>
      </c>
      <c r="W15" s="101" t="str">
        <f>VLOOKUP(B15,[3]Sheet1!$A:$B,2,0)</f>
        <v>Mayo-Nonde</v>
      </c>
      <c r="X15" s="88" t="str">
        <f t="shared" si="1"/>
        <v>NRD</v>
      </c>
      <c r="Y15" s="88" t="str">
        <f t="shared" ca="1" si="2"/>
        <v>T&gt;72H</v>
      </c>
      <c r="Z15" s="101">
        <f t="shared" si="3"/>
        <v>3</v>
      </c>
      <c r="AA15" s="61" t="s">
        <v>1566</v>
      </c>
      <c r="AB15" s="61" t="s">
        <v>1554</v>
      </c>
      <c r="AC15" s="105" t="s">
        <v>2530</v>
      </c>
      <c r="AD15" s="106" t="s">
        <v>1994</v>
      </c>
      <c r="AE15" s="61"/>
    </row>
    <row r="16" spans="1:31" ht="261" x14ac:dyDescent="0.35">
      <c r="A16" s="61" t="s">
        <v>1779</v>
      </c>
      <c r="B16" s="61" t="s">
        <v>1780</v>
      </c>
      <c r="C16" s="65"/>
      <c r="D16" s="61"/>
      <c r="E16" s="61" t="s">
        <v>37</v>
      </c>
      <c r="F16" s="70" t="s">
        <v>53</v>
      </c>
      <c r="G16" s="70" t="s">
        <v>2121</v>
      </c>
      <c r="H16" s="67">
        <v>46175.649039351854</v>
      </c>
      <c r="I16" s="75">
        <f t="shared" ca="1" si="0"/>
        <v>5.019653009258036</v>
      </c>
      <c r="J16" s="61"/>
      <c r="K16" s="61"/>
      <c r="L16" s="61"/>
      <c r="M16" s="61" t="s">
        <v>41</v>
      </c>
      <c r="N16" s="61" t="s">
        <v>1781</v>
      </c>
      <c r="O16" s="61"/>
      <c r="P16" s="61"/>
      <c r="Q16" s="61"/>
      <c r="R16" s="61" t="s">
        <v>2379</v>
      </c>
      <c r="S16" s="61" t="s">
        <v>75</v>
      </c>
      <c r="T16" s="61" t="s">
        <v>1840</v>
      </c>
      <c r="U16" s="61" t="s">
        <v>1840</v>
      </c>
      <c r="V16" s="101" t="str">
        <f>VLOOKUP(B16,[2]Overall!$A:$D,4,0)</f>
        <v>TELEINFRA NORD</v>
      </c>
      <c r="W16" s="101" t="str">
        <f>VLOOKUP(B16,[3]Sheet1!$A:$B,2,0)</f>
        <v>Badjonre</v>
      </c>
      <c r="X16" s="88" t="str">
        <f t="shared" si="1"/>
        <v>EXN</v>
      </c>
      <c r="Y16" s="88" t="str">
        <f t="shared" ca="1" si="2"/>
        <v>T&gt;72H</v>
      </c>
      <c r="Z16" s="101">
        <f t="shared" si="3"/>
        <v>1</v>
      </c>
      <c r="AA16" s="61" t="s">
        <v>1566</v>
      </c>
      <c r="AB16" s="61" t="s">
        <v>1554</v>
      </c>
      <c r="AC16" s="105" t="s">
        <v>2530</v>
      </c>
      <c r="AD16" s="106" t="s">
        <v>1994</v>
      </c>
      <c r="AE16" s="61"/>
    </row>
    <row r="17" spans="1:31" ht="261" x14ac:dyDescent="0.35">
      <c r="A17" s="61" t="s">
        <v>1779</v>
      </c>
      <c r="B17" s="61" t="s">
        <v>1780</v>
      </c>
      <c r="C17" s="65"/>
      <c r="D17" s="61"/>
      <c r="E17" s="61" t="s">
        <v>39</v>
      </c>
      <c r="F17" s="70" t="s">
        <v>53</v>
      </c>
      <c r="G17" s="70" t="s">
        <v>2121</v>
      </c>
      <c r="H17" s="67">
        <v>46175.681076388886</v>
      </c>
      <c r="I17" s="75">
        <f t="shared" ca="1" si="0"/>
        <v>4.9876159722261946</v>
      </c>
      <c r="J17" s="61"/>
      <c r="K17" s="61"/>
      <c r="L17" s="61"/>
      <c r="M17" s="61" t="s">
        <v>1707</v>
      </c>
      <c r="N17" s="61" t="s">
        <v>2162</v>
      </c>
      <c r="O17" s="61"/>
      <c r="P17" s="61"/>
      <c r="Q17" s="61"/>
      <c r="R17" s="61" t="s">
        <v>2379</v>
      </c>
      <c r="S17" s="61" t="s">
        <v>75</v>
      </c>
      <c r="T17" s="61" t="s">
        <v>1840</v>
      </c>
      <c r="U17" s="61" t="s">
        <v>1840</v>
      </c>
      <c r="V17" s="101" t="str">
        <f>VLOOKUP(B17,[2]Overall!$A:$D,4,0)</f>
        <v>TELEINFRA NORD</v>
      </c>
      <c r="W17" s="101" t="str">
        <f>VLOOKUP(B17,[3]Sheet1!$A:$B,2,0)</f>
        <v>Badjonre</v>
      </c>
      <c r="X17" s="88" t="str">
        <f t="shared" si="1"/>
        <v>EXN</v>
      </c>
      <c r="Y17" s="88" t="str">
        <f t="shared" ca="1" si="2"/>
        <v>T&gt;72H</v>
      </c>
      <c r="Z17" s="101">
        <f t="shared" si="3"/>
        <v>1</v>
      </c>
      <c r="AA17" s="61" t="s">
        <v>1566</v>
      </c>
      <c r="AB17" s="61" t="s">
        <v>1554</v>
      </c>
      <c r="AC17" s="105" t="s">
        <v>2530</v>
      </c>
      <c r="AD17" s="106" t="s">
        <v>1994</v>
      </c>
      <c r="AE17" s="61"/>
    </row>
    <row r="18" spans="1:31" ht="261" x14ac:dyDescent="0.35">
      <c r="A18" s="61" t="s">
        <v>1779</v>
      </c>
      <c r="B18" s="61" t="s">
        <v>1780</v>
      </c>
      <c r="C18" s="65"/>
      <c r="D18" s="61"/>
      <c r="E18" s="61" t="s">
        <v>2163</v>
      </c>
      <c r="F18" s="70" t="s">
        <v>53</v>
      </c>
      <c r="G18" s="70" t="s">
        <v>2121</v>
      </c>
      <c r="H18" s="67">
        <v>46175.683067129627</v>
      </c>
      <c r="I18" s="75">
        <f t="shared" ca="1" si="0"/>
        <v>4.9856252314857556</v>
      </c>
      <c r="J18" s="61"/>
      <c r="K18" s="61"/>
      <c r="L18" s="61"/>
      <c r="M18" s="61" t="s">
        <v>31</v>
      </c>
      <c r="N18" s="61" t="s">
        <v>2164</v>
      </c>
      <c r="O18" s="61"/>
      <c r="P18" s="61"/>
      <c r="Q18" s="61"/>
      <c r="R18" s="61" t="s">
        <v>2379</v>
      </c>
      <c r="S18" s="61" t="s">
        <v>75</v>
      </c>
      <c r="T18" s="61" t="s">
        <v>1840</v>
      </c>
      <c r="U18" s="61" t="s">
        <v>1840</v>
      </c>
      <c r="V18" s="101" t="str">
        <f>VLOOKUP(B18,[2]Overall!$A:$D,4,0)</f>
        <v>TELEINFRA NORD</v>
      </c>
      <c r="W18" s="101" t="str">
        <f>VLOOKUP(B18,[3]Sheet1!$A:$B,2,0)</f>
        <v>Badjonre</v>
      </c>
      <c r="X18" s="88" t="str">
        <f t="shared" si="1"/>
        <v>EXN</v>
      </c>
      <c r="Y18" s="88" t="str">
        <f t="shared" ca="1" si="2"/>
        <v>T&gt;72H</v>
      </c>
      <c r="Z18" s="101">
        <f t="shared" si="3"/>
        <v>9</v>
      </c>
      <c r="AA18" s="61" t="s">
        <v>1566</v>
      </c>
      <c r="AB18" s="61" t="s">
        <v>1554</v>
      </c>
      <c r="AC18" s="105" t="s">
        <v>2530</v>
      </c>
      <c r="AD18" s="106" t="s">
        <v>1994</v>
      </c>
      <c r="AE18" s="61"/>
    </row>
    <row r="19" spans="1:31" ht="261" x14ac:dyDescent="0.35">
      <c r="A19" s="61" t="s">
        <v>1779</v>
      </c>
      <c r="B19" s="61" t="s">
        <v>1780</v>
      </c>
      <c r="C19" s="65"/>
      <c r="D19" s="61"/>
      <c r="E19" s="61" t="s">
        <v>39</v>
      </c>
      <c r="F19" s="70" t="s">
        <v>53</v>
      </c>
      <c r="G19" s="70" t="s">
        <v>2121</v>
      </c>
      <c r="H19" s="67">
        <v>46175.683506944442</v>
      </c>
      <c r="I19" s="75">
        <f t="shared" ca="1" si="0"/>
        <v>4.9851854166699923</v>
      </c>
      <c r="J19" s="61"/>
      <c r="K19" s="61"/>
      <c r="L19" s="61"/>
      <c r="M19" s="61" t="s">
        <v>1769</v>
      </c>
      <c r="N19" s="61" t="s">
        <v>2165</v>
      </c>
      <c r="O19" s="61"/>
      <c r="P19" s="61"/>
      <c r="Q19" s="61"/>
      <c r="R19" s="61" t="s">
        <v>2379</v>
      </c>
      <c r="S19" s="61" t="s">
        <v>75</v>
      </c>
      <c r="T19" s="61" t="s">
        <v>1840</v>
      </c>
      <c r="U19" s="61" t="s">
        <v>1840</v>
      </c>
      <c r="V19" s="101" t="str">
        <f>VLOOKUP(B19,[2]Overall!$A:$D,4,0)</f>
        <v>TELEINFRA NORD</v>
      </c>
      <c r="W19" s="101" t="str">
        <f>VLOOKUP(B19,[3]Sheet1!$A:$B,2,0)</f>
        <v>Badjonre</v>
      </c>
      <c r="X19" s="88" t="str">
        <f t="shared" si="1"/>
        <v>EXN</v>
      </c>
      <c r="Y19" s="88" t="str">
        <f t="shared" ca="1" si="2"/>
        <v>T&gt;72H</v>
      </c>
      <c r="Z19" s="101">
        <f t="shared" si="3"/>
        <v>1</v>
      </c>
      <c r="AA19" s="61" t="s">
        <v>1566</v>
      </c>
      <c r="AB19" s="61" t="s">
        <v>1554</v>
      </c>
      <c r="AC19" s="105" t="s">
        <v>2530</v>
      </c>
      <c r="AD19" s="106" t="s">
        <v>1994</v>
      </c>
      <c r="AE19" s="61"/>
    </row>
    <row r="20" spans="1:31" ht="101.5" x14ac:dyDescent="0.35">
      <c r="A20" s="63" t="s">
        <v>1632</v>
      </c>
      <c r="B20" s="63" t="s">
        <v>1610</v>
      </c>
      <c r="C20" s="68"/>
      <c r="D20" s="63"/>
      <c r="E20" s="63" t="s">
        <v>49</v>
      </c>
      <c r="F20" s="71" t="s">
        <v>53</v>
      </c>
      <c r="G20" s="71" t="s">
        <v>2121</v>
      </c>
      <c r="H20" s="69">
        <v>46175.758483796293</v>
      </c>
      <c r="I20" s="77">
        <f t="shared" ca="1" si="0"/>
        <v>4.910208564819186</v>
      </c>
      <c r="J20" s="63"/>
      <c r="K20" s="63"/>
      <c r="L20" s="63"/>
      <c r="M20" s="63" t="s">
        <v>41</v>
      </c>
      <c r="N20" s="63" t="s">
        <v>1633</v>
      </c>
      <c r="O20" s="63"/>
      <c r="P20" s="63" t="s">
        <v>2595</v>
      </c>
      <c r="Q20" s="63"/>
      <c r="R20" s="63" t="s">
        <v>2386</v>
      </c>
      <c r="S20" s="63" t="s">
        <v>71</v>
      </c>
      <c r="T20" s="63" t="s">
        <v>1902</v>
      </c>
      <c r="U20" s="63" t="s">
        <v>1896</v>
      </c>
      <c r="V20" s="107" t="str">
        <f>VLOOKUP(B20,[2]Overall!$A:$D,4,0)</f>
        <v>TELEINFRA NORD</v>
      </c>
      <c r="W20" s="107" t="str">
        <f>VLOOKUP(B20,[3]Sheet1!$A:$B,2,0)</f>
        <v>Zileng</v>
      </c>
      <c r="X20" s="89" t="str">
        <f t="shared" si="1"/>
        <v>EXN</v>
      </c>
      <c r="Y20" s="89" t="str">
        <f t="shared" ca="1" si="2"/>
        <v>T&gt;72H</v>
      </c>
      <c r="Z20" s="107">
        <f t="shared" si="3"/>
        <v>1</v>
      </c>
      <c r="AA20" s="63" t="s">
        <v>77</v>
      </c>
      <c r="AB20" s="63" t="s">
        <v>1554</v>
      </c>
      <c r="AC20" s="108" t="s">
        <v>2530</v>
      </c>
      <c r="AD20" s="109" t="s">
        <v>1994</v>
      </c>
      <c r="AE20" s="63"/>
    </row>
    <row r="21" spans="1:31" ht="87" x14ac:dyDescent="0.35">
      <c r="A21" s="63" t="s">
        <v>1611</v>
      </c>
      <c r="B21" s="63" t="s">
        <v>1610</v>
      </c>
      <c r="C21" s="68"/>
      <c r="D21" s="63"/>
      <c r="E21" s="63" t="s">
        <v>1615</v>
      </c>
      <c r="F21" s="71" t="s">
        <v>53</v>
      </c>
      <c r="G21" s="71" t="s">
        <v>2121</v>
      </c>
      <c r="H21" s="69">
        <v>46175.759166666663</v>
      </c>
      <c r="I21" s="77">
        <f t="shared" ca="1" si="0"/>
        <v>4.9095256944492576</v>
      </c>
      <c r="J21" s="63"/>
      <c r="K21" s="63"/>
      <c r="L21" s="63"/>
      <c r="M21" s="63" t="s">
        <v>41</v>
      </c>
      <c r="N21" s="63" t="s">
        <v>42</v>
      </c>
      <c r="O21" s="63"/>
      <c r="P21" s="63" t="s">
        <v>2595</v>
      </c>
      <c r="Q21" s="63"/>
      <c r="R21" s="63" t="s">
        <v>2386</v>
      </c>
      <c r="S21" s="63" t="s">
        <v>71</v>
      </c>
      <c r="T21" s="63" t="s">
        <v>1902</v>
      </c>
      <c r="U21" s="63" t="s">
        <v>1896</v>
      </c>
      <c r="V21" s="107" t="str">
        <f>VLOOKUP(B21,[2]Overall!$A:$D,4,0)</f>
        <v>TELEINFRA NORD</v>
      </c>
      <c r="W21" s="107" t="str">
        <f>VLOOKUP(B21,[3]Sheet1!$A:$B,2,0)</f>
        <v>Zileng</v>
      </c>
      <c r="X21" s="89" t="str">
        <f t="shared" si="1"/>
        <v>EXN</v>
      </c>
      <c r="Y21" s="89" t="str">
        <f t="shared" ca="1" si="2"/>
        <v>T&gt;72H</v>
      </c>
      <c r="Z21" s="107">
        <f t="shared" si="3"/>
        <v>1</v>
      </c>
      <c r="AA21" s="63" t="s">
        <v>77</v>
      </c>
      <c r="AB21" s="63" t="s">
        <v>1554</v>
      </c>
      <c r="AC21" s="108" t="s">
        <v>2530</v>
      </c>
      <c r="AD21" s="109" t="s">
        <v>1994</v>
      </c>
      <c r="AE21" s="63"/>
    </row>
    <row r="22" spans="1:31" ht="87" x14ac:dyDescent="0.35">
      <c r="A22" s="63" t="s">
        <v>1611</v>
      </c>
      <c r="B22" s="63" t="s">
        <v>1610</v>
      </c>
      <c r="C22" s="68"/>
      <c r="D22" s="63"/>
      <c r="E22" s="63" t="s">
        <v>1613</v>
      </c>
      <c r="F22" s="71" t="s">
        <v>53</v>
      </c>
      <c r="G22" s="71" t="s">
        <v>2121</v>
      </c>
      <c r="H22" s="69">
        <v>46175.759166666663</v>
      </c>
      <c r="I22" s="77">
        <f t="shared" ca="1" si="0"/>
        <v>4.9095256944492576</v>
      </c>
      <c r="J22" s="63"/>
      <c r="K22" s="63"/>
      <c r="L22" s="63"/>
      <c r="M22" s="63" t="s">
        <v>41</v>
      </c>
      <c r="N22" s="63" t="s">
        <v>42</v>
      </c>
      <c r="O22" s="63"/>
      <c r="P22" s="63" t="s">
        <v>2595</v>
      </c>
      <c r="Q22" s="63"/>
      <c r="R22" s="63" t="s">
        <v>2386</v>
      </c>
      <c r="S22" s="63" t="s">
        <v>71</v>
      </c>
      <c r="T22" s="63" t="s">
        <v>1902</v>
      </c>
      <c r="U22" s="63" t="s">
        <v>1896</v>
      </c>
      <c r="V22" s="107" t="str">
        <f>VLOOKUP(B22,[2]Overall!$A:$D,4,0)</f>
        <v>TELEINFRA NORD</v>
      </c>
      <c r="W22" s="107" t="str">
        <f>VLOOKUP(B22,[3]Sheet1!$A:$B,2,0)</f>
        <v>Zileng</v>
      </c>
      <c r="X22" s="89" t="str">
        <f t="shared" si="1"/>
        <v>EXN</v>
      </c>
      <c r="Y22" s="89" t="str">
        <f t="shared" ca="1" si="2"/>
        <v>T&gt;72H</v>
      </c>
      <c r="Z22" s="107">
        <f t="shared" si="3"/>
        <v>1</v>
      </c>
      <c r="AA22" s="63" t="s">
        <v>77</v>
      </c>
      <c r="AB22" s="63" t="s">
        <v>1554</v>
      </c>
      <c r="AC22" s="108" t="s">
        <v>2530</v>
      </c>
      <c r="AD22" s="109" t="s">
        <v>1994</v>
      </c>
      <c r="AE22" s="63"/>
    </row>
    <row r="23" spans="1:31" ht="87" x14ac:dyDescent="0.35">
      <c r="A23" s="63" t="s">
        <v>1611</v>
      </c>
      <c r="B23" s="63" t="s">
        <v>1610</v>
      </c>
      <c r="C23" s="68"/>
      <c r="D23" s="63"/>
      <c r="E23" s="63" t="s">
        <v>1617</v>
      </c>
      <c r="F23" s="71" t="s">
        <v>53</v>
      </c>
      <c r="G23" s="71" t="s">
        <v>2121</v>
      </c>
      <c r="H23" s="69">
        <v>46175.759166666663</v>
      </c>
      <c r="I23" s="77">
        <f t="shared" ca="1" si="0"/>
        <v>4.9095256944492576</v>
      </c>
      <c r="J23" s="63"/>
      <c r="K23" s="63"/>
      <c r="L23" s="63"/>
      <c r="M23" s="63" t="s">
        <v>41</v>
      </c>
      <c r="N23" s="63" t="s">
        <v>42</v>
      </c>
      <c r="O23" s="63"/>
      <c r="P23" s="63" t="s">
        <v>2595</v>
      </c>
      <c r="Q23" s="63"/>
      <c r="R23" s="63" t="s">
        <v>2386</v>
      </c>
      <c r="S23" s="63" t="s">
        <v>71</v>
      </c>
      <c r="T23" s="63" t="s">
        <v>1902</v>
      </c>
      <c r="U23" s="63" t="s">
        <v>1896</v>
      </c>
      <c r="V23" s="107" t="str">
        <f>VLOOKUP(B23,[2]Overall!$A:$D,4,0)</f>
        <v>TELEINFRA NORD</v>
      </c>
      <c r="W23" s="107" t="str">
        <f>VLOOKUP(B23,[3]Sheet1!$A:$B,2,0)</f>
        <v>Zileng</v>
      </c>
      <c r="X23" s="89" t="str">
        <f t="shared" si="1"/>
        <v>EXN</v>
      </c>
      <c r="Y23" s="89" t="str">
        <f t="shared" ca="1" si="2"/>
        <v>T&gt;72H</v>
      </c>
      <c r="Z23" s="107">
        <f t="shared" si="3"/>
        <v>1</v>
      </c>
      <c r="AA23" s="63" t="s">
        <v>77</v>
      </c>
      <c r="AB23" s="63" t="s">
        <v>1554</v>
      </c>
      <c r="AC23" s="108" t="s">
        <v>2530</v>
      </c>
      <c r="AD23" s="109" t="s">
        <v>1994</v>
      </c>
      <c r="AE23" s="63"/>
    </row>
    <row r="24" spans="1:31" ht="116" x14ac:dyDescent="0.35">
      <c r="A24" s="61" t="s">
        <v>1892</v>
      </c>
      <c r="B24" s="61" t="s">
        <v>1893</v>
      </c>
      <c r="C24" s="65"/>
      <c r="D24" s="61"/>
      <c r="E24" s="61" t="s">
        <v>2199</v>
      </c>
      <c r="F24" s="70" t="s">
        <v>53</v>
      </c>
      <c r="G24" s="70" t="s">
        <v>2121</v>
      </c>
      <c r="H24" s="67">
        <v>46175.837418981479</v>
      </c>
      <c r="I24" s="75">
        <f t="shared" ca="1" si="0"/>
        <v>4.8312733796337852</v>
      </c>
      <c r="J24" s="61"/>
      <c r="K24" s="61"/>
      <c r="L24" s="61"/>
      <c r="M24" s="61" t="s">
        <v>41</v>
      </c>
      <c r="N24" s="61" t="s">
        <v>42</v>
      </c>
      <c r="O24" s="61"/>
      <c r="P24" s="61"/>
      <c r="Q24" s="61"/>
      <c r="R24" s="61" t="s">
        <v>2378</v>
      </c>
      <c r="S24" s="61" t="s">
        <v>75</v>
      </c>
      <c r="T24" s="61" t="s">
        <v>1688</v>
      </c>
      <c r="U24" s="61" t="s">
        <v>1688</v>
      </c>
      <c r="V24" s="101" t="str">
        <f>VLOOKUP(B24,[2]Overall!$A:$D,4,0)</f>
        <v>H-TELI</v>
      </c>
      <c r="W24" s="101" t="str">
        <f>VLOOKUP(B24,[3]Sheet1!$A:$B,2,0)</f>
        <v>Santchou</v>
      </c>
      <c r="X24" s="88" t="str">
        <f t="shared" si="1"/>
        <v>OST</v>
      </c>
      <c r="Y24" s="88" t="str">
        <f t="shared" ca="1" si="2"/>
        <v>T&gt;72H</v>
      </c>
      <c r="Z24" s="101">
        <f t="shared" si="3"/>
        <v>1</v>
      </c>
      <c r="AA24" s="61" t="s">
        <v>1566</v>
      </c>
      <c r="AB24" s="61" t="s">
        <v>1554</v>
      </c>
      <c r="AC24" s="105" t="s">
        <v>2530</v>
      </c>
      <c r="AD24" s="106" t="s">
        <v>1994</v>
      </c>
      <c r="AE24" s="61"/>
    </row>
    <row r="25" spans="1:31" ht="116" x14ac:dyDescent="0.35">
      <c r="A25" s="61" t="s">
        <v>1892</v>
      </c>
      <c r="B25" s="61" t="s">
        <v>1893</v>
      </c>
      <c r="C25" s="65"/>
      <c r="D25" s="61"/>
      <c r="E25" s="61" t="s">
        <v>2200</v>
      </c>
      <c r="F25" s="70" t="s">
        <v>53</v>
      </c>
      <c r="G25" s="70" t="s">
        <v>2121</v>
      </c>
      <c r="H25" s="67">
        <v>46175.837430555555</v>
      </c>
      <c r="I25" s="75">
        <f t="shared" ca="1" si="0"/>
        <v>4.8312618055570056</v>
      </c>
      <c r="J25" s="61"/>
      <c r="K25" s="61"/>
      <c r="L25" s="61"/>
      <c r="M25" s="61" t="s">
        <v>41</v>
      </c>
      <c r="N25" s="61" t="s">
        <v>42</v>
      </c>
      <c r="O25" s="61"/>
      <c r="P25" s="61"/>
      <c r="Q25" s="61"/>
      <c r="R25" s="61" t="s">
        <v>2378</v>
      </c>
      <c r="S25" s="61" t="s">
        <v>75</v>
      </c>
      <c r="T25" s="61" t="s">
        <v>1688</v>
      </c>
      <c r="U25" s="61" t="s">
        <v>1688</v>
      </c>
      <c r="V25" s="101" t="str">
        <f>VLOOKUP(B25,[2]Overall!$A:$D,4,0)</f>
        <v>H-TELI</v>
      </c>
      <c r="W25" s="101" t="str">
        <f>VLOOKUP(B25,[3]Sheet1!$A:$B,2,0)</f>
        <v>Santchou</v>
      </c>
      <c r="X25" s="88" t="str">
        <f t="shared" si="1"/>
        <v>OST</v>
      </c>
      <c r="Y25" s="88" t="str">
        <f t="shared" ca="1" si="2"/>
        <v>T&gt;72H</v>
      </c>
      <c r="Z25" s="101">
        <f t="shared" si="3"/>
        <v>1</v>
      </c>
      <c r="AA25" s="61" t="s">
        <v>1566</v>
      </c>
      <c r="AB25" s="61" t="s">
        <v>1554</v>
      </c>
      <c r="AC25" s="105" t="s">
        <v>2530</v>
      </c>
      <c r="AD25" s="106" t="s">
        <v>1994</v>
      </c>
      <c r="AE25" s="61"/>
    </row>
    <row r="26" spans="1:31" ht="116" x14ac:dyDescent="0.35">
      <c r="A26" s="61" t="s">
        <v>1892</v>
      </c>
      <c r="B26" s="61" t="s">
        <v>1893</v>
      </c>
      <c r="C26" s="65"/>
      <c r="D26" s="61"/>
      <c r="E26" s="61" t="s">
        <v>2201</v>
      </c>
      <c r="F26" s="70" t="s">
        <v>53</v>
      </c>
      <c r="G26" s="70" t="s">
        <v>2121</v>
      </c>
      <c r="H26" s="67">
        <v>46175.837407407409</v>
      </c>
      <c r="I26" s="75">
        <f t="shared" ca="1" si="0"/>
        <v>4.8312849537032889</v>
      </c>
      <c r="J26" s="61"/>
      <c r="K26" s="61"/>
      <c r="L26" s="61"/>
      <c r="M26" s="61" t="s">
        <v>41</v>
      </c>
      <c r="N26" s="61" t="s">
        <v>42</v>
      </c>
      <c r="O26" s="61"/>
      <c r="P26" s="61"/>
      <c r="Q26" s="61"/>
      <c r="R26" s="61" t="s">
        <v>2378</v>
      </c>
      <c r="S26" s="61" t="s">
        <v>75</v>
      </c>
      <c r="T26" s="61" t="s">
        <v>1688</v>
      </c>
      <c r="U26" s="61" t="s">
        <v>1688</v>
      </c>
      <c r="V26" s="101" t="str">
        <f>VLOOKUP(B26,[2]Overall!$A:$D,4,0)</f>
        <v>H-TELI</v>
      </c>
      <c r="W26" s="101" t="str">
        <f>VLOOKUP(B26,[3]Sheet1!$A:$B,2,0)</f>
        <v>Santchou</v>
      </c>
      <c r="X26" s="88" t="str">
        <f t="shared" si="1"/>
        <v>OST</v>
      </c>
      <c r="Y26" s="88" t="str">
        <f t="shared" ca="1" si="2"/>
        <v>T&gt;72H</v>
      </c>
      <c r="Z26" s="101">
        <f t="shared" si="3"/>
        <v>1</v>
      </c>
      <c r="AA26" s="61" t="s">
        <v>1566</v>
      </c>
      <c r="AB26" s="61" t="s">
        <v>1554</v>
      </c>
      <c r="AC26" s="105" t="s">
        <v>2530</v>
      </c>
      <c r="AD26" s="106" t="s">
        <v>1994</v>
      </c>
      <c r="AE26" s="61"/>
    </row>
    <row r="27" spans="1:31" ht="116" x14ac:dyDescent="0.35">
      <c r="A27" s="61" t="s">
        <v>1892</v>
      </c>
      <c r="B27" s="61" t="s">
        <v>1893</v>
      </c>
      <c r="C27" s="65"/>
      <c r="D27" s="61"/>
      <c r="E27" s="61" t="s">
        <v>2202</v>
      </c>
      <c r="F27" s="70" t="s">
        <v>53</v>
      </c>
      <c r="G27" s="70" t="s">
        <v>2121</v>
      </c>
      <c r="H27" s="67">
        <v>46175.837430555555</v>
      </c>
      <c r="I27" s="75">
        <f t="shared" ca="1" si="0"/>
        <v>4.8312618055570056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2378</v>
      </c>
      <c r="S27" s="61" t="s">
        <v>75</v>
      </c>
      <c r="T27" s="61" t="s">
        <v>1688</v>
      </c>
      <c r="U27" s="6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1"/>
        <v>OST</v>
      </c>
      <c r="Y27" s="88" t="str">
        <f t="shared" ca="1" si="2"/>
        <v>T&gt;72H</v>
      </c>
      <c r="Z27" s="101">
        <f t="shared" si="3"/>
        <v>1</v>
      </c>
      <c r="AA27" s="61" t="s">
        <v>1566</v>
      </c>
      <c r="AB27" s="61" t="s">
        <v>1554</v>
      </c>
      <c r="AC27" s="105" t="s">
        <v>2530</v>
      </c>
      <c r="AD27" s="106" t="s">
        <v>1994</v>
      </c>
      <c r="AE27" s="61"/>
    </row>
    <row r="28" spans="1:31" ht="116" x14ac:dyDescent="0.35">
      <c r="A28" s="61" t="s">
        <v>1892</v>
      </c>
      <c r="B28" s="61" t="s">
        <v>1893</v>
      </c>
      <c r="C28" s="65"/>
      <c r="D28" s="61"/>
      <c r="E28" s="61" t="s">
        <v>2203</v>
      </c>
      <c r="F28" s="70" t="s">
        <v>53</v>
      </c>
      <c r="G28" s="70" t="s">
        <v>2121</v>
      </c>
      <c r="H28" s="67">
        <v>46175.837430555555</v>
      </c>
      <c r="I28" s="75">
        <f t="shared" ca="1" si="0"/>
        <v>4.8312618055570056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2378</v>
      </c>
      <c r="S28" s="61" t="s">
        <v>75</v>
      </c>
      <c r="T28" s="61" t="s">
        <v>1688</v>
      </c>
      <c r="U28" s="6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1"/>
        <v>OST</v>
      </c>
      <c r="Y28" s="88" t="str">
        <f t="shared" ca="1" si="2"/>
        <v>T&gt;72H</v>
      </c>
      <c r="Z28" s="101">
        <f t="shared" si="3"/>
        <v>1</v>
      </c>
      <c r="AA28" s="61" t="s">
        <v>1566</v>
      </c>
      <c r="AB28" s="61" t="s">
        <v>1554</v>
      </c>
      <c r="AC28" s="105" t="s">
        <v>2530</v>
      </c>
      <c r="AD28" s="106" t="s">
        <v>1994</v>
      </c>
      <c r="AE28" s="61"/>
    </row>
    <row r="29" spans="1:31" ht="116" x14ac:dyDescent="0.35">
      <c r="A29" s="61" t="s">
        <v>1892</v>
      </c>
      <c r="B29" s="61" t="s">
        <v>1893</v>
      </c>
      <c r="C29" s="65"/>
      <c r="D29" s="61"/>
      <c r="E29" s="61" t="s">
        <v>2204</v>
      </c>
      <c r="F29" s="70" t="s">
        <v>53</v>
      </c>
      <c r="G29" s="70" t="s">
        <v>2121</v>
      </c>
      <c r="H29" s="67">
        <v>46175.837430555555</v>
      </c>
      <c r="I29" s="75">
        <f t="shared" ca="1" si="0"/>
        <v>4.8312618055570056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2378</v>
      </c>
      <c r="S29" s="61" t="s">
        <v>75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1"/>
        <v>OST</v>
      </c>
      <c r="Y29" s="88" t="str">
        <f t="shared" ca="1" si="2"/>
        <v>T&gt;72H</v>
      </c>
      <c r="Z29" s="101">
        <f t="shared" si="3"/>
        <v>1</v>
      </c>
      <c r="AA29" s="61" t="s">
        <v>1566</v>
      </c>
      <c r="AB29" s="61" t="s">
        <v>1554</v>
      </c>
      <c r="AC29" s="105" t="s">
        <v>2530</v>
      </c>
      <c r="AD29" s="106" t="s">
        <v>1994</v>
      </c>
      <c r="AE29" s="61"/>
    </row>
    <row r="30" spans="1:31" ht="391.5" x14ac:dyDescent="0.35">
      <c r="A30" s="61" t="s">
        <v>1917</v>
      </c>
      <c r="B30" s="61" t="s">
        <v>1711</v>
      </c>
      <c r="C30" s="65"/>
      <c r="D30" s="61"/>
      <c r="E30" s="61" t="s">
        <v>49</v>
      </c>
      <c r="F30" s="70" t="s">
        <v>53</v>
      </c>
      <c r="G30" s="70" t="s">
        <v>2121</v>
      </c>
      <c r="H30" s="67">
        <v>46176.253738425927</v>
      </c>
      <c r="I30" s="75">
        <f t="shared" ca="1" si="0"/>
        <v>4.414953935185622</v>
      </c>
      <c r="J30" s="61"/>
      <c r="K30" s="61"/>
      <c r="L30" s="61"/>
      <c r="M30" s="61" t="s">
        <v>38</v>
      </c>
      <c r="N30" s="61" t="s">
        <v>1918</v>
      </c>
      <c r="O30" s="61"/>
      <c r="P30" s="61"/>
      <c r="Q30" s="61"/>
      <c r="R30" s="61" t="s">
        <v>2383</v>
      </c>
      <c r="S30" s="61" t="s">
        <v>75</v>
      </c>
      <c r="T30" s="61" t="s">
        <v>1688</v>
      </c>
      <c r="U30" s="61" t="e">
        <v>#N/A</v>
      </c>
      <c r="V30" s="101" t="str">
        <f>VLOOKUP(B30,[2]Overall!$A:$D,4,0)</f>
        <v>TELEINFRA NORD</v>
      </c>
      <c r="W30" s="101" t="str">
        <f>VLOOKUP(B30,[3]Sheet1!$A:$B,2,0)</f>
        <v>Martap</v>
      </c>
      <c r="X30" s="88" t="str">
        <f t="shared" si="1"/>
        <v>ADM</v>
      </c>
      <c r="Y30" s="88" t="str">
        <f t="shared" ca="1" si="2"/>
        <v>T&gt;72H</v>
      </c>
      <c r="Z30" s="101">
        <f t="shared" si="3"/>
        <v>1</v>
      </c>
      <c r="AA30" s="61" t="s">
        <v>1566</v>
      </c>
      <c r="AB30" s="61" t="s">
        <v>1554</v>
      </c>
      <c r="AC30" s="105" t="s">
        <v>2530</v>
      </c>
      <c r="AD30" s="106" t="s">
        <v>1994</v>
      </c>
      <c r="AE30" s="61"/>
    </row>
    <row r="31" spans="1:31" ht="145" x14ac:dyDescent="0.35">
      <c r="A31" s="61" t="s">
        <v>2262</v>
      </c>
      <c r="B31" s="61" t="s">
        <v>2263</v>
      </c>
      <c r="C31" s="65"/>
      <c r="D31" s="61"/>
      <c r="E31" s="61" t="s">
        <v>2264</v>
      </c>
      <c r="F31" s="70" t="s">
        <v>53</v>
      </c>
      <c r="G31" s="70" t="s">
        <v>2121</v>
      </c>
      <c r="H31" s="67">
        <v>46176.41369212963</v>
      </c>
      <c r="I31" s="75">
        <f t="shared" ca="1" si="0"/>
        <v>4.2550002314819722</v>
      </c>
      <c r="J31" s="61"/>
      <c r="K31" s="61"/>
      <c r="L31" s="61"/>
      <c r="M31" s="61" t="s">
        <v>31</v>
      </c>
      <c r="N31" s="61" t="s">
        <v>2265</v>
      </c>
      <c r="O31" s="61"/>
      <c r="P31" s="61"/>
      <c r="Q31" s="61"/>
      <c r="R31" s="61" t="s">
        <v>2495</v>
      </c>
      <c r="S31" s="61" t="s">
        <v>40</v>
      </c>
      <c r="T31" s="61" t="s">
        <v>1898</v>
      </c>
      <c r="U31" s="61" t="s">
        <v>1898</v>
      </c>
      <c r="V31" s="101" t="str">
        <f>VLOOKUP(B31,[2]Overall!$A:$D,4,0)</f>
        <v>TELEINFRA NORD</v>
      </c>
      <c r="W31" s="101" t="str">
        <f>VLOOKUP(B31,[3]Sheet1!$A:$B,2,0)</f>
        <v>Ndiam-badji</v>
      </c>
      <c r="X31" s="88" t="str">
        <f t="shared" ref="X31:X59" si="4">LEFT(B31,3)</f>
        <v>NRD</v>
      </c>
      <c r="Y31" s="88" t="str">
        <f t="shared" ref="Y31:Y59" ca="1" si="5">IF(I31 &lt; 1/24, "T&lt;1H", IF(AND(I31&lt;2/24, I31&gt;1/24), "1H&lt;T&lt;2H", IF(AND(I31&lt;4/24, I31&gt;2/24), "2H&lt;T&lt;4H", IF(AND(I31&lt;8/24, I31&gt;4/24), "4H&lt;T&lt;8H", IF(AND(I31&lt;16/24, I31&gt;8/24), "8H&lt;T&lt;16H",IF(AND(I31&lt;24/24, I31&gt;16/24),"16H&lt;T&lt;24H", IF(AND(I31&lt;48/24, I31&gt;24/24),"24H&lt;T&lt;48H",IF(AND(I31&lt;72/24, I31&gt;24/24),"48H&lt;T&lt;72H", "T&gt;72H"))))))))</f>
        <v>T&gt;72H</v>
      </c>
      <c r="Z31" s="101">
        <f t="shared" ref="Z31:Z59" si="6">IF(OR(E31="", E31="affected_cells=unknown"), "", LEN(E31)-LEN(SUBSTITUTE(E31, ",", "")) + LEN(E31)-LEN(SUBSTITUTE(E31, ";", "")) + 1)</f>
        <v>6</v>
      </c>
      <c r="AA31" s="61" t="s">
        <v>1566</v>
      </c>
      <c r="AB31" s="61" t="s">
        <v>1554</v>
      </c>
      <c r="AC31" s="105" t="s">
        <v>2530</v>
      </c>
      <c r="AD31" s="106" t="s">
        <v>1994</v>
      </c>
      <c r="AE31" s="61"/>
    </row>
    <row r="32" spans="1:31" ht="145" x14ac:dyDescent="0.35">
      <c r="A32" s="61" t="s">
        <v>2262</v>
      </c>
      <c r="B32" s="61" t="s">
        <v>2263</v>
      </c>
      <c r="C32" s="65"/>
      <c r="D32" s="61"/>
      <c r="E32" s="61" t="s">
        <v>2264</v>
      </c>
      <c r="F32" s="70" t="s">
        <v>53</v>
      </c>
      <c r="G32" s="70" t="s">
        <v>2121</v>
      </c>
      <c r="H32" s="67">
        <v>46176.450185185182</v>
      </c>
      <c r="I32" s="75">
        <f t="shared" ca="1" si="0"/>
        <v>4.2185071759304265</v>
      </c>
      <c r="J32" s="61"/>
      <c r="K32" s="61"/>
      <c r="L32" s="61"/>
      <c r="M32" s="61" t="s">
        <v>1713</v>
      </c>
      <c r="N32" s="61" t="s">
        <v>2266</v>
      </c>
      <c r="O32" s="61"/>
      <c r="P32" s="61"/>
      <c r="Q32" s="61"/>
      <c r="R32" s="61" t="s">
        <v>2495</v>
      </c>
      <c r="S32" s="61" t="s">
        <v>40</v>
      </c>
      <c r="T32" s="61" t="s">
        <v>1898</v>
      </c>
      <c r="U32" s="61" t="s">
        <v>1898</v>
      </c>
      <c r="V32" s="101" t="str">
        <f>VLOOKUP(B32,[2]Overall!$A:$D,4,0)</f>
        <v>TELEINFRA NORD</v>
      </c>
      <c r="W32" s="101" t="str">
        <f>VLOOKUP(B32,[3]Sheet1!$A:$B,2,0)</f>
        <v>Ndiam-badji</v>
      </c>
      <c r="X32" s="88" t="str">
        <f t="shared" si="4"/>
        <v>NRD</v>
      </c>
      <c r="Y32" s="88" t="str">
        <f t="shared" ca="1" si="5"/>
        <v>T&gt;72H</v>
      </c>
      <c r="Z32" s="101">
        <f t="shared" si="6"/>
        <v>6</v>
      </c>
      <c r="AA32" s="61" t="s">
        <v>1566</v>
      </c>
      <c r="AB32" s="61" t="s">
        <v>1554</v>
      </c>
      <c r="AC32" s="105" t="s">
        <v>2530</v>
      </c>
      <c r="AD32" s="106" t="s">
        <v>1994</v>
      </c>
      <c r="AE32" s="61"/>
    </row>
    <row r="33" spans="1:31" ht="101.5" x14ac:dyDescent="0.35">
      <c r="A33" s="61" t="s">
        <v>2273</v>
      </c>
      <c r="B33" s="61" t="s">
        <v>2268</v>
      </c>
      <c r="C33" s="65"/>
      <c r="D33" s="61"/>
      <c r="E33" s="61" t="s">
        <v>47</v>
      </c>
      <c r="F33" s="70" t="s">
        <v>53</v>
      </c>
      <c r="G33" s="70" t="s">
        <v>2121</v>
      </c>
      <c r="H33" s="67">
        <v>46176.45108796296</v>
      </c>
      <c r="I33" s="75">
        <f t="shared" ca="1" si="0"/>
        <v>4.2176043981526163</v>
      </c>
      <c r="J33" s="61"/>
      <c r="K33" s="61"/>
      <c r="L33" s="61"/>
      <c r="M33" s="61" t="s">
        <v>31</v>
      </c>
      <c r="N33" s="61" t="s">
        <v>2274</v>
      </c>
      <c r="O33" s="61"/>
      <c r="P33" s="61"/>
      <c r="Q33" s="61"/>
      <c r="R33" s="61" t="s">
        <v>2490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Dabanga</v>
      </c>
      <c r="X33" s="88" t="str">
        <f t="shared" si="4"/>
        <v>EXN</v>
      </c>
      <c r="Y33" s="88" t="str">
        <f t="shared" ca="1" si="5"/>
        <v>T&gt;72H</v>
      </c>
      <c r="Z33" s="101">
        <f t="shared" si="6"/>
        <v>3</v>
      </c>
      <c r="AA33" s="61" t="s">
        <v>1566</v>
      </c>
      <c r="AB33" s="61" t="s">
        <v>1554</v>
      </c>
      <c r="AC33" s="105" t="s">
        <v>2530</v>
      </c>
      <c r="AD33" s="106" t="s">
        <v>1994</v>
      </c>
      <c r="AE33" s="61"/>
    </row>
    <row r="34" spans="1:31" ht="101.5" x14ac:dyDescent="0.35">
      <c r="A34" s="61" t="s">
        <v>2273</v>
      </c>
      <c r="B34" s="61" t="s">
        <v>2268</v>
      </c>
      <c r="C34" s="65"/>
      <c r="D34" s="61"/>
      <c r="E34" s="61" t="s">
        <v>35</v>
      </c>
      <c r="F34" s="70" t="s">
        <v>53</v>
      </c>
      <c r="G34" s="70" t="s">
        <v>2121</v>
      </c>
      <c r="H34" s="67">
        <v>46176.45108796296</v>
      </c>
      <c r="I34" s="75">
        <f t="shared" ca="1" si="0"/>
        <v>4.2176043981526163</v>
      </c>
      <c r="J34" s="61"/>
      <c r="K34" s="61"/>
      <c r="L34" s="61"/>
      <c r="M34" s="61" t="s">
        <v>31</v>
      </c>
      <c r="N34" s="61" t="s">
        <v>2275</v>
      </c>
      <c r="O34" s="61"/>
      <c r="P34" s="61"/>
      <c r="Q34" s="61"/>
      <c r="R34" s="61" t="s">
        <v>2490</v>
      </c>
      <c r="S34" s="61" t="s">
        <v>40</v>
      </c>
      <c r="T34" s="61" t="s">
        <v>1898</v>
      </c>
      <c r="U34" s="61" t="s">
        <v>1898</v>
      </c>
      <c r="V34" s="101" t="str">
        <f>VLOOKUP(B34,[2]Overall!$A:$D,4,0)</f>
        <v>TELEINFRA NORD</v>
      </c>
      <c r="W34" s="101" t="str">
        <f>VLOOKUP(B34,[3]Sheet1!$A:$B,2,0)</f>
        <v>Dabanga</v>
      </c>
      <c r="X34" s="88" t="str">
        <f t="shared" si="4"/>
        <v>EXN</v>
      </c>
      <c r="Y34" s="88" t="str">
        <f t="shared" ca="1" si="5"/>
        <v>T&gt;72H</v>
      </c>
      <c r="Z34" s="101">
        <f t="shared" si="6"/>
        <v>3</v>
      </c>
      <c r="AA34" s="61" t="s">
        <v>1566</v>
      </c>
      <c r="AB34" s="61" t="s">
        <v>1554</v>
      </c>
      <c r="AC34" s="105" t="s">
        <v>2530</v>
      </c>
      <c r="AD34" s="106" t="s">
        <v>1994</v>
      </c>
      <c r="AE34" s="61"/>
    </row>
    <row r="35" spans="1:31" ht="159.5" x14ac:dyDescent="0.35">
      <c r="A35" s="61" t="s">
        <v>1877</v>
      </c>
      <c r="B35" s="61" t="s">
        <v>1878</v>
      </c>
      <c r="C35" s="65"/>
      <c r="D35" s="61"/>
      <c r="E35" s="61" t="s">
        <v>49</v>
      </c>
      <c r="F35" s="70" t="s">
        <v>53</v>
      </c>
      <c r="G35" s="70" t="s">
        <v>2121</v>
      </c>
      <c r="H35" s="67">
        <v>46176.68891203704</v>
      </c>
      <c r="I35" s="75">
        <f t="shared" ca="1" si="0"/>
        <v>3.9797803240726353</v>
      </c>
      <c r="J35" s="61"/>
      <c r="K35" s="61"/>
      <c r="L35" s="61"/>
      <c r="M35" s="61" t="s">
        <v>38</v>
      </c>
      <c r="N35" s="61" t="s">
        <v>1943</v>
      </c>
      <c r="O35" s="61"/>
      <c r="P35" s="61"/>
      <c r="Q35" s="61"/>
      <c r="R35" s="61" t="s">
        <v>2498</v>
      </c>
      <c r="S35" s="61" t="s">
        <v>85</v>
      </c>
      <c r="T35" s="61" t="s">
        <v>1688</v>
      </c>
      <c r="U35" s="61" t="s">
        <v>1688</v>
      </c>
      <c r="V35" s="101" t="str">
        <f>VLOOKUP(B35,[2]Overall!$A:$D,4,0)</f>
        <v>H-TELI</v>
      </c>
      <c r="W35" s="101" t="str">
        <f>VLOOKUP(B35,[3]Sheet1!$A:$B,2,0)</f>
        <v>Massock-Songloulou</v>
      </c>
      <c r="X35" s="88" t="str">
        <f t="shared" si="4"/>
        <v>LIT</v>
      </c>
      <c r="Y35" s="88" t="str">
        <f t="shared" ca="1" si="5"/>
        <v>T&gt;72H</v>
      </c>
      <c r="Z35" s="101">
        <f t="shared" si="6"/>
        <v>1</v>
      </c>
      <c r="AA35" s="61" t="s">
        <v>1566</v>
      </c>
      <c r="AB35" s="61" t="s">
        <v>1554</v>
      </c>
      <c r="AC35" s="105" t="s">
        <v>2530</v>
      </c>
      <c r="AD35" s="106" t="s">
        <v>1994</v>
      </c>
      <c r="AE35" s="61"/>
    </row>
    <row r="36" spans="1:31" ht="116" x14ac:dyDescent="0.35">
      <c r="A36" s="63" t="s">
        <v>1939</v>
      </c>
      <c r="B36" s="63" t="s">
        <v>1940</v>
      </c>
      <c r="C36" s="68"/>
      <c r="D36" s="63"/>
      <c r="E36" s="63" t="s">
        <v>37</v>
      </c>
      <c r="F36" s="71" t="s">
        <v>53</v>
      </c>
      <c r="G36" s="71" t="s">
        <v>2121</v>
      </c>
      <c r="H36" s="69">
        <v>46176.852071759262</v>
      </c>
      <c r="I36" s="77">
        <f t="shared" ca="1" si="0"/>
        <v>3.8166206018504454</v>
      </c>
      <c r="J36" s="63"/>
      <c r="K36" s="63"/>
      <c r="L36" s="63"/>
      <c r="M36" s="63" t="s">
        <v>38</v>
      </c>
      <c r="N36" s="63" t="s">
        <v>1942</v>
      </c>
      <c r="O36" s="63"/>
      <c r="P36" s="63" t="s">
        <v>2537</v>
      </c>
      <c r="Q36" s="108">
        <v>46148</v>
      </c>
      <c r="R36" s="63" t="s">
        <v>2536</v>
      </c>
      <c r="S36" s="63" t="s">
        <v>32</v>
      </c>
      <c r="T36" s="63" t="s">
        <v>2129</v>
      </c>
      <c r="U36" s="63" t="s">
        <v>2129</v>
      </c>
      <c r="V36" s="107" t="str">
        <f>VLOOKUP(B36,[2]Overall!$A:$D,4,0)</f>
        <v xml:space="preserve">I-ENG </v>
      </c>
      <c r="W36" s="107" t="str">
        <f>VLOOKUP(B36,[3]Sheet1!$A:$B,2,0)</f>
        <v>Widikum</v>
      </c>
      <c r="X36" s="89" t="str">
        <f t="shared" si="4"/>
        <v>NRO</v>
      </c>
      <c r="Y36" s="89" t="str">
        <f t="shared" ca="1" si="5"/>
        <v>T&gt;72H</v>
      </c>
      <c r="Z36" s="107">
        <f t="shared" si="6"/>
        <v>1</v>
      </c>
      <c r="AA36" s="63" t="s">
        <v>77</v>
      </c>
      <c r="AB36" s="63" t="s">
        <v>1554</v>
      </c>
      <c r="AC36" s="108" t="s">
        <v>2530</v>
      </c>
      <c r="AD36" s="109" t="s">
        <v>1994</v>
      </c>
      <c r="AE36" s="63"/>
    </row>
    <row r="37" spans="1:31" ht="203" x14ac:dyDescent="0.35">
      <c r="A37" s="61" t="s">
        <v>1581</v>
      </c>
      <c r="B37" s="61" t="s">
        <v>1582</v>
      </c>
      <c r="C37" s="65"/>
      <c r="D37" s="61"/>
      <c r="E37" s="61" t="s">
        <v>1937</v>
      </c>
      <c r="F37" s="70" t="s">
        <v>53</v>
      </c>
      <c r="G37" s="70" t="s">
        <v>2121</v>
      </c>
      <c r="H37" s="67">
        <v>46177.249444444446</v>
      </c>
      <c r="I37" s="75">
        <f t="shared" ca="1" si="0"/>
        <v>3.4192479166667908</v>
      </c>
      <c r="J37" s="61"/>
      <c r="K37" s="61"/>
      <c r="L37" s="61"/>
      <c r="M37" s="61" t="s">
        <v>41</v>
      </c>
      <c r="N37" s="61" t="s">
        <v>1938</v>
      </c>
      <c r="O37" s="61"/>
      <c r="P37" s="61"/>
      <c r="Q37" s="61"/>
      <c r="R37" s="61" t="s">
        <v>2541</v>
      </c>
      <c r="S37" s="61" t="s">
        <v>32</v>
      </c>
      <c r="T37" s="61" t="s">
        <v>1840</v>
      </c>
      <c r="U37" s="61" t="s">
        <v>1840</v>
      </c>
      <c r="V37" s="101" t="str">
        <f>VLOOKUP(B37,[2]Overall!$A:$D,4,0)</f>
        <v xml:space="preserve">I-ENG </v>
      </c>
      <c r="W37" s="101" t="str">
        <f>VLOOKUP(B37,[3]Sheet1!$A:$B,2,0)</f>
        <v>Batibo</v>
      </c>
      <c r="X37" s="88" t="str">
        <f t="shared" si="4"/>
        <v>NRO</v>
      </c>
      <c r="Y37" s="88" t="str">
        <f t="shared" ca="1" si="5"/>
        <v>T&gt;72H</v>
      </c>
      <c r="Z37" s="101">
        <f t="shared" si="6"/>
        <v>1</v>
      </c>
      <c r="AA37" s="61" t="s">
        <v>1566</v>
      </c>
      <c r="AB37" s="61" t="s">
        <v>1554</v>
      </c>
      <c r="AC37" s="105" t="s">
        <v>2530</v>
      </c>
      <c r="AD37" s="106" t="s">
        <v>1994</v>
      </c>
      <c r="AE37" s="61"/>
    </row>
    <row r="38" spans="1:31" ht="87" x14ac:dyDescent="0.35">
      <c r="A38" s="61" t="s">
        <v>1705</v>
      </c>
      <c r="B38" s="61" t="s">
        <v>1706</v>
      </c>
      <c r="C38" s="65"/>
      <c r="D38" s="61"/>
      <c r="E38" s="61" t="s">
        <v>48</v>
      </c>
      <c r="F38" s="70" t="s">
        <v>53</v>
      </c>
      <c r="G38" s="70" t="s">
        <v>2121</v>
      </c>
      <c r="H38" s="67">
        <v>46177.386990740742</v>
      </c>
      <c r="I38" s="75">
        <f t="shared" ca="1" si="0"/>
        <v>3.2817016203698586</v>
      </c>
      <c r="J38" s="61"/>
      <c r="K38" s="61"/>
      <c r="L38" s="61"/>
      <c r="M38" s="61" t="s">
        <v>1707</v>
      </c>
      <c r="N38" s="61" t="s">
        <v>1708</v>
      </c>
      <c r="O38" s="61"/>
      <c r="P38" s="61"/>
      <c r="Q38" s="61"/>
      <c r="R38" s="61" t="s">
        <v>2414</v>
      </c>
      <c r="S38" s="61" t="s">
        <v>71</v>
      </c>
      <c r="T38" s="61" t="s">
        <v>1902</v>
      </c>
      <c r="U38" s="61" t="s">
        <v>1896</v>
      </c>
      <c r="V38" s="101" t="str">
        <f>VLOOKUP(B38,[2]Overall!$A:$D,4,0)</f>
        <v xml:space="preserve">I-ENG </v>
      </c>
      <c r="W38" s="101" t="str">
        <f>VLOOKUP(B38,[3]Sheet1!$A:$B,2,0)</f>
        <v>Laising</v>
      </c>
      <c r="X38" s="88" t="str">
        <f t="shared" si="4"/>
        <v>NRO</v>
      </c>
      <c r="Y38" s="88" t="str">
        <f t="shared" ca="1" si="5"/>
        <v>T&gt;72H</v>
      </c>
      <c r="Z38" s="101">
        <f t="shared" si="6"/>
        <v>1</v>
      </c>
      <c r="AA38" s="61" t="s">
        <v>1566</v>
      </c>
      <c r="AB38" s="61" t="s">
        <v>1554</v>
      </c>
      <c r="AC38" s="105" t="s">
        <v>2530</v>
      </c>
      <c r="AD38" s="106" t="s">
        <v>1994</v>
      </c>
      <c r="AE38" s="61"/>
    </row>
    <row r="39" spans="1:31" ht="101.5" x14ac:dyDescent="0.35">
      <c r="A39" s="61" t="s">
        <v>2267</v>
      </c>
      <c r="B39" s="61" t="s">
        <v>2268</v>
      </c>
      <c r="C39" s="65"/>
      <c r="D39" s="61"/>
      <c r="E39" s="61" t="s">
        <v>39</v>
      </c>
      <c r="F39" s="70" t="s">
        <v>53</v>
      </c>
      <c r="G39" s="70" t="s">
        <v>2121</v>
      </c>
      <c r="H39" s="67">
        <v>46177.408888888887</v>
      </c>
      <c r="I39" s="75">
        <f t="shared" ca="1" si="0"/>
        <v>3.2598034722250304</v>
      </c>
      <c r="J39" s="61"/>
      <c r="K39" s="61"/>
      <c r="L39" s="61"/>
      <c r="M39" s="61" t="s">
        <v>2391</v>
      </c>
      <c r="N39" s="61" t="s">
        <v>2392</v>
      </c>
      <c r="O39" s="61"/>
      <c r="P39" s="61"/>
      <c r="Q39" s="61"/>
      <c r="R39" s="61" t="s">
        <v>2490</v>
      </c>
      <c r="S39" s="61" t="s">
        <v>40</v>
      </c>
      <c r="T39" s="61" t="s">
        <v>1898</v>
      </c>
      <c r="U39" s="61" t="s">
        <v>1898</v>
      </c>
      <c r="V39" s="101" t="str">
        <f>VLOOKUP(B39,[2]Overall!$A:$D,4,0)</f>
        <v>TELEINFRA NORD</v>
      </c>
      <c r="W39" s="101" t="str">
        <f>VLOOKUP(B39,[3]Sheet1!$A:$B,2,0)</f>
        <v>Dabanga</v>
      </c>
      <c r="X39" s="88" t="str">
        <f t="shared" si="4"/>
        <v>EXN</v>
      </c>
      <c r="Y39" s="88" t="str">
        <f t="shared" ca="1" si="5"/>
        <v>T&gt;72H</v>
      </c>
      <c r="Z39" s="101">
        <f t="shared" si="6"/>
        <v>1</v>
      </c>
      <c r="AA39" s="61" t="s">
        <v>1566</v>
      </c>
      <c r="AB39" s="61" t="s">
        <v>1554</v>
      </c>
      <c r="AC39" s="105" t="s">
        <v>2530</v>
      </c>
      <c r="AD39" s="106" t="s">
        <v>1994</v>
      </c>
      <c r="AE39" s="61"/>
    </row>
    <row r="40" spans="1:31" ht="101.5" x14ac:dyDescent="0.35">
      <c r="A40" s="61" t="s">
        <v>2267</v>
      </c>
      <c r="B40" s="61" t="s">
        <v>2268</v>
      </c>
      <c r="C40" s="65"/>
      <c r="D40" s="61"/>
      <c r="E40" s="61" t="s">
        <v>34</v>
      </c>
      <c r="F40" s="70" t="s">
        <v>53</v>
      </c>
      <c r="G40" s="70" t="s">
        <v>2121</v>
      </c>
      <c r="H40" s="67">
        <v>46177.417199074072</v>
      </c>
      <c r="I40" s="75">
        <f t="shared" ca="1" si="0"/>
        <v>3.2514932870399207</v>
      </c>
      <c r="J40" s="61"/>
      <c r="K40" s="61"/>
      <c r="L40" s="61"/>
      <c r="M40" s="61" t="s">
        <v>31</v>
      </c>
      <c r="N40" s="61" t="s">
        <v>2272</v>
      </c>
      <c r="O40" s="61"/>
      <c r="P40" s="61"/>
      <c r="Q40" s="61"/>
      <c r="R40" s="61" t="s">
        <v>2490</v>
      </c>
      <c r="S40" s="61" t="s">
        <v>40</v>
      </c>
      <c r="T40" s="61" t="s">
        <v>1898</v>
      </c>
      <c r="U40" s="61" t="s">
        <v>1898</v>
      </c>
      <c r="V40" s="101" t="str">
        <f>VLOOKUP(B40,[2]Overall!$A:$D,4,0)</f>
        <v>TELEINFRA NORD</v>
      </c>
      <c r="W40" s="101" t="str">
        <f>VLOOKUP(B40,[3]Sheet1!$A:$B,2,0)</f>
        <v>Dabanga</v>
      </c>
      <c r="X40" s="88" t="str">
        <f t="shared" si="4"/>
        <v>EXN</v>
      </c>
      <c r="Y40" s="88" t="str">
        <f t="shared" ca="1" si="5"/>
        <v>T&gt;72H</v>
      </c>
      <c r="Z40" s="101">
        <f t="shared" si="6"/>
        <v>1</v>
      </c>
      <c r="AA40" s="61" t="s">
        <v>1566</v>
      </c>
      <c r="AB40" s="61" t="s">
        <v>1554</v>
      </c>
      <c r="AC40" s="105" t="s">
        <v>2530</v>
      </c>
      <c r="AD40" s="106" t="s">
        <v>1994</v>
      </c>
      <c r="AE40" s="61"/>
    </row>
    <row r="41" spans="1:31" ht="159.5" x14ac:dyDescent="0.35">
      <c r="A41" s="61" t="s">
        <v>2257</v>
      </c>
      <c r="B41" s="61" t="s">
        <v>1796</v>
      </c>
      <c r="C41" s="65"/>
      <c r="D41" s="61"/>
      <c r="E41" s="61" t="s">
        <v>35</v>
      </c>
      <c r="F41" s="70" t="s">
        <v>53</v>
      </c>
      <c r="G41" s="70" t="s">
        <v>2121</v>
      </c>
      <c r="H41" s="67">
        <v>46177.521458333336</v>
      </c>
      <c r="I41" s="75">
        <f t="shared" ca="1" si="0"/>
        <v>3.147234027775994</v>
      </c>
      <c r="J41" s="61"/>
      <c r="K41" s="61"/>
      <c r="L41" s="61"/>
      <c r="M41" s="61" t="s">
        <v>31</v>
      </c>
      <c r="N41" s="61" t="s">
        <v>2400</v>
      </c>
      <c r="O41" s="61"/>
      <c r="P41" s="61"/>
      <c r="Q41" s="61"/>
      <c r="R41" s="61" t="s">
        <v>2489</v>
      </c>
      <c r="S41" s="61" t="s">
        <v>40</v>
      </c>
      <c r="T41" s="61" t="s">
        <v>1899</v>
      </c>
      <c r="U41" s="61" t="s">
        <v>1899</v>
      </c>
      <c r="V41" s="101" t="str">
        <f>VLOOKUP(B41,[2]Overall!$A:$D,4,0)</f>
        <v>TELEINFRA NORD</v>
      </c>
      <c r="W41" s="101" t="str">
        <f>VLOOKUP(B41,[3]Sheet1!$A:$B,2,0)</f>
        <v>Bagarao</v>
      </c>
      <c r="X41" s="88" t="str">
        <f t="shared" si="4"/>
        <v>EXN</v>
      </c>
      <c r="Y41" s="88" t="str">
        <f t="shared" ca="1" si="5"/>
        <v>T&gt;72H</v>
      </c>
      <c r="Z41" s="101">
        <f t="shared" si="6"/>
        <v>3</v>
      </c>
      <c r="AA41" s="61" t="s">
        <v>1566</v>
      </c>
      <c r="AB41" s="61" t="s">
        <v>1554</v>
      </c>
      <c r="AC41" s="105" t="s">
        <v>2530</v>
      </c>
      <c r="AD41" s="106" t="s">
        <v>1994</v>
      </c>
      <c r="AE41" s="61"/>
    </row>
    <row r="42" spans="1:31" ht="87" x14ac:dyDescent="0.35">
      <c r="A42" s="61" t="s">
        <v>2436</v>
      </c>
      <c r="B42" s="61" t="s">
        <v>2437</v>
      </c>
      <c r="C42" s="65"/>
      <c r="D42" s="61"/>
      <c r="E42" s="61" t="s">
        <v>34</v>
      </c>
      <c r="F42" s="70" t="s">
        <v>53</v>
      </c>
      <c r="G42" s="70" t="s">
        <v>2121</v>
      </c>
      <c r="H42" s="67">
        <v>46177.556296296294</v>
      </c>
      <c r="I42" s="75">
        <f t="shared" ca="1" si="0"/>
        <v>3.1123960648183129</v>
      </c>
      <c r="J42" s="61"/>
      <c r="K42" s="61"/>
      <c r="L42" s="61"/>
      <c r="M42" s="61" t="s">
        <v>31</v>
      </c>
      <c r="N42" s="61" t="s">
        <v>2438</v>
      </c>
      <c r="O42" s="61"/>
      <c r="P42" s="61"/>
      <c r="Q42" s="61"/>
      <c r="R42" s="61" t="s">
        <v>2505</v>
      </c>
      <c r="S42" s="61" t="s">
        <v>45</v>
      </c>
      <c r="T42" s="61" t="s">
        <v>1898</v>
      </c>
      <c r="U42" s="61" t="s">
        <v>1898</v>
      </c>
      <c r="V42" s="101" t="str">
        <f>VLOOKUP(B42,[2]Overall!$A:$D,4,0)</f>
        <v>TELEINFRA CENTRE</v>
      </c>
      <c r="W42" s="101" t="str">
        <f>VLOOKUP(B42,[3]Sheet1!$A:$B,2,0)</f>
        <v>Ngola</v>
      </c>
      <c r="X42" s="88" t="str">
        <f t="shared" si="4"/>
        <v>EST</v>
      </c>
      <c r="Y42" s="88" t="str">
        <f t="shared" ca="1" si="5"/>
        <v>T&gt;72H</v>
      </c>
      <c r="Z42" s="101">
        <f t="shared" si="6"/>
        <v>1</v>
      </c>
      <c r="AA42" s="61" t="s">
        <v>1566</v>
      </c>
      <c r="AB42" s="61" t="s">
        <v>1554</v>
      </c>
      <c r="AC42" s="105" t="s">
        <v>2530</v>
      </c>
      <c r="AD42" s="106" t="s">
        <v>1994</v>
      </c>
      <c r="AE42" s="61"/>
    </row>
    <row r="43" spans="1:31" ht="72.5" x14ac:dyDescent="0.35">
      <c r="A43" s="61" t="s">
        <v>2316</v>
      </c>
      <c r="B43" s="61" t="s">
        <v>2317</v>
      </c>
      <c r="C43" s="65"/>
      <c r="D43" s="61"/>
      <c r="E43" s="61" t="s">
        <v>2439</v>
      </c>
      <c r="F43" s="70" t="s">
        <v>53</v>
      </c>
      <c r="G43" s="70" t="s">
        <v>2121</v>
      </c>
      <c r="H43" s="67">
        <v>46177.589004629626</v>
      </c>
      <c r="I43" s="75">
        <f t="shared" ca="1" si="0"/>
        <v>3.0796877314860467</v>
      </c>
      <c r="J43" s="61"/>
      <c r="K43" s="61"/>
      <c r="L43" s="61"/>
      <c r="M43" s="61" t="s">
        <v>38</v>
      </c>
      <c r="N43" s="61" t="s">
        <v>2319</v>
      </c>
      <c r="O43" s="61"/>
      <c r="P43" s="61"/>
      <c r="Q43" s="61"/>
      <c r="R43" s="61" t="s">
        <v>2499</v>
      </c>
      <c r="S43" s="61" t="s">
        <v>85</v>
      </c>
      <c r="T43" s="61" t="s">
        <v>1898</v>
      </c>
      <c r="U43" s="61" t="s">
        <v>1898</v>
      </c>
      <c r="V43" s="101" t="str">
        <f>VLOOKUP(B43,[2]Overall!$A:$D,4,0)</f>
        <v>H-TELI</v>
      </c>
      <c r="W43" s="101" t="str">
        <f>VLOOKUP(B43,[3]Sheet1!$A:$B,2,0)</f>
        <v>Logbong</v>
      </c>
      <c r="X43" s="88" t="str">
        <f t="shared" si="4"/>
        <v>LIT</v>
      </c>
      <c r="Y43" s="88" t="str">
        <f t="shared" ca="1" si="5"/>
        <v>T&gt;72H</v>
      </c>
      <c r="Z43" s="101">
        <f t="shared" si="6"/>
        <v>6</v>
      </c>
      <c r="AA43" s="61" t="s">
        <v>1566</v>
      </c>
      <c r="AB43" s="61" t="s">
        <v>1554</v>
      </c>
      <c r="AC43" s="105" t="s">
        <v>2530</v>
      </c>
      <c r="AD43" s="106" t="s">
        <v>1994</v>
      </c>
      <c r="AE43" s="61"/>
    </row>
    <row r="44" spans="1:31" ht="72.5" x14ac:dyDescent="0.35">
      <c r="A44" s="61" t="s">
        <v>2320</v>
      </c>
      <c r="B44" s="61" t="s">
        <v>2317</v>
      </c>
      <c r="C44" s="65"/>
      <c r="D44" s="61"/>
      <c r="E44" s="61" t="s">
        <v>1787</v>
      </c>
      <c r="F44" s="70" t="s">
        <v>53</v>
      </c>
      <c r="G44" s="70" t="s">
        <v>2121</v>
      </c>
      <c r="H44" s="67">
        <v>46177.589270833334</v>
      </c>
      <c r="I44" s="75">
        <f t="shared" ca="1" si="0"/>
        <v>3.0794215277783223</v>
      </c>
      <c r="J44" s="61"/>
      <c r="K44" s="61"/>
      <c r="L44" s="61"/>
      <c r="M44" s="61" t="s">
        <v>38</v>
      </c>
      <c r="N44" s="61" t="s">
        <v>2321</v>
      </c>
      <c r="O44" s="61"/>
      <c r="P44" s="61"/>
      <c r="Q44" s="61"/>
      <c r="R44" s="61" t="s">
        <v>2499</v>
      </c>
      <c r="S44" s="61" t="s">
        <v>85</v>
      </c>
      <c r="T44" s="61" t="s">
        <v>1898</v>
      </c>
      <c r="U44" s="61" t="s">
        <v>1898</v>
      </c>
      <c r="V44" s="101" t="str">
        <f>VLOOKUP(B44,[2]Overall!$A:$D,4,0)</f>
        <v>H-TELI</v>
      </c>
      <c r="W44" s="101" t="str">
        <f>VLOOKUP(B44,[3]Sheet1!$A:$B,2,0)</f>
        <v>Logbong</v>
      </c>
      <c r="X44" s="88" t="str">
        <f t="shared" si="4"/>
        <v>LIT</v>
      </c>
      <c r="Y44" s="88" t="str">
        <f t="shared" ca="1" si="5"/>
        <v>T&gt;72H</v>
      </c>
      <c r="Z44" s="101">
        <f t="shared" si="6"/>
        <v>2</v>
      </c>
      <c r="AA44" s="61" t="s">
        <v>1566</v>
      </c>
      <c r="AB44" s="61" t="s">
        <v>1554</v>
      </c>
      <c r="AC44" s="105" t="s">
        <v>2530</v>
      </c>
      <c r="AD44" s="106" t="s">
        <v>1994</v>
      </c>
      <c r="AE44" s="61"/>
    </row>
    <row r="45" spans="1:31" ht="72.5" x14ac:dyDescent="0.35">
      <c r="A45" s="61" t="s">
        <v>2276</v>
      </c>
      <c r="B45" s="61" t="s">
        <v>2277</v>
      </c>
      <c r="C45" s="65"/>
      <c r="D45" s="61"/>
      <c r="E45" s="61" t="s">
        <v>2278</v>
      </c>
      <c r="F45" s="70" t="s">
        <v>53</v>
      </c>
      <c r="G45" s="70" t="s">
        <v>2121</v>
      </c>
      <c r="H45" s="67">
        <v>46177.591168981482</v>
      </c>
      <c r="I45" s="75">
        <f t="shared" ca="1" si="0"/>
        <v>3.0775233796302928</v>
      </c>
      <c r="J45" s="61"/>
      <c r="K45" s="61"/>
      <c r="L45" s="61"/>
      <c r="M45" s="61" t="s">
        <v>38</v>
      </c>
      <c r="N45" s="61" t="s">
        <v>2279</v>
      </c>
      <c r="O45" s="61"/>
      <c r="P45" s="61"/>
      <c r="Q45" s="61"/>
      <c r="R45" s="61" t="s">
        <v>2502</v>
      </c>
      <c r="S45" s="61" t="s">
        <v>32</v>
      </c>
      <c r="T45" s="61" t="s">
        <v>1898</v>
      </c>
      <c r="U45" s="61" t="s">
        <v>1898</v>
      </c>
      <c r="V45" s="101" t="str">
        <f>VLOOKUP(B45,[2]Overall!$A:$D,4,0)</f>
        <v xml:space="preserve">I-ENG </v>
      </c>
      <c r="W45" s="101" t="str">
        <f>VLOOKUP(B45,[3]Sheet1!$A:$B,2,0)</f>
        <v>Babanki</v>
      </c>
      <c r="X45" s="88" t="str">
        <f t="shared" si="4"/>
        <v>NRO</v>
      </c>
      <c r="Y45" s="88" t="str">
        <f t="shared" ca="1" si="5"/>
        <v>T&gt;72H</v>
      </c>
      <c r="Z45" s="101">
        <f t="shared" si="6"/>
        <v>2</v>
      </c>
      <c r="AA45" s="61" t="s">
        <v>1566</v>
      </c>
      <c r="AB45" s="61" t="s">
        <v>1554</v>
      </c>
      <c r="AC45" s="105" t="s">
        <v>2530</v>
      </c>
      <c r="AD45" s="106" t="s">
        <v>1994</v>
      </c>
      <c r="AE45" s="61"/>
    </row>
    <row r="46" spans="1:31" ht="87" x14ac:dyDescent="0.35">
      <c r="A46" s="61" t="s">
        <v>1684</v>
      </c>
      <c r="B46" s="61" t="s">
        <v>1620</v>
      </c>
      <c r="C46" s="65"/>
      <c r="D46" s="61"/>
      <c r="E46" s="61" t="s">
        <v>1793</v>
      </c>
      <c r="F46" s="70" t="s">
        <v>53</v>
      </c>
      <c r="G46" s="70" t="s">
        <v>2121</v>
      </c>
      <c r="H46" s="67">
        <v>46177.706493055557</v>
      </c>
      <c r="I46" s="75">
        <f t="shared" ca="1" si="0"/>
        <v>2.9621993055552593</v>
      </c>
      <c r="J46" s="61"/>
      <c r="K46" s="61"/>
      <c r="L46" s="61"/>
      <c r="M46" s="61" t="s">
        <v>33</v>
      </c>
      <c r="N46" s="61" t="s">
        <v>1653</v>
      </c>
      <c r="O46" s="61"/>
      <c r="P46" s="61"/>
      <c r="Q46" s="61"/>
      <c r="R46" s="61" t="s">
        <v>2497</v>
      </c>
      <c r="S46" s="61" t="s">
        <v>75</v>
      </c>
      <c r="T46" s="61" t="s">
        <v>1898</v>
      </c>
      <c r="U46" s="61" t="s">
        <v>1898</v>
      </c>
      <c r="V46" s="101" t="str">
        <f>VLOOKUP(B46,[2]Overall!$A:$D,4,0)</f>
        <v>TELEINFRA NORD</v>
      </c>
      <c r="W46" s="101" t="str">
        <f>VLOOKUP(B46,[3]Sheet1!$A:$B,2,0)</f>
        <v>Batoua-Godole</v>
      </c>
      <c r="X46" s="88" t="str">
        <f t="shared" si="4"/>
        <v>ADM</v>
      </c>
      <c r="Y46" s="88" t="str">
        <f t="shared" ca="1" si="5"/>
        <v>48H&lt;T&lt;72H</v>
      </c>
      <c r="Z46" s="101">
        <f t="shared" si="6"/>
        <v>2</v>
      </c>
      <c r="AA46" s="61" t="s">
        <v>1566</v>
      </c>
      <c r="AB46" s="61" t="s">
        <v>1554</v>
      </c>
      <c r="AC46" s="105" t="s">
        <v>2530</v>
      </c>
      <c r="AD46" s="106" t="s">
        <v>1994</v>
      </c>
      <c r="AE46" s="61"/>
    </row>
    <row r="47" spans="1:31" ht="87" x14ac:dyDescent="0.35">
      <c r="A47" s="61" t="s">
        <v>1807</v>
      </c>
      <c r="B47" s="61" t="s">
        <v>1808</v>
      </c>
      <c r="C47" s="65"/>
      <c r="D47" s="61"/>
      <c r="E47" s="61" t="s">
        <v>1810</v>
      </c>
      <c r="F47" s="70" t="s">
        <v>53</v>
      </c>
      <c r="G47" s="70" t="s">
        <v>2121</v>
      </c>
      <c r="H47" s="67">
        <v>46177.733206018522</v>
      </c>
      <c r="I47" s="75">
        <f t="shared" ca="1" si="0"/>
        <v>2.9354863425905933</v>
      </c>
      <c r="J47" s="61"/>
      <c r="K47" s="61"/>
      <c r="L47" s="61"/>
      <c r="M47" s="61" t="s">
        <v>2053</v>
      </c>
      <c r="N47" s="61" t="s">
        <v>2054</v>
      </c>
      <c r="O47" s="61"/>
      <c r="P47" s="61"/>
      <c r="Q47" s="61"/>
      <c r="R47" s="61" t="s">
        <v>2500</v>
      </c>
      <c r="S47" s="61" t="s">
        <v>85</v>
      </c>
      <c r="T47" s="61" t="s">
        <v>1898</v>
      </c>
      <c r="U47" s="61" t="s">
        <v>1898</v>
      </c>
      <c r="V47" s="101" t="str">
        <f>VLOOKUP(B47,[2]Overall!$A:$D,4,0)</f>
        <v>H-TELI</v>
      </c>
      <c r="W47" s="101" t="str">
        <f>VLOOKUP(B47,[3]Sheet1!$A:$B,2,0)</f>
        <v>Songloulou</v>
      </c>
      <c r="X47" s="88" t="str">
        <f t="shared" si="4"/>
        <v>LIT</v>
      </c>
      <c r="Y47" s="88" t="str">
        <f t="shared" ca="1" si="5"/>
        <v>48H&lt;T&lt;72H</v>
      </c>
      <c r="Z47" s="101">
        <f t="shared" si="6"/>
        <v>1</v>
      </c>
      <c r="AA47" s="61" t="s">
        <v>1566</v>
      </c>
      <c r="AB47" s="61" t="s">
        <v>1554</v>
      </c>
      <c r="AC47" s="105" t="s">
        <v>2530</v>
      </c>
      <c r="AD47" s="106" t="s">
        <v>1994</v>
      </c>
      <c r="AE47" s="61"/>
    </row>
    <row r="48" spans="1:31" ht="87" x14ac:dyDescent="0.35">
      <c r="A48" s="61" t="s">
        <v>1807</v>
      </c>
      <c r="B48" s="61" t="s">
        <v>1808</v>
      </c>
      <c r="C48" s="65"/>
      <c r="D48" s="61"/>
      <c r="E48" s="61" t="s">
        <v>2446</v>
      </c>
      <c r="F48" s="70" t="s">
        <v>53</v>
      </c>
      <c r="G48" s="70" t="s">
        <v>2121</v>
      </c>
      <c r="H48" s="67">
        <v>46177.734120370369</v>
      </c>
      <c r="I48" s="75">
        <f t="shared" ca="1" si="0"/>
        <v>2.9345719907432795</v>
      </c>
      <c r="J48" s="61"/>
      <c r="K48" s="61"/>
      <c r="L48" s="61"/>
      <c r="M48" s="61" t="s">
        <v>2053</v>
      </c>
      <c r="N48" s="61" t="s">
        <v>2054</v>
      </c>
      <c r="O48" s="61"/>
      <c r="P48" s="61"/>
      <c r="Q48" s="61"/>
      <c r="R48" s="61" t="s">
        <v>2500</v>
      </c>
      <c r="S48" s="61" t="s">
        <v>85</v>
      </c>
      <c r="T48" s="61" t="s">
        <v>1898</v>
      </c>
      <c r="U48" s="61" t="s">
        <v>1898</v>
      </c>
      <c r="V48" s="101" t="str">
        <f>VLOOKUP(B48,[2]Overall!$A:$D,4,0)</f>
        <v>H-TELI</v>
      </c>
      <c r="W48" s="101" t="str">
        <f>VLOOKUP(B48,[3]Sheet1!$A:$B,2,0)</f>
        <v>Songloulou</v>
      </c>
      <c r="X48" s="88" t="str">
        <f t="shared" si="4"/>
        <v>LIT</v>
      </c>
      <c r="Y48" s="88" t="str">
        <f t="shared" ca="1" si="5"/>
        <v>48H&lt;T&lt;72H</v>
      </c>
      <c r="Z48" s="101">
        <f t="shared" si="6"/>
        <v>1</v>
      </c>
      <c r="AA48" s="61" t="s">
        <v>1566</v>
      </c>
      <c r="AB48" s="61" t="s">
        <v>1554</v>
      </c>
      <c r="AC48" s="105" t="s">
        <v>2530</v>
      </c>
      <c r="AD48" s="106" t="s">
        <v>1994</v>
      </c>
      <c r="AE48" s="61"/>
    </row>
    <row r="49" spans="1:31" ht="87" x14ac:dyDescent="0.35">
      <c r="A49" s="61" t="s">
        <v>1807</v>
      </c>
      <c r="B49" s="61" t="s">
        <v>1808</v>
      </c>
      <c r="C49" s="65"/>
      <c r="D49" s="61"/>
      <c r="E49" s="61" t="s">
        <v>1813</v>
      </c>
      <c r="F49" s="70" t="s">
        <v>53</v>
      </c>
      <c r="G49" s="70" t="s">
        <v>2121</v>
      </c>
      <c r="H49" s="67">
        <v>46177.741377314815</v>
      </c>
      <c r="I49" s="75">
        <f t="shared" ref="I49:I77" ca="1" si="7">NOW()-H49</f>
        <v>2.9273150462977355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2500</v>
      </c>
      <c r="S49" s="61" t="s">
        <v>85</v>
      </c>
      <c r="T49" s="61" t="s">
        <v>1898</v>
      </c>
      <c r="U49" s="61" t="s">
        <v>1898</v>
      </c>
      <c r="V49" s="101" t="str">
        <f>VLOOKUP(B49,[2]Overall!$A:$D,4,0)</f>
        <v>H-TELI</v>
      </c>
      <c r="W49" s="101" t="str">
        <f>VLOOKUP(B49,[3]Sheet1!$A:$B,2,0)</f>
        <v>Songloulou</v>
      </c>
      <c r="X49" s="88" t="str">
        <f t="shared" si="4"/>
        <v>LIT</v>
      </c>
      <c r="Y49" s="88" t="str">
        <f t="shared" ca="1" si="5"/>
        <v>48H&lt;T&lt;72H</v>
      </c>
      <c r="Z49" s="101">
        <f t="shared" si="6"/>
        <v>1</v>
      </c>
      <c r="AA49" s="61" t="s">
        <v>1566</v>
      </c>
      <c r="AB49" s="61" t="s">
        <v>1554</v>
      </c>
      <c r="AC49" s="105" t="s">
        <v>2530</v>
      </c>
      <c r="AD49" s="106" t="s">
        <v>1994</v>
      </c>
      <c r="AE49" s="61"/>
    </row>
    <row r="50" spans="1:31" ht="87" x14ac:dyDescent="0.35">
      <c r="A50" s="61" t="s">
        <v>1807</v>
      </c>
      <c r="B50" s="61" t="s">
        <v>1808</v>
      </c>
      <c r="C50" s="65"/>
      <c r="D50" s="61"/>
      <c r="E50" s="61" t="s">
        <v>1812</v>
      </c>
      <c r="F50" s="70" t="s">
        <v>53</v>
      </c>
      <c r="G50" s="70" t="s">
        <v>2121</v>
      </c>
      <c r="H50" s="67">
        <v>46177.742442129631</v>
      </c>
      <c r="I50" s="75">
        <f t="shared" ca="1" si="7"/>
        <v>2.9262502314813901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61" t="s">
        <v>2500</v>
      </c>
      <c r="S50" s="61" t="s">
        <v>85</v>
      </c>
      <c r="T50" s="61" t="s">
        <v>1898</v>
      </c>
      <c r="U50" s="61" t="s">
        <v>1898</v>
      </c>
      <c r="V50" s="101" t="str">
        <f>VLOOKUP(B50,[2]Overall!$A:$D,4,0)</f>
        <v>H-TELI</v>
      </c>
      <c r="W50" s="101" t="str">
        <f>VLOOKUP(B50,[3]Sheet1!$A:$B,2,0)</f>
        <v>Songloulou</v>
      </c>
      <c r="X50" s="88" t="str">
        <f t="shared" si="4"/>
        <v>LIT</v>
      </c>
      <c r="Y50" s="88" t="str">
        <f t="shared" ca="1" si="5"/>
        <v>48H&lt;T&lt;72H</v>
      </c>
      <c r="Z50" s="101">
        <f t="shared" si="6"/>
        <v>1</v>
      </c>
      <c r="AA50" s="61" t="s">
        <v>1566</v>
      </c>
      <c r="AB50" s="61" t="s">
        <v>1554</v>
      </c>
      <c r="AC50" s="105" t="s">
        <v>2530</v>
      </c>
      <c r="AD50" s="106" t="s">
        <v>1994</v>
      </c>
      <c r="AE50" s="61"/>
    </row>
    <row r="51" spans="1:31" ht="159.5" x14ac:dyDescent="0.35">
      <c r="A51" s="61" t="s">
        <v>2147</v>
      </c>
      <c r="B51" s="61" t="s">
        <v>2148</v>
      </c>
      <c r="C51" s="65"/>
      <c r="D51" s="61"/>
      <c r="E51" s="61" t="s">
        <v>2149</v>
      </c>
      <c r="F51" s="70" t="s">
        <v>53</v>
      </c>
      <c r="G51" s="70" t="s">
        <v>2121</v>
      </c>
      <c r="H51" s="67">
        <v>46177.806562500002</v>
      </c>
      <c r="I51" s="75">
        <f t="shared" ca="1" si="7"/>
        <v>2.8621298611105885</v>
      </c>
      <c r="J51" s="61"/>
      <c r="K51" s="61"/>
      <c r="L51" s="61"/>
      <c r="M51" s="61" t="s">
        <v>33</v>
      </c>
      <c r="N51" s="61" t="s">
        <v>1626</v>
      </c>
      <c r="O51" s="61"/>
      <c r="P51" s="61"/>
      <c r="Q51" s="61"/>
      <c r="R51" s="61" t="s">
        <v>2494</v>
      </c>
      <c r="S51" s="61" t="s">
        <v>40</v>
      </c>
      <c r="T51" s="61" t="s">
        <v>1898</v>
      </c>
      <c r="U51" s="61" t="s">
        <v>1898</v>
      </c>
      <c r="V51" s="101" t="str">
        <f>VLOOKUP(B51,[2]Overall!$A:$D,4,0)</f>
        <v>TELEINFRA NORD</v>
      </c>
      <c r="W51" s="101" t="str">
        <f>VLOOKUP(B51,[3]Sheet1!$A:$B,2,0)</f>
        <v>Mboulai</v>
      </c>
      <c r="X51" s="88" t="str">
        <f t="shared" si="4"/>
        <v>ADM</v>
      </c>
      <c r="Y51" s="88" t="str">
        <f t="shared" ca="1" si="5"/>
        <v>48H&lt;T&lt;72H</v>
      </c>
      <c r="Z51" s="101">
        <f t="shared" si="6"/>
        <v>1</v>
      </c>
      <c r="AA51" s="61" t="s">
        <v>1566</v>
      </c>
      <c r="AB51" s="61" t="s">
        <v>1554</v>
      </c>
      <c r="AC51" s="105" t="s">
        <v>2530</v>
      </c>
      <c r="AD51" s="106" t="s">
        <v>1994</v>
      </c>
      <c r="AE51" s="61"/>
    </row>
    <row r="52" spans="1:31" ht="72.5" x14ac:dyDescent="0.35">
      <c r="A52" s="57" t="s">
        <v>2350</v>
      </c>
      <c r="B52" s="61" t="s">
        <v>2351</v>
      </c>
      <c r="C52" s="65"/>
      <c r="D52" s="61"/>
      <c r="E52" s="61" t="s">
        <v>2352</v>
      </c>
      <c r="F52" s="70" t="s">
        <v>53</v>
      </c>
      <c r="G52" s="70" t="s">
        <v>2121</v>
      </c>
      <c r="H52" s="67">
        <v>46177.830648148149</v>
      </c>
      <c r="I52" s="75">
        <f t="shared" ca="1" si="7"/>
        <v>2.8380442129637231</v>
      </c>
      <c r="J52" s="61"/>
      <c r="K52" s="61"/>
      <c r="L52" s="61"/>
      <c r="M52" s="61" t="s">
        <v>38</v>
      </c>
      <c r="N52" s="61" t="s">
        <v>2353</v>
      </c>
      <c r="O52" s="61"/>
      <c r="P52" s="61"/>
      <c r="Q52" s="61"/>
      <c r="R52" s="61" t="s">
        <v>2540</v>
      </c>
      <c r="S52" s="61" t="s">
        <v>40</v>
      </c>
      <c r="T52" s="61" t="s">
        <v>1898</v>
      </c>
      <c r="U52" s="61" t="s">
        <v>1898</v>
      </c>
      <c r="V52" s="101" t="str">
        <f>VLOOKUP(B52,[2]Overall!$A:$D,4,0)</f>
        <v>TELEINFRA NORD</v>
      </c>
      <c r="W52" s="101" t="str">
        <f>VLOOKUP(B52,[3]Sheet1!$A:$B,2,0)</f>
        <v>Guidjiba</v>
      </c>
      <c r="X52" s="88" t="str">
        <f t="shared" si="4"/>
        <v>NRD</v>
      </c>
      <c r="Y52" s="88" t="str">
        <f t="shared" ca="1" si="5"/>
        <v>48H&lt;T&lt;72H</v>
      </c>
      <c r="Z52" s="101">
        <f t="shared" si="6"/>
        <v>2</v>
      </c>
      <c r="AA52" s="61" t="s">
        <v>1566</v>
      </c>
      <c r="AB52" s="61" t="s">
        <v>1554</v>
      </c>
      <c r="AC52" s="105" t="s">
        <v>2530</v>
      </c>
      <c r="AD52" s="106" t="s">
        <v>1994</v>
      </c>
      <c r="AE52" s="61"/>
    </row>
    <row r="53" spans="1:31" ht="72.5" x14ac:dyDescent="0.35">
      <c r="A53" s="61" t="s">
        <v>2208</v>
      </c>
      <c r="B53" s="61" t="s">
        <v>2209</v>
      </c>
      <c r="C53" s="65"/>
      <c r="D53" s="61"/>
      <c r="E53" s="61" t="s">
        <v>2210</v>
      </c>
      <c r="F53" s="70" t="s">
        <v>53</v>
      </c>
      <c r="G53" s="70" t="s">
        <v>2121</v>
      </c>
      <c r="H53" s="67">
        <v>46178.137129629627</v>
      </c>
      <c r="I53" s="75">
        <f t="shared" ca="1" si="7"/>
        <v>2.5315627314848825</v>
      </c>
      <c r="J53" s="61"/>
      <c r="K53" s="61"/>
      <c r="L53" s="61"/>
      <c r="M53" s="61" t="s">
        <v>1627</v>
      </c>
      <c r="N53" s="61" t="s">
        <v>2211</v>
      </c>
      <c r="O53" s="61"/>
      <c r="P53" s="61"/>
      <c r="Q53" s="61"/>
      <c r="R53" s="82" t="s">
        <v>2330</v>
      </c>
      <c r="S53" s="82" t="s">
        <v>45</v>
      </c>
      <c r="T53" s="82" t="s">
        <v>1754</v>
      </c>
      <c r="U53" s="82" t="s">
        <v>1754</v>
      </c>
      <c r="V53" s="101" t="str">
        <f>VLOOKUP(B53,[2]Overall!$A:$D,4,0)</f>
        <v>TELEINFRA CENTRE</v>
      </c>
      <c r="W53" s="101" t="str">
        <f>VLOOKUP(B53,[3]Sheet1!$A:$B,2,0)</f>
        <v>Mvangan</v>
      </c>
      <c r="X53" s="88" t="str">
        <f t="shared" si="4"/>
        <v>SUD</v>
      </c>
      <c r="Y53" s="88" t="str">
        <f t="shared" ca="1" si="5"/>
        <v>48H&lt;T&lt;72H</v>
      </c>
      <c r="Z53" s="101">
        <f t="shared" si="6"/>
        <v>1</v>
      </c>
      <c r="AA53" s="61" t="s">
        <v>1566</v>
      </c>
      <c r="AB53" s="61" t="s">
        <v>1905</v>
      </c>
      <c r="AC53" s="105" t="s">
        <v>2530</v>
      </c>
      <c r="AD53" s="106" t="s">
        <v>1994</v>
      </c>
      <c r="AE53" s="61"/>
    </row>
    <row r="54" spans="1:31" ht="116" x14ac:dyDescent="0.35">
      <c r="A54" s="61" t="s">
        <v>2218</v>
      </c>
      <c r="B54" s="61" t="s">
        <v>2219</v>
      </c>
      <c r="C54" s="65"/>
      <c r="D54" s="61"/>
      <c r="E54" s="61" t="s">
        <v>2223</v>
      </c>
      <c r="F54" s="70" t="s">
        <v>53</v>
      </c>
      <c r="G54" s="70" t="s">
        <v>2121</v>
      </c>
      <c r="H54" s="67">
        <v>46178.305</v>
      </c>
      <c r="I54" s="75">
        <f t="shared" ca="1" si="7"/>
        <v>2.3636923611120437</v>
      </c>
      <c r="J54" s="61"/>
      <c r="K54" s="61"/>
      <c r="L54" s="61"/>
      <c r="M54" s="61" t="s">
        <v>1730</v>
      </c>
      <c r="N54" s="61" t="s">
        <v>2224</v>
      </c>
      <c r="O54" s="61"/>
      <c r="P54" s="61"/>
      <c r="Q54" s="61"/>
      <c r="R54" s="61" t="s">
        <v>2550</v>
      </c>
      <c r="S54" s="61" t="s">
        <v>45</v>
      </c>
      <c r="T54" s="61" t="s">
        <v>1898</v>
      </c>
      <c r="U54" s="61" t="s">
        <v>1898</v>
      </c>
      <c r="V54" s="101" t="str">
        <f>VLOOKUP(B54,[2]Overall!$A:$D,4,0)</f>
        <v>TELEINFRA CENTRE</v>
      </c>
      <c r="W54" s="101" t="str">
        <f>VLOOKUP(B54,[3]Sheet1!$A:$B,2,0)</f>
        <v>Evodoula</v>
      </c>
      <c r="X54" s="88" t="str">
        <f t="shared" si="4"/>
        <v>CTR</v>
      </c>
      <c r="Y54" s="88" t="str">
        <f t="shared" ca="1" si="5"/>
        <v>48H&lt;T&lt;72H</v>
      </c>
      <c r="Z54" s="101">
        <f t="shared" si="6"/>
        <v>2</v>
      </c>
      <c r="AA54" s="61" t="s">
        <v>1566</v>
      </c>
      <c r="AB54" s="61" t="s">
        <v>1554</v>
      </c>
      <c r="AC54" s="105" t="s">
        <v>2530</v>
      </c>
      <c r="AD54" s="106" t="s">
        <v>1994</v>
      </c>
      <c r="AE54" s="61"/>
    </row>
    <row r="55" spans="1:31" ht="72.5" x14ac:dyDescent="0.35">
      <c r="A55" s="63" t="s">
        <v>2511</v>
      </c>
      <c r="B55" s="63" t="s">
        <v>2512</v>
      </c>
      <c r="C55" s="68"/>
      <c r="D55" s="63"/>
      <c r="E55" s="63" t="s">
        <v>35</v>
      </c>
      <c r="F55" s="71" t="s">
        <v>53</v>
      </c>
      <c r="G55" s="71" t="s">
        <v>2121</v>
      </c>
      <c r="H55" s="69">
        <v>46178.420358796298</v>
      </c>
      <c r="I55" s="77">
        <f t="shared" ca="1" si="7"/>
        <v>2.2483335648139473</v>
      </c>
      <c r="J55" s="63"/>
      <c r="K55" s="63"/>
      <c r="L55" s="63"/>
      <c r="M55" s="63" t="s">
        <v>31</v>
      </c>
      <c r="N55" s="63" t="s">
        <v>2513</v>
      </c>
      <c r="O55" s="63"/>
      <c r="P55" s="63" t="s">
        <v>2595</v>
      </c>
      <c r="Q55" s="63"/>
      <c r="R55" s="63" t="s">
        <v>2531</v>
      </c>
      <c r="S55" s="63" t="s">
        <v>32</v>
      </c>
      <c r="T55" s="63" t="s">
        <v>1898</v>
      </c>
      <c r="U55" s="63" t="s">
        <v>1898</v>
      </c>
      <c r="V55" s="107" t="str">
        <f>VLOOKUP(B55,[2]Overall!$A:$D,4,0)</f>
        <v xml:space="preserve">I-ENG </v>
      </c>
      <c r="W55" s="107" t="str">
        <f>VLOOKUP(B55,[3]Sheet1!$A:$B,2,0)</f>
        <v>Zemda</v>
      </c>
      <c r="X55" s="89" t="str">
        <f t="shared" si="4"/>
        <v>OST</v>
      </c>
      <c r="Y55" s="89" t="str">
        <f t="shared" ca="1" si="5"/>
        <v>48H&lt;T&lt;72H</v>
      </c>
      <c r="Z55" s="107">
        <f t="shared" si="6"/>
        <v>3</v>
      </c>
      <c r="AA55" s="63" t="s">
        <v>77</v>
      </c>
      <c r="AB55" s="63" t="s">
        <v>1905</v>
      </c>
      <c r="AC55" s="108" t="s">
        <v>2530</v>
      </c>
      <c r="AD55" s="109" t="s">
        <v>1994</v>
      </c>
      <c r="AE55" s="63"/>
    </row>
    <row r="56" spans="1:31" ht="72.5" x14ac:dyDescent="0.35">
      <c r="A56" s="63" t="s">
        <v>2511</v>
      </c>
      <c r="B56" s="63" t="s">
        <v>2512</v>
      </c>
      <c r="C56" s="68"/>
      <c r="D56" s="63"/>
      <c r="E56" s="63" t="s">
        <v>47</v>
      </c>
      <c r="F56" s="71" t="s">
        <v>53</v>
      </c>
      <c r="G56" s="71" t="s">
        <v>2121</v>
      </c>
      <c r="H56" s="69">
        <v>46178.420358796298</v>
      </c>
      <c r="I56" s="77">
        <f t="shared" ca="1" si="7"/>
        <v>2.2483335648139473</v>
      </c>
      <c r="J56" s="63"/>
      <c r="K56" s="63"/>
      <c r="L56" s="63"/>
      <c r="M56" s="63" t="s">
        <v>31</v>
      </c>
      <c r="N56" s="63" t="s">
        <v>2514</v>
      </c>
      <c r="O56" s="63"/>
      <c r="P56" s="63" t="s">
        <v>2595</v>
      </c>
      <c r="Q56" s="63"/>
      <c r="R56" s="63" t="s">
        <v>2531</v>
      </c>
      <c r="S56" s="63" t="s">
        <v>32</v>
      </c>
      <c r="T56" s="63" t="s">
        <v>1898</v>
      </c>
      <c r="U56" s="63" t="s">
        <v>1898</v>
      </c>
      <c r="V56" s="107" t="str">
        <f>VLOOKUP(B56,[2]Overall!$A:$D,4,0)</f>
        <v xml:space="preserve">I-ENG </v>
      </c>
      <c r="W56" s="107" t="str">
        <f>VLOOKUP(B56,[3]Sheet1!$A:$B,2,0)</f>
        <v>Zemda</v>
      </c>
      <c r="X56" s="89" t="str">
        <f t="shared" si="4"/>
        <v>OST</v>
      </c>
      <c r="Y56" s="89" t="str">
        <f t="shared" ca="1" si="5"/>
        <v>48H&lt;T&lt;72H</v>
      </c>
      <c r="Z56" s="107">
        <f t="shared" si="6"/>
        <v>3</v>
      </c>
      <c r="AA56" s="63" t="s">
        <v>77</v>
      </c>
      <c r="AB56" s="63" t="s">
        <v>1905</v>
      </c>
      <c r="AC56" s="108" t="s">
        <v>2530</v>
      </c>
      <c r="AD56" s="109" t="s">
        <v>1994</v>
      </c>
      <c r="AE56" s="63"/>
    </row>
    <row r="57" spans="1:31" ht="72.5" x14ac:dyDescent="0.35">
      <c r="A57" s="63" t="s">
        <v>2515</v>
      </c>
      <c r="B57" s="63" t="s">
        <v>2512</v>
      </c>
      <c r="C57" s="68"/>
      <c r="D57" s="63"/>
      <c r="E57" s="63" t="s">
        <v>2516</v>
      </c>
      <c r="F57" s="71" t="s">
        <v>53</v>
      </c>
      <c r="G57" s="71" t="s">
        <v>2121</v>
      </c>
      <c r="H57" s="69">
        <v>46178.420370370368</v>
      </c>
      <c r="I57" s="77">
        <f t="shared" ca="1" si="7"/>
        <v>2.2483219907444436</v>
      </c>
      <c r="J57" s="63"/>
      <c r="K57" s="63"/>
      <c r="L57" s="63"/>
      <c r="M57" s="63" t="s">
        <v>31</v>
      </c>
      <c r="N57" s="63" t="s">
        <v>2517</v>
      </c>
      <c r="O57" s="63"/>
      <c r="P57" s="63" t="s">
        <v>2595</v>
      </c>
      <c r="Q57" s="63"/>
      <c r="R57" s="63" t="s">
        <v>2531</v>
      </c>
      <c r="S57" s="63" t="s">
        <v>32</v>
      </c>
      <c r="T57" s="63" t="s">
        <v>1898</v>
      </c>
      <c r="U57" s="63" t="s">
        <v>1898</v>
      </c>
      <c r="V57" s="107" t="str">
        <f>VLOOKUP(B57,[2]Overall!$A:$D,4,0)</f>
        <v xml:space="preserve">I-ENG </v>
      </c>
      <c r="W57" s="107" t="str">
        <f>VLOOKUP(B57,[3]Sheet1!$A:$B,2,0)</f>
        <v>Zemda</v>
      </c>
      <c r="X57" s="89" t="str">
        <f t="shared" si="4"/>
        <v>OST</v>
      </c>
      <c r="Y57" s="89" t="str">
        <f t="shared" ca="1" si="5"/>
        <v>48H&lt;T&lt;72H</v>
      </c>
      <c r="Z57" s="107">
        <f t="shared" si="6"/>
        <v>4</v>
      </c>
      <c r="AA57" s="63" t="s">
        <v>77</v>
      </c>
      <c r="AB57" s="63" t="s">
        <v>1905</v>
      </c>
      <c r="AC57" s="108" t="s">
        <v>2530</v>
      </c>
      <c r="AD57" s="109" t="s">
        <v>1994</v>
      </c>
      <c r="AE57" s="63"/>
    </row>
    <row r="58" spans="1:31" ht="72.5" x14ac:dyDescent="0.35">
      <c r="A58" s="63" t="s">
        <v>2515</v>
      </c>
      <c r="B58" s="63" t="s">
        <v>2512</v>
      </c>
      <c r="C58" s="68"/>
      <c r="D58" s="63"/>
      <c r="E58" s="63" t="s">
        <v>2518</v>
      </c>
      <c r="F58" s="71" t="s">
        <v>53</v>
      </c>
      <c r="G58" s="71" t="s">
        <v>2121</v>
      </c>
      <c r="H58" s="69">
        <v>46178.420370370368</v>
      </c>
      <c r="I58" s="77">
        <f t="shared" ca="1" si="7"/>
        <v>2.2483219907444436</v>
      </c>
      <c r="J58" s="63"/>
      <c r="K58" s="63"/>
      <c r="L58" s="63"/>
      <c r="M58" s="63" t="s">
        <v>31</v>
      </c>
      <c r="N58" s="63" t="s">
        <v>2519</v>
      </c>
      <c r="O58" s="63"/>
      <c r="P58" s="63" t="s">
        <v>2595</v>
      </c>
      <c r="Q58" s="63"/>
      <c r="R58" s="63" t="s">
        <v>2531</v>
      </c>
      <c r="S58" s="63" t="s">
        <v>32</v>
      </c>
      <c r="T58" s="63" t="s">
        <v>1898</v>
      </c>
      <c r="U58" s="63" t="s">
        <v>1898</v>
      </c>
      <c r="V58" s="107" t="str">
        <f>VLOOKUP(B58,[2]Overall!$A:$D,4,0)</f>
        <v xml:space="preserve">I-ENG </v>
      </c>
      <c r="W58" s="107" t="str">
        <f>VLOOKUP(B58,[3]Sheet1!$A:$B,2,0)</f>
        <v>Zemda</v>
      </c>
      <c r="X58" s="89" t="str">
        <f t="shared" si="4"/>
        <v>OST</v>
      </c>
      <c r="Y58" s="89" t="str">
        <f t="shared" ca="1" si="5"/>
        <v>48H&lt;T&lt;72H</v>
      </c>
      <c r="Z58" s="107">
        <f t="shared" si="6"/>
        <v>9</v>
      </c>
      <c r="AA58" s="63" t="s">
        <v>77</v>
      </c>
      <c r="AB58" s="63" t="s">
        <v>1905</v>
      </c>
      <c r="AC58" s="108" t="s">
        <v>2530</v>
      </c>
      <c r="AD58" s="109" t="s">
        <v>1994</v>
      </c>
      <c r="AE58" s="63"/>
    </row>
    <row r="59" spans="1:31" ht="232" x14ac:dyDescent="0.35">
      <c r="A59" s="61" t="s">
        <v>1776</v>
      </c>
      <c r="B59" s="61" t="s">
        <v>1777</v>
      </c>
      <c r="C59" s="65"/>
      <c r="D59" s="61"/>
      <c r="E59" s="61" t="s">
        <v>35</v>
      </c>
      <c r="F59" s="70" t="s">
        <v>53</v>
      </c>
      <c r="G59" s="70" t="s">
        <v>2121</v>
      </c>
      <c r="H59" s="67">
        <v>46178.43041666667</v>
      </c>
      <c r="I59" s="75">
        <f t="shared" ca="1" si="7"/>
        <v>2.2382756944425637</v>
      </c>
      <c r="J59" s="61"/>
      <c r="K59" s="61"/>
      <c r="L59" s="61"/>
      <c r="M59" s="61" t="s">
        <v>31</v>
      </c>
      <c r="N59" s="61" t="s">
        <v>1778</v>
      </c>
      <c r="O59" s="61"/>
      <c r="P59" s="61"/>
      <c r="Q59" s="61"/>
      <c r="R59" s="82" t="s">
        <v>2538</v>
      </c>
      <c r="S59" s="82" t="s">
        <v>32</v>
      </c>
      <c r="T59" s="82" t="s">
        <v>1898</v>
      </c>
      <c r="U59" s="82" t="s">
        <v>1898</v>
      </c>
      <c r="V59" s="101" t="str">
        <f>VLOOKUP(B59,[2]Overall!$A:$D,4,0)</f>
        <v xml:space="preserve">I-ENG </v>
      </c>
      <c r="W59" s="101" t="str">
        <f>VLOOKUP(B59,[3]Sheet1!$A:$B,2,0)</f>
        <v>Bafmeng</v>
      </c>
      <c r="X59" s="88" t="str">
        <f t="shared" si="4"/>
        <v>NRO</v>
      </c>
      <c r="Y59" s="88" t="str">
        <f t="shared" ca="1" si="5"/>
        <v>48H&lt;T&lt;72H</v>
      </c>
      <c r="Z59" s="101">
        <f t="shared" si="6"/>
        <v>3</v>
      </c>
      <c r="AA59" s="61" t="s">
        <v>1566</v>
      </c>
      <c r="AB59" s="61" t="s">
        <v>1905</v>
      </c>
      <c r="AC59" s="105" t="s">
        <v>2530</v>
      </c>
      <c r="AD59" s="106" t="s">
        <v>1994</v>
      </c>
      <c r="AE59" s="61"/>
    </row>
    <row r="60" spans="1:31" ht="87" x14ac:dyDescent="0.35">
      <c r="A60" s="61" t="s">
        <v>2441</v>
      </c>
      <c r="B60" s="61" t="s">
        <v>2442</v>
      </c>
      <c r="C60" s="65"/>
      <c r="D60" s="61"/>
      <c r="E60" s="61" t="s">
        <v>2471</v>
      </c>
      <c r="F60" s="70" t="s">
        <v>53</v>
      </c>
      <c r="G60" s="70" t="s">
        <v>2121</v>
      </c>
      <c r="H60" s="67">
        <v>46178.441736111112</v>
      </c>
      <c r="I60" s="75">
        <f t="shared" ca="1" si="7"/>
        <v>2.2269562500005122</v>
      </c>
      <c r="J60" s="61"/>
      <c r="K60" s="61"/>
      <c r="L60" s="61"/>
      <c r="M60" s="61" t="s">
        <v>33</v>
      </c>
      <c r="N60" s="61" t="s">
        <v>2444</v>
      </c>
      <c r="O60" s="61"/>
      <c r="P60" s="61"/>
      <c r="Q60" s="61"/>
      <c r="R60" s="61" t="s">
        <v>2506</v>
      </c>
      <c r="S60" s="61" t="s">
        <v>45</v>
      </c>
      <c r="T60" s="61" t="s">
        <v>1898</v>
      </c>
      <c r="U60" s="61" t="s">
        <v>1898</v>
      </c>
      <c r="V60" s="101" t="str">
        <f>VLOOKUP(B60,[2]Overall!$A:$D,4,0)</f>
        <v>TELEINFRA CENTRE</v>
      </c>
      <c r="W60" s="101" t="str">
        <f>VLOOKUP(B60,[3]Sheet1!$A:$B,2,0)</f>
        <v>Yola</v>
      </c>
      <c r="X60" s="88" t="str">
        <f t="shared" ref="X60:X77" si="8">LEFT(B60,3)</f>
        <v>EST</v>
      </c>
      <c r="Y60" s="88" t="str">
        <f t="shared" ref="Y60:Y77" ca="1" si="9">IF(I60 &lt; 1/24, "T&lt;1H", IF(AND(I60&lt;2/24, I60&gt;1/24), "1H&lt;T&lt;2H", IF(AND(I60&lt;4/24, I60&gt;2/24), "2H&lt;T&lt;4H", IF(AND(I60&lt;8/24, I60&gt;4/24), "4H&lt;T&lt;8H", IF(AND(I60&lt;16/24, I60&gt;8/24), "8H&lt;T&lt;16H",IF(AND(I60&lt;24/24, I60&gt;16/24),"16H&lt;T&lt;24H", IF(AND(I60&lt;48/24, I60&gt;24/24),"24H&lt;T&lt;48H",IF(AND(I60&lt;72/24, I60&gt;24/24),"48H&lt;T&lt;72H", "T&gt;72H"))))))))</f>
        <v>48H&lt;T&lt;72H</v>
      </c>
      <c r="Z60" s="101">
        <f t="shared" ref="Z60:Z77" si="10">IF(OR(E60="", E60="affected_cells=unknown"), "", LEN(E60)-LEN(SUBSTITUTE(E60, ",", "")) + LEN(E60)-LEN(SUBSTITUTE(E60, ";", "")) + 1)</f>
        <v>2</v>
      </c>
      <c r="AA60" s="61" t="s">
        <v>1566</v>
      </c>
      <c r="AB60" s="61" t="s">
        <v>1554</v>
      </c>
      <c r="AC60" s="105" t="s">
        <v>2530</v>
      </c>
      <c r="AD60" s="106" t="s">
        <v>1994</v>
      </c>
      <c r="AE60" s="61"/>
    </row>
    <row r="61" spans="1:31" ht="58" x14ac:dyDescent="0.35">
      <c r="A61" s="63" t="s">
        <v>2477</v>
      </c>
      <c r="B61" s="63" t="s">
        <v>2478</v>
      </c>
      <c r="C61" s="68"/>
      <c r="D61" s="63"/>
      <c r="E61" s="63" t="s">
        <v>2479</v>
      </c>
      <c r="F61" s="71" t="s">
        <v>53</v>
      </c>
      <c r="G61" s="71" t="s">
        <v>2121</v>
      </c>
      <c r="H61" s="69">
        <v>46178.460995370369</v>
      </c>
      <c r="I61" s="77">
        <f t="shared" ca="1" si="7"/>
        <v>2.2076969907429884</v>
      </c>
      <c r="J61" s="63"/>
      <c r="K61" s="63"/>
      <c r="L61" s="63"/>
      <c r="M61" s="63" t="s">
        <v>33</v>
      </c>
      <c r="N61" s="63" t="s">
        <v>2480</v>
      </c>
      <c r="O61" s="63"/>
      <c r="P61" s="63" t="s">
        <v>2595</v>
      </c>
      <c r="Q61" s="63"/>
      <c r="R61" s="63" t="s">
        <v>2539</v>
      </c>
      <c r="S61" s="63" t="s">
        <v>40</v>
      </c>
      <c r="T61" s="63" t="s">
        <v>1898</v>
      </c>
      <c r="U61" s="63" t="s">
        <v>1898</v>
      </c>
      <c r="V61" s="107" t="str">
        <f>VLOOKUP(B61,[2]Overall!$A:$D,4,0)</f>
        <v>TELEINFRA NORD</v>
      </c>
      <c r="W61" s="107" t="str">
        <f>VLOOKUP(B61,[3]Sheet1!$A:$B,2,0)</f>
        <v>Salak</v>
      </c>
      <c r="X61" s="89" t="str">
        <f t="shared" si="8"/>
        <v>EXN</v>
      </c>
      <c r="Y61" s="89" t="str">
        <f t="shared" ca="1" si="9"/>
        <v>48H&lt;T&lt;72H</v>
      </c>
      <c r="Z61" s="107">
        <f t="shared" si="10"/>
        <v>2</v>
      </c>
      <c r="AA61" s="63" t="s">
        <v>77</v>
      </c>
      <c r="AB61" s="63" t="s">
        <v>1554</v>
      </c>
      <c r="AC61" s="108" t="s">
        <v>2530</v>
      </c>
      <c r="AD61" s="109" t="s">
        <v>1994</v>
      </c>
      <c r="AE61" s="63"/>
    </row>
    <row r="62" spans="1:31" ht="87" x14ac:dyDescent="0.35">
      <c r="A62" s="63" t="s">
        <v>1611</v>
      </c>
      <c r="B62" s="63" t="s">
        <v>1610</v>
      </c>
      <c r="C62" s="68"/>
      <c r="D62" s="63"/>
      <c r="E62" s="63" t="s">
        <v>1650</v>
      </c>
      <c r="F62" s="71" t="s">
        <v>53</v>
      </c>
      <c r="G62" s="71" t="s">
        <v>2121</v>
      </c>
      <c r="H62" s="69">
        <v>46178.484155092592</v>
      </c>
      <c r="I62" s="77">
        <f t="shared" ca="1" si="7"/>
        <v>2.1845372685202165</v>
      </c>
      <c r="J62" s="63"/>
      <c r="K62" s="63"/>
      <c r="L62" s="63"/>
      <c r="M62" s="63" t="s">
        <v>41</v>
      </c>
      <c r="N62" s="63" t="s">
        <v>42</v>
      </c>
      <c r="O62" s="63"/>
      <c r="P62" s="63" t="s">
        <v>2595</v>
      </c>
      <c r="Q62" s="63"/>
      <c r="R62" s="63" t="s">
        <v>2386</v>
      </c>
      <c r="S62" s="63" t="s">
        <v>71</v>
      </c>
      <c r="T62" s="63" t="s">
        <v>1902</v>
      </c>
      <c r="U62" s="63" t="s">
        <v>1896</v>
      </c>
      <c r="V62" s="107" t="str">
        <f>VLOOKUP(B62,[2]Overall!$A:$D,4,0)</f>
        <v>TELEINFRA NORD</v>
      </c>
      <c r="W62" s="107" t="str">
        <f>VLOOKUP(B62,[3]Sheet1!$A:$B,2,0)</f>
        <v>Zileng</v>
      </c>
      <c r="X62" s="89" t="str">
        <f t="shared" si="8"/>
        <v>EXN</v>
      </c>
      <c r="Y62" s="89" t="str">
        <f t="shared" ca="1" si="9"/>
        <v>48H&lt;T&lt;72H</v>
      </c>
      <c r="Z62" s="107">
        <f t="shared" si="10"/>
        <v>1</v>
      </c>
      <c r="AA62" s="63" t="s">
        <v>77</v>
      </c>
      <c r="AB62" s="63" t="s">
        <v>1554</v>
      </c>
      <c r="AC62" s="108" t="s">
        <v>2530</v>
      </c>
      <c r="AD62" s="109" t="s">
        <v>1994</v>
      </c>
      <c r="AE62" s="63"/>
    </row>
    <row r="63" spans="1:31" ht="87" x14ac:dyDescent="0.35">
      <c r="A63" s="63" t="s">
        <v>1611</v>
      </c>
      <c r="B63" s="63" t="s">
        <v>1610</v>
      </c>
      <c r="C63" s="68"/>
      <c r="D63" s="63"/>
      <c r="E63" s="63" t="s">
        <v>1644</v>
      </c>
      <c r="F63" s="71" t="s">
        <v>53</v>
      </c>
      <c r="G63" s="71" t="s">
        <v>2121</v>
      </c>
      <c r="H63" s="69">
        <v>46178.484155092592</v>
      </c>
      <c r="I63" s="77">
        <f t="shared" ca="1" si="7"/>
        <v>2.1845372685202165</v>
      </c>
      <c r="J63" s="63"/>
      <c r="K63" s="63"/>
      <c r="L63" s="63"/>
      <c r="M63" s="63" t="s">
        <v>41</v>
      </c>
      <c r="N63" s="63" t="s">
        <v>42</v>
      </c>
      <c r="O63" s="63"/>
      <c r="P63" s="63" t="s">
        <v>2595</v>
      </c>
      <c r="Q63" s="63"/>
      <c r="R63" s="63" t="s">
        <v>2386</v>
      </c>
      <c r="S63" s="63" t="s">
        <v>71</v>
      </c>
      <c r="T63" s="63" t="s">
        <v>1902</v>
      </c>
      <c r="U63" s="63" t="s">
        <v>1896</v>
      </c>
      <c r="V63" s="107" t="str">
        <f>VLOOKUP(B63,[2]Overall!$A:$D,4,0)</f>
        <v>TELEINFRA NORD</v>
      </c>
      <c r="W63" s="107" t="str">
        <f>VLOOKUP(B63,[3]Sheet1!$A:$B,2,0)</f>
        <v>Zileng</v>
      </c>
      <c r="X63" s="89" t="str">
        <f t="shared" si="8"/>
        <v>EXN</v>
      </c>
      <c r="Y63" s="89" t="str">
        <f t="shared" ca="1" si="9"/>
        <v>48H&lt;T&lt;72H</v>
      </c>
      <c r="Z63" s="107">
        <f t="shared" si="10"/>
        <v>1</v>
      </c>
      <c r="AA63" s="63" t="s">
        <v>77</v>
      </c>
      <c r="AB63" s="63" t="s">
        <v>1554</v>
      </c>
      <c r="AC63" s="108" t="s">
        <v>2530</v>
      </c>
      <c r="AD63" s="109" t="s">
        <v>1994</v>
      </c>
      <c r="AE63" s="63"/>
    </row>
    <row r="64" spans="1:31" ht="87" x14ac:dyDescent="0.35">
      <c r="A64" s="63" t="s">
        <v>1611</v>
      </c>
      <c r="B64" s="63" t="s">
        <v>1610</v>
      </c>
      <c r="C64" s="68"/>
      <c r="D64" s="63"/>
      <c r="E64" s="63" t="s">
        <v>1649</v>
      </c>
      <c r="F64" s="71" t="s">
        <v>53</v>
      </c>
      <c r="G64" s="71" t="s">
        <v>2121</v>
      </c>
      <c r="H64" s="69">
        <v>46178.484143518515</v>
      </c>
      <c r="I64" s="77">
        <f t="shared" ca="1" si="7"/>
        <v>2.1845488425969961</v>
      </c>
      <c r="J64" s="63"/>
      <c r="K64" s="63"/>
      <c r="L64" s="63"/>
      <c r="M64" s="63" t="s">
        <v>41</v>
      </c>
      <c r="N64" s="63" t="s">
        <v>42</v>
      </c>
      <c r="O64" s="63"/>
      <c r="P64" s="63" t="s">
        <v>2595</v>
      </c>
      <c r="Q64" s="63"/>
      <c r="R64" s="63" t="s">
        <v>2386</v>
      </c>
      <c r="S64" s="63" t="s">
        <v>71</v>
      </c>
      <c r="T64" s="63" t="s">
        <v>1902</v>
      </c>
      <c r="U64" s="63" t="s">
        <v>1896</v>
      </c>
      <c r="V64" s="107" t="str">
        <f>VLOOKUP(B64,[2]Overall!$A:$D,4,0)</f>
        <v>TELEINFRA NORD</v>
      </c>
      <c r="W64" s="107" t="str">
        <f>VLOOKUP(B64,[3]Sheet1!$A:$B,2,0)</f>
        <v>Zileng</v>
      </c>
      <c r="X64" s="89" t="str">
        <f t="shared" si="8"/>
        <v>EXN</v>
      </c>
      <c r="Y64" s="89" t="str">
        <f t="shared" ca="1" si="9"/>
        <v>48H&lt;T&lt;72H</v>
      </c>
      <c r="Z64" s="107">
        <f t="shared" si="10"/>
        <v>1</v>
      </c>
      <c r="AA64" s="63" t="s">
        <v>77</v>
      </c>
      <c r="AB64" s="63" t="s">
        <v>1554</v>
      </c>
      <c r="AC64" s="108" t="s">
        <v>2530</v>
      </c>
      <c r="AD64" s="109" t="s">
        <v>1994</v>
      </c>
      <c r="AE64" s="63"/>
    </row>
    <row r="65" spans="1:31" ht="87" x14ac:dyDescent="0.35">
      <c r="A65" s="63" t="s">
        <v>1611</v>
      </c>
      <c r="B65" s="63" t="s">
        <v>1610</v>
      </c>
      <c r="C65" s="68"/>
      <c r="D65" s="63"/>
      <c r="E65" s="63" t="s">
        <v>1647</v>
      </c>
      <c r="F65" s="71" t="s">
        <v>53</v>
      </c>
      <c r="G65" s="71" t="s">
        <v>2121</v>
      </c>
      <c r="H65" s="69">
        <v>46178.484155092592</v>
      </c>
      <c r="I65" s="77">
        <f t="shared" ca="1" si="7"/>
        <v>2.1845372685202165</v>
      </c>
      <c r="J65" s="63"/>
      <c r="K65" s="63"/>
      <c r="L65" s="63"/>
      <c r="M65" s="63" t="s">
        <v>41</v>
      </c>
      <c r="N65" s="63" t="s">
        <v>42</v>
      </c>
      <c r="O65" s="63"/>
      <c r="P65" s="63" t="s">
        <v>2595</v>
      </c>
      <c r="Q65" s="63"/>
      <c r="R65" s="63" t="s">
        <v>2386</v>
      </c>
      <c r="S65" s="63" t="s">
        <v>71</v>
      </c>
      <c r="T65" s="63" t="s">
        <v>1902</v>
      </c>
      <c r="U65" s="63" t="s">
        <v>1896</v>
      </c>
      <c r="V65" s="107" t="str">
        <f>VLOOKUP(B65,[2]Overall!$A:$D,4,0)</f>
        <v>TELEINFRA NORD</v>
      </c>
      <c r="W65" s="107" t="str">
        <f>VLOOKUP(B65,[3]Sheet1!$A:$B,2,0)</f>
        <v>Zileng</v>
      </c>
      <c r="X65" s="89" t="str">
        <f t="shared" si="8"/>
        <v>EXN</v>
      </c>
      <c r="Y65" s="89" t="str">
        <f t="shared" ca="1" si="9"/>
        <v>48H&lt;T&lt;72H</v>
      </c>
      <c r="Z65" s="107">
        <f t="shared" si="10"/>
        <v>1</v>
      </c>
      <c r="AA65" s="63" t="s">
        <v>77</v>
      </c>
      <c r="AB65" s="63" t="s">
        <v>1554</v>
      </c>
      <c r="AC65" s="108" t="s">
        <v>2530</v>
      </c>
      <c r="AD65" s="109" t="s">
        <v>1994</v>
      </c>
      <c r="AE65" s="63"/>
    </row>
    <row r="66" spans="1:31" ht="87" x14ac:dyDescent="0.35">
      <c r="A66" s="63" t="s">
        <v>1611</v>
      </c>
      <c r="B66" s="63" t="s">
        <v>1610</v>
      </c>
      <c r="C66" s="68"/>
      <c r="D66" s="63"/>
      <c r="E66" s="63" t="s">
        <v>1642</v>
      </c>
      <c r="F66" s="71" t="s">
        <v>53</v>
      </c>
      <c r="G66" s="71" t="s">
        <v>2121</v>
      </c>
      <c r="H66" s="69">
        <v>46178.484155092592</v>
      </c>
      <c r="I66" s="77">
        <f t="shared" ca="1" si="7"/>
        <v>2.1845372685202165</v>
      </c>
      <c r="J66" s="63"/>
      <c r="K66" s="63"/>
      <c r="L66" s="63"/>
      <c r="M66" s="63" t="s">
        <v>41</v>
      </c>
      <c r="N66" s="63" t="s">
        <v>42</v>
      </c>
      <c r="O66" s="63"/>
      <c r="P66" s="63" t="s">
        <v>2595</v>
      </c>
      <c r="Q66" s="63"/>
      <c r="R66" s="63" t="s">
        <v>2386</v>
      </c>
      <c r="S66" s="63" t="s">
        <v>71</v>
      </c>
      <c r="T66" s="63" t="s">
        <v>1902</v>
      </c>
      <c r="U66" s="63" t="s">
        <v>1896</v>
      </c>
      <c r="V66" s="107" t="str">
        <f>VLOOKUP(B66,[2]Overall!$A:$D,4,0)</f>
        <v>TELEINFRA NORD</v>
      </c>
      <c r="W66" s="107" t="str">
        <f>VLOOKUP(B66,[3]Sheet1!$A:$B,2,0)</f>
        <v>Zileng</v>
      </c>
      <c r="X66" s="89" t="str">
        <f t="shared" si="8"/>
        <v>EXN</v>
      </c>
      <c r="Y66" s="89" t="str">
        <f t="shared" ca="1" si="9"/>
        <v>48H&lt;T&lt;72H</v>
      </c>
      <c r="Z66" s="107">
        <f t="shared" si="10"/>
        <v>1</v>
      </c>
      <c r="AA66" s="63" t="s">
        <v>77</v>
      </c>
      <c r="AB66" s="63" t="s">
        <v>1554</v>
      </c>
      <c r="AC66" s="108" t="s">
        <v>2530</v>
      </c>
      <c r="AD66" s="109" t="s">
        <v>1994</v>
      </c>
      <c r="AE66" s="63"/>
    </row>
    <row r="67" spans="1:31" ht="87" x14ac:dyDescent="0.35">
      <c r="A67" s="63" t="s">
        <v>1611</v>
      </c>
      <c r="B67" s="63" t="s">
        <v>1610</v>
      </c>
      <c r="C67" s="68"/>
      <c r="D67" s="63"/>
      <c r="E67" s="63" t="s">
        <v>1646</v>
      </c>
      <c r="F67" s="71" t="s">
        <v>53</v>
      </c>
      <c r="G67" s="71" t="s">
        <v>2121</v>
      </c>
      <c r="H67" s="69">
        <v>46178.484155092592</v>
      </c>
      <c r="I67" s="77">
        <f t="shared" ca="1" si="7"/>
        <v>2.1845372685202165</v>
      </c>
      <c r="J67" s="63"/>
      <c r="K67" s="63"/>
      <c r="L67" s="63"/>
      <c r="M67" s="63" t="s">
        <v>41</v>
      </c>
      <c r="N67" s="63" t="s">
        <v>42</v>
      </c>
      <c r="O67" s="63"/>
      <c r="P67" s="63" t="s">
        <v>2595</v>
      </c>
      <c r="Q67" s="63"/>
      <c r="R67" s="63" t="s">
        <v>2386</v>
      </c>
      <c r="S67" s="63" t="s">
        <v>71</v>
      </c>
      <c r="T67" s="63" t="s">
        <v>1902</v>
      </c>
      <c r="U67" s="63" t="s">
        <v>1896</v>
      </c>
      <c r="V67" s="107" t="str">
        <f>VLOOKUP(B67,[2]Overall!$A:$D,4,0)</f>
        <v>TELEINFRA NORD</v>
      </c>
      <c r="W67" s="107" t="str">
        <f>VLOOKUP(B67,[3]Sheet1!$A:$B,2,0)</f>
        <v>Zileng</v>
      </c>
      <c r="X67" s="89" t="str">
        <f t="shared" si="8"/>
        <v>EXN</v>
      </c>
      <c r="Y67" s="89" t="str">
        <f t="shared" ca="1" si="9"/>
        <v>48H&lt;T&lt;72H</v>
      </c>
      <c r="Z67" s="107">
        <f t="shared" si="10"/>
        <v>1</v>
      </c>
      <c r="AA67" s="63" t="s">
        <v>77</v>
      </c>
      <c r="AB67" s="63" t="s">
        <v>1554</v>
      </c>
      <c r="AC67" s="108" t="s">
        <v>2530</v>
      </c>
      <c r="AD67" s="109" t="s">
        <v>1994</v>
      </c>
      <c r="AE67" s="63"/>
    </row>
    <row r="68" spans="1:31" ht="87" x14ac:dyDescent="0.35">
      <c r="A68" s="63" t="s">
        <v>1611</v>
      </c>
      <c r="B68" s="63" t="s">
        <v>1610</v>
      </c>
      <c r="C68" s="68"/>
      <c r="D68" s="63"/>
      <c r="E68" s="63" t="s">
        <v>1614</v>
      </c>
      <c r="F68" s="71" t="s">
        <v>53</v>
      </c>
      <c r="G68" s="71" t="s">
        <v>2121</v>
      </c>
      <c r="H68" s="69">
        <v>46178.484166666669</v>
      </c>
      <c r="I68" s="77">
        <f t="shared" ca="1" si="7"/>
        <v>2.1845256944434368</v>
      </c>
      <c r="J68" s="63"/>
      <c r="K68" s="63"/>
      <c r="L68" s="63"/>
      <c r="M68" s="63" t="s">
        <v>41</v>
      </c>
      <c r="N68" s="63" t="s">
        <v>42</v>
      </c>
      <c r="O68" s="63"/>
      <c r="P68" s="63" t="s">
        <v>2595</v>
      </c>
      <c r="Q68" s="63"/>
      <c r="R68" s="63" t="s">
        <v>2386</v>
      </c>
      <c r="S68" s="63" t="s">
        <v>71</v>
      </c>
      <c r="T68" s="63" t="s">
        <v>1902</v>
      </c>
      <c r="U68" s="63" t="s">
        <v>1896</v>
      </c>
      <c r="V68" s="107" t="str">
        <f>VLOOKUP(B68,[2]Overall!$A:$D,4,0)</f>
        <v>TELEINFRA NORD</v>
      </c>
      <c r="W68" s="107" t="str">
        <f>VLOOKUP(B68,[3]Sheet1!$A:$B,2,0)</f>
        <v>Zileng</v>
      </c>
      <c r="X68" s="89" t="str">
        <f t="shared" si="8"/>
        <v>EXN</v>
      </c>
      <c r="Y68" s="89" t="str">
        <f t="shared" ca="1" si="9"/>
        <v>48H&lt;T&lt;72H</v>
      </c>
      <c r="Z68" s="107">
        <f t="shared" si="10"/>
        <v>1</v>
      </c>
      <c r="AA68" s="63" t="s">
        <v>77</v>
      </c>
      <c r="AB68" s="63" t="s">
        <v>1554</v>
      </c>
      <c r="AC68" s="108" t="s">
        <v>2530</v>
      </c>
      <c r="AD68" s="109" t="s">
        <v>1994</v>
      </c>
      <c r="AE68" s="63"/>
    </row>
    <row r="69" spans="1:31" ht="87" x14ac:dyDescent="0.35">
      <c r="A69" s="63" t="s">
        <v>1611</v>
      </c>
      <c r="B69" s="63" t="s">
        <v>1610</v>
      </c>
      <c r="C69" s="68"/>
      <c r="D69" s="63"/>
      <c r="E69" s="63" t="s">
        <v>1643</v>
      </c>
      <c r="F69" s="71" t="s">
        <v>53</v>
      </c>
      <c r="G69" s="71" t="s">
        <v>2121</v>
      </c>
      <c r="H69" s="69">
        <v>46178.484155092592</v>
      </c>
      <c r="I69" s="77">
        <f t="shared" ca="1" si="7"/>
        <v>2.1845372685202165</v>
      </c>
      <c r="J69" s="63"/>
      <c r="K69" s="63"/>
      <c r="L69" s="63"/>
      <c r="M69" s="63" t="s">
        <v>41</v>
      </c>
      <c r="N69" s="63" t="s">
        <v>42</v>
      </c>
      <c r="O69" s="63"/>
      <c r="P69" s="63" t="s">
        <v>2595</v>
      </c>
      <c r="Q69" s="63"/>
      <c r="R69" s="63" t="s">
        <v>2386</v>
      </c>
      <c r="S69" s="63" t="s">
        <v>71</v>
      </c>
      <c r="T69" s="63" t="s">
        <v>1902</v>
      </c>
      <c r="U69" s="63" t="s">
        <v>1896</v>
      </c>
      <c r="V69" s="107" t="str">
        <f>VLOOKUP(B69,[2]Overall!$A:$D,4,0)</f>
        <v>TELEINFRA NORD</v>
      </c>
      <c r="W69" s="107" t="str">
        <f>VLOOKUP(B69,[3]Sheet1!$A:$B,2,0)</f>
        <v>Zileng</v>
      </c>
      <c r="X69" s="89" t="str">
        <f t="shared" si="8"/>
        <v>EXN</v>
      </c>
      <c r="Y69" s="89" t="str">
        <f t="shared" ca="1" si="9"/>
        <v>48H&lt;T&lt;72H</v>
      </c>
      <c r="Z69" s="107">
        <f t="shared" si="10"/>
        <v>1</v>
      </c>
      <c r="AA69" s="63" t="s">
        <v>77</v>
      </c>
      <c r="AB69" s="63" t="s">
        <v>1554</v>
      </c>
      <c r="AC69" s="108" t="s">
        <v>2530</v>
      </c>
      <c r="AD69" s="109" t="s">
        <v>1994</v>
      </c>
      <c r="AE69" s="63"/>
    </row>
    <row r="70" spans="1:31" ht="87" x14ac:dyDescent="0.35">
      <c r="A70" s="63" t="s">
        <v>1611</v>
      </c>
      <c r="B70" s="63" t="s">
        <v>1610</v>
      </c>
      <c r="C70" s="68"/>
      <c r="D70" s="63"/>
      <c r="E70" s="63" t="s">
        <v>1612</v>
      </c>
      <c r="F70" s="71" t="s">
        <v>53</v>
      </c>
      <c r="G70" s="71" t="s">
        <v>2121</v>
      </c>
      <c r="H70" s="69">
        <v>46178.484166666669</v>
      </c>
      <c r="I70" s="77">
        <f t="shared" ca="1" si="7"/>
        <v>2.1845256944434368</v>
      </c>
      <c r="J70" s="63"/>
      <c r="K70" s="63"/>
      <c r="L70" s="63"/>
      <c r="M70" s="63" t="s">
        <v>41</v>
      </c>
      <c r="N70" s="63" t="s">
        <v>42</v>
      </c>
      <c r="O70" s="63"/>
      <c r="P70" s="63" t="s">
        <v>2595</v>
      </c>
      <c r="Q70" s="63"/>
      <c r="R70" s="63" t="s">
        <v>2386</v>
      </c>
      <c r="S70" s="63" t="s">
        <v>71</v>
      </c>
      <c r="T70" s="63" t="s">
        <v>1902</v>
      </c>
      <c r="U70" s="63" t="s">
        <v>1896</v>
      </c>
      <c r="V70" s="107" t="str">
        <f>VLOOKUP(B70,[2]Overall!$A:$D,4,0)</f>
        <v>TELEINFRA NORD</v>
      </c>
      <c r="W70" s="107" t="str">
        <f>VLOOKUP(B70,[3]Sheet1!$A:$B,2,0)</f>
        <v>Zileng</v>
      </c>
      <c r="X70" s="89" t="str">
        <f t="shared" si="8"/>
        <v>EXN</v>
      </c>
      <c r="Y70" s="89" t="str">
        <f t="shared" ca="1" si="9"/>
        <v>48H&lt;T&lt;72H</v>
      </c>
      <c r="Z70" s="107">
        <f t="shared" si="10"/>
        <v>1</v>
      </c>
      <c r="AA70" s="63" t="s">
        <v>77</v>
      </c>
      <c r="AB70" s="63" t="s">
        <v>1554</v>
      </c>
      <c r="AC70" s="108" t="s">
        <v>2530</v>
      </c>
      <c r="AD70" s="109" t="s">
        <v>1994</v>
      </c>
      <c r="AE70" s="63"/>
    </row>
    <row r="71" spans="1:31" ht="87" x14ac:dyDescent="0.35">
      <c r="A71" s="63" t="s">
        <v>1611</v>
      </c>
      <c r="B71" s="63" t="s">
        <v>1610</v>
      </c>
      <c r="C71" s="68"/>
      <c r="D71" s="63"/>
      <c r="E71" s="63" t="s">
        <v>1645</v>
      </c>
      <c r="F71" s="71" t="s">
        <v>53</v>
      </c>
      <c r="G71" s="71" t="s">
        <v>2121</v>
      </c>
      <c r="H71" s="69">
        <v>46178.484155092592</v>
      </c>
      <c r="I71" s="77">
        <f t="shared" ca="1" si="7"/>
        <v>2.1845372685202165</v>
      </c>
      <c r="J71" s="63"/>
      <c r="K71" s="63"/>
      <c r="L71" s="63"/>
      <c r="M71" s="63" t="s">
        <v>41</v>
      </c>
      <c r="N71" s="63" t="s">
        <v>42</v>
      </c>
      <c r="O71" s="63"/>
      <c r="P71" s="63" t="s">
        <v>2595</v>
      </c>
      <c r="Q71" s="63"/>
      <c r="R71" s="63" t="s">
        <v>2386</v>
      </c>
      <c r="S71" s="63" t="s">
        <v>71</v>
      </c>
      <c r="T71" s="63" t="s">
        <v>1902</v>
      </c>
      <c r="U71" s="63" t="s">
        <v>1896</v>
      </c>
      <c r="V71" s="107" t="str">
        <f>VLOOKUP(B71,[2]Overall!$A:$D,4,0)</f>
        <v>TELEINFRA NORD</v>
      </c>
      <c r="W71" s="107" t="str">
        <f>VLOOKUP(B71,[3]Sheet1!$A:$B,2,0)</f>
        <v>Zileng</v>
      </c>
      <c r="X71" s="89" t="str">
        <f t="shared" si="8"/>
        <v>EXN</v>
      </c>
      <c r="Y71" s="89" t="str">
        <f t="shared" ca="1" si="9"/>
        <v>48H&lt;T&lt;72H</v>
      </c>
      <c r="Z71" s="107">
        <f t="shared" si="10"/>
        <v>1</v>
      </c>
      <c r="AA71" s="63" t="s">
        <v>77</v>
      </c>
      <c r="AB71" s="63" t="s">
        <v>1554</v>
      </c>
      <c r="AC71" s="108" t="s">
        <v>2530</v>
      </c>
      <c r="AD71" s="109" t="s">
        <v>1994</v>
      </c>
      <c r="AE71" s="63"/>
    </row>
    <row r="72" spans="1:31" ht="87" x14ac:dyDescent="0.35">
      <c r="A72" s="63" t="s">
        <v>1611</v>
      </c>
      <c r="B72" s="63" t="s">
        <v>1610</v>
      </c>
      <c r="C72" s="68"/>
      <c r="D72" s="63"/>
      <c r="E72" s="63" t="s">
        <v>1616</v>
      </c>
      <c r="F72" s="71" t="s">
        <v>53</v>
      </c>
      <c r="G72" s="71" t="s">
        <v>2121</v>
      </c>
      <c r="H72" s="69">
        <v>46178.484166666669</v>
      </c>
      <c r="I72" s="77">
        <f t="shared" ca="1" si="7"/>
        <v>2.1845256944434368</v>
      </c>
      <c r="J72" s="63"/>
      <c r="K72" s="63"/>
      <c r="L72" s="63"/>
      <c r="M72" s="63" t="s">
        <v>41</v>
      </c>
      <c r="N72" s="63" t="s">
        <v>42</v>
      </c>
      <c r="O72" s="63"/>
      <c r="P72" s="63" t="s">
        <v>2595</v>
      </c>
      <c r="Q72" s="63"/>
      <c r="R72" s="63" t="s">
        <v>2386</v>
      </c>
      <c r="S72" s="63" t="s">
        <v>71</v>
      </c>
      <c r="T72" s="63" t="s">
        <v>1902</v>
      </c>
      <c r="U72" s="63" t="s">
        <v>1896</v>
      </c>
      <c r="V72" s="107" t="str">
        <f>VLOOKUP(B72,[2]Overall!$A:$D,4,0)</f>
        <v>TELEINFRA NORD</v>
      </c>
      <c r="W72" s="107" t="str">
        <f>VLOOKUP(B72,[3]Sheet1!$A:$B,2,0)</f>
        <v>Zileng</v>
      </c>
      <c r="X72" s="89" t="str">
        <f t="shared" si="8"/>
        <v>EXN</v>
      </c>
      <c r="Y72" s="89" t="str">
        <f t="shared" ca="1" si="9"/>
        <v>48H&lt;T&lt;72H</v>
      </c>
      <c r="Z72" s="107">
        <f t="shared" si="10"/>
        <v>1</v>
      </c>
      <c r="AA72" s="63" t="s">
        <v>77</v>
      </c>
      <c r="AB72" s="63" t="s">
        <v>1554</v>
      </c>
      <c r="AC72" s="108" t="s">
        <v>2530</v>
      </c>
      <c r="AD72" s="109" t="s">
        <v>1994</v>
      </c>
      <c r="AE72" s="63"/>
    </row>
    <row r="73" spans="1:31" ht="87" x14ac:dyDescent="0.35">
      <c r="A73" s="63" t="s">
        <v>1611</v>
      </c>
      <c r="B73" s="63" t="s">
        <v>1610</v>
      </c>
      <c r="C73" s="68"/>
      <c r="D73" s="63"/>
      <c r="E73" s="63" t="s">
        <v>1648</v>
      </c>
      <c r="F73" s="71" t="s">
        <v>53</v>
      </c>
      <c r="G73" s="71" t="s">
        <v>2121</v>
      </c>
      <c r="H73" s="69">
        <v>46178.484155092592</v>
      </c>
      <c r="I73" s="77">
        <f t="shared" ca="1" si="7"/>
        <v>2.1845372685202165</v>
      </c>
      <c r="J73" s="63"/>
      <c r="K73" s="63"/>
      <c r="L73" s="63"/>
      <c r="M73" s="63" t="s">
        <v>41</v>
      </c>
      <c r="N73" s="63" t="s">
        <v>42</v>
      </c>
      <c r="O73" s="63"/>
      <c r="P73" s="63" t="s">
        <v>2595</v>
      </c>
      <c r="Q73" s="63"/>
      <c r="R73" s="63" t="s">
        <v>2386</v>
      </c>
      <c r="S73" s="63" t="s">
        <v>71</v>
      </c>
      <c r="T73" s="63" t="s">
        <v>1902</v>
      </c>
      <c r="U73" s="63" t="s">
        <v>1896</v>
      </c>
      <c r="V73" s="107" t="str">
        <f>VLOOKUP(B73,[2]Overall!$A:$D,4,0)</f>
        <v>TELEINFRA NORD</v>
      </c>
      <c r="W73" s="107" t="str">
        <f>VLOOKUP(B73,[3]Sheet1!$A:$B,2,0)</f>
        <v>Zileng</v>
      </c>
      <c r="X73" s="89" t="str">
        <f t="shared" si="8"/>
        <v>EXN</v>
      </c>
      <c r="Y73" s="89" t="str">
        <f t="shared" ca="1" si="9"/>
        <v>48H&lt;T&lt;72H</v>
      </c>
      <c r="Z73" s="107">
        <f t="shared" si="10"/>
        <v>1</v>
      </c>
      <c r="AA73" s="63" t="s">
        <v>77</v>
      </c>
      <c r="AB73" s="63" t="s">
        <v>1554</v>
      </c>
      <c r="AC73" s="108" t="s">
        <v>2530</v>
      </c>
      <c r="AD73" s="109" t="s">
        <v>1994</v>
      </c>
      <c r="AE73" s="63"/>
    </row>
    <row r="74" spans="1:31" ht="72.5" x14ac:dyDescent="0.35">
      <c r="A74" s="61" t="s">
        <v>2481</v>
      </c>
      <c r="B74" s="61" t="s">
        <v>2482</v>
      </c>
      <c r="C74" s="65"/>
      <c r="D74" s="61"/>
      <c r="E74" s="61" t="s">
        <v>2483</v>
      </c>
      <c r="F74" s="70" t="s">
        <v>53</v>
      </c>
      <c r="G74" s="70" t="s">
        <v>2121</v>
      </c>
      <c r="H74" s="67">
        <v>46178.506608796299</v>
      </c>
      <c r="I74" s="75">
        <f t="shared" ca="1" si="7"/>
        <v>2.1620835648136563</v>
      </c>
      <c r="J74" s="61"/>
      <c r="K74" s="61"/>
      <c r="L74" s="61"/>
      <c r="M74" s="61" t="s">
        <v>46</v>
      </c>
      <c r="N74" s="61" t="s">
        <v>2484</v>
      </c>
      <c r="O74" s="61"/>
      <c r="P74" s="61"/>
      <c r="Q74" s="61"/>
      <c r="R74" s="61" t="s">
        <v>2535</v>
      </c>
      <c r="S74" s="61" t="s">
        <v>85</v>
      </c>
      <c r="T74" s="61" t="s">
        <v>1898</v>
      </c>
      <c r="U74" s="61" t="s">
        <v>1898</v>
      </c>
      <c r="V74" s="101" t="str">
        <f>VLOOKUP(B74,[2]Overall!$A:$D,4,0)</f>
        <v>H-TELI</v>
      </c>
      <c r="W74" s="101" t="str">
        <f>VLOOKUP(B74,[3]Sheet1!$A:$B,2,0)</f>
        <v>Banguem</v>
      </c>
      <c r="X74" s="88" t="str">
        <f t="shared" si="8"/>
        <v>SUO</v>
      </c>
      <c r="Y74" s="88" t="str">
        <f t="shared" ca="1" si="9"/>
        <v>48H&lt;T&lt;72H</v>
      </c>
      <c r="Z74" s="101">
        <f t="shared" si="10"/>
        <v>1</v>
      </c>
      <c r="AA74" s="61" t="s">
        <v>1566</v>
      </c>
      <c r="AB74" s="61" t="s">
        <v>1554</v>
      </c>
      <c r="AC74" s="105" t="s">
        <v>2530</v>
      </c>
      <c r="AD74" s="106" t="s">
        <v>1994</v>
      </c>
      <c r="AE74" s="61"/>
    </row>
    <row r="75" spans="1:31" ht="58" x14ac:dyDescent="0.35">
      <c r="A75" s="61" t="s">
        <v>2520</v>
      </c>
      <c r="B75" s="61" t="s">
        <v>2521</v>
      </c>
      <c r="C75" s="65"/>
      <c r="D75" s="61"/>
      <c r="E75" s="61" t="s">
        <v>2522</v>
      </c>
      <c r="F75" s="70" t="s">
        <v>53</v>
      </c>
      <c r="G75" s="70" t="s">
        <v>2121</v>
      </c>
      <c r="H75" s="67">
        <v>46178.534756944442</v>
      </c>
      <c r="I75" s="75">
        <f t="shared" ca="1" si="7"/>
        <v>2.1339354166702833</v>
      </c>
      <c r="J75" s="61"/>
      <c r="K75" s="61"/>
      <c r="L75" s="61"/>
      <c r="M75" s="61" t="s">
        <v>33</v>
      </c>
      <c r="N75" s="61" t="s">
        <v>2523</v>
      </c>
      <c r="O75" s="61"/>
      <c r="P75" s="61"/>
      <c r="Q75" s="61"/>
      <c r="R75" s="61" t="s">
        <v>2486</v>
      </c>
      <c r="S75" s="61" t="s">
        <v>51</v>
      </c>
      <c r="T75" s="61" t="s">
        <v>1898</v>
      </c>
      <c r="U75" s="61" t="s">
        <v>1898</v>
      </c>
      <c r="V75" s="101" t="str">
        <f>VLOOKUP(B75,[2]Overall!$A:$D,4,0)</f>
        <v xml:space="preserve">I-ENG </v>
      </c>
      <c r="W75" s="101" t="str">
        <f>VLOOKUP(B75,[3]Sheet1!$A:$B,2,0)</f>
        <v>Nyanon</v>
      </c>
      <c r="X75" s="88" t="str">
        <f t="shared" si="8"/>
        <v>LIT</v>
      </c>
      <c r="Y75" s="88" t="str">
        <f t="shared" ca="1" si="9"/>
        <v>48H&lt;T&lt;72H</v>
      </c>
      <c r="Z75" s="101">
        <f t="shared" si="10"/>
        <v>2</v>
      </c>
      <c r="AA75" s="61" t="s">
        <v>1566</v>
      </c>
      <c r="AB75" s="61" t="s">
        <v>1905</v>
      </c>
      <c r="AC75" s="105" t="s">
        <v>2530</v>
      </c>
      <c r="AD75" s="106" t="s">
        <v>1994</v>
      </c>
      <c r="AE75" s="61"/>
    </row>
    <row r="76" spans="1:31" ht="72.5" x14ac:dyDescent="0.35">
      <c r="A76" s="63" t="s">
        <v>2524</v>
      </c>
      <c r="B76" s="63" t="s">
        <v>2525</v>
      </c>
      <c r="C76" s="68"/>
      <c r="D76" s="63"/>
      <c r="E76" s="63" t="s">
        <v>2526</v>
      </c>
      <c r="F76" s="71" t="s">
        <v>53</v>
      </c>
      <c r="G76" s="71" t="s">
        <v>2121</v>
      </c>
      <c r="H76" s="69">
        <v>46178.536400462966</v>
      </c>
      <c r="I76" s="77">
        <f t="shared" ca="1" si="7"/>
        <v>2.1322918981459225</v>
      </c>
      <c r="J76" s="63"/>
      <c r="K76" s="63"/>
      <c r="L76" s="63"/>
      <c r="M76" s="63" t="s">
        <v>31</v>
      </c>
      <c r="N76" s="63" t="s">
        <v>2527</v>
      </c>
      <c r="O76" s="63"/>
      <c r="P76" s="63" t="s">
        <v>2595</v>
      </c>
      <c r="Q76" s="63"/>
      <c r="R76" s="63" t="s">
        <v>2542</v>
      </c>
      <c r="S76" s="63" t="s">
        <v>40</v>
      </c>
      <c r="T76" s="63" t="s">
        <v>1898</v>
      </c>
      <c r="U76" s="63" t="s">
        <v>1898</v>
      </c>
      <c r="V76" s="107" t="str">
        <f>VLOOKUP(B76,[2]Overall!$A:$D,4,0)</f>
        <v>TELEINFRA NORD</v>
      </c>
      <c r="W76" s="107" t="str">
        <f>VLOOKUP(B76,[3]Sheet1!$A:$B,2,0)</f>
        <v>Blangoua</v>
      </c>
      <c r="X76" s="89" t="str">
        <f t="shared" si="8"/>
        <v>EXN</v>
      </c>
      <c r="Y76" s="89" t="str">
        <f t="shared" ca="1" si="9"/>
        <v>48H&lt;T&lt;72H</v>
      </c>
      <c r="Z76" s="107">
        <f t="shared" si="10"/>
        <v>3</v>
      </c>
      <c r="AA76" s="63" t="s">
        <v>77</v>
      </c>
      <c r="AB76" s="63" t="s">
        <v>1905</v>
      </c>
      <c r="AC76" s="108" t="s">
        <v>2530</v>
      </c>
      <c r="AD76" s="109" t="s">
        <v>1994</v>
      </c>
      <c r="AE76" s="63"/>
    </row>
    <row r="77" spans="1:31" ht="72.5" x14ac:dyDescent="0.35">
      <c r="A77" s="63" t="s">
        <v>2524</v>
      </c>
      <c r="B77" s="63" t="s">
        <v>2525</v>
      </c>
      <c r="C77" s="68"/>
      <c r="D77" s="63"/>
      <c r="E77" s="63" t="s">
        <v>2528</v>
      </c>
      <c r="F77" s="71" t="s">
        <v>53</v>
      </c>
      <c r="G77" s="71" t="s">
        <v>2121</v>
      </c>
      <c r="H77" s="69">
        <v>46178.536400462966</v>
      </c>
      <c r="I77" s="77">
        <f t="shared" ca="1" si="7"/>
        <v>2.1322918981459225</v>
      </c>
      <c r="J77" s="63"/>
      <c r="K77" s="63"/>
      <c r="L77" s="63"/>
      <c r="M77" s="63" t="s">
        <v>31</v>
      </c>
      <c r="N77" s="63" t="s">
        <v>2529</v>
      </c>
      <c r="O77" s="63"/>
      <c r="P77" s="63" t="s">
        <v>2595</v>
      </c>
      <c r="Q77" s="63"/>
      <c r="R77" s="63" t="s">
        <v>2542</v>
      </c>
      <c r="S77" s="63" t="s">
        <v>40</v>
      </c>
      <c r="T77" s="63" t="s">
        <v>1898</v>
      </c>
      <c r="U77" s="63" t="s">
        <v>1898</v>
      </c>
      <c r="V77" s="107" t="str">
        <f>VLOOKUP(B77,[2]Overall!$A:$D,4,0)</f>
        <v>TELEINFRA NORD</v>
      </c>
      <c r="W77" s="107" t="str">
        <f>VLOOKUP(B77,[3]Sheet1!$A:$B,2,0)</f>
        <v>Blangoua</v>
      </c>
      <c r="X77" s="89" t="str">
        <f t="shared" si="8"/>
        <v>EXN</v>
      </c>
      <c r="Y77" s="89" t="str">
        <f t="shared" ca="1" si="9"/>
        <v>48H&lt;T&lt;72H</v>
      </c>
      <c r="Z77" s="107">
        <f t="shared" si="10"/>
        <v>4</v>
      </c>
      <c r="AA77" s="63" t="s">
        <v>77</v>
      </c>
      <c r="AB77" s="63" t="s">
        <v>1905</v>
      </c>
      <c r="AC77" s="108" t="s">
        <v>2530</v>
      </c>
      <c r="AD77" s="109" t="s">
        <v>1994</v>
      </c>
      <c r="AE77" s="63"/>
    </row>
  </sheetData>
  <autoFilter ref="A1:AE77" xr:uid="{25A04618-1482-4D3A-91D6-941F8D49739F}"/>
  <phoneticPr fontId="1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DC5F-B59C-4AE7-A7A6-159037AA76F5}">
  <sheetPr codeName="Sheet46">
    <tabColor rgb="FFFFFF00"/>
  </sheetPr>
  <dimension ref="A1:AE75"/>
  <sheetViews>
    <sheetView zoomScale="69" zoomScaleNormal="69" workbookViewId="0">
      <pane xSplit="6" topLeftCell="R1" activePane="topRight" state="frozen"/>
      <selection activeCell="AB4" sqref="AB4"/>
      <selection pane="topRight" activeCell="R75" sqref="R75:U75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112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x14ac:dyDescent="0.35">
      <c r="A2" s="63" t="s">
        <v>1710</v>
      </c>
      <c r="B2" s="63" t="s">
        <v>1711</v>
      </c>
      <c r="C2" s="68"/>
      <c r="D2" s="63"/>
      <c r="E2" s="63" t="s">
        <v>49</v>
      </c>
      <c r="F2" s="71" t="s">
        <v>53</v>
      </c>
      <c r="G2" s="71" t="s">
        <v>2121</v>
      </c>
      <c r="H2" s="69">
        <v>46163.500115740739</v>
      </c>
      <c r="I2" s="77">
        <f t="shared" ref="I2:I45" ca="1" si="0">NOW()-H2</f>
        <v>17.168576620373642</v>
      </c>
      <c r="J2" s="63"/>
      <c r="K2" s="63"/>
      <c r="L2" s="63"/>
      <c r="M2" s="63" t="s">
        <v>38</v>
      </c>
      <c r="N2" s="63" t="s">
        <v>1714</v>
      </c>
      <c r="O2" s="63"/>
      <c r="P2" s="85" t="s">
        <v>1906</v>
      </c>
      <c r="Q2" s="63"/>
      <c r="R2" s="63" t="s">
        <v>2383</v>
      </c>
      <c r="S2" s="85" t="s">
        <v>75</v>
      </c>
      <c r="T2" s="85" t="s">
        <v>1688</v>
      </c>
      <c r="U2" s="85" t="s">
        <v>1688</v>
      </c>
      <c r="V2" s="107" t="str">
        <f>VLOOKUP(B2,[2]Overall!$A:$D,4,0)</f>
        <v>TELEINFRA NORD</v>
      </c>
      <c r="W2" s="107" t="str">
        <f>VLOOKUP(B2,[3]Sheet1!$A:$B,2,0)</f>
        <v>Martap</v>
      </c>
      <c r="X2" s="89" t="str">
        <f t="shared" ref="X2:X28" si="1">LEFT(B2,3)</f>
        <v>ADM</v>
      </c>
      <c r="Y2" s="89" t="str">
        <f t="shared" ref="Y2:Y28" ca="1" si="2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7">
        <f t="shared" ref="Z2:Z28" si="3">IF(OR(E2="", E2="affected_cells=unknown"), "", LEN(E2)-LEN(SUBSTITUTE(E2, ",", "")) + LEN(E2)-LEN(SUBSTITUTE(E2, ";", "")) + 1)</f>
        <v>1</v>
      </c>
      <c r="AA2" s="85" t="s">
        <v>77</v>
      </c>
      <c r="AB2" s="63" t="s">
        <v>1904</v>
      </c>
      <c r="AC2" s="108" t="s">
        <v>2583</v>
      </c>
      <c r="AD2" s="109" t="s">
        <v>1994</v>
      </c>
      <c r="AE2" s="63"/>
    </row>
    <row r="3" spans="1:31" ht="348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2491</v>
      </c>
      <c r="S3" s="61" t="s">
        <v>40</v>
      </c>
      <c r="T3" s="84" t="s">
        <v>2129</v>
      </c>
      <c r="U3" s="84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1"/>
        <v>EXN</v>
      </c>
      <c r="Y3" s="88" t="str">
        <f t="shared" ca="1" si="2"/>
        <v>T&gt;72H</v>
      </c>
      <c r="Z3" s="101">
        <f t="shared" si="3"/>
        <v>4</v>
      </c>
      <c r="AA3" s="84" t="s">
        <v>1566</v>
      </c>
      <c r="AB3" s="61" t="s">
        <v>1904</v>
      </c>
      <c r="AC3" s="105" t="s">
        <v>2583</v>
      </c>
      <c r="AD3" s="106" t="s">
        <v>1994</v>
      </c>
      <c r="AE3" s="61"/>
    </row>
    <row r="4" spans="1:31" ht="348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2491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1"/>
        <v>EXN</v>
      </c>
      <c r="Y4" s="88" t="str">
        <f t="shared" ca="1" si="2"/>
        <v>T&gt;72H</v>
      </c>
      <c r="Z4" s="101">
        <f t="shared" si="3"/>
        <v>3</v>
      </c>
      <c r="AA4" s="84" t="s">
        <v>1566</v>
      </c>
      <c r="AB4" s="61" t="s">
        <v>1904</v>
      </c>
      <c r="AC4" s="105" t="s">
        <v>2583</v>
      </c>
      <c r="AD4" s="106" t="s">
        <v>1994</v>
      </c>
      <c r="AE4" s="61"/>
    </row>
    <row r="5" spans="1:31" ht="145" x14ac:dyDescent="0.3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75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2496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1"/>
        <v>EXN</v>
      </c>
      <c r="Y5" s="88" t="str">
        <f t="shared" ca="1" si="2"/>
        <v>T&gt;72H</v>
      </c>
      <c r="Z5" s="101">
        <f t="shared" si="3"/>
        <v>1</v>
      </c>
      <c r="AA5" s="84" t="s">
        <v>1566</v>
      </c>
      <c r="AB5" s="61" t="s">
        <v>1904</v>
      </c>
      <c r="AC5" s="105" t="s">
        <v>2583</v>
      </c>
      <c r="AD5" s="106" t="s">
        <v>1994</v>
      </c>
      <c r="AE5" s="61"/>
    </row>
    <row r="6" spans="1:31" ht="130.5" x14ac:dyDescent="0.35">
      <c r="A6" s="61" t="s">
        <v>1930</v>
      </c>
      <c r="B6" s="61" t="s">
        <v>1931</v>
      </c>
      <c r="C6" s="65"/>
      <c r="D6" s="61"/>
      <c r="E6" s="61" t="s">
        <v>34</v>
      </c>
      <c r="F6" s="70" t="s">
        <v>53</v>
      </c>
      <c r="G6" s="70" t="s">
        <v>2121</v>
      </c>
      <c r="H6" s="67">
        <v>46172.534074074072</v>
      </c>
      <c r="I6" s="75">
        <f t="shared" ca="1" si="0"/>
        <v>8.1346182870402117</v>
      </c>
      <c r="J6" s="61"/>
      <c r="K6" s="61"/>
      <c r="L6" s="61"/>
      <c r="M6" s="61" t="s">
        <v>1929</v>
      </c>
      <c r="N6" s="61" t="s">
        <v>1932</v>
      </c>
      <c r="O6" s="61"/>
      <c r="P6" s="61"/>
      <c r="Q6" s="61"/>
      <c r="R6" s="61" t="s">
        <v>2493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Mazera</v>
      </c>
      <c r="X6" s="88" t="str">
        <f t="shared" si="1"/>
        <v>EXN</v>
      </c>
      <c r="Y6" s="88" t="str">
        <f t="shared" ca="1" si="2"/>
        <v>T&gt;72H</v>
      </c>
      <c r="Z6" s="101">
        <f t="shared" si="3"/>
        <v>1</v>
      </c>
      <c r="AA6" s="84" t="s">
        <v>1566</v>
      </c>
      <c r="AB6" s="61" t="s">
        <v>1904</v>
      </c>
      <c r="AC6" s="105" t="s">
        <v>2583</v>
      </c>
      <c r="AD6" s="106" t="s">
        <v>1994</v>
      </c>
      <c r="AE6" s="61"/>
    </row>
    <row r="7" spans="1:31" ht="409.5" x14ac:dyDescent="0.35">
      <c r="A7" s="61" t="s">
        <v>1773</v>
      </c>
      <c r="B7" s="61" t="s">
        <v>1774</v>
      </c>
      <c r="C7" s="65"/>
      <c r="D7" s="61"/>
      <c r="E7" s="61" t="s">
        <v>1956</v>
      </c>
      <c r="F7" s="70" t="s">
        <v>53</v>
      </c>
      <c r="G7" s="70" t="s">
        <v>2121</v>
      </c>
      <c r="H7" s="67">
        <v>46172.719837962963</v>
      </c>
      <c r="I7" s="75">
        <f t="shared" ca="1" si="0"/>
        <v>7.948854398149706</v>
      </c>
      <c r="J7" s="61"/>
      <c r="K7" s="61"/>
      <c r="L7" s="61"/>
      <c r="M7" s="61" t="s">
        <v>31</v>
      </c>
      <c r="N7" s="61" t="s">
        <v>1957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1"/>
        <v>NRD</v>
      </c>
      <c r="Y7" s="88" t="str">
        <f t="shared" ca="1" si="2"/>
        <v>T&gt;72H</v>
      </c>
      <c r="Z7" s="101">
        <f t="shared" si="3"/>
        <v>3</v>
      </c>
      <c r="AA7" s="84" t="s">
        <v>1566</v>
      </c>
      <c r="AB7" s="61" t="s">
        <v>1904</v>
      </c>
      <c r="AC7" s="105" t="s">
        <v>2583</v>
      </c>
      <c r="AD7" s="106" t="s">
        <v>1994</v>
      </c>
      <c r="AE7" s="61"/>
    </row>
    <row r="8" spans="1:31" ht="409.5" x14ac:dyDescent="0.35">
      <c r="A8" s="61" t="s">
        <v>1773</v>
      </c>
      <c r="B8" s="61" t="s">
        <v>1774</v>
      </c>
      <c r="C8" s="65"/>
      <c r="D8" s="61"/>
      <c r="E8" s="61" t="s">
        <v>35</v>
      </c>
      <c r="F8" s="70" t="s">
        <v>53</v>
      </c>
      <c r="G8" s="70" t="s">
        <v>2121</v>
      </c>
      <c r="H8" s="67">
        <v>46172.719837962963</v>
      </c>
      <c r="I8" s="75">
        <f t="shared" ca="1" si="0"/>
        <v>7.948854398149706</v>
      </c>
      <c r="J8" s="61"/>
      <c r="K8" s="61"/>
      <c r="L8" s="61"/>
      <c r="M8" s="61" t="s">
        <v>31</v>
      </c>
      <c r="N8" s="61" t="s">
        <v>1775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1"/>
        <v>NRD</v>
      </c>
      <c r="Y8" s="88" t="str">
        <f t="shared" ca="1" si="2"/>
        <v>T&gt;72H</v>
      </c>
      <c r="Z8" s="101">
        <f t="shared" si="3"/>
        <v>3</v>
      </c>
      <c r="AA8" s="84" t="s">
        <v>1566</v>
      </c>
      <c r="AB8" s="61" t="s">
        <v>1904</v>
      </c>
      <c r="AC8" s="105" t="s">
        <v>2583</v>
      </c>
      <c r="AD8" s="106" t="s">
        <v>1994</v>
      </c>
      <c r="AE8" s="61"/>
    </row>
    <row r="9" spans="1:31" ht="409.5" x14ac:dyDescent="0.35">
      <c r="A9" s="61" t="s">
        <v>1773</v>
      </c>
      <c r="B9" s="61" t="s">
        <v>1774</v>
      </c>
      <c r="C9" s="65"/>
      <c r="D9" s="61"/>
      <c r="E9" s="61" t="s">
        <v>1954</v>
      </c>
      <c r="F9" s="70" t="s">
        <v>53</v>
      </c>
      <c r="G9" s="70" t="s">
        <v>2121</v>
      </c>
      <c r="H9" s="67">
        <v>46172.724965277775</v>
      </c>
      <c r="I9" s="75">
        <f t="shared" ca="1" si="0"/>
        <v>7.943727083336853</v>
      </c>
      <c r="J9" s="61"/>
      <c r="K9" s="61"/>
      <c r="L9" s="61"/>
      <c r="M9" s="61" t="s">
        <v>1750</v>
      </c>
      <c r="N9" s="61" t="s">
        <v>1751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1"/>
        <v>NRD</v>
      </c>
      <c r="Y9" s="88" t="str">
        <f t="shared" ca="1" si="2"/>
        <v>T&gt;72H</v>
      </c>
      <c r="Z9" s="101">
        <f t="shared" si="3"/>
        <v>1</v>
      </c>
      <c r="AA9" s="84" t="s">
        <v>1566</v>
      </c>
      <c r="AB9" s="61" t="s">
        <v>1904</v>
      </c>
      <c r="AC9" s="105" t="s">
        <v>2583</v>
      </c>
      <c r="AD9" s="106" t="s">
        <v>1994</v>
      </c>
      <c r="AE9" s="61"/>
    </row>
    <row r="10" spans="1:31" ht="409.5" x14ac:dyDescent="0.35">
      <c r="A10" s="61" t="s">
        <v>1773</v>
      </c>
      <c r="B10" s="61" t="s">
        <v>1774</v>
      </c>
      <c r="C10" s="65"/>
      <c r="D10" s="61"/>
      <c r="E10" s="61" t="s">
        <v>1955</v>
      </c>
      <c r="F10" s="70" t="s">
        <v>53</v>
      </c>
      <c r="G10" s="70" t="s">
        <v>2121</v>
      </c>
      <c r="H10" s="67">
        <v>46172.724965277775</v>
      </c>
      <c r="I10" s="75">
        <f t="shared" ca="1" si="0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1"/>
        <v>NRD</v>
      </c>
      <c r="Y10" s="88" t="str">
        <f t="shared" ca="1" si="2"/>
        <v>T&gt;72H</v>
      </c>
      <c r="Z10" s="101">
        <f t="shared" si="3"/>
        <v>1</v>
      </c>
      <c r="AA10" s="84" t="s">
        <v>1566</v>
      </c>
      <c r="AB10" s="61" t="s">
        <v>1904</v>
      </c>
      <c r="AC10" s="105" t="s">
        <v>2583</v>
      </c>
      <c r="AD10" s="106" t="s">
        <v>1994</v>
      </c>
      <c r="AE10" s="61"/>
    </row>
    <row r="11" spans="1:31" ht="409.5" x14ac:dyDescent="0.35">
      <c r="A11" s="61" t="s">
        <v>1773</v>
      </c>
      <c r="B11" s="61" t="s">
        <v>1774</v>
      </c>
      <c r="C11" s="65"/>
      <c r="D11" s="61"/>
      <c r="E11" s="61" t="s">
        <v>1953</v>
      </c>
      <c r="F11" s="70" t="s">
        <v>53</v>
      </c>
      <c r="G11" s="70" t="s">
        <v>2121</v>
      </c>
      <c r="H11" s="67">
        <v>46172.724965277775</v>
      </c>
      <c r="I11" s="75">
        <f t="shared" ca="1" si="0"/>
        <v>7.943727083336853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2492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1"/>
        <v>NRD</v>
      </c>
      <c r="Y11" s="88" t="str">
        <f t="shared" ca="1" si="2"/>
        <v>T&gt;72H</v>
      </c>
      <c r="Z11" s="101">
        <f t="shared" si="3"/>
        <v>1</v>
      </c>
      <c r="AA11" s="84" t="s">
        <v>1566</v>
      </c>
      <c r="AB11" s="61" t="s">
        <v>1904</v>
      </c>
      <c r="AC11" s="105" t="s">
        <v>2583</v>
      </c>
      <c r="AD11" s="106" t="s">
        <v>1994</v>
      </c>
      <c r="AE11" s="61"/>
    </row>
    <row r="12" spans="1:31" ht="409.5" x14ac:dyDescent="0.35">
      <c r="A12" s="61" t="s">
        <v>1724</v>
      </c>
      <c r="B12" s="61" t="s">
        <v>1725</v>
      </c>
      <c r="C12" s="65"/>
      <c r="D12" s="61"/>
      <c r="E12" s="61" t="s">
        <v>1726</v>
      </c>
      <c r="F12" s="70" t="s">
        <v>53</v>
      </c>
      <c r="G12" s="70" t="s">
        <v>2121</v>
      </c>
      <c r="H12" s="67">
        <v>46172.76761574074</v>
      </c>
      <c r="I12" s="75">
        <f t="shared" ca="1" si="0"/>
        <v>7.9010766203718958</v>
      </c>
      <c r="J12" s="61"/>
      <c r="K12" s="61"/>
      <c r="L12" s="61"/>
      <c r="M12" s="61" t="s">
        <v>33</v>
      </c>
      <c r="N12" s="61" t="s">
        <v>1635</v>
      </c>
      <c r="O12" s="61"/>
      <c r="P12" s="61"/>
      <c r="Q12" s="61"/>
      <c r="R12" s="61" t="s">
        <v>2504</v>
      </c>
      <c r="S12" s="61" t="s">
        <v>32</v>
      </c>
      <c r="T12" s="61" t="s">
        <v>1898</v>
      </c>
      <c r="U12" s="61" t="s">
        <v>1898</v>
      </c>
      <c r="V12" s="101" t="str">
        <f>VLOOKUP(B12,[2]Overall!$A:$D,4,0)</f>
        <v xml:space="preserve">I-ENG </v>
      </c>
      <c r="W12" s="101" t="str">
        <f>VLOOKUP(B12,[3]Sheet1!$A:$B,2,0)</f>
        <v>Mbakong</v>
      </c>
      <c r="X12" s="88" t="str">
        <f t="shared" si="1"/>
        <v>NRO</v>
      </c>
      <c r="Y12" s="88" t="str">
        <f t="shared" ca="1" si="2"/>
        <v>T&gt;72H</v>
      </c>
      <c r="Z12" s="101">
        <f t="shared" si="3"/>
        <v>2</v>
      </c>
      <c r="AA12" s="84" t="s">
        <v>1566</v>
      </c>
      <c r="AB12" s="61" t="s">
        <v>1904</v>
      </c>
      <c r="AC12" s="105" t="s">
        <v>2583</v>
      </c>
      <c r="AD12" s="106" t="s">
        <v>1994</v>
      </c>
      <c r="AE12" s="61"/>
    </row>
    <row r="13" spans="1:31" ht="130.5" x14ac:dyDescent="0.35">
      <c r="A13" s="61" t="s">
        <v>1843</v>
      </c>
      <c r="B13" s="61" t="s">
        <v>1844</v>
      </c>
      <c r="C13" s="65"/>
      <c r="D13" s="61"/>
      <c r="E13" s="61" t="s">
        <v>1879</v>
      </c>
      <c r="F13" s="70" t="s">
        <v>53</v>
      </c>
      <c r="G13" s="70" t="s">
        <v>2121</v>
      </c>
      <c r="H13" s="67">
        <v>46175.448993055557</v>
      </c>
      <c r="I13" s="75">
        <f t="shared" ca="1" si="0"/>
        <v>5.2196993055549683</v>
      </c>
      <c r="J13" s="61"/>
      <c r="K13" s="61"/>
      <c r="L13" s="61"/>
      <c r="M13" s="61" t="s">
        <v>38</v>
      </c>
      <c r="N13" s="61" t="s">
        <v>1845</v>
      </c>
      <c r="O13" s="61"/>
      <c r="P13" s="61"/>
      <c r="Q13" s="61"/>
      <c r="R13" s="61" t="s">
        <v>2380</v>
      </c>
      <c r="S13" s="61" t="s">
        <v>75</v>
      </c>
      <c r="T13" s="61" t="s">
        <v>1901</v>
      </c>
      <c r="U13" s="61" t="s">
        <v>1901</v>
      </c>
      <c r="V13" s="101" t="str">
        <f>VLOOKUP(B13,[2]Overall!$A:$D,4,0)</f>
        <v>TELEINFRA NORD</v>
      </c>
      <c r="W13" s="101" t="str">
        <f>VLOOKUP(B13,[3]Sheet1!$A:$B,2,0)</f>
        <v>Mayo-Nonde</v>
      </c>
      <c r="X13" s="88" t="str">
        <f t="shared" si="1"/>
        <v>NRD</v>
      </c>
      <c r="Y13" s="88" t="str">
        <f t="shared" ca="1" si="2"/>
        <v>T&gt;72H</v>
      </c>
      <c r="Z13" s="101">
        <f t="shared" si="3"/>
        <v>3</v>
      </c>
      <c r="AA13" s="84" t="s">
        <v>1566</v>
      </c>
      <c r="AB13" s="61" t="s">
        <v>1904</v>
      </c>
      <c r="AC13" s="105" t="s">
        <v>2583</v>
      </c>
      <c r="AD13" s="106" t="s">
        <v>1994</v>
      </c>
      <c r="AE13" s="61"/>
    </row>
    <row r="14" spans="1:31" ht="261" x14ac:dyDescent="0.35">
      <c r="A14" s="61" t="s">
        <v>1779</v>
      </c>
      <c r="B14" s="61" t="s">
        <v>1780</v>
      </c>
      <c r="C14" s="65"/>
      <c r="D14" s="61"/>
      <c r="E14" s="61" t="s">
        <v>37</v>
      </c>
      <c r="F14" s="70" t="s">
        <v>53</v>
      </c>
      <c r="G14" s="70" t="s">
        <v>2121</v>
      </c>
      <c r="H14" s="67">
        <v>46175.649039351854</v>
      </c>
      <c r="I14" s="75">
        <f t="shared" ca="1" si="0"/>
        <v>5.019653009258036</v>
      </c>
      <c r="J14" s="61"/>
      <c r="K14" s="61"/>
      <c r="L14" s="61"/>
      <c r="M14" s="61" t="s">
        <v>41</v>
      </c>
      <c r="N14" s="61" t="s">
        <v>1781</v>
      </c>
      <c r="O14" s="61"/>
      <c r="P14" s="61"/>
      <c r="Q14" s="61"/>
      <c r="R14" s="61" t="s">
        <v>2379</v>
      </c>
      <c r="S14" s="61" t="s">
        <v>75</v>
      </c>
      <c r="T14" s="61" t="s">
        <v>1840</v>
      </c>
      <c r="U14" s="61" t="s">
        <v>1840</v>
      </c>
      <c r="V14" s="101" t="str">
        <f>VLOOKUP(B14,[2]Overall!$A:$D,4,0)</f>
        <v>TELEINFRA NORD</v>
      </c>
      <c r="W14" s="101" t="str">
        <f>VLOOKUP(B14,[3]Sheet1!$A:$B,2,0)</f>
        <v>Badjonre</v>
      </c>
      <c r="X14" s="88" t="str">
        <f t="shared" si="1"/>
        <v>EXN</v>
      </c>
      <c r="Y14" s="88" t="str">
        <f t="shared" ca="1" si="2"/>
        <v>T&gt;72H</v>
      </c>
      <c r="Z14" s="101">
        <f t="shared" si="3"/>
        <v>1</v>
      </c>
      <c r="AA14" s="84" t="s">
        <v>1566</v>
      </c>
      <c r="AB14" s="61" t="s">
        <v>1904</v>
      </c>
      <c r="AC14" s="105" t="s">
        <v>2583</v>
      </c>
      <c r="AD14" s="106" t="s">
        <v>1994</v>
      </c>
      <c r="AE14" s="61"/>
    </row>
    <row r="15" spans="1:31" ht="261" x14ac:dyDescent="0.35">
      <c r="A15" s="61" t="s">
        <v>1779</v>
      </c>
      <c r="B15" s="61" t="s">
        <v>1780</v>
      </c>
      <c r="C15" s="65"/>
      <c r="D15" s="61"/>
      <c r="E15" s="61" t="s">
        <v>39</v>
      </c>
      <c r="F15" s="70" t="s">
        <v>53</v>
      </c>
      <c r="G15" s="70" t="s">
        <v>2121</v>
      </c>
      <c r="H15" s="67">
        <v>46175.681076388886</v>
      </c>
      <c r="I15" s="75">
        <f t="shared" ca="1" si="0"/>
        <v>4.9876159722261946</v>
      </c>
      <c r="J15" s="61"/>
      <c r="K15" s="61"/>
      <c r="L15" s="61"/>
      <c r="M15" s="61" t="s">
        <v>1707</v>
      </c>
      <c r="N15" s="61" t="s">
        <v>2162</v>
      </c>
      <c r="O15" s="61"/>
      <c r="P15" s="61"/>
      <c r="Q15" s="61"/>
      <c r="R15" s="61" t="s">
        <v>2379</v>
      </c>
      <c r="S15" s="61" t="s">
        <v>75</v>
      </c>
      <c r="T15" s="61" t="s">
        <v>1840</v>
      </c>
      <c r="U15" s="61" t="s">
        <v>1840</v>
      </c>
      <c r="V15" s="101" t="str">
        <f>VLOOKUP(B15,[2]Overall!$A:$D,4,0)</f>
        <v>TELEINFRA NORD</v>
      </c>
      <c r="W15" s="101" t="str">
        <f>VLOOKUP(B15,[3]Sheet1!$A:$B,2,0)</f>
        <v>Badjonre</v>
      </c>
      <c r="X15" s="88" t="str">
        <f t="shared" si="1"/>
        <v>EXN</v>
      </c>
      <c r="Y15" s="88" t="str">
        <f t="shared" ca="1" si="2"/>
        <v>T&gt;72H</v>
      </c>
      <c r="Z15" s="101">
        <f t="shared" si="3"/>
        <v>1</v>
      </c>
      <c r="AA15" s="84" t="s">
        <v>1566</v>
      </c>
      <c r="AB15" s="61" t="s">
        <v>1904</v>
      </c>
      <c r="AC15" s="105" t="s">
        <v>2583</v>
      </c>
      <c r="AD15" s="106" t="s">
        <v>1994</v>
      </c>
      <c r="AE15" s="61"/>
    </row>
    <row r="16" spans="1:31" ht="261" x14ac:dyDescent="0.35">
      <c r="A16" s="61" t="s">
        <v>1779</v>
      </c>
      <c r="B16" s="61" t="s">
        <v>1780</v>
      </c>
      <c r="C16" s="65"/>
      <c r="D16" s="61"/>
      <c r="E16" s="61" t="s">
        <v>2163</v>
      </c>
      <c r="F16" s="70" t="s">
        <v>53</v>
      </c>
      <c r="G16" s="70" t="s">
        <v>2121</v>
      </c>
      <c r="H16" s="67">
        <v>46175.683067129627</v>
      </c>
      <c r="I16" s="75">
        <f t="shared" ca="1" si="0"/>
        <v>4.9856252314857556</v>
      </c>
      <c r="J16" s="61"/>
      <c r="K16" s="61"/>
      <c r="L16" s="61"/>
      <c r="M16" s="61" t="s">
        <v>31</v>
      </c>
      <c r="N16" s="61" t="s">
        <v>2164</v>
      </c>
      <c r="O16" s="61"/>
      <c r="P16" s="61"/>
      <c r="Q16" s="61"/>
      <c r="R16" s="61" t="s">
        <v>2379</v>
      </c>
      <c r="S16" s="61" t="s">
        <v>75</v>
      </c>
      <c r="T16" s="61" t="s">
        <v>1840</v>
      </c>
      <c r="U16" s="61" t="s">
        <v>1840</v>
      </c>
      <c r="V16" s="101" t="str">
        <f>VLOOKUP(B16,[2]Overall!$A:$D,4,0)</f>
        <v>TELEINFRA NORD</v>
      </c>
      <c r="W16" s="101" t="str">
        <f>VLOOKUP(B16,[3]Sheet1!$A:$B,2,0)</f>
        <v>Badjonre</v>
      </c>
      <c r="X16" s="88" t="str">
        <f t="shared" si="1"/>
        <v>EXN</v>
      </c>
      <c r="Y16" s="88" t="str">
        <f t="shared" ca="1" si="2"/>
        <v>T&gt;72H</v>
      </c>
      <c r="Z16" s="101">
        <f t="shared" si="3"/>
        <v>9</v>
      </c>
      <c r="AA16" s="84" t="s">
        <v>1566</v>
      </c>
      <c r="AB16" s="61" t="s">
        <v>1904</v>
      </c>
      <c r="AC16" s="105" t="s">
        <v>2583</v>
      </c>
      <c r="AD16" s="106" t="s">
        <v>1994</v>
      </c>
      <c r="AE16" s="61"/>
    </row>
    <row r="17" spans="1:31" ht="261" x14ac:dyDescent="0.35">
      <c r="A17" s="61" t="s">
        <v>1779</v>
      </c>
      <c r="B17" s="61" t="s">
        <v>1780</v>
      </c>
      <c r="C17" s="65"/>
      <c r="D17" s="61"/>
      <c r="E17" s="61" t="s">
        <v>39</v>
      </c>
      <c r="F17" s="70" t="s">
        <v>53</v>
      </c>
      <c r="G17" s="70" t="s">
        <v>2121</v>
      </c>
      <c r="H17" s="67">
        <v>46175.683506944442</v>
      </c>
      <c r="I17" s="75">
        <f t="shared" ca="1" si="0"/>
        <v>4.9851854166699923</v>
      </c>
      <c r="J17" s="61"/>
      <c r="K17" s="61"/>
      <c r="L17" s="61"/>
      <c r="M17" s="61" t="s">
        <v>1769</v>
      </c>
      <c r="N17" s="61" t="s">
        <v>2165</v>
      </c>
      <c r="O17" s="61"/>
      <c r="P17" s="61"/>
      <c r="Q17" s="61"/>
      <c r="R17" s="61" t="s">
        <v>2379</v>
      </c>
      <c r="S17" s="61" t="s">
        <v>75</v>
      </c>
      <c r="T17" s="61" t="s">
        <v>1840</v>
      </c>
      <c r="U17" s="61" t="s">
        <v>1840</v>
      </c>
      <c r="V17" s="101" t="str">
        <f>VLOOKUP(B17,[2]Overall!$A:$D,4,0)</f>
        <v>TELEINFRA NORD</v>
      </c>
      <c r="W17" s="101" t="str">
        <f>VLOOKUP(B17,[3]Sheet1!$A:$B,2,0)</f>
        <v>Badjonre</v>
      </c>
      <c r="X17" s="88" t="str">
        <f t="shared" si="1"/>
        <v>EXN</v>
      </c>
      <c r="Y17" s="88" t="str">
        <f t="shared" ca="1" si="2"/>
        <v>T&gt;72H</v>
      </c>
      <c r="Z17" s="101">
        <f t="shared" si="3"/>
        <v>1</v>
      </c>
      <c r="AA17" s="84" t="s">
        <v>1566</v>
      </c>
      <c r="AB17" s="61" t="s">
        <v>1904</v>
      </c>
      <c r="AC17" s="105" t="s">
        <v>2583</v>
      </c>
      <c r="AD17" s="106" t="s">
        <v>1994</v>
      </c>
      <c r="AE17" s="61"/>
    </row>
    <row r="18" spans="1:31" ht="116" x14ac:dyDescent="0.35">
      <c r="A18" s="61" t="s">
        <v>1892</v>
      </c>
      <c r="B18" s="61" t="s">
        <v>1893</v>
      </c>
      <c r="C18" s="65"/>
      <c r="D18" s="61"/>
      <c r="E18" s="61" t="s">
        <v>2199</v>
      </c>
      <c r="F18" s="70" t="s">
        <v>53</v>
      </c>
      <c r="G18" s="70" t="s">
        <v>2121</v>
      </c>
      <c r="H18" s="67">
        <v>46175.837418981479</v>
      </c>
      <c r="I18" s="75">
        <f t="shared" ca="1" si="0"/>
        <v>4.8312733796337852</v>
      </c>
      <c r="J18" s="61"/>
      <c r="K18" s="61"/>
      <c r="L18" s="61"/>
      <c r="M18" s="61" t="s">
        <v>41</v>
      </c>
      <c r="N18" s="61" t="s">
        <v>42</v>
      </c>
      <c r="O18" s="61"/>
      <c r="P18" s="61"/>
      <c r="Q18" s="61"/>
      <c r="R18" s="61" t="s">
        <v>2378</v>
      </c>
      <c r="S18" s="61" t="s">
        <v>75</v>
      </c>
      <c r="T18" s="61" t="s">
        <v>1688</v>
      </c>
      <c r="U18" s="61" t="s">
        <v>1688</v>
      </c>
      <c r="V18" s="101" t="str">
        <f>VLOOKUP(B18,[2]Overall!$A:$D,4,0)</f>
        <v>H-TELI</v>
      </c>
      <c r="W18" s="101" t="str">
        <f>VLOOKUP(B18,[3]Sheet1!$A:$B,2,0)</f>
        <v>Santchou</v>
      </c>
      <c r="X18" s="88" t="str">
        <f t="shared" si="1"/>
        <v>OST</v>
      </c>
      <c r="Y18" s="88" t="str">
        <f t="shared" ca="1" si="2"/>
        <v>T&gt;72H</v>
      </c>
      <c r="Z18" s="101">
        <f t="shared" si="3"/>
        <v>1</v>
      </c>
      <c r="AA18" s="84" t="s">
        <v>1566</v>
      </c>
      <c r="AB18" s="61" t="s">
        <v>1904</v>
      </c>
      <c r="AC18" s="105" t="s">
        <v>2583</v>
      </c>
      <c r="AD18" s="106" t="s">
        <v>1994</v>
      </c>
      <c r="AE18" s="61"/>
    </row>
    <row r="19" spans="1:31" ht="116" x14ac:dyDescent="0.35">
      <c r="A19" s="61" t="s">
        <v>1892</v>
      </c>
      <c r="B19" s="61" t="s">
        <v>1893</v>
      </c>
      <c r="C19" s="65"/>
      <c r="D19" s="61"/>
      <c r="E19" s="61" t="s">
        <v>2200</v>
      </c>
      <c r="F19" s="70" t="s">
        <v>53</v>
      </c>
      <c r="G19" s="70" t="s">
        <v>2121</v>
      </c>
      <c r="H19" s="67">
        <v>46175.837430555555</v>
      </c>
      <c r="I19" s="75">
        <f t="shared" ca="1" si="0"/>
        <v>4.8312618055570056</v>
      </c>
      <c r="J19" s="61"/>
      <c r="K19" s="61"/>
      <c r="L19" s="61"/>
      <c r="M19" s="61" t="s">
        <v>41</v>
      </c>
      <c r="N19" s="61" t="s">
        <v>42</v>
      </c>
      <c r="O19" s="61"/>
      <c r="P19" s="61"/>
      <c r="Q19" s="61"/>
      <c r="R19" s="61" t="s">
        <v>2378</v>
      </c>
      <c r="S19" s="61" t="s">
        <v>75</v>
      </c>
      <c r="T19" s="61" t="s">
        <v>1688</v>
      </c>
      <c r="U19" s="61" t="s">
        <v>1688</v>
      </c>
      <c r="V19" s="101" t="str">
        <f>VLOOKUP(B19,[2]Overall!$A:$D,4,0)</f>
        <v>H-TELI</v>
      </c>
      <c r="W19" s="101" t="str">
        <f>VLOOKUP(B19,[3]Sheet1!$A:$B,2,0)</f>
        <v>Santchou</v>
      </c>
      <c r="X19" s="88" t="str">
        <f t="shared" si="1"/>
        <v>OST</v>
      </c>
      <c r="Y19" s="88" t="str">
        <f t="shared" ca="1" si="2"/>
        <v>T&gt;72H</v>
      </c>
      <c r="Z19" s="101">
        <f t="shared" si="3"/>
        <v>1</v>
      </c>
      <c r="AA19" s="84" t="s">
        <v>1566</v>
      </c>
      <c r="AB19" s="61" t="s">
        <v>1904</v>
      </c>
      <c r="AC19" s="105" t="s">
        <v>2583</v>
      </c>
      <c r="AD19" s="106" t="s">
        <v>1994</v>
      </c>
      <c r="AE19" s="61"/>
    </row>
    <row r="20" spans="1:31" ht="116" x14ac:dyDescent="0.35">
      <c r="A20" s="61" t="s">
        <v>1892</v>
      </c>
      <c r="B20" s="61" t="s">
        <v>1893</v>
      </c>
      <c r="C20" s="65"/>
      <c r="D20" s="61"/>
      <c r="E20" s="61" t="s">
        <v>2201</v>
      </c>
      <c r="F20" s="70" t="s">
        <v>53</v>
      </c>
      <c r="G20" s="70" t="s">
        <v>2121</v>
      </c>
      <c r="H20" s="67">
        <v>46175.837407407409</v>
      </c>
      <c r="I20" s="75">
        <f t="shared" ca="1" si="0"/>
        <v>4.8312849537032889</v>
      </c>
      <c r="J20" s="61"/>
      <c r="K20" s="61"/>
      <c r="L20" s="61"/>
      <c r="M20" s="61" t="s">
        <v>41</v>
      </c>
      <c r="N20" s="61" t="s">
        <v>42</v>
      </c>
      <c r="O20" s="61"/>
      <c r="P20" s="61"/>
      <c r="Q20" s="61"/>
      <c r="R20" s="61" t="s">
        <v>2378</v>
      </c>
      <c r="S20" s="61" t="s">
        <v>75</v>
      </c>
      <c r="T20" s="61" t="s">
        <v>1688</v>
      </c>
      <c r="U20" s="61" t="s">
        <v>1688</v>
      </c>
      <c r="V20" s="101" t="str">
        <f>VLOOKUP(B20,[2]Overall!$A:$D,4,0)</f>
        <v>H-TELI</v>
      </c>
      <c r="W20" s="101" t="str">
        <f>VLOOKUP(B20,[3]Sheet1!$A:$B,2,0)</f>
        <v>Santchou</v>
      </c>
      <c r="X20" s="88" t="str">
        <f t="shared" si="1"/>
        <v>OST</v>
      </c>
      <c r="Y20" s="88" t="str">
        <f t="shared" ca="1" si="2"/>
        <v>T&gt;72H</v>
      </c>
      <c r="Z20" s="101">
        <f t="shared" si="3"/>
        <v>1</v>
      </c>
      <c r="AA20" s="84" t="s">
        <v>1566</v>
      </c>
      <c r="AB20" s="61" t="s">
        <v>1904</v>
      </c>
      <c r="AC20" s="105" t="s">
        <v>2583</v>
      </c>
      <c r="AD20" s="106" t="s">
        <v>1994</v>
      </c>
      <c r="AE20" s="61"/>
    </row>
    <row r="21" spans="1:31" ht="116" x14ac:dyDescent="0.35">
      <c r="A21" s="61" t="s">
        <v>1892</v>
      </c>
      <c r="B21" s="61" t="s">
        <v>1893</v>
      </c>
      <c r="C21" s="65"/>
      <c r="D21" s="61"/>
      <c r="E21" s="61" t="s">
        <v>2202</v>
      </c>
      <c r="F21" s="70" t="s">
        <v>53</v>
      </c>
      <c r="G21" s="70" t="s">
        <v>2121</v>
      </c>
      <c r="H21" s="67">
        <v>46175.837430555555</v>
      </c>
      <c r="I21" s="75">
        <f t="shared" ca="1" si="0"/>
        <v>4.8312618055570056</v>
      </c>
      <c r="J21" s="61"/>
      <c r="K21" s="61"/>
      <c r="L21" s="61"/>
      <c r="M21" s="61" t="s">
        <v>41</v>
      </c>
      <c r="N21" s="61" t="s">
        <v>42</v>
      </c>
      <c r="O21" s="61"/>
      <c r="P21" s="61"/>
      <c r="Q21" s="61"/>
      <c r="R21" s="61" t="s">
        <v>2378</v>
      </c>
      <c r="S21" s="61" t="s">
        <v>75</v>
      </c>
      <c r="T21" s="61" t="s">
        <v>1688</v>
      </c>
      <c r="U21" s="61" t="s">
        <v>1688</v>
      </c>
      <c r="V21" s="101" t="str">
        <f>VLOOKUP(B21,[2]Overall!$A:$D,4,0)</f>
        <v>H-TELI</v>
      </c>
      <c r="W21" s="101" t="str">
        <f>VLOOKUP(B21,[3]Sheet1!$A:$B,2,0)</f>
        <v>Santchou</v>
      </c>
      <c r="X21" s="88" t="str">
        <f t="shared" si="1"/>
        <v>OST</v>
      </c>
      <c r="Y21" s="88" t="str">
        <f t="shared" ca="1" si="2"/>
        <v>T&gt;72H</v>
      </c>
      <c r="Z21" s="101">
        <f t="shared" si="3"/>
        <v>1</v>
      </c>
      <c r="AA21" s="84" t="s">
        <v>1566</v>
      </c>
      <c r="AB21" s="61" t="s">
        <v>1904</v>
      </c>
      <c r="AC21" s="105" t="s">
        <v>2583</v>
      </c>
      <c r="AD21" s="106" t="s">
        <v>1994</v>
      </c>
      <c r="AE21" s="61"/>
    </row>
    <row r="22" spans="1:31" ht="116" x14ac:dyDescent="0.35">
      <c r="A22" s="61" t="s">
        <v>1892</v>
      </c>
      <c r="B22" s="61" t="s">
        <v>1893</v>
      </c>
      <c r="C22" s="65"/>
      <c r="D22" s="61"/>
      <c r="E22" s="61" t="s">
        <v>2203</v>
      </c>
      <c r="F22" s="70" t="s">
        <v>53</v>
      </c>
      <c r="G22" s="70" t="s">
        <v>2121</v>
      </c>
      <c r="H22" s="67">
        <v>46175.837430555555</v>
      </c>
      <c r="I22" s="75">
        <f t="shared" ca="1" si="0"/>
        <v>4.8312618055570056</v>
      </c>
      <c r="J22" s="61"/>
      <c r="K22" s="61"/>
      <c r="L22" s="61"/>
      <c r="M22" s="61" t="s">
        <v>41</v>
      </c>
      <c r="N22" s="61" t="s">
        <v>42</v>
      </c>
      <c r="O22" s="61"/>
      <c r="P22" s="61"/>
      <c r="Q22" s="61"/>
      <c r="R22" s="61" t="s">
        <v>2378</v>
      </c>
      <c r="S22" s="61" t="s">
        <v>75</v>
      </c>
      <c r="T22" s="61" t="s">
        <v>1688</v>
      </c>
      <c r="U22" s="61" t="s">
        <v>1688</v>
      </c>
      <c r="V22" s="101" t="str">
        <f>VLOOKUP(B22,[2]Overall!$A:$D,4,0)</f>
        <v>H-TELI</v>
      </c>
      <c r="W22" s="101" t="str">
        <f>VLOOKUP(B22,[3]Sheet1!$A:$B,2,0)</f>
        <v>Santchou</v>
      </c>
      <c r="X22" s="88" t="str">
        <f t="shared" si="1"/>
        <v>OST</v>
      </c>
      <c r="Y22" s="88" t="str">
        <f t="shared" ca="1" si="2"/>
        <v>T&gt;72H</v>
      </c>
      <c r="Z22" s="101">
        <f t="shared" si="3"/>
        <v>1</v>
      </c>
      <c r="AA22" s="84" t="s">
        <v>1566</v>
      </c>
      <c r="AB22" s="61" t="s">
        <v>1904</v>
      </c>
      <c r="AC22" s="105" t="s">
        <v>2583</v>
      </c>
      <c r="AD22" s="106" t="s">
        <v>1994</v>
      </c>
      <c r="AE22" s="61"/>
    </row>
    <row r="23" spans="1:31" ht="116" x14ac:dyDescent="0.35">
      <c r="A23" s="61" t="s">
        <v>1892</v>
      </c>
      <c r="B23" s="61" t="s">
        <v>1893</v>
      </c>
      <c r="C23" s="65"/>
      <c r="D23" s="61"/>
      <c r="E23" s="61" t="s">
        <v>2204</v>
      </c>
      <c r="F23" s="70" t="s">
        <v>53</v>
      </c>
      <c r="G23" s="70" t="s">
        <v>2121</v>
      </c>
      <c r="H23" s="67">
        <v>46175.837430555555</v>
      </c>
      <c r="I23" s="75">
        <f t="shared" ca="1" si="0"/>
        <v>4.8312618055570056</v>
      </c>
      <c r="J23" s="61"/>
      <c r="K23" s="61"/>
      <c r="L23" s="61"/>
      <c r="M23" s="61" t="s">
        <v>41</v>
      </c>
      <c r="N23" s="61" t="s">
        <v>42</v>
      </c>
      <c r="O23" s="61"/>
      <c r="P23" s="61"/>
      <c r="Q23" s="61"/>
      <c r="R23" s="61" t="s">
        <v>2378</v>
      </c>
      <c r="S23" s="61" t="s">
        <v>75</v>
      </c>
      <c r="T23" s="61" t="s">
        <v>1688</v>
      </c>
      <c r="U23" s="61" t="s">
        <v>1688</v>
      </c>
      <c r="V23" s="101" t="str">
        <f>VLOOKUP(B23,[2]Overall!$A:$D,4,0)</f>
        <v>H-TELI</v>
      </c>
      <c r="W23" s="101" t="str">
        <f>VLOOKUP(B23,[3]Sheet1!$A:$B,2,0)</f>
        <v>Santchou</v>
      </c>
      <c r="X23" s="88" t="str">
        <f t="shared" si="1"/>
        <v>OST</v>
      </c>
      <c r="Y23" s="88" t="str">
        <f t="shared" ca="1" si="2"/>
        <v>T&gt;72H</v>
      </c>
      <c r="Z23" s="101">
        <f t="shared" si="3"/>
        <v>1</v>
      </c>
      <c r="AA23" s="84" t="s">
        <v>1566</v>
      </c>
      <c r="AB23" s="61" t="s">
        <v>1904</v>
      </c>
      <c r="AC23" s="105" t="s">
        <v>2583</v>
      </c>
      <c r="AD23" s="106" t="s">
        <v>1994</v>
      </c>
      <c r="AE23" s="61"/>
    </row>
    <row r="24" spans="1:31" ht="391.5" x14ac:dyDescent="0.35">
      <c r="A24" s="63" t="s">
        <v>1917</v>
      </c>
      <c r="B24" s="63" t="s">
        <v>1711</v>
      </c>
      <c r="C24" s="68"/>
      <c r="D24" s="63"/>
      <c r="E24" s="63" t="s">
        <v>49</v>
      </c>
      <c r="F24" s="71" t="s">
        <v>53</v>
      </c>
      <c r="G24" s="71" t="s">
        <v>2121</v>
      </c>
      <c r="H24" s="69">
        <v>46176.253738425927</v>
      </c>
      <c r="I24" s="77">
        <f t="shared" ca="1" si="0"/>
        <v>4.414953935185622</v>
      </c>
      <c r="J24" s="63"/>
      <c r="K24" s="63"/>
      <c r="L24" s="63"/>
      <c r="M24" s="63" t="s">
        <v>38</v>
      </c>
      <c r="N24" s="63" t="s">
        <v>1918</v>
      </c>
      <c r="O24" s="63"/>
      <c r="P24" s="85" t="s">
        <v>1906</v>
      </c>
      <c r="Q24" s="63"/>
      <c r="R24" s="63" t="s">
        <v>2383</v>
      </c>
      <c r="S24" s="63" t="s">
        <v>75</v>
      </c>
      <c r="T24" s="63" t="s">
        <v>1688</v>
      </c>
      <c r="U24" s="63" t="e">
        <v>#N/A</v>
      </c>
      <c r="V24" s="107" t="str">
        <f>VLOOKUP(B24,[2]Overall!$A:$D,4,0)</f>
        <v>TELEINFRA NORD</v>
      </c>
      <c r="W24" s="107" t="str">
        <f>VLOOKUP(B24,[3]Sheet1!$A:$B,2,0)</f>
        <v>Martap</v>
      </c>
      <c r="X24" s="89" t="str">
        <f t="shared" si="1"/>
        <v>ADM</v>
      </c>
      <c r="Y24" s="89" t="str">
        <f t="shared" ca="1" si="2"/>
        <v>T&gt;72H</v>
      </c>
      <c r="Z24" s="107">
        <f t="shared" si="3"/>
        <v>1</v>
      </c>
      <c r="AA24" s="85" t="s">
        <v>77</v>
      </c>
      <c r="AB24" s="63" t="s">
        <v>1904</v>
      </c>
      <c r="AC24" s="108" t="s">
        <v>2583</v>
      </c>
      <c r="AD24" s="109" t="s">
        <v>1994</v>
      </c>
      <c r="AE24" s="63"/>
    </row>
    <row r="25" spans="1:31" ht="145" x14ac:dyDescent="0.35">
      <c r="A25" s="61" t="s">
        <v>2262</v>
      </c>
      <c r="B25" s="61" t="s">
        <v>2263</v>
      </c>
      <c r="C25" s="65"/>
      <c r="D25" s="61"/>
      <c r="E25" s="61" t="s">
        <v>2264</v>
      </c>
      <c r="F25" s="70" t="s">
        <v>53</v>
      </c>
      <c r="G25" s="70" t="s">
        <v>2121</v>
      </c>
      <c r="H25" s="67">
        <v>46176.41369212963</v>
      </c>
      <c r="I25" s="75">
        <f t="shared" ca="1" si="0"/>
        <v>4.2550002314819722</v>
      </c>
      <c r="J25" s="61"/>
      <c r="K25" s="61"/>
      <c r="L25" s="61"/>
      <c r="M25" s="61" t="s">
        <v>31</v>
      </c>
      <c r="N25" s="61" t="s">
        <v>2265</v>
      </c>
      <c r="O25" s="61"/>
      <c r="P25" s="61"/>
      <c r="Q25" s="61"/>
      <c r="R25" s="61" t="s">
        <v>2495</v>
      </c>
      <c r="S25" s="61" t="s">
        <v>40</v>
      </c>
      <c r="T25" s="61" t="s">
        <v>1898</v>
      </c>
      <c r="U25" s="61" t="s">
        <v>1898</v>
      </c>
      <c r="V25" s="101" t="str">
        <f>VLOOKUP(B25,[2]Overall!$A:$D,4,0)</f>
        <v>TELEINFRA NORD</v>
      </c>
      <c r="W25" s="101" t="str">
        <f>VLOOKUP(B25,[3]Sheet1!$A:$B,2,0)</f>
        <v>Ndiam-badji</v>
      </c>
      <c r="X25" s="88" t="str">
        <f t="shared" si="1"/>
        <v>NRD</v>
      </c>
      <c r="Y25" s="88" t="str">
        <f t="shared" ca="1" si="2"/>
        <v>T&gt;72H</v>
      </c>
      <c r="Z25" s="101">
        <f t="shared" si="3"/>
        <v>6</v>
      </c>
      <c r="AA25" s="84" t="s">
        <v>1566</v>
      </c>
      <c r="AB25" s="61" t="s">
        <v>1904</v>
      </c>
      <c r="AC25" s="105" t="s">
        <v>2583</v>
      </c>
      <c r="AD25" s="106" t="s">
        <v>1994</v>
      </c>
      <c r="AE25" s="61"/>
    </row>
    <row r="26" spans="1:31" ht="145" x14ac:dyDescent="0.35">
      <c r="A26" s="61" t="s">
        <v>2262</v>
      </c>
      <c r="B26" s="61" t="s">
        <v>2263</v>
      </c>
      <c r="C26" s="65"/>
      <c r="D26" s="61"/>
      <c r="E26" s="61" t="s">
        <v>2264</v>
      </c>
      <c r="F26" s="70" t="s">
        <v>53</v>
      </c>
      <c r="G26" s="70" t="s">
        <v>2121</v>
      </c>
      <c r="H26" s="67">
        <v>46176.450185185182</v>
      </c>
      <c r="I26" s="75">
        <f t="shared" ca="1" si="0"/>
        <v>4.2185071759304265</v>
      </c>
      <c r="J26" s="61"/>
      <c r="K26" s="61"/>
      <c r="L26" s="61"/>
      <c r="M26" s="61" t="s">
        <v>1713</v>
      </c>
      <c r="N26" s="61" t="s">
        <v>2266</v>
      </c>
      <c r="O26" s="61"/>
      <c r="P26" s="61"/>
      <c r="Q26" s="61"/>
      <c r="R26" s="61" t="s">
        <v>2495</v>
      </c>
      <c r="S26" s="61" t="s">
        <v>40</v>
      </c>
      <c r="T26" s="61" t="s">
        <v>1898</v>
      </c>
      <c r="U26" s="61" t="s">
        <v>1898</v>
      </c>
      <c r="V26" s="101" t="str">
        <f>VLOOKUP(B26,[2]Overall!$A:$D,4,0)</f>
        <v>TELEINFRA NORD</v>
      </c>
      <c r="W26" s="101" t="str">
        <f>VLOOKUP(B26,[3]Sheet1!$A:$B,2,0)</f>
        <v>Ndiam-badji</v>
      </c>
      <c r="X26" s="88" t="str">
        <f t="shared" si="1"/>
        <v>NRD</v>
      </c>
      <c r="Y26" s="88" t="str">
        <f t="shared" ca="1" si="2"/>
        <v>T&gt;72H</v>
      </c>
      <c r="Z26" s="101">
        <f t="shared" si="3"/>
        <v>6</v>
      </c>
      <c r="AA26" s="84" t="s">
        <v>1566</v>
      </c>
      <c r="AB26" s="61" t="s">
        <v>1904</v>
      </c>
      <c r="AC26" s="105" t="s">
        <v>2583</v>
      </c>
      <c r="AD26" s="106" t="s">
        <v>1994</v>
      </c>
      <c r="AE26" s="61"/>
    </row>
    <row r="27" spans="1:31" ht="116" x14ac:dyDescent="0.35">
      <c r="A27" s="61" t="s">
        <v>2273</v>
      </c>
      <c r="B27" s="61" t="s">
        <v>2268</v>
      </c>
      <c r="C27" s="65"/>
      <c r="D27" s="61"/>
      <c r="E27" s="61" t="s">
        <v>47</v>
      </c>
      <c r="F27" s="70" t="s">
        <v>53</v>
      </c>
      <c r="G27" s="70" t="s">
        <v>2121</v>
      </c>
      <c r="H27" s="67">
        <v>46176.45108796296</v>
      </c>
      <c r="I27" s="75">
        <f t="shared" ca="1" si="0"/>
        <v>4.2176043981526163</v>
      </c>
      <c r="J27" s="61"/>
      <c r="K27" s="61"/>
      <c r="L27" s="61"/>
      <c r="M27" s="61" t="s">
        <v>31</v>
      </c>
      <c r="N27" s="61" t="s">
        <v>2274</v>
      </c>
      <c r="O27" s="61"/>
      <c r="P27" s="61"/>
      <c r="Q27" s="61"/>
      <c r="R27" s="61" t="s">
        <v>2588</v>
      </c>
      <c r="S27" s="61" t="s">
        <v>40</v>
      </c>
      <c r="T27" s="61" t="s">
        <v>1898</v>
      </c>
      <c r="U27" s="61" t="s">
        <v>1898</v>
      </c>
      <c r="V27" s="101" t="str">
        <f>VLOOKUP(B27,[2]Overall!$A:$D,4,0)</f>
        <v>TELEINFRA NORD</v>
      </c>
      <c r="W27" s="101" t="str">
        <f>VLOOKUP(B27,[3]Sheet1!$A:$B,2,0)</f>
        <v>Dabanga</v>
      </c>
      <c r="X27" s="88" t="str">
        <f t="shared" si="1"/>
        <v>EXN</v>
      </c>
      <c r="Y27" s="88" t="str">
        <f t="shared" ca="1" si="2"/>
        <v>T&gt;72H</v>
      </c>
      <c r="Z27" s="101">
        <f t="shared" si="3"/>
        <v>3</v>
      </c>
      <c r="AA27" s="84" t="s">
        <v>1566</v>
      </c>
      <c r="AB27" s="61" t="s">
        <v>1904</v>
      </c>
      <c r="AC27" s="105" t="s">
        <v>2583</v>
      </c>
      <c r="AD27" s="106" t="s">
        <v>1994</v>
      </c>
      <c r="AE27" s="61"/>
    </row>
    <row r="28" spans="1:31" ht="116" x14ac:dyDescent="0.35">
      <c r="A28" s="61" t="s">
        <v>2273</v>
      </c>
      <c r="B28" s="61" t="s">
        <v>2268</v>
      </c>
      <c r="C28" s="65"/>
      <c r="D28" s="61"/>
      <c r="E28" s="61" t="s">
        <v>35</v>
      </c>
      <c r="F28" s="70" t="s">
        <v>53</v>
      </c>
      <c r="G28" s="70" t="s">
        <v>2121</v>
      </c>
      <c r="H28" s="67">
        <v>46176.45108796296</v>
      </c>
      <c r="I28" s="75">
        <f t="shared" ca="1" si="0"/>
        <v>4.2176043981526163</v>
      </c>
      <c r="J28" s="61"/>
      <c r="K28" s="61"/>
      <c r="L28" s="61"/>
      <c r="M28" s="61" t="s">
        <v>31</v>
      </c>
      <c r="N28" s="61" t="s">
        <v>2275</v>
      </c>
      <c r="O28" s="61"/>
      <c r="P28" s="61"/>
      <c r="Q28" s="61"/>
      <c r="R28" s="61" t="s">
        <v>2588</v>
      </c>
      <c r="S28" s="61" t="s">
        <v>40</v>
      </c>
      <c r="T28" s="61" t="s">
        <v>1898</v>
      </c>
      <c r="U28" s="61" t="s">
        <v>1898</v>
      </c>
      <c r="V28" s="101" t="str">
        <f>VLOOKUP(B28,[2]Overall!$A:$D,4,0)</f>
        <v>TELEINFRA NORD</v>
      </c>
      <c r="W28" s="101" t="str">
        <f>VLOOKUP(B28,[3]Sheet1!$A:$B,2,0)</f>
        <v>Dabanga</v>
      </c>
      <c r="X28" s="88" t="str">
        <f t="shared" si="1"/>
        <v>EXN</v>
      </c>
      <c r="Y28" s="88" t="str">
        <f t="shared" ca="1" si="2"/>
        <v>T&gt;72H</v>
      </c>
      <c r="Z28" s="101">
        <f t="shared" si="3"/>
        <v>3</v>
      </c>
      <c r="AA28" s="84" t="s">
        <v>1566</v>
      </c>
      <c r="AB28" s="61" t="s">
        <v>1904</v>
      </c>
      <c r="AC28" s="105" t="s">
        <v>2583</v>
      </c>
      <c r="AD28" s="106" t="s">
        <v>1994</v>
      </c>
      <c r="AE28" s="61"/>
    </row>
    <row r="29" spans="1:31" ht="159.5" x14ac:dyDescent="0.35">
      <c r="A29" s="61" t="s">
        <v>1877</v>
      </c>
      <c r="B29" s="61" t="s">
        <v>1878</v>
      </c>
      <c r="C29" s="65"/>
      <c r="D29" s="61"/>
      <c r="E29" s="61" t="s">
        <v>49</v>
      </c>
      <c r="F29" s="70" t="s">
        <v>53</v>
      </c>
      <c r="G29" s="70" t="s">
        <v>2121</v>
      </c>
      <c r="H29" s="67">
        <v>46176.68891203704</v>
      </c>
      <c r="I29" s="75">
        <f t="shared" ca="1" si="0"/>
        <v>3.9797803240726353</v>
      </c>
      <c r="J29" s="61"/>
      <c r="K29" s="61"/>
      <c r="L29" s="61"/>
      <c r="M29" s="61" t="s">
        <v>38</v>
      </c>
      <c r="N29" s="61" t="s">
        <v>1943</v>
      </c>
      <c r="O29" s="61"/>
      <c r="P29" s="61"/>
      <c r="Q29" s="61"/>
      <c r="R29" s="61" t="s">
        <v>2498</v>
      </c>
      <c r="S29" s="61" t="s">
        <v>85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Massock-Songloulou</v>
      </c>
      <c r="X29" s="88" t="str">
        <f t="shared" ref="X29:X59" si="4">LEFT(B29,3)</f>
        <v>LIT</v>
      </c>
      <c r="Y29" s="88" t="str">
        <f t="shared" ref="Y29:Y59" ca="1" si="5">IF(I29 &lt; 1/24, "T&lt;1H", IF(AND(I29&lt;2/24, I29&gt;1/24), "1H&lt;T&lt;2H", IF(AND(I29&lt;4/24, I29&gt;2/24), "2H&lt;T&lt;4H", IF(AND(I29&lt;8/24, I29&gt;4/24), "4H&lt;T&lt;8H", IF(AND(I29&lt;16/24, I29&gt;8/24), "8H&lt;T&lt;16H",IF(AND(I29&lt;24/24, I29&gt;16/24),"16H&lt;T&lt;24H", IF(AND(I29&lt;48/24, I29&gt;24/24),"24H&lt;T&lt;48H",IF(AND(I29&lt;72/24, I29&gt;24/24),"48H&lt;T&lt;72H", "T&gt;72H"))))))))</f>
        <v>T&gt;72H</v>
      </c>
      <c r="Z29" s="101">
        <f t="shared" ref="Z29:Z59" si="6">IF(OR(E29="", E29="affected_cells=unknown"), "", LEN(E29)-LEN(SUBSTITUTE(E29, ",", "")) + LEN(E29)-LEN(SUBSTITUTE(E29, ";", "")) + 1)</f>
        <v>1</v>
      </c>
      <c r="AA29" s="84" t="s">
        <v>1566</v>
      </c>
      <c r="AB29" s="61" t="s">
        <v>1904</v>
      </c>
      <c r="AC29" s="105" t="s">
        <v>2583</v>
      </c>
      <c r="AD29" s="106" t="s">
        <v>1994</v>
      </c>
      <c r="AE29" s="61"/>
    </row>
    <row r="30" spans="1:31" ht="217.5" x14ac:dyDescent="0.35">
      <c r="A30" s="61" t="s">
        <v>1581</v>
      </c>
      <c r="B30" s="61" t="s">
        <v>1582</v>
      </c>
      <c r="C30" s="65"/>
      <c r="D30" s="61"/>
      <c r="E30" s="61" t="s">
        <v>1937</v>
      </c>
      <c r="F30" s="70" t="s">
        <v>53</v>
      </c>
      <c r="G30" s="70" t="s">
        <v>2121</v>
      </c>
      <c r="H30" s="67">
        <v>46177.249444444446</v>
      </c>
      <c r="I30" s="75">
        <f t="shared" ca="1" si="0"/>
        <v>3.4192479166667908</v>
      </c>
      <c r="J30" s="61"/>
      <c r="K30" s="61"/>
      <c r="L30" s="61"/>
      <c r="M30" s="61" t="s">
        <v>41</v>
      </c>
      <c r="N30" s="61" t="s">
        <v>1938</v>
      </c>
      <c r="O30" s="61"/>
      <c r="P30" s="61"/>
      <c r="Q30" s="61"/>
      <c r="R30" s="61" t="s">
        <v>2591</v>
      </c>
      <c r="S30" s="61" t="s">
        <v>32</v>
      </c>
      <c r="T30" s="61" t="s">
        <v>1840</v>
      </c>
      <c r="U30" s="61" t="s">
        <v>1840</v>
      </c>
      <c r="V30" s="101" t="str">
        <f>VLOOKUP(B30,[2]Overall!$A:$D,4,0)</f>
        <v xml:space="preserve">I-ENG </v>
      </c>
      <c r="W30" s="101" t="str">
        <f>VLOOKUP(B30,[3]Sheet1!$A:$B,2,0)</f>
        <v>Batibo</v>
      </c>
      <c r="X30" s="88" t="str">
        <f t="shared" si="4"/>
        <v>NRO</v>
      </c>
      <c r="Y30" s="88" t="str">
        <f t="shared" ca="1" si="5"/>
        <v>T&gt;72H</v>
      </c>
      <c r="Z30" s="101">
        <f t="shared" si="6"/>
        <v>1</v>
      </c>
      <c r="AA30" s="84" t="s">
        <v>1566</v>
      </c>
      <c r="AB30" s="61" t="s">
        <v>1904</v>
      </c>
      <c r="AC30" s="105" t="s">
        <v>2583</v>
      </c>
      <c r="AD30" s="106" t="s">
        <v>1994</v>
      </c>
      <c r="AE30" s="61"/>
    </row>
    <row r="31" spans="1:31" ht="87" x14ac:dyDescent="0.35">
      <c r="A31" s="61" t="s">
        <v>1705</v>
      </c>
      <c r="B31" s="61" t="s">
        <v>1706</v>
      </c>
      <c r="C31" s="65"/>
      <c r="D31" s="61"/>
      <c r="E31" s="61" t="s">
        <v>48</v>
      </c>
      <c r="F31" s="70" t="s">
        <v>53</v>
      </c>
      <c r="G31" s="70" t="s">
        <v>2121</v>
      </c>
      <c r="H31" s="67">
        <v>46177.386990740742</v>
      </c>
      <c r="I31" s="75">
        <f t="shared" ca="1" si="0"/>
        <v>3.2817016203698586</v>
      </c>
      <c r="J31" s="61"/>
      <c r="K31" s="61"/>
      <c r="L31" s="61"/>
      <c r="M31" s="61" t="s">
        <v>1707</v>
      </c>
      <c r="N31" s="61" t="s">
        <v>1708</v>
      </c>
      <c r="O31" s="61"/>
      <c r="P31" s="61"/>
      <c r="Q31" s="61"/>
      <c r="R31" s="61" t="s">
        <v>2414</v>
      </c>
      <c r="S31" s="61" t="s">
        <v>71</v>
      </c>
      <c r="T31" s="61" t="s">
        <v>1902</v>
      </c>
      <c r="U31" s="61" t="s">
        <v>1896</v>
      </c>
      <c r="V31" s="101" t="str">
        <f>VLOOKUP(B31,[2]Overall!$A:$D,4,0)</f>
        <v xml:space="preserve">I-ENG </v>
      </c>
      <c r="W31" s="101" t="str">
        <f>VLOOKUP(B31,[3]Sheet1!$A:$B,2,0)</f>
        <v>Laising</v>
      </c>
      <c r="X31" s="88" t="str">
        <f t="shared" si="4"/>
        <v>NRO</v>
      </c>
      <c r="Y31" s="88" t="str">
        <f t="shared" ca="1" si="5"/>
        <v>T&gt;72H</v>
      </c>
      <c r="Z31" s="101">
        <f t="shared" si="6"/>
        <v>1</v>
      </c>
      <c r="AA31" s="84" t="s">
        <v>1566</v>
      </c>
      <c r="AB31" s="61" t="s">
        <v>1904</v>
      </c>
      <c r="AC31" s="105" t="s">
        <v>2583</v>
      </c>
      <c r="AD31" s="106" t="s">
        <v>1994</v>
      </c>
      <c r="AE31" s="61"/>
    </row>
    <row r="32" spans="1:31" ht="116" x14ac:dyDescent="0.35">
      <c r="A32" s="61" t="s">
        <v>2267</v>
      </c>
      <c r="B32" s="61" t="s">
        <v>2268</v>
      </c>
      <c r="C32" s="65"/>
      <c r="D32" s="61"/>
      <c r="E32" s="61" t="s">
        <v>39</v>
      </c>
      <c r="F32" s="70" t="s">
        <v>53</v>
      </c>
      <c r="G32" s="70" t="s">
        <v>2121</v>
      </c>
      <c r="H32" s="67">
        <v>46177.408888888887</v>
      </c>
      <c r="I32" s="75">
        <f t="shared" ca="1" si="0"/>
        <v>3.2598034722250304</v>
      </c>
      <c r="J32" s="61"/>
      <c r="K32" s="61"/>
      <c r="L32" s="61"/>
      <c r="M32" s="61" t="s">
        <v>2391</v>
      </c>
      <c r="N32" s="61" t="s">
        <v>2392</v>
      </c>
      <c r="O32" s="61"/>
      <c r="P32" s="61"/>
      <c r="Q32" s="61"/>
      <c r="R32" s="61" t="s">
        <v>2588</v>
      </c>
      <c r="S32" s="61" t="s">
        <v>40</v>
      </c>
      <c r="T32" s="61" t="s">
        <v>1898</v>
      </c>
      <c r="U32" s="61" t="s">
        <v>1898</v>
      </c>
      <c r="V32" s="101" t="str">
        <f>VLOOKUP(B32,[2]Overall!$A:$D,4,0)</f>
        <v>TELEINFRA NORD</v>
      </c>
      <c r="W32" s="101" t="str">
        <f>VLOOKUP(B32,[3]Sheet1!$A:$B,2,0)</f>
        <v>Dabanga</v>
      </c>
      <c r="X32" s="88" t="str">
        <f t="shared" si="4"/>
        <v>EXN</v>
      </c>
      <c r="Y32" s="88" t="str">
        <f t="shared" ca="1" si="5"/>
        <v>T&gt;72H</v>
      </c>
      <c r="Z32" s="101">
        <f t="shared" si="6"/>
        <v>1</v>
      </c>
      <c r="AA32" s="84" t="s">
        <v>1566</v>
      </c>
      <c r="AB32" s="61" t="s">
        <v>1904</v>
      </c>
      <c r="AC32" s="105" t="s">
        <v>2583</v>
      </c>
      <c r="AD32" s="106" t="s">
        <v>1994</v>
      </c>
      <c r="AE32" s="61"/>
    </row>
    <row r="33" spans="1:31" ht="116" x14ac:dyDescent="0.35">
      <c r="A33" s="61" t="s">
        <v>2267</v>
      </c>
      <c r="B33" s="61" t="s">
        <v>2268</v>
      </c>
      <c r="C33" s="65"/>
      <c r="D33" s="61"/>
      <c r="E33" s="61" t="s">
        <v>34</v>
      </c>
      <c r="F33" s="70" t="s">
        <v>53</v>
      </c>
      <c r="G33" s="70" t="s">
        <v>2121</v>
      </c>
      <c r="H33" s="67">
        <v>46177.417199074072</v>
      </c>
      <c r="I33" s="75">
        <f t="shared" ca="1" si="0"/>
        <v>3.2514932870399207</v>
      </c>
      <c r="J33" s="61"/>
      <c r="K33" s="61"/>
      <c r="L33" s="61"/>
      <c r="M33" s="61" t="s">
        <v>31</v>
      </c>
      <c r="N33" s="61" t="s">
        <v>2272</v>
      </c>
      <c r="O33" s="61"/>
      <c r="P33" s="61"/>
      <c r="Q33" s="61"/>
      <c r="R33" s="61" t="s">
        <v>2588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Dabanga</v>
      </c>
      <c r="X33" s="88" t="str">
        <f t="shared" si="4"/>
        <v>EXN</v>
      </c>
      <c r="Y33" s="88" t="str">
        <f t="shared" ca="1" si="5"/>
        <v>T&gt;72H</v>
      </c>
      <c r="Z33" s="101">
        <f t="shared" si="6"/>
        <v>1</v>
      </c>
      <c r="AA33" s="84" t="s">
        <v>1566</v>
      </c>
      <c r="AB33" s="61" t="s">
        <v>1904</v>
      </c>
      <c r="AC33" s="105" t="s">
        <v>2583</v>
      </c>
      <c r="AD33" s="106" t="s">
        <v>1994</v>
      </c>
      <c r="AE33" s="61"/>
    </row>
    <row r="34" spans="1:31" ht="159.5" x14ac:dyDescent="0.35">
      <c r="A34" s="61" t="s">
        <v>2257</v>
      </c>
      <c r="B34" s="61" t="s">
        <v>1796</v>
      </c>
      <c r="C34" s="65"/>
      <c r="D34" s="61"/>
      <c r="E34" s="61" t="s">
        <v>35</v>
      </c>
      <c r="F34" s="70" t="s">
        <v>53</v>
      </c>
      <c r="G34" s="70" t="s">
        <v>2121</v>
      </c>
      <c r="H34" s="67">
        <v>46177.521458333336</v>
      </c>
      <c r="I34" s="75">
        <f t="shared" ca="1" si="0"/>
        <v>3.147234027775994</v>
      </c>
      <c r="J34" s="61"/>
      <c r="K34" s="61"/>
      <c r="L34" s="61"/>
      <c r="M34" s="61" t="s">
        <v>31</v>
      </c>
      <c r="N34" s="61" t="s">
        <v>2400</v>
      </c>
      <c r="O34" s="61"/>
      <c r="P34" s="61"/>
      <c r="Q34" s="61"/>
      <c r="R34" s="61" t="s">
        <v>2489</v>
      </c>
      <c r="S34" s="61" t="s">
        <v>40</v>
      </c>
      <c r="T34" s="61" t="s">
        <v>1899</v>
      </c>
      <c r="U34" s="61" t="s">
        <v>1899</v>
      </c>
      <c r="V34" s="101" t="str">
        <f>VLOOKUP(B34,[2]Overall!$A:$D,4,0)</f>
        <v>TELEINFRA NORD</v>
      </c>
      <c r="W34" s="101" t="str">
        <f>VLOOKUP(B34,[3]Sheet1!$A:$B,2,0)</f>
        <v>Bagarao</v>
      </c>
      <c r="X34" s="88" t="str">
        <f t="shared" si="4"/>
        <v>EXN</v>
      </c>
      <c r="Y34" s="88" t="str">
        <f t="shared" ca="1" si="5"/>
        <v>T&gt;72H</v>
      </c>
      <c r="Z34" s="101">
        <f t="shared" si="6"/>
        <v>3</v>
      </c>
      <c r="AA34" s="84" t="s">
        <v>1566</v>
      </c>
      <c r="AB34" s="61" t="s">
        <v>1904</v>
      </c>
      <c r="AC34" s="105" t="s">
        <v>2583</v>
      </c>
      <c r="AD34" s="106" t="s">
        <v>1994</v>
      </c>
      <c r="AE34" s="61"/>
    </row>
    <row r="35" spans="1:31" ht="101.5" x14ac:dyDescent="0.35">
      <c r="A35" s="61" t="s">
        <v>2436</v>
      </c>
      <c r="B35" s="61" t="s">
        <v>2437</v>
      </c>
      <c r="C35" s="65"/>
      <c r="D35" s="61"/>
      <c r="E35" s="61" t="s">
        <v>34</v>
      </c>
      <c r="F35" s="70" t="s">
        <v>53</v>
      </c>
      <c r="G35" s="70" t="s">
        <v>2121</v>
      </c>
      <c r="H35" s="67">
        <v>46177.556296296294</v>
      </c>
      <c r="I35" s="75">
        <f t="shared" ca="1" si="0"/>
        <v>3.1123960648183129</v>
      </c>
      <c r="J35" s="61"/>
      <c r="K35" s="61"/>
      <c r="L35" s="61"/>
      <c r="M35" s="61" t="s">
        <v>31</v>
      </c>
      <c r="N35" s="61" t="s">
        <v>2438</v>
      </c>
      <c r="O35" s="61"/>
      <c r="P35" s="61"/>
      <c r="Q35" s="61"/>
      <c r="R35" s="61" t="s">
        <v>2585</v>
      </c>
      <c r="S35" s="61" t="s">
        <v>45</v>
      </c>
      <c r="T35" s="61" t="s">
        <v>1898</v>
      </c>
      <c r="U35" s="61" t="s">
        <v>1898</v>
      </c>
      <c r="V35" s="101" t="str">
        <f>VLOOKUP(B35,[2]Overall!$A:$D,4,0)</f>
        <v>TELEINFRA CENTRE</v>
      </c>
      <c r="W35" s="101" t="str">
        <f>VLOOKUP(B35,[3]Sheet1!$A:$B,2,0)</f>
        <v>Ngola</v>
      </c>
      <c r="X35" s="88" t="str">
        <f t="shared" si="4"/>
        <v>EST</v>
      </c>
      <c r="Y35" s="88" t="str">
        <f t="shared" ca="1" si="5"/>
        <v>T&gt;72H</v>
      </c>
      <c r="Z35" s="101">
        <f t="shared" si="6"/>
        <v>1</v>
      </c>
      <c r="AA35" s="84" t="s">
        <v>1566</v>
      </c>
      <c r="AB35" s="61" t="s">
        <v>1904</v>
      </c>
      <c r="AC35" s="105" t="s">
        <v>2583</v>
      </c>
      <c r="AD35" s="106" t="s">
        <v>1994</v>
      </c>
      <c r="AE35" s="61"/>
    </row>
    <row r="36" spans="1:31" ht="72.5" x14ac:dyDescent="0.35">
      <c r="A36" s="61" t="s">
        <v>2316</v>
      </c>
      <c r="B36" s="61" t="s">
        <v>2317</v>
      </c>
      <c r="C36" s="65"/>
      <c r="D36" s="61"/>
      <c r="E36" s="61" t="s">
        <v>2439</v>
      </c>
      <c r="F36" s="70" t="s">
        <v>53</v>
      </c>
      <c r="G36" s="70" t="s">
        <v>2121</v>
      </c>
      <c r="H36" s="67">
        <v>46177.589004629626</v>
      </c>
      <c r="I36" s="75">
        <f t="shared" ca="1" si="0"/>
        <v>3.0796877314860467</v>
      </c>
      <c r="J36" s="61"/>
      <c r="K36" s="61"/>
      <c r="L36" s="61"/>
      <c r="M36" s="61" t="s">
        <v>38</v>
      </c>
      <c r="N36" s="61" t="s">
        <v>2319</v>
      </c>
      <c r="O36" s="61"/>
      <c r="P36" s="61"/>
      <c r="Q36" s="61"/>
      <c r="R36" s="61" t="s">
        <v>2586</v>
      </c>
      <c r="S36" s="61" t="s">
        <v>85</v>
      </c>
      <c r="T36" s="61" t="s">
        <v>1898</v>
      </c>
      <c r="U36" s="61" t="s">
        <v>1898</v>
      </c>
      <c r="V36" s="101" t="str">
        <f>VLOOKUP(B36,[2]Overall!$A:$D,4,0)</f>
        <v>H-TELI</v>
      </c>
      <c r="W36" s="101" t="str">
        <f>VLOOKUP(B36,[3]Sheet1!$A:$B,2,0)</f>
        <v>Logbong</v>
      </c>
      <c r="X36" s="88" t="str">
        <f t="shared" si="4"/>
        <v>LIT</v>
      </c>
      <c r="Y36" s="88" t="str">
        <f t="shared" ca="1" si="5"/>
        <v>T&gt;72H</v>
      </c>
      <c r="Z36" s="101">
        <f t="shared" si="6"/>
        <v>6</v>
      </c>
      <c r="AA36" s="84" t="s">
        <v>1566</v>
      </c>
      <c r="AB36" s="61" t="s">
        <v>1904</v>
      </c>
      <c r="AC36" s="105" t="s">
        <v>2583</v>
      </c>
      <c r="AD36" s="106" t="s">
        <v>1994</v>
      </c>
      <c r="AE36" s="61"/>
    </row>
    <row r="37" spans="1:31" ht="72.5" x14ac:dyDescent="0.35">
      <c r="A37" s="61" t="s">
        <v>2320</v>
      </c>
      <c r="B37" s="61" t="s">
        <v>2317</v>
      </c>
      <c r="C37" s="65"/>
      <c r="D37" s="61"/>
      <c r="E37" s="61" t="s">
        <v>1787</v>
      </c>
      <c r="F37" s="70" t="s">
        <v>53</v>
      </c>
      <c r="G37" s="70" t="s">
        <v>2121</v>
      </c>
      <c r="H37" s="67">
        <v>46177.589270833334</v>
      </c>
      <c r="I37" s="75">
        <f t="shared" ca="1" si="0"/>
        <v>3.0794215277783223</v>
      </c>
      <c r="J37" s="61"/>
      <c r="K37" s="61"/>
      <c r="L37" s="61"/>
      <c r="M37" s="61" t="s">
        <v>38</v>
      </c>
      <c r="N37" s="61" t="s">
        <v>2321</v>
      </c>
      <c r="O37" s="61"/>
      <c r="P37" s="61"/>
      <c r="Q37" s="61"/>
      <c r="R37" s="61" t="s">
        <v>2586</v>
      </c>
      <c r="S37" s="61" t="s">
        <v>85</v>
      </c>
      <c r="T37" s="61" t="s">
        <v>1898</v>
      </c>
      <c r="U37" s="61" t="s">
        <v>1898</v>
      </c>
      <c r="V37" s="101" t="str">
        <f>VLOOKUP(B37,[2]Overall!$A:$D,4,0)</f>
        <v>H-TELI</v>
      </c>
      <c r="W37" s="101" t="str">
        <f>VLOOKUP(B37,[3]Sheet1!$A:$B,2,0)</f>
        <v>Logbong</v>
      </c>
      <c r="X37" s="88" t="str">
        <f t="shared" si="4"/>
        <v>LIT</v>
      </c>
      <c r="Y37" s="88" t="str">
        <f t="shared" ca="1" si="5"/>
        <v>T&gt;72H</v>
      </c>
      <c r="Z37" s="101">
        <f t="shared" si="6"/>
        <v>2</v>
      </c>
      <c r="AA37" s="84" t="s">
        <v>1566</v>
      </c>
      <c r="AB37" s="61" t="s">
        <v>1904</v>
      </c>
      <c r="AC37" s="105" t="s">
        <v>2583</v>
      </c>
      <c r="AD37" s="106" t="s">
        <v>1994</v>
      </c>
      <c r="AE37" s="61"/>
    </row>
    <row r="38" spans="1:31" ht="72.5" x14ac:dyDescent="0.35">
      <c r="A38" s="61" t="s">
        <v>2276</v>
      </c>
      <c r="B38" s="61" t="s">
        <v>2277</v>
      </c>
      <c r="C38" s="65"/>
      <c r="D38" s="61"/>
      <c r="E38" s="61" t="s">
        <v>2278</v>
      </c>
      <c r="F38" s="70" t="s">
        <v>53</v>
      </c>
      <c r="G38" s="70" t="s">
        <v>2121</v>
      </c>
      <c r="H38" s="67">
        <v>46177.591168981482</v>
      </c>
      <c r="I38" s="75">
        <f t="shared" ca="1" si="0"/>
        <v>3.0775233796302928</v>
      </c>
      <c r="J38" s="61"/>
      <c r="K38" s="61"/>
      <c r="L38" s="61"/>
      <c r="M38" s="61" t="s">
        <v>38</v>
      </c>
      <c r="N38" s="61" t="s">
        <v>2279</v>
      </c>
      <c r="O38" s="61"/>
      <c r="P38" s="61"/>
      <c r="Q38" s="61"/>
      <c r="R38" s="61" t="s">
        <v>2502</v>
      </c>
      <c r="S38" s="61" t="s">
        <v>32</v>
      </c>
      <c r="T38" s="61" t="s">
        <v>1898</v>
      </c>
      <c r="U38" s="61" t="s">
        <v>1898</v>
      </c>
      <c r="V38" s="101" t="str">
        <f>VLOOKUP(B38,[2]Overall!$A:$D,4,0)</f>
        <v xml:space="preserve">I-ENG </v>
      </c>
      <c r="W38" s="101" t="str">
        <f>VLOOKUP(B38,[3]Sheet1!$A:$B,2,0)</f>
        <v>Babanki</v>
      </c>
      <c r="X38" s="88" t="str">
        <f t="shared" si="4"/>
        <v>NRO</v>
      </c>
      <c r="Y38" s="88" t="str">
        <f t="shared" ca="1" si="5"/>
        <v>T&gt;72H</v>
      </c>
      <c r="Z38" s="101">
        <f t="shared" si="6"/>
        <v>2</v>
      </c>
      <c r="AA38" s="84" t="s">
        <v>1566</v>
      </c>
      <c r="AB38" s="61" t="s">
        <v>1904</v>
      </c>
      <c r="AC38" s="105" t="s">
        <v>2583</v>
      </c>
      <c r="AD38" s="106" t="s">
        <v>1994</v>
      </c>
      <c r="AE38" s="61"/>
    </row>
    <row r="39" spans="1:31" ht="87" x14ac:dyDescent="0.35">
      <c r="A39" s="61" t="s">
        <v>1684</v>
      </c>
      <c r="B39" s="61" t="s">
        <v>1620</v>
      </c>
      <c r="C39" s="65"/>
      <c r="D39" s="61"/>
      <c r="E39" s="61" t="s">
        <v>1793</v>
      </c>
      <c r="F39" s="70" t="s">
        <v>53</v>
      </c>
      <c r="G39" s="70" t="s">
        <v>2121</v>
      </c>
      <c r="H39" s="67">
        <v>46177.706493055557</v>
      </c>
      <c r="I39" s="75">
        <f t="shared" ca="1" si="0"/>
        <v>2.9621993055552593</v>
      </c>
      <c r="J39" s="61"/>
      <c r="K39" s="61"/>
      <c r="L39" s="61"/>
      <c r="M39" s="61" t="s">
        <v>33</v>
      </c>
      <c r="N39" s="61" t="s">
        <v>1653</v>
      </c>
      <c r="O39" s="61"/>
      <c r="P39" s="61"/>
      <c r="Q39" s="61"/>
      <c r="R39" s="61" t="s">
        <v>2497</v>
      </c>
      <c r="S39" s="61" t="s">
        <v>75</v>
      </c>
      <c r="T39" s="61" t="s">
        <v>1898</v>
      </c>
      <c r="U39" s="61" t="s">
        <v>1898</v>
      </c>
      <c r="V39" s="101" t="str">
        <f>VLOOKUP(B39,[2]Overall!$A:$D,4,0)</f>
        <v>TELEINFRA NORD</v>
      </c>
      <c r="W39" s="101" t="str">
        <f>VLOOKUP(B39,[3]Sheet1!$A:$B,2,0)</f>
        <v>Batoua-Godole</v>
      </c>
      <c r="X39" s="88" t="str">
        <f t="shared" si="4"/>
        <v>ADM</v>
      </c>
      <c r="Y39" s="88" t="str">
        <f t="shared" ca="1" si="5"/>
        <v>48H&lt;T&lt;72H</v>
      </c>
      <c r="Z39" s="101">
        <f t="shared" si="6"/>
        <v>2</v>
      </c>
      <c r="AA39" s="84" t="s">
        <v>1566</v>
      </c>
      <c r="AB39" s="61" t="s">
        <v>1904</v>
      </c>
      <c r="AC39" s="105" t="s">
        <v>2583</v>
      </c>
      <c r="AD39" s="106" t="s">
        <v>1994</v>
      </c>
      <c r="AE39" s="61"/>
    </row>
    <row r="40" spans="1:31" ht="116" x14ac:dyDescent="0.35">
      <c r="A40" s="61" t="s">
        <v>1807</v>
      </c>
      <c r="B40" s="61" t="s">
        <v>1808</v>
      </c>
      <c r="C40" s="65"/>
      <c r="D40" s="61"/>
      <c r="E40" s="61" t="s">
        <v>1810</v>
      </c>
      <c r="F40" s="70" t="s">
        <v>53</v>
      </c>
      <c r="G40" s="70" t="s">
        <v>2121</v>
      </c>
      <c r="H40" s="67">
        <v>46177.733206018522</v>
      </c>
      <c r="I40" s="75">
        <f t="shared" ca="1" si="0"/>
        <v>2.9354863425905933</v>
      </c>
      <c r="J40" s="61"/>
      <c r="K40" s="61"/>
      <c r="L40" s="61"/>
      <c r="M40" s="61" t="s">
        <v>2053</v>
      </c>
      <c r="N40" s="61" t="s">
        <v>2054</v>
      </c>
      <c r="O40" s="61"/>
      <c r="P40" s="61"/>
      <c r="Q40" s="61"/>
      <c r="R40" s="61" t="s">
        <v>2592</v>
      </c>
      <c r="S40" s="61" t="s">
        <v>85</v>
      </c>
      <c r="T40" s="61" t="s">
        <v>1898</v>
      </c>
      <c r="U40" s="61" t="s">
        <v>1898</v>
      </c>
      <c r="V40" s="101" t="str">
        <f>VLOOKUP(B40,[2]Overall!$A:$D,4,0)</f>
        <v>H-TELI</v>
      </c>
      <c r="W40" s="101" t="str">
        <f>VLOOKUP(B40,[3]Sheet1!$A:$B,2,0)</f>
        <v>Songloulou</v>
      </c>
      <c r="X40" s="88" t="str">
        <f t="shared" si="4"/>
        <v>LIT</v>
      </c>
      <c r="Y40" s="88" t="str">
        <f t="shared" ca="1" si="5"/>
        <v>48H&lt;T&lt;72H</v>
      </c>
      <c r="Z40" s="101">
        <f t="shared" si="6"/>
        <v>1</v>
      </c>
      <c r="AA40" s="84" t="s">
        <v>1566</v>
      </c>
      <c r="AB40" s="61" t="s">
        <v>1904</v>
      </c>
      <c r="AC40" s="105" t="s">
        <v>2583</v>
      </c>
      <c r="AD40" s="106" t="s">
        <v>1994</v>
      </c>
      <c r="AE40" s="61"/>
    </row>
    <row r="41" spans="1:31" ht="116" x14ac:dyDescent="0.35">
      <c r="A41" s="61" t="s">
        <v>1807</v>
      </c>
      <c r="B41" s="61" t="s">
        <v>1808</v>
      </c>
      <c r="C41" s="65"/>
      <c r="D41" s="61"/>
      <c r="E41" s="61" t="s">
        <v>2446</v>
      </c>
      <c r="F41" s="70" t="s">
        <v>53</v>
      </c>
      <c r="G41" s="70" t="s">
        <v>2121</v>
      </c>
      <c r="H41" s="67">
        <v>46177.734120370369</v>
      </c>
      <c r="I41" s="75">
        <f t="shared" ca="1" si="0"/>
        <v>2.9345719907432795</v>
      </c>
      <c r="J41" s="61"/>
      <c r="K41" s="61"/>
      <c r="L41" s="61"/>
      <c r="M41" s="61" t="s">
        <v>2053</v>
      </c>
      <c r="N41" s="61" t="s">
        <v>2054</v>
      </c>
      <c r="O41" s="61"/>
      <c r="P41" s="61"/>
      <c r="Q41" s="61"/>
      <c r="R41" s="61" t="s">
        <v>2592</v>
      </c>
      <c r="S41" s="61" t="s">
        <v>85</v>
      </c>
      <c r="T41" s="61" t="s">
        <v>1898</v>
      </c>
      <c r="U41" s="61" t="s">
        <v>1898</v>
      </c>
      <c r="V41" s="101" t="str">
        <f>VLOOKUP(B41,[2]Overall!$A:$D,4,0)</f>
        <v>H-TELI</v>
      </c>
      <c r="W41" s="101" t="str">
        <f>VLOOKUP(B41,[3]Sheet1!$A:$B,2,0)</f>
        <v>Songloulou</v>
      </c>
      <c r="X41" s="88" t="str">
        <f t="shared" si="4"/>
        <v>LIT</v>
      </c>
      <c r="Y41" s="88" t="str">
        <f t="shared" ca="1" si="5"/>
        <v>48H&lt;T&lt;72H</v>
      </c>
      <c r="Z41" s="101">
        <f t="shared" si="6"/>
        <v>1</v>
      </c>
      <c r="AA41" s="84" t="s">
        <v>1566</v>
      </c>
      <c r="AB41" s="61" t="s">
        <v>1904</v>
      </c>
      <c r="AC41" s="105" t="s">
        <v>2583</v>
      </c>
      <c r="AD41" s="106" t="s">
        <v>1994</v>
      </c>
      <c r="AE41" s="61"/>
    </row>
    <row r="42" spans="1:31" ht="116" x14ac:dyDescent="0.35">
      <c r="A42" s="61" t="s">
        <v>1807</v>
      </c>
      <c r="B42" s="61" t="s">
        <v>1808</v>
      </c>
      <c r="C42" s="65"/>
      <c r="D42" s="61"/>
      <c r="E42" s="61" t="s">
        <v>1813</v>
      </c>
      <c r="F42" s="70" t="s">
        <v>53</v>
      </c>
      <c r="G42" s="70" t="s">
        <v>2121</v>
      </c>
      <c r="H42" s="67">
        <v>46177.741377314815</v>
      </c>
      <c r="I42" s="75">
        <f t="shared" ca="1" si="0"/>
        <v>2.9273150462977355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2592</v>
      </c>
      <c r="S42" s="61" t="s">
        <v>85</v>
      </c>
      <c r="T42" s="61" t="s">
        <v>1898</v>
      </c>
      <c r="U42" s="61" t="s">
        <v>1898</v>
      </c>
      <c r="V42" s="101" t="str">
        <f>VLOOKUP(B42,[2]Overall!$A:$D,4,0)</f>
        <v>H-TELI</v>
      </c>
      <c r="W42" s="101" t="str">
        <f>VLOOKUP(B42,[3]Sheet1!$A:$B,2,0)</f>
        <v>Songloulou</v>
      </c>
      <c r="X42" s="88" t="str">
        <f t="shared" si="4"/>
        <v>LIT</v>
      </c>
      <c r="Y42" s="88" t="str">
        <f t="shared" ca="1" si="5"/>
        <v>48H&lt;T&lt;72H</v>
      </c>
      <c r="Z42" s="101">
        <f t="shared" si="6"/>
        <v>1</v>
      </c>
      <c r="AA42" s="84" t="s">
        <v>1566</v>
      </c>
      <c r="AB42" s="61" t="s">
        <v>1904</v>
      </c>
      <c r="AC42" s="105" t="s">
        <v>2583</v>
      </c>
      <c r="AD42" s="106" t="s">
        <v>1994</v>
      </c>
      <c r="AE42" s="61"/>
    </row>
    <row r="43" spans="1:31" ht="116" x14ac:dyDescent="0.35">
      <c r="A43" s="61" t="s">
        <v>1807</v>
      </c>
      <c r="B43" s="61" t="s">
        <v>1808</v>
      </c>
      <c r="C43" s="65"/>
      <c r="D43" s="61"/>
      <c r="E43" s="61" t="s">
        <v>1812</v>
      </c>
      <c r="F43" s="70" t="s">
        <v>53</v>
      </c>
      <c r="G43" s="70" t="s">
        <v>2121</v>
      </c>
      <c r="H43" s="67">
        <v>46177.742442129631</v>
      </c>
      <c r="I43" s="75">
        <f t="shared" ca="1" si="0"/>
        <v>2.9262502314813901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2592</v>
      </c>
      <c r="S43" s="61" t="s">
        <v>85</v>
      </c>
      <c r="T43" s="61" t="s">
        <v>1898</v>
      </c>
      <c r="U43" s="61" t="s">
        <v>1898</v>
      </c>
      <c r="V43" s="101" t="str">
        <f>VLOOKUP(B43,[2]Overall!$A:$D,4,0)</f>
        <v>H-TELI</v>
      </c>
      <c r="W43" s="101" t="str">
        <f>VLOOKUP(B43,[3]Sheet1!$A:$B,2,0)</f>
        <v>Songloulou</v>
      </c>
      <c r="X43" s="88" t="str">
        <f t="shared" si="4"/>
        <v>LIT</v>
      </c>
      <c r="Y43" s="88" t="str">
        <f t="shared" ca="1" si="5"/>
        <v>48H&lt;T&lt;72H</v>
      </c>
      <c r="Z43" s="101">
        <f t="shared" si="6"/>
        <v>1</v>
      </c>
      <c r="AA43" s="84" t="s">
        <v>1566</v>
      </c>
      <c r="AB43" s="61" t="s">
        <v>1904</v>
      </c>
      <c r="AC43" s="105" t="s">
        <v>2583</v>
      </c>
      <c r="AD43" s="106" t="s">
        <v>1994</v>
      </c>
      <c r="AE43" s="61"/>
    </row>
    <row r="44" spans="1:31" ht="159.5" x14ac:dyDescent="0.35">
      <c r="A44" s="61" t="s">
        <v>2147</v>
      </c>
      <c r="B44" s="61" t="s">
        <v>2148</v>
      </c>
      <c r="C44" s="65"/>
      <c r="D44" s="61"/>
      <c r="E44" s="61" t="s">
        <v>2149</v>
      </c>
      <c r="F44" s="70" t="s">
        <v>53</v>
      </c>
      <c r="G44" s="70" t="s">
        <v>2121</v>
      </c>
      <c r="H44" s="67">
        <v>46177.806562500002</v>
      </c>
      <c r="I44" s="75">
        <f t="shared" ca="1" si="0"/>
        <v>2.8621298611105885</v>
      </c>
      <c r="J44" s="61"/>
      <c r="K44" s="61"/>
      <c r="L44" s="61"/>
      <c r="M44" s="61" t="s">
        <v>33</v>
      </c>
      <c r="N44" s="61" t="s">
        <v>1626</v>
      </c>
      <c r="O44" s="61"/>
      <c r="P44" s="61"/>
      <c r="Q44" s="61"/>
      <c r="R44" s="61" t="s">
        <v>2494</v>
      </c>
      <c r="S44" s="61" t="s">
        <v>40</v>
      </c>
      <c r="T44" s="61" t="s">
        <v>1898</v>
      </c>
      <c r="U44" s="61" t="s">
        <v>1898</v>
      </c>
      <c r="V44" s="101" t="str">
        <f>VLOOKUP(B44,[2]Overall!$A:$D,4,0)</f>
        <v>TELEINFRA NORD</v>
      </c>
      <c r="W44" s="101" t="str">
        <f>VLOOKUP(B44,[3]Sheet1!$A:$B,2,0)</f>
        <v>Mboulai</v>
      </c>
      <c r="X44" s="88" t="str">
        <f t="shared" si="4"/>
        <v>ADM</v>
      </c>
      <c r="Y44" s="88" t="str">
        <f t="shared" ca="1" si="5"/>
        <v>48H&lt;T&lt;72H</v>
      </c>
      <c r="Z44" s="101">
        <f t="shared" si="6"/>
        <v>1</v>
      </c>
      <c r="AA44" s="84" t="s">
        <v>1566</v>
      </c>
      <c r="AB44" s="61" t="s">
        <v>1904</v>
      </c>
      <c r="AC44" s="105" t="s">
        <v>2583</v>
      </c>
      <c r="AD44" s="106" t="s">
        <v>1994</v>
      </c>
      <c r="AE44" s="61"/>
    </row>
    <row r="45" spans="1:31" ht="72.5" x14ac:dyDescent="0.35">
      <c r="A45" s="61" t="s">
        <v>2350</v>
      </c>
      <c r="B45" s="61" t="s">
        <v>2351</v>
      </c>
      <c r="C45" s="65"/>
      <c r="D45" s="61"/>
      <c r="E45" s="61" t="s">
        <v>2352</v>
      </c>
      <c r="F45" s="70" t="s">
        <v>53</v>
      </c>
      <c r="G45" s="70" t="s">
        <v>2121</v>
      </c>
      <c r="H45" s="67">
        <v>46177.830648148149</v>
      </c>
      <c r="I45" s="75">
        <f t="shared" ca="1" si="0"/>
        <v>2.8380442129637231</v>
      </c>
      <c r="J45" s="61"/>
      <c r="K45" s="61"/>
      <c r="L45" s="61"/>
      <c r="M45" s="61" t="s">
        <v>38</v>
      </c>
      <c r="N45" s="61" t="s">
        <v>2353</v>
      </c>
      <c r="O45" s="61"/>
      <c r="P45" s="61"/>
      <c r="Q45" s="61"/>
      <c r="R45" s="61" t="s">
        <v>2590</v>
      </c>
      <c r="S45" s="61" t="s">
        <v>75</v>
      </c>
      <c r="T45" s="61" t="s">
        <v>1754</v>
      </c>
      <c r="U45" s="61" t="s">
        <v>1754</v>
      </c>
      <c r="V45" s="101" t="str">
        <f>VLOOKUP(B45,[2]Overall!$A:$D,4,0)</f>
        <v>TELEINFRA NORD</v>
      </c>
      <c r="W45" s="101" t="str">
        <f>VLOOKUP(B45,[3]Sheet1!$A:$B,2,0)</f>
        <v>Guidjiba</v>
      </c>
      <c r="X45" s="88" t="str">
        <f t="shared" si="4"/>
        <v>NRD</v>
      </c>
      <c r="Y45" s="88" t="str">
        <f t="shared" ca="1" si="5"/>
        <v>48H&lt;T&lt;72H</v>
      </c>
      <c r="Z45" s="101">
        <f t="shared" si="6"/>
        <v>2</v>
      </c>
      <c r="AA45" s="84" t="s">
        <v>1566</v>
      </c>
      <c r="AB45" s="61" t="s">
        <v>1904</v>
      </c>
      <c r="AC45" s="105" t="s">
        <v>2583</v>
      </c>
      <c r="AD45" s="106" t="s">
        <v>1994</v>
      </c>
      <c r="AE45" s="61"/>
    </row>
    <row r="46" spans="1:31" ht="72.5" x14ac:dyDescent="0.35">
      <c r="A46" s="61" t="s">
        <v>2208</v>
      </c>
      <c r="B46" s="61" t="s">
        <v>2209</v>
      </c>
      <c r="C46" s="65"/>
      <c r="D46" s="61"/>
      <c r="E46" s="61" t="s">
        <v>2210</v>
      </c>
      <c r="F46" s="70" t="s">
        <v>53</v>
      </c>
      <c r="G46" s="70" t="s">
        <v>2121</v>
      </c>
      <c r="H46" s="67">
        <v>46178.137129629627</v>
      </c>
      <c r="I46" s="75">
        <f t="shared" ref="I46:I75" ca="1" si="7">NOW()-H46</f>
        <v>2.5315627314848825</v>
      </c>
      <c r="J46" s="61"/>
      <c r="K46" s="61"/>
      <c r="L46" s="61"/>
      <c r="M46" s="61" t="s">
        <v>1627</v>
      </c>
      <c r="N46" s="61" t="s">
        <v>2211</v>
      </c>
      <c r="O46" s="61"/>
      <c r="P46" s="61"/>
      <c r="Q46" s="61"/>
      <c r="R46" s="61" t="s">
        <v>2601</v>
      </c>
      <c r="S46" s="61" t="s">
        <v>45</v>
      </c>
      <c r="T46" s="61" t="s">
        <v>1754</v>
      </c>
      <c r="U46" s="61" t="s">
        <v>1754</v>
      </c>
      <c r="V46" s="101" t="str">
        <f>VLOOKUP(B46,[2]Overall!$A:$D,4,0)</f>
        <v>TELEINFRA CENTRE</v>
      </c>
      <c r="W46" s="101" t="str">
        <f>VLOOKUP(B46,[3]Sheet1!$A:$B,2,0)</f>
        <v>Mvangan</v>
      </c>
      <c r="X46" s="88" t="str">
        <f t="shared" si="4"/>
        <v>SUD</v>
      </c>
      <c r="Y46" s="88" t="str">
        <f t="shared" ca="1" si="5"/>
        <v>48H&lt;T&lt;72H</v>
      </c>
      <c r="Z46" s="101">
        <f t="shared" si="6"/>
        <v>1</v>
      </c>
      <c r="AA46" s="84" t="s">
        <v>1566</v>
      </c>
      <c r="AB46" s="61" t="s">
        <v>1904</v>
      </c>
      <c r="AC46" s="105" t="s">
        <v>2583</v>
      </c>
      <c r="AD46" s="106" t="s">
        <v>1994</v>
      </c>
      <c r="AE46" s="61"/>
    </row>
    <row r="47" spans="1:31" ht="72.5" x14ac:dyDescent="0.35">
      <c r="A47" s="63" t="s">
        <v>2551</v>
      </c>
      <c r="B47" s="63" t="s">
        <v>2552</v>
      </c>
      <c r="C47" s="68"/>
      <c r="D47" s="63"/>
      <c r="E47" s="63" t="s">
        <v>1823</v>
      </c>
      <c r="F47" s="71" t="s">
        <v>53</v>
      </c>
      <c r="G47" s="71" t="s">
        <v>2121</v>
      </c>
      <c r="H47" s="69">
        <v>46178.191481481481</v>
      </c>
      <c r="I47" s="77">
        <f t="shared" ca="1" si="7"/>
        <v>2.4772108796314569</v>
      </c>
      <c r="J47" s="63"/>
      <c r="K47" s="63"/>
      <c r="L47" s="63"/>
      <c r="M47" s="63" t="s">
        <v>31</v>
      </c>
      <c r="N47" s="63" t="s">
        <v>2553</v>
      </c>
      <c r="O47" s="63"/>
      <c r="P47" s="85" t="s">
        <v>1906</v>
      </c>
      <c r="Q47" s="63"/>
      <c r="R47" s="63" t="s">
        <v>2589</v>
      </c>
      <c r="S47" s="63" t="s">
        <v>40</v>
      </c>
      <c r="T47" s="63" t="s">
        <v>1898</v>
      </c>
      <c r="U47" s="63" t="s">
        <v>1898</v>
      </c>
      <c r="V47" s="107" t="str">
        <f>VLOOKUP(B47,[2]Overall!$A:$D,4,0)</f>
        <v>TELEINFRA NORD</v>
      </c>
      <c r="W47" s="107" t="str">
        <f>VLOOKUP(B47,[3]Sheet1!$A:$B,2,0)</f>
        <v>Bardake</v>
      </c>
      <c r="X47" s="89" t="str">
        <f t="shared" si="4"/>
        <v>NRD</v>
      </c>
      <c r="Y47" s="89" t="str">
        <f t="shared" ca="1" si="5"/>
        <v>48H&lt;T&lt;72H</v>
      </c>
      <c r="Z47" s="107">
        <f t="shared" si="6"/>
        <v>2</v>
      </c>
      <c r="AA47" s="85" t="s">
        <v>77</v>
      </c>
      <c r="AB47" s="63" t="s">
        <v>1905</v>
      </c>
      <c r="AC47" s="108" t="s">
        <v>2583</v>
      </c>
      <c r="AD47" s="109" t="s">
        <v>1994</v>
      </c>
      <c r="AE47" s="63"/>
    </row>
    <row r="48" spans="1:31" ht="232" x14ac:dyDescent="0.35">
      <c r="A48" s="61" t="s">
        <v>1776</v>
      </c>
      <c r="B48" s="61" t="s">
        <v>1777</v>
      </c>
      <c r="C48" s="65"/>
      <c r="D48" s="61"/>
      <c r="E48" s="61" t="s">
        <v>35</v>
      </c>
      <c r="F48" s="70" t="s">
        <v>53</v>
      </c>
      <c r="G48" s="70" t="s">
        <v>2121</v>
      </c>
      <c r="H48" s="67">
        <v>46178.43041666667</v>
      </c>
      <c r="I48" s="75">
        <f t="shared" ca="1" si="7"/>
        <v>2.2382756944425637</v>
      </c>
      <c r="J48" s="61"/>
      <c r="K48" s="61"/>
      <c r="L48" s="61"/>
      <c r="M48" s="61" t="s">
        <v>31</v>
      </c>
      <c r="N48" s="61" t="s">
        <v>1778</v>
      </c>
      <c r="O48" s="61"/>
      <c r="P48" s="61"/>
      <c r="Q48" s="61"/>
      <c r="R48" s="61" t="s">
        <v>2538</v>
      </c>
      <c r="S48" s="61" t="s">
        <v>32</v>
      </c>
      <c r="T48" s="61" t="s">
        <v>1898</v>
      </c>
      <c r="U48" s="61" t="s">
        <v>1898</v>
      </c>
      <c r="V48" s="101" t="str">
        <f>VLOOKUP(B48,[2]Overall!$A:$D,4,0)</f>
        <v xml:space="preserve">I-ENG </v>
      </c>
      <c r="W48" s="101" t="str">
        <f>VLOOKUP(B48,[3]Sheet1!$A:$B,2,0)</f>
        <v>Bafmeng</v>
      </c>
      <c r="X48" s="88" t="str">
        <f t="shared" si="4"/>
        <v>NRO</v>
      </c>
      <c r="Y48" s="88" t="str">
        <f t="shared" ca="1" si="5"/>
        <v>48H&lt;T&lt;72H</v>
      </c>
      <c r="Z48" s="101">
        <f t="shared" si="6"/>
        <v>3</v>
      </c>
      <c r="AA48" s="84" t="s">
        <v>1566</v>
      </c>
      <c r="AB48" s="61" t="s">
        <v>1904</v>
      </c>
      <c r="AC48" s="105" t="s">
        <v>2583</v>
      </c>
      <c r="AD48" s="106" t="s">
        <v>1994</v>
      </c>
      <c r="AE48" s="61"/>
    </row>
    <row r="49" spans="1:31" ht="87" x14ac:dyDescent="0.35">
      <c r="A49" s="61" t="s">
        <v>2441</v>
      </c>
      <c r="B49" s="61" t="s">
        <v>2442</v>
      </c>
      <c r="C49" s="65"/>
      <c r="D49" s="61"/>
      <c r="E49" s="61" t="s">
        <v>2471</v>
      </c>
      <c r="F49" s="70" t="s">
        <v>53</v>
      </c>
      <c r="G49" s="70" t="s">
        <v>2121</v>
      </c>
      <c r="H49" s="67">
        <v>46178.441736111112</v>
      </c>
      <c r="I49" s="75">
        <f t="shared" ca="1" si="7"/>
        <v>2.2269562500005122</v>
      </c>
      <c r="J49" s="61"/>
      <c r="K49" s="61"/>
      <c r="L49" s="61"/>
      <c r="M49" s="61" t="s">
        <v>33</v>
      </c>
      <c r="N49" s="61" t="s">
        <v>2444</v>
      </c>
      <c r="O49" s="61"/>
      <c r="P49" s="61"/>
      <c r="Q49" s="61"/>
      <c r="R49" s="61" t="s">
        <v>2506</v>
      </c>
      <c r="S49" s="61" t="s">
        <v>45</v>
      </c>
      <c r="T49" s="61" t="s">
        <v>1898</v>
      </c>
      <c r="U49" s="61" t="s">
        <v>1898</v>
      </c>
      <c r="V49" s="101" t="str">
        <f>VLOOKUP(B49,[2]Overall!$A:$D,4,0)</f>
        <v>TELEINFRA CENTRE</v>
      </c>
      <c r="W49" s="101" t="str">
        <f>VLOOKUP(B49,[3]Sheet1!$A:$B,2,0)</f>
        <v>Yola</v>
      </c>
      <c r="X49" s="88" t="str">
        <f t="shared" si="4"/>
        <v>EST</v>
      </c>
      <c r="Y49" s="88" t="str">
        <f t="shared" ca="1" si="5"/>
        <v>48H&lt;T&lt;72H</v>
      </c>
      <c r="Z49" s="101">
        <f t="shared" si="6"/>
        <v>2</v>
      </c>
      <c r="AA49" s="84" t="s">
        <v>1566</v>
      </c>
      <c r="AB49" s="61" t="s">
        <v>1904</v>
      </c>
      <c r="AC49" s="105" t="s">
        <v>2583</v>
      </c>
      <c r="AD49" s="106" t="s">
        <v>1994</v>
      </c>
      <c r="AE49" s="61"/>
    </row>
    <row r="50" spans="1:31" ht="72.5" x14ac:dyDescent="0.35">
      <c r="A50" s="61" t="s">
        <v>2481</v>
      </c>
      <c r="B50" s="61" t="s">
        <v>2482</v>
      </c>
      <c r="C50" s="65"/>
      <c r="D50" s="61"/>
      <c r="E50" s="61" t="s">
        <v>2483</v>
      </c>
      <c r="F50" s="70" t="s">
        <v>53</v>
      </c>
      <c r="G50" s="70" t="s">
        <v>2121</v>
      </c>
      <c r="H50" s="67">
        <v>46178.506608796299</v>
      </c>
      <c r="I50" s="75">
        <f t="shared" ca="1" si="7"/>
        <v>2.1620835648136563</v>
      </c>
      <c r="J50" s="61"/>
      <c r="K50" s="61"/>
      <c r="L50" s="61"/>
      <c r="M50" s="61" t="s">
        <v>46</v>
      </c>
      <c r="N50" s="61" t="s">
        <v>2484</v>
      </c>
      <c r="O50" s="61"/>
      <c r="P50" s="61"/>
      <c r="Q50" s="61"/>
      <c r="R50" s="61" t="s">
        <v>2535</v>
      </c>
      <c r="S50" s="61" t="s">
        <v>85</v>
      </c>
      <c r="T50" s="61" t="s">
        <v>1898</v>
      </c>
      <c r="U50" s="61" t="s">
        <v>1898</v>
      </c>
      <c r="V50" s="101" t="str">
        <f>VLOOKUP(B50,[2]Overall!$A:$D,4,0)</f>
        <v>H-TELI</v>
      </c>
      <c r="W50" s="101" t="str">
        <f>VLOOKUP(B50,[3]Sheet1!$A:$B,2,0)</f>
        <v>Banguem</v>
      </c>
      <c r="X50" s="88" t="str">
        <f t="shared" si="4"/>
        <v>SUO</v>
      </c>
      <c r="Y50" s="88" t="str">
        <f t="shared" ca="1" si="5"/>
        <v>48H&lt;T&lt;72H</v>
      </c>
      <c r="Z50" s="101">
        <f t="shared" si="6"/>
        <v>1</v>
      </c>
      <c r="AA50" s="84" t="s">
        <v>1566</v>
      </c>
      <c r="AB50" s="61" t="s">
        <v>1904</v>
      </c>
      <c r="AC50" s="105" t="s">
        <v>2583</v>
      </c>
      <c r="AD50" s="106" t="s">
        <v>1994</v>
      </c>
      <c r="AE50" s="61"/>
    </row>
    <row r="51" spans="1:31" ht="87" x14ac:dyDescent="0.35">
      <c r="A51" s="61" t="s">
        <v>2554</v>
      </c>
      <c r="B51" s="61" t="s">
        <v>2555</v>
      </c>
      <c r="C51" s="65"/>
      <c r="D51" s="61"/>
      <c r="E51" s="61" t="s">
        <v>2556</v>
      </c>
      <c r="F51" s="70" t="s">
        <v>53</v>
      </c>
      <c r="G51" s="70" t="s">
        <v>2121</v>
      </c>
      <c r="H51" s="67">
        <v>46178.599930555552</v>
      </c>
      <c r="I51" s="75">
        <f t="shared" ca="1" si="7"/>
        <v>2.068761805559916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61" t="s">
        <v>2486</v>
      </c>
      <c r="S51" s="61" t="s">
        <v>51</v>
      </c>
      <c r="T51" s="61" t="s">
        <v>1898</v>
      </c>
      <c r="U51" s="61" t="s">
        <v>1898</v>
      </c>
      <c r="V51" s="101" t="str">
        <f>VLOOKUP(B51,[2]Overall!$A:$D,4,0)</f>
        <v xml:space="preserve">I-ENG </v>
      </c>
      <c r="W51" s="101" t="str">
        <f>VLOOKUP(B51,[3]Sheet1!$A:$B,2,0)</f>
        <v>Bangambi</v>
      </c>
      <c r="X51" s="88" t="str">
        <f t="shared" si="4"/>
        <v>OST</v>
      </c>
      <c r="Y51" s="88" t="str">
        <f t="shared" ca="1" si="5"/>
        <v>48H&lt;T&lt;72H</v>
      </c>
      <c r="Z51" s="101">
        <f t="shared" si="6"/>
        <v>1</v>
      </c>
      <c r="AA51" s="84" t="s">
        <v>1566</v>
      </c>
      <c r="AB51" s="61" t="s">
        <v>1905</v>
      </c>
      <c r="AC51" s="105" t="s">
        <v>2583</v>
      </c>
      <c r="AD51" s="106" t="s">
        <v>1994</v>
      </c>
      <c r="AE51" s="61"/>
    </row>
    <row r="52" spans="1:31" ht="87" x14ac:dyDescent="0.35">
      <c r="A52" s="61" t="s">
        <v>2554</v>
      </c>
      <c r="B52" s="61" t="s">
        <v>2555</v>
      </c>
      <c r="C52" s="65"/>
      <c r="D52" s="61"/>
      <c r="E52" s="61" t="s">
        <v>2557</v>
      </c>
      <c r="F52" s="70" t="s">
        <v>53</v>
      </c>
      <c r="G52" s="70" t="s">
        <v>2121</v>
      </c>
      <c r="H52" s="67">
        <v>46178.599942129629</v>
      </c>
      <c r="I52" s="75">
        <f t="shared" ca="1" si="7"/>
        <v>2.0687502314831363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61" t="s">
        <v>2486</v>
      </c>
      <c r="S52" s="61" t="s">
        <v>51</v>
      </c>
      <c r="T52" s="61" t="s">
        <v>1898</v>
      </c>
      <c r="U52" s="61" t="s">
        <v>1898</v>
      </c>
      <c r="V52" s="101" t="str">
        <f>VLOOKUP(B52,[2]Overall!$A:$D,4,0)</f>
        <v xml:space="preserve">I-ENG </v>
      </c>
      <c r="W52" s="101" t="str">
        <f>VLOOKUP(B52,[3]Sheet1!$A:$B,2,0)</f>
        <v>Bangambi</v>
      </c>
      <c r="X52" s="88" t="str">
        <f t="shared" si="4"/>
        <v>OST</v>
      </c>
      <c r="Y52" s="88" t="str">
        <f t="shared" ca="1" si="5"/>
        <v>48H&lt;T&lt;72H</v>
      </c>
      <c r="Z52" s="101">
        <f t="shared" si="6"/>
        <v>1</v>
      </c>
      <c r="AA52" s="84" t="s">
        <v>1566</v>
      </c>
      <c r="AB52" s="61" t="s">
        <v>1905</v>
      </c>
      <c r="AC52" s="105" t="s">
        <v>2583</v>
      </c>
      <c r="AD52" s="106" t="s">
        <v>1994</v>
      </c>
      <c r="AE52" s="61"/>
    </row>
    <row r="53" spans="1:31" ht="87" x14ac:dyDescent="0.35">
      <c r="A53" s="61" t="s">
        <v>2554</v>
      </c>
      <c r="B53" s="61" t="s">
        <v>2555</v>
      </c>
      <c r="C53" s="65"/>
      <c r="D53" s="61"/>
      <c r="E53" s="61" t="s">
        <v>2558</v>
      </c>
      <c r="F53" s="70" t="s">
        <v>53</v>
      </c>
      <c r="G53" s="70" t="s">
        <v>2121</v>
      </c>
      <c r="H53" s="67">
        <v>46178.599942129629</v>
      </c>
      <c r="I53" s="75">
        <f t="shared" ca="1" si="7"/>
        <v>2.0687502314831363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61" t="s">
        <v>2486</v>
      </c>
      <c r="S53" s="61" t="s">
        <v>51</v>
      </c>
      <c r="T53" s="61" t="s">
        <v>1898</v>
      </c>
      <c r="U53" s="61" t="s">
        <v>1898</v>
      </c>
      <c r="V53" s="101" t="str">
        <f>VLOOKUP(B53,[2]Overall!$A:$D,4,0)</f>
        <v xml:space="preserve">I-ENG </v>
      </c>
      <c r="W53" s="101" t="str">
        <f>VLOOKUP(B53,[3]Sheet1!$A:$B,2,0)</f>
        <v>Bangambi</v>
      </c>
      <c r="X53" s="88" t="str">
        <f t="shared" si="4"/>
        <v>OST</v>
      </c>
      <c r="Y53" s="88" t="str">
        <f t="shared" ca="1" si="5"/>
        <v>48H&lt;T&lt;72H</v>
      </c>
      <c r="Z53" s="101">
        <f t="shared" si="6"/>
        <v>1</v>
      </c>
      <c r="AA53" s="84" t="s">
        <v>1566</v>
      </c>
      <c r="AB53" s="61" t="s">
        <v>1905</v>
      </c>
      <c r="AC53" s="105" t="s">
        <v>2583</v>
      </c>
      <c r="AD53" s="106" t="s">
        <v>1994</v>
      </c>
      <c r="AE53" s="61"/>
    </row>
    <row r="54" spans="1:31" ht="87" x14ac:dyDescent="0.35">
      <c r="A54" s="61" t="s">
        <v>2554</v>
      </c>
      <c r="B54" s="61" t="s">
        <v>2555</v>
      </c>
      <c r="C54" s="65"/>
      <c r="D54" s="61"/>
      <c r="E54" s="61" t="s">
        <v>2559</v>
      </c>
      <c r="F54" s="70" t="s">
        <v>53</v>
      </c>
      <c r="G54" s="70" t="s">
        <v>2121</v>
      </c>
      <c r="H54" s="67">
        <v>46178.599942129629</v>
      </c>
      <c r="I54" s="75">
        <f t="shared" ca="1" si="7"/>
        <v>2.0687502314831363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61" t="s">
        <v>2486</v>
      </c>
      <c r="S54" s="61" t="s">
        <v>51</v>
      </c>
      <c r="T54" s="61" t="s">
        <v>1898</v>
      </c>
      <c r="U54" s="61" t="s">
        <v>1898</v>
      </c>
      <c r="V54" s="101" t="str">
        <f>VLOOKUP(B54,[2]Overall!$A:$D,4,0)</f>
        <v xml:space="preserve">I-ENG </v>
      </c>
      <c r="W54" s="101" t="str">
        <f>VLOOKUP(B54,[3]Sheet1!$A:$B,2,0)</f>
        <v>Bangambi</v>
      </c>
      <c r="X54" s="88" t="str">
        <f t="shared" si="4"/>
        <v>OST</v>
      </c>
      <c r="Y54" s="88" t="str">
        <f t="shared" ca="1" si="5"/>
        <v>48H&lt;T&lt;72H</v>
      </c>
      <c r="Z54" s="101">
        <f t="shared" si="6"/>
        <v>1</v>
      </c>
      <c r="AA54" s="84" t="s">
        <v>1566</v>
      </c>
      <c r="AB54" s="61" t="s">
        <v>1905</v>
      </c>
      <c r="AC54" s="105" t="s">
        <v>2583</v>
      </c>
      <c r="AD54" s="106" t="s">
        <v>1994</v>
      </c>
      <c r="AE54" s="61"/>
    </row>
    <row r="55" spans="1:31" ht="87" x14ac:dyDescent="0.35">
      <c r="A55" s="61" t="s">
        <v>2554</v>
      </c>
      <c r="B55" s="61" t="s">
        <v>2555</v>
      </c>
      <c r="C55" s="65"/>
      <c r="D55" s="61"/>
      <c r="E55" s="61" t="s">
        <v>2560</v>
      </c>
      <c r="F55" s="70" t="s">
        <v>53</v>
      </c>
      <c r="G55" s="70" t="s">
        <v>2121</v>
      </c>
      <c r="H55" s="67">
        <v>46178.599942129629</v>
      </c>
      <c r="I55" s="75">
        <f t="shared" ca="1" si="7"/>
        <v>2.0687502314831363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61" t="s">
        <v>2486</v>
      </c>
      <c r="S55" s="61" t="s">
        <v>51</v>
      </c>
      <c r="T55" s="61" t="s">
        <v>1898</v>
      </c>
      <c r="U55" s="61" t="s">
        <v>1898</v>
      </c>
      <c r="V55" s="101" t="str">
        <f>VLOOKUP(B55,[2]Overall!$A:$D,4,0)</f>
        <v xml:space="preserve">I-ENG </v>
      </c>
      <c r="W55" s="101" t="str">
        <f>VLOOKUP(B55,[3]Sheet1!$A:$B,2,0)</f>
        <v>Bangambi</v>
      </c>
      <c r="X55" s="88" t="str">
        <f t="shared" si="4"/>
        <v>OST</v>
      </c>
      <c r="Y55" s="88" t="str">
        <f t="shared" ca="1" si="5"/>
        <v>48H&lt;T&lt;72H</v>
      </c>
      <c r="Z55" s="101">
        <f t="shared" si="6"/>
        <v>1</v>
      </c>
      <c r="AA55" s="84" t="s">
        <v>1566</v>
      </c>
      <c r="AB55" s="61" t="s">
        <v>1905</v>
      </c>
      <c r="AC55" s="105" t="s">
        <v>2583</v>
      </c>
      <c r="AD55" s="106" t="s">
        <v>1994</v>
      </c>
      <c r="AE55" s="61"/>
    </row>
    <row r="56" spans="1:31" ht="87" x14ac:dyDescent="0.35">
      <c r="A56" s="61" t="s">
        <v>2554</v>
      </c>
      <c r="B56" s="61" t="s">
        <v>2555</v>
      </c>
      <c r="C56" s="65"/>
      <c r="D56" s="61"/>
      <c r="E56" s="61" t="s">
        <v>2561</v>
      </c>
      <c r="F56" s="70" t="s">
        <v>53</v>
      </c>
      <c r="G56" s="70" t="s">
        <v>2121</v>
      </c>
      <c r="H56" s="67">
        <v>46178.599942129629</v>
      </c>
      <c r="I56" s="75">
        <f t="shared" ca="1" si="7"/>
        <v>2.0687502314831363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61" t="s">
        <v>2486</v>
      </c>
      <c r="S56" s="61" t="s">
        <v>51</v>
      </c>
      <c r="T56" s="61" t="s">
        <v>1898</v>
      </c>
      <c r="U56" s="61" t="s">
        <v>1898</v>
      </c>
      <c r="V56" s="101" t="str">
        <f>VLOOKUP(B56,[2]Overall!$A:$D,4,0)</f>
        <v xml:space="preserve">I-ENG </v>
      </c>
      <c r="W56" s="101" t="str">
        <f>VLOOKUP(B56,[3]Sheet1!$A:$B,2,0)</f>
        <v>Bangambi</v>
      </c>
      <c r="X56" s="88" t="str">
        <f t="shared" si="4"/>
        <v>OST</v>
      </c>
      <c r="Y56" s="88" t="str">
        <f t="shared" ca="1" si="5"/>
        <v>48H&lt;T&lt;72H</v>
      </c>
      <c r="Z56" s="101">
        <f t="shared" si="6"/>
        <v>1</v>
      </c>
      <c r="AA56" s="84" t="s">
        <v>1566</v>
      </c>
      <c r="AB56" s="61" t="s">
        <v>1905</v>
      </c>
      <c r="AC56" s="105" t="s">
        <v>2583</v>
      </c>
      <c r="AD56" s="106" t="s">
        <v>1994</v>
      </c>
      <c r="AE56" s="61"/>
    </row>
    <row r="57" spans="1:31" ht="87" x14ac:dyDescent="0.35">
      <c r="A57" s="61" t="s">
        <v>2554</v>
      </c>
      <c r="B57" s="61" t="s">
        <v>2555</v>
      </c>
      <c r="C57" s="65"/>
      <c r="D57" s="61"/>
      <c r="E57" s="61" t="s">
        <v>2562</v>
      </c>
      <c r="F57" s="70" t="s">
        <v>53</v>
      </c>
      <c r="G57" s="70" t="s">
        <v>2121</v>
      </c>
      <c r="H57" s="67">
        <v>46178.599942129629</v>
      </c>
      <c r="I57" s="75">
        <f t="shared" ca="1" si="7"/>
        <v>2.0687502314831363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61" t="s">
        <v>2486</v>
      </c>
      <c r="S57" s="61" t="s">
        <v>51</v>
      </c>
      <c r="T57" s="61" t="s">
        <v>1898</v>
      </c>
      <c r="U57" s="61" t="s">
        <v>1898</v>
      </c>
      <c r="V57" s="101" t="str">
        <f>VLOOKUP(B57,[2]Overall!$A:$D,4,0)</f>
        <v xml:space="preserve">I-ENG </v>
      </c>
      <c r="W57" s="101" t="str">
        <f>VLOOKUP(B57,[3]Sheet1!$A:$B,2,0)</f>
        <v>Bangambi</v>
      </c>
      <c r="X57" s="88" t="str">
        <f t="shared" si="4"/>
        <v>OST</v>
      </c>
      <c r="Y57" s="88" t="str">
        <f t="shared" ca="1" si="5"/>
        <v>48H&lt;T&lt;72H</v>
      </c>
      <c r="Z57" s="101">
        <f t="shared" si="6"/>
        <v>1</v>
      </c>
      <c r="AA57" s="84" t="s">
        <v>1566</v>
      </c>
      <c r="AB57" s="61" t="s">
        <v>1905</v>
      </c>
      <c r="AC57" s="105" t="s">
        <v>2583</v>
      </c>
      <c r="AD57" s="106" t="s">
        <v>1994</v>
      </c>
      <c r="AE57" s="61"/>
    </row>
    <row r="58" spans="1:31" ht="87" x14ac:dyDescent="0.35">
      <c r="A58" s="61" t="s">
        <v>2554</v>
      </c>
      <c r="B58" s="61" t="s">
        <v>2555</v>
      </c>
      <c r="C58" s="65"/>
      <c r="D58" s="61"/>
      <c r="E58" s="61" t="s">
        <v>2563</v>
      </c>
      <c r="F58" s="70" t="s">
        <v>53</v>
      </c>
      <c r="G58" s="70" t="s">
        <v>2121</v>
      </c>
      <c r="H58" s="67">
        <v>46178.599942129629</v>
      </c>
      <c r="I58" s="75">
        <f t="shared" ca="1" si="7"/>
        <v>2.0687502314831363</v>
      </c>
      <c r="J58" s="61"/>
      <c r="K58" s="61"/>
      <c r="L58" s="61"/>
      <c r="M58" s="61" t="s">
        <v>41</v>
      </c>
      <c r="N58" s="61" t="s">
        <v>42</v>
      </c>
      <c r="O58" s="61"/>
      <c r="P58" s="61"/>
      <c r="Q58" s="61"/>
      <c r="R58" s="61" t="s">
        <v>2486</v>
      </c>
      <c r="S58" s="61" t="s">
        <v>51</v>
      </c>
      <c r="T58" s="61" t="s">
        <v>1898</v>
      </c>
      <c r="U58" s="61" t="s">
        <v>1898</v>
      </c>
      <c r="V58" s="101" t="str">
        <f>VLOOKUP(B58,[2]Overall!$A:$D,4,0)</f>
        <v xml:space="preserve">I-ENG </v>
      </c>
      <c r="W58" s="101" t="str">
        <f>VLOOKUP(B58,[3]Sheet1!$A:$B,2,0)</f>
        <v>Bangambi</v>
      </c>
      <c r="X58" s="88" t="str">
        <f t="shared" si="4"/>
        <v>OST</v>
      </c>
      <c r="Y58" s="88" t="str">
        <f t="shared" ca="1" si="5"/>
        <v>48H&lt;T&lt;72H</v>
      </c>
      <c r="Z58" s="101">
        <f t="shared" si="6"/>
        <v>1</v>
      </c>
      <c r="AA58" s="84" t="s">
        <v>1566</v>
      </c>
      <c r="AB58" s="61" t="s">
        <v>1905</v>
      </c>
      <c r="AC58" s="105" t="s">
        <v>2583</v>
      </c>
      <c r="AD58" s="106" t="s">
        <v>1994</v>
      </c>
      <c r="AE58" s="61"/>
    </row>
    <row r="59" spans="1:31" ht="87" x14ac:dyDescent="0.35">
      <c r="A59" s="61" t="s">
        <v>2554</v>
      </c>
      <c r="B59" s="61" t="s">
        <v>2555</v>
      </c>
      <c r="C59" s="65"/>
      <c r="D59" s="61"/>
      <c r="E59" s="61" t="s">
        <v>2564</v>
      </c>
      <c r="F59" s="70" t="s">
        <v>53</v>
      </c>
      <c r="G59" s="70" t="s">
        <v>2121</v>
      </c>
      <c r="H59" s="67">
        <v>46178.599942129629</v>
      </c>
      <c r="I59" s="75">
        <f t="shared" ca="1" si="7"/>
        <v>2.0687502314831363</v>
      </c>
      <c r="J59" s="61"/>
      <c r="K59" s="61"/>
      <c r="L59" s="61"/>
      <c r="M59" s="61" t="s">
        <v>41</v>
      </c>
      <c r="N59" s="61" t="s">
        <v>42</v>
      </c>
      <c r="O59" s="61"/>
      <c r="P59" s="61"/>
      <c r="Q59" s="61"/>
      <c r="R59" s="61" t="s">
        <v>2486</v>
      </c>
      <c r="S59" s="61" t="s">
        <v>51</v>
      </c>
      <c r="T59" s="61" t="s">
        <v>1898</v>
      </c>
      <c r="U59" s="61" t="s">
        <v>1898</v>
      </c>
      <c r="V59" s="101" t="str">
        <f>VLOOKUP(B59,[2]Overall!$A:$D,4,0)</f>
        <v xml:space="preserve">I-ENG </v>
      </c>
      <c r="W59" s="101" t="str">
        <f>VLOOKUP(B59,[3]Sheet1!$A:$B,2,0)</f>
        <v>Bangambi</v>
      </c>
      <c r="X59" s="88" t="str">
        <f t="shared" si="4"/>
        <v>OST</v>
      </c>
      <c r="Y59" s="88" t="str">
        <f t="shared" ca="1" si="5"/>
        <v>48H&lt;T&lt;72H</v>
      </c>
      <c r="Z59" s="101">
        <f t="shared" si="6"/>
        <v>1</v>
      </c>
      <c r="AA59" s="84" t="s">
        <v>1566</v>
      </c>
      <c r="AB59" s="61" t="s">
        <v>1905</v>
      </c>
      <c r="AC59" s="105" t="s">
        <v>2583</v>
      </c>
      <c r="AD59" s="106" t="s">
        <v>1994</v>
      </c>
      <c r="AE59" s="61"/>
    </row>
    <row r="60" spans="1:31" ht="116" x14ac:dyDescent="0.35">
      <c r="A60" s="63" t="s">
        <v>2565</v>
      </c>
      <c r="B60" s="63" t="s">
        <v>2566</v>
      </c>
      <c r="C60" s="68"/>
      <c r="D60" s="63"/>
      <c r="E60" s="63" t="s">
        <v>2567</v>
      </c>
      <c r="F60" s="71" t="s">
        <v>53</v>
      </c>
      <c r="G60" s="71" t="s">
        <v>2121</v>
      </c>
      <c r="H60" s="69">
        <v>46178.624236111114</v>
      </c>
      <c r="I60" s="77">
        <f t="shared" ca="1" si="7"/>
        <v>2.0444562499978929</v>
      </c>
      <c r="J60" s="63"/>
      <c r="K60" s="63"/>
      <c r="L60" s="63"/>
      <c r="M60" s="63" t="s">
        <v>41</v>
      </c>
      <c r="N60" s="63" t="s">
        <v>42</v>
      </c>
      <c r="O60" s="63"/>
      <c r="P60" s="85" t="s">
        <v>1906</v>
      </c>
      <c r="Q60" s="63"/>
      <c r="R60" s="85" t="s">
        <v>2620</v>
      </c>
      <c r="S60" s="63" t="s">
        <v>51</v>
      </c>
      <c r="T60" s="63" t="s">
        <v>1898</v>
      </c>
      <c r="U60" s="63" t="s">
        <v>1898</v>
      </c>
      <c r="V60" s="107" t="str">
        <f>VLOOKUP(B60,[2]Overall!$A:$D,4,0)</f>
        <v>TELEINFRA NORD</v>
      </c>
      <c r="W60" s="107" t="str">
        <f>VLOOKUP(B60,[3]Sheet1!$A:$B,2,0)</f>
        <v>Boussa</v>
      </c>
      <c r="X60" s="89" t="str">
        <f t="shared" ref="X60:X75" si="8">LEFT(B60,3)</f>
        <v>NRD</v>
      </c>
      <c r="Y60" s="89" t="str">
        <f t="shared" ref="Y60:Y75" ca="1" si="9">IF(I60 &lt; 1/24, "T&lt;1H", IF(AND(I60&lt;2/24, I60&gt;1/24), "1H&lt;T&lt;2H", IF(AND(I60&lt;4/24, I60&gt;2/24), "2H&lt;T&lt;4H", IF(AND(I60&lt;8/24, I60&gt;4/24), "4H&lt;T&lt;8H", IF(AND(I60&lt;16/24, I60&gt;8/24), "8H&lt;T&lt;16H",IF(AND(I60&lt;24/24, I60&gt;16/24),"16H&lt;T&lt;24H", IF(AND(I60&lt;48/24, I60&gt;24/24),"24H&lt;T&lt;48H",IF(AND(I60&lt;72/24, I60&gt;24/24),"48H&lt;T&lt;72H", "T&gt;72H"))))))))</f>
        <v>48H&lt;T&lt;72H</v>
      </c>
      <c r="Z60" s="107">
        <f t="shared" ref="Z60:Z75" si="10">IF(OR(E60="", E60="affected_cells=unknown"), "", LEN(E60)-LEN(SUBSTITUTE(E60, ",", "")) + LEN(E60)-LEN(SUBSTITUTE(E60, ";", "")) + 1)</f>
        <v>1</v>
      </c>
      <c r="AA60" s="85" t="s">
        <v>77</v>
      </c>
      <c r="AB60" s="63" t="s">
        <v>1905</v>
      </c>
      <c r="AC60" s="108" t="s">
        <v>2583</v>
      </c>
      <c r="AD60" s="109" t="s">
        <v>1994</v>
      </c>
      <c r="AE60" s="63"/>
    </row>
    <row r="61" spans="1:31" ht="116" x14ac:dyDescent="0.35">
      <c r="A61" s="63" t="s">
        <v>2565</v>
      </c>
      <c r="B61" s="63" t="s">
        <v>2566</v>
      </c>
      <c r="C61" s="68"/>
      <c r="D61" s="63"/>
      <c r="E61" s="63" t="s">
        <v>2568</v>
      </c>
      <c r="F61" s="71" t="s">
        <v>53</v>
      </c>
      <c r="G61" s="71" t="s">
        <v>2121</v>
      </c>
      <c r="H61" s="69">
        <v>46178.624236111114</v>
      </c>
      <c r="I61" s="77">
        <f t="shared" ca="1" si="7"/>
        <v>2.0444562499978929</v>
      </c>
      <c r="J61" s="63"/>
      <c r="K61" s="63"/>
      <c r="L61" s="63"/>
      <c r="M61" s="63" t="s">
        <v>41</v>
      </c>
      <c r="N61" s="63" t="s">
        <v>42</v>
      </c>
      <c r="O61" s="63"/>
      <c r="P61" s="85" t="s">
        <v>1906</v>
      </c>
      <c r="Q61" s="63"/>
      <c r="R61" s="85" t="s">
        <v>2620</v>
      </c>
      <c r="S61" s="63" t="s">
        <v>51</v>
      </c>
      <c r="T61" s="63" t="s">
        <v>1898</v>
      </c>
      <c r="U61" s="63" t="s">
        <v>1898</v>
      </c>
      <c r="V61" s="107" t="str">
        <f>VLOOKUP(B61,[2]Overall!$A:$D,4,0)</f>
        <v>TELEINFRA NORD</v>
      </c>
      <c r="W61" s="107" t="str">
        <f>VLOOKUP(B61,[3]Sheet1!$A:$B,2,0)</f>
        <v>Boussa</v>
      </c>
      <c r="X61" s="89" t="str">
        <f t="shared" si="8"/>
        <v>NRD</v>
      </c>
      <c r="Y61" s="89" t="str">
        <f t="shared" ca="1" si="9"/>
        <v>48H&lt;T&lt;72H</v>
      </c>
      <c r="Z61" s="107">
        <f t="shared" si="10"/>
        <v>1</v>
      </c>
      <c r="AA61" s="85" t="s">
        <v>77</v>
      </c>
      <c r="AB61" s="63" t="s">
        <v>1905</v>
      </c>
      <c r="AC61" s="108" t="s">
        <v>2583</v>
      </c>
      <c r="AD61" s="109" t="s">
        <v>1994</v>
      </c>
      <c r="AE61" s="63"/>
    </row>
    <row r="62" spans="1:31" ht="116" x14ac:dyDescent="0.35">
      <c r="A62" s="63" t="s">
        <v>2565</v>
      </c>
      <c r="B62" s="63" t="s">
        <v>2566</v>
      </c>
      <c r="C62" s="68"/>
      <c r="D62" s="63"/>
      <c r="E62" s="63" t="s">
        <v>2569</v>
      </c>
      <c r="F62" s="71" t="s">
        <v>53</v>
      </c>
      <c r="G62" s="71" t="s">
        <v>2121</v>
      </c>
      <c r="H62" s="69">
        <v>46178.624236111114</v>
      </c>
      <c r="I62" s="77">
        <f t="shared" ca="1" si="7"/>
        <v>2.0444562499978929</v>
      </c>
      <c r="J62" s="63"/>
      <c r="K62" s="63"/>
      <c r="L62" s="63"/>
      <c r="M62" s="63" t="s">
        <v>41</v>
      </c>
      <c r="N62" s="63" t="s">
        <v>42</v>
      </c>
      <c r="O62" s="63"/>
      <c r="P62" s="85" t="s">
        <v>1906</v>
      </c>
      <c r="Q62" s="63"/>
      <c r="R62" s="85" t="s">
        <v>2620</v>
      </c>
      <c r="S62" s="63" t="s">
        <v>51</v>
      </c>
      <c r="T62" s="63" t="s">
        <v>1898</v>
      </c>
      <c r="U62" s="63" t="s">
        <v>1898</v>
      </c>
      <c r="V62" s="107" t="str">
        <f>VLOOKUP(B62,[2]Overall!$A:$D,4,0)</f>
        <v>TELEINFRA NORD</v>
      </c>
      <c r="W62" s="107" t="str">
        <f>VLOOKUP(B62,[3]Sheet1!$A:$B,2,0)</f>
        <v>Boussa</v>
      </c>
      <c r="X62" s="89" t="str">
        <f t="shared" si="8"/>
        <v>NRD</v>
      </c>
      <c r="Y62" s="89" t="str">
        <f t="shared" ca="1" si="9"/>
        <v>48H&lt;T&lt;72H</v>
      </c>
      <c r="Z62" s="107">
        <f t="shared" si="10"/>
        <v>1</v>
      </c>
      <c r="AA62" s="85" t="s">
        <v>77</v>
      </c>
      <c r="AB62" s="63" t="s">
        <v>1905</v>
      </c>
      <c r="AC62" s="108" t="s">
        <v>2583</v>
      </c>
      <c r="AD62" s="109" t="s">
        <v>1994</v>
      </c>
      <c r="AE62" s="63"/>
    </row>
    <row r="63" spans="1:31" ht="116" x14ac:dyDescent="0.35">
      <c r="A63" s="63" t="s">
        <v>2565</v>
      </c>
      <c r="B63" s="63" t="s">
        <v>2566</v>
      </c>
      <c r="C63" s="68"/>
      <c r="D63" s="63"/>
      <c r="E63" s="63" t="s">
        <v>2570</v>
      </c>
      <c r="F63" s="71" t="s">
        <v>53</v>
      </c>
      <c r="G63" s="71" t="s">
        <v>2121</v>
      </c>
      <c r="H63" s="69">
        <v>46178.624236111114</v>
      </c>
      <c r="I63" s="77">
        <f t="shared" ca="1" si="7"/>
        <v>2.0444562499978929</v>
      </c>
      <c r="J63" s="63"/>
      <c r="K63" s="63"/>
      <c r="L63" s="63"/>
      <c r="M63" s="63" t="s">
        <v>41</v>
      </c>
      <c r="N63" s="63" t="s">
        <v>42</v>
      </c>
      <c r="O63" s="63"/>
      <c r="P63" s="85" t="s">
        <v>1906</v>
      </c>
      <c r="Q63" s="63"/>
      <c r="R63" s="85" t="s">
        <v>2620</v>
      </c>
      <c r="S63" s="63" t="s">
        <v>51</v>
      </c>
      <c r="T63" s="63" t="s">
        <v>1898</v>
      </c>
      <c r="U63" s="63" t="s">
        <v>1898</v>
      </c>
      <c r="V63" s="107" t="str">
        <f>VLOOKUP(B63,[2]Overall!$A:$D,4,0)</f>
        <v>TELEINFRA NORD</v>
      </c>
      <c r="W63" s="107" t="str">
        <f>VLOOKUP(B63,[3]Sheet1!$A:$B,2,0)</f>
        <v>Boussa</v>
      </c>
      <c r="X63" s="89" t="str">
        <f t="shared" si="8"/>
        <v>NRD</v>
      </c>
      <c r="Y63" s="89" t="str">
        <f t="shared" ca="1" si="9"/>
        <v>48H&lt;T&lt;72H</v>
      </c>
      <c r="Z63" s="107">
        <f t="shared" si="10"/>
        <v>1</v>
      </c>
      <c r="AA63" s="85" t="s">
        <v>77</v>
      </c>
      <c r="AB63" s="63" t="s">
        <v>1905</v>
      </c>
      <c r="AC63" s="108" t="s">
        <v>2583</v>
      </c>
      <c r="AD63" s="109" t="s">
        <v>1994</v>
      </c>
      <c r="AE63" s="63"/>
    </row>
    <row r="64" spans="1:31" ht="116" x14ac:dyDescent="0.35">
      <c r="A64" s="63" t="s">
        <v>2565</v>
      </c>
      <c r="B64" s="63" t="s">
        <v>2566</v>
      </c>
      <c r="C64" s="68"/>
      <c r="D64" s="63"/>
      <c r="E64" s="63" t="s">
        <v>2571</v>
      </c>
      <c r="F64" s="71" t="s">
        <v>53</v>
      </c>
      <c r="G64" s="71" t="s">
        <v>2121</v>
      </c>
      <c r="H64" s="69">
        <v>46178.624236111114</v>
      </c>
      <c r="I64" s="77">
        <f t="shared" ca="1" si="7"/>
        <v>2.0444562499978929</v>
      </c>
      <c r="J64" s="63"/>
      <c r="K64" s="63"/>
      <c r="L64" s="63"/>
      <c r="M64" s="63" t="s">
        <v>41</v>
      </c>
      <c r="N64" s="63" t="s">
        <v>42</v>
      </c>
      <c r="O64" s="63"/>
      <c r="P64" s="85" t="s">
        <v>1906</v>
      </c>
      <c r="Q64" s="63"/>
      <c r="R64" s="85" t="s">
        <v>2620</v>
      </c>
      <c r="S64" s="63" t="s">
        <v>51</v>
      </c>
      <c r="T64" s="63" t="s">
        <v>1898</v>
      </c>
      <c r="U64" s="63" t="s">
        <v>1898</v>
      </c>
      <c r="V64" s="107" t="str">
        <f>VLOOKUP(B64,[2]Overall!$A:$D,4,0)</f>
        <v>TELEINFRA NORD</v>
      </c>
      <c r="W64" s="107" t="str">
        <f>VLOOKUP(B64,[3]Sheet1!$A:$B,2,0)</f>
        <v>Boussa</v>
      </c>
      <c r="X64" s="89" t="str">
        <f t="shared" si="8"/>
        <v>NRD</v>
      </c>
      <c r="Y64" s="89" t="str">
        <f t="shared" ca="1" si="9"/>
        <v>48H&lt;T&lt;72H</v>
      </c>
      <c r="Z64" s="107">
        <f t="shared" si="10"/>
        <v>1</v>
      </c>
      <c r="AA64" s="85" t="s">
        <v>77</v>
      </c>
      <c r="AB64" s="63" t="s">
        <v>1905</v>
      </c>
      <c r="AC64" s="108" t="s">
        <v>2583</v>
      </c>
      <c r="AD64" s="109" t="s">
        <v>1994</v>
      </c>
      <c r="AE64" s="63"/>
    </row>
    <row r="65" spans="1:31" ht="116" x14ac:dyDescent="0.35">
      <c r="A65" s="63" t="s">
        <v>2565</v>
      </c>
      <c r="B65" s="63" t="s">
        <v>2566</v>
      </c>
      <c r="C65" s="68"/>
      <c r="D65" s="63"/>
      <c r="E65" s="63" t="s">
        <v>2572</v>
      </c>
      <c r="F65" s="71" t="s">
        <v>53</v>
      </c>
      <c r="G65" s="71" t="s">
        <v>2121</v>
      </c>
      <c r="H65" s="69">
        <v>46178.624236111114</v>
      </c>
      <c r="I65" s="77">
        <f t="shared" ca="1" si="7"/>
        <v>2.0444562499978929</v>
      </c>
      <c r="J65" s="63"/>
      <c r="K65" s="63"/>
      <c r="L65" s="63"/>
      <c r="M65" s="63" t="s">
        <v>41</v>
      </c>
      <c r="N65" s="63" t="s">
        <v>42</v>
      </c>
      <c r="O65" s="63"/>
      <c r="P65" s="85" t="s">
        <v>1906</v>
      </c>
      <c r="Q65" s="63"/>
      <c r="R65" s="85" t="s">
        <v>2620</v>
      </c>
      <c r="S65" s="63" t="s">
        <v>51</v>
      </c>
      <c r="T65" s="63" t="s">
        <v>1898</v>
      </c>
      <c r="U65" s="63" t="s">
        <v>1898</v>
      </c>
      <c r="V65" s="107" t="str">
        <f>VLOOKUP(B65,[2]Overall!$A:$D,4,0)</f>
        <v>TELEINFRA NORD</v>
      </c>
      <c r="W65" s="107" t="str">
        <f>VLOOKUP(B65,[3]Sheet1!$A:$B,2,0)</f>
        <v>Boussa</v>
      </c>
      <c r="X65" s="89" t="str">
        <f t="shared" si="8"/>
        <v>NRD</v>
      </c>
      <c r="Y65" s="89" t="str">
        <f t="shared" ca="1" si="9"/>
        <v>48H&lt;T&lt;72H</v>
      </c>
      <c r="Z65" s="107">
        <f t="shared" si="10"/>
        <v>1</v>
      </c>
      <c r="AA65" s="85" t="s">
        <v>77</v>
      </c>
      <c r="AB65" s="63" t="s">
        <v>1905</v>
      </c>
      <c r="AC65" s="108" t="s">
        <v>2583</v>
      </c>
      <c r="AD65" s="109" t="s">
        <v>1994</v>
      </c>
      <c r="AE65" s="63"/>
    </row>
    <row r="66" spans="1:31" ht="116" x14ac:dyDescent="0.35">
      <c r="A66" s="63" t="s">
        <v>2565</v>
      </c>
      <c r="B66" s="63" t="s">
        <v>2566</v>
      </c>
      <c r="C66" s="68"/>
      <c r="D66" s="63"/>
      <c r="E66" s="63" t="s">
        <v>2573</v>
      </c>
      <c r="F66" s="71" t="s">
        <v>53</v>
      </c>
      <c r="G66" s="71" t="s">
        <v>2121</v>
      </c>
      <c r="H66" s="69">
        <v>46178.624236111114</v>
      </c>
      <c r="I66" s="77">
        <f t="shared" ca="1" si="7"/>
        <v>2.0444562499978929</v>
      </c>
      <c r="J66" s="63"/>
      <c r="K66" s="63"/>
      <c r="L66" s="63"/>
      <c r="M66" s="63" t="s">
        <v>41</v>
      </c>
      <c r="N66" s="63" t="s">
        <v>42</v>
      </c>
      <c r="O66" s="63"/>
      <c r="P66" s="85" t="s">
        <v>1906</v>
      </c>
      <c r="Q66" s="63"/>
      <c r="R66" s="85" t="s">
        <v>2620</v>
      </c>
      <c r="S66" s="63" t="s">
        <v>51</v>
      </c>
      <c r="T66" s="63" t="s">
        <v>1898</v>
      </c>
      <c r="U66" s="63" t="s">
        <v>1898</v>
      </c>
      <c r="V66" s="107" t="str">
        <f>VLOOKUP(B66,[2]Overall!$A:$D,4,0)</f>
        <v>TELEINFRA NORD</v>
      </c>
      <c r="W66" s="107" t="str">
        <f>VLOOKUP(B66,[3]Sheet1!$A:$B,2,0)</f>
        <v>Boussa</v>
      </c>
      <c r="X66" s="89" t="str">
        <f t="shared" si="8"/>
        <v>NRD</v>
      </c>
      <c r="Y66" s="89" t="str">
        <f t="shared" ca="1" si="9"/>
        <v>48H&lt;T&lt;72H</v>
      </c>
      <c r="Z66" s="107">
        <f t="shared" si="10"/>
        <v>1</v>
      </c>
      <c r="AA66" s="85" t="s">
        <v>77</v>
      </c>
      <c r="AB66" s="63" t="s">
        <v>1905</v>
      </c>
      <c r="AC66" s="108" t="s">
        <v>2583</v>
      </c>
      <c r="AD66" s="109" t="s">
        <v>1994</v>
      </c>
      <c r="AE66" s="63"/>
    </row>
    <row r="67" spans="1:31" ht="116" x14ac:dyDescent="0.35">
      <c r="A67" s="63" t="s">
        <v>2565</v>
      </c>
      <c r="B67" s="63" t="s">
        <v>2566</v>
      </c>
      <c r="C67" s="68"/>
      <c r="D67" s="63"/>
      <c r="E67" s="63" t="s">
        <v>2574</v>
      </c>
      <c r="F67" s="71" t="s">
        <v>53</v>
      </c>
      <c r="G67" s="71" t="s">
        <v>2121</v>
      </c>
      <c r="H67" s="69">
        <v>46178.624224537038</v>
      </c>
      <c r="I67" s="77">
        <f t="shared" ca="1" si="7"/>
        <v>2.0444678240746725</v>
      </c>
      <c r="J67" s="63"/>
      <c r="K67" s="63"/>
      <c r="L67" s="63"/>
      <c r="M67" s="63" t="s">
        <v>41</v>
      </c>
      <c r="N67" s="63" t="s">
        <v>42</v>
      </c>
      <c r="O67" s="63"/>
      <c r="P67" s="85" t="s">
        <v>1906</v>
      </c>
      <c r="Q67" s="63"/>
      <c r="R67" s="85" t="s">
        <v>2620</v>
      </c>
      <c r="S67" s="63" t="s">
        <v>51</v>
      </c>
      <c r="T67" s="63" t="s">
        <v>1898</v>
      </c>
      <c r="U67" s="63" t="s">
        <v>1898</v>
      </c>
      <c r="V67" s="107" t="str">
        <f>VLOOKUP(B67,[2]Overall!$A:$D,4,0)</f>
        <v>TELEINFRA NORD</v>
      </c>
      <c r="W67" s="107" t="str">
        <f>VLOOKUP(B67,[3]Sheet1!$A:$B,2,0)</f>
        <v>Boussa</v>
      </c>
      <c r="X67" s="89" t="str">
        <f t="shared" si="8"/>
        <v>NRD</v>
      </c>
      <c r="Y67" s="89" t="str">
        <f t="shared" ca="1" si="9"/>
        <v>48H&lt;T&lt;72H</v>
      </c>
      <c r="Z67" s="107">
        <f t="shared" si="10"/>
        <v>1</v>
      </c>
      <c r="AA67" s="85" t="s">
        <v>77</v>
      </c>
      <c r="AB67" s="63" t="s">
        <v>1905</v>
      </c>
      <c r="AC67" s="108" t="s">
        <v>2583</v>
      </c>
      <c r="AD67" s="109" t="s">
        <v>1994</v>
      </c>
      <c r="AE67" s="63"/>
    </row>
    <row r="68" spans="1:31" ht="116" x14ac:dyDescent="0.35">
      <c r="A68" s="63" t="s">
        <v>2565</v>
      </c>
      <c r="B68" s="63" t="s">
        <v>2566</v>
      </c>
      <c r="C68" s="68"/>
      <c r="D68" s="63"/>
      <c r="E68" s="63" t="s">
        <v>2575</v>
      </c>
      <c r="F68" s="71" t="s">
        <v>53</v>
      </c>
      <c r="G68" s="71" t="s">
        <v>2121</v>
      </c>
      <c r="H68" s="69">
        <v>46178.624236111114</v>
      </c>
      <c r="I68" s="77">
        <f t="shared" ca="1" si="7"/>
        <v>2.0444562499978929</v>
      </c>
      <c r="J68" s="63"/>
      <c r="K68" s="63"/>
      <c r="L68" s="63"/>
      <c r="M68" s="63" t="s">
        <v>41</v>
      </c>
      <c r="N68" s="63" t="s">
        <v>42</v>
      </c>
      <c r="O68" s="63"/>
      <c r="P68" s="85" t="s">
        <v>1906</v>
      </c>
      <c r="Q68" s="63"/>
      <c r="R68" s="85" t="s">
        <v>2620</v>
      </c>
      <c r="S68" s="63" t="s">
        <v>51</v>
      </c>
      <c r="T68" s="63" t="s">
        <v>1898</v>
      </c>
      <c r="U68" s="63" t="s">
        <v>1898</v>
      </c>
      <c r="V68" s="107" t="str">
        <f>VLOOKUP(B68,[2]Overall!$A:$D,4,0)</f>
        <v>TELEINFRA NORD</v>
      </c>
      <c r="W68" s="107" t="str">
        <f>VLOOKUP(B68,[3]Sheet1!$A:$B,2,0)</f>
        <v>Boussa</v>
      </c>
      <c r="X68" s="89" t="str">
        <f t="shared" si="8"/>
        <v>NRD</v>
      </c>
      <c r="Y68" s="89" t="str">
        <f t="shared" ca="1" si="9"/>
        <v>48H&lt;T&lt;72H</v>
      </c>
      <c r="Z68" s="107">
        <f t="shared" si="10"/>
        <v>1</v>
      </c>
      <c r="AA68" s="85" t="s">
        <v>77</v>
      </c>
      <c r="AB68" s="63" t="s">
        <v>1905</v>
      </c>
      <c r="AC68" s="108" t="s">
        <v>2583</v>
      </c>
      <c r="AD68" s="109" t="s">
        <v>1994</v>
      </c>
      <c r="AE68" s="63"/>
    </row>
    <row r="69" spans="1:31" ht="58" x14ac:dyDescent="0.35">
      <c r="A69" s="61" t="s">
        <v>2520</v>
      </c>
      <c r="B69" s="61" t="s">
        <v>2521</v>
      </c>
      <c r="C69" s="65"/>
      <c r="D69" s="61"/>
      <c r="E69" s="61" t="s">
        <v>2522</v>
      </c>
      <c r="F69" s="70" t="s">
        <v>53</v>
      </c>
      <c r="G69" s="70" t="s">
        <v>2121</v>
      </c>
      <c r="H69" s="67">
        <v>46178.632245370369</v>
      </c>
      <c r="I69" s="75">
        <f t="shared" ca="1" si="7"/>
        <v>2.0364469907435705</v>
      </c>
      <c r="J69" s="61"/>
      <c r="K69" s="61"/>
      <c r="L69" s="61"/>
      <c r="M69" s="61" t="s">
        <v>33</v>
      </c>
      <c r="N69" s="61" t="s">
        <v>2523</v>
      </c>
      <c r="O69" s="61"/>
      <c r="P69" s="61"/>
      <c r="Q69" s="61"/>
      <c r="R69" s="61" t="s">
        <v>2587</v>
      </c>
      <c r="S69" s="61" t="s">
        <v>32</v>
      </c>
      <c r="T69" s="61" t="s">
        <v>1898</v>
      </c>
      <c r="U69" s="61" t="s">
        <v>1898</v>
      </c>
      <c r="V69" s="101" t="str">
        <f>VLOOKUP(B69,[2]Overall!$A:$D,4,0)</f>
        <v xml:space="preserve">I-ENG </v>
      </c>
      <c r="W69" s="101" t="str">
        <f>VLOOKUP(B69,[3]Sheet1!$A:$B,2,0)</f>
        <v>Nyanon</v>
      </c>
      <c r="X69" s="88" t="str">
        <f t="shared" si="8"/>
        <v>LIT</v>
      </c>
      <c r="Y69" s="88" t="str">
        <f t="shared" ca="1" si="9"/>
        <v>48H&lt;T&lt;72H</v>
      </c>
      <c r="Z69" s="101">
        <f t="shared" si="10"/>
        <v>2</v>
      </c>
      <c r="AA69" s="84" t="s">
        <v>1566</v>
      </c>
      <c r="AB69" s="61" t="s">
        <v>1904</v>
      </c>
      <c r="AC69" s="105" t="s">
        <v>2583</v>
      </c>
      <c r="AD69" s="106" t="s">
        <v>1994</v>
      </c>
      <c r="AE69" s="61"/>
    </row>
    <row r="70" spans="1:31" ht="72.5" x14ac:dyDescent="0.35">
      <c r="A70" s="61" t="s">
        <v>2576</v>
      </c>
      <c r="B70" s="61" t="s">
        <v>2577</v>
      </c>
      <c r="C70" s="65"/>
      <c r="D70" s="61"/>
      <c r="E70" s="61" t="s">
        <v>1636</v>
      </c>
      <c r="F70" s="70" t="s">
        <v>53</v>
      </c>
      <c r="G70" s="70" t="s">
        <v>2121</v>
      </c>
      <c r="H70" s="67">
        <v>46178.655416666668</v>
      </c>
      <c r="I70" s="75">
        <f t="shared" ca="1" si="7"/>
        <v>2.0132756944440189</v>
      </c>
      <c r="J70" s="61"/>
      <c r="K70" s="61"/>
      <c r="L70" s="61"/>
      <c r="M70" s="61" t="s">
        <v>41</v>
      </c>
      <c r="N70" s="61" t="s">
        <v>2348</v>
      </c>
      <c r="O70" s="61"/>
      <c r="P70" s="61"/>
      <c r="Q70" s="61"/>
      <c r="R70" s="61" t="s">
        <v>2486</v>
      </c>
      <c r="S70" s="61" t="s">
        <v>51</v>
      </c>
      <c r="T70" s="61" t="s">
        <v>1898</v>
      </c>
      <c r="U70" s="61" t="s">
        <v>1898</v>
      </c>
      <c r="V70" s="101" t="str">
        <f>VLOOKUP(B70,[2]Overall!$A:$D,4,0)</f>
        <v>TELEINFRA NORD</v>
      </c>
      <c r="W70" s="101" t="str">
        <f>VLOOKUP(B70,[3]Sheet1!$A:$B,2,0)</f>
        <v>Tchevi</v>
      </c>
      <c r="X70" s="88" t="str">
        <f t="shared" si="8"/>
        <v>EXN</v>
      </c>
      <c r="Y70" s="88" t="str">
        <f t="shared" ca="1" si="9"/>
        <v>48H&lt;T&lt;72H</v>
      </c>
      <c r="Z70" s="101">
        <f t="shared" si="10"/>
        <v>1</v>
      </c>
      <c r="AA70" s="84" t="s">
        <v>1566</v>
      </c>
      <c r="AB70" s="61" t="s">
        <v>1905</v>
      </c>
      <c r="AC70" s="105" t="s">
        <v>2583</v>
      </c>
      <c r="AD70" s="106" t="s">
        <v>1994</v>
      </c>
      <c r="AE70" s="61"/>
    </row>
    <row r="71" spans="1:31" ht="72.5" x14ac:dyDescent="0.35">
      <c r="A71" s="61" t="s">
        <v>2576</v>
      </c>
      <c r="B71" s="61" t="s">
        <v>2577</v>
      </c>
      <c r="C71" s="65"/>
      <c r="D71" s="61"/>
      <c r="E71" s="61" t="s">
        <v>1641</v>
      </c>
      <c r="F71" s="70" t="s">
        <v>53</v>
      </c>
      <c r="G71" s="70" t="s">
        <v>2121</v>
      </c>
      <c r="H71" s="67">
        <v>46178.655416666668</v>
      </c>
      <c r="I71" s="75">
        <f t="shared" ca="1" si="7"/>
        <v>2.0132756944440189</v>
      </c>
      <c r="J71" s="61"/>
      <c r="K71" s="61"/>
      <c r="L71" s="61"/>
      <c r="M71" s="61" t="s">
        <v>41</v>
      </c>
      <c r="N71" s="61" t="s">
        <v>2349</v>
      </c>
      <c r="O71" s="61"/>
      <c r="P71" s="61"/>
      <c r="Q71" s="61"/>
      <c r="R71" s="61" t="s">
        <v>2486</v>
      </c>
      <c r="S71" s="61" t="s">
        <v>51</v>
      </c>
      <c r="T71" s="61" t="s">
        <v>1898</v>
      </c>
      <c r="U71" s="61" t="s">
        <v>1898</v>
      </c>
      <c r="V71" s="101" t="str">
        <f>VLOOKUP(B71,[2]Overall!$A:$D,4,0)</f>
        <v>TELEINFRA NORD</v>
      </c>
      <c r="W71" s="101" t="str">
        <f>VLOOKUP(B71,[3]Sheet1!$A:$B,2,0)</f>
        <v>Tchevi</v>
      </c>
      <c r="X71" s="88" t="str">
        <f t="shared" si="8"/>
        <v>EXN</v>
      </c>
      <c r="Y71" s="88" t="str">
        <f t="shared" ca="1" si="9"/>
        <v>48H&lt;T&lt;72H</v>
      </c>
      <c r="Z71" s="101">
        <f t="shared" si="10"/>
        <v>1</v>
      </c>
      <c r="AA71" s="84" t="s">
        <v>1566</v>
      </c>
      <c r="AB71" s="61" t="s">
        <v>1905</v>
      </c>
      <c r="AC71" s="105" t="s">
        <v>2583</v>
      </c>
      <c r="AD71" s="106" t="s">
        <v>1994</v>
      </c>
      <c r="AE71" s="61"/>
    </row>
    <row r="72" spans="1:31" ht="72.5" x14ac:dyDescent="0.35">
      <c r="A72" s="61" t="s">
        <v>2576</v>
      </c>
      <c r="B72" s="61" t="s">
        <v>2577</v>
      </c>
      <c r="C72" s="65"/>
      <c r="D72" s="61"/>
      <c r="E72" s="61" t="s">
        <v>49</v>
      </c>
      <c r="F72" s="70" t="s">
        <v>53</v>
      </c>
      <c r="G72" s="70" t="s">
        <v>2121</v>
      </c>
      <c r="H72" s="67">
        <v>46178.655416666668</v>
      </c>
      <c r="I72" s="75">
        <f t="shared" ca="1" si="7"/>
        <v>2.0132756944440189</v>
      </c>
      <c r="J72" s="61"/>
      <c r="K72" s="61"/>
      <c r="L72" s="61"/>
      <c r="M72" s="61" t="s">
        <v>41</v>
      </c>
      <c r="N72" s="61" t="s">
        <v>2347</v>
      </c>
      <c r="O72" s="61"/>
      <c r="P72" s="61"/>
      <c r="Q72" s="61"/>
      <c r="R72" s="61" t="s">
        <v>2486</v>
      </c>
      <c r="S72" s="61" t="s">
        <v>51</v>
      </c>
      <c r="T72" s="61" t="s">
        <v>1898</v>
      </c>
      <c r="U72" s="61" t="s">
        <v>1898</v>
      </c>
      <c r="V72" s="101" t="str">
        <f>VLOOKUP(B72,[2]Overall!$A:$D,4,0)</f>
        <v>TELEINFRA NORD</v>
      </c>
      <c r="W72" s="101" t="str">
        <f>VLOOKUP(B72,[3]Sheet1!$A:$B,2,0)</f>
        <v>Tchevi</v>
      </c>
      <c r="X72" s="88" t="str">
        <f t="shared" si="8"/>
        <v>EXN</v>
      </c>
      <c r="Y72" s="88" t="str">
        <f t="shared" ca="1" si="9"/>
        <v>48H&lt;T&lt;72H</v>
      </c>
      <c r="Z72" s="101">
        <f t="shared" si="10"/>
        <v>1</v>
      </c>
      <c r="AA72" s="84" t="s">
        <v>1566</v>
      </c>
      <c r="AB72" s="61" t="s">
        <v>1905</v>
      </c>
      <c r="AC72" s="105" t="s">
        <v>2583</v>
      </c>
      <c r="AD72" s="106" t="s">
        <v>1994</v>
      </c>
      <c r="AE72" s="61"/>
    </row>
    <row r="73" spans="1:31" ht="72.5" x14ac:dyDescent="0.35">
      <c r="A73" s="63" t="s">
        <v>2578</v>
      </c>
      <c r="B73" s="63" t="s">
        <v>2579</v>
      </c>
      <c r="C73" s="68"/>
      <c r="D73" s="63"/>
      <c r="E73" s="63" t="s">
        <v>2580</v>
      </c>
      <c r="F73" s="71" t="s">
        <v>53</v>
      </c>
      <c r="G73" s="71" t="s">
        <v>2121</v>
      </c>
      <c r="H73" s="69">
        <v>46178.680844907409</v>
      </c>
      <c r="I73" s="77">
        <f t="shared" ca="1" si="7"/>
        <v>1.98784745370358</v>
      </c>
      <c r="J73" s="63"/>
      <c r="K73" s="63"/>
      <c r="L73" s="63"/>
      <c r="M73" s="63" t="s">
        <v>38</v>
      </c>
      <c r="N73" s="63" t="s">
        <v>2581</v>
      </c>
      <c r="O73" s="63"/>
      <c r="P73" s="85" t="s">
        <v>1906</v>
      </c>
      <c r="Q73" s="63"/>
      <c r="R73" s="85" t="s">
        <v>2619</v>
      </c>
      <c r="S73" s="63" t="s">
        <v>51</v>
      </c>
      <c r="T73" s="63" t="s">
        <v>1898</v>
      </c>
      <c r="U73" s="63" t="s">
        <v>1898</v>
      </c>
      <c r="V73" s="107" t="str">
        <f>VLOOKUP(B73,[2]Overall!$A:$D,4,0)</f>
        <v xml:space="preserve">I-ENG </v>
      </c>
      <c r="W73" s="107" t="str">
        <f>VLOOKUP(B73,[3]Sheet1!$A:$B,2,0)</f>
        <v>Mwa</v>
      </c>
      <c r="X73" s="89" t="str">
        <f t="shared" si="8"/>
        <v>NRO</v>
      </c>
      <c r="Y73" s="89" t="str">
        <f t="shared" ca="1" si="9"/>
        <v>24H&lt;T&lt;48H</v>
      </c>
      <c r="Z73" s="107">
        <f t="shared" si="10"/>
        <v>2</v>
      </c>
      <c r="AA73" s="85" t="s">
        <v>77</v>
      </c>
      <c r="AB73" s="63" t="s">
        <v>1905</v>
      </c>
      <c r="AC73" s="108" t="s">
        <v>2583</v>
      </c>
      <c r="AD73" s="109" t="s">
        <v>1994</v>
      </c>
      <c r="AE73" s="63"/>
    </row>
    <row r="74" spans="1:31" ht="116" x14ac:dyDescent="0.35">
      <c r="A74" s="61" t="s">
        <v>2218</v>
      </c>
      <c r="B74" s="61" t="s">
        <v>2219</v>
      </c>
      <c r="C74" s="65"/>
      <c r="D74" s="61"/>
      <c r="E74" s="61" t="s">
        <v>2223</v>
      </c>
      <c r="F74" s="70" t="s">
        <v>53</v>
      </c>
      <c r="G74" s="70" t="s">
        <v>2121</v>
      </c>
      <c r="H74" s="67">
        <v>46178.685497685183</v>
      </c>
      <c r="I74" s="75">
        <f t="shared" ca="1" si="7"/>
        <v>1.9831946759295533</v>
      </c>
      <c r="J74" s="61"/>
      <c r="K74" s="61"/>
      <c r="L74" s="61"/>
      <c r="M74" s="61" t="s">
        <v>1730</v>
      </c>
      <c r="N74" s="61" t="s">
        <v>2224</v>
      </c>
      <c r="O74" s="61"/>
      <c r="P74" s="61"/>
      <c r="Q74" s="61"/>
      <c r="R74" s="61" t="s">
        <v>2584</v>
      </c>
      <c r="S74" s="61" t="s">
        <v>45</v>
      </c>
      <c r="T74" s="61" t="s">
        <v>1898</v>
      </c>
      <c r="U74" s="61" t="s">
        <v>1898</v>
      </c>
      <c r="V74" s="101" t="str">
        <f>VLOOKUP(B74,[2]Overall!$A:$D,4,0)</f>
        <v>TELEINFRA CENTRE</v>
      </c>
      <c r="W74" s="101" t="str">
        <f>VLOOKUP(B74,[3]Sheet1!$A:$B,2,0)</f>
        <v>Evodoula</v>
      </c>
      <c r="X74" s="88" t="str">
        <f t="shared" si="8"/>
        <v>CTR</v>
      </c>
      <c r="Y74" s="88" t="str">
        <f t="shared" ca="1" si="9"/>
        <v>24H&lt;T&lt;48H</v>
      </c>
      <c r="Z74" s="101">
        <f t="shared" si="10"/>
        <v>2</v>
      </c>
      <c r="AA74" s="84" t="s">
        <v>1566</v>
      </c>
      <c r="AB74" s="61" t="s">
        <v>1904</v>
      </c>
      <c r="AC74" s="105" t="s">
        <v>2583</v>
      </c>
      <c r="AD74" s="106" t="s">
        <v>1994</v>
      </c>
      <c r="AE74" s="61"/>
    </row>
    <row r="75" spans="1:31" ht="409.5" x14ac:dyDescent="0.35">
      <c r="A75" s="63" t="s">
        <v>1624</v>
      </c>
      <c r="B75" s="63" t="s">
        <v>1625</v>
      </c>
      <c r="C75" s="68"/>
      <c r="D75" s="63"/>
      <c r="E75" s="63" t="s">
        <v>2582</v>
      </c>
      <c r="F75" s="71" t="s">
        <v>53</v>
      </c>
      <c r="G75" s="71" t="s">
        <v>2121</v>
      </c>
      <c r="H75" s="69">
        <v>46178.691365740742</v>
      </c>
      <c r="I75" s="77">
        <f t="shared" ca="1" si="7"/>
        <v>1.9773266203701496</v>
      </c>
      <c r="J75" s="63"/>
      <c r="K75" s="63"/>
      <c r="L75" s="63"/>
      <c r="M75" s="63" t="s">
        <v>33</v>
      </c>
      <c r="N75" s="63" t="s">
        <v>2470</v>
      </c>
      <c r="O75" s="63"/>
      <c r="P75" s="85" t="s">
        <v>1906</v>
      </c>
      <c r="Q75" s="63"/>
      <c r="R75" s="85" t="s">
        <v>2547</v>
      </c>
      <c r="S75" s="63" t="s">
        <v>32</v>
      </c>
      <c r="T75" s="63" t="s">
        <v>1900</v>
      </c>
      <c r="U75" s="63" t="s">
        <v>1900</v>
      </c>
      <c r="V75" s="107" t="str">
        <f>VLOOKUP(B75,[2]Overall!$A:$D,4,0)</f>
        <v xml:space="preserve">I-ENG </v>
      </c>
      <c r="W75" s="107" t="str">
        <f>VLOOKUP(B75,[3]Sheet1!$A:$B,2,0)</f>
        <v>Kembong</v>
      </c>
      <c r="X75" s="89" t="str">
        <f t="shared" si="8"/>
        <v>NRO</v>
      </c>
      <c r="Y75" s="89" t="str">
        <f t="shared" ca="1" si="9"/>
        <v>24H&lt;T&lt;48H</v>
      </c>
      <c r="Z75" s="107">
        <f t="shared" si="10"/>
        <v>2</v>
      </c>
      <c r="AA75" s="85" t="s">
        <v>77</v>
      </c>
      <c r="AB75" s="63" t="s">
        <v>1905</v>
      </c>
      <c r="AC75" s="108" t="s">
        <v>2583</v>
      </c>
      <c r="AD75" s="109" t="s">
        <v>1994</v>
      </c>
      <c r="AE75" s="63"/>
    </row>
  </sheetData>
  <autoFilter ref="A1:AE75" xr:uid="{7385DC5F-B59C-4AE7-A7A6-159037AA76F5}"/>
  <phoneticPr fontId="1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290C-0E78-4A5C-A054-830D6C09B6EC}">
  <sheetPr codeName="Sheet48" filterMode="1">
    <tabColor theme="5"/>
  </sheetPr>
  <dimension ref="A1:AE65"/>
  <sheetViews>
    <sheetView zoomScale="53" zoomScaleNormal="69" workbookViewId="0">
      <pane xSplit="6" topLeftCell="M1" activePane="topRight" state="frozen"/>
      <selection activeCell="AB4" sqref="AB4"/>
      <selection pane="topRight" activeCell="P22" sqref="P22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hidden="1" x14ac:dyDescent="0.35">
      <c r="A2" s="61" t="s">
        <v>1913</v>
      </c>
      <c r="B2" s="61" t="s">
        <v>1914</v>
      </c>
      <c r="C2" s="65"/>
      <c r="D2" s="61"/>
      <c r="E2" s="61" t="s">
        <v>43</v>
      </c>
      <c r="F2" s="70" t="s">
        <v>53</v>
      </c>
      <c r="G2" s="70" t="s">
        <v>2121</v>
      </c>
      <c r="H2" s="67">
        <v>46168.171053240738</v>
      </c>
      <c r="I2" s="75">
        <f t="shared" ref="I2:I42" ca="1" si="0">NOW()-H2</f>
        <v>12.497639120374515</v>
      </c>
      <c r="J2" s="61"/>
      <c r="K2" s="61"/>
      <c r="L2" s="61"/>
      <c r="M2" s="61" t="s">
        <v>31</v>
      </c>
      <c r="N2" s="61" t="s">
        <v>1915</v>
      </c>
      <c r="O2" s="61"/>
      <c r="P2" s="61"/>
      <c r="Q2" s="61"/>
      <c r="R2" s="84" t="s">
        <v>2628</v>
      </c>
      <c r="S2" s="61" t="s">
        <v>40</v>
      </c>
      <c r="T2" s="61" t="s">
        <v>2129</v>
      </c>
      <c r="U2" s="61" t="s">
        <v>2129</v>
      </c>
      <c r="V2" s="101" t="str">
        <f>VLOOKUP(B2,[2]Overall!$A:$D,4,0)</f>
        <v>TELEINFRA NORD</v>
      </c>
      <c r="W2" s="101" t="str">
        <f>VLOOKUP(B2,[3]Sheet1!$A:$B,2,0)</f>
        <v>Dogba</v>
      </c>
      <c r="X2" s="88" t="str">
        <f t="shared" ref="X2:X22" si="1">LEFT(B2,3)</f>
        <v>EXN</v>
      </c>
      <c r="Y2" s="88" t="str">
        <f t="shared" ref="Y2:Y22" ca="1" si="2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22" si="3">IF(OR(E2="", E2="affected_cells=unknown"), "", LEN(E2)-LEN(SUBSTITUTE(E2, ",", "")) + LEN(E2)-LEN(SUBSTITUTE(E2, ";", "")) + 1)</f>
        <v>4</v>
      </c>
      <c r="AA2" s="84" t="s">
        <v>1566</v>
      </c>
      <c r="AB2" s="84" t="s">
        <v>1554</v>
      </c>
      <c r="AC2" s="105" t="s">
        <v>2617</v>
      </c>
      <c r="AD2" s="106" t="s">
        <v>1994</v>
      </c>
      <c r="AE2" s="61"/>
    </row>
    <row r="3" spans="1:31" ht="391.5" hidden="1" x14ac:dyDescent="0.35">
      <c r="A3" s="61" t="s">
        <v>1913</v>
      </c>
      <c r="B3" s="61" t="s">
        <v>1914</v>
      </c>
      <c r="C3" s="65"/>
      <c r="D3" s="61"/>
      <c r="E3" s="61" t="s">
        <v>35</v>
      </c>
      <c r="F3" s="70" t="s">
        <v>53</v>
      </c>
      <c r="G3" s="70" t="s">
        <v>2121</v>
      </c>
      <c r="H3" s="67">
        <v>46168.171064814815</v>
      </c>
      <c r="I3" s="75">
        <f t="shared" ca="1" si="0"/>
        <v>12.497627546297736</v>
      </c>
      <c r="J3" s="61"/>
      <c r="K3" s="61"/>
      <c r="L3" s="61"/>
      <c r="M3" s="61" t="s">
        <v>31</v>
      </c>
      <c r="N3" s="61" t="s">
        <v>1916</v>
      </c>
      <c r="O3" s="61"/>
      <c r="P3" s="61"/>
      <c r="Q3" s="61"/>
      <c r="R3" s="84" t="s">
        <v>2628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1"/>
        <v>EXN</v>
      </c>
      <c r="Y3" s="88" t="str">
        <f t="shared" ca="1" si="2"/>
        <v>T&gt;72H</v>
      </c>
      <c r="Z3" s="101">
        <f t="shared" si="3"/>
        <v>3</v>
      </c>
      <c r="AA3" s="84" t="s">
        <v>1566</v>
      </c>
      <c r="AB3" s="84" t="s">
        <v>1554</v>
      </c>
      <c r="AC3" s="105" t="s">
        <v>2617</v>
      </c>
      <c r="AD3" s="106" t="s">
        <v>1994</v>
      </c>
      <c r="AE3" s="61"/>
    </row>
    <row r="4" spans="1:31" ht="188.5" hidden="1" x14ac:dyDescent="0.35">
      <c r="A4" s="61" t="s">
        <v>1828</v>
      </c>
      <c r="B4" s="61" t="s">
        <v>1829</v>
      </c>
      <c r="C4" s="65"/>
      <c r="D4" s="61"/>
      <c r="E4" s="61" t="s">
        <v>39</v>
      </c>
      <c r="F4" s="70" t="s">
        <v>53</v>
      </c>
      <c r="G4" s="70" t="s">
        <v>2121</v>
      </c>
      <c r="H4" s="67">
        <v>46168.536261574074</v>
      </c>
      <c r="I4" s="75">
        <f t="shared" ca="1" si="0"/>
        <v>12.132430787038174</v>
      </c>
      <c r="J4" s="61"/>
      <c r="K4" s="61"/>
      <c r="L4" s="61"/>
      <c r="M4" s="61" t="s">
        <v>1712</v>
      </c>
      <c r="N4" s="61" t="s">
        <v>1830</v>
      </c>
      <c r="O4" s="61"/>
      <c r="P4" s="61"/>
      <c r="Q4" s="61"/>
      <c r="R4" s="84" t="s">
        <v>2632</v>
      </c>
      <c r="S4" s="61" t="s">
        <v>40</v>
      </c>
      <c r="T4" s="61" t="s">
        <v>1898</v>
      </c>
      <c r="U4" s="61" t="s">
        <v>1898</v>
      </c>
      <c r="V4" s="101" t="str">
        <f>VLOOKUP(B4,[2]Overall!$A:$D,4,0)</f>
        <v>TELEINFRA NORD</v>
      </c>
      <c r="W4" s="101" t="str">
        <f>VLOOKUP(B4,[3]Sheet1!$A:$B,2,0)</f>
        <v>Zigague</v>
      </c>
      <c r="X4" s="88" t="str">
        <f t="shared" si="1"/>
        <v>EXN</v>
      </c>
      <c r="Y4" s="88" t="str">
        <f t="shared" ca="1" si="2"/>
        <v>T&gt;72H</v>
      </c>
      <c r="Z4" s="101">
        <f t="shared" si="3"/>
        <v>1</v>
      </c>
      <c r="AA4" s="84" t="s">
        <v>1566</v>
      </c>
      <c r="AB4" s="84" t="s">
        <v>1554</v>
      </c>
      <c r="AC4" s="105" t="s">
        <v>2617</v>
      </c>
      <c r="AD4" s="106" t="s">
        <v>1994</v>
      </c>
      <c r="AE4" s="61"/>
    </row>
    <row r="5" spans="1:31" ht="159.5" hidden="1" x14ac:dyDescent="0.35">
      <c r="A5" s="61" t="s">
        <v>1930</v>
      </c>
      <c r="B5" s="61" t="s">
        <v>1931</v>
      </c>
      <c r="C5" s="65"/>
      <c r="D5" s="61"/>
      <c r="E5" s="61" t="s">
        <v>34</v>
      </c>
      <c r="F5" s="70" t="s">
        <v>53</v>
      </c>
      <c r="G5" s="70" t="s">
        <v>2121</v>
      </c>
      <c r="H5" s="67">
        <v>46172.534074074072</v>
      </c>
      <c r="I5" s="75">
        <f t="shared" ca="1" si="0"/>
        <v>8.1346182870402117</v>
      </c>
      <c r="J5" s="61"/>
      <c r="K5" s="61"/>
      <c r="L5" s="61"/>
      <c r="M5" s="61" t="s">
        <v>1929</v>
      </c>
      <c r="N5" s="61" t="s">
        <v>1932</v>
      </c>
      <c r="O5" s="61"/>
      <c r="P5" s="61"/>
      <c r="Q5" s="61"/>
      <c r="R5" s="84" t="s">
        <v>2629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Mazera</v>
      </c>
      <c r="X5" s="88" t="str">
        <f t="shared" si="1"/>
        <v>EXN</v>
      </c>
      <c r="Y5" s="88" t="str">
        <f t="shared" ca="1" si="2"/>
        <v>T&gt;72H</v>
      </c>
      <c r="Z5" s="101">
        <f t="shared" si="3"/>
        <v>1</v>
      </c>
      <c r="AA5" s="84" t="s">
        <v>1566</v>
      </c>
      <c r="AB5" s="84" t="s">
        <v>1554</v>
      </c>
      <c r="AC5" s="105" t="s">
        <v>2617</v>
      </c>
      <c r="AD5" s="106" t="s">
        <v>1994</v>
      </c>
      <c r="AE5" s="61"/>
    </row>
    <row r="6" spans="1:31" ht="409.5" hidden="1" x14ac:dyDescent="0.35">
      <c r="A6" s="61" t="s">
        <v>1773</v>
      </c>
      <c r="B6" s="61" t="s">
        <v>1774</v>
      </c>
      <c r="C6" s="65"/>
      <c r="D6" s="61"/>
      <c r="E6" s="61" t="s">
        <v>1956</v>
      </c>
      <c r="F6" s="70" t="s">
        <v>53</v>
      </c>
      <c r="G6" s="70" t="s">
        <v>2121</v>
      </c>
      <c r="H6" s="67">
        <v>46172.719837962963</v>
      </c>
      <c r="I6" s="75">
        <f t="shared" ca="1" si="0"/>
        <v>7.948854398149706</v>
      </c>
      <c r="J6" s="61"/>
      <c r="K6" s="61"/>
      <c r="L6" s="61"/>
      <c r="M6" s="61" t="s">
        <v>31</v>
      </c>
      <c r="N6" s="61" t="s">
        <v>1957</v>
      </c>
      <c r="O6" s="61"/>
      <c r="P6" s="61"/>
      <c r="Q6" s="61"/>
      <c r="R6" s="61" t="s">
        <v>2492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Hamalade</v>
      </c>
      <c r="X6" s="88" t="str">
        <f t="shared" si="1"/>
        <v>NRD</v>
      </c>
      <c r="Y6" s="88" t="str">
        <f t="shared" ca="1" si="2"/>
        <v>T&gt;72H</v>
      </c>
      <c r="Z6" s="101">
        <f t="shared" si="3"/>
        <v>3</v>
      </c>
      <c r="AA6" s="84" t="s">
        <v>1566</v>
      </c>
      <c r="AB6" s="84" t="s">
        <v>1554</v>
      </c>
      <c r="AC6" s="105" t="s">
        <v>2617</v>
      </c>
      <c r="AD6" s="106" t="s">
        <v>1994</v>
      </c>
      <c r="AE6" s="61"/>
    </row>
    <row r="7" spans="1:31" ht="409.5" hidden="1" x14ac:dyDescent="0.35">
      <c r="A7" s="61" t="s">
        <v>1773</v>
      </c>
      <c r="B7" s="61" t="s">
        <v>1774</v>
      </c>
      <c r="C7" s="65"/>
      <c r="D7" s="61"/>
      <c r="E7" s="61" t="s">
        <v>35</v>
      </c>
      <c r="F7" s="70" t="s">
        <v>53</v>
      </c>
      <c r="G7" s="70" t="s">
        <v>2121</v>
      </c>
      <c r="H7" s="67">
        <v>46172.719837962963</v>
      </c>
      <c r="I7" s="75">
        <f t="shared" ca="1" si="0"/>
        <v>7.948854398149706</v>
      </c>
      <c r="J7" s="61"/>
      <c r="K7" s="61"/>
      <c r="L7" s="61"/>
      <c r="M7" s="61" t="s">
        <v>31</v>
      </c>
      <c r="N7" s="61" t="s">
        <v>1775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1"/>
        <v>NRD</v>
      </c>
      <c r="Y7" s="88" t="str">
        <f t="shared" ca="1" si="2"/>
        <v>T&gt;72H</v>
      </c>
      <c r="Z7" s="101">
        <f t="shared" si="3"/>
        <v>3</v>
      </c>
      <c r="AA7" s="84" t="s">
        <v>1566</v>
      </c>
      <c r="AB7" s="84" t="s">
        <v>1554</v>
      </c>
      <c r="AC7" s="105" t="s">
        <v>2617</v>
      </c>
      <c r="AD7" s="106" t="s">
        <v>1994</v>
      </c>
      <c r="AE7" s="61"/>
    </row>
    <row r="8" spans="1:31" ht="409.5" hidden="1" x14ac:dyDescent="0.35">
      <c r="A8" s="61" t="s">
        <v>1773</v>
      </c>
      <c r="B8" s="61" t="s">
        <v>1774</v>
      </c>
      <c r="C8" s="65"/>
      <c r="D8" s="61"/>
      <c r="E8" s="61" t="s">
        <v>1954</v>
      </c>
      <c r="F8" s="70" t="s">
        <v>53</v>
      </c>
      <c r="G8" s="70" t="s">
        <v>2121</v>
      </c>
      <c r="H8" s="67">
        <v>46172.724965277775</v>
      </c>
      <c r="I8" s="75">
        <f t="shared" ca="1" si="0"/>
        <v>7.943727083336853</v>
      </c>
      <c r="J8" s="61"/>
      <c r="K8" s="61"/>
      <c r="L8" s="61"/>
      <c r="M8" s="61" t="s">
        <v>1750</v>
      </c>
      <c r="N8" s="61" t="s">
        <v>1751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1"/>
        <v>NRD</v>
      </c>
      <c r="Y8" s="88" t="str">
        <f t="shared" ca="1" si="2"/>
        <v>T&gt;72H</v>
      </c>
      <c r="Z8" s="101">
        <f t="shared" si="3"/>
        <v>1</v>
      </c>
      <c r="AA8" s="84" t="s">
        <v>1566</v>
      </c>
      <c r="AB8" s="84" t="s">
        <v>1554</v>
      </c>
      <c r="AC8" s="105" t="s">
        <v>2617</v>
      </c>
      <c r="AD8" s="106" t="s">
        <v>1994</v>
      </c>
      <c r="AE8" s="61"/>
    </row>
    <row r="9" spans="1:31" ht="409.5" hidden="1" x14ac:dyDescent="0.35">
      <c r="A9" s="61" t="s">
        <v>1773</v>
      </c>
      <c r="B9" s="61" t="s">
        <v>1774</v>
      </c>
      <c r="C9" s="65"/>
      <c r="D9" s="61"/>
      <c r="E9" s="61" t="s">
        <v>1955</v>
      </c>
      <c r="F9" s="70" t="s">
        <v>53</v>
      </c>
      <c r="G9" s="70" t="s">
        <v>2121</v>
      </c>
      <c r="H9" s="67">
        <v>46172.724965277775</v>
      </c>
      <c r="I9" s="75">
        <f t="shared" ca="1" si="0"/>
        <v>7.943727083336853</v>
      </c>
      <c r="J9" s="61"/>
      <c r="K9" s="61"/>
      <c r="L9" s="61"/>
      <c r="M9" s="61" t="s">
        <v>1750</v>
      </c>
      <c r="N9" s="61" t="s">
        <v>1751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1"/>
        <v>NRD</v>
      </c>
      <c r="Y9" s="88" t="str">
        <f t="shared" ca="1" si="2"/>
        <v>T&gt;72H</v>
      </c>
      <c r="Z9" s="101">
        <f t="shared" si="3"/>
        <v>1</v>
      </c>
      <c r="AA9" s="84" t="s">
        <v>1566</v>
      </c>
      <c r="AB9" s="84" t="s">
        <v>1554</v>
      </c>
      <c r="AC9" s="105" t="s">
        <v>2617</v>
      </c>
      <c r="AD9" s="106" t="s">
        <v>1994</v>
      </c>
      <c r="AE9" s="61"/>
    </row>
    <row r="10" spans="1:31" ht="409.5" hidden="1" x14ac:dyDescent="0.35">
      <c r="A10" s="61" t="s">
        <v>1773</v>
      </c>
      <c r="B10" s="61" t="s">
        <v>1774</v>
      </c>
      <c r="C10" s="65"/>
      <c r="D10" s="61"/>
      <c r="E10" s="61" t="s">
        <v>1953</v>
      </c>
      <c r="F10" s="70" t="s">
        <v>53</v>
      </c>
      <c r="G10" s="70" t="s">
        <v>2121</v>
      </c>
      <c r="H10" s="67">
        <v>46172.724965277775</v>
      </c>
      <c r="I10" s="75">
        <f t="shared" ca="1" si="0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1"/>
        <v>NRD</v>
      </c>
      <c r="Y10" s="88" t="str">
        <f t="shared" ca="1" si="2"/>
        <v>T&gt;72H</v>
      </c>
      <c r="Z10" s="101">
        <f t="shared" si="3"/>
        <v>1</v>
      </c>
      <c r="AA10" s="84" t="s">
        <v>1566</v>
      </c>
      <c r="AB10" s="84" t="s">
        <v>1554</v>
      </c>
      <c r="AC10" s="105" t="s">
        <v>2617</v>
      </c>
      <c r="AD10" s="106" t="s">
        <v>1994</v>
      </c>
      <c r="AE10" s="61"/>
    </row>
    <row r="11" spans="1:31" ht="409.5" hidden="1" x14ac:dyDescent="0.35">
      <c r="A11" s="61" t="s">
        <v>1724</v>
      </c>
      <c r="B11" s="61" t="s">
        <v>1725</v>
      </c>
      <c r="C11" s="65"/>
      <c r="D11" s="61"/>
      <c r="E11" s="61" t="s">
        <v>1726</v>
      </c>
      <c r="F11" s="70" t="s">
        <v>53</v>
      </c>
      <c r="G11" s="70" t="s">
        <v>2121</v>
      </c>
      <c r="H11" s="67">
        <v>46172.76761574074</v>
      </c>
      <c r="I11" s="75">
        <f t="shared" ca="1" si="0"/>
        <v>7.9010766203718958</v>
      </c>
      <c r="J11" s="61"/>
      <c r="K11" s="61"/>
      <c r="L11" s="61"/>
      <c r="M11" s="61" t="s">
        <v>33</v>
      </c>
      <c r="N11" s="61" t="s">
        <v>1635</v>
      </c>
      <c r="O11" s="61"/>
      <c r="P11" s="61"/>
      <c r="Q11" s="61"/>
      <c r="R11" s="84" t="s">
        <v>2626</v>
      </c>
      <c r="S11" s="61" t="s">
        <v>32</v>
      </c>
      <c r="T11" s="61" t="s">
        <v>1898</v>
      </c>
      <c r="U11" s="61" t="s">
        <v>1898</v>
      </c>
      <c r="V11" s="101" t="str">
        <f>VLOOKUP(B11,[2]Overall!$A:$D,4,0)</f>
        <v xml:space="preserve">I-ENG </v>
      </c>
      <c r="W11" s="101" t="str">
        <f>VLOOKUP(B11,[3]Sheet1!$A:$B,2,0)</f>
        <v>Mbakong</v>
      </c>
      <c r="X11" s="88" t="str">
        <f t="shared" si="1"/>
        <v>NRO</v>
      </c>
      <c r="Y11" s="88" t="str">
        <f t="shared" ca="1" si="2"/>
        <v>T&gt;72H</v>
      </c>
      <c r="Z11" s="101">
        <f t="shared" si="3"/>
        <v>2</v>
      </c>
      <c r="AA11" s="84" t="s">
        <v>1566</v>
      </c>
      <c r="AB11" s="84" t="s">
        <v>1554</v>
      </c>
      <c r="AC11" s="105" t="s">
        <v>2617</v>
      </c>
      <c r="AD11" s="106" t="s">
        <v>1994</v>
      </c>
      <c r="AE11" s="61"/>
    </row>
    <row r="12" spans="1:31" ht="130.5" hidden="1" x14ac:dyDescent="0.35">
      <c r="A12" s="61" t="s">
        <v>1843</v>
      </c>
      <c r="B12" s="61" t="s">
        <v>1844</v>
      </c>
      <c r="C12" s="65"/>
      <c r="D12" s="61"/>
      <c r="E12" s="61" t="s">
        <v>1879</v>
      </c>
      <c r="F12" s="70" t="s">
        <v>53</v>
      </c>
      <c r="G12" s="70" t="s">
        <v>2121</v>
      </c>
      <c r="H12" s="67">
        <v>46175.448993055557</v>
      </c>
      <c r="I12" s="75">
        <f t="shared" ca="1" si="0"/>
        <v>5.2196993055549683</v>
      </c>
      <c r="J12" s="61"/>
      <c r="K12" s="61"/>
      <c r="L12" s="61"/>
      <c r="M12" s="61" t="s">
        <v>38</v>
      </c>
      <c r="N12" s="61" t="s">
        <v>1845</v>
      </c>
      <c r="O12" s="61"/>
      <c r="P12" s="61"/>
      <c r="Q12" s="61"/>
      <c r="R12" s="61" t="s">
        <v>2380</v>
      </c>
      <c r="S12" s="61" t="s">
        <v>75</v>
      </c>
      <c r="T12" s="61" t="s">
        <v>1901</v>
      </c>
      <c r="U12" s="61" t="s">
        <v>1901</v>
      </c>
      <c r="V12" s="101" t="str">
        <f>VLOOKUP(B12,[2]Overall!$A:$D,4,0)</f>
        <v>TELEINFRA NORD</v>
      </c>
      <c r="W12" s="101" t="str">
        <f>VLOOKUP(B12,[3]Sheet1!$A:$B,2,0)</f>
        <v>Mayo-Nonde</v>
      </c>
      <c r="X12" s="88" t="str">
        <f t="shared" si="1"/>
        <v>NRD</v>
      </c>
      <c r="Y12" s="88" t="str">
        <f t="shared" ca="1" si="2"/>
        <v>T&gt;72H</v>
      </c>
      <c r="Z12" s="101">
        <f t="shared" si="3"/>
        <v>3</v>
      </c>
      <c r="AA12" s="84" t="s">
        <v>1566</v>
      </c>
      <c r="AB12" s="84" t="s">
        <v>1554</v>
      </c>
      <c r="AC12" s="105" t="s">
        <v>2617</v>
      </c>
      <c r="AD12" s="106" t="s">
        <v>1994</v>
      </c>
      <c r="AE12" s="61"/>
    </row>
    <row r="13" spans="1:31" ht="116" hidden="1" x14ac:dyDescent="0.35">
      <c r="A13" s="61" t="s">
        <v>1892</v>
      </c>
      <c r="B13" s="61" t="s">
        <v>1893</v>
      </c>
      <c r="C13" s="65"/>
      <c r="D13" s="61"/>
      <c r="E13" s="61" t="s">
        <v>2199</v>
      </c>
      <c r="F13" s="70" t="s">
        <v>53</v>
      </c>
      <c r="G13" s="70" t="s">
        <v>2121</v>
      </c>
      <c r="H13" s="67">
        <v>46175.837418981479</v>
      </c>
      <c r="I13" s="75">
        <f t="shared" ca="1" si="0"/>
        <v>4.8312733796337852</v>
      </c>
      <c r="J13" s="61"/>
      <c r="K13" s="61"/>
      <c r="L13" s="61"/>
      <c r="M13" s="61" t="s">
        <v>41</v>
      </c>
      <c r="N13" s="61" t="s">
        <v>42</v>
      </c>
      <c r="O13" s="61"/>
      <c r="P13" s="61"/>
      <c r="Q13" s="61"/>
      <c r="R13" s="61" t="s">
        <v>2378</v>
      </c>
      <c r="S13" s="61" t="s">
        <v>75</v>
      </c>
      <c r="T13" s="61" t="s">
        <v>1688</v>
      </c>
      <c r="U13" s="61" t="s">
        <v>1688</v>
      </c>
      <c r="V13" s="101" t="str">
        <f>VLOOKUP(B13,[2]Overall!$A:$D,4,0)</f>
        <v>H-TELI</v>
      </c>
      <c r="W13" s="101" t="str">
        <f>VLOOKUP(B13,[3]Sheet1!$A:$B,2,0)</f>
        <v>Santchou</v>
      </c>
      <c r="X13" s="88" t="str">
        <f t="shared" si="1"/>
        <v>OST</v>
      </c>
      <c r="Y13" s="88" t="str">
        <f t="shared" ca="1" si="2"/>
        <v>T&gt;72H</v>
      </c>
      <c r="Z13" s="101">
        <f t="shared" si="3"/>
        <v>1</v>
      </c>
      <c r="AA13" s="84" t="s">
        <v>1566</v>
      </c>
      <c r="AB13" s="84" t="s">
        <v>1554</v>
      </c>
      <c r="AC13" s="105" t="s">
        <v>2617</v>
      </c>
      <c r="AD13" s="106" t="s">
        <v>1994</v>
      </c>
      <c r="AE13" s="61"/>
    </row>
    <row r="14" spans="1:31" ht="116" hidden="1" x14ac:dyDescent="0.35">
      <c r="A14" s="61" t="s">
        <v>1892</v>
      </c>
      <c r="B14" s="61" t="s">
        <v>1893</v>
      </c>
      <c r="C14" s="65"/>
      <c r="D14" s="61"/>
      <c r="E14" s="61" t="s">
        <v>2200</v>
      </c>
      <c r="F14" s="70" t="s">
        <v>53</v>
      </c>
      <c r="G14" s="70" t="s">
        <v>2121</v>
      </c>
      <c r="H14" s="67">
        <v>46175.837430555555</v>
      </c>
      <c r="I14" s="75">
        <f t="shared" ca="1" si="0"/>
        <v>4.8312618055570056</v>
      </c>
      <c r="J14" s="61"/>
      <c r="K14" s="61"/>
      <c r="L14" s="61"/>
      <c r="M14" s="61" t="s">
        <v>41</v>
      </c>
      <c r="N14" s="61" t="s">
        <v>42</v>
      </c>
      <c r="O14" s="61"/>
      <c r="P14" s="61"/>
      <c r="Q14" s="61"/>
      <c r="R14" s="61" t="s">
        <v>2378</v>
      </c>
      <c r="S14" s="61" t="s">
        <v>75</v>
      </c>
      <c r="T14" s="61" t="s">
        <v>1688</v>
      </c>
      <c r="U14" s="61" t="s">
        <v>1688</v>
      </c>
      <c r="V14" s="101" t="str">
        <f>VLOOKUP(B14,[2]Overall!$A:$D,4,0)</f>
        <v>H-TELI</v>
      </c>
      <c r="W14" s="101" t="str">
        <f>VLOOKUP(B14,[3]Sheet1!$A:$B,2,0)</f>
        <v>Santchou</v>
      </c>
      <c r="X14" s="88" t="str">
        <f t="shared" si="1"/>
        <v>OST</v>
      </c>
      <c r="Y14" s="88" t="str">
        <f t="shared" ca="1" si="2"/>
        <v>T&gt;72H</v>
      </c>
      <c r="Z14" s="101">
        <f t="shared" si="3"/>
        <v>1</v>
      </c>
      <c r="AA14" s="84" t="s">
        <v>1566</v>
      </c>
      <c r="AB14" s="84" t="s">
        <v>1554</v>
      </c>
      <c r="AC14" s="105" t="s">
        <v>2617</v>
      </c>
      <c r="AD14" s="106" t="s">
        <v>1994</v>
      </c>
      <c r="AE14" s="61"/>
    </row>
    <row r="15" spans="1:31" ht="116" hidden="1" x14ac:dyDescent="0.35">
      <c r="A15" s="61" t="s">
        <v>1892</v>
      </c>
      <c r="B15" s="61" t="s">
        <v>1893</v>
      </c>
      <c r="C15" s="65"/>
      <c r="D15" s="61"/>
      <c r="E15" s="61" t="s">
        <v>2201</v>
      </c>
      <c r="F15" s="70" t="s">
        <v>53</v>
      </c>
      <c r="G15" s="70" t="s">
        <v>2121</v>
      </c>
      <c r="H15" s="67">
        <v>46175.837407407409</v>
      </c>
      <c r="I15" s="75">
        <f t="shared" ca="1" si="0"/>
        <v>4.8312849537032889</v>
      </c>
      <c r="J15" s="61"/>
      <c r="K15" s="61"/>
      <c r="L15" s="61"/>
      <c r="M15" s="61" t="s">
        <v>41</v>
      </c>
      <c r="N15" s="61" t="s">
        <v>42</v>
      </c>
      <c r="O15" s="61"/>
      <c r="P15" s="61"/>
      <c r="Q15" s="61"/>
      <c r="R15" s="61" t="s">
        <v>2378</v>
      </c>
      <c r="S15" s="61" t="s">
        <v>75</v>
      </c>
      <c r="T15" s="61" t="s">
        <v>1688</v>
      </c>
      <c r="U15" s="61" t="s">
        <v>1688</v>
      </c>
      <c r="V15" s="101" t="str">
        <f>VLOOKUP(B15,[2]Overall!$A:$D,4,0)</f>
        <v>H-TELI</v>
      </c>
      <c r="W15" s="101" t="str">
        <f>VLOOKUP(B15,[3]Sheet1!$A:$B,2,0)</f>
        <v>Santchou</v>
      </c>
      <c r="X15" s="88" t="str">
        <f t="shared" si="1"/>
        <v>OST</v>
      </c>
      <c r="Y15" s="88" t="str">
        <f t="shared" ca="1" si="2"/>
        <v>T&gt;72H</v>
      </c>
      <c r="Z15" s="101">
        <f t="shared" si="3"/>
        <v>1</v>
      </c>
      <c r="AA15" s="84" t="s">
        <v>1566</v>
      </c>
      <c r="AB15" s="84" t="s">
        <v>1554</v>
      </c>
      <c r="AC15" s="105" t="s">
        <v>2617</v>
      </c>
      <c r="AD15" s="106" t="s">
        <v>1994</v>
      </c>
      <c r="AE15" s="61"/>
    </row>
    <row r="16" spans="1:31" ht="116" hidden="1" x14ac:dyDescent="0.35">
      <c r="A16" s="61" t="s">
        <v>1892</v>
      </c>
      <c r="B16" s="61" t="s">
        <v>1893</v>
      </c>
      <c r="C16" s="65"/>
      <c r="D16" s="61"/>
      <c r="E16" s="61" t="s">
        <v>2202</v>
      </c>
      <c r="F16" s="70" t="s">
        <v>53</v>
      </c>
      <c r="G16" s="70" t="s">
        <v>2121</v>
      </c>
      <c r="H16" s="67">
        <v>46175.837430555555</v>
      </c>
      <c r="I16" s="75">
        <f t="shared" ca="1" si="0"/>
        <v>4.8312618055570056</v>
      </c>
      <c r="J16" s="61"/>
      <c r="K16" s="61"/>
      <c r="L16" s="61"/>
      <c r="M16" s="61" t="s">
        <v>41</v>
      </c>
      <c r="N16" s="61" t="s">
        <v>42</v>
      </c>
      <c r="O16" s="61"/>
      <c r="P16" s="61"/>
      <c r="Q16" s="61"/>
      <c r="R16" s="61" t="s">
        <v>2378</v>
      </c>
      <c r="S16" s="61" t="s">
        <v>75</v>
      </c>
      <c r="T16" s="61" t="s">
        <v>1688</v>
      </c>
      <c r="U16" s="61" t="s">
        <v>1688</v>
      </c>
      <c r="V16" s="101" t="str">
        <f>VLOOKUP(B16,[2]Overall!$A:$D,4,0)</f>
        <v>H-TELI</v>
      </c>
      <c r="W16" s="101" t="str">
        <f>VLOOKUP(B16,[3]Sheet1!$A:$B,2,0)</f>
        <v>Santchou</v>
      </c>
      <c r="X16" s="88" t="str">
        <f t="shared" si="1"/>
        <v>OST</v>
      </c>
      <c r="Y16" s="88" t="str">
        <f t="shared" ca="1" si="2"/>
        <v>T&gt;72H</v>
      </c>
      <c r="Z16" s="101">
        <f t="shared" si="3"/>
        <v>1</v>
      </c>
      <c r="AA16" s="84" t="s">
        <v>1566</v>
      </c>
      <c r="AB16" s="84" t="s">
        <v>1554</v>
      </c>
      <c r="AC16" s="105" t="s">
        <v>2617</v>
      </c>
      <c r="AD16" s="106" t="s">
        <v>1994</v>
      </c>
      <c r="AE16" s="61"/>
    </row>
    <row r="17" spans="1:31" ht="116" hidden="1" x14ac:dyDescent="0.35">
      <c r="A17" s="61" t="s">
        <v>1892</v>
      </c>
      <c r="B17" s="61" t="s">
        <v>1893</v>
      </c>
      <c r="C17" s="65"/>
      <c r="D17" s="61"/>
      <c r="E17" s="61" t="s">
        <v>2203</v>
      </c>
      <c r="F17" s="70" t="s">
        <v>53</v>
      </c>
      <c r="G17" s="70" t="s">
        <v>2121</v>
      </c>
      <c r="H17" s="67">
        <v>46175.837430555555</v>
      </c>
      <c r="I17" s="75">
        <f t="shared" ca="1" si="0"/>
        <v>4.8312618055570056</v>
      </c>
      <c r="J17" s="61"/>
      <c r="K17" s="61"/>
      <c r="L17" s="61"/>
      <c r="M17" s="61" t="s">
        <v>41</v>
      </c>
      <c r="N17" s="61" t="s">
        <v>42</v>
      </c>
      <c r="O17" s="61"/>
      <c r="P17" s="61"/>
      <c r="Q17" s="61"/>
      <c r="R17" s="61" t="s">
        <v>2378</v>
      </c>
      <c r="S17" s="61" t="s">
        <v>75</v>
      </c>
      <c r="T17" s="61" t="s">
        <v>1688</v>
      </c>
      <c r="U17" s="61" t="s">
        <v>1688</v>
      </c>
      <c r="V17" s="101" t="str">
        <f>VLOOKUP(B17,[2]Overall!$A:$D,4,0)</f>
        <v>H-TELI</v>
      </c>
      <c r="W17" s="101" t="str">
        <f>VLOOKUP(B17,[3]Sheet1!$A:$B,2,0)</f>
        <v>Santchou</v>
      </c>
      <c r="X17" s="88" t="str">
        <f t="shared" si="1"/>
        <v>OST</v>
      </c>
      <c r="Y17" s="88" t="str">
        <f t="shared" ca="1" si="2"/>
        <v>T&gt;72H</v>
      </c>
      <c r="Z17" s="101">
        <f t="shared" si="3"/>
        <v>1</v>
      </c>
      <c r="AA17" s="84" t="s">
        <v>1566</v>
      </c>
      <c r="AB17" s="84" t="s">
        <v>1554</v>
      </c>
      <c r="AC17" s="105" t="s">
        <v>2617</v>
      </c>
      <c r="AD17" s="106" t="s">
        <v>1994</v>
      </c>
      <c r="AE17" s="61"/>
    </row>
    <row r="18" spans="1:31" ht="116" hidden="1" x14ac:dyDescent="0.35">
      <c r="A18" s="61" t="s">
        <v>1892</v>
      </c>
      <c r="B18" s="61" t="s">
        <v>1893</v>
      </c>
      <c r="C18" s="65"/>
      <c r="D18" s="61"/>
      <c r="E18" s="61" t="s">
        <v>2204</v>
      </c>
      <c r="F18" s="70" t="s">
        <v>53</v>
      </c>
      <c r="G18" s="70" t="s">
        <v>2121</v>
      </c>
      <c r="H18" s="67">
        <v>46175.837430555555</v>
      </c>
      <c r="I18" s="75">
        <f t="shared" ca="1" si="0"/>
        <v>4.8312618055570056</v>
      </c>
      <c r="J18" s="61"/>
      <c r="K18" s="61"/>
      <c r="L18" s="61"/>
      <c r="M18" s="61" t="s">
        <v>41</v>
      </c>
      <c r="N18" s="61" t="s">
        <v>42</v>
      </c>
      <c r="O18" s="61"/>
      <c r="P18" s="61"/>
      <c r="Q18" s="61"/>
      <c r="R18" s="61" t="s">
        <v>2378</v>
      </c>
      <c r="S18" s="61" t="s">
        <v>75</v>
      </c>
      <c r="T18" s="61" t="s">
        <v>1688</v>
      </c>
      <c r="U18" s="61" t="s">
        <v>1688</v>
      </c>
      <c r="V18" s="101" t="str">
        <f>VLOOKUP(B18,[2]Overall!$A:$D,4,0)</f>
        <v>H-TELI</v>
      </c>
      <c r="W18" s="101" t="str">
        <f>VLOOKUP(B18,[3]Sheet1!$A:$B,2,0)</f>
        <v>Santchou</v>
      </c>
      <c r="X18" s="88" t="str">
        <f t="shared" si="1"/>
        <v>OST</v>
      </c>
      <c r="Y18" s="88" t="str">
        <f t="shared" ca="1" si="2"/>
        <v>T&gt;72H</v>
      </c>
      <c r="Z18" s="101">
        <f t="shared" si="3"/>
        <v>1</v>
      </c>
      <c r="AA18" s="84" t="s">
        <v>1566</v>
      </c>
      <c r="AB18" s="84" t="s">
        <v>1554</v>
      </c>
      <c r="AC18" s="105" t="s">
        <v>2617</v>
      </c>
      <c r="AD18" s="106" t="s">
        <v>1994</v>
      </c>
      <c r="AE18" s="61"/>
    </row>
    <row r="19" spans="1:31" ht="188.5" hidden="1" x14ac:dyDescent="0.35">
      <c r="A19" s="61" t="s">
        <v>2262</v>
      </c>
      <c r="B19" s="61" t="s">
        <v>2263</v>
      </c>
      <c r="C19" s="65"/>
      <c r="D19" s="61"/>
      <c r="E19" s="61" t="s">
        <v>2264</v>
      </c>
      <c r="F19" s="70" t="s">
        <v>53</v>
      </c>
      <c r="G19" s="70" t="s">
        <v>2121</v>
      </c>
      <c r="H19" s="67">
        <v>46176.41369212963</v>
      </c>
      <c r="I19" s="75">
        <f t="shared" ca="1" si="0"/>
        <v>4.2550002314819722</v>
      </c>
      <c r="J19" s="61"/>
      <c r="K19" s="61"/>
      <c r="L19" s="61"/>
      <c r="M19" s="61" t="s">
        <v>31</v>
      </c>
      <c r="N19" s="61" t="s">
        <v>2265</v>
      </c>
      <c r="O19" s="61"/>
      <c r="P19" s="61"/>
      <c r="Q19" s="61"/>
      <c r="R19" s="84" t="s">
        <v>2636</v>
      </c>
      <c r="S19" s="61" t="s">
        <v>40</v>
      </c>
      <c r="T19" s="61" t="s">
        <v>1898</v>
      </c>
      <c r="U19" s="61" t="s">
        <v>1898</v>
      </c>
      <c r="V19" s="101" t="str">
        <f>VLOOKUP(B19,[2]Overall!$A:$D,4,0)</f>
        <v>TELEINFRA NORD</v>
      </c>
      <c r="W19" s="101" t="str">
        <f>VLOOKUP(B19,[3]Sheet1!$A:$B,2,0)</f>
        <v>Ndiam-badji</v>
      </c>
      <c r="X19" s="88" t="str">
        <f t="shared" si="1"/>
        <v>NRD</v>
      </c>
      <c r="Y19" s="88" t="str">
        <f t="shared" ca="1" si="2"/>
        <v>T&gt;72H</v>
      </c>
      <c r="Z19" s="101">
        <f t="shared" si="3"/>
        <v>6</v>
      </c>
      <c r="AA19" s="84" t="s">
        <v>1566</v>
      </c>
      <c r="AB19" s="84" t="s">
        <v>1554</v>
      </c>
      <c r="AC19" s="105" t="s">
        <v>2617</v>
      </c>
      <c r="AD19" s="106" t="s">
        <v>1994</v>
      </c>
      <c r="AE19" s="61"/>
    </row>
    <row r="20" spans="1:31" ht="188.5" hidden="1" x14ac:dyDescent="0.35">
      <c r="A20" s="61" t="s">
        <v>2262</v>
      </c>
      <c r="B20" s="61" t="s">
        <v>2263</v>
      </c>
      <c r="C20" s="65"/>
      <c r="D20" s="61"/>
      <c r="E20" s="61" t="s">
        <v>2264</v>
      </c>
      <c r="F20" s="70" t="s">
        <v>53</v>
      </c>
      <c r="G20" s="70" t="s">
        <v>2121</v>
      </c>
      <c r="H20" s="67">
        <v>46176.450185185182</v>
      </c>
      <c r="I20" s="75">
        <f t="shared" ca="1" si="0"/>
        <v>4.2185071759304265</v>
      </c>
      <c r="J20" s="61"/>
      <c r="K20" s="61"/>
      <c r="L20" s="61"/>
      <c r="M20" s="61" t="s">
        <v>1713</v>
      </c>
      <c r="N20" s="61" t="s">
        <v>2266</v>
      </c>
      <c r="O20" s="61"/>
      <c r="P20" s="61"/>
      <c r="Q20" s="61"/>
      <c r="R20" s="84" t="s">
        <v>2636</v>
      </c>
      <c r="S20" s="61" t="s">
        <v>40</v>
      </c>
      <c r="T20" s="61" t="s">
        <v>1898</v>
      </c>
      <c r="U20" s="61" t="s">
        <v>1898</v>
      </c>
      <c r="V20" s="101" t="str">
        <f>VLOOKUP(B20,[2]Overall!$A:$D,4,0)</f>
        <v>TELEINFRA NORD</v>
      </c>
      <c r="W20" s="101" t="str">
        <f>VLOOKUP(B20,[3]Sheet1!$A:$B,2,0)</f>
        <v>Ndiam-badji</v>
      </c>
      <c r="X20" s="88" t="str">
        <f t="shared" si="1"/>
        <v>NRD</v>
      </c>
      <c r="Y20" s="88" t="str">
        <f t="shared" ca="1" si="2"/>
        <v>T&gt;72H</v>
      </c>
      <c r="Z20" s="101">
        <f t="shared" si="3"/>
        <v>6</v>
      </c>
      <c r="AA20" s="84" t="s">
        <v>1566</v>
      </c>
      <c r="AB20" s="84" t="s">
        <v>1554</v>
      </c>
      <c r="AC20" s="105" t="s">
        <v>2617</v>
      </c>
      <c r="AD20" s="106" t="s">
        <v>1994</v>
      </c>
      <c r="AE20" s="61"/>
    </row>
    <row r="21" spans="1:31" ht="174" x14ac:dyDescent="0.35">
      <c r="A21" s="63" t="s">
        <v>2273</v>
      </c>
      <c r="B21" s="63" t="s">
        <v>2268</v>
      </c>
      <c r="C21" s="68"/>
      <c r="D21" s="63"/>
      <c r="E21" s="63" t="s">
        <v>47</v>
      </c>
      <c r="F21" s="71" t="s">
        <v>53</v>
      </c>
      <c r="G21" s="71" t="s">
        <v>2121</v>
      </c>
      <c r="H21" s="69">
        <v>46176.45108796296</v>
      </c>
      <c r="I21" s="77">
        <f t="shared" ca="1" si="0"/>
        <v>4.2176043981526163</v>
      </c>
      <c r="J21" s="63"/>
      <c r="K21" s="63"/>
      <c r="L21" s="63"/>
      <c r="M21" s="63" t="s">
        <v>31</v>
      </c>
      <c r="N21" s="63" t="s">
        <v>2274</v>
      </c>
      <c r="O21" s="63"/>
      <c r="P21" s="85" t="s">
        <v>2507</v>
      </c>
      <c r="Q21" s="63"/>
      <c r="R21" s="85" t="s">
        <v>2663</v>
      </c>
      <c r="S21" s="63" t="s">
        <v>40</v>
      </c>
      <c r="T21" s="63" t="s">
        <v>1898</v>
      </c>
      <c r="U21" s="63" t="s">
        <v>1898</v>
      </c>
      <c r="V21" s="107" t="str">
        <f>VLOOKUP(B21,[2]Overall!$A:$D,4,0)</f>
        <v>TELEINFRA NORD</v>
      </c>
      <c r="W21" s="107" t="str">
        <f>VLOOKUP(B21,[3]Sheet1!$A:$B,2,0)</f>
        <v>Dabanga</v>
      </c>
      <c r="X21" s="89" t="str">
        <f t="shared" si="1"/>
        <v>EXN</v>
      </c>
      <c r="Y21" s="89" t="str">
        <f t="shared" ca="1" si="2"/>
        <v>T&gt;72H</v>
      </c>
      <c r="Z21" s="107">
        <f t="shared" si="3"/>
        <v>3</v>
      </c>
      <c r="AA21" s="85" t="s">
        <v>77</v>
      </c>
      <c r="AB21" s="85" t="s">
        <v>1554</v>
      </c>
      <c r="AC21" s="108" t="s">
        <v>2617</v>
      </c>
      <c r="AD21" s="109" t="s">
        <v>1994</v>
      </c>
      <c r="AE21" s="63"/>
    </row>
    <row r="22" spans="1:31" ht="174" x14ac:dyDescent="0.35">
      <c r="A22" s="63" t="s">
        <v>2273</v>
      </c>
      <c r="B22" s="63" t="s">
        <v>2268</v>
      </c>
      <c r="C22" s="68"/>
      <c r="D22" s="63"/>
      <c r="E22" s="63" t="s">
        <v>35</v>
      </c>
      <c r="F22" s="71" t="s">
        <v>53</v>
      </c>
      <c r="G22" s="71" t="s">
        <v>2121</v>
      </c>
      <c r="H22" s="69">
        <v>46176.45108796296</v>
      </c>
      <c r="I22" s="77">
        <f t="shared" ca="1" si="0"/>
        <v>4.2176043981526163</v>
      </c>
      <c r="J22" s="63"/>
      <c r="K22" s="63"/>
      <c r="L22" s="63"/>
      <c r="M22" s="63" t="s">
        <v>31</v>
      </c>
      <c r="N22" s="63" t="s">
        <v>2275</v>
      </c>
      <c r="O22" s="63"/>
      <c r="P22" s="85" t="s">
        <v>2507</v>
      </c>
      <c r="Q22" s="63"/>
      <c r="R22" s="85" t="s">
        <v>2663</v>
      </c>
      <c r="S22" s="63" t="s">
        <v>40</v>
      </c>
      <c r="T22" s="63" t="s">
        <v>1898</v>
      </c>
      <c r="U22" s="63" t="s">
        <v>1898</v>
      </c>
      <c r="V22" s="107" t="str">
        <f>VLOOKUP(B22,[2]Overall!$A:$D,4,0)</f>
        <v>TELEINFRA NORD</v>
      </c>
      <c r="W22" s="107" t="str">
        <f>VLOOKUP(B22,[3]Sheet1!$A:$B,2,0)</f>
        <v>Dabanga</v>
      </c>
      <c r="X22" s="89" t="str">
        <f t="shared" si="1"/>
        <v>EXN</v>
      </c>
      <c r="Y22" s="89" t="str">
        <f t="shared" ca="1" si="2"/>
        <v>T&gt;72H</v>
      </c>
      <c r="Z22" s="107">
        <f t="shared" si="3"/>
        <v>3</v>
      </c>
      <c r="AA22" s="85" t="s">
        <v>77</v>
      </c>
      <c r="AB22" s="85" t="s">
        <v>1554</v>
      </c>
      <c r="AC22" s="108" t="s">
        <v>2617</v>
      </c>
      <c r="AD22" s="109" t="s">
        <v>1994</v>
      </c>
      <c r="AE22" s="63"/>
    </row>
    <row r="23" spans="1:31" ht="188.5" hidden="1" x14ac:dyDescent="0.35">
      <c r="A23" s="61" t="s">
        <v>1877</v>
      </c>
      <c r="B23" s="61" t="s">
        <v>1878</v>
      </c>
      <c r="C23" s="65"/>
      <c r="D23" s="61"/>
      <c r="E23" s="61" t="s">
        <v>49</v>
      </c>
      <c r="F23" s="70" t="s">
        <v>53</v>
      </c>
      <c r="G23" s="70" t="s">
        <v>2121</v>
      </c>
      <c r="H23" s="67">
        <v>46176.68891203704</v>
      </c>
      <c r="I23" s="75">
        <f t="shared" ca="1" si="0"/>
        <v>3.9797803240726353</v>
      </c>
      <c r="J23" s="61"/>
      <c r="K23" s="61"/>
      <c r="L23" s="61"/>
      <c r="M23" s="61" t="s">
        <v>38</v>
      </c>
      <c r="N23" s="61" t="s">
        <v>1943</v>
      </c>
      <c r="O23" s="61"/>
      <c r="P23" s="61"/>
      <c r="Q23" s="61"/>
      <c r="R23" s="84" t="s">
        <v>2627</v>
      </c>
      <c r="S23" s="61" t="s">
        <v>85</v>
      </c>
      <c r="T23" s="61" t="s">
        <v>1688</v>
      </c>
      <c r="U23" s="61" t="s">
        <v>1688</v>
      </c>
      <c r="V23" s="101" t="str">
        <f>VLOOKUP(B23,[2]Overall!$A:$D,4,0)</f>
        <v>H-TELI</v>
      </c>
      <c r="W23" s="101" t="str">
        <f>VLOOKUP(B23,[3]Sheet1!$A:$B,2,0)</f>
        <v>Massock-Songloulou</v>
      </c>
      <c r="X23" s="88" t="str">
        <f t="shared" ref="X23:X59" si="4">LEFT(B23,3)</f>
        <v>LIT</v>
      </c>
      <c r="Y23" s="88" t="str">
        <f t="shared" ref="Y23:Y59" ca="1" si="5">IF(I23 &lt; 1/24, "T&lt;1H", IF(AND(I23&lt;2/24, I23&gt;1/24), "1H&lt;T&lt;2H", IF(AND(I23&lt;4/24, I23&gt;2/24), "2H&lt;T&lt;4H", IF(AND(I23&lt;8/24, I23&gt;4/24), "4H&lt;T&lt;8H", IF(AND(I23&lt;16/24, I23&gt;8/24), "8H&lt;T&lt;16H",IF(AND(I23&lt;24/24, I23&gt;16/24),"16H&lt;T&lt;24H", IF(AND(I23&lt;48/24, I23&gt;24/24),"24H&lt;T&lt;48H",IF(AND(I23&lt;72/24, I23&gt;24/24),"48H&lt;T&lt;72H", "T&gt;72H"))))))))</f>
        <v>T&gt;72H</v>
      </c>
      <c r="Z23" s="101">
        <f t="shared" ref="Z23:Z59" si="6">IF(OR(E23="", E23="affected_cells=unknown"), "", LEN(E23)-LEN(SUBSTITUTE(E23, ",", "")) + LEN(E23)-LEN(SUBSTITUTE(E23, ";", "")) + 1)</f>
        <v>1</v>
      </c>
      <c r="AA23" s="84" t="s">
        <v>1566</v>
      </c>
      <c r="AB23" s="84" t="s">
        <v>1554</v>
      </c>
      <c r="AC23" s="105" t="s">
        <v>2617</v>
      </c>
      <c r="AD23" s="106" t="s">
        <v>1994</v>
      </c>
      <c r="AE23" s="61"/>
    </row>
    <row r="24" spans="1:31" ht="87" hidden="1" x14ac:dyDescent="0.35">
      <c r="A24" s="61" t="s">
        <v>1705</v>
      </c>
      <c r="B24" s="61" t="s">
        <v>1706</v>
      </c>
      <c r="C24" s="65"/>
      <c r="D24" s="61"/>
      <c r="E24" s="61" t="s">
        <v>48</v>
      </c>
      <c r="F24" s="70" t="s">
        <v>53</v>
      </c>
      <c r="G24" s="70" t="s">
        <v>2121</v>
      </c>
      <c r="H24" s="67">
        <v>46177.386990740742</v>
      </c>
      <c r="I24" s="75">
        <f t="shared" ca="1" si="0"/>
        <v>3.2817016203698586</v>
      </c>
      <c r="J24" s="61"/>
      <c r="K24" s="61"/>
      <c r="L24" s="61"/>
      <c r="M24" s="61" t="s">
        <v>1707</v>
      </c>
      <c r="N24" s="61" t="s">
        <v>1708</v>
      </c>
      <c r="O24" s="61"/>
      <c r="P24" s="61"/>
      <c r="Q24" s="61"/>
      <c r="R24" s="61" t="s">
        <v>2414</v>
      </c>
      <c r="S24" s="61" t="s">
        <v>71</v>
      </c>
      <c r="T24" s="61" t="s">
        <v>1902</v>
      </c>
      <c r="U24" s="61" t="s">
        <v>1896</v>
      </c>
      <c r="V24" s="101" t="str">
        <f>VLOOKUP(B24,[2]Overall!$A:$D,4,0)</f>
        <v xml:space="preserve">I-ENG </v>
      </c>
      <c r="W24" s="101" t="str">
        <f>VLOOKUP(B24,[3]Sheet1!$A:$B,2,0)</f>
        <v>Laising</v>
      </c>
      <c r="X24" s="88" t="str">
        <f t="shared" si="4"/>
        <v>NRO</v>
      </c>
      <c r="Y24" s="88" t="str">
        <f t="shared" ca="1" si="5"/>
        <v>T&gt;72H</v>
      </c>
      <c r="Z24" s="101">
        <f t="shared" si="6"/>
        <v>1</v>
      </c>
      <c r="AA24" s="84" t="s">
        <v>1566</v>
      </c>
      <c r="AB24" s="84" t="s">
        <v>1554</v>
      </c>
      <c r="AC24" s="105" t="s">
        <v>2617</v>
      </c>
      <c r="AD24" s="106" t="s">
        <v>1994</v>
      </c>
      <c r="AE24" s="61"/>
    </row>
    <row r="25" spans="1:31" ht="145" x14ac:dyDescent="0.35">
      <c r="A25" s="61" t="s">
        <v>2267</v>
      </c>
      <c r="B25" s="61" t="s">
        <v>2268</v>
      </c>
      <c r="C25" s="65"/>
      <c r="D25" s="61"/>
      <c r="E25" s="61" t="s">
        <v>39</v>
      </c>
      <c r="F25" s="70" t="s">
        <v>53</v>
      </c>
      <c r="G25" s="70" t="s">
        <v>2121</v>
      </c>
      <c r="H25" s="67">
        <v>46177.408888888887</v>
      </c>
      <c r="I25" s="75">
        <f t="shared" ca="1" si="0"/>
        <v>3.2598034722250304</v>
      </c>
      <c r="J25" s="61"/>
      <c r="K25" s="61"/>
      <c r="L25" s="61"/>
      <c r="M25" s="61" t="s">
        <v>2391</v>
      </c>
      <c r="N25" s="61" t="s">
        <v>2392</v>
      </c>
      <c r="O25" s="61"/>
      <c r="P25" s="61"/>
      <c r="Q25" s="61"/>
      <c r="R25" s="84" t="s">
        <v>2631</v>
      </c>
      <c r="S25" s="61" t="s">
        <v>40</v>
      </c>
      <c r="T25" s="61" t="s">
        <v>1898</v>
      </c>
      <c r="U25" s="61" t="s">
        <v>1898</v>
      </c>
      <c r="V25" s="101" t="str">
        <f>VLOOKUP(B25,[2]Overall!$A:$D,4,0)</f>
        <v>TELEINFRA NORD</v>
      </c>
      <c r="W25" s="101" t="str">
        <f>VLOOKUP(B25,[3]Sheet1!$A:$B,2,0)</f>
        <v>Dabanga</v>
      </c>
      <c r="X25" s="88" t="str">
        <f t="shared" si="4"/>
        <v>EXN</v>
      </c>
      <c r="Y25" s="88" t="str">
        <f t="shared" ca="1" si="5"/>
        <v>T&gt;72H</v>
      </c>
      <c r="Z25" s="101">
        <f t="shared" si="6"/>
        <v>1</v>
      </c>
      <c r="AA25" s="84" t="s">
        <v>1566</v>
      </c>
      <c r="AB25" s="84" t="s">
        <v>1554</v>
      </c>
      <c r="AC25" s="105" t="s">
        <v>2617</v>
      </c>
      <c r="AD25" s="106" t="s">
        <v>1994</v>
      </c>
      <c r="AE25" s="61"/>
    </row>
    <row r="26" spans="1:31" ht="145" x14ac:dyDescent="0.35">
      <c r="A26" s="61" t="s">
        <v>2267</v>
      </c>
      <c r="B26" s="61" t="s">
        <v>2268</v>
      </c>
      <c r="C26" s="65"/>
      <c r="D26" s="61"/>
      <c r="E26" s="61" t="s">
        <v>34</v>
      </c>
      <c r="F26" s="70" t="s">
        <v>53</v>
      </c>
      <c r="G26" s="70" t="s">
        <v>2121</v>
      </c>
      <c r="H26" s="67">
        <v>46177.417199074072</v>
      </c>
      <c r="I26" s="75">
        <f t="shared" ca="1" si="0"/>
        <v>3.2514932870399207</v>
      </c>
      <c r="J26" s="61"/>
      <c r="K26" s="61"/>
      <c r="L26" s="61"/>
      <c r="M26" s="61" t="s">
        <v>31</v>
      </c>
      <c r="N26" s="61" t="s">
        <v>2272</v>
      </c>
      <c r="O26" s="61"/>
      <c r="P26" s="61"/>
      <c r="Q26" s="61"/>
      <c r="R26" s="84" t="s">
        <v>2631</v>
      </c>
      <c r="S26" s="61" t="s">
        <v>40</v>
      </c>
      <c r="T26" s="61" t="s">
        <v>1898</v>
      </c>
      <c r="U26" s="61" t="s">
        <v>1898</v>
      </c>
      <c r="V26" s="101" t="str">
        <f>VLOOKUP(B26,[2]Overall!$A:$D,4,0)</f>
        <v>TELEINFRA NORD</v>
      </c>
      <c r="W26" s="101" t="str">
        <f>VLOOKUP(B26,[3]Sheet1!$A:$B,2,0)</f>
        <v>Dabanga</v>
      </c>
      <c r="X26" s="88" t="str">
        <f t="shared" si="4"/>
        <v>EXN</v>
      </c>
      <c r="Y26" s="88" t="str">
        <f t="shared" ca="1" si="5"/>
        <v>T&gt;72H</v>
      </c>
      <c r="Z26" s="101">
        <f t="shared" si="6"/>
        <v>1</v>
      </c>
      <c r="AA26" s="84" t="s">
        <v>1566</v>
      </c>
      <c r="AB26" s="84" t="s">
        <v>1554</v>
      </c>
      <c r="AC26" s="105" t="s">
        <v>2617</v>
      </c>
      <c r="AD26" s="106" t="s">
        <v>1994</v>
      </c>
      <c r="AE26" s="61"/>
    </row>
    <row r="27" spans="1:31" ht="174" hidden="1" x14ac:dyDescent="0.35">
      <c r="A27" s="61" t="s">
        <v>2257</v>
      </c>
      <c r="B27" s="61" t="s">
        <v>1796</v>
      </c>
      <c r="C27" s="65"/>
      <c r="D27" s="61"/>
      <c r="E27" s="61" t="s">
        <v>35</v>
      </c>
      <c r="F27" s="70" t="s">
        <v>53</v>
      </c>
      <c r="G27" s="70" t="s">
        <v>2121</v>
      </c>
      <c r="H27" s="67">
        <v>46177.521458333336</v>
      </c>
      <c r="I27" s="75">
        <f t="shared" ca="1" si="0"/>
        <v>3.147234027775994</v>
      </c>
      <c r="J27" s="61"/>
      <c r="K27" s="61"/>
      <c r="L27" s="61"/>
      <c r="M27" s="61" t="s">
        <v>31</v>
      </c>
      <c r="N27" s="61" t="s">
        <v>2400</v>
      </c>
      <c r="O27" s="61"/>
      <c r="P27" s="61"/>
      <c r="Q27" s="61"/>
      <c r="R27" s="84" t="s">
        <v>2630</v>
      </c>
      <c r="S27" s="61" t="s">
        <v>40</v>
      </c>
      <c r="T27" s="61" t="s">
        <v>1899</v>
      </c>
      <c r="U27" s="61" t="s">
        <v>1899</v>
      </c>
      <c r="V27" s="101" t="str">
        <f>VLOOKUP(B27,[2]Overall!$A:$D,4,0)</f>
        <v>TELEINFRA NORD</v>
      </c>
      <c r="W27" s="101" t="str">
        <f>VLOOKUP(B27,[3]Sheet1!$A:$B,2,0)</f>
        <v>Bagarao</v>
      </c>
      <c r="X27" s="88" t="str">
        <f t="shared" si="4"/>
        <v>EXN</v>
      </c>
      <c r="Y27" s="88" t="str">
        <f t="shared" ca="1" si="5"/>
        <v>T&gt;72H</v>
      </c>
      <c r="Z27" s="101">
        <f t="shared" si="6"/>
        <v>3</v>
      </c>
      <c r="AA27" s="84" t="s">
        <v>1566</v>
      </c>
      <c r="AB27" s="84" t="s">
        <v>1554</v>
      </c>
      <c r="AC27" s="105" t="s">
        <v>2617</v>
      </c>
      <c r="AD27" s="106" t="s">
        <v>1994</v>
      </c>
      <c r="AE27" s="61"/>
    </row>
    <row r="28" spans="1:31" ht="116" hidden="1" x14ac:dyDescent="0.35">
      <c r="A28" s="61" t="s">
        <v>2316</v>
      </c>
      <c r="B28" s="61" t="s">
        <v>2317</v>
      </c>
      <c r="C28" s="65"/>
      <c r="D28" s="61"/>
      <c r="E28" s="61" t="s">
        <v>2439</v>
      </c>
      <c r="F28" s="70" t="s">
        <v>53</v>
      </c>
      <c r="G28" s="70" t="s">
        <v>2121</v>
      </c>
      <c r="H28" s="67">
        <v>46177.589004629626</v>
      </c>
      <c r="I28" s="75">
        <f t="shared" ca="1" si="0"/>
        <v>3.0796877314860467</v>
      </c>
      <c r="J28" s="61"/>
      <c r="K28" s="61"/>
      <c r="L28" s="61"/>
      <c r="M28" s="61" t="s">
        <v>38</v>
      </c>
      <c r="N28" s="61" t="s">
        <v>2319</v>
      </c>
      <c r="O28" s="61"/>
      <c r="P28" s="61"/>
      <c r="Q28" s="61"/>
      <c r="R28" s="84" t="s">
        <v>2621</v>
      </c>
      <c r="S28" s="61" t="s">
        <v>85</v>
      </c>
      <c r="T28" s="61" t="s">
        <v>1898</v>
      </c>
      <c r="U28" s="61" t="s">
        <v>1898</v>
      </c>
      <c r="V28" s="101" t="str">
        <f>VLOOKUP(B28,[2]Overall!$A:$D,4,0)</f>
        <v>H-TELI</v>
      </c>
      <c r="W28" s="101" t="str">
        <f>VLOOKUP(B28,[3]Sheet1!$A:$B,2,0)</f>
        <v>Logbong</v>
      </c>
      <c r="X28" s="88" t="str">
        <f t="shared" si="4"/>
        <v>LIT</v>
      </c>
      <c r="Y28" s="88" t="str">
        <f t="shared" ca="1" si="5"/>
        <v>T&gt;72H</v>
      </c>
      <c r="Z28" s="101">
        <f t="shared" si="6"/>
        <v>6</v>
      </c>
      <c r="AA28" s="84" t="s">
        <v>1566</v>
      </c>
      <c r="AB28" s="84" t="s">
        <v>1554</v>
      </c>
      <c r="AC28" s="105" t="s">
        <v>2617</v>
      </c>
      <c r="AD28" s="106" t="s">
        <v>1994</v>
      </c>
      <c r="AE28" s="61"/>
    </row>
    <row r="29" spans="1:31" ht="116" hidden="1" x14ac:dyDescent="0.35">
      <c r="A29" s="61" t="s">
        <v>2320</v>
      </c>
      <c r="B29" s="61" t="s">
        <v>2317</v>
      </c>
      <c r="C29" s="65"/>
      <c r="D29" s="61"/>
      <c r="E29" s="61" t="s">
        <v>1787</v>
      </c>
      <c r="F29" s="70" t="s">
        <v>53</v>
      </c>
      <c r="G29" s="70" t="s">
        <v>2121</v>
      </c>
      <c r="H29" s="67">
        <v>46177.589270833334</v>
      </c>
      <c r="I29" s="75">
        <f t="shared" ca="1" si="0"/>
        <v>3.0794215277783223</v>
      </c>
      <c r="J29" s="61"/>
      <c r="K29" s="61"/>
      <c r="L29" s="61"/>
      <c r="M29" s="61" t="s">
        <v>38</v>
      </c>
      <c r="N29" s="61" t="s">
        <v>2321</v>
      </c>
      <c r="O29" s="61"/>
      <c r="P29" s="61"/>
      <c r="Q29" s="61"/>
      <c r="R29" s="84" t="s">
        <v>2621</v>
      </c>
      <c r="S29" s="61" t="s">
        <v>85</v>
      </c>
      <c r="T29" s="61" t="s">
        <v>1898</v>
      </c>
      <c r="U29" s="61" t="s">
        <v>1898</v>
      </c>
      <c r="V29" s="101" t="str">
        <f>VLOOKUP(B29,[2]Overall!$A:$D,4,0)</f>
        <v>H-TELI</v>
      </c>
      <c r="W29" s="101" t="str">
        <f>VLOOKUP(B29,[3]Sheet1!$A:$B,2,0)</f>
        <v>Logbong</v>
      </c>
      <c r="X29" s="88" t="str">
        <f t="shared" si="4"/>
        <v>LIT</v>
      </c>
      <c r="Y29" s="88" t="str">
        <f t="shared" ca="1" si="5"/>
        <v>T&gt;72H</v>
      </c>
      <c r="Z29" s="101">
        <f t="shared" si="6"/>
        <v>2</v>
      </c>
      <c r="AA29" s="84" t="s">
        <v>1566</v>
      </c>
      <c r="AB29" s="84" t="s">
        <v>1554</v>
      </c>
      <c r="AC29" s="105" t="s">
        <v>2617</v>
      </c>
      <c r="AD29" s="106" t="s">
        <v>1994</v>
      </c>
      <c r="AE29" s="61"/>
    </row>
    <row r="30" spans="1:31" ht="87" hidden="1" x14ac:dyDescent="0.35">
      <c r="A30" s="61" t="s">
        <v>2276</v>
      </c>
      <c r="B30" s="61" t="s">
        <v>2277</v>
      </c>
      <c r="C30" s="65"/>
      <c r="D30" s="61"/>
      <c r="E30" s="61" t="s">
        <v>2278</v>
      </c>
      <c r="F30" s="70" t="s">
        <v>53</v>
      </c>
      <c r="G30" s="70" t="s">
        <v>2121</v>
      </c>
      <c r="H30" s="67">
        <v>46177.591168981482</v>
      </c>
      <c r="I30" s="75">
        <f t="shared" ca="1" si="0"/>
        <v>3.0775233796302928</v>
      </c>
      <c r="J30" s="61"/>
      <c r="K30" s="61"/>
      <c r="L30" s="61"/>
      <c r="M30" s="61" t="s">
        <v>38</v>
      </c>
      <c r="N30" s="61" t="s">
        <v>2279</v>
      </c>
      <c r="O30" s="61"/>
      <c r="P30" s="61"/>
      <c r="Q30" s="61"/>
      <c r="R30" s="84" t="s">
        <v>2624</v>
      </c>
      <c r="S30" s="61" t="s">
        <v>32</v>
      </c>
      <c r="T30" s="61" t="s">
        <v>1898</v>
      </c>
      <c r="U30" s="61" t="s">
        <v>1898</v>
      </c>
      <c r="V30" s="101" t="str">
        <f>VLOOKUP(B30,[2]Overall!$A:$D,4,0)</f>
        <v xml:space="preserve">I-ENG </v>
      </c>
      <c r="W30" s="101" t="str">
        <f>VLOOKUP(B30,[3]Sheet1!$A:$B,2,0)</f>
        <v>Babanki</v>
      </c>
      <c r="X30" s="88" t="str">
        <f t="shared" si="4"/>
        <v>NRO</v>
      </c>
      <c r="Y30" s="88" t="str">
        <f t="shared" ca="1" si="5"/>
        <v>T&gt;72H</v>
      </c>
      <c r="Z30" s="101">
        <f t="shared" si="6"/>
        <v>2</v>
      </c>
      <c r="AA30" s="84" t="s">
        <v>1566</v>
      </c>
      <c r="AB30" s="84" t="s">
        <v>1554</v>
      </c>
      <c r="AC30" s="105" t="s">
        <v>2617</v>
      </c>
      <c r="AD30" s="106" t="s">
        <v>1994</v>
      </c>
      <c r="AE30" s="61"/>
    </row>
    <row r="31" spans="1:31" ht="87" hidden="1" x14ac:dyDescent="0.35">
      <c r="A31" s="61" t="s">
        <v>1684</v>
      </c>
      <c r="B31" s="61" t="s">
        <v>1620</v>
      </c>
      <c r="C31" s="65"/>
      <c r="D31" s="61"/>
      <c r="E31" s="61" t="s">
        <v>1793</v>
      </c>
      <c r="F31" s="70" t="s">
        <v>53</v>
      </c>
      <c r="G31" s="70" t="s">
        <v>2121</v>
      </c>
      <c r="H31" s="67">
        <v>46177.706493055557</v>
      </c>
      <c r="I31" s="75">
        <f t="shared" ca="1" si="0"/>
        <v>2.9621993055552593</v>
      </c>
      <c r="J31" s="61"/>
      <c r="K31" s="61"/>
      <c r="L31" s="61"/>
      <c r="M31" s="61" t="s">
        <v>33</v>
      </c>
      <c r="N31" s="61" t="s">
        <v>1653</v>
      </c>
      <c r="O31" s="61"/>
      <c r="P31" s="61"/>
      <c r="Q31" s="61"/>
      <c r="R31" s="61" t="s">
        <v>2497</v>
      </c>
      <c r="S31" s="61" t="s">
        <v>75</v>
      </c>
      <c r="T31" s="61" t="s">
        <v>1898</v>
      </c>
      <c r="U31" s="61" t="s">
        <v>1898</v>
      </c>
      <c r="V31" s="101" t="str">
        <f>VLOOKUP(B31,[2]Overall!$A:$D,4,0)</f>
        <v>TELEINFRA NORD</v>
      </c>
      <c r="W31" s="101" t="str">
        <f>VLOOKUP(B31,[3]Sheet1!$A:$B,2,0)</f>
        <v>Batoua-Godole</v>
      </c>
      <c r="X31" s="88" t="str">
        <f t="shared" si="4"/>
        <v>ADM</v>
      </c>
      <c r="Y31" s="88" t="str">
        <f t="shared" ca="1" si="5"/>
        <v>48H&lt;T&lt;72H</v>
      </c>
      <c r="Z31" s="101">
        <f t="shared" si="6"/>
        <v>2</v>
      </c>
      <c r="AA31" s="84" t="s">
        <v>1566</v>
      </c>
      <c r="AB31" s="84" t="s">
        <v>1554</v>
      </c>
      <c r="AC31" s="105" t="s">
        <v>2617</v>
      </c>
      <c r="AD31" s="106" t="s">
        <v>1994</v>
      </c>
      <c r="AE31" s="61"/>
    </row>
    <row r="32" spans="1:31" ht="145" hidden="1" x14ac:dyDescent="0.35">
      <c r="A32" s="61" t="s">
        <v>1807</v>
      </c>
      <c r="B32" s="61" t="s">
        <v>1808</v>
      </c>
      <c r="C32" s="65"/>
      <c r="D32" s="61"/>
      <c r="E32" s="61" t="s">
        <v>1810</v>
      </c>
      <c r="F32" s="70" t="s">
        <v>53</v>
      </c>
      <c r="G32" s="70" t="s">
        <v>2121</v>
      </c>
      <c r="H32" s="67">
        <v>46177.733206018522</v>
      </c>
      <c r="I32" s="75">
        <f t="shared" ca="1" si="0"/>
        <v>2.9354863425905933</v>
      </c>
      <c r="J32" s="61"/>
      <c r="K32" s="61"/>
      <c r="L32" s="61"/>
      <c r="M32" s="61" t="s">
        <v>2053</v>
      </c>
      <c r="N32" s="61" t="s">
        <v>2054</v>
      </c>
      <c r="O32" s="61"/>
      <c r="P32" s="61"/>
      <c r="Q32" s="61"/>
      <c r="R32" s="84" t="s">
        <v>2622</v>
      </c>
      <c r="S32" s="61" t="s">
        <v>85</v>
      </c>
      <c r="T32" s="61" t="s">
        <v>1898</v>
      </c>
      <c r="U32" s="61" t="s">
        <v>1898</v>
      </c>
      <c r="V32" s="101" t="str">
        <f>VLOOKUP(B32,[2]Overall!$A:$D,4,0)</f>
        <v>H-TELI</v>
      </c>
      <c r="W32" s="101" t="str">
        <f>VLOOKUP(B32,[3]Sheet1!$A:$B,2,0)</f>
        <v>Songloulou</v>
      </c>
      <c r="X32" s="88" t="str">
        <f t="shared" si="4"/>
        <v>LIT</v>
      </c>
      <c r="Y32" s="88" t="str">
        <f t="shared" ca="1" si="5"/>
        <v>48H&lt;T&lt;72H</v>
      </c>
      <c r="Z32" s="101">
        <f t="shared" si="6"/>
        <v>1</v>
      </c>
      <c r="AA32" s="84" t="s">
        <v>1566</v>
      </c>
      <c r="AB32" s="84" t="s">
        <v>1554</v>
      </c>
      <c r="AC32" s="105" t="s">
        <v>2617</v>
      </c>
      <c r="AD32" s="106" t="s">
        <v>1994</v>
      </c>
      <c r="AE32" s="61"/>
    </row>
    <row r="33" spans="1:31" ht="145" hidden="1" x14ac:dyDescent="0.35">
      <c r="A33" s="61" t="s">
        <v>1807</v>
      </c>
      <c r="B33" s="61" t="s">
        <v>1808</v>
      </c>
      <c r="C33" s="65"/>
      <c r="D33" s="61"/>
      <c r="E33" s="61" t="s">
        <v>2446</v>
      </c>
      <c r="F33" s="70" t="s">
        <v>53</v>
      </c>
      <c r="G33" s="70" t="s">
        <v>2121</v>
      </c>
      <c r="H33" s="67">
        <v>46177.734120370369</v>
      </c>
      <c r="I33" s="75">
        <f t="shared" ca="1" si="0"/>
        <v>2.9345719907432795</v>
      </c>
      <c r="J33" s="61"/>
      <c r="K33" s="61"/>
      <c r="L33" s="61"/>
      <c r="M33" s="61" t="s">
        <v>2053</v>
      </c>
      <c r="N33" s="61" t="s">
        <v>2054</v>
      </c>
      <c r="O33" s="61"/>
      <c r="P33" s="61"/>
      <c r="Q33" s="61"/>
      <c r="R33" s="84" t="s">
        <v>2622</v>
      </c>
      <c r="S33" s="61" t="s">
        <v>85</v>
      </c>
      <c r="T33" s="61" t="s">
        <v>1898</v>
      </c>
      <c r="U33" s="61" t="s">
        <v>1898</v>
      </c>
      <c r="V33" s="101" t="str">
        <f>VLOOKUP(B33,[2]Overall!$A:$D,4,0)</f>
        <v>H-TELI</v>
      </c>
      <c r="W33" s="101" t="str">
        <f>VLOOKUP(B33,[3]Sheet1!$A:$B,2,0)</f>
        <v>Songloulou</v>
      </c>
      <c r="X33" s="88" t="str">
        <f t="shared" si="4"/>
        <v>LIT</v>
      </c>
      <c r="Y33" s="88" t="str">
        <f t="shared" ca="1" si="5"/>
        <v>48H&lt;T&lt;72H</v>
      </c>
      <c r="Z33" s="101">
        <f t="shared" si="6"/>
        <v>1</v>
      </c>
      <c r="AA33" s="84" t="s">
        <v>1566</v>
      </c>
      <c r="AB33" s="84" t="s">
        <v>1554</v>
      </c>
      <c r="AC33" s="105" t="s">
        <v>2617</v>
      </c>
      <c r="AD33" s="106" t="s">
        <v>1994</v>
      </c>
      <c r="AE33" s="61"/>
    </row>
    <row r="34" spans="1:31" ht="145" hidden="1" x14ac:dyDescent="0.35">
      <c r="A34" s="61" t="s">
        <v>1807</v>
      </c>
      <c r="B34" s="61" t="s">
        <v>1808</v>
      </c>
      <c r="C34" s="65"/>
      <c r="D34" s="61"/>
      <c r="E34" s="61" t="s">
        <v>1813</v>
      </c>
      <c r="F34" s="70" t="s">
        <v>53</v>
      </c>
      <c r="G34" s="70" t="s">
        <v>2121</v>
      </c>
      <c r="H34" s="67">
        <v>46177.741377314815</v>
      </c>
      <c r="I34" s="75">
        <f t="shared" ca="1" si="0"/>
        <v>2.9273150462977355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84" t="s">
        <v>2622</v>
      </c>
      <c r="S34" s="61" t="s">
        <v>85</v>
      </c>
      <c r="T34" s="61" t="s">
        <v>1898</v>
      </c>
      <c r="U34" s="61" t="s">
        <v>1898</v>
      </c>
      <c r="V34" s="101" t="str">
        <f>VLOOKUP(B34,[2]Overall!$A:$D,4,0)</f>
        <v>H-TELI</v>
      </c>
      <c r="W34" s="101" t="str">
        <f>VLOOKUP(B34,[3]Sheet1!$A:$B,2,0)</f>
        <v>Songloulou</v>
      </c>
      <c r="X34" s="88" t="str">
        <f t="shared" si="4"/>
        <v>LIT</v>
      </c>
      <c r="Y34" s="88" t="str">
        <f t="shared" ca="1" si="5"/>
        <v>48H&lt;T&lt;72H</v>
      </c>
      <c r="Z34" s="101">
        <f t="shared" si="6"/>
        <v>1</v>
      </c>
      <c r="AA34" s="84" t="s">
        <v>1566</v>
      </c>
      <c r="AB34" s="84" t="s">
        <v>1554</v>
      </c>
      <c r="AC34" s="105" t="s">
        <v>2617</v>
      </c>
      <c r="AD34" s="106" t="s">
        <v>1994</v>
      </c>
      <c r="AE34" s="61"/>
    </row>
    <row r="35" spans="1:31" ht="145" hidden="1" x14ac:dyDescent="0.35">
      <c r="A35" s="61" t="s">
        <v>1807</v>
      </c>
      <c r="B35" s="61" t="s">
        <v>1808</v>
      </c>
      <c r="C35" s="65"/>
      <c r="D35" s="61"/>
      <c r="E35" s="61" t="s">
        <v>1812</v>
      </c>
      <c r="F35" s="70" t="s">
        <v>53</v>
      </c>
      <c r="G35" s="70" t="s">
        <v>2121</v>
      </c>
      <c r="H35" s="67">
        <v>46177.742442129631</v>
      </c>
      <c r="I35" s="75">
        <f t="shared" ca="1" si="0"/>
        <v>2.9262502314813901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84" t="s">
        <v>2622</v>
      </c>
      <c r="S35" s="61" t="s">
        <v>85</v>
      </c>
      <c r="T35" s="61" t="s">
        <v>1898</v>
      </c>
      <c r="U35" s="61" t="s">
        <v>1898</v>
      </c>
      <c r="V35" s="101" t="str">
        <f>VLOOKUP(B35,[2]Overall!$A:$D,4,0)</f>
        <v>H-TELI</v>
      </c>
      <c r="W35" s="101" t="str">
        <f>VLOOKUP(B35,[3]Sheet1!$A:$B,2,0)</f>
        <v>Songloulou</v>
      </c>
      <c r="X35" s="88" t="str">
        <f t="shared" si="4"/>
        <v>LIT</v>
      </c>
      <c r="Y35" s="88" t="str">
        <f t="shared" ca="1" si="5"/>
        <v>48H&lt;T&lt;72H</v>
      </c>
      <c r="Z35" s="101">
        <f t="shared" si="6"/>
        <v>1</v>
      </c>
      <c r="AA35" s="84" t="s">
        <v>1566</v>
      </c>
      <c r="AB35" s="84" t="s">
        <v>1554</v>
      </c>
      <c r="AC35" s="105" t="s">
        <v>2617</v>
      </c>
      <c r="AD35" s="106" t="s">
        <v>1994</v>
      </c>
      <c r="AE35" s="61"/>
    </row>
    <row r="36" spans="1:31" ht="261" hidden="1" x14ac:dyDescent="0.35">
      <c r="A36" s="61" t="s">
        <v>2147</v>
      </c>
      <c r="B36" s="61" t="s">
        <v>2148</v>
      </c>
      <c r="C36" s="65"/>
      <c r="D36" s="61"/>
      <c r="E36" s="61" t="s">
        <v>2149</v>
      </c>
      <c r="F36" s="70" t="s">
        <v>53</v>
      </c>
      <c r="G36" s="70" t="s">
        <v>2121</v>
      </c>
      <c r="H36" s="67">
        <v>46177.806562500002</v>
      </c>
      <c r="I36" s="75">
        <f t="shared" ca="1" si="0"/>
        <v>2.8621298611105885</v>
      </c>
      <c r="J36" s="61"/>
      <c r="K36" s="61"/>
      <c r="L36" s="61"/>
      <c r="M36" s="61" t="s">
        <v>33</v>
      </c>
      <c r="N36" s="61" t="s">
        <v>1626</v>
      </c>
      <c r="O36" s="61"/>
      <c r="P36" s="61"/>
      <c r="Q36" s="61"/>
      <c r="R36" s="84" t="s">
        <v>2633</v>
      </c>
      <c r="S36" s="61" t="s">
        <v>40</v>
      </c>
      <c r="T36" s="61" t="s">
        <v>1898</v>
      </c>
      <c r="U36" s="61" t="s">
        <v>1898</v>
      </c>
      <c r="V36" s="101" t="str">
        <f>VLOOKUP(B36,[2]Overall!$A:$D,4,0)</f>
        <v>TELEINFRA NORD</v>
      </c>
      <c r="W36" s="101" t="str">
        <f>VLOOKUP(B36,[3]Sheet1!$A:$B,2,0)</f>
        <v>Mboulai</v>
      </c>
      <c r="X36" s="88" t="str">
        <f t="shared" si="4"/>
        <v>ADM</v>
      </c>
      <c r="Y36" s="88" t="str">
        <f t="shared" ca="1" si="5"/>
        <v>48H&lt;T&lt;72H</v>
      </c>
      <c r="Z36" s="101">
        <f t="shared" si="6"/>
        <v>1</v>
      </c>
      <c r="AA36" s="84" t="s">
        <v>1566</v>
      </c>
      <c r="AB36" s="84" t="s">
        <v>1554</v>
      </c>
      <c r="AC36" s="105" t="s">
        <v>2617</v>
      </c>
      <c r="AD36" s="106" t="s">
        <v>1994</v>
      </c>
      <c r="AE36" s="61"/>
    </row>
    <row r="37" spans="1:31" ht="72.5" hidden="1" x14ac:dyDescent="0.35">
      <c r="A37" s="61" t="s">
        <v>2350</v>
      </c>
      <c r="B37" s="61" t="s">
        <v>2351</v>
      </c>
      <c r="C37" s="65"/>
      <c r="D37" s="61"/>
      <c r="E37" s="61" t="s">
        <v>2352</v>
      </c>
      <c r="F37" s="70" t="s">
        <v>53</v>
      </c>
      <c r="G37" s="70" t="s">
        <v>2121</v>
      </c>
      <c r="H37" s="67">
        <v>46177.830648148149</v>
      </c>
      <c r="I37" s="75">
        <f t="shared" ca="1" si="0"/>
        <v>2.8380442129637231</v>
      </c>
      <c r="J37" s="61"/>
      <c r="K37" s="61"/>
      <c r="L37" s="61"/>
      <c r="M37" s="61" t="s">
        <v>38</v>
      </c>
      <c r="N37" s="61" t="s">
        <v>2353</v>
      </c>
      <c r="O37" s="61"/>
      <c r="P37" s="61"/>
      <c r="Q37" s="61"/>
      <c r="R37" s="61" t="s">
        <v>2590</v>
      </c>
      <c r="S37" s="61" t="s">
        <v>75</v>
      </c>
      <c r="T37" s="61" t="s">
        <v>1754</v>
      </c>
      <c r="U37" s="61" t="s">
        <v>1754</v>
      </c>
      <c r="V37" s="101" t="str">
        <f>VLOOKUP(B37,[2]Overall!$A:$D,4,0)</f>
        <v>TELEINFRA NORD</v>
      </c>
      <c r="W37" s="101" t="str">
        <f>VLOOKUP(B37,[3]Sheet1!$A:$B,2,0)</f>
        <v>Guidjiba</v>
      </c>
      <c r="X37" s="88" t="str">
        <f t="shared" si="4"/>
        <v>NRD</v>
      </c>
      <c r="Y37" s="88" t="str">
        <f t="shared" ca="1" si="5"/>
        <v>48H&lt;T&lt;72H</v>
      </c>
      <c r="Z37" s="101">
        <f t="shared" si="6"/>
        <v>2</v>
      </c>
      <c r="AA37" s="84" t="s">
        <v>1566</v>
      </c>
      <c r="AB37" s="84" t="s">
        <v>1554</v>
      </c>
      <c r="AC37" s="105" t="s">
        <v>2617</v>
      </c>
      <c r="AD37" s="106" t="s">
        <v>1994</v>
      </c>
      <c r="AE37" s="61"/>
    </row>
    <row r="38" spans="1:31" ht="72.5" hidden="1" x14ac:dyDescent="0.35">
      <c r="A38" s="61" t="s">
        <v>2208</v>
      </c>
      <c r="B38" s="61" t="s">
        <v>2209</v>
      </c>
      <c r="C38" s="65"/>
      <c r="D38" s="61"/>
      <c r="E38" s="61" t="s">
        <v>2210</v>
      </c>
      <c r="F38" s="70" t="s">
        <v>53</v>
      </c>
      <c r="G38" s="70" t="s">
        <v>2121</v>
      </c>
      <c r="H38" s="67">
        <v>46178.137129629627</v>
      </c>
      <c r="I38" s="75">
        <f t="shared" ca="1" si="0"/>
        <v>2.5315627314848825</v>
      </c>
      <c r="J38" s="61"/>
      <c r="K38" s="61"/>
      <c r="L38" s="61"/>
      <c r="M38" s="61" t="s">
        <v>1627</v>
      </c>
      <c r="N38" s="61" t="s">
        <v>2211</v>
      </c>
      <c r="O38" s="61"/>
      <c r="P38" s="61"/>
      <c r="Q38" s="61"/>
      <c r="R38" s="61" t="s">
        <v>2601</v>
      </c>
      <c r="S38" s="61" t="s">
        <v>45</v>
      </c>
      <c r="T38" s="61" t="s">
        <v>1754</v>
      </c>
      <c r="U38" s="61" t="s">
        <v>1754</v>
      </c>
      <c r="V38" s="101" t="str">
        <f>VLOOKUP(B38,[2]Overall!$A:$D,4,0)</f>
        <v>TELEINFRA CENTRE</v>
      </c>
      <c r="W38" s="101" t="str">
        <f>VLOOKUP(B38,[3]Sheet1!$A:$B,2,0)</f>
        <v>Mvangan</v>
      </c>
      <c r="X38" s="88" t="str">
        <f t="shared" si="4"/>
        <v>SUD</v>
      </c>
      <c r="Y38" s="88" t="str">
        <f t="shared" ca="1" si="5"/>
        <v>48H&lt;T&lt;72H</v>
      </c>
      <c r="Z38" s="101">
        <f t="shared" si="6"/>
        <v>1</v>
      </c>
      <c r="AA38" s="84" t="s">
        <v>1566</v>
      </c>
      <c r="AB38" s="84" t="s">
        <v>1554</v>
      </c>
      <c r="AC38" s="105" t="s">
        <v>2617</v>
      </c>
      <c r="AD38" s="106" t="s">
        <v>1994</v>
      </c>
      <c r="AE38" s="61"/>
    </row>
    <row r="39" spans="1:31" ht="232" hidden="1" x14ac:dyDescent="0.35">
      <c r="A39" s="61" t="s">
        <v>1776</v>
      </c>
      <c r="B39" s="61" t="s">
        <v>1777</v>
      </c>
      <c r="C39" s="65"/>
      <c r="D39" s="61"/>
      <c r="E39" s="61" t="s">
        <v>35</v>
      </c>
      <c r="F39" s="70" t="s">
        <v>53</v>
      </c>
      <c r="G39" s="70" t="s">
        <v>2121</v>
      </c>
      <c r="H39" s="67">
        <v>46178.43041666667</v>
      </c>
      <c r="I39" s="75">
        <f t="shared" ca="1" si="0"/>
        <v>2.2382756944425637</v>
      </c>
      <c r="J39" s="61"/>
      <c r="K39" s="61"/>
      <c r="L39" s="61"/>
      <c r="M39" s="61" t="s">
        <v>31</v>
      </c>
      <c r="N39" s="61" t="s">
        <v>1778</v>
      </c>
      <c r="O39" s="61"/>
      <c r="P39" s="61"/>
      <c r="Q39" s="61"/>
      <c r="R39" s="61" t="s">
        <v>2538</v>
      </c>
      <c r="S39" s="61" t="s">
        <v>32</v>
      </c>
      <c r="T39" s="61" t="s">
        <v>1898</v>
      </c>
      <c r="U39" s="61" t="s">
        <v>1898</v>
      </c>
      <c r="V39" s="101" t="str">
        <f>VLOOKUP(B39,[2]Overall!$A:$D,4,0)</f>
        <v xml:space="preserve">I-ENG </v>
      </c>
      <c r="W39" s="101" t="str">
        <f>VLOOKUP(B39,[3]Sheet1!$A:$B,2,0)</f>
        <v>Bafmeng</v>
      </c>
      <c r="X39" s="88" t="str">
        <f t="shared" si="4"/>
        <v>NRO</v>
      </c>
      <c r="Y39" s="88" t="str">
        <f t="shared" ca="1" si="5"/>
        <v>48H&lt;T&lt;72H</v>
      </c>
      <c r="Z39" s="101">
        <f t="shared" si="6"/>
        <v>3</v>
      </c>
      <c r="AA39" s="84" t="s">
        <v>1566</v>
      </c>
      <c r="AB39" s="84" t="s">
        <v>1554</v>
      </c>
      <c r="AC39" s="105" t="s">
        <v>2617</v>
      </c>
      <c r="AD39" s="106" t="s">
        <v>1994</v>
      </c>
      <c r="AE39" s="61"/>
    </row>
    <row r="40" spans="1:31" ht="87" hidden="1" x14ac:dyDescent="0.35">
      <c r="A40" s="61" t="s">
        <v>2441</v>
      </c>
      <c r="B40" s="61" t="s">
        <v>2442</v>
      </c>
      <c r="C40" s="65"/>
      <c r="D40" s="61"/>
      <c r="E40" s="61" t="s">
        <v>2471</v>
      </c>
      <c r="F40" s="70" t="s">
        <v>53</v>
      </c>
      <c r="G40" s="70" t="s">
        <v>2121</v>
      </c>
      <c r="H40" s="67">
        <v>46178.441736111112</v>
      </c>
      <c r="I40" s="75">
        <f t="shared" ca="1" si="0"/>
        <v>2.2269562500005122</v>
      </c>
      <c r="J40" s="61"/>
      <c r="K40" s="61"/>
      <c r="L40" s="61"/>
      <c r="M40" s="61" t="s">
        <v>33</v>
      </c>
      <c r="N40" s="61" t="s">
        <v>2444</v>
      </c>
      <c r="O40" s="61"/>
      <c r="P40" s="61"/>
      <c r="Q40" s="61"/>
      <c r="R40" s="61" t="s">
        <v>2506</v>
      </c>
      <c r="S40" s="61" t="s">
        <v>45</v>
      </c>
      <c r="T40" s="61" t="s">
        <v>1898</v>
      </c>
      <c r="U40" s="61" t="s">
        <v>1898</v>
      </c>
      <c r="V40" s="101" t="str">
        <f>VLOOKUP(B40,[2]Overall!$A:$D,4,0)</f>
        <v>TELEINFRA CENTRE</v>
      </c>
      <c r="W40" s="101" t="str">
        <f>VLOOKUP(B40,[3]Sheet1!$A:$B,2,0)</f>
        <v>Yola</v>
      </c>
      <c r="X40" s="88" t="str">
        <f t="shared" si="4"/>
        <v>EST</v>
      </c>
      <c r="Y40" s="88" t="str">
        <f t="shared" ca="1" si="5"/>
        <v>48H&lt;T&lt;72H</v>
      </c>
      <c r="Z40" s="101">
        <f t="shared" si="6"/>
        <v>2</v>
      </c>
      <c r="AA40" s="84" t="s">
        <v>1566</v>
      </c>
      <c r="AB40" s="84" t="s">
        <v>1554</v>
      </c>
      <c r="AC40" s="105" t="s">
        <v>2617</v>
      </c>
      <c r="AD40" s="106" t="s">
        <v>1994</v>
      </c>
      <c r="AE40" s="61"/>
    </row>
    <row r="41" spans="1:31" ht="101.5" hidden="1" x14ac:dyDescent="0.35">
      <c r="A41" s="61" t="s">
        <v>2481</v>
      </c>
      <c r="B41" s="61" t="s">
        <v>2482</v>
      </c>
      <c r="C41" s="65"/>
      <c r="D41" s="61"/>
      <c r="E41" s="61" t="s">
        <v>2483</v>
      </c>
      <c r="F41" s="70" t="s">
        <v>53</v>
      </c>
      <c r="G41" s="70" t="s">
        <v>2121</v>
      </c>
      <c r="H41" s="67">
        <v>46178.506608796299</v>
      </c>
      <c r="I41" s="75">
        <f t="shared" ca="1" si="0"/>
        <v>2.1620835648136563</v>
      </c>
      <c r="J41" s="61"/>
      <c r="K41" s="61"/>
      <c r="L41" s="61"/>
      <c r="M41" s="61" t="s">
        <v>46</v>
      </c>
      <c r="N41" s="61" t="s">
        <v>2484</v>
      </c>
      <c r="O41" s="61"/>
      <c r="P41" s="61"/>
      <c r="Q41" s="61"/>
      <c r="R41" s="84" t="s">
        <v>2623</v>
      </c>
      <c r="S41" s="61" t="s">
        <v>85</v>
      </c>
      <c r="T41" s="61" t="s">
        <v>1898</v>
      </c>
      <c r="U41" s="61" t="s">
        <v>1898</v>
      </c>
      <c r="V41" s="101" t="str">
        <f>VLOOKUP(B41,[2]Overall!$A:$D,4,0)</f>
        <v>H-TELI</v>
      </c>
      <c r="W41" s="101" t="str">
        <f>VLOOKUP(B41,[3]Sheet1!$A:$B,2,0)</f>
        <v>Banguem</v>
      </c>
      <c r="X41" s="88" t="str">
        <f t="shared" si="4"/>
        <v>SUO</v>
      </c>
      <c r="Y41" s="88" t="str">
        <f t="shared" ca="1" si="5"/>
        <v>48H&lt;T&lt;72H</v>
      </c>
      <c r="Z41" s="101">
        <f t="shared" si="6"/>
        <v>1</v>
      </c>
      <c r="AA41" s="84" t="s">
        <v>1566</v>
      </c>
      <c r="AB41" s="84" t="s">
        <v>1554</v>
      </c>
      <c r="AC41" s="105" t="s">
        <v>2617</v>
      </c>
      <c r="AD41" s="106" t="s">
        <v>1994</v>
      </c>
      <c r="AE41" s="61"/>
    </row>
    <row r="42" spans="1:31" ht="72.5" hidden="1" x14ac:dyDescent="0.35">
      <c r="A42" s="61" t="s">
        <v>2520</v>
      </c>
      <c r="B42" s="61" t="s">
        <v>2521</v>
      </c>
      <c r="C42" s="65"/>
      <c r="D42" s="61"/>
      <c r="E42" s="61" t="s">
        <v>2522</v>
      </c>
      <c r="F42" s="70" t="s">
        <v>53</v>
      </c>
      <c r="G42" s="70" t="s">
        <v>2121</v>
      </c>
      <c r="H42" s="67">
        <v>46178.632245370369</v>
      </c>
      <c r="I42" s="75">
        <f t="shared" ca="1" si="0"/>
        <v>2.0364469907435705</v>
      </c>
      <c r="J42" s="61"/>
      <c r="K42" s="61"/>
      <c r="L42" s="61"/>
      <c r="M42" s="61" t="s">
        <v>33</v>
      </c>
      <c r="N42" s="61" t="s">
        <v>2523</v>
      </c>
      <c r="O42" s="61"/>
      <c r="P42" s="61"/>
      <c r="Q42" s="61"/>
      <c r="R42" s="84" t="s">
        <v>2635</v>
      </c>
      <c r="S42" s="61" t="s">
        <v>32</v>
      </c>
      <c r="T42" s="61" t="s">
        <v>1898</v>
      </c>
      <c r="U42" s="61" t="s">
        <v>1898</v>
      </c>
      <c r="V42" s="101" t="str">
        <f>VLOOKUP(B42,[2]Overall!$A:$D,4,0)</f>
        <v xml:space="preserve">I-ENG </v>
      </c>
      <c r="W42" s="101" t="str">
        <f>VLOOKUP(B42,[3]Sheet1!$A:$B,2,0)</f>
        <v>Nyanon</v>
      </c>
      <c r="X42" s="88" t="str">
        <f t="shared" si="4"/>
        <v>LIT</v>
      </c>
      <c r="Y42" s="88" t="str">
        <f t="shared" ca="1" si="5"/>
        <v>48H&lt;T&lt;72H</v>
      </c>
      <c r="Z42" s="101">
        <f t="shared" si="6"/>
        <v>2</v>
      </c>
      <c r="AA42" s="84" t="s">
        <v>1566</v>
      </c>
      <c r="AB42" s="84" t="s">
        <v>1554</v>
      </c>
      <c r="AC42" s="105" t="s">
        <v>2617</v>
      </c>
      <c r="AD42" s="106" t="s">
        <v>1994</v>
      </c>
      <c r="AE42" s="61"/>
    </row>
    <row r="43" spans="1:31" ht="130.5" hidden="1" x14ac:dyDescent="0.35">
      <c r="A43" s="61" t="s">
        <v>1803</v>
      </c>
      <c r="B43" s="61" t="s">
        <v>1804</v>
      </c>
      <c r="C43" s="65"/>
      <c r="D43" s="61"/>
      <c r="E43" s="61" t="s">
        <v>2602</v>
      </c>
      <c r="F43" s="70" t="s">
        <v>53</v>
      </c>
      <c r="G43" s="70" t="s">
        <v>2121</v>
      </c>
      <c r="H43" s="67">
        <v>46178.741863425923</v>
      </c>
      <c r="I43" s="75">
        <f t="shared" ref="I43:I65" ca="1" si="7">NOW()-H43</f>
        <v>1.9268289351894055</v>
      </c>
      <c r="J43" s="61"/>
      <c r="K43" s="61"/>
      <c r="L43" s="61"/>
      <c r="M43" s="61" t="s">
        <v>1627</v>
      </c>
      <c r="N43" s="61" t="s">
        <v>2603</v>
      </c>
      <c r="O43" s="61"/>
      <c r="P43" s="61"/>
      <c r="Q43" s="61"/>
      <c r="R43" s="61" t="s">
        <v>2190</v>
      </c>
      <c r="S43" s="61" t="s">
        <v>45</v>
      </c>
      <c r="T43" s="84" t="s">
        <v>1754</v>
      </c>
      <c r="U43" s="61" t="s">
        <v>1754</v>
      </c>
      <c r="V43" s="101" t="str">
        <f>VLOOKUP(B43,[2]Overall!$A:$D,4,0)</f>
        <v>TELEINFRA CENTRE</v>
      </c>
      <c r="W43" s="101" t="str">
        <f>VLOOKUP(B43,[3]Sheet1!$A:$B,2,0)</f>
        <v>SALAPOUMBE</v>
      </c>
      <c r="X43" s="88" t="str">
        <f t="shared" si="4"/>
        <v>EST</v>
      </c>
      <c r="Y43" s="88" t="str">
        <f t="shared" ca="1" si="5"/>
        <v>24H&lt;T&lt;48H</v>
      </c>
      <c r="Z43" s="101">
        <f t="shared" si="6"/>
        <v>1</v>
      </c>
      <c r="AA43" s="84" t="s">
        <v>1566</v>
      </c>
      <c r="AB43" s="84" t="s">
        <v>1905</v>
      </c>
      <c r="AC43" s="105" t="s">
        <v>2617</v>
      </c>
      <c r="AD43" s="106" t="s">
        <v>1994</v>
      </c>
      <c r="AE43" s="61"/>
    </row>
    <row r="44" spans="1:31" ht="87" hidden="1" x14ac:dyDescent="0.35">
      <c r="A44" s="61" t="s">
        <v>2554</v>
      </c>
      <c r="B44" s="61" t="s">
        <v>2555</v>
      </c>
      <c r="C44" s="65"/>
      <c r="D44" s="61"/>
      <c r="E44" s="61" t="s">
        <v>2564</v>
      </c>
      <c r="F44" s="70" t="s">
        <v>53</v>
      </c>
      <c r="G44" s="70" t="s">
        <v>2121</v>
      </c>
      <c r="H44" s="67">
        <v>46178.890717592592</v>
      </c>
      <c r="I44" s="75">
        <f t="shared" ca="1" si="7"/>
        <v>1.7779747685199254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84" t="s">
        <v>2654</v>
      </c>
      <c r="S44" s="84" t="s">
        <v>71</v>
      </c>
      <c r="T44" s="84" t="s">
        <v>1902</v>
      </c>
      <c r="U44" s="84" t="s">
        <v>1896</v>
      </c>
      <c r="V44" s="101" t="str">
        <f>VLOOKUP(B44,[2]Overall!$A:$D,4,0)</f>
        <v xml:space="preserve">I-ENG </v>
      </c>
      <c r="W44" s="101" t="str">
        <f>VLOOKUP(B44,[3]Sheet1!$A:$B,2,0)</f>
        <v>Bangambi</v>
      </c>
      <c r="X44" s="88" t="str">
        <f t="shared" si="4"/>
        <v>OST</v>
      </c>
      <c r="Y44" s="88" t="str">
        <f t="shared" ca="1" si="5"/>
        <v>24H&lt;T&lt;48H</v>
      </c>
      <c r="Z44" s="101">
        <f t="shared" si="6"/>
        <v>1</v>
      </c>
      <c r="AA44" s="84" t="s">
        <v>1566</v>
      </c>
      <c r="AB44" s="84" t="s">
        <v>1554</v>
      </c>
      <c r="AC44" s="105" t="s">
        <v>2617</v>
      </c>
      <c r="AD44" s="106" t="s">
        <v>1994</v>
      </c>
      <c r="AE44" s="61"/>
    </row>
    <row r="45" spans="1:31" ht="87" hidden="1" x14ac:dyDescent="0.35">
      <c r="A45" s="61" t="s">
        <v>2554</v>
      </c>
      <c r="B45" s="61" t="s">
        <v>2555</v>
      </c>
      <c r="C45" s="65"/>
      <c r="D45" s="61"/>
      <c r="E45" s="61" t="s">
        <v>2558</v>
      </c>
      <c r="F45" s="70" t="s">
        <v>53</v>
      </c>
      <c r="G45" s="70" t="s">
        <v>2121</v>
      </c>
      <c r="H45" s="67">
        <v>46178.890717592592</v>
      </c>
      <c r="I45" s="75">
        <f t="shared" ca="1" si="7"/>
        <v>1.7779747685199254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84" t="s">
        <v>2654</v>
      </c>
      <c r="S45" s="84" t="s">
        <v>71</v>
      </c>
      <c r="T45" s="84" t="s">
        <v>1902</v>
      </c>
      <c r="U45" s="84" t="s">
        <v>1896</v>
      </c>
      <c r="V45" s="101" t="str">
        <f>VLOOKUP(B45,[2]Overall!$A:$D,4,0)</f>
        <v xml:space="preserve">I-ENG </v>
      </c>
      <c r="W45" s="101" t="str">
        <f>VLOOKUP(B45,[3]Sheet1!$A:$B,2,0)</f>
        <v>Bangambi</v>
      </c>
      <c r="X45" s="88" t="str">
        <f t="shared" si="4"/>
        <v>OST</v>
      </c>
      <c r="Y45" s="88" t="str">
        <f t="shared" ca="1" si="5"/>
        <v>24H&lt;T&lt;48H</v>
      </c>
      <c r="Z45" s="101">
        <f t="shared" si="6"/>
        <v>1</v>
      </c>
      <c r="AA45" s="84" t="s">
        <v>1566</v>
      </c>
      <c r="AB45" s="84" t="s">
        <v>1554</v>
      </c>
      <c r="AC45" s="105" t="s">
        <v>2617</v>
      </c>
      <c r="AD45" s="106" t="s">
        <v>1994</v>
      </c>
      <c r="AE45" s="61"/>
    </row>
    <row r="46" spans="1:31" ht="87" hidden="1" x14ac:dyDescent="0.35">
      <c r="A46" s="84" t="s">
        <v>2554</v>
      </c>
      <c r="B46" s="61" t="s">
        <v>2555</v>
      </c>
      <c r="C46" s="65"/>
      <c r="D46" s="61"/>
      <c r="E46" s="61" t="s">
        <v>2560</v>
      </c>
      <c r="F46" s="70" t="s">
        <v>53</v>
      </c>
      <c r="G46" s="70" t="s">
        <v>2121</v>
      </c>
      <c r="H46" s="67">
        <v>46178.890717592592</v>
      </c>
      <c r="I46" s="75">
        <f t="shared" ca="1" si="7"/>
        <v>1.7779747685199254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84" t="s">
        <v>2654</v>
      </c>
      <c r="S46" s="84" t="s">
        <v>71</v>
      </c>
      <c r="T46" s="84" t="s">
        <v>1902</v>
      </c>
      <c r="U46" s="84" t="s">
        <v>1896</v>
      </c>
      <c r="V46" s="101" t="str">
        <f>VLOOKUP(B46,[2]Overall!$A:$D,4,0)</f>
        <v xml:space="preserve">I-ENG </v>
      </c>
      <c r="W46" s="101" t="str">
        <f>VLOOKUP(B46,[3]Sheet1!$A:$B,2,0)</f>
        <v>Bangambi</v>
      </c>
      <c r="X46" s="88" t="str">
        <f t="shared" si="4"/>
        <v>OST</v>
      </c>
      <c r="Y46" s="88" t="str">
        <f t="shared" ca="1" si="5"/>
        <v>24H&lt;T&lt;48H</v>
      </c>
      <c r="Z46" s="101">
        <f t="shared" si="6"/>
        <v>1</v>
      </c>
      <c r="AA46" s="84" t="s">
        <v>1566</v>
      </c>
      <c r="AB46" s="84" t="s">
        <v>1554</v>
      </c>
      <c r="AC46" s="105" t="s">
        <v>2617</v>
      </c>
      <c r="AD46" s="106" t="s">
        <v>1994</v>
      </c>
      <c r="AE46" s="61"/>
    </row>
    <row r="47" spans="1:31" ht="87" hidden="1" x14ac:dyDescent="0.35">
      <c r="A47" s="61" t="s">
        <v>2554</v>
      </c>
      <c r="B47" s="61" t="s">
        <v>2555</v>
      </c>
      <c r="C47" s="65"/>
      <c r="D47" s="61"/>
      <c r="E47" s="61" t="s">
        <v>2562</v>
      </c>
      <c r="F47" s="70" t="s">
        <v>53</v>
      </c>
      <c r="G47" s="70" t="s">
        <v>2121</v>
      </c>
      <c r="H47" s="67">
        <v>46178.890717592592</v>
      </c>
      <c r="I47" s="75">
        <f t="shared" ca="1" si="7"/>
        <v>1.7779747685199254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84" t="s">
        <v>2654</v>
      </c>
      <c r="S47" s="84" t="s">
        <v>71</v>
      </c>
      <c r="T47" s="84" t="s">
        <v>1902</v>
      </c>
      <c r="U47" s="84" t="s">
        <v>1896</v>
      </c>
      <c r="V47" s="101" t="str">
        <f>VLOOKUP(B47,[2]Overall!$A:$D,4,0)</f>
        <v xml:space="preserve">I-ENG </v>
      </c>
      <c r="W47" s="101" t="str">
        <f>VLOOKUP(B47,[3]Sheet1!$A:$B,2,0)</f>
        <v>Bangambi</v>
      </c>
      <c r="X47" s="88" t="str">
        <f t="shared" si="4"/>
        <v>OST</v>
      </c>
      <c r="Y47" s="88" t="str">
        <f t="shared" ca="1" si="5"/>
        <v>24H&lt;T&lt;48H</v>
      </c>
      <c r="Z47" s="101">
        <f t="shared" si="6"/>
        <v>1</v>
      </c>
      <c r="AA47" s="84" t="s">
        <v>1566</v>
      </c>
      <c r="AB47" s="84" t="s">
        <v>1554</v>
      </c>
      <c r="AC47" s="105" t="s">
        <v>2617</v>
      </c>
      <c r="AD47" s="106" t="s">
        <v>1994</v>
      </c>
      <c r="AE47" s="61"/>
    </row>
    <row r="48" spans="1:31" ht="87" hidden="1" x14ac:dyDescent="0.35">
      <c r="A48" s="61" t="s">
        <v>2554</v>
      </c>
      <c r="B48" s="61" t="s">
        <v>2555</v>
      </c>
      <c r="C48" s="65"/>
      <c r="D48" s="61"/>
      <c r="E48" s="61" t="s">
        <v>2556</v>
      </c>
      <c r="F48" s="70" t="s">
        <v>53</v>
      </c>
      <c r="G48" s="70" t="s">
        <v>2121</v>
      </c>
      <c r="H48" s="67">
        <v>46178.890706018516</v>
      </c>
      <c r="I48" s="75">
        <f t="shared" ca="1" si="7"/>
        <v>1.7779863425967051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84" t="s">
        <v>2654</v>
      </c>
      <c r="S48" s="84" t="s">
        <v>71</v>
      </c>
      <c r="T48" s="84" t="s">
        <v>1902</v>
      </c>
      <c r="U48" s="84" t="s">
        <v>1896</v>
      </c>
      <c r="V48" s="101" t="str">
        <f>VLOOKUP(B48,[2]Overall!$A:$D,4,0)</f>
        <v xml:space="preserve">I-ENG </v>
      </c>
      <c r="W48" s="101" t="str">
        <f>VLOOKUP(B48,[3]Sheet1!$A:$B,2,0)</f>
        <v>Bangambi</v>
      </c>
      <c r="X48" s="88" t="str">
        <f t="shared" si="4"/>
        <v>OST</v>
      </c>
      <c r="Y48" s="88" t="str">
        <f t="shared" ca="1" si="5"/>
        <v>24H&lt;T&lt;48H</v>
      </c>
      <c r="Z48" s="101">
        <f t="shared" si="6"/>
        <v>1</v>
      </c>
      <c r="AA48" s="84" t="s">
        <v>1566</v>
      </c>
      <c r="AB48" s="84" t="s">
        <v>1554</v>
      </c>
      <c r="AC48" s="105" t="s">
        <v>2617</v>
      </c>
      <c r="AD48" s="106" t="s">
        <v>1994</v>
      </c>
      <c r="AE48" s="61"/>
    </row>
    <row r="49" spans="1:31" ht="87" hidden="1" x14ac:dyDescent="0.35">
      <c r="A49" s="61" t="s">
        <v>2554</v>
      </c>
      <c r="B49" s="61" t="s">
        <v>2555</v>
      </c>
      <c r="C49" s="65"/>
      <c r="D49" s="61"/>
      <c r="E49" s="61" t="s">
        <v>2561</v>
      </c>
      <c r="F49" s="70" t="s">
        <v>53</v>
      </c>
      <c r="G49" s="70" t="s">
        <v>2121</v>
      </c>
      <c r="H49" s="67">
        <v>46178.890717592592</v>
      </c>
      <c r="I49" s="75">
        <f t="shared" ca="1" si="7"/>
        <v>1.7779747685199254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84" t="s">
        <v>2654</v>
      </c>
      <c r="S49" s="84" t="s">
        <v>71</v>
      </c>
      <c r="T49" s="84" t="s">
        <v>1902</v>
      </c>
      <c r="U49" s="84" t="s">
        <v>1896</v>
      </c>
      <c r="V49" s="101" t="str">
        <f>VLOOKUP(B49,[2]Overall!$A:$D,4,0)</f>
        <v xml:space="preserve">I-ENG </v>
      </c>
      <c r="W49" s="101" t="str">
        <f>VLOOKUP(B49,[3]Sheet1!$A:$B,2,0)</f>
        <v>Bangambi</v>
      </c>
      <c r="X49" s="88" t="str">
        <f t="shared" si="4"/>
        <v>OST</v>
      </c>
      <c r="Y49" s="88" t="str">
        <f t="shared" ca="1" si="5"/>
        <v>24H&lt;T&lt;48H</v>
      </c>
      <c r="Z49" s="101">
        <f t="shared" si="6"/>
        <v>1</v>
      </c>
      <c r="AA49" s="84" t="s">
        <v>1566</v>
      </c>
      <c r="AB49" s="84" t="s">
        <v>1554</v>
      </c>
      <c r="AC49" s="105" t="s">
        <v>2617</v>
      </c>
      <c r="AD49" s="106" t="s">
        <v>1994</v>
      </c>
      <c r="AE49" s="61"/>
    </row>
    <row r="50" spans="1:31" ht="87" hidden="1" x14ac:dyDescent="0.35">
      <c r="A50" s="61" t="s">
        <v>2554</v>
      </c>
      <c r="B50" s="61" t="s">
        <v>2555</v>
      </c>
      <c r="C50" s="65"/>
      <c r="D50" s="61"/>
      <c r="E50" s="61" t="s">
        <v>2563</v>
      </c>
      <c r="F50" s="70" t="s">
        <v>53</v>
      </c>
      <c r="G50" s="70" t="s">
        <v>2121</v>
      </c>
      <c r="H50" s="67">
        <v>46178.890717592592</v>
      </c>
      <c r="I50" s="75">
        <f t="shared" ca="1" si="7"/>
        <v>1.7779747685199254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84" t="s">
        <v>2654</v>
      </c>
      <c r="S50" s="84" t="s">
        <v>71</v>
      </c>
      <c r="T50" s="84" t="s">
        <v>1902</v>
      </c>
      <c r="U50" s="84" t="s">
        <v>1896</v>
      </c>
      <c r="V50" s="101" t="str">
        <f>VLOOKUP(B50,[2]Overall!$A:$D,4,0)</f>
        <v xml:space="preserve">I-ENG </v>
      </c>
      <c r="W50" s="101" t="str">
        <f>VLOOKUP(B50,[3]Sheet1!$A:$B,2,0)</f>
        <v>Bangambi</v>
      </c>
      <c r="X50" s="88" t="str">
        <f t="shared" si="4"/>
        <v>OST</v>
      </c>
      <c r="Y50" s="88" t="str">
        <f t="shared" ca="1" si="5"/>
        <v>24H&lt;T&lt;48H</v>
      </c>
      <c r="Z50" s="101">
        <f t="shared" si="6"/>
        <v>1</v>
      </c>
      <c r="AA50" s="84" t="s">
        <v>1566</v>
      </c>
      <c r="AB50" s="84" t="s">
        <v>1554</v>
      </c>
      <c r="AC50" s="105" t="s">
        <v>2617</v>
      </c>
      <c r="AD50" s="106" t="s">
        <v>1994</v>
      </c>
      <c r="AE50" s="61"/>
    </row>
    <row r="51" spans="1:31" ht="87" hidden="1" x14ac:dyDescent="0.35">
      <c r="A51" s="61" t="s">
        <v>2554</v>
      </c>
      <c r="B51" s="61" t="s">
        <v>2555</v>
      </c>
      <c r="C51" s="65"/>
      <c r="D51" s="61"/>
      <c r="E51" s="61" t="s">
        <v>2559</v>
      </c>
      <c r="F51" s="70" t="s">
        <v>53</v>
      </c>
      <c r="G51" s="70" t="s">
        <v>2121</v>
      </c>
      <c r="H51" s="67">
        <v>46178.890717592592</v>
      </c>
      <c r="I51" s="75">
        <f t="shared" ca="1" si="7"/>
        <v>1.7779747685199254</v>
      </c>
      <c r="J51" s="61"/>
      <c r="K51" s="61"/>
      <c r="L51" s="61"/>
      <c r="M51" s="61" t="s">
        <v>41</v>
      </c>
      <c r="N51" s="61" t="s">
        <v>42</v>
      </c>
      <c r="O51" s="61"/>
      <c r="P51" s="61"/>
      <c r="Q51" s="61"/>
      <c r="R51" s="84" t="s">
        <v>2654</v>
      </c>
      <c r="S51" s="84" t="s">
        <v>71</v>
      </c>
      <c r="T51" s="84" t="s">
        <v>1902</v>
      </c>
      <c r="U51" s="84" t="s">
        <v>1896</v>
      </c>
      <c r="V51" s="101" t="str">
        <f>VLOOKUP(B51,[2]Overall!$A:$D,4,0)</f>
        <v xml:space="preserve">I-ENG </v>
      </c>
      <c r="W51" s="101" t="str">
        <f>VLOOKUP(B51,[3]Sheet1!$A:$B,2,0)</f>
        <v>Bangambi</v>
      </c>
      <c r="X51" s="88" t="str">
        <f t="shared" si="4"/>
        <v>OST</v>
      </c>
      <c r="Y51" s="88" t="str">
        <f t="shared" ca="1" si="5"/>
        <v>24H&lt;T&lt;48H</v>
      </c>
      <c r="Z51" s="101">
        <f t="shared" si="6"/>
        <v>1</v>
      </c>
      <c r="AA51" s="84" t="s">
        <v>1566</v>
      </c>
      <c r="AB51" s="84" t="s">
        <v>1554</v>
      </c>
      <c r="AC51" s="105" t="s">
        <v>2617</v>
      </c>
      <c r="AD51" s="106" t="s">
        <v>1994</v>
      </c>
      <c r="AE51" s="61"/>
    </row>
    <row r="52" spans="1:31" ht="87" hidden="1" x14ac:dyDescent="0.35">
      <c r="A52" s="61" t="s">
        <v>2554</v>
      </c>
      <c r="B52" s="61" t="s">
        <v>2555</v>
      </c>
      <c r="C52" s="65"/>
      <c r="D52" s="61"/>
      <c r="E52" s="61" t="s">
        <v>2557</v>
      </c>
      <c r="F52" s="70" t="s">
        <v>53</v>
      </c>
      <c r="G52" s="70" t="s">
        <v>2121</v>
      </c>
      <c r="H52" s="67">
        <v>46178.890717592592</v>
      </c>
      <c r="I52" s="75">
        <f t="shared" ca="1" si="7"/>
        <v>1.7779747685199254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84" t="s">
        <v>2654</v>
      </c>
      <c r="S52" s="84" t="s">
        <v>71</v>
      </c>
      <c r="T52" s="84" t="s">
        <v>1902</v>
      </c>
      <c r="U52" s="84" t="s">
        <v>1896</v>
      </c>
      <c r="V52" s="101" t="str">
        <f>VLOOKUP(B52,[2]Overall!$A:$D,4,0)</f>
        <v xml:space="preserve">I-ENG </v>
      </c>
      <c r="W52" s="101" t="str">
        <f>VLOOKUP(B52,[3]Sheet1!$A:$B,2,0)</f>
        <v>Bangambi</v>
      </c>
      <c r="X52" s="88" t="str">
        <f t="shared" si="4"/>
        <v>OST</v>
      </c>
      <c r="Y52" s="88" t="str">
        <f t="shared" ca="1" si="5"/>
        <v>24H&lt;T&lt;48H</v>
      </c>
      <c r="Z52" s="101">
        <f t="shared" si="6"/>
        <v>1</v>
      </c>
      <c r="AA52" s="84" t="s">
        <v>1566</v>
      </c>
      <c r="AB52" s="84" t="s">
        <v>1554</v>
      </c>
      <c r="AC52" s="105" t="s">
        <v>2617</v>
      </c>
      <c r="AD52" s="106" t="s">
        <v>1994</v>
      </c>
      <c r="AE52" s="61"/>
    </row>
    <row r="53" spans="1:31" ht="72.5" hidden="1" x14ac:dyDescent="0.35">
      <c r="A53" s="61" t="s">
        <v>2604</v>
      </c>
      <c r="B53" s="61" t="s">
        <v>2605</v>
      </c>
      <c r="C53" s="65"/>
      <c r="D53" s="61"/>
      <c r="E53" s="61" t="s">
        <v>2606</v>
      </c>
      <c r="F53" s="70" t="s">
        <v>53</v>
      </c>
      <c r="G53" s="70" t="s">
        <v>2121</v>
      </c>
      <c r="H53" s="67">
        <v>46179.257789351854</v>
      </c>
      <c r="I53" s="75">
        <f t="shared" ca="1" si="7"/>
        <v>1.4109030092586181</v>
      </c>
      <c r="J53" s="61"/>
      <c r="K53" s="61"/>
      <c r="L53" s="61"/>
      <c r="M53" s="61" t="s">
        <v>38</v>
      </c>
      <c r="N53" s="61" t="s">
        <v>2607</v>
      </c>
      <c r="O53" s="61"/>
      <c r="P53" s="61"/>
      <c r="Q53" s="61"/>
      <c r="R53" s="84" t="s">
        <v>2618</v>
      </c>
      <c r="S53" s="61" t="s">
        <v>51</v>
      </c>
      <c r="T53" s="61" t="s">
        <v>1898</v>
      </c>
      <c r="U53" s="61" t="s">
        <v>1898</v>
      </c>
      <c r="V53" s="101" t="str">
        <f>VLOOKUP(B53,[2]Overall!$A:$D,4,0)</f>
        <v>TELEINFRA NORD</v>
      </c>
      <c r="W53" s="101" t="str">
        <f>VLOOKUP(B53,[3]Sheet1!$A:$B,2,0)</f>
        <v>Nganha</v>
      </c>
      <c r="X53" s="88" t="str">
        <f t="shared" si="4"/>
        <v>ADM</v>
      </c>
      <c r="Y53" s="88" t="str">
        <f t="shared" ca="1" si="5"/>
        <v>24H&lt;T&lt;48H</v>
      </c>
      <c r="Z53" s="101">
        <f t="shared" si="6"/>
        <v>2</v>
      </c>
      <c r="AA53" s="84" t="s">
        <v>1566</v>
      </c>
      <c r="AB53" s="84" t="s">
        <v>1905</v>
      </c>
      <c r="AC53" s="105" t="s">
        <v>2617</v>
      </c>
      <c r="AD53" s="106" t="s">
        <v>1994</v>
      </c>
      <c r="AE53" s="61"/>
    </row>
    <row r="54" spans="1:31" ht="116" hidden="1" x14ac:dyDescent="0.35">
      <c r="A54" s="61" t="s">
        <v>2576</v>
      </c>
      <c r="B54" s="61" t="s">
        <v>2577</v>
      </c>
      <c r="C54" s="65"/>
      <c r="D54" s="61"/>
      <c r="E54" s="61" t="s">
        <v>1641</v>
      </c>
      <c r="F54" s="70" t="s">
        <v>53</v>
      </c>
      <c r="G54" s="70" t="s">
        <v>2121</v>
      </c>
      <c r="H54" s="67">
        <v>46179.268483796295</v>
      </c>
      <c r="I54" s="75">
        <f t="shared" ca="1" si="7"/>
        <v>1.4002085648171487</v>
      </c>
      <c r="J54" s="61"/>
      <c r="K54" s="61"/>
      <c r="L54" s="61"/>
      <c r="M54" s="61" t="s">
        <v>41</v>
      </c>
      <c r="N54" s="61" t="s">
        <v>2349</v>
      </c>
      <c r="O54" s="61"/>
      <c r="P54" s="61"/>
      <c r="Q54" s="61"/>
      <c r="R54" s="84" t="s">
        <v>2634</v>
      </c>
      <c r="S54" s="84" t="s">
        <v>40</v>
      </c>
      <c r="T54" s="84" t="s">
        <v>1840</v>
      </c>
      <c r="U54" s="84" t="s">
        <v>1840</v>
      </c>
      <c r="V54" s="101" t="str">
        <f>VLOOKUP(B54,[2]Overall!$A:$D,4,0)</f>
        <v>TELEINFRA NORD</v>
      </c>
      <c r="W54" s="101" t="str">
        <f>VLOOKUP(B54,[3]Sheet1!$A:$B,2,0)</f>
        <v>Tchevi</v>
      </c>
      <c r="X54" s="88" t="str">
        <f t="shared" si="4"/>
        <v>EXN</v>
      </c>
      <c r="Y54" s="88" t="str">
        <f t="shared" ca="1" si="5"/>
        <v>24H&lt;T&lt;48H</v>
      </c>
      <c r="Z54" s="101">
        <f t="shared" si="6"/>
        <v>1</v>
      </c>
      <c r="AA54" s="84" t="s">
        <v>1566</v>
      </c>
      <c r="AB54" s="84" t="s">
        <v>1554</v>
      </c>
      <c r="AC54" s="105" t="s">
        <v>2617</v>
      </c>
      <c r="AD54" s="106" t="s">
        <v>1994</v>
      </c>
      <c r="AE54" s="61"/>
    </row>
    <row r="55" spans="1:31" ht="116" hidden="1" x14ac:dyDescent="0.35">
      <c r="A55" s="61" t="s">
        <v>2576</v>
      </c>
      <c r="B55" s="61" t="s">
        <v>2577</v>
      </c>
      <c r="C55" s="65"/>
      <c r="D55" s="61"/>
      <c r="E55" s="61" t="s">
        <v>1636</v>
      </c>
      <c r="F55" s="70" t="s">
        <v>53</v>
      </c>
      <c r="G55" s="70" t="s">
        <v>2121</v>
      </c>
      <c r="H55" s="67">
        <v>46179.268483796295</v>
      </c>
      <c r="I55" s="75">
        <f t="shared" ca="1" si="7"/>
        <v>1.4002085648171487</v>
      </c>
      <c r="J55" s="61"/>
      <c r="K55" s="61"/>
      <c r="L55" s="61"/>
      <c r="M55" s="61" t="s">
        <v>41</v>
      </c>
      <c r="N55" s="61" t="s">
        <v>2348</v>
      </c>
      <c r="O55" s="61"/>
      <c r="P55" s="61"/>
      <c r="Q55" s="61"/>
      <c r="R55" s="84" t="s">
        <v>2634</v>
      </c>
      <c r="S55" s="84" t="s">
        <v>40</v>
      </c>
      <c r="T55" s="84" t="s">
        <v>1840</v>
      </c>
      <c r="U55" s="84" t="s">
        <v>1840</v>
      </c>
      <c r="V55" s="101" t="str">
        <f>VLOOKUP(B55,[2]Overall!$A:$D,4,0)</f>
        <v>TELEINFRA NORD</v>
      </c>
      <c r="W55" s="101" t="str">
        <f>VLOOKUP(B55,[3]Sheet1!$A:$B,2,0)</f>
        <v>Tchevi</v>
      </c>
      <c r="X55" s="88" t="str">
        <f t="shared" si="4"/>
        <v>EXN</v>
      </c>
      <c r="Y55" s="88" t="str">
        <f t="shared" ca="1" si="5"/>
        <v>24H&lt;T&lt;48H</v>
      </c>
      <c r="Z55" s="101">
        <f t="shared" si="6"/>
        <v>1</v>
      </c>
      <c r="AA55" s="84" t="s">
        <v>1566</v>
      </c>
      <c r="AB55" s="84" t="s">
        <v>1554</v>
      </c>
      <c r="AC55" s="105" t="s">
        <v>2617</v>
      </c>
      <c r="AD55" s="106" t="s">
        <v>1994</v>
      </c>
      <c r="AE55" s="61"/>
    </row>
    <row r="56" spans="1:31" ht="116" hidden="1" x14ac:dyDescent="0.35">
      <c r="A56" s="61" t="s">
        <v>2576</v>
      </c>
      <c r="B56" s="61" t="s">
        <v>2577</v>
      </c>
      <c r="C56" s="65"/>
      <c r="D56" s="61"/>
      <c r="E56" s="61" t="s">
        <v>49</v>
      </c>
      <c r="F56" s="70" t="s">
        <v>53</v>
      </c>
      <c r="G56" s="70" t="s">
        <v>2121</v>
      </c>
      <c r="H56" s="67">
        <v>46179.268483796295</v>
      </c>
      <c r="I56" s="75">
        <f t="shared" ca="1" si="7"/>
        <v>1.4002085648171487</v>
      </c>
      <c r="J56" s="61"/>
      <c r="K56" s="61"/>
      <c r="L56" s="61"/>
      <c r="M56" s="61" t="s">
        <v>41</v>
      </c>
      <c r="N56" s="61" t="s">
        <v>2347</v>
      </c>
      <c r="O56" s="61"/>
      <c r="P56" s="61"/>
      <c r="Q56" s="61"/>
      <c r="R56" s="84" t="s">
        <v>2634</v>
      </c>
      <c r="S56" s="84" t="s">
        <v>40</v>
      </c>
      <c r="T56" s="84" t="s">
        <v>1840</v>
      </c>
      <c r="U56" s="84" t="s">
        <v>1840</v>
      </c>
      <c r="V56" s="101" t="str">
        <f>VLOOKUP(B56,[2]Overall!$A:$D,4,0)</f>
        <v>TELEINFRA NORD</v>
      </c>
      <c r="W56" s="101" t="str">
        <f>VLOOKUP(B56,[3]Sheet1!$A:$B,2,0)</f>
        <v>Tchevi</v>
      </c>
      <c r="X56" s="88" t="str">
        <f t="shared" si="4"/>
        <v>EXN</v>
      </c>
      <c r="Y56" s="88" t="str">
        <f t="shared" ca="1" si="5"/>
        <v>24H&lt;T&lt;48H</v>
      </c>
      <c r="Z56" s="101">
        <f t="shared" si="6"/>
        <v>1</v>
      </c>
      <c r="AA56" s="84" t="s">
        <v>1566</v>
      </c>
      <c r="AB56" s="84" t="s">
        <v>1554</v>
      </c>
      <c r="AC56" s="105" t="s">
        <v>2617</v>
      </c>
      <c r="AD56" s="106" t="s">
        <v>1994</v>
      </c>
      <c r="AE56" s="61"/>
    </row>
    <row r="57" spans="1:31" ht="261" hidden="1" x14ac:dyDescent="0.35">
      <c r="A57" s="61" t="s">
        <v>1779</v>
      </c>
      <c r="B57" s="61" t="s">
        <v>1780</v>
      </c>
      <c r="C57" s="65"/>
      <c r="D57" s="61"/>
      <c r="E57" s="61" t="s">
        <v>37</v>
      </c>
      <c r="F57" s="70" t="s">
        <v>53</v>
      </c>
      <c r="G57" s="70" t="s">
        <v>2121</v>
      </c>
      <c r="H57" s="67">
        <v>46179.27957175926</v>
      </c>
      <c r="I57" s="75">
        <f t="shared" ca="1" si="7"/>
        <v>1.3891206018524827</v>
      </c>
      <c r="J57" s="61"/>
      <c r="K57" s="61"/>
      <c r="L57" s="61"/>
      <c r="M57" s="61" t="s">
        <v>41</v>
      </c>
      <c r="N57" s="61" t="s">
        <v>1781</v>
      </c>
      <c r="O57" s="61"/>
      <c r="P57" s="61"/>
      <c r="Q57" s="61"/>
      <c r="R57" s="61" t="s">
        <v>2379</v>
      </c>
      <c r="S57" s="61" t="s">
        <v>75</v>
      </c>
      <c r="T57" s="61" t="s">
        <v>1840</v>
      </c>
      <c r="U57" s="61" t="s">
        <v>1840</v>
      </c>
      <c r="V57" s="101" t="str">
        <f>VLOOKUP(B57,[2]Overall!$A:$D,4,0)</f>
        <v>TELEINFRA NORD</v>
      </c>
      <c r="W57" s="101" t="str">
        <f>VLOOKUP(B57,[3]Sheet1!$A:$B,2,0)</f>
        <v>Badjonre</v>
      </c>
      <c r="X57" s="88" t="str">
        <f t="shared" si="4"/>
        <v>EXN</v>
      </c>
      <c r="Y57" s="88" t="str">
        <f t="shared" ca="1" si="5"/>
        <v>24H&lt;T&lt;48H</v>
      </c>
      <c r="Z57" s="101">
        <f t="shared" si="6"/>
        <v>1</v>
      </c>
      <c r="AA57" s="84" t="s">
        <v>1566</v>
      </c>
      <c r="AB57" s="84" t="s">
        <v>1554</v>
      </c>
      <c r="AC57" s="105" t="s">
        <v>2617</v>
      </c>
      <c r="AD57" s="106" t="s">
        <v>1994</v>
      </c>
      <c r="AE57" s="61"/>
    </row>
    <row r="58" spans="1:31" ht="101.5" hidden="1" x14ac:dyDescent="0.35">
      <c r="A58" s="61" t="s">
        <v>2436</v>
      </c>
      <c r="B58" s="61" t="s">
        <v>2437</v>
      </c>
      <c r="C58" s="65"/>
      <c r="D58" s="61"/>
      <c r="E58" s="61" t="s">
        <v>34</v>
      </c>
      <c r="F58" s="70" t="s">
        <v>53</v>
      </c>
      <c r="G58" s="70" t="s">
        <v>2121</v>
      </c>
      <c r="H58" s="67">
        <v>46179.286550925928</v>
      </c>
      <c r="I58" s="75">
        <f t="shared" ca="1" si="7"/>
        <v>1.3821414351841668</v>
      </c>
      <c r="J58" s="61"/>
      <c r="K58" s="61"/>
      <c r="L58" s="61"/>
      <c r="M58" s="61" t="s">
        <v>31</v>
      </c>
      <c r="N58" s="61" t="s">
        <v>2438</v>
      </c>
      <c r="O58" s="61"/>
      <c r="P58" s="61"/>
      <c r="Q58" s="61"/>
      <c r="R58" s="61" t="s">
        <v>2585</v>
      </c>
      <c r="S58" s="61" t="s">
        <v>45</v>
      </c>
      <c r="T58" s="61" t="s">
        <v>1898</v>
      </c>
      <c r="U58" s="61" t="s">
        <v>1898</v>
      </c>
      <c r="V58" s="101" t="str">
        <f>VLOOKUP(B58,[2]Overall!$A:$D,4,0)</f>
        <v>TELEINFRA CENTRE</v>
      </c>
      <c r="W58" s="101" t="str">
        <f>VLOOKUP(B58,[3]Sheet1!$A:$B,2,0)</f>
        <v>Ngola</v>
      </c>
      <c r="X58" s="88" t="str">
        <f t="shared" si="4"/>
        <v>EST</v>
      </c>
      <c r="Y58" s="88" t="str">
        <f t="shared" ca="1" si="5"/>
        <v>24H&lt;T&lt;48H</v>
      </c>
      <c r="Z58" s="101">
        <f t="shared" si="6"/>
        <v>1</v>
      </c>
      <c r="AA58" s="84" t="s">
        <v>1566</v>
      </c>
      <c r="AB58" s="84" t="s">
        <v>1554</v>
      </c>
      <c r="AC58" s="105" t="s">
        <v>2617</v>
      </c>
      <c r="AD58" s="106" t="s">
        <v>1994</v>
      </c>
      <c r="AE58" s="61"/>
    </row>
    <row r="59" spans="1:31" ht="116" hidden="1" x14ac:dyDescent="0.35">
      <c r="A59" s="61" t="s">
        <v>2218</v>
      </c>
      <c r="B59" s="61" t="s">
        <v>2219</v>
      </c>
      <c r="C59" s="65"/>
      <c r="D59" s="61"/>
      <c r="E59" s="61" t="s">
        <v>2223</v>
      </c>
      <c r="F59" s="70" t="s">
        <v>53</v>
      </c>
      <c r="G59" s="70" t="s">
        <v>2121</v>
      </c>
      <c r="H59" s="67">
        <v>46179.321331018517</v>
      </c>
      <c r="I59" s="75">
        <f t="shared" ca="1" si="7"/>
        <v>1.347361342595832</v>
      </c>
      <c r="J59" s="61"/>
      <c r="K59" s="61"/>
      <c r="L59" s="61"/>
      <c r="M59" s="61" t="s">
        <v>1730</v>
      </c>
      <c r="N59" s="61" t="s">
        <v>2224</v>
      </c>
      <c r="O59" s="61"/>
      <c r="P59" s="61"/>
      <c r="Q59" s="61"/>
      <c r="R59" s="61" t="s">
        <v>2584</v>
      </c>
      <c r="S59" s="61" t="s">
        <v>45</v>
      </c>
      <c r="T59" s="61" t="s">
        <v>1898</v>
      </c>
      <c r="U59" s="61" t="s">
        <v>1898</v>
      </c>
      <c r="V59" s="101" t="str">
        <f>VLOOKUP(B59,[2]Overall!$A:$D,4,0)</f>
        <v>TELEINFRA CENTRE</v>
      </c>
      <c r="W59" s="101" t="str">
        <f>VLOOKUP(B59,[3]Sheet1!$A:$B,2,0)</f>
        <v>Evodoula</v>
      </c>
      <c r="X59" s="88" t="str">
        <f t="shared" si="4"/>
        <v>CTR</v>
      </c>
      <c r="Y59" s="88" t="str">
        <f t="shared" ca="1" si="5"/>
        <v>24H&lt;T&lt;48H</v>
      </c>
      <c r="Z59" s="101">
        <f t="shared" si="6"/>
        <v>2</v>
      </c>
      <c r="AA59" s="84" t="s">
        <v>1566</v>
      </c>
      <c r="AB59" s="84" t="s">
        <v>1554</v>
      </c>
      <c r="AC59" s="105" t="s">
        <v>2617</v>
      </c>
      <c r="AD59" s="106" t="s">
        <v>1994</v>
      </c>
      <c r="AE59" s="61"/>
    </row>
    <row r="60" spans="1:31" ht="275.5" hidden="1" x14ac:dyDescent="0.35">
      <c r="A60" s="61" t="s">
        <v>1581</v>
      </c>
      <c r="B60" s="61" t="s">
        <v>1582</v>
      </c>
      <c r="C60" s="65"/>
      <c r="D60" s="61"/>
      <c r="E60" s="61" t="s">
        <v>47</v>
      </c>
      <c r="F60" s="70" t="s">
        <v>53</v>
      </c>
      <c r="G60" s="70" t="s">
        <v>2121</v>
      </c>
      <c r="H60" s="67">
        <v>46179.36146990741</v>
      </c>
      <c r="I60" s="75">
        <f t="shared" ca="1" si="7"/>
        <v>1.3072224537027068</v>
      </c>
      <c r="J60" s="61"/>
      <c r="K60" s="61"/>
      <c r="L60" s="61"/>
      <c r="M60" s="61" t="s">
        <v>31</v>
      </c>
      <c r="N60" s="61" t="s">
        <v>2608</v>
      </c>
      <c r="O60" s="61"/>
      <c r="P60" s="61"/>
      <c r="Q60" s="61"/>
      <c r="R60" s="84" t="s">
        <v>2659</v>
      </c>
      <c r="S60" s="61" t="s">
        <v>32</v>
      </c>
      <c r="T60" s="61" t="s">
        <v>1840</v>
      </c>
      <c r="U60" s="61" t="s">
        <v>1840</v>
      </c>
      <c r="V60" s="101" t="str">
        <f>VLOOKUP(B60,[2]Overall!$A:$D,4,0)</f>
        <v xml:space="preserve">I-ENG </v>
      </c>
      <c r="W60" s="101" t="str">
        <f>VLOOKUP(B60,[3]Sheet1!$A:$B,2,0)</f>
        <v>Batibo</v>
      </c>
      <c r="X60" s="88" t="str">
        <f t="shared" ref="X60:X65" si="8">LEFT(B60,3)</f>
        <v>NRO</v>
      </c>
      <c r="Y60" s="88" t="str">
        <f t="shared" ref="Y60:Y65" ca="1" si="9">IF(I60 &lt; 1/24, "T&lt;1H", IF(AND(I60&lt;2/24, I60&gt;1/24), "1H&lt;T&lt;2H", IF(AND(I60&lt;4/24, I60&gt;2/24), "2H&lt;T&lt;4H", IF(AND(I60&lt;8/24, I60&gt;4/24), "4H&lt;T&lt;8H", IF(AND(I60&lt;16/24, I60&gt;8/24), "8H&lt;T&lt;16H",IF(AND(I60&lt;24/24, I60&gt;16/24),"16H&lt;T&lt;24H", IF(AND(I60&lt;48/24, I60&gt;24/24),"24H&lt;T&lt;48H",IF(AND(I60&lt;72/24, I60&gt;24/24),"48H&lt;T&lt;72H", "T&gt;72H"))))))))</f>
        <v>24H&lt;T&lt;48H</v>
      </c>
      <c r="Z60" s="101">
        <f t="shared" ref="Z60:Z65" si="10">IF(OR(E60="", E60="affected_cells=unknown"), "", LEN(E60)-LEN(SUBSTITUTE(E60, ",", "")) + LEN(E60)-LEN(SUBSTITUTE(E60, ";", "")) + 1)</f>
        <v>3</v>
      </c>
      <c r="AA60" s="84" t="s">
        <v>1566</v>
      </c>
      <c r="AB60" s="84" t="s">
        <v>1554</v>
      </c>
      <c r="AC60" s="105" t="s">
        <v>2617</v>
      </c>
      <c r="AD60" s="106" t="s">
        <v>1994</v>
      </c>
      <c r="AE60" s="61"/>
    </row>
    <row r="61" spans="1:31" ht="246.5" hidden="1" x14ac:dyDescent="0.35">
      <c r="A61" s="61" t="s">
        <v>1581</v>
      </c>
      <c r="B61" s="61" t="s">
        <v>1582</v>
      </c>
      <c r="C61" s="65"/>
      <c r="D61" s="61"/>
      <c r="E61" s="61" t="s">
        <v>35</v>
      </c>
      <c r="F61" s="70" t="s">
        <v>53</v>
      </c>
      <c r="G61" s="70" t="s">
        <v>2121</v>
      </c>
      <c r="H61" s="67">
        <v>46179.361608796295</v>
      </c>
      <c r="I61" s="75">
        <f t="shared" ca="1" si="7"/>
        <v>1.3070835648177308</v>
      </c>
      <c r="J61" s="61"/>
      <c r="K61" s="61"/>
      <c r="L61" s="61"/>
      <c r="M61" s="61" t="s">
        <v>31</v>
      </c>
      <c r="N61" s="61" t="s">
        <v>2609</v>
      </c>
      <c r="O61" s="61"/>
      <c r="P61" s="61"/>
      <c r="Q61" s="61"/>
      <c r="R61" s="84" t="s">
        <v>2625</v>
      </c>
      <c r="S61" s="61" t="s">
        <v>32</v>
      </c>
      <c r="T61" s="61" t="s">
        <v>1840</v>
      </c>
      <c r="U61" s="61" t="s">
        <v>1840</v>
      </c>
      <c r="V61" s="101" t="str">
        <f>VLOOKUP(B61,[2]Overall!$A:$D,4,0)</f>
        <v xml:space="preserve">I-ENG </v>
      </c>
      <c r="W61" s="101" t="str">
        <f>VLOOKUP(B61,[3]Sheet1!$A:$B,2,0)</f>
        <v>Batibo</v>
      </c>
      <c r="X61" s="88" t="str">
        <f t="shared" si="8"/>
        <v>NRO</v>
      </c>
      <c r="Y61" s="88" t="str">
        <f t="shared" ca="1" si="9"/>
        <v>24H&lt;T&lt;48H</v>
      </c>
      <c r="Z61" s="101">
        <f t="shared" si="10"/>
        <v>3</v>
      </c>
      <c r="AA61" s="84" t="s">
        <v>1566</v>
      </c>
      <c r="AB61" s="84" t="s">
        <v>1554</v>
      </c>
      <c r="AC61" s="105" t="s">
        <v>2617</v>
      </c>
      <c r="AD61" s="106" t="s">
        <v>1994</v>
      </c>
      <c r="AE61" s="61"/>
    </row>
    <row r="62" spans="1:31" ht="246.5" hidden="1" x14ac:dyDescent="0.35">
      <c r="A62" s="61" t="s">
        <v>1581</v>
      </c>
      <c r="B62" s="61" t="s">
        <v>1582</v>
      </c>
      <c r="C62" s="65"/>
      <c r="D62" s="61"/>
      <c r="E62" s="61" t="s">
        <v>2610</v>
      </c>
      <c r="F62" s="70" t="s">
        <v>53</v>
      </c>
      <c r="G62" s="70" t="s">
        <v>2121</v>
      </c>
      <c r="H62" s="67">
        <v>46179.361631944441</v>
      </c>
      <c r="I62" s="75">
        <f t="shared" ca="1" si="7"/>
        <v>1.3070604166714475</v>
      </c>
      <c r="J62" s="61"/>
      <c r="K62" s="61"/>
      <c r="L62" s="61"/>
      <c r="M62" s="61" t="s">
        <v>31</v>
      </c>
      <c r="N62" s="61" t="s">
        <v>2611</v>
      </c>
      <c r="O62" s="61"/>
      <c r="P62" s="61"/>
      <c r="Q62" s="61"/>
      <c r="R62" s="84" t="s">
        <v>2625</v>
      </c>
      <c r="S62" s="61" t="s">
        <v>32</v>
      </c>
      <c r="T62" s="61" t="s">
        <v>1840</v>
      </c>
      <c r="U62" s="61" t="s">
        <v>1840</v>
      </c>
      <c r="V62" s="101" t="str">
        <f>VLOOKUP(B62,[2]Overall!$A:$D,4,0)</f>
        <v xml:space="preserve">I-ENG </v>
      </c>
      <c r="W62" s="101" t="str">
        <f>VLOOKUP(B62,[3]Sheet1!$A:$B,2,0)</f>
        <v>Batibo</v>
      </c>
      <c r="X62" s="88" t="str">
        <f t="shared" si="8"/>
        <v>NRO</v>
      </c>
      <c r="Y62" s="88" t="str">
        <f t="shared" ca="1" si="9"/>
        <v>24H&lt;T&lt;48H</v>
      </c>
      <c r="Z62" s="101">
        <f t="shared" si="10"/>
        <v>6</v>
      </c>
      <c r="AA62" s="84" t="s">
        <v>1566</v>
      </c>
      <c r="AB62" s="84" t="s">
        <v>1554</v>
      </c>
      <c r="AC62" s="105" t="s">
        <v>2617</v>
      </c>
      <c r="AD62" s="106" t="s">
        <v>1994</v>
      </c>
      <c r="AE62" s="61"/>
    </row>
    <row r="63" spans="1:31" ht="246.5" hidden="1" x14ac:dyDescent="0.35">
      <c r="A63" s="61" t="s">
        <v>1581</v>
      </c>
      <c r="B63" s="61" t="s">
        <v>1582</v>
      </c>
      <c r="C63" s="65"/>
      <c r="D63" s="61"/>
      <c r="E63" s="61" t="s">
        <v>2612</v>
      </c>
      <c r="F63" s="70" t="s">
        <v>53</v>
      </c>
      <c r="G63" s="70" t="s">
        <v>2121</v>
      </c>
      <c r="H63" s="67">
        <v>46179.363680555558</v>
      </c>
      <c r="I63" s="75">
        <f t="shared" ca="1" si="7"/>
        <v>1.3050118055543862</v>
      </c>
      <c r="J63" s="61"/>
      <c r="K63" s="61"/>
      <c r="L63" s="61"/>
      <c r="M63" s="61" t="s">
        <v>31</v>
      </c>
      <c r="N63" s="61" t="s">
        <v>2613</v>
      </c>
      <c r="O63" s="61"/>
      <c r="P63" s="61"/>
      <c r="Q63" s="61"/>
      <c r="R63" s="84" t="s">
        <v>2625</v>
      </c>
      <c r="S63" s="61" t="s">
        <v>32</v>
      </c>
      <c r="T63" s="61" t="s">
        <v>1840</v>
      </c>
      <c r="U63" s="61" t="s">
        <v>1840</v>
      </c>
      <c r="V63" s="101" t="str">
        <f>VLOOKUP(B63,[2]Overall!$A:$D,4,0)</f>
        <v xml:space="preserve">I-ENG </v>
      </c>
      <c r="W63" s="101" t="str">
        <f>VLOOKUP(B63,[3]Sheet1!$A:$B,2,0)</f>
        <v>Batibo</v>
      </c>
      <c r="X63" s="88" t="str">
        <f t="shared" si="8"/>
        <v>NRO</v>
      </c>
      <c r="Y63" s="88" t="str">
        <f t="shared" ca="1" si="9"/>
        <v>24H&lt;T&lt;48H</v>
      </c>
      <c r="Z63" s="101">
        <f t="shared" si="10"/>
        <v>2</v>
      </c>
      <c r="AA63" s="84" t="s">
        <v>1566</v>
      </c>
      <c r="AB63" s="84" t="s">
        <v>1554</v>
      </c>
      <c r="AC63" s="105" t="s">
        <v>2617</v>
      </c>
      <c r="AD63" s="106" t="s">
        <v>1994</v>
      </c>
      <c r="AE63" s="61"/>
    </row>
    <row r="64" spans="1:31" ht="246.5" hidden="1" x14ac:dyDescent="0.35">
      <c r="A64" s="61" t="s">
        <v>1581</v>
      </c>
      <c r="B64" s="61" t="s">
        <v>1582</v>
      </c>
      <c r="C64" s="65"/>
      <c r="D64" s="61"/>
      <c r="E64" s="61" t="s">
        <v>2614</v>
      </c>
      <c r="F64" s="70" t="s">
        <v>53</v>
      </c>
      <c r="G64" s="70" t="s">
        <v>2121</v>
      </c>
      <c r="H64" s="67">
        <v>46179.363842592589</v>
      </c>
      <c r="I64" s="75">
        <f t="shared" ca="1" si="7"/>
        <v>1.3048497685231268</v>
      </c>
      <c r="J64" s="61"/>
      <c r="K64" s="61"/>
      <c r="L64" s="61"/>
      <c r="M64" s="61" t="s">
        <v>31</v>
      </c>
      <c r="N64" s="61" t="s">
        <v>2615</v>
      </c>
      <c r="O64" s="61"/>
      <c r="P64" s="61"/>
      <c r="Q64" s="61"/>
      <c r="R64" s="84" t="s">
        <v>2625</v>
      </c>
      <c r="S64" s="61" t="s">
        <v>32</v>
      </c>
      <c r="T64" s="61" t="s">
        <v>1840</v>
      </c>
      <c r="U64" s="61" t="s">
        <v>1840</v>
      </c>
      <c r="V64" s="101" t="str">
        <f>VLOOKUP(B64,[2]Overall!$A:$D,4,0)</f>
        <v xml:space="preserve">I-ENG </v>
      </c>
      <c r="W64" s="101" t="str">
        <f>VLOOKUP(B64,[3]Sheet1!$A:$B,2,0)</f>
        <v>Batibo</v>
      </c>
      <c r="X64" s="88" t="str">
        <f t="shared" si="8"/>
        <v>NRO</v>
      </c>
      <c r="Y64" s="88" t="str">
        <f t="shared" ca="1" si="9"/>
        <v>24H&lt;T&lt;48H</v>
      </c>
      <c r="Z64" s="101">
        <f t="shared" si="10"/>
        <v>2</v>
      </c>
      <c r="AA64" s="84" t="s">
        <v>1566</v>
      </c>
      <c r="AB64" s="84" t="s">
        <v>1554</v>
      </c>
      <c r="AC64" s="105" t="s">
        <v>2617</v>
      </c>
      <c r="AD64" s="106" t="s">
        <v>1994</v>
      </c>
      <c r="AE64" s="61"/>
    </row>
    <row r="65" spans="1:31" ht="246.5" hidden="1" x14ac:dyDescent="0.35">
      <c r="A65" s="61" t="s">
        <v>1581</v>
      </c>
      <c r="B65" s="61" t="s">
        <v>1582</v>
      </c>
      <c r="C65" s="65"/>
      <c r="D65" s="61"/>
      <c r="E65" s="61" t="s">
        <v>2223</v>
      </c>
      <c r="F65" s="70" t="s">
        <v>53</v>
      </c>
      <c r="G65" s="70" t="s">
        <v>2121</v>
      </c>
      <c r="H65" s="67">
        <v>46179.363842592589</v>
      </c>
      <c r="I65" s="75">
        <f t="shared" ca="1" si="7"/>
        <v>1.3048497685231268</v>
      </c>
      <c r="J65" s="61"/>
      <c r="K65" s="61"/>
      <c r="L65" s="61"/>
      <c r="M65" s="61" t="s">
        <v>31</v>
      </c>
      <c r="N65" s="61" t="s">
        <v>2616</v>
      </c>
      <c r="O65" s="61"/>
      <c r="P65" s="61"/>
      <c r="Q65" s="61"/>
      <c r="R65" s="84" t="s">
        <v>2625</v>
      </c>
      <c r="S65" s="61" t="s">
        <v>32</v>
      </c>
      <c r="T65" s="61" t="s">
        <v>1840</v>
      </c>
      <c r="U65" s="61" t="s">
        <v>1840</v>
      </c>
      <c r="V65" s="101" t="str">
        <f>VLOOKUP(B65,[2]Overall!$A:$D,4,0)</f>
        <v xml:space="preserve">I-ENG </v>
      </c>
      <c r="W65" s="101" t="str">
        <f>VLOOKUP(B65,[3]Sheet1!$A:$B,2,0)</f>
        <v>Batibo</v>
      </c>
      <c r="X65" s="88" t="str">
        <f t="shared" si="8"/>
        <v>NRO</v>
      </c>
      <c r="Y65" s="88" t="str">
        <f t="shared" ca="1" si="9"/>
        <v>24H&lt;T&lt;48H</v>
      </c>
      <c r="Z65" s="101">
        <f t="shared" si="10"/>
        <v>2</v>
      </c>
      <c r="AA65" s="84" t="s">
        <v>1566</v>
      </c>
      <c r="AB65" s="84" t="s">
        <v>1554</v>
      </c>
      <c r="AC65" s="105" t="s">
        <v>2617</v>
      </c>
      <c r="AD65" s="106" t="s">
        <v>1994</v>
      </c>
      <c r="AE65" s="61"/>
    </row>
  </sheetData>
  <autoFilter ref="A1:AE65" xr:uid="{7E61290C-0E78-4A5C-A054-830D6C09B6EC}">
    <filterColumn colId="0">
      <filters>
        <filter val="Dabanga_G9U9U21_EXN_807_MRBTS1"/>
        <filter val="Dabanga_L18L8_EXN_807_MRBTS2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0D0E-C24B-4EF1-9797-C82014A66077}">
  <sheetPr codeName="Sheet49" filterMode="1">
    <tabColor theme="7"/>
  </sheetPr>
  <dimension ref="A1:AE63"/>
  <sheetViews>
    <sheetView zoomScale="51" zoomScaleNormal="69" workbookViewId="0">
      <pane xSplit="6" topLeftCell="O1" activePane="topRight" state="frozen"/>
      <selection activeCell="AB4" sqref="AB4"/>
      <selection pane="topRight" activeCell="P35" sqref="P35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9" t="s">
        <v>22</v>
      </c>
      <c r="Y1" s="99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hidden="1" x14ac:dyDescent="0.35">
      <c r="A2" s="61" t="s">
        <v>1710</v>
      </c>
      <c r="B2" s="61" t="s">
        <v>1711</v>
      </c>
      <c r="C2" s="65"/>
      <c r="D2" s="61"/>
      <c r="E2" s="61" t="s">
        <v>49</v>
      </c>
      <c r="F2" s="70" t="s">
        <v>53</v>
      </c>
      <c r="G2" s="70" t="s">
        <v>2121</v>
      </c>
      <c r="H2" s="67">
        <v>46163.500115740739</v>
      </c>
      <c r="I2" s="119">
        <f t="shared" ref="I2:I22" ca="1" si="0">NOW()-H2</f>
        <v>17.168576620373642</v>
      </c>
      <c r="J2" s="61"/>
      <c r="K2" s="61"/>
      <c r="L2" s="61"/>
      <c r="M2" s="61" t="s">
        <v>38</v>
      </c>
      <c r="N2" s="61" t="s">
        <v>1714</v>
      </c>
      <c r="O2" s="61"/>
      <c r="P2" s="61"/>
      <c r="Q2" s="61"/>
      <c r="R2" s="84" t="s">
        <v>2383</v>
      </c>
      <c r="S2" s="61" t="s">
        <v>75</v>
      </c>
      <c r="T2" s="61" t="s">
        <v>1688</v>
      </c>
      <c r="U2" s="61" t="s">
        <v>1688</v>
      </c>
      <c r="V2" s="101" t="str">
        <f>VLOOKUP(B2,[2]Overall!$A:$D,4,0)</f>
        <v>TELEINFRA NORD</v>
      </c>
      <c r="W2" s="101" t="str">
        <f>VLOOKUP(B2,[3]Sheet1!$A:$B,2,0)</f>
        <v>Martap</v>
      </c>
      <c r="X2" s="88" t="str">
        <f>LEFT(B2,3)</f>
        <v>ADM</v>
      </c>
      <c r="Y2" s="88" t="str">
        <f ca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22" si="1">IF(OR(E2="", E2="affected_cells=unknown"), "", LEN(E2)-LEN(SUBSTITUTE(E2, ",", "")) + LEN(E2)-LEN(SUBSTITUTE(E2, ";", "")) + 1)</f>
        <v>1</v>
      </c>
      <c r="AA2" s="84" t="s">
        <v>1566</v>
      </c>
      <c r="AB2" s="84" t="s">
        <v>1905</v>
      </c>
      <c r="AC2" s="105" t="s">
        <v>2649</v>
      </c>
      <c r="AD2" s="106" t="s">
        <v>1994</v>
      </c>
      <c r="AE2" s="61"/>
    </row>
    <row r="3" spans="1:31" ht="391.5" hidden="1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119">
        <f t="shared" ca="1" si="0"/>
        <v>12.497639120374515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61" t="s">
        <v>2628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ref="X3:X22" si="2">LEFT(B3,3)</f>
        <v>EXN</v>
      </c>
      <c r="Y3" s="88" t="str">
        <f t="shared" ref="Y3:Y22" ca="1" si="3">IF(I3 &lt; 1/24, "T&lt;1H", IF(AND(I3&lt;2/24, I3&gt;1/24), "1H&lt;T&lt;2H", IF(AND(I3&lt;4/24, I3&gt;2/24), "2H&lt;T&lt;4H", IF(AND(I3&lt;8/24, I3&gt;4/24), "4H&lt;T&lt;8H", IF(AND(I3&lt;16/24, I3&gt;8/24), "8H&lt;T&lt;16H",IF(AND(I3&lt;24/24, I3&gt;16/24),"16H&lt;T&lt;24H", IF(AND(I3&lt;48/24, I3&gt;24/24),"24H&lt;T&lt;48H",IF(AND(I3&lt;72/24, I3&gt;24/24),"48H&lt;T&lt;72H", "T&gt;72H"))))))))</f>
        <v>T&gt;72H</v>
      </c>
      <c r="Z3" s="101">
        <f t="shared" si="1"/>
        <v>4</v>
      </c>
      <c r="AA3" s="84" t="s">
        <v>1566</v>
      </c>
      <c r="AB3" s="84" t="s">
        <v>1554</v>
      </c>
      <c r="AC3" s="105" t="s">
        <v>2649</v>
      </c>
      <c r="AD3" s="106" t="s">
        <v>1994</v>
      </c>
      <c r="AE3" s="61"/>
    </row>
    <row r="4" spans="1:31" ht="391.5" hidden="1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119">
        <f t="shared" ca="1" si="0"/>
        <v>12.497627546297736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2628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2"/>
        <v>EXN</v>
      </c>
      <c r="Y4" s="88" t="str">
        <f t="shared" ca="1" si="3"/>
        <v>T&gt;72H</v>
      </c>
      <c r="Z4" s="101">
        <f t="shared" si="1"/>
        <v>3</v>
      </c>
      <c r="AA4" s="84" t="s">
        <v>1566</v>
      </c>
      <c r="AB4" s="84" t="s">
        <v>1554</v>
      </c>
      <c r="AC4" s="105" t="s">
        <v>2649</v>
      </c>
      <c r="AD4" s="106" t="s">
        <v>1994</v>
      </c>
      <c r="AE4" s="61"/>
    </row>
    <row r="5" spans="1:31" ht="188.5" hidden="1" x14ac:dyDescent="0.35">
      <c r="A5" s="61" t="s">
        <v>1828</v>
      </c>
      <c r="B5" s="61" t="s">
        <v>1829</v>
      </c>
      <c r="C5" s="65"/>
      <c r="D5" s="61"/>
      <c r="E5" s="61" t="s">
        <v>39</v>
      </c>
      <c r="F5" s="70" t="s">
        <v>53</v>
      </c>
      <c r="G5" s="70" t="s">
        <v>2121</v>
      </c>
      <c r="H5" s="67">
        <v>46168.536261574074</v>
      </c>
      <c r="I5" s="119">
        <f t="shared" ca="1" si="0"/>
        <v>12.132430787038174</v>
      </c>
      <c r="J5" s="61"/>
      <c r="K5" s="61"/>
      <c r="L5" s="61"/>
      <c r="M5" s="61" t="s">
        <v>1712</v>
      </c>
      <c r="N5" s="61" t="s">
        <v>1830</v>
      </c>
      <c r="O5" s="61"/>
      <c r="P5" s="61"/>
      <c r="Q5" s="61"/>
      <c r="R5" s="61" t="s">
        <v>2632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Zigague</v>
      </c>
      <c r="X5" s="88" t="str">
        <f t="shared" si="2"/>
        <v>EXN</v>
      </c>
      <c r="Y5" s="88" t="str">
        <f t="shared" ca="1" si="3"/>
        <v>T&gt;72H</v>
      </c>
      <c r="Z5" s="101">
        <f t="shared" si="1"/>
        <v>1</v>
      </c>
      <c r="AA5" s="84" t="s">
        <v>1566</v>
      </c>
      <c r="AB5" s="84" t="s">
        <v>1554</v>
      </c>
      <c r="AC5" s="105" t="s">
        <v>2649</v>
      </c>
      <c r="AD5" s="106" t="s">
        <v>1994</v>
      </c>
      <c r="AE5" s="61"/>
    </row>
    <row r="6" spans="1:31" ht="159.5" hidden="1" x14ac:dyDescent="0.35">
      <c r="A6" s="61" t="s">
        <v>1930</v>
      </c>
      <c r="B6" s="61" t="s">
        <v>1931</v>
      </c>
      <c r="C6" s="65"/>
      <c r="D6" s="61"/>
      <c r="E6" s="61" t="s">
        <v>34</v>
      </c>
      <c r="F6" s="70" t="s">
        <v>53</v>
      </c>
      <c r="G6" s="70" t="s">
        <v>2121</v>
      </c>
      <c r="H6" s="67">
        <v>46172.534074074072</v>
      </c>
      <c r="I6" s="119">
        <f t="shared" ca="1" si="0"/>
        <v>8.1346182870402117</v>
      </c>
      <c r="J6" s="61"/>
      <c r="K6" s="61"/>
      <c r="L6" s="61"/>
      <c r="M6" s="61" t="s">
        <v>1929</v>
      </c>
      <c r="N6" s="61" t="s">
        <v>1932</v>
      </c>
      <c r="O6" s="61"/>
      <c r="P6" s="61"/>
      <c r="Q6" s="61"/>
      <c r="R6" s="61" t="s">
        <v>2629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Mazera</v>
      </c>
      <c r="X6" s="88" t="str">
        <f t="shared" si="2"/>
        <v>EXN</v>
      </c>
      <c r="Y6" s="88" t="str">
        <f t="shared" ca="1" si="3"/>
        <v>T&gt;72H</v>
      </c>
      <c r="Z6" s="101">
        <f t="shared" si="1"/>
        <v>1</v>
      </c>
      <c r="AA6" s="84" t="s">
        <v>1566</v>
      </c>
      <c r="AB6" s="84" t="s">
        <v>1554</v>
      </c>
      <c r="AC6" s="105" t="s">
        <v>2649</v>
      </c>
      <c r="AD6" s="106" t="s">
        <v>1994</v>
      </c>
      <c r="AE6" s="61"/>
    </row>
    <row r="7" spans="1:31" ht="409.5" hidden="1" x14ac:dyDescent="0.35">
      <c r="A7" s="61" t="s">
        <v>1773</v>
      </c>
      <c r="B7" s="61" t="s">
        <v>1774</v>
      </c>
      <c r="C7" s="65"/>
      <c r="D7" s="61"/>
      <c r="E7" s="61" t="s">
        <v>1956</v>
      </c>
      <c r="F7" s="70" t="s">
        <v>53</v>
      </c>
      <c r="G7" s="70" t="s">
        <v>2121</v>
      </c>
      <c r="H7" s="67">
        <v>46172.719837962963</v>
      </c>
      <c r="I7" s="119">
        <f t="shared" ca="1" si="0"/>
        <v>7.948854398149706</v>
      </c>
      <c r="J7" s="61"/>
      <c r="K7" s="61"/>
      <c r="L7" s="61"/>
      <c r="M7" s="61" t="s">
        <v>31</v>
      </c>
      <c r="N7" s="61" t="s">
        <v>1957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2"/>
        <v>NRD</v>
      </c>
      <c r="Y7" s="88" t="str">
        <f t="shared" ca="1" si="3"/>
        <v>T&gt;72H</v>
      </c>
      <c r="Z7" s="101">
        <f t="shared" si="1"/>
        <v>3</v>
      </c>
      <c r="AA7" s="84" t="s">
        <v>1566</v>
      </c>
      <c r="AB7" s="84" t="s">
        <v>1554</v>
      </c>
      <c r="AC7" s="105" t="s">
        <v>2649</v>
      </c>
      <c r="AD7" s="106" t="s">
        <v>1994</v>
      </c>
      <c r="AE7" s="61"/>
    </row>
    <row r="8" spans="1:31" ht="409.5" hidden="1" x14ac:dyDescent="0.35">
      <c r="A8" s="61" t="s">
        <v>1773</v>
      </c>
      <c r="B8" s="61" t="s">
        <v>1774</v>
      </c>
      <c r="C8" s="65"/>
      <c r="D8" s="61"/>
      <c r="E8" s="61" t="s">
        <v>35</v>
      </c>
      <c r="F8" s="70" t="s">
        <v>53</v>
      </c>
      <c r="G8" s="70" t="s">
        <v>2121</v>
      </c>
      <c r="H8" s="67">
        <v>46172.719837962963</v>
      </c>
      <c r="I8" s="119">
        <f t="shared" ca="1" si="0"/>
        <v>7.948854398149706</v>
      </c>
      <c r="J8" s="61"/>
      <c r="K8" s="61"/>
      <c r="L8" s="61"/>
      <c r="M8" s="61" t="s">
        <v>31</v>
      </c>
      <c r="N8" s="61" t="s">
        <v>1775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2"/>
        <v>NRD</v>
      </c>
      <c r="Y8" s="88" t="str">
        <f t="shared" ca="1" si="3"/>
        <v>T&gt;72H</v>
      </c>
      <c r="Z8" s="101">
        <f t="shared" si="1"/>
        <v>3</v>
      </c>
      <c r="AA8" s="84" t="s">
        <v>1566</v>
      </c>
      <c r="AB8" s="84" t="s">
        <v>1554</v>
      </c>
      <c r="AC8" s="105" t="s">
        <v>2649</v>
      </c>
      <c r="AD8" s="106" t="s">
        <v>1994</v>
      </c>
      <c r="AE8" s="61"/>
    </row>
    <row r="9" spans="1:31" ht="409.5" hidden="1" x14ac:dyDescent="0.35">
      <c r="A9" s="61" t="s">
        <v>1773</v>
      </c>
      <c r="B9" s="61" t="s">
        <v>1774</v>
      </c>
      <c r="C9" s="65"/>
      <c r="D9" s="61"/>
      <c r="E9" s="61" t="s">
        <v>1954</v>
      </c>
      <c r="F9" s="70" t="s">
        <v>53</v>
      </c>
      <c r="G9" s="70" t="s">
        <v>2121</v>
      </c>
      <c r="H9" s="67">
        <v>46172.724965277775</v>
      </c>
      <c r="I9" s="119">
        <f t="shared" ca="1" si="0"/>
        <v>7.943727083336853</v>
      </c>
      <c r="J9" s="61"/>
      <c r="K9" s="61"/>
      <c r="L9" s="61"/>
      <c r="M9" s="61" t="s">
        <v>1750</v>
      </c>
      <c r="N9" s="61" t="s">
        <v>1751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2"/>
        <v>NRD</v>
      </c>
      <c r="Y9" s="88" t="str">
        <f t="shared" ca="1" si="3"/>
        <v>T&gt;72H</v>
      </c>
      <c r="Z9" s="101">
        <f t="shared" si="1"/>
        <v>1</v>
      </c>
      <c r="AA9" s="84" t="s">
        <v>1566</v>
      </c>
      <c r="AB9" s="84" t="s">
        <v>1554</v>
      </c>
      <c r="AC9" s="105" t="s">
        <v>2649</v>
      </c>
      <c r="AD9" s="106" t="s">
        <v>1994</v>
      </c>
      <c r="AE9" s="61"/>
    </row>
    <row r="10" spans="1:31" ht="409.5" hidden="1" x14ac:dyDescent="0.35">
      <c r="A10" s="61" t="s">
        <v>1773</v>
      </c>
      <c r="B10" s="61" t="s">
        <v>1774</v>
      </c>
      <c r="C10" s="65"/>
      <c r="D10" s="61"/>
      <c r="E10" s="61" t="s">
        <v>1955</v>
      </c>
      <c r="F10" s="70" t="s">
        <v>53</v>
      </c>
      <c r="G10" s="70" t="s">
        <v>2121</v>
      </c>
      <c r="H10" s="67">
        <v>46172.724965277775</v>
      </c>
      <c r="I10" s="119">
        <f t="shared" ca="1" si="0"/>
        <v>7.943727083336853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2"/>
        <v>NRD</v>
      </c>
      <c r="Y10" s="88" t="str">
        <f t="shared" ca="1" si="3"/>
        <v>T&gt;72H</v>
      </c>
      <c r="Z10" s="101">
        <f t="shared" si="1"/>
        <v>1</v>
      </c>
      <c r="AA10" s="84" t="s">
        <v>1566</v>
      </c>
      <c r="AB10" s="84" t="s">
        <v>1554</v>
      </c>
      <c r="AC10" s="105" t="s">
        <v>2649</v>
      </c>
      <c r="AD10" s="106" t="s">
        <v>1994</v>
      </c>
      <c r="AE10" s="61"/>
    </row>
    <row r="11" spans="1:31" ht="409.5" hidden="1" x14ac:dyDescent="0.35">
      <c r="A11" s="61" t="s">
        <v>1773</v>
      </c>
      <c r="B11" s="61" t="s">
        <v>1774</v>
      </c>
      <c r="C11" s="65"/>
      <c r="D11" s="61"/>
      <c r="E11" s="61" t="s">
        <v>1953</v>
      </c>
      <c r="F11" s="70" t="s">
        <v>53</v>
      </c>
      <c r="G11" s="70" t="s">
        <v>2121</v>
      </c>
      <c r="H11" s="67">
        <v>46172.724965277775</v>
      </c>
      <c r="I11" s="119">
        <f t="shared" ca="1" si="0"/>
        <v>7.943727083336853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2492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2"/>
        <v>NRD</v>
      </c>
      <c r="Y11" s="88" t="str">
        <f t="shared" ca="1" si="3"/>
        <v>T&gt;72H</v>
      </c>
      <c r="Z11" s="101">
        <f t="shared" si="1"/>
        <v>1</v>
      </c>
      <c r="AA11" s="84" t="s">
        <v>1566</v>
      </c>
      <c r="AB11" s="84" t="s">
        <v>1554</v>
      </c>
      <c r="AC11" s="105" t="s">
        <v>2649</v>
      </c>
      <c r="AD11" s="106" t="s">
        <v>1994</v>
      </c>
      <c r="AE11" s="61"/>
    </row>
    <row r="12" spans="1:31" ht="409.5" hidden="1" x14ac:dyDescent="0.35">
      <c r="A12" s="61" t="s">
        <v>1724</v>
      </c>
      <c r="B12" s="61" t="s">
        <v>1725</v>
      </c>
      <c r="C12" s="65"/>
      <c r="D12" s="61"/>
      <c r="E12" s="61" t="s">
        <v>1726</v>
      </c>
      <c r="F12" s="70" t="s">
        <v>53</v>
      </c>
      <c r="G12" s="70" t="s">
        <v>2121</v>
      </c>
      <c r="H12" s="67">
        <v>46172.76761574074</v>
      </c>
      <c r="I12" s="119">
        <f t="shared" ca="1" si="0"/>
        <v>7.9010766203718958</v>
      </c>
      <c r="J12" s="61"/>
      <c r="K12" s="61"/>
      <c r="L12" s="61"/>
      <c r="M12" s="61" t="s">
        <v>33</v>
      </c>
      <c r="N12" s="61" t="s">
        <v>1635</v>
      </c>
      <c r="O12" s="61"/>
      <c r="P12" s="61"/>
      <c r="Q12" s="61"/>
      <c r="R12" s="61" t="s">
        <v>2626</v>
      </c>
      <c r="S12" s="61" t="s">
        <v>32</v>
      </c>
      <c r="T12" s="61" t="s">
        <v>1898</v>
      </c>
      <c r="U12" s="61" t="s">
        <v>1898</v>
      </c>
      <c r="V12" s="101" t="str">
        <f>VLOOKUP(B12,[2]Overall!$A:$D,4,0)</f>
        <v xml:space="preserve">I-ENG </v>
      </c>
      <c r="W12" s="101" t="str">
        <f>VLOOKUP(B12,[3]Sheet1!$A:$B,2,0)</f>
        <v>Mbakong</v>
      </c>
      <c r="X12" s="88" t="str">
        <f t="shared" si="2"/>
        <v>NRO</v>
      </c>
      <c r="Y12" s="88" t="str">
        <f t="shared" ca="1" si="3"/>
        <v>T&gt;72H</v>
      </c>
      <c r="Z12" s="101">
        <f t="shared" si="1"/>
        <v>2</v>
      </c>
      <c r="AA12" s="84" t="s">
        <v>1566</v>
      </c>
      <c r="AB12" s="84" t="s">
        <v>1554</v>
      </c>
      <c r="AC12" s="105" t="s">
        <v>2649</v>
      </c>
      <c r="AD12" s="106" t="s">
        <v>1994</v>
      </c>
      <c r="AE12" s="61"/>
    </row>
    <row r="13" spans="1:31" ht="130.5" hidden="1" x14ac:dyDescent="0.35">
      <c r="A13" s="61" t="s">
        <v>1843</v>
      </c>
      <c r="B13" s="61" t="s">
        <v>1844</v>
      </c>
      <c r="C13" s="65"/>
      <c r="D13" s="61"/>
      <c r="E13" s="61" t="s">
        <v>1879</v>
      </c>
      <c r="F13" s="70" t="s">
        <v>53</v>
      </c>
      <c r="G13" s="70" t="s">
        <v>2121</v>
      </c>
      <c r="H13" s="67">
        <v>46175.448993055557</v>
      </c>
      <c r="I13" s="119">
        <f t="shared" ca="1" si="0"/>
        <v>5.2196993055549683</v>
      </c>
      <c r="J13" s="61"/>
      <c r="K13" s="61"/>
      <c r="L13" s="61"/>
      <c r="M13" s="61" t="s">
        <v>38</v>
      </c>
      <c r="N13" s="61" t="s">
        <v>1845</v>
      </c>
      <c r="O13" s="61"/>
      <c r="P13" s="61"/>
      <c r="Q13" s="61"/>
      <c r="R13" s="61" t="s">
        <v>2380</v>
      </c>
      <c r="S13" s="61" t="s">
        <v>75</v>
      </c>
      <c r="T13" s="61" t="s">
        <v>1901</v>
      </c>
      <c r="U13" s="61" t="s">
        <v>1901</v>
      </c>
      <c r="V13" s="101" t="str">
        <f>VLOOKUP(B13,[2]Overall!$A:$D,4,0)</f>
        <v>TELEINFRA NORD</v>
      </c>
      <c r="W13" s="101" t="str">
        <f>VLOOKUP(B13,[3]Sheet1!$A:$B,2,0)</f>
        <v>Mayo-Nonde</v>
      </c>
      <c r="X13" s="88" t="str">
        <f t="shared" si="2"/>
        <v>NRD</v>
      </c>
      <c r="Y13" s="88" t="str">
        <f t="shared" ca="1" si="3"/>
        <v>T&gt;72H</v>
      </c>
      <c r="Z13" s="101">
        <f t="shared" si="1"/>
        <v>3</v>
      </c>
      <c r="AA13" s="84" t="s">
        <v>1566</v>
      </c>
      <c r="AB13" s="84" t="s">
        <v>1554</v>
      </c>
      <c r="AC13" s="105" t="s">
        <v>2649</v>
      </c>
      <c r="AD13" s="106" t="s">
        <v>1994</v>
      </c>
      <c r="AE13" s="61"/>
    </row>
    <row r="14" spans="1:31" ht="116" hidden="1" x14ac:dyDescent="0.35">
      <c r="A14" s="61" t="s">
        <v>1892</v>
      </c>
      <c r="B14" s="61" t="s">
        <v>1893</v>
      </c>
      <c r="C14" s="65"/>
      <c r="D14" s="61"/>
      <c r="E14" s="61" t="s">
        <v>2199</v>
      </c>
      <c r="F14" s="70" t="s">
        <v>53</v>
      </c>
      <c r="G14" s="70" t="s">
        <v>2121</v>
      </c>
      <c r="H14" s="67">
        <v>46175.837418981479</v>
      </c>
      <c r="I14" s="119">
        <f t="shared" ca="1" si="0"/>
        <v>4.8312733796337852</v>
      </c>
      <c r="J14" s="61"/>
      <c r="K14" s="61"/>
      <c r="L14" s="61"/>
      <c r="M14" s="61" t="s">
        <v>41</v>
      </c>
      <c r="N14" s="61" t="s">
        <v>42</v>
      </c>
      <c r="O14" s="61"/>
      <c r="P14" s="61"/>
      <c r="Q14" s="61"/>
      <c r="R14" s="61" t="s">
        <v>2378</v>
      </c>
      <c r="S14" s="61" t="s">
        <v>75</v>
      </c>
      <c r="T14" s="61" t="s">
        <v>1688</v>
      </c>
      <c r="U14" s="61" t="s">
        <v>1688</v>
      </c>
      <c r="V14" s="101" t="str">
        <f>VLOOKUP(B14,[2]Overall!$A:$D,4,0)</f>
        <v>H-TELI</v>
      </c>
      <c r="W14" s="101" t="str">
        <f>VLOOKUP(B14,[3]Sheet1!$A:$B,2,0)</f>
        <v>Santchou</v>
      </c>
      <c r="X14" s="88" t="str">
        <f t="shared" si="2"/>
        <v>OST</v>
      </c>
      <c r="Y14" s="88" t="str">
        <f t="shared" ca="1" si="3"/>
        <v>T&gt;72H</v>
      </c>
      <c r="Z14" s="101">
        <f t="shared" si="1"/>
        <v>1</v>
      </c>
      <c r="AA14" s="84" t="s">
        <v>1566</v>
      </c>
      <c r="AB14" s="84" t="s">
        <v>1554</v>
      </c>
      <c r="AC14" s="105" t="s">
        <v>2649</v>
      </c>
      <c r="AD14" s="106" t="s">
        <v>1994</v>
      </c>
      <c r="AE14" s="61"/>
    </row>
    <row r="15" spans="1:31" ht="116" hidden="1" x14ac:dyDescent="0.35">
      <c r="A15" s="61" t="s">
        <v>1892</v>
      </c>
      <c r="B15" s="61" t="s">
        <v>1893</v>
      </c>
      <c r="C15" s="65"/>
      <c r="D15" s="61"/>
      <c r="E15" s="61" t="s">
        <v>2200</v>
      </c>
      <c r="F15" s="70" t="s">
        <v>53</v>
      </c>
      <c r="G15" s="70" t="s">
        <v>2121</v>
      </c>
      <c r="H15" s="67">
        <v>46175.837430555555</v>
      </c>
      <c r="I15" s="119">
        <f t="shared" ca="1" si="0"/>
        <v>4.8312618055570056</v>
      </c>
      <c r="J15" s="61"/>
      <c r="K15" s="61"/>
      <c r="L15" s="61"/>
      <c r="M15" s="61" t="s">
        <v>41</v>
      </c>
      <c r="N15" s="61" t="s">
        <v>42</v>
      </c>
      <c r="O15" s="61"/>
      <c r="P15" s="61"/>
      <c r="Q15" s="61"/>
      <c r="R15" s="61" t="s">
        <v>2378</v>
      </c>
      <c r="S15" s="61" t="s">
        <v>75</v>
      </c>
      <c r="T15" s="61" t="s">
        <v>1688</v>
      </c>
      <c r="U15" s="61" t="s">
        <v>1688</v>
      </c>
      <c r="V15" s="101" t="str">
        <f>VLOOKUP(B15,[2]Overall!$A:$D,4,0)</f>
        <v>H-TELI</v>
      </c>
      <c r="W15" s="101" t="str">
        <f>VLOOKUP(B15,[3]Sheet1!$A:$B,2,0)</f>
        <v>Santchou</v>
      </c>
      <c r="X15" s="88" t="str">
        <f t="shared" si="2"/>
        <v>OST</v>
      </c>
      <c r="Y15" s="88" t="str">
        <f t="shared" ca="1" si="3"/>
        <v>T&gt;72H</v>
      </c>
      <c r="Z15" s="101">
        <f t="shared" si="1"/>
        <v>1</v>
      </c>
      <c r="AA15" s="84" t="s">
        <v>1566</v>
      </c>
      <c r="AB15" s="84" t="s">
        <v>1554</v>
      </c>
      <c r="AC15" s="105" t="s">
        <v>2649</v>
      </c>
      <c r="AD15" s="106" t="s">
        <v>1994</v>
      </c>
      <c r="AE15" s="61"/>
    </row>
    <row r="16" spans="1:31" ht="116" hidden="1" x14ac:dyDescent="0.35">
      <c r="A16" s="61" t="s">
        <v>1892</v>
      </c>
      <c r="B16" s="61" t="s">
        <v>1893</v>
      </c>
      <c r="C16" s="65"/>
      <c r="D16" s="61"/>
      <c r="E16" s="61" t="s">
        <v>2201</v>
      </c>
      <c r="F16" s="70" t="s">
        <v>53</v>
      </c>
      <c r="G16" s="70" t="s">
        <v>2121</v>
      </c>
      <c r="H16" s="67">
        <v>46175.837407407409</v>
      </c>
      <c r="I16" s="119">
        <f t="shared" ca="1" si="0"/>
        <v>4.8312849537032889</v>
      </c>
      <c r="J16" s="61"/>
      <c r="K16" s="61"/>
      <c r="L16" s="61"/>
      <c r="M16" s="61" t="s">
        <v>41</v>
      </c>
      <c r="N16" s="61" t="s">
        <v>42</v>
      </c>
      <c r="O16" s="61"/>
      <c r="P16" s="61"/>
      <c r="Q16" s="61"/>
      <c r="R16" s="61" t="s">
        <v>2378</v>
      </c>
      <c r="S16" s="61" t="s">
        <v>75</v>
      </c>
      <c r="T16" s="61" t="s">
        <v>1688</v>
      </c>
      <c r="U16" s="61" t="s">
        <v>1688</v>
      </c>
      <c r="V16" s="101" t="str">
        <f>VLOOKUP(B16,[2]Overall!$A:$D,4,0)</f>
        <v>H-TELI</v>
      </c>
      <c r="W16" s="101" t="str">
        <f>VLOOKUP(B16,[3]Sheet1!$A:$B,2,0)</f>
        <v>Santchou</v>
      </c>
      <c r="X16" s="88" t="str">
        <f t="shared" si="2"/>
        <v>OST</v>
      </c>
      <c r="Y16" s="88" t="str">
        <f t="shared" ca="1" si="3"/>
        <v>T&gt;72H</v>
      </c>
      <c r="Z16" s="101">
        <f t="shared" si="1"/>
        <v>1</v>
      </c>
      <c r="AA16" s="84" t="s">
        <v>1566</v>
      </c>
      <c r="AB16" s="84" t="s">
        <v>1554</v>
      </c>
      <c r="AC16" s="105" t="s">
        <v>2649</v>
      </c>
      <c r="AD16" s="106" t="s">
        <v>1994</v>
      </c>
      <c r="AE16" s="61"/>
    </row>
    <row r="17" spans="1:31" ht="116" hidden="1" x14ac:dyDescent="0.35">
      <c r="A17" s="61" t="s">
        <v>1892</v>
      </c>
      <c r="B17" s="61" t="s">
        <v>1893</v>
      </c>
      <c r="C17" s="65"/>
      <c r="D17" s="61"/>
      <c r="E17" s="61" t="s">
        <v>2202</v>
      </c>
      <c r="F17" s="70" t="s">
        <v>53</v>
      </c>
      <c r="G17" s="70" t="s">
        <v>2121</v>
      </c>
      <c r="H17" s="67">
        <v>46175.837430555555</v>
      </c>
      <c r="I17" s="119">
        <f t="shared" ca="1" si="0"/>
        <v>4.8312618055570056</v>
      </c>
      <c r="J17" s="61"/>
      <c r="K17" s="61"/>
      <c r="L17" s="61"/>
      <c r="M17" s="61" t="s">
        <v>41</v>
      </c>
      <c r="N17" s="61" t="s">
        <v>42</v>
      </c>
      <c r="O17" s="61"/>
      <c r="P17" s="61"/>
      <c r="Q17" s="61"/>
      <c r="R17" s="61" t="s">
        <v>2378</v>
      </c>
      <c r="S17" s="61" t="s">
        <v>75</v>
      </c>
      <c r="T17" s="61" t="s">
        <v>1688</v>
      </c>
      <c r="U17" s="61" t="s">
        <v>1688</v>
      </c>
      <c r="V17" s="101" t="str">
        <f>VLOOKUP(B17,[2]Overall!$A:$D,4,0)</f>
        <v>H-TELI</v>
      </c>
      <c r="W17" s="101" t="str">
        <f>VLOOKUP(B17,[3]Sheet1!$A:$B,2,0)</f>
        <v>Santchou</v>
      </c>
      <c r="X17" s="88" t="str">
        <f t="shared" si="2"/>
        <v>OST</v>
      </c>
      <c r="Y17" s="88" t="str">
        <f t="shared" ca="1" si="3"/>
        <v>T&gt;72H</v>
      </c>
      <c r="Z17" s="101">
        <f t="shared" si="1"/>
        <v>1</v>
      </c>
      <c r="AA17" s="84" t="s">
        <v>1566</v>
      </c>
      <c r="AB17" s="84" t="s">
        <v>1554</v>
      </c>
      <c r="AC17" s="105" t="s">
        <v>2649</v>
      </c>
      <c r="AD17" s="106" t="s">
        <v>1994</v>
      </c>
      <c r="AE17" s="61"/>
    </row>
    <row r="18" spans="1:31" ht="116" hidden="1" x14ac:dyDescent="0.35">
      <c r="A18" s="61" t="s">
        <v>1892</v>
      </c>
      <c r="B18" s="61" t="s">
        <v>1893</v>
      </c>
      <c r="C18" s="65"/>
      <c r="D18" s="61"/>
      <c r="E18" s="61" t="s">
        <v>2203</v>
      </c>
      <c r="F18" s="70" t="s">
        <v>53</v>
      </c>
      <c r="G18" s="70" t="s">
        <v>2121</v>
      </c>
      <c r="H18" s="67">
        <v>46175.837430555555</v>
      </c>
      <c r="I18" s="119">
        <f t="shared" ca="1" si="0"/>
        <v>4.8312618055570056</v>
      </c>
      <c r="J18" s="61"/>
      <c r="K18" s="61"/>
      <c r="L18" s="61"/>
      <c r="M18" s="61" t="s">
        <v>41</v>
      </c>
      <c r="N18" s="61" t="s">
        <v>42</v>
      </c>
      <c r="O18" s="61"/>
      <c r="P18" s="61"/>
      <c r="Q18" s="61"/>
      <c r="R18" s="61" t="s">
        <v>2378</v>
      </c>
      <c r="S18" s="61" t="s">
        <v>75</v>
      </c>
      <c r="T18" s="61" t="s">
        <v>1688</v>
      </c>
      <c r="U18" s="61" t="s">
        <v>1688</v>
      </c>
      <c r="V18" s="101" t="str">
        <f>VLOOKUP(B18,[2]Overall!$A:$D,4,0)</f>
        <v>H-TELI</v>
      </c>
      <c r="W18" s="101" t="str">
        <f>VLOOKUP(B18,[3]Sheet1!$A:$B,2,0)</f>
        <v>Santchou</v>
      </c>
      <c r="X18" s="88" t="str">
        <f t="shared" si="2"/>
        <v>OST</v>
      </c>
      <c r="Y18" s="88" t="str">
        <f t="shared" ca="1" si="3"/>
        <v>T&gt;72H</v>
      </c>
      <c r="Z18" s="101">
        <f t="shared" si="1"/>
        <v>1</v>
      </c>
      <c r="AA18" s="84" t="s">
        <v>1566</v>
      </c>
      <c r="AB18" s="84" t="s">
        <v>1554</v>
      </c>
      <c r="AC18" s="105" t="s">
        <v>2649</v>
      </c>
      <c r="AD18" s="106" t="s">
        <v>1994</v>
      </c>
      <c r="AE18" s="61"/>
    </row>
    <row r="19" spans="1:31" ht="116" hidden="1" x14ac:dyDescent="0.35">
      <c r="A19" s="61" t="s">
        <v>1892</v>
      </c>
      <c r="B19" s="61" t="s">
        <v>1893</v>
      </c>
      <c r="C19" s="65"/>
      <c r="D19" s="61"/>
      <c r="E19" s="61" t="s">
        <v>2204</v>
      </c>
      <c r="F19" s="70" t="s">
        <v>53</v>
      </c>
      <c r="G19" s="70" t="s">
        <v>2121</v>
      </c>
      <c r="H19" s="67">
        <v>46175.837430555555</v>
      </c>
      <c r="I19" s="119">
        <f t="shared" ca="1" si="0"/>
        <v>4.8312618055570056</v>
      </c>
      <c r="J19" s="61"/>
      <c r="K19" s="61"/>
      <c r="L19" s="61"/>
      <c r="M19" s="61" t="s">
        <v>41</v>
      </c>
      <c r="N19" s="61" t="s">
        <v>42</v>
      </c>
      <c r="O19" s="61"/>
      <c r="P19" s="61"/>
      <c r="Q19" s="61"/>
      <c r="R19" s="61" t="s">
        <v>2378</v>
      </c>
      <c r="S19" s="61" t="s">
        <v>75</v>
      </c>
      <c r="T19" s="61" t="s">
        <v>1688</v>
      </c>
      <c r="U19" s="61" t="s">
        <v>1688</v>
      </c>
      <c r="V19" s="101" t="str">
        <f>VLOOKUP(B19,[2]Overall!$A:$D,4,0)</f>
        <v>H-TELI</v>
      </c>
      <c r="W19" s="101" t="str">
        <f>VLOOKUP(B19,[3]Sheet1!$A:$B,2,0)</f>
        <v>Santchou</v>
      </c>
      <c r="X19" s="88" t="str">
        <f t="shared" si="2"/>
        <v>OST</v>
      </c>
      <c r="Y19" s="88" t="str">
        <f t="shared" ca="1" si="3"/>
        <v>T&gt;72H</v>
      </c>
      <c r="Z19" s="101">
        <f t="shared" si="1"/>
        <v>1</v>
      </c>
      <c r="AA19" s="84" t="s">
        <v>1566</v>
      </c>
      <c r="AB19" s="84" t="s">
        <v>1554</v>
      </c>
      <c r="AC19" s="105" t="s">
        <v>2649</v>
      </c>
      <c r="AD19" s="106" t="s">
        <v>1994</v>
      </c>
      <c r="AE19" s="61"/>
    </row>
    <row r="20" spans="1:31" ht="188.5" hidden="1" x14ac:dyDescent="0.35">
      <c r="A20" s="61" t="s">
        <v>2262</v>
      </c>
      <c r="B20" s="61" t="s">
        <v>2263</v>
      </c>
      <c r="C20" s="65"/>
      <c r="D20" s="61"/>
      <c r="E20" s="61" t="s">
        <v>2264</v>
      </c>
      <c r="F20" s="70" t="s">
        <v>53</v>
      </c>
      <c r="G20" s="70" t="s">
        <v>2121</v>
      </c>
      <c r="H20" s="67">
        <v>46176.41369212963</v>
      </c>
      <c r="I20" s="119">
        <f t="shared" ca="1" si="0"/>
        <v>4.2550002314819722</v>
      </c>
      <c r="J20" s="61"/>
      <c r="K20" s="61"/>
      <c r="L20" s="61"/>
      <c r="M20" s="61" t="s">
        <v>31</v>
      </c>
      <c r="N20" s="61" t="s">
        <v>2265</v>
      </c>
      <c r="O20" s="61"/>
      <c r="P20" s="61"/>
      <c r="Q20" s="61"/>
      <c r="R20" s="61" t="s">
        <v>2636</v>
      </c>
      <c r="S20" s="61" t="s">
        <v>40</v>
      </c>
      <c r="T20" s="61" t="s">
        <v>1898</v>
      </c>
      <c r="U20" s="61" t="s">
        <v>1898</v>
      </c>
      <c r="V20" s="101" t="str">
        <f>VLOOKUP(B20,[2]Overall!$A:$D,4,0)</f>
        <v>TELEINFRA NORD</v>
      </c>
      <c r="W20" s="101" t="str">
        <f>VLOOKUP(B20,[3]Sheet1!$A:$B,2,0)</f>
        <v>Ndiam-badji</v>
      </c>
      <c r="X20" s="88" t="str">
        <f t="shared" si="2"/>
        <v>NRD</v>
      </c>
      <c r="Y20" s="88" t="str">
        <f t="shared" ca="1" si="3"/>
        <v>T&gt;72H</v>
      </c>
      <c r="Z20" s="101">
        <f t="shared" si="1"/>
        <v>6</v>
      </c>
      <c r="AA20" s="84" t="s">
        <v>1566</v>
      </c>
      <c r="AB20" s="84" t="s">
        <v>1554</v>
      </c>
      <c r="AC20" s="105" t="s">
        <v>2649</v>
      </c>
      <c r="AD20" s="106" t="s">
        <v>1994</v>
      </c>
      <c r="AE20" s="61"/>
    </row>
    <row r="21" spans="1:31" ht="188.5" hidden="1" x14ac:dyDescent="0.35">
      <c r="A21" s="61" t="s">
        <v>2262</v>
      </c>
      <c r="B21" s="61" t="s">
        <v>2263</v>
      </c>
      <c r="C21" s="65"/>
      <c r="D21" s="61"/>
      <c r="E21" s="61" t="s">
        <v>2264</v>
      </c>
      <c r="F21" s="70" t="s">
        <v>53</v>
      </c>
      <c r="G21" s="70" t="s">
        <v>2121</v>
      </c>
      <c r="H21" s="67">
        <v>46176.450185185182</v>
      </c>
      <c r="I21" s="119">
        <f t="shared" ca="1" si="0"/>
        <v>4.2185071759304265</v>
      </c>
      <c r="J21" s="61"/>
      <c r="K21" s="61"/>
      <c r="L21" s="61"/>
      <c r="M21" s="61" t="s">
        <v>1713</v>
      </c>
      <c r="N21" s="61" t="s">
        <v>2266</v>
      </c>
      <c r="O21" s="61"/>
      <c r="P21" s="61"/>
      <c r="Q21" s="61"/>
      <c r="R21" s="61" t="s">
        <v>2636</v>
      </c>
      <c r="S21" s="61" t="s">
        <v>40</v>
      </c>
      <c r="T21" s="61" t="s">
        <v>1898</v>
      </c>
      <c r="U21" s="61" t="s">
        <v>1898</v>
      </c>
      <c r="V21" s="101" t="str">
        <f>VLOOKUP(B21,[2]Overall!$A:$D,4,0)</f>
        <v>TELEINFRA NORD</v>
      </c>
      <c r="W21" s="101" t="str">
        <f>VLOOKUP(B21,[3]Sheet1!$A:$B,2,0)</f>
        <v>Ndiam-badji</v>
      </c>
      <c r="X21" s="88" t="str">
        <f t="shared" si="2"/>
        <v>NRD</v>
      </c>
      <c r="Y21" s="88" t="str">
        <f t="shared" ca="1" si="3"/>
        <v>T&gt;72H</v>
      </c>
      <c r="Z21" s="101">
        <f t="shared" si="1"/>
        <v>6</v>
      </c>
      <c r="AA21" s="84" t="s">
        <v>1566</v>
      </c>
      <c r="AB21" s="84" t="s">
        <v>1554</v>
      </c>
      <c r="AC21" s="105" t="s">
        <v>2649</v>
      </c>
      <c r="AD21" s="106" t="s">
        <v>1994</v>
      </c>
      <c r="AE21" s="61"/>
    </row>
    <row r="22" spans="1:31" ht="188.5" hidden="1" x14ac:dyDescent="0.35">
      <c r="A22" s="61" t="s">
        <v>1877</v>
      </c>
      <c r="B22" s="61" t="s">
        <v>1878</v>
      </c>
      <c r="C22" s="65"/>
      <c r="D22" s="61"/>
      <c r="E22" s="61" t="s">
        <v>49</v>
      </c>
      <c r="F22" s="70" t="s">
        <v>53</v>
      </c>
      <c r="G22" s="70" t="s">
        <v>2121</v>
      </c>
      <c r="H22" s="67">
        <v>46176.68891203704</v>
      </c>
      <c r="I22" s="119">
        <f t="shared" ca="1" si="0"/>
        <v>3.9797803240726353</v>
      </c>
      <c r="J22" s="61"/>
      <c r="K22" s="61"/>
      <c r="L22" s="61"/>
      <c r="M22" s="61" t="s">
        <v>38</v>
      </c>
      <c r="N22" s="61" t="s">
        <v>1943</v>
      </c>
      <c r="O22" s="61"/>
      <c r="P22" s="61"/>
      <c r="Q22" s="61"/>
      <c r="R22" s="61" t="s">
        <v>2627</v>
      </c>
      <c r="S22" s="61" t="s">
        <v>85</v>
      </c>
      <c r="T22" s="61" t="s">
        <v>1688</v>
      </c>
      <c r="U22" s="61" t="s">
        <v>1688</v>
      </c>
      <c r="V22" s="101" t="str">
        <f>VLOOKUP(B22,[2]Overall!$A:$D,4,0)</f>
        <v>H-TELI</v>
      </c>
      <c r="W22" s="101" t="str">
        <f>VLOOKUP(B22,[3]Sheet1!$A:$B,2,0)</f>
        <v>Massock-Songloulou</v>
      </c>
      <c r="X22" s="88" t="str">
        <f t="shared" si="2"/>
        <v>LIT</v>
      </c>
      <c r="Y22" s="88" t="str">
        <f t="shared" ca="1" si="3"/>
        <v>T&gt;72H</v>
      </c>
      <c r="Z22" s="101">
        <f t="shared" si="1"/>
        <v>1</v>
      </c>
      <c r="AA22" s="84" t="s">
        <v>1566</v>
      </c>
      <c r="AB22" s="84" t="s">
        <v>1554</v>
      </c>
      <c r="AC22" s="105" t="s">
        <v>2649</v>
      </c>
      <c r="AD22" s="106" t="s">
        <v>1994</v>
      </c>
      <c r="AE22" s="61"/>
    </row>
    <row r="23" spans="1:31" ht="87" hidden="1" x14ac:dyDescent="0.35">
      <c r="A23" s="61" t="s">
        <v>1705</v>
      </c>
      <c r="B23" s="61" t="s">
        <v>1706</v>
      </c>
      <c r="C23" s="65"/>
      <c r="D23" s="61"/>
      <c r="E23" s="61" t="s">
        <v>48</v>
      </c>
      <c r="F23" s="70" t="s">
        <v>53</v>
      </c>
      <c r="G23" s="70" t="s">
        <v>2121</v>
      </c>
      <c r="H23" s="67">
        <v>46177.386990740742</v>
      </c>
      <c r="I23" s="119">
        <f t="shared" ref="I23:I59" ca="1" si="4">NOW()-H23</f>
        <v>3.2817016203698586</v>
      </c>
      <c r="J23" s="61"/>
      <c r="K23" s="61"/>
      <c r="L23" s="61"/>
      <c r="M23" s="61" t="s">
        <v>1707</v>
      </c>
      <c r="N23" s="61" t="s">
        <v>1708</v>
      </c>
      <c r="O23" s="61"/>
      <c r="P23" s="61"/>
      <c r="Q23" s="61"/>
      <c r="R23" s="61" t="s">
        <v>2414</v>
      </c>
      <c r="S23" s="61" t="s">
        <v>71</v>
      </c>
      <c r="T23" s="61" t="s">
        <v>1902</v>
      </c>
      <c r="U23" s="61" t="s">
        <v>1896</v>
      </c>
      <c r="V23" s="101" t="str">
        <f>VLOOKUP(B23,[2]Overall!$A:$D,4,0)</f>
        <v xml:space="preserve">I-ENG </v>
      </c>
      <c r="W23" s="101" t="str">
        <f>VLOOKUP(B23,[3]Sheet1!$A:$B,2,0)</f>
        <v>Laising</v>
      </c>
      <c r="X23" s="88" t="str">
        <f t="shared" ref="X23:X59" si="5">LEFT(B23,3)</f>
        <v>NRO</v>
      </c>
      <c r="Y23" s="88" t="str">
        <f t="shared" ref="Y23:Y59" ca="1" si="6">IF(I23 &lt; 1/24, "T&lt;1H", IF(AND(I23&lt;2/24, I23&gt;1/24), "1H&lt;T&lt;2H", IF(AND(I23&lt;4/24, I23&gt;2/24), "2H&lt;T&lt;4H", IF(AND(I23&lt;8/24, I23&gt;4/24), "4H&lt;T&lt;8H", IF(AND(I23&lt;16/24, I23&gt;8/24), "8H&lt;T&lt;16H",IF(AND(I23&lt;24/24, I23&gt;16/24),"16H&lt;T&lt;24H", IF(AND(I23&lt;48/24, I23&gt;24/24),"24H&lt;T&lt;48H",IF(AND(I23&lt;72/24, I23&gt;24/24),"48H&lt;T&lt;72H", "T&gt;72H"))))))))</f>
        <v>T&gt;72H</v>
      </c>
      <c r="Z23" s="101">
        <f t="shared" ref="Z23:Z59" si="7">IF(OR(E23="", E23="affected_cells=unknown"), "", LEN(E23)-LEN(SUBSTITUTE(E23, ",", "")) + LEN(E23)-LEN(SUBSTITUTE(E23, ";", "")) + 1)</f>
        <v>1</v>
      </c>
      <c r="AA23" s="84" t="s">
        <v>1566</v>
      </c>
      <c r="AB23" s="84" t="s">
        <v>1554</v>
      </c>
      <c r="AC23" s="105" t="s">
        <v>2649</v>
      </c>
      <c r="AD23" s="106" t="s">
        <v>1994</v>
      </c>
      <c r="AE23" s="61"/>
    </row>
    <row r="24" spans="1:31" ht="174" hidden="1" x14ac:dyDescent="0.35">
      <c r="A24" s="61" t="s">
        <v>2257</v>
      </c>
      <c r="B24" s="61" t="s">
        <v>1796</v>
      </c>
      <c r="C24" s="65"/>
      <c r="D24" s="61"/>
      <c r="E24" s="61" t="s">
        <v>35</v>
      </c>
      <c r="F24" s="70" t="s">
        <v>53</v>
      </c>
      <c r="G24" s="70" t="s">
        <v>2121</v>
      </c>
      <c r="H24" s="67">
        <v>46177.521458333336</v>
      </c>
      <c r="I24" s="119">
        <f t="shared" ca="1" si="4"/>
        <v>3.147234027775994</v>
      </c>
      <c r="J24" s="61"/>
      <c r="K24" s="61"/>
      <c r="L24" s="61"/>
      <c r="M24" s="61" t="s">
        <v>31</v>
      </c>
      <c r="N24" s="61" t="s">
        <v>2400</v>
      </c>
      <c r="O24" s="61"/>
      <c r="P24" s="61"/>
      <c r="Q24" s="61"/>
      <c r="R24" s="84" t="s">
        <v>2655</v>
      </c>
      <c r="S24" s="61" t="s">
        <v>40</v>
      </c>
      <c r="T24" s="61" t="s">
        <v>1899</v>
      </c>
      <c r="U24" s="61" t="s">
        <v>1899</v>
      </c>
      <c r="V24" s="101" t="str">
        <f>VLOOKUP(B24,[2]Overall!$A:$D,4,0)</f>
        <v>TELEINFRA NORD</v>
      </c>
      <c r="W24" s="101" t="str">
        <f>VLOOKUP(B24,[3]Sheet1!$A:$B,2,0)</f>
        <v>Bagarao</v>
      </c>
      <c r="X24" s="88" t="str">
        <f t="shared" si="5"/>
        <v>EXN</v>
      </c>
      <c r="Y24" s="88" t="str">
        <f t="shared" ca="1" si="6"/>
        <v>T&gt;72H</v>
      </c>
      <c r="Z24" s="101">
        <f t="shared" si="7"/>
        <v>3</v>
      </c>
      <c r="AA24" s="84" t="s">
        <v>1566</v>
      </c>
      <c r="AB24" s="84" t="s">
        <v>1554</v>
      </c>
      <c r="AC24" s="105" t="s">
        <v>2649</v>
      </c>
      <c r="AD24" s="106" t="s">
        <v>1994</v>
      </c>
      <c r="AE24" s="61"/>
    </row>
    <row r="25" spans="1:31" ht="116" hidden="1" x14ac:dyDescent="0.35">
      <c r="A25" s="61" t="s">
        <v>2316</v>
      </c>
      <c r="B25" s="61" t="s">
        <v>2317</v>
      </c>
      <c r="C25" s="65"/>
      <c r="D25" s="61"/>
      <c r="E25" s="61" t="s">
        <v>2439</v>
      </c>
      <c r="F25" s="70" t="s">
        <v>53</v>
      </c>
      <c r="G25" s="70" t="s">
        <v>2121</v>
      </c>
      <c r="H25" s="67">
        <v>46177.589004629626</v>
      </c>
      <c r="I25" s="119">
        <f t="shared" ca="1" si="4"/>
        <v>3.0796877314860467</v>
      </c>
      <c r="J25" s="61"/>
      <c r="K25" s="61"/>
      <c r="L25" s="61"/>
      <c r="M25" s="61" t="s">
        <v>38</v>
      </c>
      <c r="N25" s="61" t="s">
        <v>2319</v>
      </c>
      <c r="O25" s="61"/>
      <c r="P25" s="61"/>
      <c r="Q25" s="61"/>
      <c r="R25" s="61" t="s">
        <v>2621</v>
      </c>
      <c r="S25" s="61" t="s">
        <v>85</v>
      </c>
      <c r="T25" s="61" t="s">
        <v>1898</v>
      </c>
      <c r="U25" s="61" t="s">
        <v>1898</v>
      </c>
      <c r="V25" s="101" t="str">
        <f>VLOOKUP(B25,[2]Overall!$A:$D,4,0)</f>
        <v>H-TELI</v>
      </c>
      <c r="W25" s="101" t="str">
        <f>VLOOKUP(B25,[3]Sheet1!$A:$B,2,0)</f>
        <v>Logbong</v>
      </c>
      <c r="X25" s="88" t="str">
        <f t="shared" si="5"/>
        <v>LIT</v>
      </c>
      <c r="Y25" s="88" t="str">
        <f t="shared" ca="1" si="6"/>
        <v>T&gt;72H</v>
      </c>
      <c r="Z25" s="101">
        <f t="shared" si="7"/>
        <v>6</v>
      </c>
      <c r="AA25" s="84" t="s">
        <v>1566</v>
      </c>
      <c r="AB25" s="84" t="s">
        <v>1554</v>
      </c>
      <c r="AC25" s="105" t="s">
        <v>2649</v>
      </c>
      <c r="AD25" s="106" t="s">
        <v>1994</v>
      </c>
      <c r="AE25" s="61"/>
    </row>
    <row r="26" spans="1:31" ht="116" hidden="1" x14ac:dyDescent="0.35">
      <c r="A26" s="61" t="s">
        <v>2320</v>
      </c>
      <c r="B26" s="61" t="s">
        <v>2317</v>
      </c>
      <c r="C26" s="65"/>
      <c r="D26" s="61"/>
      <c r="E26" s="61" t="s">
        <v>1787</v>
      </c>
      <c r="F26" s="70" t="s">
        <v>53</v>
      </c>
      <c r="G26" s="70" t="s">
        <v>2121</v>
      </c>
      <c r="H26" s="67">
        <v>46177.589270833334</v>
      </c>
      <c r="I26" s="119">
        <f t="shared" ca="1" si="4"/>
        <v>3.0794215277783223</v>
      </c>
      <c r="J26" s="61"/>
      <c r="K26" s="61"/>
      <c r="L26" s="61"/>
      <c r="M26" s="61" t="s">
        <v>38</v>
      </c>
      <c r="N26" s="61" t="s">
        <v>2321</v>
      </c>
      <c r="O26" s="61"/>
      <c r="P26" s="61"/>
      <c r="Q26" s="61"/>
      <c r="R26" s="61" t="s">
        <v>2621</v>
      </c>
      <c r="S26" s="61" t="s">
        <v>85</v>
      </c>
      <c r="T26" s="61" t="s">
        <v>1898</v>
      </c>
      <c r="U26" s="61" t="s">
        <v>1898</v>
      </c>
      <c r="V26" s="101" t="str">
        <f>VLOOKUP(B26,[2]Overall!$A:$D,4,0)</f>
        <v>H-TELI</v>
      </c>
      <c r="W26" s="101" t="str">
        <f>VLOOKUP(B26,[3]Sheet1!$A:$B,2,0)</f>
        <v>Logbong</v>
      </c>
      <c r="X26" s="88" t="str">
        <f t="shared" si="5"/>
        <v>LIT</v>
      </c>
      <c r="Y26" s="88" t="str">
        <f t="shared" ca="1" si="6"/>
        <v>T&gt;72H</v>
      </c>
      <c r="Z26" s="101">
        <f t="shared" si="7"/>
        <v>2</v>
      </c>
      <c r="AA26" s="84" t="s">
        <v>1566</v>
      </c>
      <c r="AB26" s="84" t="s">
        <v>1554</v>
      </c>
      <c r="AC26" s="105" t="s">
        <v>2649</v>
      </c>
      <c r="AD26" s="106" t="s">
        <v>1994</v>
      </c>
      <c r="AE26" s="61"/>
    </row>
    <row r="27" spans="1:31" ht="87" hidden="1" x14ac:dyDescent="0.35">
      <c r="A27" s="61" t="s">
        <v>2276</v>
      </c>
      <c r="B27" s="61" t="s">
        <v>2277</v>
      </c>
      <c r="C27" s="65"/>
      <c r="D27" s="61"/>
      <c r="E27" s="61" t="s">
        <v>2278</v>
      </c>
      <c r="F27" s="70" t="s">
        <v>53</v>
      </c>
      <c r="G27" s="70" t="s">
        <v>2121</v>
      </c>
      <c r="H27" s="67">
        <v>46177.591168981482</v>
      </c>
      <c r="I27" s="119">
        <f t="shared" ca="1" si="4"/>
        <v>3.0775233796302928</v>
      </c>
      <c r="J27" s="61"/>
      <c r="K27" s="61"/>
      <c r="L27" s="61"/>
      <c r="M27" s="61" t="s">
        <v>38</v>
      </c>
      <c r="N27" s="61" t="s">
        <v>2279</v>
      </c>
      <c r="O27" s="61"/>
      <c r="P27" s="61"/>
      <c r="Q27" s="61"/>
      <c r="R27" s="61" t="s">
        <v>2624</v>
      </c>
      <c r="S27" s="61" t="s">
        <v>32</v>
      </c>
      <c r="T27" s="61" t="s">
        <v>1898</v>
      </c>
      <c r="U27" s="61" t="s">
        <v>1898</v>
      </c>
      <c r="V27" s="101" t="str">
        <f>VLOOKUP(B27,[2]Overall!$A:$D,4,0)</f>
        <v xml:space="preserve">I-ENG </v>
      </c>
      <c r="W27" s="101" t="str">
        <f>VLOOKUP(B27,[3]Sheet1!$A:$B,2,0)</f>
        <v>Babanki</v>
      </c>
      <c r="X27" s="88" t="str">
        <f t="shared" si="5"/>
        <v>NRO</v>
      </c>
      <c r="Y27" s="88" t="str">
        <f t="shared" ca="1" si="6"/>
        <v>T&gt;72H</v>
      </c>
      <c r="Z27" s="101">
        <f t="shared" si="7"/>
        <v>2</v>
      </c>
      <c r="AA27" s="84" t="s">
        <v>1566</v>
      </c>
      <c r="AB27" s="84" t="s">
        <v>1554</v>
      </c>
      <c r="AC27" s="105" t="s">
        <v>2649</v>
      </c>
      <c r="AD27" s="106" t="s">
        <v>1994</v>
      </c>
      <c r="AE27" s="61"/>
    </row>
    <row r="28" spans="1:31" ht="87" hidden="1" x14ac:dyDescent="0.35">
      <c r="A28" s="61" t="s">
        <v>1684</v>
      </c>
      <c r="B28" s="61" t="s">
        <v>1620</v>
      </c>
      <c r="C28" s="65"/>
      <c r="D28" s="61"/>
      <c r="E28" s="61" t="s">
        <v>1793</v>
      </c>
      <c r="F28" s="70" t="s">
        <v>53</v>
      </c>
      <c r="G28" s="70" t="s">
        <v>2121</v>
      </c>
      <c r="H28" s="67">
        <v>46177.706493055557</v>
      </c>
      <c r="I28" s="119">
        <f t="shared" ca="1" si="4"/>
        <v>2.9621993055552593</v>
      </c>
      <c r="J28" s="61"/>
      <c r="K28" s="61"/>
      <c r="L28" s="61"/>
      <c r="M28" s="61" t="s">
        <v>33</v>
      </c>
      <c r="N28" s="61" t="s">
        <v>1653</v>
      </c>
      <c r="O28" s="61"/>
      <c r="P28" s="61"/>
      <c r="Q28" s="61"/>
      <c r="R28" s="61" t="s">
        <v>2497</v>
      </c>
      <c r="S28" s="61" t="s">
        <v>75</v>
      </c>
      <c r="T28" s="61" t="s">
        <v>1898</v>
      </c>
      <c r="U28" s="61" t="s">
        <v>1898</v>
      </c>
      <c r="V28" s="101" t="str">
        <f>VLOOKUP(B28,[2]Overall!$A:$D,4,0)</f>
        <v>TELEINFRA NORD</v>
      </c>
      <c r="W28" s="101" t="str">
        <f>VLOOKUP(B28,[3]Sheet1!$A:$B,2,0)</f>
        <v>Batoua-Godole</v>
      </c>
      <c r="X28" s="88" t="str">
        <f t="shared" si="5"/>
        <v>ADM</v>
      </c>
      <c r="Y28" s="88" t="str">
        <f t="shared" ca="1" si="6"/>
        <v>48H&lt;T&lt;72H</v>
      </c>
      <c r="Z28" s="101">
        <f t="shared" si="7"/>
        <v>2</v>
      </c>
      <c r="AA28" s="84" t="s">
        <v>1566</v>
      </c>
      <c r="AB28" s="84" t="s">
        <v>1554</v>
      </c>
      <c r="AC28" s="105" t="s">
        <v>2649</v>
      </c>
      <c r="AD28" s="106" t="s">
        <v>1994</v>
      </c>
      <c r="AE28" s="61"/>
    </row>
    <row r="29" spans="1:31" ht="145" hidden="1" x14ac:dyDescent="0.35">
      <c r="A29" s="61" t="s">
        <v>1807</v>
      </c>
      <c r="B29" s="61" t="s">
        <v>1808</v>
      </c>
      <c r="C29" s="65"/>
      <c r="D29" s="61"/>
      <c r="E29" s="61" t="s">
        <v>1810</v>
      </c>
      <c r="F29" s="70" t="s">
        <v>53</v>
      </c>
      <c r="G29" s="70" t="s">
        <v>2121</v>
      </c>
      <c r="H29" s="67">
        <v>46177.733206018522</v>
      </c>
      <c r="I29" s="119">
        <f t="shared" ca="1" si="4"/>
        <v>2.9354863425905933</v>
      </c>
      <c r="J29" s="61"/>
      <c r="K29" s="61"/>
      <c r="L29" s="61"/>
      <c r="M29" s="61" t="s">
        <v>2053</v>
      </c>
      <c r="N29" s="61" t="s">
        <v>2054</v>
      </c>
      <c r="O29" s="61"/>
      <c r="P29" s="61"/>
      <c r="Q29" s="61"/>
      <c r="R29" s="61" t="s">
        <v>2622</v>
      </c>
      <c r="S29" s="61" t="s">
        <v>85</v>
      </c>
      <c r="T29" s="61" t="s">
        <v>1898</v>
      </c>
      <c r="U29" s="61" t="s">
        <v>1898</v>
      </c>
      <c r="V29" s="101" t="str">
        <f>VLOOKUP(B29,[2]Overall!$A:$D,4,0)</f>
        <v>H-TELI</v>
      </c>
      <c r="W29" s="101" t="str">
        <f>VLOOKUP(B29,[3]Sheet1!$A:$B,2,0)</f>
        <v>Songloulou</v>
      </c>
      <c r="X29" s="88" t="str">
        <f t="shared" si="5"/>
        <v>LIT</v>
      </c>
      <c r="Y29" s="88" t="str">
        <f t="shared" ca="1" si="6"/>
        <v>48H&lt;T&lt;72H</v>
      </c>
      <c r="Z29" s="101">
        <f t="shared" si="7"/>
        <v>1</v>
      </c>
      <c r="AA29" s="84" t="s">
        <v>1566</v>
      </c>
      <c r="AB29" s="84" t="s">
        <v>1554</v>
      </c>
      <c r="AC29" s="105" t="s">
        <v>2649</v>
      </c>
      <c r="AD29" s="106" t="s">
        <v>1994</v>
      </c>
      <c r="AE29" s="61"/>
    </row>
    <row r="30" spans="1:31" ht="145" hidden="1" x14ac:dyDescent="0.35">
      <c r="A30" s="61" t="s">
        <v>1807</v>
      </c>
      <c r="B30" s="61" t="s">
        <v>1808</v>
      </c>
      <c r="C30" s="65"/>
      <c r="D30" s="61"/>
      <c r="E30" s="61" t="s">
        <v>2446</v>
      </c>
      <c r="F30" s="70" t="s">
        <v>53</v>
      </c>
      <c r="G30" s="70" t="s">
        <v>2121</v>
      </c>
      <c r="H30" s="67">
        <v>46177.734120370369</v>
      </c>
      <c r="I30" s="119">
        <f t="shared" ca="1" si="4"/>
        <v>2.9345719907432795</v>
      </c>
      <c r="J30" s="61"/>
      <c r="K30" s="61"/>
      <c r="L30" s="61"/>
      <c r="M30" s="61" t="s">
        <v>2053</v>
      </c>
      <c r="N30" s="61" t="s">
        <v>2054</v>
      </c>
      <c r="O30" s="61"/>
      <c r="P30" s="61"/>
      <c r="Q30" s="61"/>
      <c r="R30" s="61" t="s">
        <v>2622</v>
      </c>
      <c r="S30" s="61" t="s">
        <v>85</v>
      </c>
      <c r="T30" s="61" t="s">
        <v>1898</v>
      </c>
      <c r="U30" s="61" t="s">
        <v>1898</v>
      </c>
      <c r="V30" s="101" t="str">
        <f>VLOOKUP(B30,[2]Overall!$A:$D,4,0)</f>
        <v>H-TELI</v>
      </c>
      <c r="W30" s="101" t="str">
        <f>VLOOKUP(B30,[3]Sheet1!$A:$B,2,0)</f>
        <v>Songloulou</v>
      </c>
      <c r="X30" s="88" t="str">
        <f t="shared" si="5"/>
        <v>LIT</v>
      </c>
      <c r="Y30" s="88" t="str">
        <f t="shared" ca="1" si="6"/>
        <v>48H&lt;T&lt;72H</v>
      </c>
      <c r="Z30" s="101">
        <f t="shared" si="7"/>
        <v>1</v>
      </c>
      <c r="AA30" s="84" t="s">
        <v>1566</v>
      </c>
      <c r="AB30" s="84" t="s">
        <v>1554</v>
      </c>
      <c r="AC30" s="105" t="s">
        <v>2649</v>
      </c>
      <c r="AD30" s="106" t="s">
        <v>1994</v>
      </c>
      <c r="AE30" s="61"/>
    </row>
    <row r="31" spans="1:31" ht="145" hidden="1" x14ac:dyDescent="0.35">
      <c r="A31" s="61" t="s">
        <v>1807</v>
      </c>
      <c r="B31" s="61" t="s">
        <v>1808</v>
      </c>
      <c r="C31" s="65"/>
      <c r="D31" s="61"/>
      <c r="E31" s="61" t="s">
        <v>1813</v>
      </c>
      <c r="F31" s="70" t="s">
        <v>53</v>
      </c>
      <c r="G31" s="70" t="s">
        <v>2121</v>
      </c>
      <c r="H31" s="67">
        <v>46177.741377314815</v>
      </c>
      <c r="I31" s="119">
        <f t="shared" ca="1" si="4"/>
        <v>2.9273150462977355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2622</v>
      </c>
      <c r="S31" s="61" t="s">
        <v>85</v>
      </c>
      <c r="T31" s="61" t="s">
        <v>1898</v>
      </c>
      <c r="U31" s="61" t="s">
        <v>1898</v>
      </c>
      <c r="V31" s="101" t="str">
        <f>VLOOKUP(B31,[2]Overall!$A:$D,4,0)</f>
        <v>H-TELI</v>
      </c>
      <c r="W31" s="101" t="str">
        <f>VLOOKUP(B31,[3]Sheet1!$A:$B,2,0)</f>
        <v>Songloulou</v>
      </c>
      <c r="X31" s="88" t="str">
        <f t="shared" si="5"/>
        <v>LIT</v>
      </c>
      <c r="Y31" s="88" t="str">
        <f t="shared" ca="1" si="6"/>
        <v>48H&lt;T&lt;72H</v>
      </c>
      <c r="Z31" s="101">
        <f t="shared" si="7"/>
        <v>1</v>
      </c>
      <c r="AA31" s="84" t="s">
        <v>1566</v>
      </c>
      <c r="AB31" s="84" t="s">
        <v>1554</v>
      </c>
      <c r="AC31" s="105" t="s">
        <v>2649</v>
      </c>
      <c r="AD31" s="106" t="s">
        <v>1994</v>
      </c>
      <c r="AE31" s="61"/>
    </row>
    <row r="32" spans="1:31" ht="145" hidden="1" x14ac:dyDescent="0.35">
      <c r="A32" s="61" t="s">
        <v>1807</v>
      </c>
      <c r="B32" s="61" t="s">
        <v>1808</v>
      </c>
      <c r="C32" s="65"/>
      <c r="D32" s="61"/>
      <c r="E32" s="61" t="s">
        <v>1812</v>
      </c>
      <c r="F32" s="70" t="s">
        <v>53</v>
      </c>
      <c r="G32" s="70" t="s">
        <v>2121</v>
      </c>
      <c r="H32" s="67">
        <v>46177.742442129631</v>
      </c>
      <c r="I32" s="119">
        <f t="shared" ca="1" si="4"/>
        <v>2.9262502314813901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2622</v>
      </c>
      <c r="S32" s="61" t="s">
        <v>85</v>
      </c>
      <c r="T32" s="61" t="s">
        <v>1898</v>
      </c>
      <c r="U32" s="61" t="s">
        <v>1898</v>
      </c>
      <c r="V32" s="101" t="str">
        <f>VLOOKUP(B32,[2]Overall!$A:$D,4,0)</f>
        <v>H-TELI</v>
      </c>
      <c r="W32" s="101" t="str">
        <f>VLOOKUP(B32,[3]Sheet1!$A:$B,2,0)</f>
        <v>Songloulou</v>
      </c>
      <c r="X32" s="88" t="str">
        <f t="shared" si="5"/>
        <v>LIT</v>
      </c>
      <c r="Y32" s="88" t="str">
        <f t="shared" ca="1" si="6"/>
        <v>48H&lt;T&lt;72H</v>
      </c>
      <c r="Z32" s="101">
        <f t="shared" si="7"/>
        <v>1</v>
      </c>
      <c r="AA32" s="84" t="s">
        <v>1566</v>
      </c>
      <c r="AB32" s="84" t="s">
        <v>1554</v>
      </c>
      <c r="AC32" s="105" t="s">
        <v>2649</v>
      </c>
      <c r="AD32" s="106" t="s">
        <v>1994</v>
      </c>
      <c r="AE32" s="61"/>
    </row>
    <row r="33" spans="1:31" ht="261" hidden="1" x14ac:dyDescent="0.35">
      <c r="A33" s="61" t="s">
        <v>2147</v>
      </c>
      <c r="B33" s="61" t="s">
        <v>2148</v>
      </c>
      <c r="C33" s="65"/>
      <c r="D33" s="61"/>
      <c r="E33" s="61" t="s">
        <v>2149</v>
      </c>
      <c r="F33" s="70" t="s">
        <v>53</v>
      </c>
      <c r="G33" s="70" t="s">
        <v>2121</v>
      </c>
      <c r="H33" s="67">
        <v>46177.806562500002</v>
      </c>
      <c r="I33" s="119">
        <f t="shared" ca="1" si="4"/>
        <v>2.8621298611105885</v>
      </c>
      <c r="J33" s="61"/>
      <c r="K33" s="61"/>
      <c r="L33" s="61"/>
      <c r="M33" s="61" t="s">
        <v>33</v>
      </c>
      <c r="N33" s="61" t="s">
        <v>1626</v>
      </c>
      <c r="O33" s="61"/>
      <c r="P33" s="61"/>
      <c r="Q33" s="61"/>
      <c r="R33" s="61" t="s">
        <v>2633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Mboulai</v>
      </c>
      <c r="X33" s="88" t="str">
        <f t="shared" si="5"/>
        <v>ADM</v>
      </c>
      <c r="Y33" s="88" t="str">
        <f t="shared" ca="1" si="6"/>
        <v>48H&lt;T&lt;72H</v>
      </c>
      <c r="Z33" s="101">
        <f t="shared" si="7"/>
        <v>1</v>
      </c>
      <c r="AA33" s="84" t="s">
        <v>1566</v>
      </c>
      <c r="AB33" s="84" t="s">
        <v>1554</v>
      </c>
      <c r="AC33" s="105" t="s">
        <v>2649</v>
      </c>
      <c r="AD33" s="106" t="s">
        <v>1994</v>
      </c>
      <c r="AE33" s="61"/>
    </row>
    <row r="34" spans="1:31" ht="72.5" hidden="1" x14ac:dyDescent="0.35">
      <c r="A34" s="61" t="s">
        <v>2350</v>
      </c>
      <c r="B34" s="61" t="s">
        <v>2351</v>
      </c>
      <c r="C34" s="65"/>
      <c r="D34" s="61"/>
      <c r="E34" s="61" t="s">
        <v>2352</v>
      </c>
      <c r="F34" s="70" t="s">
        <v>53</v>
      </c>
      <c r="G34" s="70" t="s">
        <v>2121</v>
      </c>
      <c r="H34" s="67">
        <v>46177.830648148149</v>
      </c>
      <c r="I34" s="119">
        <f t="shared" ca="1" si="4"/>
        <v>2.8380442129637231</v>
      </c>
      <c r="J34" s="61"/>
      <c r="K34" s="61"/>
      <c r="L34" s="61"/>
      <c r="M34" s="61" t="s">
        <v>38</v>
      </c>
      <c r="N34" s="61" t="s">
        <v>2353</v>
      </c>
      <c r="O34" s="61"/>
      <c r="P34" s="61"/>
      <c r="Q34" s="61"/>
      <c r="R34" s="61" t="s">
        <v>2590</v>
      </c>
      <c r="S34" s="61" t="s">
        <v>75</v>
      </c>
      <c r="T34" s="61" t="s">
        <v>1754</v>
      </c>
      <c r="U34" s="61" t="s">
        <v>1754</v>
      </c>
      <c r="V34" s="101" t="str">
        <f>VLOOKUP(B34,[2]Overall!$A:$D,4,0)</f>
        <v>TELEINFRA NORD</v>
      </c>
      <c r="W34" s="101" t="str">
        <f>VLOOKUP(B34,[3]Sheet1!$A:$B,2,0)</f>
        <v>Guidjiba</v>
      </c>
      <c r="X34" s="88" t="str">
        <f t="shared" si="5"/>
        <v>NRD</v>
      </c>
      <c r="Y34" s="88" t="str">
        <f t="shared" ca="1" si="6"/>
        <v>48H&lt;T&lt;72H</v>
      </c>
      <c r="Z34" s="101">
        <f t="shared" si="7"/>
        <v>2</v>
      </c>
      <c r="AA34" s="84" t="s">
        <v>1566</v>
      </c>
      <c r="AB34" s="84" t="s">
        <v>1554</v>
      </c>
      <c r="AC34" s="105" t="s">
        <v>2649</v>
      </c>
      <c r="AD34" s="106" t="s">
        <v>1994</v>
      </c>
      <c r="AE34" s="61"/>
    </row>
    <row r="35" spans="1:31" ht="72.5" x14ac:dyDescent="0.35">
      <c r="A35" s="63" t="s">
        <v>2208</v>
      </c>
      <c r="B35" s="63" t="s">
        <v>2209</v>
      </c>
      <c r="C35" s="68"/>
      <c r="D35" s="63"/>
      <c r="E35" s="63" t="s">
        <v>2210</v>
      </c>
      <c r="F35" s="71" t="s">
        <v>53</v>
      </c>
      <c r="G35" s="71" t="s">
        <v>2121</v>
      </c>
      <c r="H35" s="69">
        <v>46178.137129629627</v>
      </c>
      <c r="I35" s="77">
        <f t="shared" ca="1" si="4"/>
        <v>2.5315627314848825</v>
      </c>
      <c r="J35" s="63"/>
      <c r="K35" s="63"/>
      <c r="L35" s="63"/>
      <c r="M35" s="63" t="s">
        <v>1627</v>
      </c>
      <c r="N35" s="63" t="s">
        <v>2211</v>
      </c>
      <c r="O35" s="63"/>
      <c r="P35" s="85" t="s">
        <v>1906</v>
      </c>
      <c r="Q35" s="63"/>
      <c r="R35" s="63" t="s">
        <v>2601</v>
      </c>
      <c r="S35" s="63" t="s">
        <v>45</v>
      </c>
      <c r="T35" s="63" t="s">
        <v>1754</v>
      </c>
      <c r="U35" s="63" t="s">
        <v>1754</v>
      </c>
      <c r="V35" s="107" t="str">
        <f>VLOOKUP(B35,[2]Overall!$A:$D,4,0)</f>
        <v>TELEINFRA CENTRE</v>
      </c>
      <c r="W35" s="107" t="str">
        <f>VLOOKUP(B35,[3]Sheet1!$A:$B,2,0)</f>
        <v>Mvangan</v>
      </c>
      <c r="X35" s="89" t="str">
        <f t="shared" si="5"/>
        <v>SUD</v>
      </c>
      <c r="Y35" s="89" t="str">
        <f t="shared" ca="1" si="6"/>
        <v>48H&lt;T&lt;72H</v>
      </c>
      <c r="Z35" s="107">
        <f t="shared" si="7"/>
        <v>1</v>
      </c>
      <c r="AA35" s="85" t="s">
        <v>77</v>
      </c>
      <c r="AB35" s="85" t="s">
        <v>1554</v>
      </c>
      <c r="AC35" s="108" t="s">
        <v>2649</v>
      </c>
      <c r="AD35" s="109" t="s">
        <v>1994</v>
      </c>
      <c r="AE35" s="63"/>
    </row>
    <row r="36" spans="1:31" ht="232" hidden="1" x14ac:dyDescent="0.35">
      <c r="A36" s="61" t="s">
        <v>1776</v>
      </c>
      <c r="B36" s="61" t="s">
        <v>1777</v>
      </c>
      <c r="C36" s="65"/>
      <c r="D36" s="61"/>
      <c r="E36" s="61" t="s">
        <v>35</v>
      </c>
      <c r="F36" s="70" t="s">
        <v>53</v>
      </c>
      <c r="G36" s="70" t="s">
        <v>2121</v>
      </c>
      <c r="H36" s="67">
        <v>46178.43041666667</v>
      </c>
      <c r="I36" s="119">
        <f t="shared" ca="1" si="4"/>
        <v>2.2382756944425637</v>
      </c>
      <c r="J36" s="61"/>
      <c r="K36" s="61"/>
      <c r="L36" s="61"/>
      <c r="M36" s="61" t="s">
        <v>31</v>
      </c>
      <c r="N36" s="61" t="s">
        <v>1778</v>
      </c>
      <c r="O36" s="61"/>
      <c r="P36" s="61"/>
      <c r="Q36" s="61"/>
      <c r="R36" s="61" t="s">
        <v>2538</v>
      </c>
      <c r="S36" s="61" t="s">
        <v>32</v>
      </c>
      <c r="T36" s="61" t="s">
        <v>1898</v>
      </c>
      <c r="U36" s="61" t="s">
        <v>1898</v>
      </c>
      <c r="V36" s="101" t="str">
        <f>VLOOKUP(B36,[2]Overall!$A:$D,4,0)</f>
        <v xml:space="preserve">I-ENG </v>
      </c>
      <c r="W36" s="101" t="str">
        <f>VLOOKUP(B36,[3]Sheet1!$A:$B,2,0)</f>
        <v>Bafmeng</v>
      </c>
      <c r="X36" s="88" t="str">
        <f t="shared" si="5"/>
        <v>NRO</v>
      </c>
      <c r="Y36" s="88" t="str">
        <f t="shared" ca="1" si="6"/>
        <v>48H&lt;T&lt;72H</v>
      </c>
      <c r="Z36" s="101">
        <f t="shared" si="7"/>
        <v>3</v>
      </c>
      <c r="AA36" s="84" t="s">
        <v>1566</v>
      </c>
      <c r="AB36" s="84" t="s">
        <v>1554</v>
      </c>
      <c r="AC36" s="105" t="s">
        <v>2649</v>
      </c>
      <c r="AD36" s="106" t="s">
        <v>1994</v>
      </c>
      <c r="AE36" s="61"/>
    </row>
    <row r="37" spans="1:31" ht="87" hidden="1" x14ac:dyDescent="0.35">
      <c r="A37" s="61" t="s">
        <v>2441</v>
      </c>
      <c r="B37" s="61" t="s">
        <v>2442</v>
      </c>
      <c r="C37" s="65"/>
      <c r="D37" s="61"/>
      <c r="E37" s="61" t="s">
        <v>2471</v>
      </c>
      <c r="F37" s="70" t="s">
        <v>53</v>
      </c>
      <c r="G37" s="70" t="s">
        <v>2121</v>
      </c>
      <c r="H37" s="67">
        <v>46178.441736111112</v>
      </c>
      <c r="I37" s="119">
        <f t="shared" ca="1" si="4"/>
        <v>2.2269562500005122</v>
      </c>
      <c r="J37" s="61"/>
      <c r="K37" s="61"/>
      <c r="L37" s="61"/>
      <c r="M37" s="61" t="s">
        <v>33</v>
      </c>
      <c r="N37" s="61" t="s">
        <v>2444</v>
      </c>
      <c r="O37" s="61"/>
      <c r="P37" s="61"/>
      <c r="Q37" s="61"/>
      <c r="R37" s="84" t="s">
        <v>2652</v>
      </c>
      <c r="S37" s="61" t="s">
        <v>45</v>
      </c>
      <c r="T37" s="61" t="s">
        <v>1898</v>
      </c>
      <c r="U37" s="61" t="s">
        <v>1898</v>
      </c>
      <c r="V37" s="101" t="str">
        <f>VLOOKUP(B37,[2]Overall!$A:$D,4,0)</f>
        <v>TELEINFRA CENTRE</v>
      </c>
      <c r="W37" s="101" t="str">
        <f>VLOOKUP(B37,[3]Sheet1!$A:$B,2,0)</f>
        <v>Yola</v>
      </c>
      <c r="X37" s="88" t="str">
        <f t="shared" si="5"/>
        <v>EST</v>
      </c>
      <c r="Y37" s="88" t="str">
        <f t="shared" ca="1" si="6"/>
        <v>48H&lt;T&lt;72H</v>
      </c>
      <c r="Z37" s="101">
        <f t="shared" si="7"/>
        <v>2</v>
      </c>
      <c r="AA37" s="84" t="s">
        <v>1566</v>
      </c>
      <c r="AB37" s="84" t="s">
        <v>1554</v>
      </c>
      <c r="AC37" s="105" t="s">
        <v>2649</v>
      </c>
      <c r="AD37" s="106" t="s">
        <v>1994</v>
      </c>
      <c r="AE37" s="61"/>
    </row>
    <row r="38" spans="1:31" ht="101.5" hidden="1" x14ac:dyDescent="0.35">
      <c r="A38" s="61" t="s">
        <v>2481</v>
      </c>
      <c r="B38" s="61" t="s">
        <v>2482</v>
      </c>
      <c r="C38" s="65"/>
      <c r="D38" s="61"/>
      <c r="E38" s="61" t="s">
        <v>2483</v>
      </c>
      <c r="F38" s="70" t="s">
        <v>53</v>
      </c>
      <c r="G38" s="70" t="s">
        <v>2121</v>
      </c>
      <c r="H38" s="67">
        <v>46178.506608796299</v>
      </c>
      <c r="I38" s="119">
        <f t="shared" ca="1" si="4"/>
        <v>2.1620835648136563</v>
      </c>
      <c r="J38" s="61"/>
      <c r="K38" s="61"/>
      <c r="L38" s="61"/>
      <c r="M38" s="61" t="s">
        <v>46</v>
      </c>
      <c r="N38" s="61" t="s">
        <v>2484</v>
      </c>
      <c r="O38" s="61"/>
      <c r="P38" s="61"/>
      <c r="Q38" s="61"/>
      <c r="R38" s="61" t="s">
        <v>2623</v>
      </c>
      <c r="S38" s="61" t="s">
        <v>85</v>
      </c>
      <c r="T38" s="61" t="s">
        <v>1898</v>
      </c>
      <c r="U38" s="61" t="s">
        <v>1898</v>
      </c>
      <c r="V38" s="101" t="str">
        <f>VLOOKUP(B38,[2]Overall!$A:$D,4,0)</f>
        <v>H-TELI</v>
      </c>
      <c r="W38" s="101" t="str">
        <f>VLOOKUP(B38,[3]Sheet1!$A:$B,2,0)</f>
        <v>Banguem</v>
      </c>
      <c r="X38" s="88" t="str">
        <f t="shared" si="5"/>
        <v>SUO</v>
      </c>
      <c r="Y38" s="88" t="str">
        <f t="shared" ca="1" si="6"/>
        <v>48H&lt;T&lt;72H</v>
      </c>
      <c r="Z38" s="101">
        <f t="shared" si="7"/>
        <v>1</v>
      </c>
      <c r="AA38" s="84" t="s">
        <v>1566</v>
      </c>
      <c r="AB38" s="84" t="s">
        <v>1554</v>
      </c>
      <c r="AC38" s="105" t="s">
        <v>2649</v>
      </c>
      <c r="AD38" s="106" t="s">
        <v>1994</v>
      </c>
      <c r="AE38" s="61"/>
    </row>
    <row r="39" spans="1:31" ht="87" hidden="1" x14ac:dyDescent="0.35">
      <c r="A39" s="61" t="s">
        <v>2520</v>
      </c>
      <c r="B39" s="61" t="s">
        <v>2521</v>
      </c>
      <c r="C39" s="65"/>
      <c r="D39" s="61"/>
      <c r="E39" s="61" t="s">
        <v>2522</v>
      </c>
      <c r="F39" s="70" t="s">
        <v>53</v>
      </c>
      <c r="G39" s="70" t="s">
        <v>2121</v>
      </c>
      <c r="H39" s="67">
        <v>46178.632245370369</v>
      </c>
      <c r="I39" s="119">
        <f t="shared" ca="1" si="4"/>
        <v>2.0364469907435705</v>
      </c>
      <c r="J39" s="61"/>
      <c r="K39" s="61"/>
      <c r="L39" s="61"/>
      <c r="M39" s="61" t="s">
        <v>33</v>
      </c>
      <c r="N39" s="61" t="s">
        <v>2523</v>
      </c>
      <c r="O39" s="61"/>
      <c r="P39" s="61"/>
      <c r="Q39" s="61"/>
      <c r="R39" s="84" t="s">
        <v>2660</v>
      </c>
      <c r="S39" s="61" t="s">
        <v>32</v>
      </c>
      <c r="T39" s="61" t="s">
        <v>1898</v>
      </c>
      <c r="U39" s="61" t="s">
        <v>1898</v>
      </c>
      <c r="V39" s="101" t="str">
        <f>VLOOKUP(B39,[2]Overall!$A:$D,4,0)</f>
        <v xml:space="preserve">I-ENG </v>
      </c>
      <c r="W39" s="101" t="str">
        <f>VLOOKUP(B39,[3]Sheet1!$A:$B,2,0)</f>
        <v>Nyanon</v>
      </c>
      <c r="X39" s="88" t="str">
        <f t="shared" si="5"/>
        <v>LIT</v>
      </c>
      <c r="Y39" s="88" t="str">
        <f t="shared" ca="1" si="6"/>
        <v>48H&lt;T&lt;72H</v>
      </c>
      <c r="Z39" s="101">
        <f t="shared" si="7"/>
        <v>2</v>
      </c>
      <c r="AA39" s="84" t="s">
        <v>1566</v>
      </c>
      <c r="AB39" s="84" t="s">
        <v>1554</v>
      </c>
      <c r="AC39" s="105" t="s">
        <v>2649</v>
      </c>
      <c r="AD39" s="106" t="s">
        <v>1994</v>
      </c>
      <c r="AE39" s="61"/>
    </row>
    <row r="40" spans="1:31" ht="72.5" hidden="1" x14ac:dyDescent="0.35">
      <c r="A40" s="61" t="s">
        <v>1803</v>
      </c>
      <c r="B40" s="61" t="s">
        <v>1804</v>
      </c>
      <c r="C40" s="65"/>
      <c r="D40" s="61"/>
      <c r="E40" s="61" t="s">
        <v>2602</v>
      </c>
      <c r="F40" s="70" t="s">
        <v>53</v>
      </c>
      <c r="G40" s="70" t="s">
        <v>2121</v>
      </c>
      <c r="H40" s="67">
        <v>46178.741863425923</v>
      </c>
      <c r="I40" s="119">
        <f t="shared" ca="1" si="4"/>
        <v>1.9268289351894055</v>
      </c>
      <c r="J40" s="61"/>
      <c r="K40" s="61"/>
      <c r="L40" s="61"/>
      <c r="M40" s="61" t="s">
        <v>1627</v>
      </c>
      <c r="N40" s="61" t="s">
        <v>2603</v>
      </c>
      <c r="O40" s="61"/>
      <c r="P40" s="61"/>
      <c r="Q40" s="61"/>
      <c r="R40" s="84" t="s">
        <v>2618</v>
      </c>
      <c r="S40" s="84" t="s">
        <v>51</v>
      </c>
      <c r="T40" s="84" t="s">
        <v>1898</v>
      </c>
      <c r="U40" s="84" t="s">
        <v>1898</v>
      </c>
      <c r="V40" s="101" t="str">
        <f>VLOOKUP(B40,[2]Overall!$A:$D,4,0)</f>
        <v>TELEINFRA CENTRE</v>
      </c>
      <c r="W40" s="101" t="str">
        <f>VLOOKUP(B40,[3]Sheet1!$A:$B,2,0)</f>
        <v>SALAPOUMBE</v>
      </c>
      <c r="X40" s="88" t="str">
        <f t="shared" si="5"/>
        <v>EST</v>
      </c>
      <c r="Y40" s="88" t="str">
        <f t="shared" ca="1" si="6"/>
        <v>24H&lt;T&lt;48H</v>
      </c>
      <c r="Z40" s="101">
        <f t="shared" si="7"/>
        <v>1</v>
      </c>
      <c r="AA40" s="84" t="s">
        <v>1566</v>
      </c>
      <c r="AB40" s="84" t="s">
        <v>1554</v>
      </c>
      <c r="AC40" s="105" t="s">
        <v>2649</v>
      </c>
      <c r="AD40" s="106" t="s">
        <v>1994</v>
      </c>
      <c r="AE40" s="61"/>
    </row>
    <row r="41" spans="1:31" ht="72.5" hidden="1" x14ac:dyDescent="0.35">
      <c r="A41" s="63" t="s">
        <v>2551</v>
      </c>
      <c r="B41" s="63" t="s">
        <v>2552</v>
      </c>
      <c r="C41" s="68"/>
      <c r="D41" s="63"/>
      <c r="E41" s="63" t="s">
        <v>1823</v>
      </c>
      <c r="F41" s="71" t="s">
        <v>53</v>
      </c>
      <c r="G41" s="71" t="s">
        <v>2121</v>
      </c>
      <c r="H41" s="69">
        <v>46178.821550925924</v>
      </c>
      <c r="I41" s="77">
        <f t="shared" ca="1" si="4"/>
        <v>1.8471414351879503</v>
      </c>
      <c r="J41" s="63"/>
      <c r="K41" s="63"/>
      <c r="L41" s="63"/>
      <c r="M41" s="63" t="s">
        <v>31</v>
      </c>
      <c r="N41" s="63" t="s">
        <v>2553</v>
      </c>
      <c r="O41" s="63"/>
      <c r="P41" s="85" t="s">
        <v>1906</v>
      </c>
      <c r="Q41" s="63"/>
      <c r="R41" s="85" t="s">
        <v>2656</v>
      </c>
      <c r="S41" s="63" t="s">
        <v>40</v>
      </c>
      <c r="T41" s="63" t="s">
        <v>1898</v>
      </c>
      <c r="U41" s="63" t="s">
        <v>1898</v>
      </c>
      <c r="V41" s="107" t="str">
        <f>VLOOKUP(B41,[2]Overall!$A:$D,4,0)</f>
        <v>TELEINFRA NORD</v>
      </c>
      <c r="W41" s="107" t="str">
        <f>VLOOKUP(B41,[3]Sheet1!$A:$B,2,0)</f>
        <v>Bardake</v>
      </c>
      <c r="X41" s="89" t="str">
        <f t="shared" si="5"/>
        <v>NRD</v>
      </c>
      <c r="Y41" s="89" t="str">
        <f t="shared" ca="1" si="6"/>
        <v>24H&lt;T&lt;48H</v>
      </c>
      <c r="Z41" s="107">
        <f t="shared" si="7"/>
        <v>2</v>
      </c>
      <c r="AA41" s="85" t="s">
        <v>77</v>
      </c>
      <c r="AB41" s="85" t="s">
        <v>1905</v>
      </c>
      <c r="AC41" s="108" t="s">
        <v>2649</v>
      </c>
      <c r="AD41" s="109" t="s">
        <v>1994</v>
      </c>
      <c r="AE41" s="63"/>
    </row>
    <row r="42" spans="1:31" ht="87" hidden="1" x14ac:dyDescent="0.35">
      <c r="A42" s="61" t="s">
        <v>2554</v>
      </c>
      <c r="B42" s="61" t="s">
        <v>2555</v>
      </c>
      <c r="C42" s="65"/>
      <c r="D42" s="61"/>
      <c r="E42" s="61" t="s">
        <v>2564</v>
      </c>
      <c r="F42" s="70" t="s">
        <v>53</v>
      </c>
      <c r="G42" s="70" t="s">
        <v>2121</v>
      </c>
      <c r="H42" s="67">
        <v>46178.890717592592</v>
      </c>
      <c r="I42" s="119">
        <f t="shared" ca="1" si="4"/>
        <v>1.7779747685199254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84" t="s">
        <v>2654</v>
      </c>
      <c r="S42" s="84" t="s">
        <v>71</v>
      </c>
      <c r="T42" s="84" t="s">
        <v>1902</v>
      </c>
      <c r="U42" s="84" t="s">
        <v>1896</v>
      </c>
      <c r="V42" s="101" t="str">
        <f>VLOOKUP(B42,[2]Overall!$A:$D,4,0)</f>
        <v xml:space="preserve">I-ENG </v>
      </c>
      <c r="W42" s="101" t="str">
        <f>VLOOKUP(B42,[3]Sheet1!$A:$B,2,0)</f>
        <v>Bangambi</v>
      </c>
      <c r="X42" s="88" t="str">
        <f t="shared" si="5"/>
        <v>OST</v>
      </c>
      <c r="Y42" s="88" t="str">
        <f t="shared" ca="1" si="6"/>
        <v>24H&lt;T&lt;48H</v>
      </c>
      <c r="Z42" s="101">
        <f t="shared" si="7"/>
        <v>1</v>
      </c>
      <c r="AA42" s="84" t="s">
        <v>1566</v>
      </c>
      <c r="AB42" s="84" t="s">
        <v>1554</v>
      </c>
      <c r="AC42" s="105" t="s">
        <v>2649</v>
      </c>
      <c r="AD42" s="106" t="s">
        <v>1994</v>
      </c>
      <c r="AE42" s="61"/>
    </row>
    <row r="43" spans="1:31" ht="87" hidden="1" x14ac:dyDescent="0.35">
      <c r="A43" s="61" t="s">
        <v>2554</v>
      </c>
      <c r="B43" s="61" t="s">
        <v>2555</v>
      </c>
      <c r="C43" s="65"/>
      <c r="D43" s="61"/>
      <c r="E43" s="61" t="s">
        <v>2558</v>
      </c>
      <c r="F43" s="70" t="s">
        <v>53</v>
      </c>
      <c r="G43" s="70" t="s">
        <v>2121</v>
      </c>
      <c r="H43" s="67">
        <v>46178.890717592592</v>
      </c>
      <c r="I43" s="119">
        <f t="shared" ca="1" si="4"/>
        <v>1.7779747685199254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84" t="s">
        <v>2654</v>
      </c>
      <c r="S43" s="84" t="s">
        <v>71</v>
      </c>
      <c r="T43" s="84" t="s">
        <v>1902</v>
      </c>
      <c r="U43" s="84" t="s">
        <v>1896</v>
      </c>
      <c r="V43" s="101" t="str">
        <f>VLOOKUP(B43,[2]Overall!$A:$D,4,0)</f>
        <v xml:space="preserve">I-ENG </v>
      </c>
      <c r="W43" s="101" t="str">
        <f>VLOOKUP(B43,[3]Sheet1!$A:$B,2,0)</f>
        <v>Bangambi</v>
      </c>
      <c r="X43" s="88" t="str">
        <f t="shared" si="5"/>
        <v>OST</v>
      </c>
      <c r="Y43" s="88" t="str">
        <f t="shared" ca="1" si="6"/>
        <v>24H&lt;T&lt;48H</v>
      </c>
      <c r="Z43" s="101">
        <f t="shared" si="7"/>
        <v>1</v>
      </c>
      <c r="AA43" s="84" t="s">
        <v>1566</v>
      </c>
      <c r="AB43" s="84" t="s">
        <v>1554</v>
      </c>
      <c r="AC43" s="105" t="s">
        <v>2649</v>
      </c>
      <c r="AD43" s="106" t="s">
        <v>1994</v>
      </c>
      <c r="AE43" s="61"/>
    </row>
    <row r="44" spans="1:31" ht="87" hidden="1" x14ac:dyDescent="0.35">
      <c r="A44" s="61" t="s">
        <v>2554</v>
      </c>
      <c r="B44" s="61" t="s">
        <v>2555</v>
      </c>
      <c r="C44" s="65"/>
      <c r="D44" s="61"/>
      <c r="E44" s="61" t="s">
        <v>2560</v>
      </c>
      <c r="F44" s="70" t="s">
        <v>53</v>
      </c>
      <c r="G44" s="70" t="s">
        <v>2121</v>
      </c>
      <c r="H44" s="67">
        <v>46178.890717592592</v>
      </c>
      <c r="I44" s="119">
        <f t="shared" ca="1" si="4"/>
        <v>1.7779747685199254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84" t="s">
        <v>2654</v>
      </c>
      <c r="S44" s="84" t="s">
        <v>71</v>
      </c>
      <c r="T44" s="84" t="s">
        <v>1902</v>
      </c>
      <c r="U44" s="84" t="s">
        <v>1896</v>
      </c>
      <c r="V44" s="101" t="str">
        <f>VLOOKUP(B44,[2]Overall!$A:$D,4,0)</f>
        <v xml:space="preserve">I-ENG </v>
      </c>
      <c r="W44" s="101" t="str">
        <f>VLOOKUP(B44,[3]Sheet1!$A:$B,2,0)</f>
        <v>Bangambi</v>
      </c>
      <c r="X44" s="88" t="str">
        <f t="shared" si="5"/>
        <v>OST</v>
      </c>
      <c r="Y44" s="88" t="str">
        <f t="shared" ca="1" si="6"/>
        <v>24H&lt;T&lt;48H</v>
      </c>
      <c r="Z44" s="101">
        <f t="shared" si="7"/>
        <v>1</v>
      </c>
      <c r="AA44" s="84" t="s">
        <v>1566</v>
      </c>
      <c r="AB44" s="84" t="s">
        <v>1554</v>
      </c>
      <c r="AC44" s="105" t="s">
        <v>2649</v>
      </c>
      <c r="AD44" s="106" t="s">
        <v>1994</v>
      </c>
      <c r="AE44" s="61"/>
    </row>
    <row r="45" spans="1:31" ht="87" hidden="1" x14ac:dyDescent="0.35">
      <c r="A45" s="61" t="s">
        <v>2554</v>
      </c>
      <c r="B45" s="61" t="s">
        <v>2555</v>
      </c>
      <c r="C45" s="65"/>
      <c r="D45" s="61"/>
      <c r="E45" s="61" t="s">
        <v>2562</v>
      </c>
      <c r="F45" s="70" t="s">
        <v>53</v>
      </c>
      <c r="G45" s="70" t="s">
        <v>2121</v>
      </c>
      <c r="H45" s="67">
        <v>46178.890717592592</v>
      </c>
      <c r="I45" s="119">
        <f t="shared" ca="1" si="4"/>
        <v>1.7779747685199254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84" t="s">
        <v>2654</v>
      </c>
      <c r="S45" s="84" t="s">
        <v>71</v>
      </c>
      <c r="T45" s="84" t="s">
        <v>1902</v>
      </c>
      <c r="U45" s="84" t="s">
        <v>1896</v>
      </c>
      <c r="V45" s="101" t="str">
        <f>VLOOKUP(B45,[2]Overall!$A:$D,4,0)</f>
        <v xml:space="preserve">I-ENG </v>
      </c>
      <c r="W45" s="101" t="str">
        <f>VLOOKUP(B45,[3]Sheet1!$A:$B,2,0)</f>
        <v>Bangambi</v>
      </c>
      <c r="X45" s="88" t="str">
        <f t="shared" si="5"/>
        <v>OST</v>
      </c>
      <c r="Y45" s="88" t="str">
        <f t="shared" ca="1" si="6"/>
        <v>24H&lt;T&lt;48H</v>
      </c>
      <c r="Z45" s="101">
        <f t="shared" si="7"/>
        <v>1</v>
      </c>
      <c r="AA45" s="84" t="s">
        <v>1566</v>
      </c>
      <c r="AB45" s="84" t="s">
        <v>1554</v>
      </c>
      <c r="AC45" s="105" t="s">
        <v>2649</v>
      </c>
      <c r="AD45" s="106" t="s">
        <v>1994</v>
      </c>
      <c r="AE45" s="61"/>
    </row>
    <row r="46" spans="1:31" ht="87" hidden="1" x14ac:dyDescent="0.35">
      <c r="A46" s="61" t="s">
        <v>2554</v>
      </c>
      <c r="B46" s="61" t="s">
        <v>2555</v>
      </c>
      <c r="C46" s="65"/>
      <c r="D46" s="61"/>
      <c r="E46" s="61" t="s">
        <v>2556</v>
      </c>
      <c r="F46" s="70" t="s">
        <v>53</v>
      </c>
      <c r="G46" s="70" t="s">
        <v>2121</v>
      </c>
      <c r="H46" s="67">
        <v>46178.890706018516</v>
      </c>
      <c r="I46" s="119">
        <f t="shared" ca="1" si="4"/>
        <v>1.7779863425967051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84" t="s">
        <v>2654</v>
      </c>
      <c r="S46" s="84" t="s">
        <v>71</v>
      </c>
      <c r="T46" s="84" t="s">
        <v>1902</v>
      </c>
      <c r="U46" s="84" t="s">
        <v>1896</v>
      </c>
      <c r="V46" s="101" t="str">
        <f>VLOOKUP(B46,[2]Overall!$A:$D,4,0)</f>
        <v xml:space="preserve">I-ENG </v>
      </c>
      <c r="W46" s="101" t="str">
        <f>VLOOKUP(B46,[3]Sheet1!$A:$B,2,0)</f>
        <v>Bangambi</v>
      </c>
      <c r="X46" s="88" t="str">
        <f t="shared" si="5"/>
        <v>OST</v>
      </c>
      <c r="Y46" s="88" t="str">
        <f t="shared" ca="1" si="6"/>
        <v>24H&lt;T&lt;48H</v>
      </c>
      <c r="Z46" s="101">
        <f t="shared" si="7"/>
        <v>1</v>
      </c>
      <c r="AA46" s="84" t="s">
        <v>1566</v>
      </c>
      <c r="AB46" s="84" t="s">
        <v>1554</v>
      </c>
      <c r="AC46" s="105" t="s">
        <v>2649</v>
      </c>
      <c r="AD46" s="106" t="s">
        <v>1994</v>
      </c>
      <c r="AE46" s="61"/>
    </row>
    <row r="47" spans="1:31" ht="87" hidden="1" x14ac:dyDescent="0.35">
      <c r="A47" s="61" t="s">
        <v>2554</v>
      </c>
      <c r="B47" s="61" t="s">
        <v>2555</v>
      </c>
      <c r="C47" s="65"/>
      <c r="D47" s="61"/>
      <c r="E47" s="61" t="s">
        <v>2561</v>
      </c>
      <c r="F47" s="70" t="s">
        <v>53</v>
      </c>
      <c r="G47" s="70" t="s">
        <v>2121</v>
      </c>
      <c r="H47" s="67">
        <v>46178.890717592592</v>
      </c>
      <c r="I47" s="119">
        <f t="shared" ca="1" si="4"/>
        <v>1.7779747685199254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84" t="s">
        <v>2654</v>
      </c>
      <c r="S47" s="84" t="s">
        <v>71</v>
      </c>
      <c r="T47" s="84" t="s">
        <v>1902</v>
      </c>
      <c r="U47" s="84" t="s">
        <v>1896</v>
      </c>
      <c r="V47" s="101" t="str">
        <f>VLOOKUP(B47,[2]Overall!$A:$D,4,0)</f>
        <v xml:space="preserve">I-ENG </v>
      </c>
      <c r="W47" s="101" t="str">
        <f>VLOOKUP(B47,[3]Sheet1!$A:$B,2,0)</f>
        <v>Bangambi</v>
      </c>
      <c r="X47" s="88" t="str">
        <f t="shared" si="5"/>
        <v>OST</v>
      </c>
      <c r="Y47" s="88" t="str">
        <f t="shared" ca="1" si="6"/>
        <v>24H&lt;T&lt;48H</v>
      </c>
      <c r="Z47" s="101">
        <f t="shared" si="7"/>
        <v>1</v>
      </c>
      <c r="AA47" s="84" t="s">
        <v>1566</v>
      </c>
      <c r="AB47" s="84" t="s">
        <v>1554</v>
      </c>
      <c r="AC47" s="105" t="s">
        <v>2649</v>
      </c>
      <c r="AD47" s="106" t="s">
        <v>1994</v>
      </c>
      <c r="AE47" s="61"/>
    </row>
    <row r="48" spans="1:31" ht="87" hidden="1" x14ac:dyDescent="0.35">
      <c r="A48" s="61" t="s">
        <v>2554</v>
      </c>
      <c r="B48" s="61" t="s">
        <v>2555</v>
      </c>
      <c r="C48" s="65"/>
      <c r="D48" s="61"/>
      <c r="E48" s="61" t="s">
        <v>2563</v>
      </c>
      <c r="F48" s="70" t="s">
        <v>53</v>
      </c>
      <c r="G48" s="70" t="s">
        <v>2121</v>
      </c>
      <c r="H48" s="67">
        <v>46178.890717592592</v>
      </c>
      <c r="I48" s="119">
        <f t="shared" ca="1" si="4"/>
        <v>1.7779747685199254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84" t="s">
        <v>2654</v>
      </c>
      <c r="S48" s="84" t="s">
        <v>71</v>
      </c>
      <c r="T48" s="84" t="s">
        <v>1902</v>
      </c>
      <c r="U48" s="84" t="s">
        <v>1896</v>
      </c>
      <c r="V48" s="101" t="str">
        <f>VLOOKUP(B48,[2]Overall!$A:$D,4,0)</f>
        <v xml:space="preserve">I-ENG </v>
      </c>
      <c r="W48" s="101" t="str">
        <f>VLOOKUP(B48,[3]Sheet1!$A:$B,2,0)</f>
        <v>Bangambi</v>
      </c>
      <c r="X48" s="88" t="str">
        <f t="shared" si="5"/>
        <v>OST</v>
      </c>
      <c r="Y48" s="88" t="str">
        <f t="shared" ca="1" si="6"/>
        <v>24H&lt;T&lt;48H</v>
      </c>
      <c r="Z48" s="101">
        <f t="shared" si="7"/>
        <v>1</v>
      </c>
      <c r="AA48" s="84" t="s">
        <v>1566</v>
      </c>
      <c r="AB48" s="84" t="s">
        <v>1554</v>
      </c>
      <c r="AC48" s="105" t="s">
        <v>2649</v>
      </c>
      <c r="AD48" s="106" t="s">
        <v>1994</v>
      </c>
      <c r="AE48" s="61"/>
    </row>
    <row r="49" spans="1:31" ht="87" hidden="1" x14ac:dyDescent="0.35">
      <c r="A49" s="61" t="s">
        <v>2554</v>
      </c>
      <c r="B49" s="61" t="s">
        <v>2555</v>
      </c>
      <c r="C49" s="65"/>
      <c r="D49" s="61"/>
      <c r="E49" s="61" t="s">
        <v>2559</v>
      </c>
      <c r="F49" s="70" t="s">
        <v>53</v>
      </c>
      <c r="G49" s="70" t="s">
        <v>2121</v>
      </c>
      <c r="H49" s="67">
        <v>46178.890717592592</v>
      </c>
      <c r="I49" s="119">
        <f t="shared" ca="1" si="4"/>
        <v>1.7779747685199254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84" t="s">
        <v>2654</v>
      </c>
      <c r="S49" s="84" t="s">
        <v>71</v>
      </c>
      <c r="T49" s="84" t="s">
        <v>1902</v>
      </c>
      <c r="U49" s="84" t="s">
        <v>1896</v>
      </c>
      <c r="V49" s="101" t="str">
        <f>VLOOKUP(B49,[2]Overall!$A:$D,4,0)</f>
        <v xml:space="preserve">I-ENG </v>
      </c>
      <c r="W49" s="101" t="str">
        <f>VLOOKUP(B49,[3]Sheet1!$A:$B,2,0)</f>
        <v>Bangambi</v>
      </c>
      <c r="X49" s="88" t="str">
        <f t="shared" si="5"/>
        <v>OST</v>
      </c>
      <c r="Y49" s="88" t="str">
        <f t="shared" ca="1" si="6"/>
        <v>24H&lt;T&lt;48H</v>
      </c>
      <c r="Z49" s="101">
        <f t="shared" si="7"/>
        <v>1</v>
      </c>
      <c r="AA49" s="84" t="s">
        <v>1566</v>
      </c>
      <c r="AB49" s="84" t="s">
        <v>1554</v>
      </c>
      <c r="AC49" s="105" t="s">
        <v>2649</v>
      </c>
      <c r="AD49" s="106" t="s">
        <v>1994</v>
      </c>
      <c r="AE49" s="61"/>
    </row>
    <row r="50" spans="1:31" ht="87" hidden="1" x14ac:dyDescent="0.35">
      <c r="A50" s="61" t="s">
        <v>2554</v>
      </c>
      <c r="B50" s="61" t="s">
        <v>2555</v>
      </c>
      <c r="C50" s="65"/>
      <c r="D50" s="61"/>
      <c r="E50" s="61" t="s">
        <v>2557</v>
      </c>
      <c r="F50" s="70" t="s">
        <v>53</v>
      </c>
      <c r="G50" s="70" t="s">
        <v>2121</v>
      </c>
      <c r="H50" s="67">
        <v>46178.890717592592</v>
      </c>
      <c r="I50" s="119">
        <f t="shared" ca="1" si="4"/>
        <v>1.7779747685199254</v>
      </c>
      <c r="J50" s="61"/>
      <c r="K50" s="61"/>
      <c r="L50" s="61"/>
      <c r="M50" s="61" t="s">
        <v>41</v>
      </c>
      <c r="N50" s="61" t="s">
        <v>42</v>
      </c>
      <c r="O50" s="61"/>
      <c r="P50" s="61"/>
      <c r="Q50" s="61"/>
      <c r="R50" s="84" t="s">
        <v>2654</v>
      </c>
      <c r="S50" s="84" t="s">
        <v>71</v>
      </c>
      <c r="T50" s="84" t="s">
        <v>1902</v>
      </c>
      <c r="U50" s="84" t="s">
        <v>1896</v>
      </c>
      <c r="V50" s="101" t="str">
        <f>VLOOKUP(B50,[2]Overall!$A:$D,4,0)</f>
        <v xml:space="preserve">I-ENG </v>
      </c>
      <c r="W50" s="101" t="str">
        <f>VLOOKUP(B50,[3]Sheet1!$A:$B,2,0)</f>
        <v>Bangambi</v>
      </c>
      <c r="X50" s="88" t="str">
        <f t="shared" si="5"/>
        <v>OST</v>
      </c>
      <c r="Y50" s="88" t="str">
        <f t="shared" ca="1" si="6"/>
        <v>24H&lt;T&lt;48H</v>
      </c>
      <c r="Z50" s="101">
        <f t="shared" si="7"/>
        <v>1</v>
      </c>
      <c r="AA50" s="84" t="s">
        <v>1566</v>
      </c>
      <c r="AB50" s="84" t="s">
        <v>1554</v>
      </c>
      <c r="AC50" s="105" t="s">
        <v>2649</v>
      </c>
      <c r="AD50" s="106" t="s">
        <v>1994</v>
      </c>
      <c r="AE50" s="61"/>
    </row>
    <row r="51" spans="1:31" ht="116" hidden="1" x14ac:dyDescent="0.35">
      <c r="A51" s="61" t="s">
        <v>2576</v>
      </c>
      <c r="B51" s="61" t="s">
        <v>2577</v>
      </c>
      <c r="C51" s="65"/>
      <c r="D51" s="61"/>
      <c r="E51" s="61" t="s">
        <v>1641</v>
      </c>
      <c r="F51" s="70" t="s">
        <v>53</v>
      </c>
      <c r="G51" s="70" t="s">
        <v>2121</v>
      </c>
      <c r="H51" s="67">
        <v>46179.268483796295</v>
      </c>
      <c r="I51" s="119">
        <f t="shared" ca="1" si="4"/>
        <v>1.4002085648171487</v>
      </c>
      <c r="J51" s="61"/>
      <c r="K51" s="61"/>
      <c r="L51" s="61"/>
      <c r="M51" s="61" t="s">
        <v>41</v>
      </c>
      <c r="N51" s="61" t="s">
        <v>2349</v>
      </c>
      <c r="O51" s="61"/>
      <c r="P51" s="61"/>
      <c r="Q51" s="61"/>
      <c r="R51" s="61" t="s">
        <v>2634</v>
      </c>
      <c r="S51" s="61" t="s">
        <v>40</v>
      </c>
      <c r="T51" s="61" t="s">
        <v>1840</v>
      </c>
      <c r="U51" s="61" t="s">
        <v>1840</v>
      </c>
      <c r="V51" s="101" t="str">
        <f>VLOOKUP(B51,[2]Overall!$A:$D,4,0)</f>
        <v>TELEINFRA NORD</v>
      </c>
      <c r="W51" s="101" t="str">
        <f>VLOOKUP(B51,[3]Sheet1!$A:$B,2,0)</f>
        <v>Tchevi</v>
      </c>
      <c r="X51" s="88" t="str">
        <f t="shared" si="5"/>
        <v>EXN</v>
      </c>
      <c r="Y51" s="88" t="str">
        <f t="shared" ca="1" si="6"/>
        <v>24H&lt;T&lt;48H</v>
      </c>
      <c r="Z51" s="101">
        <f t="shared" si="7"/>
        <v>1</v>
      </c>
      <c r="AA51" s="84" t="s">
        <v>1566</v>
      </c>
      <c r="AB51" s="84" t="s">
        <v>1554</v>
      </c>
      <c r="AC51" s="105" t="s">
        <v>2649</v>
      </c>
      <c r="AD51" s="106" t="s">
        <v>1994</v>
      </c>
      <c r="AE51" s="61"/>
    </row>
    <row r="52" spans="1:31" ht="116" hidden="1" x14ac:dyDescent="0.35">
      <c r="A52" s="61" t="s">
        <v>2576</v>
      </c>
      <c r="B52" s="61" t="s">
        <v>2577</v>
      </c>
      <c r="C52" s="65"/>
      <c r="D52" s="61"/>
      <c r="E52" s="61" t="s">
        <v>1636</v>
      </c>
      <c r="F52" s="70" t="s">
        <v>53</v>
      </c>
      <c r="G52" s="70" t="s">
        <v>2121</v>
      </c>
      <c r="H52" s="67">
        <v>46179.268483796295</v>
      </c>
      <c r="I52" s="119">
        <f t="shared" ca="1" si="4"/>
        <v>1.4002085648171487</v>
      </c>
      <c r="J52" s="61"/>
      <c r="K52" s="61"/>
      <c r="L52" s="61"/>
      <c r="M52" s="61" t="s">
        <v>41</v>
      </c>
      <c r="N52" s="61" t="s">
        <v>2348</v>
      </c>
      <c r="O52" s="61"/>
      <c r="P52" s="61"/>
      <c r="Q52" s="61"/>
      <c r="R52" s="61" t="s">
        <v>2634</v>
      </c>
      <c r="S52" s="61" t="s">
        <v>40</v>
      </c>
      <c r="T52" s="61" t="s">
        <v>1840</v>
      </c>
      <c r="U52" s="61" t="s">
        <v>1840</v>
      </c>
      <c r="V52" s="101" t="str">
        <f>VLOOKUP(B52,[2]Overall!$A:$D,4,0)</f>
        <v>TELEINFRA NORD</v>
      </c>
      <c r="W52" s="101" t="str">
        <f>VLOOKUP(B52,[3]Sheet1!$A:$B,2,0)</f>
        <v>Tchevi</v>
      </c>
      <c r="X52" s="88" t="str">
        <f t="shared" si="5"/>
        <v>EXN</v>
      </c>
      <c r="Y52" s="88" t="str">
        <f t="shared" ca="1" si="6"/>
        <v>24H&lt;T&lt;48H</v>
      </c>
      <c r="Z52" s="101">
        <f t="shared" si="7"/>
        <v>1</v>
      </c>
      <c r="AA52" s="84" t="s">
        <v>1566</v>
      </c>
      <c r="AB52" s="84" t="s">
        <v>1554</v>
      </c>
      <c r="AC52" s="105" t="s">
        <v>2649</v>
      </c>
      <c r="AD52" s="106" t="s">
        <v>1994</v>
      </c>
      <c r="AE52" s="61"/>
    </row>
    <row r="53" spans="1:31" ht="116" hidden="1" x14ac:dyDescent="0.35">
      <c r="A53" s="61" t="s">
        <v>2576</v>
      </c>
      <c r="B53" s="61" t="s">
        <v>2577</v>
      </c>
      <c r="C53" s="65"/>
      <c r="D53" s="61"/>
      <c r="E53" s="61" t="s">
        <v>49</v>
      </c>
      <c r="F53" s="70" t="s">
        <v>53</v>
      </c>
      <c r="G53" s="70" t="s">
        <v>2121</v>
      </c>
      <c r="H53" s="67">
        <v>46179.268483796295</v>
      </c>
      <c r="I53" s="119">
        <f t="shared" ca="1" si="4"/>
        <v>1.4002085648171487</v>
      </c>
      <c r="J53" s="61"/>
      <c r="K53" s="61"/>
      <c r="L53" s="61"/>
      <c r="M53" s="61" t="s">
        <v>41</v>
      </c>
      <c r="N53" s="61" t="s">
        <v>2347</v>
      </c>
      <c r="O53" s="61"/>
      <c r="P53" s="61"/>
      <c r="Q53" s="61"/>
      <c r="R53" s="61" t="s">
        <v>2634</v>
      </c>
      <c r="S53" s="61" t="s">
        <v>40</v>
      </c>
      <c r="T53" s="61" t="s">
        <v>1840</v>
      </c>
      <c r="U53" s="61" t="s">
        <v>1840</v>
      </c>
      <c r="V53" s="101" t="str">
        <f>VLOOKUP(B53,[2]Overall!$A:$D,4,0)</f>
        <v>TELEINFRA NORD</v>
      </c>
      <c r="W53" s="101" t="str">
        <f>VLOOKUP(B53,[3]Sheet1!$A:$B,2,0)</f>
        <v>Tchevi</v>
      </c>
      <c r="X53" s="88" t="str">
        <f t="shared" si="5"/>
        <v>EXN</v>
      </c>
      <c r="Y53" s="88" t="str">
        <f t="shared" ca="1" si="6"/>
        <v>24H&lt;T&lt;48H</v>
      </c>
      <c r="Z53" s="101">
        <f t="shared" si="7"/>
        <v>1</v>
      </c>
      <c r="AA53" s="84" t="s">
        <v>1566</v>
      </c>
      <c r="AB53" s="84" t="s">
        <v>1554</v>
      </c>
      <c r="AC53" s="105" t="s">
        <v>2649</v>
      </c>
      <c r="AD53" s="106" t="s">
        <v>1994</v>
      </c>
      <c r="AE53" s="61"/>
    </row>
    <row r="54" spans="1:31" ht="261" hidden="1" x14ac:dyDescent="0.35">
      <c r="A54" s="61" t="s">
        <v>1779</v>
      </c>
      <c r="B54" s="61" t="s">
        <v>1780</v>
      </c>
      <c r="C54" s="65"/>
      <c r="D54" s="61"/>
      <c r="E54" s="61" t="s">
        <v>37</v>
      </c>
      <c r="F54" s="70" t="s">
        <v>53</v>
      </c>
      <c r="G54" s="70" t="s">
        <v>2121</v>
      </c>
      <c r="H54" s="67">
        <v>46179.27957175926</v>
      </c>
      <c r="I54" s="119">
        <f t="shared" ca="1" si="4"/>
        <v>1.3891206018524827</v>
      </c>
      <c r="J54" s="61"/>
      <c r="K54" s="61"/>
      <c r="L54" s="61"/>
      <c r="M54" s="61" t="s">
        <v>41</v>
      </c>
      <c r="N54" s="61" t="s">
        <v>1781</v>
      </c>
      <c r="O54" s="61"/>
      <c r="P54" s="61"/>
      <c r="Q54" s="61"/>
      <c r="R54" s="61" t="s">
        <v>2379</v>
      </c>
      <c r="S54" s="61" t="s">
        <v>75</v>
      </c>
      <c r="T54" s="61" t="s">
        <v>1840</v>
      </c>
      <c r="U54" s="61" t="s">
        <v>1840</v>
      </c>
      <c r="V54" s="101" t="str">
        <f>VLOOKUP(B54,[2]Overall!$A:$D,4,0)</f>
        <v>TELEINFRA NORD</v>
      </c>
      <c r="W54" s="101" t="str">
        <f>VLOOKUP(B54,[3]Sheet1!$A:$B,2,0)</f>
        <v>Badjonre</v>
      </c>
      <c r="X54" s="88" t="str">
        <f t="shared" si="5"/>
        <v>EXN</v>
      </c>
      <c r="Y54" s="88" t="str">
        <f t="shared" ca="1" si="6"/>
        <v>24H&lt;T&lt;48H</v>
      </c>
      <c r="Z54" s="101">
        <f t="shared" si="7"/>
        <v>1</v>
      </c>
      <c r="AA54" s="84" t="s">
        <v>1566</v>
      </c>
      <c r="AB54" s="84" t="s">
        <v>1554</v>
      </c>
      <c r="AC54" s="105" t="s">
        <v>2649</v>
      </c>
      <c r="AD54" s="106" t="s">
        <v>1994</v>
      </c>
      <c r="AE54" s="61"/>
    </row>
    <row r="55" spans="1:31" ht="130.5" hidden="1" x14ac:dyDescent="0.35">
      <c r="A55" s="61" t="s">
        <v>2436</v>
      </c>
      <c r="B55" s="61" t="s">
        <v>2437</v>
      </c>
      <c r="C55" s="65"/>
      <c r="D55" s="61"/>
      <c r="E55" s="61" t="s">
        <v>34</v>
      </c>
      <c r="F55" s="70" t="s">
        <v>53</v>
      </c>
      <c r="G55" s="70" t="s">
        <v>2121</v>
      </c>
      <c r="H55" s="67">
        <v>46179.286550925928</v>
      </c>
      <c r="I55" s="119">
        <f t="shared" ca="1" si="4"/>
        <v>1.3821414351841668</v>
      </c>
      <c r="J55" s="61"/>
      <c r="K55" s="61"/>
      <c r="L55" s="61"/>
      <c r="M55" s="61" t="s">
        <v>31</v>
      </c>
      <c r="N55" s="61" t="s">
        <v>2438</v>
      </c>
      <c r="O55" s="61"/>
      <c r="P55" s="61"/>
      <c r="Q55" s="61"/>
      <c r="R55" s="84" t="s">
        <v>2653</v>
      </c>
      <c r="S55" s="61" t="s">
        <v>45</v>
      </c>
      <c r="T55" s="61" t="s">
        <v>1898</v>
      </c>
      <c r="U55" s="61" t="s">
        <v>1898</v>
      </c>
      <c r="V55" s="101" t="str">
        <f>VLOOKUP(B55,[2]Overall!$A:$D,4,0)</f>
        <v>TELEINFRA CENTRE</v>
      </c>
      <c r="W55" s="101" t="str">
        <f>VLOOKUP(B55,[3]Sheet1!$A:$B,2,0)</f>
        <v>Ngola</v>
      </c>
      <c r="X55" s="88" t="str">
        <f t="shared" si="5"/>
        <v>EST</v>
      </c>
      <c r="Y55" s="88" t="str">
        <f t="shared" ca="1" si="6"/>
        <v>24H&lt;T&lt;48H</v>
      </c>
      <c r="Z55" s="101">
        <f t="shared" si="7"/>
        <v>1</v>
      </c>
      <c r="AA55" s="84" t="s">
        <v>1566</v>
      </c>
      <c r="AB55" s="84" t="s">
        <v>1554</v>
      </c>
      <c r="AC55" s="105" t="s">
        <v>2649</v>
      </c>
      <c r="AD55" s="106" t="s">
        <v>1994</v>
      </c>
      <c r="AE55" s="61"/>
    </row>
    <row r="56" spans="1:31" ht="145" hidden="1" x14ac:dyDescent="0.35">
      <c r="A56" s="61" t="s">
        <v>2218</v>
      </c>
      <c r="B56" s="61" t="s">
        <v>2219</v>
      </c>
      <c r="C56" s="65"/>
      <c r="D56" s="61"/>
      <c r="E56" s="61" t="s">
        <v>2223</v>
      </c>
      <c r="F56" s="70" t="s">
        <v>53</v>
      </c>
      <c r="G56" s="70" t="s">
        <v>2121</v>
      </c>
      <c r="H56" s="67">
        <v>46179.321331018517</v>
      </c>
      <c r="I56" s="119">
        <f t="shared" ca="1" si="4"/>
        <v>1.347361342595832</v>
      </c>
      <c r="J56" s="61"/>
      <c r="K56" s="61"/>
      <c r="L56" s="61"/>
      <c r="M56" s="61" t="s">
        <v>1730</v>
      </c>
      <c r="N56" s="61" t="s">
        <v>2224</v>
      </c>
      <c r="O56" s="61"/>
      <c r="P56" s="61"/>
      <c r="Q56" s="61"/>
      <c r="R56" s="84" t="s">
        <v>2650</v>
      </c>
      <c r="S56" s="61" t="s">
        <v>45</v>
      </c>
      <c r="T56" s="61" t="s">
        <v>1898</v>
      </c>
      <c r="U56" s="61" t="s">
        <v>1898</v>
      </c>
      <c r="V56" s="101" t="str">
        <f>VLOOKUP(B56,[2]Overall!$A:$D,4,0)</f>
        <v>TELEINFRA CENTRE</v>
      </c>
      <c r="W56" s="101" t="str">
        <f>VLOOKUP(B56,[3]Sheet1!$A:$B,2,0)</f>
        <v>Evodoula</v>
      </c>
      <c r="X56" s="88" t="str">
        <f t="shared" si="5"/>
        <v>CTR</v>
      </c>
      <c r="Y56" s="88" t="str">
        <f t="shared" ca="1" si="6"/>
        <v>24H&lt;T&lt;48H</v>
      </c>
      <c r="Z56" s="101">
        <f t="shared" si="7"/>
        <v>2</v>
      </c>
      <c r="AA56" s="84" t="s">
        <v>1566</v>
      </c>
      <c r="AB56" s="84" t="s">
        <v>1554</v>
      </c>
      <c r="AC56" s="105" t="s">
        <v>2649</v>
      </c>
      <c r="AD56" s="106" t="s">
        <v>1994</v>
      </c>
      <c r="AE56" s="61"/>
    </row>
    <row r="57" spans="1:31" ht="275.5" hidden="1" x14ac:dyDescent="0.35">
      <c r="A57" s="61" t="s">
        <v>1581</v>
      </c>
      <c r="B57" s="61" t="s">
        <v>1582</v>
      </c>
      <c r="C57" s="65"/>
      <c r="D57" s="61"/>
      <c r="E57" s="61" t="s">
        <v>1937</v>
      </c>
      <c r="F57" s="70" t="s">
        <v>53</v>
      </c>
      <c r="G57" s="70" t="s">
        <v>2121</v>
      </c>
      <c r="H57" s="67">
        <v>46179.380324074074</v>
      </c>
      <c r="I57" s="119">
        <f t="shared" ca="1" si="4"/>
        <v>1.2883682870378834</v>
      </c>
      <c r="J57" s="61"/>
      <c r="K57" s="61"/>
      <c r="L57" s="61"/>
      <c r="M57" s="61" t="s">
        <v>41</v>
      </c>
      <c r="N57" s="61" t="s">
        <v>1938</v>
      </c>
      <c r="O57" s="61"/>
      <c r="P57" s="61"/>
      <c r="Q57" s="61"/>
      <c r="R57" s="84" t="s">
        <v>2659</v>
      </c>
      <c r="S57" s="61" t="s">
        <v>32</v>
      </c>
      <c r="T57" s="61" t="s">
        <v>1840</v>
      </c>
      <c r="U57" s="61" t="s">
        <v>1840</v>
      </c>
      <c r="V57" s="101" t="str">
        <f>VLOOKUP(B57,[2]Overall!$A:$D,4,0)</f>
        <v xml:space="preserve">I-ENG </v>
      </c>
      <c r="W57" s="101" t="str">
        <f>VLOOKUP(B57,[3]Sheet1!$A:$B,2,0)</f>
        <v>Batibo</v>
      </c>
      <c r="X57" s="88" t="str">
        <f t="shared" si="5"/>
        <v>NRO</v>
      </c>
      <c r="Y57" s="88" t="str">
        <f t="shared" ca="1" si="6"/>
        <v>24H&lt;T&lt;48H</v>
      </c>
      <c r="Z57" s="101">
        <f t="shared" si="7"/>
        <v>1</v>
      </c>
      <c r="AA57" s="84" t="s">
        <v>1566</v>
      </c>
      <c r="AB57" s="84" t="s">
        <v>1554</v>
      </c>
      <c r="AC57" s="105" t="s">
        <v>2649</v>
      </c>
      <c r="AD57" s="106" t="s">
        <v>1994</v>
      </c>
      <c r="AE57" s="61"/>
    </row>
    <row r="58" spans="1:31" ht="72.5" hidden="1" x14ac:dyDescent="0.35">
      <c r="A58" s="61" t="s">
        <v>2637</v>
      </c>
      <c r="B58" s="61" t="s">
        <v>2638</v>
      </c>
      <c r="C58" s="65"/>
      <c r="D58" s="61"/>
      <c r="E58" s="61" t="s">
        <v>47</v>
      </c>
      <c r="F58" s="70" t="s">
        <v>53</v>
      </c>
      <c r="G58" s="70" t="s">
        <v>2121</v>
      </c>
      <c r="H58" s="67">
        <v>46179.473391203705</v>
      </c>
      <c r="I58" s="119">
        <f t="shared" ca="1" si="4"/>
        <v>1.1953011574078118</v>
      </c>
      <c r="J58" s="61"/>
      <c r="K58" s="61"/>
      <c r="L58" s="61"/>
      <c r="M58" s="61" t="s">
        <v>31</v>
      </c>
      <c r="N58" s="61" t="s">
        <v>2639</v>
      </c>
      <c r="O58" s="61"/>
      <c r="P58" s="61"/>
      <c r="Q58" s="61"/>
      <c r="R58" s="84" t="s">
        <v>2651</v>
      </c>
      <c r="S58" s="61" t="s">
        <v>32</v>
      </c>
      <c r="T58" s="61" t="s">
        <v>1898</v>
      </c>
      <c r="U58" s="61" t="s">
        <v>1898</v>
      </c>
      <c r="V58" s="101" t="str">
        <f>VLOOKUP(B58,[2]Overall!$A:$D,4,0)</f>
        <v xml:space="preserve">I-ENG </v>
      </c>
      <c r="W58" s="101" t="str">
        <f>VLOOKUP(B58,[3]Sheet1!$A:$B,2,0)</f>
        <v>Nkambe</v>
      </c>
      <c r="X58" s="88" t="str">
        <f t="shared" si="5"/>
        <v>NRO</v>
      </c>
      <c r="Y58" s="88" t="str">
        <f t="shared" ca="1" si="6"/>
        <v>24H&lt;T&lt;48H</v>
      </c>
      <c r="Z58" s="101">
        <f t="shared" si="7"/>
        <v>3</v>
      </c>
      <c r="AA58" s="84" t="s">
        <v>1566</v>
      </c>
      <c r="AB58" s="84" t="s">
        <v>1905</v>
      </c>
      <c r="AC58" s="105" t="s">
        <v>2649</v>
      </c>
      <c r="AD58" s="106" t="s">
        <v>1994</v>
      </c>
      <c r="AE58" s="61"/>
    </row>
    <row r="59" spans="1:31" ht="72.5" hidden="1" x14ac:dyDescent="0.35">
      <c r="A59" s="61" t="s">
        <v>2604</v>
      </c>
      <c r="B59" s="61" t="s">
        <v>2605</v>
      </c>
      <c r="C59" s="65"/>
      <c r="D59" s="61"/>
      <c r="E59" s="61" t="s">
        <v>2640</v>
      </c>
      <c r="F59" s="70" t="s">
        <v>53</v>
      </c>
      <c r="G59" s="70" t="s">
        <v>2121</v>
      </c>
      <c r="H59" s="67">
        <v>46179.521782407406</v>
      </c>
      <c r="I59" s="119">
        <f t="shared" ca="1" si="4"/>
        <v>1.1469099537061993</v>
      </c>
      <c r="J59" s="61"/>
      <c r="K59" s="61"/>
      <c r="L59" s="61"/>
      <c r="M59" s="61" t="s">
        <v>1627</v>
      </c>
      <c r="N59" s="61" t="s">
        <v>2641</v>
      </c>
      <c r="O59" s="61"/>
      <c r="P59" s="61"/>
      <c r="Q59" s="61"/>
      <c r="R59" s="84" t="s">
        <v>2658</v>
      </c>
      <c r="S59" s="84" t="s">
        <v>40</v>
      </c>
      <c r="T59" s="61" t="s">
        <v>1898</v>
      </c>
      <c r="U59" s="61" t="s">
        <v>1898</v>
      </c>
      <c r="V59" s="101" t="str">
        <f>VLOOKUP(B59,[2]Overall!$A:$D,4,0)</f>
        <v>TELEINFRA NORD</v>
      </c>
      <c r="W59" s="101" t="str">
        <f>VLOOKUP(B59,[3]Sheet1!$A:$B,2,0)</f>
        <v>Nganha</v>
      </c>
      <c r="X59" s="88" t="str">
        <f t="shared" si="5"/>
        <v>ADM</v>
      </c>
      <c r="Y59" s="88" t="str">
        <f t="shared" ca="1" si="6"/>
        <v>24H&lt;T&lt;48H</v>
      </c>
      <c r="Z59" s="101">
        <f t="shared" si="7"/>
        <v>1</v>
      </c>
      <c r="AA59" s="84" t="s">
        <v>1566</v>
      </c>
      <c r="AB59" s="84" t="s">
        <v>1554</v>
      </c>
      <c r="AC59" s="105" t="s">
        <v>2649</v>
      </c>
      <c r="AD59" s="106" t="s">
        <v>1994</v>
      </c>
      <c r="AE59" s="61"/>
    </row>
    <row r="60" spans="1:31" ht="188.5" hidden="1" x14ac:dyDescent="0.35">
      <c r="A60" s="63" t="s">
        <v>2267</v>
      </c>
      <c r="B60" s="63" t="s">
        <v>2268</v>
      </c>
      <c r="C60" s="68"/>
      <c r="D60" s="63"/>
      <c r="E60" s="63" t="s">
        <v>39</v>
      </c>
      <c r="F60" s="71" t="s">
        <v>53</v>
      </c>
      <c r="G60" s="71" t="s">
        <v>2121</v>
      </c>
      <c r="H60" s="69">
        <v>46179.5237037037</v>
      </c>
      <c r="I60" s="77">
        <f t="shared" ref="I60:I63" ca="1" si="8">NOW()-H60</f>
        <v>1.1449886574118864</v>
      </c>
      <c r="J60" s="63"/>
      <c r="K60" s="63"/>
      <c r="L60" s="63"/>
      <c r="M60" s="63" t="s">
        <v>2642</v>
      </c>
      <c r="N60" s="63" t="s">
        <v>2643</v>
      </c>
      <c r="O60" s="63"/>
      <c r="P60" s="85" t="s">
        <v>2507</v>
      </c>
      <c r="Q60" s="63"/>
      <c r="R60" s="85" t="s">
        <v>2657</v>
      </c>
      <c r="S60" s="63" t="s">
        <v>40</v>
      </c>
      <c r="T60" s="85" t="s">
        <v>1840</v>
      </c>
      <c r="U60" s="85" t="s">
        <v>1840</v>
      </c>
      <c r="V60" s="107" t="str">
        <f>VLOOKUP(B60,[2]Overall!$A:$D,4,0)</f>
        <v>TELEINFRA NORD</v>
      </c>
      <c r="W60" s="107" t="str">
        <f>VLOOKUP(B60,[3]Sheet1!$A:$B,2,0)</f>
        <v>Dabanga</v>
      </c>
      <c r="X60" s="89" t="str">
        <f t="shared" ref="X60:X63" si="9">LEFT(B60,3)</f>
        <v>EXN</v>
      </c>
      <c r="Y60" s="89" t="str">
        <f t="shared" ref="Y60:Y63" ca="1" si="10">IF(I60 &lt; 1/24, "T&lt;1H", IF(AND(I60&lt;2/24, I60&gt;1/24), "1H&lt;T&lt;2H", IF(AND(I60&lt;4/24, I60&gt;2/24), "2H&lt;T&lt;4H", IF(AND(I60&lt;8/24, I60&gt;4/24), "4H&lt;T&lt;8H", IF(AND(I60&lt;16/24, I60&gt;8/24), "8H&lt;T&lt;16H",IF(AND(I60&lt;24/24, I60&gt;16/24),"16H&lt;T&lt;24H", IF(AND(I60&lt;48/24, I60&gt;24/24),"24H&lt;T&lt;48H",IF(AND(I60&lt;72/24, I60&gt;24/24),"48H&lt;T&lt;72H", "T&gt;72H"))))))))</f>
        <v>24H&lt;T&lt;48H</v>
      </c>
      <c r="Z60" s="107">
        <f t="shared" ref="Z60:Z63" si="11">IF(OR(E60="", E60="affected_cells=unknown"), "", LEN(E60)-LEN(SUBSTITUTE(E60, ",", "")) + LEN(E60)-LEN(SUBSTITUTE(E60, ";", "")) + 1)</f>
        <v>1</v>
      </c>
      <c r="AA60" s="85" t="s">
        <v>77</v>
      </c>
      <c r="AB60" s="85" t="s">
        <v>1554</v>
      </c>
      <c r="AC60" s="108" t="s">
        <v>2649</v>
      </c>
      <c r="AD60" s="109" t="s">
        <v>1994</v>
      </c>
      <c r="AE60" s="63"/>
    </row>
    <row r="61" spans="1:31" ht="72.5" hidden="1" x14ac:dyDescent="0.35">
      <c r="A61" s="61" t="s">
        <v>2644</v>
      </c>
      <c r="B61" s="61" t="s">
        <v>2645</v>
      </c>
      <c r="C61" s="65"/>
      <c r="D61" s="61"/>
      <c r="E61" s="61" t="s">
        <v>2646</v>
      </c>
      <c r="F61" s="70" t="s">
        <v>53</v>
      </c>
      <c r="G61" s="70" t="s">
        <v>2121</v>
      </c>
      <c r="H61" s="67">
        <v>46179.531886574077</v>
      </c>
      <c r="I61" s="119">
        <f t="shared" ca="1" si="8"/>
        <v>1.136805787034973</v>
      </c>
      <c r="J61" s="61"/>
      <c r="K61" s="61"/>
      <c r="L61" s="61"/>
      <c r="M61" s="61" t="s">
        <v>38</v>
      </c>
      <c r="N61" s="61" t="s">
        <v>2647</v>
      </c>
      <c r="O61" s="61"/>
      <c r="P61" s="61"/>
      <c r="Q61" s="61"/>
      <c r="R61" s="84" t="s">
        <v>2618</v>
      </c>
      <c r="S61" s="61" t="s">
        <v>51</v>
      </c>
      <c r="T61" s="61" t="s">
        <v>1898</v>
      </c>
      <c r="U61" s="61" t="s">
        <v>1898</v>
      </c>
      <c r="V61" s="101" t="str">
        <f>VLOOKUP(B61,[2]Overall!$A:$D,4,0)</f>
        <v>H-TELI</v>
      </c>
      <c r="W61" s="101" t="str">
        <f>VLOOKUP(B61,[3]Sheet1!$A:$B,2,0)</f>
        <v>Sodibanga</v>
      </c>
      <c r="X61" s="88" t="str">
        <f t="shared" si="9"/>
        <v>LIT</v>
      </c>
      <c r="Y61" s="88" t="str">
        <f t="shared" ca="1" si="10"/>
        <v>24H&lt;T&lt;48H</v>
      </c>
      <c r="Z61" s="101">
        <f t="shared" si="11"/>
        <v>2</v>
      </c>
      <c r="AA61" s="84" t="s">
        <v>1566</v>
      </c>
      <c r="AB61" s="84" t="s">
        <v>1905</v>
      </c>
      <c r="AC61" s="105" t="s">
        <v>2649</v>
      </c>
      <c r="AD61" s="106" t="s">
        <v>1994</v>
      </c>
      <c r="AE61" s="61"/>
    </row>
    <row r="62" spans="1:31" ht="72.5" hidden="1" x14ac:dyDescent="0.35">
      <c r="A62" s="61" t="s">
        <v>2604</v>
      </c>
      <c r="B62" s="61" t="s">
        <v>2605</v>
      </c>
      <c r="C62" s="65"/>
      <c r="D62" s="61"/>
      <c r="E62" s="61" t="s">
        <v>2606</v>
      </c>
      <c r="F62" s="70" t="s">
        <v>53</v>
      </c>
      <c r="G62" s="70" t="s">
        <v>2121</v>
      </c>
      <c r="H62" s="67">
        <v>46179.53533564815</v>
      </c>
      <c r="I62" s="119">
        <f t="shared" ca="1" si="8"/>
        <v>1.1333567129622679</v>
      </c>
      <c r="J62" s="61"/>
      <c r="K62" s="61"/>
      <c r="L62" s="61"/>
      <c r="M62" s="61" t="s">
        <v>38</v>
      </c>
      <c r="N62" s="61" t="s">
        <v>2607</v>
      </c>
      <c r="O62" s="61"/>
      <c r="P62" s="61"/>
      <c r="Q62" s="61"/>
      <c r="R62" s="84" t="s">
        <v>2658</v>
      </c>
      <c r="S62" s="84" t="s">
        <v>40</v>
      </c>
      <c r="T62" s="61" t="s">
        <v>1898</v>
      </c>
      <c r="U62" s="61" t="s">
        <v>1898</v>
      </c>
      <c r="V62" s="101" t="str">
        <f>VLOOKUP(B62,[2]Overall!$A:$D,4,0)</f>
        <v>TELEINFRA NORD</v>
      </c>
      <c r="W62" s="101" t="str">
        <f>VLOOKUP(B62,[3]Sheet1!$A:$B,2,0)</f>
        <v>Nganha</v>
      </c>
      <c r="X62" s="88" t="str">
        <f t="shared" si="9"/>
        <v>ADM</v>
      </c>
      <c r="Y62" s="88" t="str">
        <f t="shared" ca="1" si="10"/>
        <v>24H&lt;T&lt;48H</v>
      </c>
      <c r="Z62" s="101">
        <f t="shared" si="11"/>
        <v>2</v>
      </c>
      <c r="AA62" s="84" t="s">
        <v>1566</v>
      </c>
      <c r="AB62" s="84" t="s">
        <v>1554</v>
      </c>
      <c r="AC62" s="105" t="s">
        <v>2649</v>
      </c>
      <c r="AD62" s="106" t="s">
        <v>1994</v>
      </c>
      <c r="AE62" s="61"/>
    </row>
    <row r="63" spans="1:31" ht="188.5" hidden="1" x14ac:dyDescent="0.35">
      <c r="A63" s="63" t="s">
        <v>2267</v>
      </c>
      <c r="B63" s="63" t="s">
        <v>2268</v>
      </c>
      <c r="C63" s="68"/>
      <c r="D63" s="63"/>
      <c r="E63" s="63" t="s">
        <v>39</v>
      </c>
      <c r="F63" s="71" t="s">
        <v>53</v>
      </c>
      <c r="G63" s="71" t="s">
        <v>2121</v>
      </c>
      <c r="H63" s="69">
        <v>46179.540023148147</v>
      </c>
      <c r="I63" s="77">
        <f t="shared" ca="1" si="8"/>
        <v>1.1286692129651783</v>
      </c>
      <c r="J63" s="63"/>
      <c r="K63" s="63"/>
      <c r="L63" s="63"/>
      <c r="M63" s="63" t="s">
        <v>1769</v>
      </c>
      <c r="N63" s="63" t="s">
        <v>2648</v>
      </c>
      <c r="O63" s="63"/>
      <c r="P63" s="85" t="s">
        <v>2507</v>
      </c>
      <c r="Q63" s="63"/>
      <c r="R63" s="85" t="s">
        <v>2657</v>
      </c>
      <c r="S63" s="63" t="s">
        <v>40</v>
      </c>
      <c r="T63" s="85" t="s">
        <v>1840</v>
      </c>
      <c r="U63" s="85" t="s">
        <v>1840</v>
      </c>
      <c r="V63" s="107" t="str">
        <f>VLOOKUP(B63,[2]Overall!$A:$D,4,0)</f>
        <v>TELEINFRA NORD</v>
      </c>
      <c r="W63" s="107" t="str">
        <f>VLOOKUP(B63,[3]Sheet1!$A:$B,2,0)</f>
        <v>Dabanga</v>
      </c>
      <c r="X63" s="89" t="str">
        <f t="shared" si="9"/>
        <v>EXN</v>
      </c>
      <c r="Y63" s="89" t="str">
        <f t="shared" ca="1" si="10"/>
        <v>24H&lt;T&lt;48H</v>
      </c>
      <c r="Z63" s="107">
        <f t="shared" si="11"/>
        <v>1</v>
      </c>
      <c r="AA63" s="85" t="s">
        <v>77</v>
      </c>
      <c r="AB63" s="85" t="s">
        <v>1554</v>
      </c>
      <c r="AC63" s="108" t="s">
        <v>2649</v>
      </c>
      <c r="AD63" s="109" t="s">
        <v>1994</v>
      </c>
      <c r="AE63" s="63"/>
    </row>
  </sheetData>
  <autoFilter ref="A1:AE63" xr:uid="{7E61290C-0E78-4A5C-A054-830D6C09B6EC}">
    <filterColumn colId="0">
      <filters>
        <filter val="Mvangan-IHS_G9_SUD_066_MRBTS1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E3B5-F40D-4B6E-AF06-FFA9A7EF4E8F}">
  <sheetPr codeName="Sheet50" filterMode="1">
    <tabColor rgb="FFFFFF00"/>
  </sheetPr>
  <dimension ref="A1:AE70"/>
  <sheetViews>
    <sheetView zoomScale="70" zoomScaleNormal="70" workbookViewId="0">
      <pane xSplit="6" topLeftCell="Y1" activePane="topRight" state="frozen"/>
      <selection activeCell="AB4" sqref="AB4"/>
      <selection pane="topRight" activeCell="P5" sqref="P5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391.5" x14ac:dyDescent="0.35">
      <c r="A2" s="63" t="s">
        <v>1710</v>
      </c>
      <c r="B2" s="63" t="s">
        <v>1711</v>
      </c>
      <c r="C2" s="68"/>
      <c r="D2" s="63"/>
      <c r="E2" s="63" t="s">
        <v>49</v>
      </c>
      <c r="F2" s="71" t="s">
        <v>53</v>
      </c>
      <c r="G2" s="71" t="s">
        <v>2121</v>
      </c>
      <c r="H2" s="69">
        <v>46163.500115740739</v>
      </c>
      <c r="I2" s="77">
        <v>16.198109722223307</v>
      </c>
      <c r="J2" s="63"/>
      <c r="K2" s="63"/>
      <c r="L2" s="63"/>
      <c r="M2" s="63" t="s">
        <v>38</v>
      </c>
      <c r="N2" s="63" t="s">
        <v>1714</v>
      </c>
      <c r="O2" s="63"/>
      <c r="P2" s="85" t="s">
        <v>1906</v>
      </c>
      <c r="Q2" s="63"/>
      <c r="R2" s="63" t="s">
        <v>2383</v>
      </c>
      <c r="S2" s="63" t="s">
        <v>75</v>
      </c>
      <c r="T2" s="63" t="s">
        <v>1688</v>
      </c>
      <c r="U2" s="63" t="s">
        <v>1688</v>
      </c>
      <c r="V2" s="107" t="str">
        <f>VLOOKUP(B2,[2]Overall!$A:$D,4,0)</f>
        <v>TELEINFRA NORD</v>
      </c>
      <c r="W2" s="107" t="str">
        <f>VLOOKUP(B2,[3]Sheet1!$A:$B,2,0)</f>
        <v>Martap</v>
      </c>
      <c r="X2" s="89" t="str">
        <f t="shared" ref="X2:X22" si="0">LEFT(B2,3)</f>
        <v>ADM</v>
      </c>
      <c r="Y2" s="89" t="str">
        <f t="shared" ref="Y2:Y22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7">
        <f t="shared" ref="Z2:Z22" si="2">IF(OR(E2="", E2="affected_cells=unknown"), "", LEN(E2)-LEN(SUBSTITUTE(E2, ",", "")) + LEN(E2)-LEN(SUBSTITUTE(E2, ";", "")) + 1)</f>
        <v>1</v>
      </c>
      <c r="AA2" s="85" t="s">
        <v>77</v>
      </c>
      <c r="AB2" s="85" t="s">
        <v>1554</v>
      </c>
      <c r="AC2" s="108" t="s">
        <v>2680</v>
      </c>
      <c r="AD2" s="109" t="s">
        <v>1994</v>
      </c>
      <c r="AE2" s="63"/>
    </row>
    <row r="3" spans="1:31" ht="391.5" hidden="1" x14ac:dyDescent="0.35">
      <c r="A3" s="61" t="s">
        <v>1913</v>
      </c>
      <c r="B3" s="61" t="s">
        <v>1914</v>
      </c>
      <c r="C3" s="65"/>
      <c r="D3" s="61"/>
      <c r="E3" s="61" t="s">
        <v>43</v>
      </c>
      <c r="F3" s="70" t="s">
        <v>53</v>
      </c>
      <c r="G3" s="70" t="s">
        <v>2121</v>
      </c>
      <c r="H3" s="67">
        <v>46168.171053240738</v>
      </c>
      <c r="I3" s="75">
        <v>11.527172222224181</v>
      </c>
      <c r="J3" s="61"/>
      <c r="K3" s="61"/>
      <c r="L3" s="61"/>
      <c r="M3" s="61" t="s">
        <v>31</v>
      </c>
      <c r="N3" s="61" t="s">
        <v>1915</v>
      </c>
      <c r="O3" s="61"/>
      <c r="P3" s="61"/>
      <c r="Q3" s="61"/>
      <c r="R3" s="84" t="s">
        <v>2683</v>
      </c>
      <c r="S3" s="61" t="s">
        <v>40</v>
      </c>
      <c r="T3" s="61" t="s">
        <v>2129</v>
      </c>
      <c r="U3" s="61" t="s">
        <v>2129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si="1"/>
        <v>T&gt;72H</v>
      </c>
      <c r="Z3" s="101">
        <f t="shared" si="2"/>
        <v>4</v>
      </c>
      <c r="AA3" s="84" t="s">
        <v>1566</v>
      </c>
      <c r="AB3" s="84" t="s">
        <v>1554</v>
      </c>
      <c r="AC3" s="105" t="s">
        <v>2680</v>
      </c>
      <c r="AD3" s="106" t="s">
        <v>1994</v>
      </c>
      <c r="AE3" s="61"/>
    </row>
    <row r="4" spans="1:31" ht="391.5" hidden="1" x14ac:dyDescent="0.35">
      <c r="A4" s="61" t="s">
        <v>1913</v>
      </c>
      <c r="B4" s="61" t="s">
        <v>1914</v>
      </c>
      <c r="C4" s="65"/>
      <c r="D4" s="61"/>
      <c r="E4" s="61" t="s">
        <v>35</v>
      </c>
      <c r="F4" s="70" t="s">
        <v>53</v>
      </c>
      <c r="G4" s="70" t="s">
        <v>2121</v>
      </c>
      <c r="H4" s="67">
        <v>46168.171064814815</v>
      </c>
      <c r="I4" s="75">
        <v>11.527160648147401</v>
      </c>
      <c r="J4" s="61"/>
      <c r="K4" s="61"/>
      <c r="L4" s="61"/>
      <c r="M4" s="61" t="s">
        <v>31</v>
      </c>
      <c r="N4" s="61" t="s">
        <v>1916</v>
      </c>
      <c r="O4" s="61"/>
      <c r="P4" s="61"/>
      <c r="Q4" s="61"/>
      <c r="R4" s="61" t="s">
        <v>2628</v>
      </c>
      <c r="S4" s="61" t="s">
        <v>40</v>
      </c>
      <c r="T4" s="61" t="s">
        <v>2129</v>
      </c>
      <c r="U4" s="61" t="s">
        <v>2129</v>
      </c>
      <c r="V4" s="101" t="str">
        <f>VLOOKUP(B4,[2]Overall!$A:$D,4,0)</f>
        <v>TELEINFRA NORD</v>
      </c>
      <c r="W4" s="101" t="str">
        <f>VLOOKUP(B4,[3]Sheet1!$A:$B,2,0)</f>
        <v>Dogba</v>
      </c>
      <c r="X4" s="88" t="str">
        <f t="shared" si="0"/>
        <v>EXN</v>
      </c>
      <c r="Y4" s="88" t="str">
        <f t="shared" si="1"/>
        <v>T&gt;72H</v>
      </c>
      <c r="Z4" s="101">
        <f t="shared" si="2"/>
        <v>3</v>
      </c>
      <c r="AA4" s="84" t="s">
        <v>1566</v>
      </c>
      <c r="AB4" s="84" t="s">
        <v>1554</v>
      </c>
      <c r="AC4" s="105" t="s">
        <v>2680</v>
      </c>
      <c r="AD4" s="106" t="s">
        <v>1994</v>
      </c>
      <c r="AE4" s="61"/>
    </row>
    <row r="5" spans="1:31" ht="203" x14ac:dyDescent="0.35">
      <c r="A5" s="63" t="s">
        <v>1828</v>
      </c>
      <c r="B5" s="63" t="s">
        <v>1829</v>
      </c>
      <c r="C5" s="68"/>
      <c r="D5" s="63"/>
      <c r="E5" s="63" t="s">
        <v>39</v>
      </c>
      <c r="F5" s="71" t="s">
        <v>53</v>
      </c>
      <c r="G5" s="71" t="s">
        <v>2121</v>
      </c>
      <c r="H5" s="69">
        <v>46168.536261574074</v>
      </c>
      <c r="I5" s="77">
        <v>11.16196388888784</v>
      </c>
      <c r="J5" s="63"/>
      <c r="K5" s="63"/>
      <c r="L5" s="63"/>
      <c r="M5" s="63" t="s">
        <v>1712</v>
      </c>
      <c r="N5" s="63" t="s">
        <v>1830</v>
      </c>
      <c r="O5" s="63"/>
      <c r="P5" s="63" t="s">
        <v>2687</v>
      </c>
      <c r="Q5" s="108">
        <v>46179</v>
      </c>
      <c r="R5" s="85" t="s">
        <v>2686</v>
      </c>
      <c r="S5" s="63" t="s">
        <v>40</v>
      </c>
      <c r="T5" s="63" t="s">
        <v>1898</v>
      </c>
      <c r="U5" s="63" t="s">
        <v>1898</v>
      </c>
      <c r="V5" s="107" t="str">
        <f>VLOOKUP(B5,[2]Overall!$A:$D,4,0)</f>
        <v>TELEINFRA NORD</v>
      </c>
      <c r="W5" s="107" t="str">
        <f>VLOOKUP(B5,[3]Sheet1!$A:$B,2,0)</f>
        <v>Zigague</v>
      </c>
      <c r="X5" s="89" t="str">
        <f t="shared" si="0"/>
        <v>EXN</v>
      </c>
      <c r="Y5" s="89" t="str">
        <f t="shared" si="1"/>
        <v>T&gt;72H</v>
      </c>
      <c r="Z5" s="107">
        <f t="shared" si="2"/>
        <v>1</v>
      </c>
      <c r="AA5" s="85" t="s">
        <v>77</v>
      </c>
      <c r="AB5" s="85" t="s">
        <v>1554</v>
      </c>
      <c r="AC5" s="108" t="s">
        <v>2680</v>
      </c>
      <c r="AD5" s="109" t="s">
        <v>1994</v>
      </c>
      <c r="AE5" s="63"/>
    </row>
    <row r="6" spans="1:31" ht="188.5" hidden="1" x14ac:dyDescent="0.35">
      <c r="A6" s="61" t="s">
        <v>1930</v>
      </c>
      <c r="B6" s="61" t="s">
        <v>1931</v>
      </c>
      <c r="C6" s="65"/>
      <c r="D6" s="61"/>
      <c r="E6" s="61" t="s">
        <v>34</v>
      </c>
      <c r="F6" s="70" t="s">
        <v>53</v>
      </c>
      <c r="G6" s="70" t="s">
        <v>2121</v>
      </c>
      <c r="H6" s="67">
        <v>46172.534074074072</v>
      </c>
      <c r="I6" s="75">
        <v>7.1641513888898771</v>
      </c>
      <c r="J6" s="61"/>
      <c r="K6" s="61"/>
      <c r="L6" s="61"/>
      <c r="M6" s="61" t="s">
        <v>1929</v>
      </c>
      <c r="N6" s="61" t="s">
        <v>1932</v>
      </c>
      <c r="O6" s="61"/>
      <c r="P6" s="61"/>
      <c r="Q6" s="61"/>
      <c r="R6" s="84" t="s">
        <v>2684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Mazera</v>
      </c>
      <c r="X6" s="88" t="str">
        <f t="shared" si="0"/>
        <v>EXN</v>
      </c>
      <c r="Y6" s="88" t="str">
        <f t="shared" si="1"/>
        <v>T&gt;72H</v>
      </c>
      <c r="Z6" s="101">
        <f t="shared" si="2"/>
        <v>1</v>
      </c>
      <c r="AA6" s="84" t="s">
        <v>1566</v>
      </c>
      <c r="AB6" s="84" t="s">
        <v>1554</v>
      </c>
      <c r="AC6" s="105" t="s">
        <v>2680</v>
      </c>
      <c r="AD6" s="106" t="s">
        <v>1994</v>
      </c>
      <c r="AE6" s="61"/>
    </row>
    <row r="7" spans="1:31" ht="409.5" hidden="1" x14ac:dyDescent="0.35">
      <c r="A7" s="61" t="s">
        <v>1773</v>
      </c>
      <c r="B7" s="61" t="s">
        <v>1774</v>
      </c>
      <c r="C7" s="65"/>
      <c r="D7" s="61"/>
      <c r="E7" s="61" t="s">
        <v>1956</v>
      </c>
      <c r="F7" s="70" t="s">
        <v>53</v>
      </c>
      <c r="G7" s="70" t="s">
        <v>2121</v>
      </c>
      <c r="H7" s="67">
        <v>46172.719837962963</v>
      </c>
      <c r="I7" s="75">
        <v>6.9783874999993714</v>
      </c>
      <c r="J7" s="61"/>
      <c r="K7" s="61"/>
      <c r="L7" s="61"/>
      <c r="M7" s="61" t="s">
        <v>31</v>
      </c>
      <c r="N7" s="61" t="s">
        <v>1957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0"/>
        <v>NRD</v>
      </c>
      <c r="Y7" s="88" t="str">
        <f t="shared" si="1"/>
        <v>T&gt;72H</v>
      </c>
      <c r="Z7" s="101">
        <f t="shared" si="2"/>
        <v>3</v>
      </c>
      <c r="AA7" s="84" t="s">
        <v>1566</v>
      </c>
      <c r="AB7" s="84" t="s">
        <v>1554</v>
      </c>
      <c r="AC7" s="105" t="s">
        <v>2680</v>
      </c>
      <c r="AD7" s="106" t="s">
        <v>1994</v>
      </c>
      <c r="AE7" s="61"/>
    </row>
    <row r="8" spans="1:31" ht="409.5" hidden="1" x14ac:dyDescent="0.35">
      <c r="A8" s="61" t="s">
        <v>1773</v>
      </c>
      <c r="B8" s="61" t="s">
        <v>1774</v>
      </c>
      <c r="C8" s="65"/>
      <c r="D8" s="61"/>
      <c r="E8" s="61" t="s">
        <v>35</v>
      </c>
      <c r="F8" s="70" t="s">
        <v>53</v>
      </c>
      <c r="G8" s="70" t="s">
        <v>2121</v>
      </c>
      <c r="H8" s="67">
        <v>46172.719837962963</v>
      </c>
      <c r="I8" s="75">
        <v>6.9783874999993714</v>
      </c>
      <c r="J8" s="61"/>
      <c r="K8" s="61"/>
      <c r="L8" s="61"/>
      <c r="M8" s="61" t="s">
        <v>31</v>
      </c>
      <c r="N8" s="61" t="s">
        <v>1775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si="1"/>
        <v>T&gt;72H</v>
      </c>
      <c r="Z8" s="101">
        <f t="shared" si="2"/>
        <v>3</v>
      </c>
      <c r="AA8" s="84" t="s">
        <v>1566</v>
      </c>
      <c r="AB8" s="84" t="s">
        <v>1554</v>
      </c>
      <c r="AC8" s="105" t="s">
        <v>2680</v>
      </c>
      <c r="AD8" s="106" t="s">
        <v>1994</v>
      </c>
      <c r="AE8" s="61"/>
    </row>
    <row r="9" spans="1:31" ht="409.5" hidden="1" x14ac:dyDescent="0.35">
      <c r="A9" s="61" t="s">
        <v>1773</v>
      </c>
      <c r="B9" s="61" t="s">
        <v>1774</v>
      </c>
      <c r="C9" s="65"/>
      <c r="D9" s="61"/>
      <c r="E9" s="61" t="s">
        <v>1954</v>
      </c>
      <c r="F9" s="70" t="s">
        <v>53</v>
      </c>
      <c r="G9" s="70" t="s">
        <v>2121</v>
      </c>
      <c r="H9" s="67">
        <v>46172.724965277775</v>
      </c>
      <c r="I9" s="75">
        <v>6.9732601851865184</v>
      </c>
      <c r="J9" s="61"/>
      <c r="K9" s="61"/>
      <c r="L9" s="61"/>
      <c r="M9" s="61" t="s">
        <v>1750</v>
      </c>
      <c r="N9" s="61" t="s">
        <v>1751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0"/>
        <v>NRD</v>
      </c>
      <c r="Y9" s="88" t="str">
        <f t="shared" si="1"/>
        <v>T&gt;72H</v>
      </c>
      <c r="Z9" s="101">
        <f t="shared" si="2"/>
        <v>1</v>
      </c>
      <c r="AA9" s="84" t="s">
        <v>1566</v>
      </c>
      <c r="AB9" s="84" t="s">
        <v>1554</v>
      </c>
      <c r="AC9" s="105" t="s">
        <v>2680</v>
      </c>
      <c r="AD9" s="106" t="s">
        <v>1994</v>
      </c>
      <c r="AE9" s="61"/>
    </row>
    <row r="10" spans="1:31" ht="409.5" hidden="1" x14ac:dyDescent="0.35">
      <c r="A10" s="61" t="s">
        <v>1773</v>
      </c>
      <c r="B10" s="61" t="s">
        <v>1774</v>
      </c>
      <c r="C10" s="65"/>
      <c r="D10" s="61"/>
      <c r="E10" s="61" t="s">
        <v>1955</v>
      </c>
      <c r="F10" s="70" t="s">
        <v>53</v>
      </c>
      <c r="G10" s="70" t="s">
        <v>2121</v>
      </c>
      <c r="H10" s="67">
        <v>46172.724965277775</v>
      </c>
      <c r="I10" s="75">
        <v>6.9732601851865184</v>
      </c>
      <c r="J10" s="61"/>
      <c r="K10" s="61"/>
      <c r="L10" s="61"/>
      <c r="M10" s="61" t="s">
        <v>1750</v>
      </c>
      <c r="N10" s="61" t="s">
        <v>1751</v>
      </c>
      <c r="O10" s="61"/>
      <c r="P10" s="61"/>
      <c r="Q10" s="61"/>
      <c r="R10" s="61" t="s">
        <v>2492</v>
      </c>
      <c r="S10" s="61" t="s">
        <v>40</v>
      </c>
      <c r="T10" s="61" t="s">
        <v>1898</v>
      </c>
      <c r="U10" s="61" t="s">
        <v>1898</v>
      </c>
      <c r="V10" s="101" t="str">
        <f>VLOOKUP(B10,[2]Overall!$A:$D,4,0)</f>
        <v>TELEINFRA NORD</v>
      </c>
      <c r="W10" s="101" t="str">
        <f>VLOOKUP(B10,[3]Sheet1!$A:$B,2,0)</f>
        <v>Hamalade</v>
      </c>
      <c r="X10" s="88" t="str">
        <f t="shared" si="0"/>
        <v>NRD</v>
      </c>
      <c r="Y10" s="88" t="str">
        <f t="shared" si="1"/>
        <v>T&gt;72H</v>
      </c>
      <c r="Z10" s="101">
        <f t="shared" si="2"/>
        <v>1</v>
      </c>
      <c r="AA10" s="84" t="s">
        <v>1566</v>
      </c>
      <c r="AB10" s="84" t="s">
        <v>1554</v>
      </c>
      <c r="AC10" s="105" t="s">
        <v>2680</v>
      </c>
      <c r="AD10" s="106" t="s">
        <v>1994</v>
      </c>
      <c r="AE10" s="61"/>
    </row>
    <row r="11" spans="1:31" ht="409.5" hidden="1" x14ac:dyDescent="0.35">
      <c r="A11" s="61" t="s">
        <v>1773</v>
      </c>
      <c r="B11" s="61" t="s">
        <v>1774</v>
      </c>
      <c r="C11" s="65"/>
      <c r="D11" s="61"/>
      <c r="E11" s="61" t="s">
        <v>1953</v>
      </c>
      <c r="F11" s="70" t="s">
        <v>53</v>
      </c>
      <c r="G11" s="70" t="s">
        <v>2121</v>
      </c>
      <c r="H11" s="67">
        <v>46172.724965277775</v>
      </c>
      <c r="I11" s="75">
        <v>6.9732601851865184</v>
      </c>
      <c r="J11" s="61"/>
      <c r="K11" s="61"/>
      <c r="L11" s="61"/>
      <c r="M11" s="61" t="s">
        <v>1750</v>
      </c>
      <c r="N11" s="61" t="s">
        <v>1751</v>
      </c>
      <c r="O11" s="61"/>
      <c r="P11" s="61"/>
      <c r="Q11" s="61"/>
      <c r="R11" s="61" t="s">
        <v>2492</v>
      </c>
      <c r="S11" s="61" t="s">
        <v>40</v>
      </c>
      <c r="T11" s="61" t="s">
        <v>1898</v>
      </c>
      <c r="U11" s="61" t="s">
        <v>1898</v>
      </c>
      <c r="V11" s="101" t="str">
        <f>VLOOKUP(B11,[2]Overall!$A:$D,4,0)</f>
        <v>TELEINFRA NORD</v>
      </c>
      <c r="W11" s="101" t="str">
        <f>VLOOKUP(B11,[3]Sheet1!$A:$B,2,0)</f>
        <v>Hamalade</v>
      </c>
      <c r="X11" s="88" t="str">
        <f t="shared" si="0"/>
        <v>NRD</v>
      </c>
      <c r="Y11" s="88" t="str">
        <f t="shared" si="1"/>
        <v>T&gt;72H</v>
      </c>
      <c r="Z11" s="101">
        <f t="shared" si="2"/>
        <v>1</v>
      </c>
      <c r="AA11" s="84" t="s">
        <v>1566</v>
      </c>
      <c r="AB11" s="84" t="s">
        <v>1554</v>
      </c>
      <c r="AC11" s="105" t="s">
        <v>2680</v>
      </c>
      <c r="AD11" s="106" t="s">
        <v>1994</v>
      </c>
      <c r="AE11" s="61"/>
    </row>
    <row r="12" spans="1:31" ht="409.5" hidden="1" x14ac:dyDescent="0.35">
      <c r="A12" s="61" t="s">
        <v>1724</v>
      </c>
      <c r="B12" s="61" t="s">
        <v>1725</v>
      </c>
      <c r="C12" s="65"/>
      <c r="D12" s="61"/>
      <c r="E12" s="61" t="s">
        <v>1726</v>
      </c>
      <c r="F12" s="70" t="s">
        <v>53</v>
      </c>
      <c r="G12" s="70" t="s">
        <v>2121</v>
      </c>
      <c r="H12" s="67">
        <v>46172.76761574074</v>
      </c>
      <c r="I12" s="75">
        <v>6.9306097222215612</v>
      </c>
      <c r="J12" s="61"/>
      <c r="K12" s="61"/>
      <c r="L12" s="61"/>
      <c r="M12" s="61" t="s">
        <v>33</v>
      </c>
      <c r="N12" s="61" t="s">
        <v>1635</v>
      </c>
      <c r="O12" s="61"/>
      <c r="P12" s="61"/>
      <c r="Q12" s="61"/>
      <c r="R12" s="61" t="s">
        <v>2626</v>
      </c>
      <c r="S12" s="61" t="s">
        <v>32</v>
      </c>
      <c r="T12" s="61" t="s">
        <v>1898</v>
      </c>
      <c r="U12" s="61" t="s">
        <v>1898</v>
      </c>
      <c r="V12" s="101" t="str">
        <f>VLOOKUP(B12,[2]Overall!$A:$D,4,0)</f>
        <v xml:space="preserve">I-ENG </v>
      </c>
      <c r="W12" s="101" t="str">
        <f>VLOOKUP(B12,[3]Sheet1!$A:$B,2,0)</f>
        <v>Mbakong</v>
      </c>
      <c r="X12" s="88" t="str">
        <f t="shared" si="0"/>
        <v>NRO</v>
      </c>
      <c r="Y12" s="88" t="str">
        <f t="shared" si="1"/>
        <v>T&gt;72H</v>
      </c>
      <c r="Z12" s="101">
        <f t="shared" si="2"/>
        <v>2</v>
      </c>
      <c r="AA12" s="84" t="s">
        <v>1566</v>
      </c>
      <c r="AB12" s="84" t="s">
        <v>1554</v>
      </c>
      <c r="AC12" s="105" t="s">
        <v>2680</v>
      </c>
      <c r="AD12" s="106" t="s">
        <v>1994</v>
      </c>
      <c r="AE12" s="61"/>
    </row>
    <row r="13" spans="1:31" ht="130.5" hidden="1" x14ac:dyDescent="0.35">
      <c r="A13" s="61" t="s">
        <v>1843</v>
      </c>
      <c r="B13" s="61" t="s">
        <v>1844</v>
      </c>
      <c r="C13" s="65"/>
      <c r="D13" s="61"/>
      <c r="E13" s="61" t="s">
        <v>1879</v>
      </c>
      <c r="F13" s="70" t="s">
        <v>53</v>
      </c>
      <c r="G13" s="70" t="s">
        <v>2121</v>
      </c>
      <c r="H13" s="67">
        <v>46175.448993055557</v>
      </c>
      <c r="I13" s="75">
        <v>4.2492324074046337</v>
      </c>
      <c r="J13" s="61"/>
      <c r="K13" s="61"/>
      <c r="L13" s="61"/>
      <c r="M13" s="61" t="s">
        <v>38</v>
      </c>
      <c r="N13" s="61" t="s">
        <v>1845</v>
      </c>
      <c r="O13" s="61"/>
      <c r="P13" s="61"/>
      <c r="Q13" s="61"/>
      <c r="R13" s="61" t="s">
        <v>2380</v>
      </c>
      <c r="S13" s="61" t="s">
        <v>75</v>
      </c>
      <c r="T13" s="61" t="s">
        <v>1901</v>
      </c>
      <c r="U13" s="61" t="s">
        <v>1901</v>
      </c>
      <c r="V13" s="101" t="str">
        <f>VLOOKUP(B13,[2]Overall!$A:$D,4,0)</f>
        <v>TELEINFRA NORD</v>
      </c>
      <c r="W13" s="101" t="str">
        <f>VLOOKUP(B13,[3]Sheet1!$A:$B,2,0)</f>
        <v>Mayo-Nonde</v>
      </c>
      <c r="X13" s="88" t="str">
        <f t="shared" si="0"/>
        <v>NRD</v>
      </c>
      <c r="Y13" s="88" t="str">
        <f t="shared" si="1"/>
        <v>T&gt;72H</v>
      </c>
      <c r="Z13" s="101">
        <f t="shared" si="2"/>
        <v>3</v>
      </c>
      <c r="AA13" s="84" t="s">
        <v>1566</v>
      </c>
      <c r="AB13" s="84" t="s">
        <v>1554</v>
      </c>
      <c r="AC13" s="105" t="s">
        <v>2680</v>
      </c>
      <c r="AD13" s="106" t="s">
        <v>1994</v>
      </c>
      <c r="AE13" s="61"/>
    </row>
    <row r="14" spans="1:31" ht="116" hidden="1" x14ac:dyDescent="0.35">
      <c r="A14" s="61" t="s">
        <v>1892</v>
      </c>
      <c r="B14" s="61" t="s">
        <v>1893</v>
      </c>
      <c r="C14" s="65"/>
      <c r="D14" s="61"/>
      <c r="E14" s="61" t="s">
        <v>2199</v>
      </c>
      <c r="F14" s="70" t="s">
        <v>53</v>
      </c>
      <c r="G14" s="70" t="s">
        <v>2121</v>
      </c>
      <c r="H14" s="67">
        <v>46175.837418981479</v>
      </c>
      <c r="I14" s="75">
        <v>3.8608064814834506</v>
      </c>
      <c r="J14" s="61"/>
      <c r="K14" s="61"/>
      <c r="L14" s="61"/>
      <c r="M14" s="61" t="s">
        <v>41</v>
      </c>
      <c r="N14" s="61" t="s">
        <v>42</v>
      </c>
      <c r="O14" s="61"/>
      <c r="P14" s="61"/>
      <c r="Q14" s="61"/>
      <c r="R14" s="61" t="s">
        <v>2378</v>
      </c>
      <c r="S14" s="61" t="s">
        <v>75</v>
      </c>
      <c r="T14" s="61" t="s">
        <v>1688</v>
      </c>
      <c r="U14" s="61" t="s">
        <v>1688</v>
      </c>
      <c r="V14" s="101" t="str">
        <f>VLOOKUP(B14,[2]Overall!$A:$D,4,0)</f>
        <v>H-TELI</v>
      </c>
      <c r="W14" s="101" t="str">
        <f>VLOOKUP(B14,[3]Sheet1!$A:$B,2,0)</f>
        <v>Santchou</v>
      </c>
      <c r="X14" s="88" t="str">
        <f t="shared" si="0"/>
        <v>OST</v>
      </c>
      <c r="Y14" s="88" t="str">
        <f t="shared" si="1"/>
        <v>T&gt;72H</v>
      </c>
      <c r="Z14" s="101">
        <f t="shared" si="2"/>
        <v>1</v>
      </c>
      <c r="AA14" s="84" t="s">
        <v>1566</v>
      </c>
      <c r="AB14" s="84" t="s">
        <v>1554</v>
      </c>
      <c r="AC14" s="105" t="s">
        <v>2680</v>
      </c>
      <c r="AD14" s="106" t="s">
        <v>1994</v>
      </c>
      <c r="AE14" s="61"/>
    </row>
    <row r="15" spans="1:31" ht="116" hidden="1" x14ac:dyDescent="0.35">
      <c r="A15" s="61" t="s">
        <v>1892</v>
      </c>
      <c r="B15" s="61" t="s">
        <v>1893</v>
      </c>
      <c r="C15" s="65"/>
      <c r="D15" s="61"/>
      <c r="E15" s="61" t="s">
        <v>2200</v>
      </c>
      <c r="F15" s="70" t="s">
        <v>53</v>
      </c>
      <c r="G15" s="70" t="s">
        <v>2121</v>
      </c>
      <c r="H15" s="67">
        <v>46175.837430555555</v>
      </c>
      <c r="I15" s="75">
        <v>3.860794907406671</v>
      </c>
      <c r="J15" s="61"/>
      <c r="K15" s="61"/>
      <c r="L15" s="61"/>
      <c r="M15" s="61" t="s">
        <v>41</v>
      </c>
      <c r="N15" s="61" t="s">
        <v>42</v>
      </c>
      <c r="O15" s="61"/>
      <c r="P15" s="61"/>
      <c r="Q15" s="61"/>
      <c r="R15" s="61" t="s">
        <v>2378</v>
      </c>
      <c r="S15" s="61" t="s">
        <v>75</v>
      </c>
      <c r="T15" s="61" t="s">
        <v>1688</v>
      </c>
      <c r="U15" s="61" t="s">
        <v>1688</v>
      </c>
      <c r="V15" s="101" t="str">
        <f>VLOOKUP(B15,[2]Overall!$A:$D,4,0)</f>
        <v>H-TELI</v>
      </c>
      <c r="W15" s="101" t="str">
        <f>VLOOKUP(B15,[3]Sheet1!$A:$B,2,0)</f>
        <v>Santchou</v>
      </c>
      <c r="X15" s="88" t="str">
        <f t="shared" si="0"/>
        <v>OST</v>
      </c>
      <c r="Y15" s="88" t="str">
        <f t="shared" si="1"/>
        <v>T&gt;72H</v>
      </c>
      <c r="Z15" s="101">
        <f t="shared" si="2"/>
        <v>1</v>
      </c>
      <c r="AA15" s="84" t="s">
        <v>1566</v>
      </c>
      <c r="AB15" s="84" t="s">
        <v>1554</v>
      </c>
      <c r="AC15" s="105" t="s">
        <v>2680</v>
      </c>
      <c r="AD15" s="106" t="s">
        <v>1994</v>
      </c>
      <c r="AE15" s="61"/>
    </row>
    <row r="16" spans="1:31" ht="116" hidden="1" x14ac:dyDescent="0.35">
      <c r="A16" s="61" t="s">
        <v>1892</v>
      </c>
      <c r="B16" s="61" t="s">
        <v>1893</v>
      </c>
      <c r="C16" s="65"/>
      <c r="D16" s="61"/>
      <c r="E16" s="61" t="s">
        <v>2201</v>
      </c>
      <c r="F16" s="70" t="s">
        <v>53</v>
      </c>
      <c r="G16" s="70" t="s">
        <v>2121</v>
      </c>
      <c r="H16" s="67">
        <v>46175.837407407409</v>
      </c>
      <c r="I16" s="75">
        <v>3.8608180555529543</v>
      </c>
      <c r="J16" s="61"/>
      <c r="K16" s="61"/>
      <c r="L16" s="61"/>
      <c r="M16" s="61" t="s">
        <v>41</v>
      </c>
      <c r="N16" s="61" t="s">
        <v>42</v>
      </c>
      <c r="O16" s="61"/>
      <c r="P16" s="61"/>
      <c r="Q16" s="61"/>
      <c r="R16" s="61" t="s">
        <v>2378</v>
      </c>
      <c r="S16" s="61" t="s">
        <v>75</v>
      </c>
      <c r="T16" s="61" t="s">
        <v>1688</v>
      </c>
      <c r="U16" s="61" t="s">
        <v>1688</v>
      </c>
      <c r="V16" s="101" t="str">
        <f>VLOOKUP(B16,[2]Overall!$A:$D,4,0)</f>
        <v>H-TELI</v>
      </c>
      <c r="W16" s="101" t="str">
        <f>VLOOKUP(B16,[3]Sheet1!$A:$B,2,0)</f>
        <v>Santchou</v>
      </c>
      <c r="X16" s="88" t="str">
        <f t="shared" si="0"/>
        <v>OST</v>
      </c>
      <c r="Y16" s="88" t="str">
        <f t="shared" si="1"/>
        <v>T&gt;72H</v>
      </c>
      <c r="Z16" s="101">
        <f t="shared" si="2"/>
        <v>1</v>
      </c>
      <c r="AA16" s="84" t="s">
        <v>1566</v>
      </c>
      <c r="AB16" s="84" t="s">
        <v>1554</v>
      </c>
      <c r="AC16" s="105" t="s">
        <v>2680</v>
      </c>
      <c r="AD16" s="106" t="s">
        <v>1994</v>
      </c>
      <c r="AE16" s="61"/>
    </row>
    <row r="17" spans="1:31" ht="116" hidden="1" x14ac:dyDescent="0.35">
      <c r="A17" s="61" t="s">
        <v>1892</v>
      </c>
      <c r="B17" s="61" t="s">
        <v>1893</v>
      </c>
      <c r="C17" s="65"/>
      <c r="D17" s="61"/>
      <c r="E17" s="61" t="s">
        <v>2202</v>
      </c>
      <c r="F17" s="70" t="s">
        <v>53</v>
      </c>
      <c r="G17" s="70" t="s">
        <v>2121</v>
      </c>
      <c r="H17" s="67">
        <v>46175.837430555555</v>
      </c>
      <c r="I17" s="75">
        <v>3.860794907406671</v>
      </c>
      <c r="J17" s="61"/>
      <c r="K17" s="61"/>
      <c r="L17" s="61"/>
      <c r="M17" s="61" t="s">
        <v>41</v>
      </c>
      <c r="N17" s="61" t="s">
        <v>42</v>
      </c>
      <c r="O17" s="61"/>
      <c r="P17" s="61"/>
      <c r="Q17" s="61"/>
      <c r="R17" s="61" t="s">
        <v>2378</v>
      </c>
      <c r="S17" s="61" t="s">
        <v>75</v>
      </c>
      <c r="T17" s="61" t="s">
        <v>1688</v>
      </c>
      <c r="U17" s="61" t="s">
        <v>1688</v>
      </c>
      <c r="V17" s="101" t="str">
        <f>VLOOKUP(B17,[2]Overall!$A:$D,4,0)</f>
        <v>H-TELI</v>
      </c>
      <c r="W17" s="101" t="str">
        <f>VLOOKUP(B17,[3]Sheet1!$A:$B,2,0)</f>
        <v>Santchou</v>
      </c>
      <c r="X17" s="88" t="str">
        <f t="shared" si="0"/>
        <v>OST</v>
      </c>
      <c r="Y17" s="88" t="str">
        <f t="shared" si="1"/>
        <v>T&gt;72H</v>
      </c>
      <c r="Z17" s="101">
        <f t="shared" si="2"/>
        <v>1</v>
      </c>
      <c r="AA17" s="84" t="s">
        <v>1566</v>
      </c>
      <c r="AB17" s="84" t="s">
        <v>1554</v>
      </c>
      <c r="AC17" s="105" t="s">
        <v>2680</v>
      </c>
      <c r="AD17" s="106" t="s">
        <v>1994</v>
      </c>
      <c r="AE17" s="61"/>
    </row>
    <row r="18" spans="1:31" ht="116" hidden="1" x14ac:dyDescent="0.35">
      <c r="A18" s="61" t="s">
        <v>1892</v>
      </c>
      <c r="B18" s="61" t="s">
        <v>1893</v>
      </c>
      <c r="C18" s="65"/>
      <c r="D18" s="61"/>
      <c r="E18" s="61" t="s">
        <v>2203</v>
      </c>
      <c r="F18" s="70" t="s">
        <v>53</v>
      </c>
      <c r="G18" s="70" t="s">
        <v>2121</v>
      </c>
      <c r="H18" s="67">
        <v>46175.837430555555</v>
      </c>
      <c r="I18" s="75">
        <v>3.860794907406671</v>
      </c>
      <c r="J18" s="61"/>
      <c r="K18" s="61"/>
      <c r="L18" s="61"/>
      <c r="M18" s="61" t="s">
        <v>41</v>
      </c>
      <c r="N18" s="61" t="s">
        <v>42</v>
      </c>
      <c r="O18" s="61"/>
      <c r="P18" s="61"/>
      <c r="Q18" s="61"/>
      <c r="R18" s="61" t="s">
        <v>2378</v>
      </c>
      <c r="S18" s="61" t="s">
        <v>75</v>
      </c>
      <c r="T18" s="61" t="s">
        <v>1688</v>
      </c>
      <c r="U18" s="61" t="s">
        <v>1688</v>
      </c>
      <c r="V18" s="101" t="str">
        <f>VLOOKUP(B18,[2]Overall!$A:$D,4,0)</f>
        <v>H-TELI</v>
      </c>
      <c r="W18" s="101" t="str">
        <f>VLOOKUP(B18,[3]Sheet1!$A:$B,2,0)</f>
        <v>Santchou</v>
      </c>
      <c r="X18" s="88" t="str">
        <f t="shared" si="0"/>
        <v>OST</v>
      </c>
      <c r="Y18" s="88" t="str">
        <f t="shared" si="1"/>
        <v>T&gt;72H</v>
      </c>
      <c r="Z18" s="101">
        <f t="shared" si="2"/>
        <v>1</v>
      </c>
      <c r="AA18" s="84" t="s">
        <v>1566</v>
      </c>
      <c r="AB18" s="84" t="s">
        <v>1554</v>
      </c>
      <c r="AC18" s="105" t="s">
        <v>2680</v>
      </c>
      <c r="AD18" s="106" t="s">
        <v>1994</v>
      </c>
      <c r="AE18" s="61"/>
    </row>
    <row r="19" spans="1:31" ht="116" hidden="1" x14ac:dyDescent="0.35">
      <c r="A19" s="61" t="s">
        <v>1892</v>
      </c>
      <c r="B19" s="61" t="s">
        <v>1893</v>
      </c>
      <c r="C19" s="65"/>
      <c r="D19" s="61"/>
      <c r="E19" s="61" t="s">
        <v>2204</v>
      </c>
      <c r="F19" s="70" t="s">
        <v>53</v>
      </c>
      <c r="G19" s="70" t="s">
        <v>2121</v>
      </c>
      <c r="H19" s="67">
        <v>46175.837430555555</v>
      </c>
      <c r="I19" s="75">
        <v>3.860794907406671</v>
      </c>
      <c r="J19" s="61"/>
      <c r="K19" s="61"/>
      <c r="L19" s="61"/>
      <c r="M19" s="61" t="s">
        <v>41</v>
      </c>
      <c r="N19" s="61" t="s">
        <v>42</v>
      </c>
      <c r="O19" s="61"/>
      <c r="P19" s="61"/>
      <c r="Q19" s="61"/>
      <c r="R19" s="61" t="s">
        <v>2378</v>
      </c>
      <c r="S19" s="61" t="s">
        <v>75</v>
      </c>
      <c r="T19" s="61" t="s">
        <v>1688</v>
      </c>
      <c r="U19" s="61" t="s">
        <v>1688</v>
      </c>
      <c r="V19" s="101" t="str">
        <f>VLOOKUP(B19,[2]Overall!$A:$D,4,0)</f>
        <v>H-TELI</v>
      </c>
      <c r="W19" s="101" t="str">
        <f>VLOOKUP(B19,[3]Sheet1!$A:$B,2,0)</f>
        <v>Santchou</v>
      </c>
      <c r="X19" s="88" t="str">
        <f t="shared" si="0"/>
        <v>OST</v>
      </c>
      <c r="Y19" s="88" t="str">
        <f t="shared" si="1"/>
        <v>T&gt;72H</v>
      </c>
      <c r="Z19" s="101">
        <f t="shared" si="2"/>
        <v>1</v>
      </c>
      <c r="AA19" s="84" t="s">
        <v>1566</v>
      </c>
      <c r="AB19" s="84" t="s">
        <v>1554</v>
      </c>
      <c r="AC19" s="105" t="s">
        <v>2680</v>
      </c>
      <c r="AD19" s="106" t="s">
        <v>1994</v>
      </c>
      <c r="AE19" s="61"/>
    </row>
    <row r="20" spans="1:31" ht="188.5" hidden="1" x14ac:dyDescent="0.35">
      <c r="A20" s="61" t="s">
        <v>2262</v>
      </c>
      <c r="B20" s="61" t="s">
        <v>2263</v>
      </c>
      <c r="C20" s="65"/>
      <c r="D20" s="61"/>
      <c r="E20" s="61" t="s">
        <v>2264</v>
      </c>
      <c r="F20" s="70" t="s">
        <v>53</v>
      </c>
      <c r="G20" s="70" t="s">
        <v>2121</v>
      </c>
      <c r="H20" s="67">
        <v>46176.41369212963</v>
      </c>
      <c r="I20" s="75">
        <v>3.2845333333316376</v>
      </c>
      <c r="J20" s="61"/>
      <c r="K20" s="61"/>
      <c r="L20" s="61"/>
      <c r="M20" s="61" t="s">
        <v>31</v>
      </c>
      <c r="N20" s="61" t="s">
        <v>2265</v>
      </c>
      <c r="O20" s="61"/>
      <c r="P20" s="61"/>
      <c r="Q20" s="61"/>
      <c r="R20" s="61" t="s">
        <v>2636</v>
      </c>
      <c r="S20" s="61" t="s">
        <v>40</v>
      </c>
      <c r="T20" s="61" t="s">
        <v>1898</v>
      </c>
      <c r="U20" s="61" t="s">
        <v>1898</v>
      </c>
      <c r="V20" s="101" t="str">
        <f>VLOOKUP(B20,[2]Overall!$A:$D,4,0)</f>
        <v>TELEINFRA NORD</v>
      </c>
      <c r="W20" s="101" t="str">
        <f>VLOOKUP(B20,[3]Sheet1!$A:$B,2,0)</f>
        <v>Ndiam-badji</v>
      </c>
      <c r="X20" s="88" t="str">
        <f t="shared" si="0"/>
        <v>NRD</v>
      </c>
      <c r="Y20" s="88" t="str">
        <f t="shared" si="1"/>
        <v>T&gt;72H</v>
      </c>
      <c r="Z20" s="101">
        <f t="shared" si="2"/>
        <v>6</v>
      </c>
      <c r="AA20" s="84" t="s">
        <v>1566</v>
      </c>
      <c r="AB20" s="84" t="s">
        <v>1554</v>
      </c>
      <c r="AC20" s="105" t="s">
        <v>2680</v>
      </c>
      <c r="AD20" s="106" t="s">
        <v>1994</v>
      </c>
      <c r="AE20" s="61"/>
    </row>
    <row r="21" spans="1:31" ht="188.5" hidden="1" x14ac:dyDescent="0.35">
      <c r="A21" s="61" t="s">
        <v>2262</v>
      </c>
      <c r="B21" s="61" t="s">
        <v>2263</v>
      </c>
      <c r="C21" s="65"/>
      <c r="D21" s="61"/>
      <c r="E21" s="61" t="s">
        <v>2264</v>
      </c>
      <c r="F21" s="70" t="s">
        <v>53</v>
      </c>
      <c r="G21" s="70" t="s">
        <v>2121</v>
      </c>
      <c r="H21" s="67">
        <v>46176.450185185182</v>
      </c>
      <c r="I21" s="75">
        <v>3.2480402777800919</v>
      </c>
      <c r="J21" s="61"/>
      <c r="K21" s="61"/>
      <c r="L21" s="61"/>
      <c r="M21" s="61" t="s">
        <v>1713</v>
      </c>
      <c r="N21" s="61" t="s">
        <v>2266</v>
      </c>
      <c r="O21" s="61"/>
      <c r="P21" s="61"/>
      <c r="Q21" s="61"/>
      <c r="R21" s="61" t="s">
        <v>2636</v>
      </c>
      <c r="S21" s="61" t="s">
        <v>40</v>
      </c>
      <c r="T21" s="61" t="s">
        <v>1898</v>
      </c>
      <c r="U21" s="61" t="s">
        <v>1898</v>
      </c>
      <c r="V21" s="101" t="str">
        <f>VLOOKUP(B21,[2]Overall!$A:$D,4,0)</f>
        <v>TELEINFRA NORD</v>
      </c>
      <c r="W21" s="101" t="str">
        <f>VLOOKUP(B21,[3]Sheet1!$A:$B,2,0)</f>
        <v>Ndiam-badji</v>
      </c>
      <c r="X21" s="88" t="str">
        <f t="shared" si="0"/>
        <v>NRD</v>
      </c>
      <c r="Y21" s="88" t="str">
        <f t="shared" si="1"/>
        <v>T&gt;72H</v>
      </c>
      <c r="Z21" s="101">
        <f t="shared" si="2"/>
        <v>6</v>
      </c>
      <c r="AA21" s="84" t="s">
        <v>1566</v>
      </c>
      <c r="AB21" s="84" t="s">
        <v>1554</v>
      </c>
      <c r="AC21" s="105" t="s">
        <v>2680</v>
      </c>
      <c r="AD21" s="106" t="s">
        <v>1994</v>
      </c>
      <c r="AE21" s="61"/>
    </row>
    <row r="22" spans="1:31" ht="188.5" hidden="1" x14ac:dyDescent="0.35">
      <c r="A22" s="61" t="s">
        <v>1877</v>
      </c>
      <c r="B22" s="61" t="s">
        <v>1878</v>
      </c>
      <c r="C22" s="65"/>
      <c r="D22" s="61"/>
      <c r="E22" s="61" t="s">
        <v>49</v>
      </c>
      <c r="F22" s="70" t="s">
        <v>53</v>
      </c>
      <c r="G22" s="70" t="s">
        <v>2121</v>
      </c>
      <c r="H22" s="67">
        <v>46176.68891203704</v>
      </c>
      <c r="I22" s="75">
        <v>3.0093134259223007</v>
      </c>
      <c r="J22" s="61"/>
      <c r="K22" s="61"/>
      <c r="L22" s="61"/>
      <c r="M22" s="61" t="s">
        <v>38</v>
      </c>
      <c r="N22" s="61" t="s">
        <v>1943</v>
      </c>
      <c r="O22" s="61"/>
      <c r="P22" s="61"/>
      <c r="Q22" s="61"/>
      <c r="R22" s="61" t="s">
        <v>2627</v>
      </c>
      <c r="S22" s="61" t="s">
        <v>85</v>
      </c>
      <c r="T22" s="61" t="s">
        <v>1688</v>
      </c>
      <c r="U22" s="61" t="s">
        <v>1688</v>
      </c>
      <c r="V22" s="101" t="str">
        <f>VLOOKUP(B22,[2]Overall!$A:$D,4,0)</f>
        <v>H-TELI</v>
      </c>
      <c r="W22" s="101" t="str">
        <f>VLOOKUP(B22,[3]Sheet1!$A:$B,2,0)</f>
        <v>Massock-Songloulou</v>
      </c>
      <c r="X22" s="88" t="str">
        <f t="shared" si="0"/>
        <v>LIT</v>
      </c>
      <c r="Y22" s="88" t="str">
        <f t="shared" si="1"/>
        <v>T&gt;72H</v>
      </c>
      <c r="Z22" s="101">
        <f t="shared" si="2"/>
        <v>1</v>
      </c>
      <c r="AA22" s="84" t="s">
        <v>1566</v>
      </c>
      <c r="AB22" s="84" t="s">
        <v>1554</v>
      </c>
      <c r="AC22" s="105" t="s">
        <v>2680</v>
      </c>
      <c r="AD22" s="106" t="s">
        <v>1994</v>
      </c>
      <c r="AE22" s="61"/>
    </row>
    <row r="23" spans="1:31" ht="87" hidden="1" x14ac:dyDescent="0.35">
      <c r="A23" s="61" t="s">
        <v>1705</v>
      </c>
      <c r="B23" s="61" t="s">
        <v>1706</v>
      </c>
      <c r="C23" s="65"/>
      <c r="D23" s="61"/>
      <c r="E23" s="61" t="s">
        <v>48</v>
      </c>
      <c r="F23" s="70" t="s">
        <v>53</v>
      </c>
      <c r="G23" s="70" t="s">
        <v>2121</v>
      </c>
      <c r="H23" s="67">
        <v>46177.386990740742</v>
      </c>
      <c r="I23" s="75">
        <v>2.311234722219524</v>
      </c>
      <c r="J23" s="61"/>
      <c r="K23" s="61"/>
      <c r="L23" s="61"/>
      <c r="M23" s="61" t="s">
        <v>1707</v>
      </c>
      <c r="N23" s="61" t="s">
        <v>1708</v>
      </c>
      <c r="O23" s="61"/>
      <c r="P23" s="61"/>
      <c r="Q23" s="61"/>
      <c r="R23" s="61" t="s">
        <v>2414</v>
      </c>
      <c r="S23" s="61" t="s">
        <v>71</v>
      </c>
      <c r="T23" s="61" t="s">
        <v>1902</v>
      </c>
      <c r="U23" s="61" t="s">
        <v>1896</v>
      </c>
      <c r="V23" s="101" t="str">
        <f>VLOOKUP(B23,[2]Overall!$A:$D,4,0)</f>
        <v xml:space="preserve">I-ENG </v>
      </c>
      <c r="W23" s="101" t="str">
        <f>VLOOKUP(B23,[3]Sheet1!$A:$B,2,0)</f>
        <v>Laising</v>
      </c>
      <c r="X23" s="88" t="str">
        <f t="shared" ref="X23:X62" si="3">LEFT(B23,3)</f>
        <v>NRO</v>
      </c>
      <c r="Y23" s="88" t="str">
        <f t="shared" ref="Y23:Y62" si="4">IF(I23 &lt; 1/24, "T&lt;1H", IF(AND(I23&lt;2/24, I23&gt;1/24), "1H&lt;T&lt;2H", IF(AND(I23&lt;4/24, I23&gt;2/24), "2H&lt;T&lt;4H", IF(AND(I23&lt;8/24, I23&gt;4/24), "4H&lt;T&lt;8H", IF(AND(I23&lt;16/24, I23&gt;8/24), "8H&lt;T&lt;16H",IF(AND(I23&lt;24/24, I23&gt;16/24),"16H&lt;T&lt;24H", IF(AND(I23&lt;48/24, I23&gt;24/24),"24H&lt;T&lt;48H",IF(AND(I23&lt;72/24, I23&gt;24/24),"48H&lt;T&lt;72H", "T&gt;72H"))))))))</f>
        <v>48H&lt;T&lt;72H</v>
      </c>
      <c r="Z23" s="101">
        <f t="shared" ref="Z23:Z62" si="5">IF(OR(E23="", E23="affected_cells=unknown"), "", LEN(E23)-LEN(SUBSTITUTE(E23, ",", "")) + LEN(E23)-LEN(SUBSTITUTE(E23, ";", "")) + 1)</f>
        <v>1</v>
      </c>
      <c r="AA23" s="84" t="s">
        <v>1566</v>
      </c>
      <c r="AB23" s="84" t="s">
        <v>1554</v>
      </c>
      <c r="AC23" s="105" t="s">
        <v>2680</v>
      </c>
      <c r="AD23" s="106" t="s">
        <v>1994</v>
      </c>
      <c r="AE23" s="61"/>
    </row>
    <row r="24" spans="1:31" ht="174" hidden="1" x14ac:dyDescent="0.35">
      <c r="A24" s="61" t="s">
        <v>2257</v>
      </c>
      <c r="B24" s="61" t="s">
        <v>1796</v>
      </c>
      <c r="C24" s="65"/>
      <c r="D24" s="61"/>
      <c r="E24" s="61" t="s">
        <v>35</v>
      </c>
      <c r="F24" s="70" t="s">
        <v>53</v>
      </c>
      <c r="G24" s="70" t="s">
        <v>2121</v>
      </c>
      <c r="H24" s="67">
        <v>46177.521458333336</v>
      </c>
      <c r="I24" s="75">
        <v>2.1767671296256594</v>
      </c>
      <c r="J24" s="61"/>
      <c r="K24" s="61"/>
      <c r="L24" s="61"/>
      <c r="M24" s="61" t="s">
        <v>31</v>
      </c>
      <c r="N24" s="61" t="s">
        <v>2400</v>
      </c>
      <c r="O24" s="61"/>
      <c r="P24" s="61"/>
      <c r="Q24" s="61"/>
      <c r="R24" s="61" t="s">
        <v>2655</v>
      </c>
      <c r="S24" s="61" t="s">
        <v>40</v>
      </c>
      <c r="T24" s="61" t="s">
        <v>1899</v>
      </c>
      <c r="U24" s="61" t="s">
        <v>1899</v>
      </c>
      <c r="V24" s="101" t="str">
        <f>VLOOKUP(B24,[2]Overall!$A:$D,4,0)</f>
        <v>TELEINFRA NORD</v>
      </c>
      <c r="W24" s="101" t="str">
        <f>VLOOKUP(B24,[3]Sheet1!$A:$B,2,0)</f>
        <v>Bagarao</v>
      </c>
      <c r="X24" s="88" t="str">
        <f t="shared" si="3"/>
        <v>EXN</v>
      </c>
      <c r="Y24" s="88" t="str">
        <f t="shared" si="4"/>
        <v>48H&lt;T&lt;72H</v>
      </c>
      <c r="Z24" s="101">
        <f t="shared" si="5"/>
        <v>3</v>
      </c>
      <c r="AA24" s="84" t="s">
        <v>1566</v>
      </c>
      <c r="AB24" s="84" t="s">
        <v>1554</v>
      </c>
      <c r="AC24" s="105" t="s">
        <v>2680</v>
      </c>
      <c r="AD24" s="106" t="s">
        <v>1994</v>
      </c>
      <c r="AE24" s="61"/>
    </row>
    <row r="25" spans="1:31" ht="116" hidden="1" x14ac:dyDescent="0.35">
      <c r="A25" s="61" t="s">
        <v>2316</v>
      </c>
      <c r="B25" s="61" t="s">
        <v>2317</v>
      </c>
      <c r="C25" s="65"/>
      <c r="D25" s="61"/>
      <c r="E25" s="61" t="s">
        <v>2439</v>
      </c>
      <c r="F25" s="70" t="s">
        <v>53</v>
      </c>
      <c r="G25" s="70" t="s">
        <v>2121</v>
      </c>
      <c r="H25" s="67">
        <v>46177.589004629626</v>
      </c>
      <c r="I25" s="75">
        <v>2.1092208333357121</v>
      </c>
      <c r="J25" s="61"/>
      <c r="K25" s="61"/>
      <c r="L25" s="61"/>
      <c r="M25" s="61" t="s">
        <v>38</v>
      </c>
      <c r="N25" s="61" t="s">
        <v>2319</v>
      </c>
      <c r="O25" s="61"/>
      <c r="P25" s="61"/>
      <c r="Q25" s="61"/>
      <c r="R25" s="61" t="s">
        <v>2621</v>
      </c>
      <c r="S25" s="61" t="s">
        <v>85</v>
      </c>
      <c r="T25" s="61" t="s">
        <v>1898</v>
      </c>
      <c r="U25" s="61" t="s">
        <v>1898</v>
      </c>
      <c r="V25" s="101" t="str">
        <f>VLOOKUP(B25,[2]Overall!$A:$D,4,0)</f>
        <v>H-TELI</v>
      </c>
      <c r="W25" s="101" t="str">
        <f>VLOOKUP(B25,[3]Sheet1!$A:$B,2,0)</f>
        <v>Logbong</v>
      </c>
      <c r="X25" s="88" t="str">
        <f t="shared" si="3"/>
        <v>LIT</v>
      </c>
      <c r="Y25" s="88" t="str">
        <f t="shared" si="4"/>
        <v>48H&lt;T&lt;72H</v>
      </c>
      <c r="Z25" s="101">
        <f t="shared" si="5"/>
        <v>6</v>
      </c>
      <c r="AA25" s="84" t="s">
        <v>1566</v>
      </c>
      <c r="AB25" s="84" t="s">
        <v>1554</v>
      </c>
      <c r="AC25" s="105" t="s">
        <v>2680</v>
      </c>
      <c r="AD25" s="106" t="s">
        <v>1994</v>
      </c>
      <c r="AE25" s="61"/>
    </row>
    <row r="26" spans="1:31" ht="116" hidden="1" x14ac:dyDescent="0.35">
      <c r="A26" s="61" t="s">
        <v>2320</v>
      </c>
      <c r="B26" s="61" t="s">
        <v>2317</v>
      </c>
      <c r="C26" s="65"/>
      <c r="D26" s="61"/>
      <c r="E26" s="61" t="s">
        <v>1787</v>
      </c>
      <c r="F26" s="70" t="s">
        <v>53</v>
      </c>
      <c r="G26" s="70" t="s">
        <v>2121</v>
      </c>
      <c r="H26" s="67">
        <v>46177.589270833334</v>
      </c>
      <c r="I26" s="75">
        <v>2.1089546296279877</v>
      </c>
      <c r="J26" s="61"/>
      <c r="K26" s="61"/>
      <c r="L26" s="61"/>
      <c r="M26" s="61" t="s">
        <v>38</v>
      </c>
      <c r="N26" s="61" t="s">
        <v>2321</v>
      </c>
      <c r="O26" s="61"/>
      <c r="P26" s="61"/>
      <c r="Q26" s="61"/>
      <c r="R26" s="61" t="s">
        <v>2621</v>
      </c>
      <c r="S26" s="61" t="s">
        <v>85</v>
      </c>
      <c r="T26" s="61" t="s">
        <v>1898</v>
      </c>
      <c r="U26" s="61" t="s">
        <v>1898</v>
      </c>
      <c r="V26" s="101" t="str">
        <f>VLOOKUP(B26,[2]Overall!$A:$D,4,0)</f>
        <v>H-TELI</v>
      </c>
      <c r="W26" s="101" t="str">
        <f>VLOOKUP(B26,[3]Sheet1!$A:$B,2,0)</f>
        <v>Logbong</v>
      </c>
      <c r="X26" s="88" t="str">
        <f t="shared" si="3"/>
        <v>LIT</v>
      </c>
      <c r="Y26" s="88" t="str">
        <f t="shared" si="4"/>
        <v>48H&lt;T&lt;72H</v>
      </c>
      <c r="Z26" s="101">
        <f t="shared" si="5"/>
        <v>2</v>
      </c>
      <c r="AA26" s="84" t="s">
        <v>1566</v>
      </c>
      <c r="AB26" s="84" t="s">
        <v>1554</v>
      </c>
      <c r="AC26" s="105" t="s">
        <v>2680</v>
      </c>
      <c r="AD26" s="106" t="s">
        <v>1994</v>
      </c>
      <c r="AE26" s="61"/>
    </row>
    <row r="27" spans="1:31" ht="87" hidden="1" x14ac:dyDescent="0.35">
      <c r="A27" s="61" t="s">
        <v>2276</v>
      </c>
      <c r="B27" s="61" t="s">
        <v>2277</v>
      </c>
      <c r="C27" s="65"/>
      <c r="D27" s="61"/>
      <c r="E27" s="61" t="s">
        <v>2278</v>
      </c>
      <c r="F27" s="70" t="s">
        <v>53</v>
      </c>
      <c r="G27" s="70" t="s">
        <v>2121</v>
      </c>
      <c r="H27" s="67">
        <v>46177.591168981482</v>
      </c>
      <c r="I27" s="75">
        <v>2.1070564814799582</v>
      </c>
      <c r="J27" s="61"/>
      <c r="K27" s="61"/>
      <c r="L27" s="61"/>
      <c r="M27" s="61" t="s">
        <v>38</v>
      </c>
      <c r="N27" s="61" t="s">
        <v>2279</v>
      </c>
      <c r="O27" s="61"/>
      <c r="P27" s="61"/>
      <c r="Q27" s="61"/>
      <c r="R27" s="61" t="s">
        <v>2624</v>
      </c>
      <c r="S27" s="61" t="s">
        <v>32</v>
      </c>
      <c r="T27" s="61" t="s">
        <v>1898</v>
      </c>
      <c r="U27" s="61" t="s">
        <v>1898</v>
      </c>
      <c r="V27" s="101" t="str">
        <f>VLOOKUP(B27,[2]Overall!$A:$D,4,0)</f>
        <v xml:space="preserve">I-ENG </v>
      </c>
      <c r="W27" s="101" t="str">
        <f>VLOOKUP(B27,[3]Sheet1!$A:$B,2,0)</f>
        <v>Babanki</v>
      </c>
      <c r="X27" s="88" t="str">
        <f t="shared" si="3"/>
        <v>NRO</v>
      </c>
      <c r="Y27" s="88" t="str">
        <f t="shared" si="4"/>
        <v>48H&lt;T&lt;72H</v>
      </c>
      <c r="Z27" s="101">
        <f t="shared" si="5"/>
        <v>2</v>
      </c>
      <c r="AA27" s="84" t="s">
        <v>1566</v>
      </c>
      <c r="AB27" s="84" t="s">
        <v>1554</v>
      </c>
      <c r="AC27" s="105" t="s">
        <v>2680</v>
      </c>
      <c r="AD27" s="106" t="s">
        <v>1994</v>
      </c>
      <c r="AE27" s="61"/>
    </row>
    <row r="28" spans="1:31" ht="87" hidden="1" x14ac:dyDescent="0.35">
      <c r="A28" s="61" t="s">
        <v>1684</v>
      </c>
      <c r="B28" s="61" t="s">
        <v>1620</v>
      </c>
      <c r="C28" s="65"/>
      <c r="D28" s="61"/>
      <c r="E28" s="61" t="s">
        <v>1793</v>
      </c>
      <c r="F28" s="70" t="s">
        <v>53</v>
      </c>
      <c r="G28" s="70" t="s">
        <v>2121</v>
      </c>
      <c r="H28" s="67">
        <v>46177.706493055557</v>
      </c>
      <c r="I28" s="75">
        <v>1.9917324074049247</v>
      </c>
      <c r="J28" s="61"/>
      <c r="K28" s="61"/>
      <c r="L28" s="61"/>
      <c r="M28" s="61" t="s">
        <v>33</v>
      </c>
      <c r="N28" s="61" t="s">
        <v>1653</v>
      </c>
      <c r="O28" s="61"/>
      <c r="P28" s="61"/>
      <c r="Q28" s="61"/>
      <c r="R28" s="61" t="s">
        <v>2497</v>
      </c>
      <c r="S28" s="61" t="s">
        <v>75</v>
      </c>
      <c r="T28" s="61" t="s">
        <v>1898</v>
      </c>
      <c r="U28" s="61" t="s">
        <v>1898</v>
      </c>
      <c r="V28" s="101" t="str">
        <f>VLOOKUP(B28,[2]Overall!$A:$D,4,0)</f>
        <v>TELEINFRA NORD</v>
      </c>
      <c r="W28" s="101" t="str">
        <f>VLOOKUP(B28,[3]Sheet1!$A:$B,2,0)</f>
        <v>Batoua-Godole</v>
      </c>
      <c r="X28" s="88" t="str">
        <f t="shared" si="3"/>
        <v>ADM</v>
      </c>
      <c r="Y28" s="88" t="str">
        <f t="shared" si="4"/>
        <v>24H&lt;T&lt;48H</v>
      </c>
      <c r="Z28" s="101">
        <f t="shared" si="5"/>
        <v>2</v>
      </c>
      <c r="AA28" s="84" t="s">
        <v>1566</v>
      </c>
      <c r="AB28" s="84" t="s">
        <v>1554</v>
      </c>
      <c r="AC28" s="105" t="s">
        <v>2680</v>
      </c>
      <c r="AD28" s="106" t="s">
        <v>1994</v>
      </c>
      <c r="AE28" s="61"/>
    </row>
    <row r="29" spans="1:31" ht="145" hidden="1" x14ac:dyDescent="0.35">
      <c r="A29" s="61" t="s">
        <v>1807</v>
      </c>
      <c r="B29" s="61" t="s">
        <v>1808</v>
      </c>
      <c r="C29" s="65"/>
      <c r="D29" s="61"/>
      <c r="E29" s="61" t="s">
        <v>1810</v>
      </c>
      <c r="F29" s="70" t="s">
        <v>53</v>
      </c>
      <c r="G29" s="70" t="s">
        <v>2121</v>
      </c>
      <c r="H29" s="67">
        <v>46177.733206018522</v>
      </c>
      <c r="I29" s="75">
        <v>1.9650194444402587</v>
      </c>
      <c r="J29" s="61"/>
      <c r="K29" s="61"/>
      <c r="L29" s="61"/>
      <c r="M29" s="61" t="s">
        <v>2053</v>
      </c>
      <c r="N29" s="61" t="s">
        <v>2054</v>
      </c>
      <c r="O29" s="61"/>
      <c r="P29" s="61"/>
      <c r="Q29" s="61"/>
      <c r="R29" s="61" t="s">
        <v>2622</v>
      </c>
      <c r="S29" s="61" t="s">
        <v>85</v>
      </c>
      <c r="T29" s="61" t="s">
        <v>1898</v>
      </c>
      <c r="U29" s="61" t="s">
        <v>1898</v>
      </c>
      <c r="V29" s="101" t="str">
        <f>VLOOKUP(B29,[2]Overall!$A:$D,4,0)</f>
        <v>H-TELI</v>
      </c>
      <c r="W29" s="101" t="str">
        <f>VLOOKUP(B29,[3]Sheet1!$A:$B,2,0)</f>
        <v>Songloulou</v>
      </c>
      <c r="X29" s="88" t="str">
        <f t="shared" si="3"/>
        <v>LIT</v>
      </c>
      <c r="Y29" s="88" t="str">
        <f t="shared" si="4"/>
        <v>24H&lt;T&lt;48H</v>
      </c>
      <c r="Z29" s="101">
        <f t="shared" si="5"/>
        <v>1</v>
      </c>
      <c r="AA29" s="84" t="s">
        <v>1566</v>
      </c>
      <c r="AB29" s="84" t="s">
        <v>1554</v>
      </c>
      <c r="AC29" s="105" t="s">
        <v>2680</v>
      </c>
      <c r="AD29" s="106" t="s">
        <v>1994</v>
      </c>
      <c r="AE29" s="61"/>
    </row>
    <row r="30" spans="1:31" ht="145" hidden="1" x14ac:dyDescent="0.35">
      <c r="A30" s="61" t="s">
        <v>1807</v>
      </c>
      <c r="B30" s="61" t="s">
        <v>1808</v>
      </c>
      <c r="C30" s="65"/>
      <c r="D30" s="61"/>
      <c r="E30" s="61" t="s">
        <v>2446</v>
      </c>
      <c r="F30" s="70" t="s">
        <v>53</v>
      </c>
      <c r="G30" s="70" t="s">
        <v>2121</v>
      </c>
      <c r="H30" s="67">
        <v>46177.734120370369</v>
      </c>
      <c r="I30" s="75">
        <v>1.9641050925929449</v>
      </c>
      <c r="J30" s="61"/>
      <c r="K30" s="61"/>
      <c r="L30" s="61"/>
      <c r="M30" s="61" t="s">
        <v>2053</v>
      </c>
      <c r="N30" s="61" t="s">
        <v>2054</v>
      </c>
      <c r="O30" s="61"/>
      <c r="P30" s="61"/>
      <c r="Q30" s="61"/>
      <c r="R30" s="61" t="s">
        <v>2622</v>
      </c>
      <c r="S30" s="61" t="s">
        <v>85</v>
      </c>
      <c r="T30" s="61" t="s">
        <v>1898</v>
      </c>
      <c r="U30" s="61" t="s">
        <v>1898</v>
      </c>
      <c r="V30" s="101" t="str">
        <f>VLOOKUP(B30,[2]Overall!$A:$D,4,0)</f>
        <v>H-TELI</v>
      </c>
      <c r="W30" s="101" t="str">
        <f>VLOOKUP(B30,[3]Sheet1!$A:$B,2,0)</f>
        <v>Songloulou</v>
      </c>
      <c r="X30" s="88" t="str">
        <f t="shared" si="3"/>
        <v>LIT</v>
      </c>
      <c r="Y30" s="88" t="str">
        <f t="shared" si="4"/>
        <v>24H&lt;T&lt;48H</v>
      </c>
      <c r="Z30" s="101">
        <f t="shared" si="5"/>
        <v>1</v>
      </c>
      <c r="AA30" s="84" t="s">
        <v>1566</v>
      </c>
      <c r="AB30" s="84" t="s">
        <v>1554</v>
      </c>
      <c r="AC30" s="105" t="s">
        <v>2680</v>
      </c>
      <c r="AD30" s="106" t="s">
        <v>1994</v>
      </c>
      <c r="AE30" s="61"/>
    </row>
    <row r="31" spans="1:31" ht="145" hidden="1" x14ac:dyDescent="0.35">
      <c r="A31" s="61" t="s">
        <v>1807</v>
      </c>
      <c r="B31" s="61" t="s">
        <v>1808</v>
      </c>
      <c r="C31" s="65"/>
      <c r="D31" s="61"/>
      <c r="E31" s="61" t="s">
        <v>1813</v>
      </c>
      <c r="F31" s="70" t="s">
        <v>53</v>
      </c>
      <c r="G31" s="70" t="s">
        <v>2121</v>
      </c>
      <c r="H31" s="67">
        <v>46177.741377314815</v>
      </c>
      <c r="I31" s="75">
        <v>1.9568481481474009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2622</v>
      </c>
      <c r="S31" s="61" t="s">
        <v>85</v>
      </c>
      <c r="T31" s="61" t="s">
        <v>1898</v>
      </c>
      <c r="U31" s="61" t="s">
        <v>1898</v>
      </c>
      <c r="V31" s="101" t="str">
        <f>VLOOKUP(B31,[2]Overall!$A:$D,4,0)</f>
        <v>H-TELI</v>
      </c>
      <c r="W31" s="101" t="str">
        <f>VLOOKUP(B31,[3]Sheet1!$A:$B,2,0)</f>
        <v>Songloulou</v>
      </c>
      <c r="X31" s="88" t="str">
        <f t="shared" si="3"/>
        <v>LIT</v>
      </c>
      <c r="Y31" s="88" t="str">
        <f t="shared" si="4"/>
        <v>24H&lt;T&lt;48H</v>
      </c>
      <c r="Z31" s="101">
        <f t="shared" si="5"/>
        <v>1</v>
      </c>
      <c r="AA31" s="84" t="s">
        <v>1566</v>
      </c>
      <c r="AB31" s="84" t="s">
        <v>1554</v>
      </c>
      <c r="AC31" s="105" t="s">
        <v>2680</v>
      </c>
      <c r="AD31" s="106" t="s">
        <v>1994</v>
      </c>
      <c r="AE31" s="61"/>
    </row>
    <row r="32" spans="1:31" ht="145" hidden="1" x14ac:dyDescent="0.35">
      <c r="A32" s="61" t="s">
        <v>1807</v>
      </c>
      <c r="B32" s="61" t="s">
        <v>1808</v>
      </c>
      <c r="C32" s="65"/>
      <c r="D32" s="61"/>
      <c r="E32" s="61" t="s">
        <v>1812</v>
      </c>
      <c r="F32" s="70" t="s">
        <v>53</v>
      </c>
      <c r="G32" s="70" t="s">
        <v>2121</v>
      </c>
      <c r="H32" s="67">
        <v>46177.742442129631</v>
      </c>
      <c r="I32" s="75">
        <v>1.9557833333310555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2622</v>
      </c>
      <c r="S32" s="61" t="s">
        <v>85</v>
      </c>
      <c r="T32" s="61" t="s">
        <v>1898</v>
      </c>
      <c r="U32" s="61" t="s">
        <v>1898</v>
      </c>
      <c r="V32" s="101" t="str">
        <f>VLOOKUP(B32,[2]Overall!$A:$D,4,0)</f>
        <v>H-TELI</v>
      </c>
      <c r="W32" s="101" t="str">
        <f>VLOOKUP(B32,[3]Sheet1!$A:$B,2,0)</f>
        <v>Songloulou</v>
      </c>
      <c r="X32" s="88" t="str">
        <f t="shared" si="3"/>
        <v>LIT</v>
      </c>
      <c r="Y32" s="88" t="str">
        <f t="shared" si="4"/>
        <v>24H&lt;T&lt;48H</v>
      </c>
      <c r="Z32" s="101">
        <f t="shared" si="5"/>
        <v>1</v>
      </c>
      <c r="AA32" s="84" t="s">
        <v>1566</v>
      </c>
      <c r="AB32" s="84" t="s">
        <v>1554</v>
      </c>
      <c r="AC32" s="105" t="s">
        <v>2680</v>
      </c>
      <c r="AD32" s="106" t="s">
        <v>1994</v>
      </c>
      <c r="AE32" s="61"/>
    </row>
    <row r="33" spans="1:31" ht="217.5" hidden="1" x14ac:dyDescent="0.35">
      <c r="A33" s="61" t="s">
        <v>2147</v>
      </c>
      <c r="B33" s="61" t="s">
        <v>2148</v>
      </c>
      <c r="C33" s="65"/>
      <c r="D33" s="61"/>
      <c r="E33" s="61" t="s">
        <v>2149</v>
      </c>
      <c r="F33" s="70" t="s">
        <v>53</v>
      </c>
      <c r="G33" s="70" t="s">
        <v>2121</v>
      </c>
      <c r="H33" s="67">
        <v>46177.806562500002</v>
      </c>
      <c r="I33" s="75">
        <v>1.8916629629602539</v>
      </c>
      <c r="J33" s="61"/>
      <c r="K33" s="61"/>
      <c r="L33" s="61"/>
      <c r="M33" s="61" t="s">
        <v>33</v>
      </c>
      <c r="N33" s="61" t="s">
        <v>1626</v>
      </c>
      <c r="O33" s="61"/>
      <c r="P33" s="61"/>
      <c r="Q33" s="61"/>
      <c r="R33" s="84" t="s">
        <v>2685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Mboulai</v>
      </c>
      <c r="X33" s="88" t="str">
        <f t="shared" si="3"/>
        <v>ADM</v>
      </c>
      <c r="Y33" s="88" t="str">
        <f t="shared" si="4"/>
        <v>24H&lt;T&lt;48H</v>
      </c>
      <c r="Z33" s="101">
        <f t="shared" si="5"/>
        <v>1</v>
      </c>
      <c r="AA33" s="84" t="s">
        <v>1566</v>
      </c>
      <c r="AB33" s="84" t="s">
        <v>1554</v>
      </c>
      <c r="AC33" s="105" t="s">
        <v>2680</v>
      </c>
      <c r="AD33" s="106" t="s">
        <v>1994</v>
      </c>
      <c r="AE33" s="61"/>
    </row>
    <row r="34" spans="1:31" ht="72.5" hidden="1" x14ac:dyDescent="0.35">
      <c r="A34" s="61" t="s">
        <v>2350</v>
      </c>
      <c r="B34" s="61" t="s">
        <v>2351</v>
      </c>
      <c r="C34" s="65"/>
      <c r="D34" s="61"/>
      <c r="E34" s="61" t="s">
        <v>2352</v>
      </c>
      <c r="F34" s="70" t="s">
        <v>53</v>
      </c>
      <c r="G34" s="70" t="s">
        <v>2121</v>
      </c>
      <c r="H34" s="67">
        <v>46177.830648148149</v>
      </c>
      <c r="I34" s="75">
        <v>1.8675773148133885</v>
      </c>
      <c r="J34" s="61"/>
      <c r="K34" s="61"/>
      <c r="L34" s="61"/>
      <c r="M34" s="61" t="s">
        <v>38</v>
      </c>
      <c r="N34" s="61" t="s">
        <v>2353</v>
      </c>
      <c r="O34" s="61"/>
      <c r="P34" s="61"/>
      <c r="Q34" s="61"/>
      <c r="R34" s="61" t="s">
        <v>2590</v>
      </c>
      <c r="S34" s="61" t="s">
        <v>75</v>
      </c>
      <c r="T34" s="61" t="s">
        <v>1754</v>
      </c>
      <c r="U34" s="61" t="s">
        <v>1754</v>
      </c>
      <c r="V34" s="101" t="str">
        <f>VLOOKUP(B34,[2]Overall!$A:$D,4,0)</f>
        <v>TELEINFRA NORD</v>
      </c>
      <c r="W34" s="101" t="str">
        <f>VLOOKUP(B34,[3]Sheet1!$A:$B,2,0)</f>
        <v>Guidjiba</v>
      </c>
      <c r="X34" s="88" t="str">
        <f t="shared" si="3"/>
        <v>NRD</v>
      </c>
      <c r="Y34" s="88" t="str">
        <f t="shared" si="4"/>
        <v>24H&lt;T&lt;48H</v>
      </c>
      <c r="Z34" s="101">
        <f t="shared" si="5"/>
        <v>2</v>
      </c>
      <c r="AA34" s="84" t="s">
        <v>1566</v>
      </c>
      <c r="AB34" s="84" t="s">
        <v>1554</v>
      </c>
      <c r="AC34" s="105" t="s">
        <v>2680</v>
      </c>
      <c r="AD34" s="106" t="s">
        <v>1994</v>
      </c>
      <c r="AE34" s="61"/>
    </row>
    <row r="35" spans="1:31" ht="232" hidden="1" x14ac:dyDescent="0.35">
      <c r="A35" s="61" t="s">
        <v>1776</v>
      </c>
      <c r="B35" s="61" t="s">
        <v>1777</v>
      </c>
      <c r="C35" s="65"/>
      <c r="D35" s="61"/>
      <c r="E35" s="61" t="s">
        <v>35</v>
      </c>
      <c r="F35" s="70" t="s">
        <v>53</v>
      </c>
      <c r="G35" s="70" t="s">
        <v>2121</v>
      </c>
      <c r="H35" s="67">
        <v>46178.43041666667</v>
      </c>
      <c r="I35" s="75">
        <v>1.2678087962922291</v>
      </c>
      <c r="J35" s="61"/>
      <c r="K35" s="61"/>
      <c r="L35" s="61"/>
      <c r="M35" s="61" t="s">
        <v>31</v>
      </c>
      <c r="N35" s="61" t="s">
        <v>1778</v>
      </c>
      <c r="O35" s="61"/>
      <c r="P35" s="61"/>
      <c r="Q35" s="61"/>
      <c r="R35" s="61" t="s">
        <v>2538</v>
      </c>
      <c r="S35" s="61" t="s">
        <v>32</v>
      </c>
      <c r="T35" s="61" t="s">
        <v>1898</v>
      </c>
      <c r="U35" s="61" t="s">
        <v>1898</v>
      </c>
      <c r="V35" s="101" t="str">
        <f>VLOOKUP(B35,[2]Overall!$A:$D,4,0)</f>
        <v xml:space="preserve">I-ENG </v>
      </c>
      <c r="W35" s="101" t="str">
        <f>VLOOKUP(B35,[3]Sheet1!$A:$B,2,0)</f>
        <v>Bafmeng</v>
      </c>
      <c r="X35" s="88" t="str">
        <f t="shared" si="3"/>
        <v>NRO</v>
      </c>
      <c r="Y35" s="88" t="str">
        <f t="shared" si="4"/>
        <v>24H&lt;T&lt;48H</v>
      </c>
      <c r="Z35" s="101">
        <f t="shared" si="5"/>
        <v>3</v>
      </c>
      <c r="AA35" s="84" t="s">
        <v>1566</v>
      </c>
      <c r="AB35" s="84" t="s">
        <v>1554</v>
      </c>
      <c r="AC35" s="105" t="s">
        <v>2680</v>
      </c>
      <c r="AD35" s="106" t="s">
        <v>1994</v>
      </c>
      <c r="AE35" s="61"/>
    </row>
    <row r="36" spans="1:31" ht="87" hidden="1" x14ac:dyDescent="0.35">
      <c r="A36" s="61" t="s">
        <v>2441</v>
      </c>
      <c r="B36" s="61" t="s">
        <v>2442</v>
      </c>
      <c r="C36" s="65"/>
      <c r="D36" s="61"/>
      <c r="E36" s="61" t="s">
        <v>2471</v>
      </c>
      <c r="F36" s="70" t="s">
        <v>53</v>
      </c>
      <c r="G36" s="70" t="s">
        <v>2121</v>
      </c>
      <c r="H36" s="67">
        <v>46178.441736111112</v>
      </c>
      <c r="I36" s="75">
        <v>1.2564893518501776</v>
      </c>
      <c r="J36" s="61"/>
      <c r="K36" s="61"/>
      <c r="L36" s="61"/>
      <c r="M36" s="61" t="s">
        <v>33</v>
      </c>
      <c r="N36" s="61" t="s">
        <v>2444</v>
      </c>
      <c r="O36" s="61"/>
      <c r="P36" s="61"/>
      <c r="Q36" s="61"/>
      <c r="R36" s="61" t="s">
        <v>2652</v>
      </c>
      <c r="S36" s="61" t="s">
        <v>45</v>
      </c>
      <c r="T36" s="61" t="s">
        <v>1898</v>
      </c>
      <c r="U36" s="61" t="s">
        <v>1898</v>
      </c>
      <c r="V36" s="101" t="str">
        <f>VLOOKUP(B36,[2]Overall!$A:$D,4,0)</f>
        <v>TELEINFRA CENTRE</v>
      </c>
      <c r="W36" s="101" t="str">
        <f>VLOOKUP(B36,[3]Sheet1!$A:$B,2,0)</f>
        <v>Yola</v>
      </c>
      <c r="X36" s="88" t="str">
        <f t="shared" si="3"/>
        <v>EST</v>
      </c>
      <c r="Y36" s="88" t="str">
        <f t="shared" si="4"/>
        <v>24H&lt;T&lt;48H</v>
      </c>
      <c r="Z36" s="101">
        <f t="shared" si="5"/>
        <v>2</v>
      </c>
      <c r="AA36" s="84" t="s">
        <v>1566</v>
      </c>
      <c r="AB36" s="84" t="s">
        <v>1554</v>
      </c>
      <c r="AC36" s="105" t="s">
        <v>2680</v>
      </c>
      <c r="AD36" s="106" t="s">
        <v>1994</v>
      </c>
      <c r="AE36" s="61"/>
    </row>
    <row r="37" spans="1:31" ht="101.5" hidden="1" x14ac:dyDescent="0.35">
      <c r="A37" s="61" t="s">
        <v>2481</v>
      </c>
      <c r="B37" s="61" t="s">
        <v>2482</v>
      </c>
      <c r="C37" s="65"/>
      <c r="D37" s="61"/>
      <c r="E37" s="61" t="s">
        <v>2483</v>
      </c>
      <c r="F37" s="70" t="s">
        <v>53</v>
      </c>
      <c r="G37" s="70" t="s">
        <v>2121</v>
      </c>
      <c r="H37" s="67">
        <v>46178.506608796299</v>
      </c>
      <c r="I37" s="75">
        <v>1.1916166666633217</v>
      </c>
      <c r="J37" s="61"/>
      <c r="K37" s="61"/>
      <c r="L37" s="61"/>
      <c r="M37" s="61" t="s">
        <v>46</v>
      </c>
      <c r="N37" s="61" t="s">
        <v>2484</v>
      </c>
      <c r="O37" s="61"/>
      <c r="P37" s="61"/>
      <c r="Q37" s="61"/>
      <c r="R37" s="61" t="s">
        <v>2623</v>
      </c>
      <c r="S37" s="61" t="s">
        <v>85</v>
      </c>
      <c r="T37" s="61" t="s">
        <v>1898</v>
      </c>
      <c r="U37" s="61" t="s">
        <v>1898</v>
      </c>
      <c r="V37" s="101" t="str">
        <f>VLOOKUP(B37,[2]Overall!$A:$D,4,0)</f>
        <v>H-TELI</v>
      </c>
      <c r="W37" s="101" t="str">
        <f>VLOOKUP(B37,[3]Sheet1!$A:$B,2,0)</f>
        <v>Banguem</v>
      </c>
      <c r="X37" s="88" t="str">
        <f t="shared" si="3"/>
        <v>SUO</v>
      </c>
      <c r="Y37" s="88" t="str">
        <f t="shared" si="4"/>
        <v>24H&lt;T&lt;48H</v>
      </c>
      <c r="Z37" s="101">
        <f t="shared" si="5"/>
        <v>1</v>
      </c>
      <c r="AA37" s="84" t="s">
        <v>1566</v>
      </c>
      <c r="AB37" s="84" t="s">
        <v>1554</v>
      </c>
      <c r="AC37" s="105" t="s">
        <v>2680</v>
      </c>
      <c r="AD37" s="106" t="s">
        <v>1994</v>
      </c>
      <c r="AE37" s="61"/>
    </row>
    <row r="38" spans="1:31" ht="87" hidden="1" x14ac:dyDescent="0.35">
      <c r="A38" s="61" t="s">
        <v>2520</v>
      </c>
      <c r="B38" s="61" t="s">
        <v>2521</v>
      </c>
      <c r="C38" s="65"/>
      <c r="D38" s="61"/>
      <c r="E38" s="61" t="s">
        <v>2522</v>
      </c>
      <c r="F38" s="70" t="s">
        <v>53</v>
      </c>
      <c r="G38" s="70" t="s">
        <v>2121</v>
      </c>
      <c r="H38" s="67">
        <v>46178.632245370369</v>
      </c>
      <c r="I38" s="75">
        <v>1.0659800925932359</v>
      </c>
      <c r="J38" s="61"/>
      <c r="K38" s="61"/>
      <c r="L38" s="61"/>
      <c r="M38" s="61" t="s">
        <v>33</v>
      </c>
      <c r="N38" s="61" t="s">
        <v>2523</v>
      </c>
      <c r="O38" s="61"/>
      <c r="P38" s="61"/>
      <c r="Q38" s="61"/>
      <c r="R38" s="61" t="s">
        <v>2660</v>
      </c>
      <c r="S38" s="61" t="s">
        <v>32</v>
      </c>
      <c r="T38" s="61" t="s">
        <v>1898</v>
      </c>
      <c r="U38" s="61" t="s">
        <v>1898</v>
      </c>
      <c r="V38" s="101" t="str">
        <f>VLOOKUP(B38,[2]Overall!$A:$D,4,0)</f>
        <v xml:space="preserve">I-ENG </v>
      </c>
      <c r="W38" s="101" t="str">
        <f>VLOOKUP(B38,[3]Sheet1!$A:$B,2,0)</f>
        <v>Nyanon</v>
      </c>
      <c r="X38" s="88" t="str">
        <f t="shared" si="3"/>
        <v>LIT</v>
      </c>
      <c r="Y38" s="88" t="str">
        <f t="shared" si="4"/>
        <v>24H&lt;T&lt;48H</v>
      </c>
      <c r="Z38" s="101">
        <f t="shared" si="5"/>
        <v>2</v>
      </c>
      <c r="AA38" s="84" t="s">
        <v>1566</v>
      </c>
      <c r="AB38" s="84" t="s">
        <v>1554</v>
      </c>
      <c r="AC38" s="105" t="s">
        <v>2680</v>
      </c>
      <c r="AD38" s="106" t="s">
        <v>1994</v>
      </c>
      <c r="AE38" s="61"/>
    </row>
    <row r="39" spans="1:31" ht="409.5" hidden="1" x14ac:dyDescent="0.35">
      <c r="A39" s="61" t="s">
        <v>1624</v>
      </c>
      <c r="B39" s="61" t="s">
        <v>1625</v>
      </c>
      <c r="C39" s="65"/>
      <c r="D39" s="61"/>
      <c r="E39" s="61" t="s">
        <v>2582</v>
      </c>
      <c r="F39" s="70" t="s">
        <v>53</v>
      </c>
      <c r="G39" s="70" t="s">
        <v>2121</v>
      </c>
      <c r="H39" s="67">
        <v>46178.691365740742</v>
      </c>
      <c r="I39" s="75">
        <v>1.006859722219815</v>
      </c>
      <c r="J39" s="61"/>
      <c r="K39" s="61"/>
      <c r="L39" s="61"/>
      <c r="M39" s="61" t="s">
        <v>33</v>
      </c>
      <c r="N39" s="61" t="s">
        <v>2470</v>
      </c>
      <c r="O39" s="61"/>
      <c r="P39" s="61"/>
      <c r="Q39" s="61"/>
      <c r="R39" s="86" t="s">
        <v>2681</v>
      </c>
      <c r="S39" s="82" t="s">
        <v>32</v>
      </c>
      <c r="T39" s="82" t="s">
        <v>1900</v>
      </c>
      <c r="U39" s="86" t="s">
        <v>1900</v>
      </c>
      <c r="V39" s="101" t="str">
        <f>VLOOKUP(B39,[2]Overall!$A:$D,4,0)</f>
        <v xml:space="preserve">I-ENG </v>
      </c>
      <c r="W39" s="101" t="str">
        <f>VLOOKUP(B39,[3]Sheet1!$A:$B,2,0)</f>
        <v>Kembong</v>
      </c>
      <c r="X39" s="88" t="str">
        <f t="shared" si="3"/>
        <v>NRO</v>
      </c>
      <c r="Y39" s="88" t="str">
        <f t="shared" si="4"/>
        <v>24H&lt;T&lt;48H</v>
      </c>
      <c r="Z39" s="101">
        <f t="shared" si="5"/>
        <v>2</v>
      </c>
      <c r="AA39" s="84" t="s">
        <v>1566</v>
      </c>
      <c r="AB39" s="84" t="s">
        <v>1555</v>
      </c>
      <c r="AC39" s="105" t="s">
        <v>2680</v>
      </c>
      <c r="AD39" s="106" t="s">
        <v>1994</v>
      </c>
      <c r="AE39" s="61"/>
    </row>
    <row r="40" spans="1:31" ht="72.5" hidden="1" x14ac:dyDescent="0.35">
      <c r="A40" s="61" t="s">
        <v>1803</v>
      </c>
      <c r="B40" s="61" t="s">
        <v>1804</v>
      </c>
      <c r="C40" s="65"/>
      <c r="D40" s="61"/>
      <c r="E40" s="61" t="s">
        <v>2602</v>
      </c>
      <c r="F40" s="70" t="s">
        <v>53</v>
      </c>
      <c r="G40" s="70" t="s">
        <v>2121</v>
      </c>
      <c r="H40" s="67">
        <v>46178.741863425923</v>
      </c>
      <c r="I40" s="75">
        <v>0.95636203703907086</v>
      </c>
      <c r="J40" s="61"/>
      <c r="K40" s="61"/>
      <c r="L40" s="61"/>
      <c r="M40" s="61" t="s">
        <v>1627</v>
      </c>
      <c r="N40" s="61" t="s">
        <v>2603</v>
      </c>
      <c r="O40" s="61"/>
      <c r="P40" s="61"/>
      <c r="Q40" s="61"/>
      <c r="R40" s="61" t="s">
        <v>2618</v>
      </c>
      <c r="S40" s="61" t="s">
        <v>51</v>
      </c>
      <c r="T40" s="61" t="s">
        <v>1754</v>
      </c>
      <c r="U40" s="61" t="s">
        <v>1754</v>
      </c>
      <c r="V40" s="101" t="str">
        <f>VLOOKUP(B40,[2]Overall!$A:$D,4,0)</f>
        <v>TELEINFRA CENTRE</v>
      </c>
      <c r="W40" s="101" t="str">
        <f>VLOOKUP(B40,[3]Sheet1!$A:$B,2,0)</f>
        <v>SALAPOUMBE</v>
      </c>
      <c r="X40" s="88" t="str">
        <f t="shared" si="3"/>
        <v>EST</v>
      </c>
      <c r="Y40" s="88" t="str">
        <f t="shared" si="4"/>
        <v>16H&lt;T&lt;24H</v>
      </c>
      <c r="Z40" s="101">
        <f t="shared" si="5"/>
        <v>1</v>
      </c>
      <c r="AA40" s="84" t="s">
        <v>1566</v>
      </c>
      <c r="AB40" s="84" t="s">
        <v>1554</v>
      </c>
      <c r="AC40" s="105" t="s">
        <v>2680</v>
      </c>
      <c r="AD40" s="106" t="s">
        <v>1994</v>
      </c>
      <c r="AE40" s="61"/>
    </row>
    <row r="41" spans="1:31" ht="87" hidden="1" x14ac:dyDescent="0.35">
      <c r="A41" s="61" t="s">
        <v>2554</v>
      </c>
      <c r="B41" s="61" t="s">
        <v>2555</v>
      </c>
      <c r="C41" s="65"/>
      <c r="D41" s="61"/>
      <c r="E41" s="61" t="s">
        <v>2564</v>
      </c>
      <c r="F41" s="70" t="s">
        <v>53</v>
      </c>
      <c r="G41" s="70" t="s">
        <v>2121</v>
      </c>
      <c r="H41" s="67">
        <v>46178.890717592592</v>
      </c>
      <c r="I41" s="75">
        <v>0.80750787036959082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2654</v>
      </c>
      <c r="S41" s="61" t="s">
        <v>71</v>
      </c>
      <c r="T41" s="61" t="s">
        <v>1902</v>
      </c>
      <c r="U41" s="61" t="s">
        <v>1896</v>
      </c>
      <c r="V41" s="101" t="str">
        <f>VLOOKUP(B41,[2]Overall!$A:$D,4,0)</f>
        <v xml:space="preserve">I-ENG </v>
      </c>
      <c r="W41" s="101" t="str">
        <f>VLOOKUP(B41,[3]Sheet1!$A:$B,2,0)</f>
        <v>Bangambi</v>
      </c>
      <c r="X41" s="88" t="str">
        <f t="shared" si="3"/>
        <v>OST</v>
      </c>
      <c r="Y41" s="88" t="str">
        <f t="shared" si="4"/>
        <v>16H&lt;T&lt;24H</v>
      </c>
      <c r="Z41" s="101">
        <f t="shared" si="5"/>
        <v>1</v>
      </c>
      <c r="AA41" s="84" t="s">
        <v>1566</v>
      </c>
      <c r="AB41" s="84" t="s">
        <v>1554</v>
      </c>
      <c r="AC41" s="105" t="s">
        <v>2680</v>
      </c>
      <c r="AD41" s="106" t="s">
        <v>1994</v>
      </c>
      <c r="AE41" s="61"/>
    </row>
    <row r="42" spans="1:31" ht="87" hidden="1" x14ac:dyDescent="0.35">
      <c r="A42" s="61" t="s">
        <v>2554</v>
      </c>
      <c r="B42" s="61" t="s">
        <v>2555</v>
      </c>
      <c r="C42" s="65"/>
      <c r="D42" s="61"/>
      <c r="E42" s="61" t="s">
        <v>2558</v>
      </c>
      <c r="F42" s="70" t="s">
        <v>53</v>
      </c>
      <c r="G42" s="70" t="s">
        <v>2121</v>
      </c>
      <c r="H42" s="67">
        <v>46178.890717592592</v>
      </c>
      <c r="I42" s="75">
        <v>0.80750787036959082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2654</v>
      </c>
      <c r="S42" s="61" t="s">
        <v>71</v>
      </c>
      <c r="T42" s="61" t="s">
        <v>1902</v>
      </c>
      <c r="U42" s="61" t="s">
        <v>1896</v>
      </c>
      <c r="V42" s="101" t="str">
        <f>VLOOKUP(B42,[2]Overall!$A:$D,4,0)</f>
        <v xml:space="preserve">I-ENG </v>
      </c>
      <c r="W42" s="101" t="str">
        <f>VLOOKUP(B42,[3]Sheet1!$A:$B,2,0)</f>
        <v>Bangambi</v>
      </c>
      <c r="X42" s="88" t="str">
        <f t="shared" si="3"/>
        <v>OST</v>
      </c>
      <c r="Y42" s="88" t="str">
        <f t="shared" si="4"/>
        <v>16H&lt;T&lt;24H</v>
      </c>
      <c r="Z42" s="101">
        <f t="shared" si="5"/>
        <v>1</v>
      </c>
      <c r="AA42" s="84" t="s">
        <v>1566</v>
      </c>
      <c r="AB42" s="84" t="s">
        <v>1554</v>
      </c>
      <c r="AC42" s="105" t="s">
        <v>2680</v>
      </c>
      <c r="AD42" s="106" t="s">
        <v>1994</v>
      </c>
      <c r="AE42" s="61"/>
    </row>
    <row r="43" spans="1:31" ht="87" hidden="1" x14ac:dyDescent="0.35">
      <c r="A43" s="61" t="s">
        <v>2554</v>
      </c>
      <c r="B43" s="61" t="s">
        <v>2555</v>
      </c>
      <c r="C43" s="65"/>
      <c r="D43" s="61"/>
      <c r="E43" s="61" t="s">
        <v>2560</v>
      </c>
      <c r="F43" s="70" t="s">
        <v>53</v>
      </c>
      <c r="G43" s="70" t="s">
        <v>2121</v>
      </c>
      <c r="H43" s="67">
        <v>46178.890717592592</v>
      </c>
      <c r="I43" s="75">
        <v>0.80750787036959082</v>
      </c>
      <c r="J43" s="61"/>
      <c r="K43" s="61"/>
      <c r="L43" s="61"/>
      <c r="M43" s="61" t="s">
        <v>41</v>
      </c>
      <c r="N43" s="61" t="s">
        <v>42</v>
      </c>
      <c r="O43" s="61"/>
      <c r="P43" s="61"/>
      <c r="Q43" s="61"/>
      <c r="R43" s="61" t="s">
        <v>2654</v>
      </c>
      <c r="S43" s="61" t="s">
        <v>71</v>
      </c>
      <c r="T43" s="61" t="s">
        <v>1902</v>
      </c>
      <c r="U43" s="61" t="s">
        <v>1896</v>
      </c>
      <c r="V43" s="101" t="str">
        <f>VLOOKUP(B43,[2]Overall!$A:$D,4,0)</f>
        <v xml:space="preserve">I-ENG </v>
      </c>
      <c r="W43" s="101" t="str">
        <f>VLOOKUP(B43,[3]Sheet1!$A:$B,2,0)</f>
        <v>Bangambi</v>
      </c>
      <c r="X43" s="88" t="str">
        <f t="shared" si="3"/>
        <v>OST</v>
      </c>
      <c r="Y43" s="88" t="str">
        <f t="shared" si="4"/>
        <v>16H&lt;T&lt;24H</v>
      </c>
      <c r="Z43" s="101">
        <f t="shared" si="5"/>
        <v>1</v>
      </c>
      <c r="AA43" s="84" t="s">
        <v>1566</v>
      </c>
      <c r="AB43" s="84" t="s">
        <v>1554</v>
      </c>
      <c r="AC43" s="105" t="s">
        <v>2680</v>
      </c>
      <c r="AD43" s="106" t="s">
        <v>1994</v>
      </c>
      <c r="AE43" s="61"/>
    </row>
    <row r="44" spans="1:31" ht="87" hidden="1" x14ac:dyDescent="0.35">
      <c r="A44" s="61" t="s">
        <v>2554</v>
      </c>
      <c r="B44" s="61" t="s">
        <v>2555</v>
      </c>
      <c r="C44" s="65"/>
      <c r="D44" s="61"/>
      <c r="E44" s="61" t="s">
        <v>2562</v>
      </c>
      <c r="F44" s="70" t="s">
        <v>53</v>
      </c>
      <c r="G44" s="70" t="s">
        <v>2121</v>
      </c>
      <c r="H44" s="67">
        <v>46178.890717592592</v>
      </c>
      <c r="I44" s="75">
        <v>0.80750787036959082</v>
      </c>
      <c r="J44" s="61"/>
      <c r="K44" s="61"/>
      <c r="L44" s="61"/>
      <c r="M44" s="61" t="s">
        <v>41</v>
      </c>
      <c r="N44" s="61" t="s">
        <v>42</v>
      </c>
      <c r="O44" s="61"/>
      <c r="P44" s="61"/>
      <c r="Q44" s="61"/>
      <c r="R44" s="61" t="s">
        <v>2654</v>
      </c>
      <c r="S44" s="61" t="s">
        <v>71</v>
      </c>
      <c r="T44" s="61" t="s">
        <v>1902</v>
      </c>
      <c r="U44" s="61" t="s">
        <v>1896</v>
      </c>
      <c r="V44" s="101" t="str">
        <f>VLOOKUP(B44,[2]Overall!$A:$D,4,0)</f>
        <v xml:space="preserve">I-ENG </v>
      </c>
      <c r="W44" s="101" t="str">
        <f>VLOOKUP(B44,[3]Sheet1!$A:$B,2,0)</f>
        <v>Bangambi</v>
      </c>
      <c r="X44" s="88" t="str">
        <f t="shared" si="3"/>
        <v>OST</v>
      </c>
      <c r="Y44" s="88" t="str">
        <f t="shared" si="4"/>
        <v>16H&lt;T&lt;24H</v>
      </c>
      <c r="Z44" s="101">
        <f t="shared" si="5"/>
        <v>1</v>
      </c>
      <c r="AA44" s="84" t="s">
        <v>1566</v>
      </c>
      <c r="AB44" s="84" t="s">
        <v>1554</v>
      </c>
      <c r="AC44" s="105" t="s">
        <v>2680</v>
      </c>
      <c r="AD44" s="106" t="s">
        <v>1994</v>
      </c>
      <c r="AE44" s="61"/>
    </row>
    <row r="45" spans="1:31" ht="87" hidden="1" x14ac:dyDescent="0.35">
      <c r="A45" s="61" t="s">
        <v>2554</v>
      </c>
      <c r="B45" s="61" t="s">
        <v>2555</v>
      </c>
      <c r="C45" s="65"/>
      <c r="D45" s="61"/>
      <c r="E45" s="61" t="s">
        <v>2556</v>
      </c>
      <c r="F45" s="70" t="s">
        <v>53</v>
      </c>
      <c r="G45" s="70" t="s">
        <v>2121</v>
      </c>
      <c r="H45" s="67">
        <v>46178.890706018516</v>
      </c>
      <c r="I45" s="75">
        <v>0.80751944444637047</v>
      </c>
      <c r="J45" s="61"/>
      <c r="K45" s="61"/>
      <c r="L45" s="61"/>
      <c r="M45" s="61" t="s">
        <v>41</v>
      </c>
      <c r="N45" s="61" t="s">
        <v>42</v>
      </c>
      <c r="O45" s="61"/>
      <c r="P45" s="61"/>
      <c r="Q45" s="61"/>
      <c r="R45" s="61" t="s">
        <v>2654</v>
      </c>
      <c r="S45" s="61" t="s">
        <v>71</v>
      </c>
      <c r="T45" s="61" t="s">
        <v>1902</v>
      </c>
      <c r="U45" s="61" t="s">
        <v>1896</v>
      </c>
      <c r="V45" s="101" t="str">
        <f>VLOOKUP(B45,[2]Overall!$A:$D,4,0)</f>
        <v xml:space="preserve">I-ENG </v>
      </c>
      <c r="W45" s="101" t="str">
        <f>VLOOKUP(B45,[3]Sheet1!$A:$B,2,0)</f>
        <v>Bangambi</v>
      </c>
      <c r="X45" s="88" t="str">
        <f t="shared" si="3"/>
        <v>OST</v>
      </c>
      <c r="Y45" s="88" t="str">
        <f t="shared" si="4"/>
        <v>16H&lt;T&lt;24H</v>
      </c>
      <c r="Z45" s="101">
        <f t="shared" si="5"/>
        <v>1</v>
      </c>
      <c r="AA45" s="84" t="s">
        <v>1566</v>
      </c>
      <c r="AB45" s="84" t="s">
        <v>1554</v>
      </c>
      <c r="AC45" s="105" t="s">
        <v>2680</v>
      </c>
      <c r="AD45" s="106" t="s">
        <v>1994</v>
      </c>
      <c r="AE45" s="61"/>
    </row>
    <row r="46" spans="1:31" ht="87" hidden="1" x14ac:dyDescent="0.35">
      <c r="A46" s="61" t="s">
        <v>2554</v>
      </c>
      <c r="B46" s="61" t="s">
        <v>2555</v>
      </c>
      <c r="C46" s="65"/>
      <c r="D46" s="61"/>
      <c r="E46" s="61" t="s">
        <v>2561</v>
      </c>
      <c r="F46" s="70" t="s">
        <v>53</v>
      </c>
      <c r="G46" s="70" t="s">
        <v>2121</v>
      </c>
      <c r="H46" s="67">
        <v>46178.890717592592</v>
      </c>
      <c r="I46" s="75">
        <v>0.80750787036959082</v>
      </c>
      <c r="J46" s="61"/>
      <c r="K46" s="61"/>
      <c r="L46" s="61"/>
      <c r="M46" s="61" t="s">
        <v>41</v>
      </c>
      <c r="N46" s="61" t="s">
        <v>42</v>
      </c>
      <c r="O46" s="61"/>
      <c r="P46" s="61"/>
      <c r="Q46" s="61"/>
      <c r="R46" s="61" t="s">
        <v>2654</v>
      </c>
      <c r="S46" s="61" t="s">
        <v>71</v>
      </c>
      <c r="T46" s="61" t="s">
        <v>1902</v>
      </c>
      <c r="U46" s="61" t="s">
        <v>1896</v>
      </c>
      <c r="V46" s="101" t="str">
        <f>VLOOKUP(B46,[2]Overall!$A:$D,4,0)</f>
        <v xml:space="preserve">I-ENG </v>
      </c>
      <c r="W46" s="101" t="str">
        <f>VLOOKUP(B46,[3]Sheet1!$A:$B,2,0)</f>
        <v>Bangambi</v>
      </c>
      <c r="X46" s="88" t="str">
        <f t="shared" si="3"/>
        <v>OST</v>
      </c>
      <c r="Y46" s="88" t="str">
        <f t="shared" si="4"/>
        <v>16H&lt;T&lt;24H</v>
      </c>
      <c r="Z46" s="101">
        <f t="shared" si="5"/>
        <v>1</v>
      </c>
      <c r="AA46" s="84" t="s">
        <v>1566</v>
      </c>
      <c r="AB46" s="84" t="s">
        <v>1554</v>
      </c>
      <c r="AC46" s="105" t="s">
        <v>2680</v>
      </c>
      <c r="AD46" s="106" t="s">
        <v>1994</v>
      </c>
      <c r="AE46" s="61"/>
    </row>
    <row r="47" spans="1:31" ht="87" hidden="1" x14ac:dyDescent="0.35">
      <c r="A47" s="61" t="s">
        <v>2554</v>
      </c>
      <c r="B47" s="61" t="s">
        <v>2555</v>
      </c>
      <c r="C47" s="65"/>
      <c r="D47" s="61"/>
      <c r="E47" s="61" t="s">
        <v>2563</v>
      </c>
      <c r="F47" s="70" t="s">
        <v>53</v>
      </c>
      <c r="G47" s="70" t="s">
        <v>2121</v>
      </c>
      <c r="H47" s="67">
        <v>46178.890717592592</v>
      </c>
      <c r="I47" s="75">
        <v>0.80750787036959082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2654</v>
      </c>
      <c r="S47" s="61" t="s">
        <v>71</v>
      </c>
      <c r="T47" s="61" t="s">
        <v>1902</v>
      </c>
      <c r="U47" s="61" t="s">
        <v>1896</v>
      </c>
      <c r="V47" s="101" t="str">
        <f>VLOOKUP(B47,[2]Overall!$A:$D,4,0)</f>
        <v xml:space="preserve">I-ENG </v>
      </c>
      <c r="W47" s="101" t="str">
        <f>VLOOKUP(B47,[3]Sheet1!$A:$B,2,0)</f>
        <v>Bangambi</v>
      </c>
      <c r="X47" s="88" t="str">
        <f t="shared" si="3"/>
        <v>OST</v>
      </c>
      <c r="Y47" s="88" t="str">
        <f t="shared" si="4"/>
        <v>16H&lt;T&lt;24H</v>
      </c>
      <c r="Z47" s="101">
        <f t="shared" si="5"/>
        <v>1</v>
      </c>
      <c r="AA47" s="84" t="s">
        <v>1566</v>
      </c>
      <c r="AB47" s="84" t="s">
        <v>1554</v>
      </c>
      <c r="AC47" s="105" t="s">
        <v>2680</v>
      </c>
      <c r="AD47" s="106" t="s">
        <v>1994</v>
      </c>
      <c r="AE47" s="61"/>
    </row>
    <row r="48" spans="1:31" ht="87" hidden="1" x14ac:dyDescent="0.35">
      <c r="A48" s="61" t="s">
        <v>2554</v>
      </c>
      <c r="B48" s="61" t="s">
        <v>2555</v>
      </c>
      <c r="C48" s="65"/>
      <c r="D48" s="61"/>
      <c r="E48" s="61" t="s">
        <v>2559</v>
      </c>
      <c r="F48" s="70" t="s">
        <v>53</v>
      </c>
      <c r="G48" s="70" t="s">
        <v>2121</v>
      </c>
      <c r="H48" s="67">
        <v>46178.890717592592</v>
      </c>
      <c r="I48" s="75">
        <v>0.80750787036959082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2654</v>
      </c>
      <c r="S48" s="61" t="s">
        <v>71</v>
      </c>
      <c r="T48" s="61" t="s">
        <v>1902</v>
      </c>
      <c r="U48" s="61" t="s">
        <v>1896</v>
      </c>
      <c r="V48" s="101" t="str">
        <f>VLOOKUP(B48,[2]Overall!$A:$D,4,0)</f>
        <v xml:space="preserve">I-ENG </v>
      </c>
      <c r="W48" s="101" t="str">
        <f>VLOOKUP(B48,[3]Sheet1!$A:$B,2,0)</f>
        <v>Bangambi</v>
      </c>
      <c r="X48" s="88" t="str">
        <f t="shared" si="3"/>
        <v>OST</v>
      </c>
      <c r="Y48" s="88" t="str">
        <f t="shared" si="4"/>
        <v>16H&lt;T&lt;24H</v>
      </c>
      <c r="Z48" s="101">
        <f t="shared" si="5"/>
        <v>1</v>
      </c>
      <c r="AA48" s="84" t="s">
        <v>1566</v>
      </c>
      <c r="AB48" s="84" t="s">
        <v>1554</v>
      </c>
      <c r="AC48" s="105" t="s">
        <v>2680</v>
      </c>
      <c r="AD48" s="106" t="s">
        <v>1994</v>
      </c>
      <c r="AE48" s="61"/>
    </row>
    <row r="49" spans="1:31" ht="87" hidden="1" x14ac:dyDescent="0.35">
      <c r="A49" s="61" t="s">
        <v>2554</v>
      </c>
      <c r="B49" s="61" t="s">
        <v>2555</v>
      </c>
      <c r="C49" s="65"/>
      <c r="D49" s="61"/>
      <c r="E49" s="61" t="s">
        <v>2557</v>
      </c>
      <c r="F49" s="70" t="s">
        <v>53</v>
      </c>
      <c r="G49" s="70" t="s">
        <v>2121</v>
      </c>
      <c r="H49" s="67">
        <v>46178.890717592592</v>
      </c>
      <c r="I49" s="75">
        <v>0.80750787036959082</v>
      </c>
      <c r="J49" s="61"/>
      <c r="K49" s="61"/>
      <c r="L49" s="61"/>
      <c r="M49" s="61" t="s">
        <v>41</v>
      </c>
      <c r="N49" s="61" t="s">
        <v>42</v>
      </c>
      <c r="O49" s="61"/>
      <c r="P49" s="61"/>
      <c r="Q49" s="61"/>
      <c r="R49" s="61" t="s">
        <v>2654</v>
      </c>
      <c r="S49" s="61" t="s">
        <v>71</v>
      </c>
      <c r="T49" s="61" t="s">
        <v>1902</v>
      </c>
      <c r="U49" s="61" t="s">
        <v>1896</v>
      </c>
      <c r="V49" s="101" t="str">
        <f>VLOOKUP(B49,[2]Overall!$A:$D,4,0)</f>
        <v xml:space="preserve">I-ENG </v>
      </c>
      <c r="W49" s="101" t="str">
        <f>VLOOKUP(B49,[3]Sheet1!$A:$B,2,0)</f>
        <v>Bangambi</v>
      </c>
      <c r="X49" s="88" t="str">
        <f t="shared" si="3"/>
        <v>OST</v>
      </c>
      <c r="Y49" s="88" t="str">
        <f t="shared" si="4"/>
        <v>16H&lt;T&lt;24H</v>
      </c>
      <c r="Z49" s="101">
        <f t="shared" si="5"/>
        <v>1</v>
      </c>
      <c r="AA49" s="84" t="s">
        <v>1566</v>
      </c>
      <c r="AB49" s="84" t="s">
        <v>1554</v>
      </c>
      <c r="AC49" s="105" t="s">
        <v>2680</v>
      </c>
      <c r="AD49" s="106" t="s">
        <v>1994</v>
      </c>
      <c r="AE49" s="61"/>
    </row>
    <row r="50" spans="1:31" ht="116" hidden="1" x14ac:dyDescent="0.35">
      <c r="A50" s="61" t="s">
        <v>2576</v>
      </c>
      <c r="B50" s="61" t="s">
        <v>2577</v>
      </c>
      <c r="C50" s="65"/>
      <c r="D50" s="61"/>
      <c r="E50" s="61" t="s">
        <v>1641</v>
      </c>
      <c r="F50" s="70" t="s">
        <v>53</v>
      </c>
      <c r="G50" s="70" t="s">
        <v>2121</v>
      </c>
      <c r="H50" s="67">
        <v>46179.268483796295</v>
      </c>
      <c r="I50" s="75">
        <v>0.42974166666681413</v>
      </c>
      <c r="J50" s="61"/>
      <c r="K50" s="61"/>
      <c r="L50" s="61"/>
      <c r="M50" s="61" t="s">
        <v>41</v>
      </c>
      <c r="N50" s="61" t="s">
        <v>2349</v>
      </c>
      <c r="O50" s="61"/>
      <c r="P50" s="61"/>
      <c r="Q50" s="61"/>
      <c r="R50" s="61" t="s">
        <v>2634</v>
      </c>
      <c r="S50" s="61" t="s">
        <v>40</v>
      </c>
      <c r="T50" s="61" t="s">
        <v>1840</v>
      </c>
      <c r="U50" s="61" t="s">
        <v>1840</v>
      </c>
      <c r="V50" s="101" t="str">
        <f>VLOOKUP(B50,[2]Overall!$A:$D,4,0)</f>
        <v>TELEINFRA NORD</v>
      </c>
      <c r="W50" s="101" t="str">
        <f>VLOOKUP(B50,[3]Sheet1!$A:$B,2,0)</f>
        <v>Tchevi</v>
      </c>
      <c r="X50" s="88" t="str">
        <f t="shared" si="3"/>
        <v>EXN</v>
      </c>
      <c r="Y50" s="88" t="str">
        <f t="shared" si="4"/>
        <v>8H&lt;T&lt;16H</v>
      </c>
      <c r="Z50" s="101">
        <f t="shared" si="5"/>
        <v>1</v>
      </c>
      <c r="AA50" s="84" t="s">
        <v>1566</v>
      </c>
      <c r="AB50" s="84" t="s">
        <v>1554</v>
      </c>
      <c r="AC50" s="105" t="s">
        <v>2680</v>
      </c>
      <c r="AD50" s="106" t="s">
        <v>1994</v>
      </c>
      <c r="AE50" s="61"/>
    </row>
    <row r="51" spans="1:31" ht="116" hidden="1" x14ac:dyDescent="0.35">
      <c r="A51" s="61" t="s">
        <v>2576</v>
      </c>
      <c r="B51" s="61" t="s">
        <v>2577</v>
      </c>
      <c r="C51" s="65"/>
      <c r="D51" s="61"/>
      <c r="E51" s="61" t="s">
        <v>1636</v>
      </c>
      <c r="F51" s="70" t="s">
        <v>53</v>
      </c>
      <c r="G51" s="70" t="s">
        <v>2121</v>
      </c>
      <c r="H51" s="67">
        <v>46179.268483796295</v>
      </c>
      <c r="I51" s="75">
        <v>0.42974166666681413</v>
      </c>
      <c r="J51" s="61"/>
      <c r="K51" s="61"/>
      <c r="L51" s="61"/>
      <c r="M51" s="61" t="s">
        <v>41</v>
      </c>
      <c r="N51" s="61" t="s">
        <v>2348</v>
      </c>
      <c r="O51" s="61"/>
      <c r="P51" s="61"/>
      <c r="Q51" s="61"/>
      <c r="R51" s="61" t="s">
        <v>2634</v>
      </c>
      <c r="S51" s="61" t="s">
        <v>40</v>
      </c>
      <c r="T51" s="61" t="s">
        <v>1840</v>
      </c>
      <c r="U51" s="61" t="s">
        <v>1840</v>
      </c>
      <c r="V51" s="101" t="str">
        <f>VLOOKUP(B51,[2]Overall!$A:$D,4,0)</f>
        <v>TELEINFRA NORD</v>
      </c>
      <c r="W51" s="101" t="str">
        <f>VLOOKUP(B51,[3]Sheet1!$A:$B,2,0)</f>
        <v>Tchevi</v>
      </c>
      <c r="X51" s="88" t="str">
        <f t="shared" si="3"/>
        <v>EXN</v>
      </c>
      <c r="Y51" s="88" t="str">
        <f t="shared" si="4"/>
        <v>8H&lt;T&lt;16H</v>
      </c>
      <c r="Z51" s="101">
        <f t="shared" si="5"/>
        <v>1</v>
      </c>
      <c r="AA51" s="84" t="s">
        <v>1566</v>
      </c>
      <c r="AB51" s="84" t="s">
        <v>1554</v>
      </c>
      <c r="AC51" s="105" t="s">
        <v>2680</v>
      </c>
      <c r="AD51" s="106" t="s">
        <v>1994</v>
      </c>
      <c r="AE51" s="61"/>
    </row>
    <row r="52" spans="1:31" ht="116" hidden="1" x14ac:dyDescent="0.35">
      <c r="A52" s="61" t="s">
        <v>2576</v>
      </c>
      <c r="B52" s="61" t="s">
        <v>2577</v>
      </c>
      <c r="C52" s="65"/>
      <c r="D52" s="61"/>
      <c r="E52" s="61" t="s">
        <v>49</v>
      </c>
      <c r="F52" s="70" t="s">
        <v>53</v>
      </c>
      <c r="G52" s="70" t="s">
        <v>2121</v>
      </c>
      <c r="H52" s="67">
        <v>46179.268483796295</v>
      </c>
      <c r="I52" s="75">
        <v>0.42974166666681413</v>
      </c>
      <c r="J52" s="61"/>
      <c r="K52" s="61"/>
      <c r="L52" s="61"/>
      <c r="M52" s="61" t="s">
        <v>41</v>
      </c>
      <c r="N52" s="61" t="s">
        <v>2347</v>
      </c>
      <c r="O52" s="61"/>
      <c r="P52" s="61"/>
      <c r="Q52" s="61"/>
      <c r="R52" s="61" t="s">
        <v>2634</v>
      </c>
      <c r="S52" s="61" t="s">
        <v>40</v>
      </c>
      <c r="T52" s="61" t="s">
        <v>1840</v>
      </c>
      <c r="U52" s="61" t="s">
        <v>1840</v>
      </c>
      <c r="V52" s="101" t="str">
        <f>VLOOKUP(B52,[2]Overall!$A:$D,4,0)</f>
        <v>TELEINFRA NORD</v>
      </c>
      <c r="W52" s="101" t="str">
        <f>VLOOKUP(B52,[3]Sheet1!$A:$B,2,0)</f>
        <v>Tchevi</v>
      </c>
      <c r="X52" s="88" t="str">
        <f t="shared" si="3"/>
        <v>EXN</v>
      </c>
      <c r="Y52" s="88" t="str">
        <f t="shared" si="4"/>
        <v>8H&lt;T&lt;16H</v>
      </c>
      <c r="Z52" s="101">
        <f t="shared" si="5"/>
        <v>1</v>
      </c>
      <c r="AA52" s="84" t="s">
        <v>1566</v>
      </c>
      <c r="AB52" s="84" t="s">
        <v>1554</v>
      </c>
      <c r="AC52" s="105" t="s">
        <v>2680</v>
      </c>
      <c r="AD52" s="106" t="s">
        <v>1994</v>
      </c>
      <c r="AE52" s="61"/>
    </row>
    <row r="53" spans="1:31" ht="261" hidden="1" x14ac:dyDescent="0.35">
      <c r="A53" s="61" t="s">
        <v>1779</v>
      </c>
      <c r="B53" s="61" t="s">
        <v>1780</v>
      </c>
      <c r="C53" s="65"/>
      <c r="D53" s="61"/>
      <c r="E53" s="61" t="s">
        <v>37</v>
      </c>
      <c r="F53" s="70" t="s">
        <v>53</v>
      </c>
      <c r="G53" s="70" t="s">
        <v>2121</v>
      </c>
      <c r="H53" s="67">
        <v>46179.27957175926</v>
      </c>
      <c r="I53" s="75">
        <v>0.41865370370214805</v>
      </c>
      <c r="J53" s="61"/>
      <c r="K53" s="61"/>
      <c r="L53" s="61"/>
      <c r="M53" s="61" t="s">
        <v>41</v>
      </c>
      <c r="N53" s="61" t="s">
        <v>1781</v>
      </c>
      <c r="O53" s="61"/>
      <c r="P53" s="61"/>
      <c r="Q53" s="61"/>
      <c r="R53" s="61" t="s">
        <v>2379</v>
      </c>
      <c r="S53" s="61" t="s">
        <v>75</v>
      </c>
      <c r="T53" s="61" t="s">
        <v>1840</v>
      </c>
      <c r="U53" s="61" t="s">
        <v>1840</v>
      </c>
      <c r="V53" s="101" t="str">
        <f>VLOOKUP(B53,[2]Overall!$A:$D,4,0)</f>
        <v>TELEINFRA NORD</v>
      </c>
      <c r="W53" s="101" t="str">
        <f>VLOOKUP(B53,[3]Sheet1!$A:$B,2,0)</f>
        <v>Badjonre</v>
      </c>
      <c r="X53" s="88" t="str">
        <f t="shared" si="3"/>
        <v>EXN</v>
      </c>
      <c r="Y53" s="88" t="str">
        <f t="shared" si="4"/>
        <v>8H&lt;T&lt;16H</v>
      </c>
      <c r="Z53" s="101">
        <f t="shared" si="5"/>
        <v>1</v>
      </c>
      <c r="AA53" s="84" t="s">
        <v>1566</v>
      </c>
      <c r="AB53" s="84" t="s">
        <v>1554</v>
      </c>
      <c r="AC53" s="105" t="s">
        <v>2680</v>
      </c>
      <c r="AD53" s="106" t="s">
        <v>1994</v>
      </c>
      <c r="AE53" s="61"/>
    </row>
    <row r="54" spans="1:31" ht="130.5" hidden="1" x14ac:dyDescent="0.35">
      <c r="A54" s="61" t="s">
        <v>2436</v>
      </c>
      <c r="B54" s="61" t="s">
        <v>2437</v>
      </c>
      <c r="C54" s="65"/>
      <c r="D54" s="61"/>
      <c r="E54" s="61" t="s">
        <v>34</v>
      </c>
      <c r="F54" s="70" t="s">
        <v>53</v>
      </c>
      <c r="G54" s="70" t="s">
        <v>2121</v>
      </c>
      <c r="H54" s="67">
        <v>46179.286550925928</v>
      </c>
      <c r="I54" s="75">
        <v>0.41167453703383217</v>
      </c>
      <c r="J54" s="61"/>
      <c r="K54" s="61"/>
      <c r="L54" s="61"/>
      <c r="M54" s="61" t="s">
        <v>31</v>
      </c>
      <c r="N54" s="61" t="s">
        <v>2438</v>
      </c>
      <c r="O54" s="61"/>
      <c r="P54" s="61"/>
      <c r="Q54" s="61"/>
      <c r="R54" s="61" t="s">
        <v>2653</v>
      </c>
      <c r="S54" s="61" t="s">
        <v>45</v>
      </c>
      <c r="T54" s="61" t="s">
        <v>1898</v>
      </c>
      <c r="U54" s="61" t="s">
        <v>1898</v>
      </c>
      <c r="V54" s="101" t="str">
        <f>VLOOKUP(B54,[2]Overall!$A:$D,4,0)</f>
        <v>TELEINFRA CENTRE</v>
      </c>
      <c r="W54" s="101" t="str">
        <f>VLOOKUP(B54,[3]Sheet1!$A:$B,2,0)</f>
        <v>Ngola</v>
      </c>
      <c r="X54" s="88" t="str">
        <f t="shared" si="3"/>
        <v>EST</v>
      </c>
      <c r="Y54" s="88" t="str">
        <f t="shared" si="4"/>
        <v>8H&lt;T&lt;16H</v>
      </c>
      <c r="Z54" s="101">
        <f t="shared" si="5"/>
        <v>1</v>
      </c>
      <c r="AA54" s="84" t="s">
        <v>1566</v>
      </c>
      <c r="AB54" s="84" t="s">
        <v>1554</v>
      </c>
      <c r="AC54" s="105" t="s">
        <v>2680</v>
      </c>
      <c r="AD54" s="106" t="s">
        <v>1994</v>
      </c>
      <c r="AE54" s="61"/>
    </row>
    <row r="55" spans="1:31" ht="145" hidden="1" x14ac:dyDescent="0.35">
      <c r="A55" s="61" t="s">
        <v>2218</v>
      </c>
      <c r="B55" s="61" t="s">
        <v>2219</v>
      </c>
      <c r="C55" s="65"/>
      <c r="D55" s="61"/>
      <c r="E55" s="61" t="s">
        <v>2223</v>
      </c>
      <c r="F55" s="70" t="s">
        <v>53</v>
      </c>
      <c r="G55" s="70" t="s">
        <v>2121</v>
      </c>
      <c r="H55" s="67">
        <v>46179.321331018517</v>
      </c>
      <c r="I55" s="75">
        <v>0.37689444444549736</v>
      </c>
      <c r="J55" s="61"/>
      <c r="K55" s="61"/>
      <c r="L55" s="61"/>
      <c r="M55" s="61" t="s">
        <v>1730</v>
      </c>
      <c r="N55" s="61" t="s">
        <v>2224</v>
      </c>
      <c r="O55" s="61"/>
      <c r="P55" s="61"/>
      <c r="Q55" s="61"/>
      <c r="R55" s="61" t="s">
        <v>2650</v>
      </c>
      <c r="S55" s="61" t="s">
        <v>45</v>
      </c>
      <c r="T55" s="61" t="s">
        <v>1898</v>
      </c>
      <c r="U55" s="61" t="s">
        <v>1898</v>
      </c>
      <c r="V55" s="101" t="str">
        <f>VLOOKUP(B55,[2]Overall!$A:$D,4,0)</f>
        <v>TELEINFRA CENTRE</v>
      </c>
      <c r="W55" s="101" t="str">
        <f>VLOOKUP(B55,[3]Sheet1!$A:$B,2,0)</f>
        <v>Evodoula</v>
      </c>
      <c r="X55" s="88" t="str">
        <f t="shared" si="3"/>
        <v>CTR</v>
      </c>
      <c r="Y55" s="88" t="str">
        <f t="shared" si="4"/>
        <v>8H&lt;T&lt;16H</v>
      </c>
      <c r="Z55" s="101">
        <f t="shared" si="5"/>
        <v>2</v>
      </c>
      <c r="AA55" s="84" t="s">
        <v>1566</v>
      </c>
      <c r="AB55" s="84" t="s">
        <v>1554</v>
      </c>
      <c r="AC55" s="105" t="s">
        <v>2680</v>
      </c>
      <c r="AD55" s="106" t="s">
        <v>1994</v>
      </c>
      <c r="AE55" s="61"/>
    </row>
    <row r="56" spans="1:31" ht="72.5" hidden="1" x14ac:dyDescent="0.35">
      <c r="A56" s="61" t="s">
        <v>2637</v>
      </c>
      <c r="B56" s="61" t="s">
        <v>2638</v>
      </c>
      <c r="C56" s="65"/>
      <c r="D56" s="61"/>
      <c r="E56" s="61" t="s">
        <v>47</v>
      </c>
      <c r="F56" s="70" t="s">
        <v>53</v>
      </c>
      <c r="G56" s="70" t="s">
        <v>2121</v>
      </c>
      <c r="H56" s="67">
        <v>46179.473391203705</v>
      </c>
      <c r="I56" s="75">
        <v>0.22483425925747724</v>
      </c>
      <c r="J56" s="61"/>
      <c r="K56" s="61"/>
      <c r="L56" s="61"/>
      <c r="M56" s="61" t="s">
        <v>31</v>
      </c>
      <c r="N56" s="61" t="s">
        <v>2639</v>
      </c>
      <c r="O56" s="61"/>
      <c r="P56" s="61"/>
      <c r="Q56" s="61"/>
      <c r="R56" s="61" t="s">
        <v>2651</v>
      </c>
      <c r="S56" s="61" t="s">
        <v>32</v>
      </c>
      <c r="T56" s="61" t="s">
        <v>1898</v>
      </c>
      <c r="U56" s="61" t="s">
        <v>1898</v>
      </c>
      <c r="V56" s="101" t="str">
        <f>VLOOKUP(B56,[2]Overall!$A:$D,4,0)</f>
        <v xml:space="preserve">I-ENG </v>
      </c>
      <c r="W56" s="101" t="str">
        <f>VLOOKUP(B56,[3]Sheet1!$A:$B,2,0)</f>
        <v>Nkambe</v>
      </c>
      <c r="X56" s="88" t="str">
        <f t="shared" si="3"/>
        <v>NRO</v>
      </c>
      <c r="Y56" s="88" t="str">
        <f t="shared" si="4"/>
        <v>4H&lt;T&lt;8H</v>
      </c>
      <c r="Z56" s="101">
        <f t="shared" si="5"/>
        <v>3</v>
      </c>
      <c r="AA56" s="84" t="s">
        <v>1566</v>
      </c>
      <c r="AB56" s="84" t="s">
        <v>1554</v>
      </c>
      <c r="AC56" s="105" t="s">
        <v>2680</v>
      </c>
      <c r="AD56" s="106" t="s">
        <v>1994</v>
      </c>
      <c r="AE56" s="61"/>
    </row>
    <row r="57" spans="1:31" ht="72.5" hidden="1" x14ac:dyDescent="0.35">
      <c r="A57" s="61" t="s">
        <v>2604</v>
      </c>
      <c r="B57" s="61" t="s">
        <v>2605</v>
      </c>
      <c r="C57" s="65"/>
      <c r="D57" s="61"/>
      <c r="E57" s="61" t="s">
        <v>2640</v>
      </c>
      <c r="F57" s="70" t="s">
        <v>53</v>
      </c>
      <c r="G57" s="70" t="s">
        <v>2121</v>
      </c>
      <c r="H57" s="67">
        <v>46179.521782407406</v>
      </c>
      <c r="I57" s="75">
        <v>0.1764430555558647</v>
      </c>
      <c r="J57" s="61"/>
      <c r="K57" s="61"/>
      <c r="L57" s="61"/>
      <c r="M57" s="61" t="s">
        <v>1627</v>
      </c>
      <c r="N57" s="61" t="s">
        <v>2641</v>
      </c>
      <c r="O57" s="61"/>
      <c r="P57" s="61"/>
      <c r="Q57" s="61"/>
      <c r="R57" s="61" t="s">
        <v>2658</v>
      </c>
      <c r="S57" s="61" t="s">
        <v>40</v>
      </c>
      <c r="T57" s="61" t="s">
        <v>1898</v>
      </c>
      <c r="U57" s="61" t="s">
        <v>1898</v>
      </c>
      <c r="V57" s="101" t="str">
        <f>VLOOKUP(B57,[2]Overall!$A:$D,4,0)</f>
        <v>TELEINFRA NORD</v>
      </c>
      <c r="W57" s="101" t="str">
        <f>VLOOKUP(B57,[3]Sheet1!$A:$B,2,0)</f>
        <v>Nganha</v>
      </c>
      <c r="X57" s="88" t="str">
        <f t="shared" si="3"/>
        <v>ADM</v>
      </c>
      <c r="Y57" s="88" t="str">
        <f t="shared" si="4"/>
        <v>4H&lt;T&lt;8H</v>
      </c>
      <c r="Z57" s="101">
        <f t="shared" si="5"/>
        <v>1</v>
      </c>
      <c r="AA57" s="84" t="s">
        <v>1566</v>
      </c>
      <c r="AB57" s="84" t="s">
        <v>1554</v>
      </c>
      <c r="AC57" s="105" t="s">
        <v>2680</v>
      </c>
      <c r="AD57" s="106" t="s">
        <v>1994</v>
      </c>
      <c r="AE57" s="61"/>
    </row>
    <row r="58" spans="1:31" ht="72.5" x14ac:dyDescent="0.35">
      <c r="A58" s="63" t="s">
        <v>2644</v>
      </c>
      <c r="B58" s="63" t="s">
        <v>2645</v>
      </c>
      <c r="C58" s="68"/>
      <c r="D58" s="63"/>
      <c r="E58" s="63" t="s">
        <v>2646</v>
      </c>
      <c r="F58" s="71" t="s">
        <v>53</v>
      </c>
      <c r="G58" s="71" t="s">
        <v>2121</v>
      </c>
      <c r="H58" s="69">
        <v>46179.531886574077</v>
      </c>
      <c r="I58" s="77">
        <v>0.16633888888463844</v>
      </c>
      <c r="J58" s="63"/>
      <c r="K58" s="63"/>
      <c r="L58" s="63"/>
      <c r="M58" s="63" t="s">
        <v>38</v>
      </c>
      <c r="N58" s="63" t="s">
        <v>2647</v>
      </c>
      <c r="O58" s="63"/>
      <c r="P58" s="85" t="s">
        <v>1906</v>
      </c>
      <c r="Q58" s="63"/>
      <c r="R58" s="63" t="s">
        <v>2618</v>
      </c>
      <c r="S58" s="63" t="s">
        <v>51</v>
      </c>
      <c r="T58" s="63" t="s">
        <v>1898</v>
      </c>
      <c r="U58" s="63" t="s">
        <v>1898</v>
      </c>
      <c r="V58" s="107" t="str">
        <f>VLOOKUP(B58,[2]Overall!$A:$D,4,0)</f>
        <v>H-TELI</v>
      </c>
      <c r="W58" s="107" t="str">
        <f>VLOOKUP(B58,[3]Sheet1!$A:$B,2,0)</f>
        <v>Sodibanga</v>
      </c>
      <c r="X58" s="89" t="str">
        <f t="shared" si="3"/>
        <v>LIT</v>
      </c>
      <c r="Y58" s="89" t="str">
        <f t="shared" si="4"/>
        <v>2H&lt;T&lt;4H</v>
      </c>
      <c r="Z58" s="107">
        <f t="shared" si="5"/>
        <v>2</v>
      </c>
      <c r="AA58" s="85" t="s">
        <v>77</v>
      </c>
      <c r="AB58" s="85" t="s">
        <v>1554</v>
      </c>
      <c r="AC58" s="108" t="s">
        <v>2680</v>
      </c>
      <c r="AD58" s="109" t="s">
        <v>1994</v>
      </c>
      <c r="AE58" s="63"/>
    </row>
    <row r="59" spans="1:31" ht="72.5" hidden="1" x14ac:dyDescent="0.35">
      <c r="A59" s="61" t="s">
        <v>2604</v>
      </c>
      <c r="B59" s="61" t="s">
        <v>2605</v>
      </c>
      <c r="C59" s="65"/>
      <c r="D59" s="61"/>
      <c r="E59" s="61" t="s">
        <v>2606</v>
      </c>
      <c r="F59" s="70" t="s">
        <v>53</v>
      </c>
      <c r="G59" s="70" t="s">
        <v>2121</v>
      </c>
      <c r="H59" s="67">
        <v>46179.53533564815</v>
      </c>
      <c r="I59" s="75">
        <v>0.16288981481193332</v>
      </c>
      <c r="J59" s="61"/>
      <c r="K59" s="61"/>
      <c r="L59" s="61"/>
      <c r="M59" s="61" t="s">
        <v>38</v>
      </c>
      <c r="N59" s="61" t="s">
        <v>2607</v>
      </c>
      <c r="O59" s="61"/>
      <c r="P59" s="61"/>
      <c r="Q59" s="61"/>
      <c r="R59" s="61" t="s">
        <v>2658</v>
      </c>
      <c r="S59" s="61" t="s">
        <v>40</v>
      </c>
      <c r="T59" s="61" t="s">
        <v>1898</v>
      </c>
      <c r="U59" s="61" t="s">
        <v>1898</v>
      </c>
      <c r="V59" s="101" t="str">
        <f>VLOOKUP(B59,[2]Overall!$A:$D,4,0)</f>
        <v>TELEINFRA NORD</v>
      </c>
      <c r="W59" s="101" t="str">
        <f>VLOOKUP(B59,[3]Sheet1!$A:$B,2,0)</f>
        <v>Nganha</v>
      </c>
      <c r="X59" s="88" t="str">
        <f t="shared" si="3"/>
        <v>ADM</v>
      </c>
      <c r="Y59" s="88" t="str">
        <f t="shared" si="4"/>
        <v>2H&lt;T&lt;4H</v>
      </c>
      <c r="Z59" s="101">
        <f t="shared" si="5"/>
        <v>2</v>
      </c>
      <c r="AA59" s="84" t="s">
        <v>1566</v>
      </c>
      <c r="AB59" s="84" t="s">
        <v>1554</v>
      </c>
      <c r="AC59" s="105" t="s">
        <v>2680</v>
      </c>
      <c r="AD59" s="106" t="s">
        <v>1994</v>
      </c>
      <c r="AE59" s="61"/>
    </row>
    <row r="60" spans="1:31" ht="101.5" x14ac:dyDescent="0.35">
      <c r="A60" s="63" t="s">
        <v>2664</v>
      </c>
      <c r="B60" s="63" t="s">
        <v>2665</v>
      </c>
      <c r="C60" s="68"/>
      <c r="D60" s="63"/>
      <c r="E60" s="63" t="s">
        <v>2666</v>
      </c>
      <c r="F60" s="71" t="s">
        <v>53</v>
      </c>
      <c r="G60" s="71" t="s">
        <v>2121</v>
      </c>
      <c r="H60" s="69">
        <v>46179.560277777775</v>
      </c>
      <c r="I60" s="77">
        <v>0.13794768518710043</v>
      </c>
      <c r="J60" s="63"/>
      <c r="K60" s="63"/>
      <c r="L60" s="63"/>
      <c r="M60" s="63" t="s">
        <v>1686</v>
      </c>
      <c r="N60" s="63" t="s">
        <v>2667</v>
      </c>
      <c r="O60" s="63"/>
      <c r="P60" s="85" t="s">
        <v>1906</v>
      </c>
      <c r="Q60" s="63"/>
      <c r="R60" s="85" t="s">
        <v>2704</v>
      </c>
      <c r="S60" s="63" t="s">
        <v>51</v>
      </c>
      <c r="T60" s="63" t="s">
        <v>1898</v>
      </c>
      <c r="U60" s="63" t="s">
        <v>1898</v>
      </c>
      <c r="V60" s="107" t="str">
        <f>VLOOKUP(B60,[2]Overall!$A:$D,4,0)</f>
        <v>TELEINFRA CENTRE</v>
      </c>
      <c r="W60" s="107" t="str">
        <f>VLOOKUP(B60,[3]Sheet1!$A:$B,2,0)</f>
        <v>Ndjore-Luxe</v>
      </c>
      <c r="X60" s="89" t="str">
        <f t="shared" si="3"/>
        <v>CTR</v>
      </c>
      <c r="Y60" s="89" t="str">
        <f t="shared" si="4"/>
        <v>2H&lt;T&lt;4H</v>
      </c>
      <c r="Z60" s="107">
        <f t="shared" si="5"/>
        <v>4</v>
      </c>
      <c r="AA60" s="85" t="s">
        <v>77</v>
      </c>
      <c r="AB60" s="85" t="s">
        <v>1555</v>
      </c>
      <c r="AC60" s="108" t="s">
        <v>2680</v>
      </c>
      <c r="AD60" s="109" t="s">
        <v>1994</v>
      </c>
      <c r="AE60" s="63"/>
    </row>
    <row r="61" spans="1:31" ht="275.5" hidden="1" x14ac:dyDescent="0.35">
      <c r="A61" s="61" t="s">
        <v>1581</v>
      </c>
      <c r="B61" s="61" t="s">
        <v>1582</v>
      </c>
      <c r="C61" s="65"/>
      <c r="D61" s="61"/>
      <c r="E61" s="61" t="s">
        <v>1937</v>
      </c>
      <c r="F61" s="70" t="s">
        <v>53</v>
      </c>
      <c r="G61" s="70" t="s">
        <v>2121</v>
      </c>
      <c r="H61" s="67">
        <v>46179.600486111114</v>
      </c>
      <c r="I61" s="75">
        <v>9.7739351847849321E-2</v>
      </c>
      <c r="J61" s="61"/>
      <c r="K61" s="61"/>
      <c r="L61" s="61"/>
      <c r="M61" s="61" t="s">
        <v>41</v>
      </c>
      <c r="N61" s="61" t="s">
        <v>1938</v>
      </c>
      <c r="O61" s="61"/>
      <c r="P61" s="61"/>
      <c r="Q61" s="61"/>
      <c r="R61" s="61" t="s">
        <v>2659</v>
      </c>
      <c r="S61" s="61" t="s">
        <v>32</v>
      </c>
      <c r="T61" s="61" t="s">
        <v>1840</v>
      </c>
      <c r="U61" s="61" t="s">
        <v>1840</v>
      </c>
      <c r="V61" s="101" t="str">
        <f>VLOOKUP(B61,[2]Overall!$A:$D,4,0)</f>
        <v xml:space="preserve">I-ENG </v>
      </c>
      <c r="W61" s="101" t="str">
        <f>VLOOKUP(B61,[3]Sheet1!$A:$B,2,0)</f>
        <v>Batibo</v>
      </c>
      <c r="X61" s="88" t="str">
        <f t="shared" si="3"/>
        <v>NRO</v>
      </c>
      <c r="Y61" s="88" t="str">
        <f t="shared" si="4"/>
        <v>2H&lt;T&lt;4H</v>
      </c>
      <c r="Z61" s="101">
        <f t="shared" si="5"/>
        <v>1</v>
      </c>
      <c r="AA61" s="84" t="s">
        <v>1566</v>
      </c>
      <c r="AB61" s="84" t="s">
        <v>1554</v>
      </c>
      <c r="AC61" s="105" t="s">
        <v>2680</v>
      </c>
      <c r="AD61" s="106" t="s">
        <v>1994</v>
      </c>
      <c r="AE61" s="61"/>
    </row>
    <row r="62" spans="1:31" ht="188.5" hidden="1" x14ac:dyDescent="0.35">
      <c r="A62" s="61" t="s">
        <v>2273</v>
      </c>
      <c r="B62" s="61" t="s">
        <v>2268</v>
      </c>
      <c r="C62" s="65"/>
      <c r="D62" s="61"/>
      <c r="E62" s="61" t="s">
        <v>37</v>
      </c>
      <c r="F62" s="70" t="s">
        <v>53</v>
      </c>
      <c r="G62" s="70" t="s">
        <v>2121</v>
      </c>
      <c r="H62" s="67">
        <v>46179.610868055555</v>
      </c>
      <c r="I62" s="75">
        <v>8.7357407406670973E-2</v>
      </c>
      <c r="J62" s="61"/>
      <c r="K62" s="61"/>
      <c r="L62" s="61"/>
      <c r="M62" s="61" t="s">
        <v>41</v>
      </c>
      <c r="N62" s="61" t="s">
        <v>2668</v>
      </c>
      <c r="O62" s="61"/>
      <c r="P62" s="61"/>
      <c r="Q62" s="61"/>
      <c r="R62" s="61" t="s">
        <v>2657</v>
      </c>
      <c r="S62" s="61" t="s">
        <v>40</v>
      </c>
      <c r="T62" s="61" t="s">
        <v>1840</v>
      </c>
      <c r="U62" s="61" t="s">
        <v>1840</v>
      </c>
      <c r="V62" s="101" t="str">
        <f>VLOOKUP(B62,[2]Overall!$A:$D,4,0)</f>
        <v>TELEINFRA NORD</v>
      </c>
      <c r="W62" s="101" t="str">
        <f>VLOOKUP(B62,[3]Sheet1!$A:$B,2,0)</f>
        <v>Dabanga</v>
      </c>
      <c r="X62" s="88" t="str">
        <f t="shared" si="3"/>
        <v>EXN</v>
      </c>
      <c r="Y62" s="88" t="str">
        <f t="shared" si="4"/>
        <v>2H&lt;T&lt;4H</v>
      </c>
      <c r="Z62" s="101">
        <f t="shared" si="5"/>
        <v>1</v>
      </c>
      <c r="AA62" s="84" t="s">
        <v>1566</v>
      </c>
      <c r="AB62" s="84" t="s">
        <v>1555</v>
      </c>
      <c r="AC62" s="105" t="s">
        <v>2680</v>
      </c>
      <c r="AD62" s="106" t="s">
        <v>1994</v>
      </c>
      <c r="AE62" s="61"/>
    </row>
    <row r="63" spans="1:31" ht="391.5" x14ac:dyDescent="0.35">
      <c r="A63" s="63" t="s">
        <v>1919</v>
      </c>
      <c r="B63" s="63" t="s">
        <v>1914</v>
      </c>
      <c r="C63" s="68"/>
      <c r="D63" s="63"/>
      <c r="E63" s="63" t="s">
        <v>1948</v>
      </c>
      <c r="F63" s="71" t="s">
        <v>53</v>
      </c>
      <c r="G63" s="71" t="s">
        <v>2121</v>
      </c>
      <c r="H63" s="69">
        <v>46179.667372685188</v>
      </c>
      <c r="I63" s="77">
        <v>3.085277777427109E-2</v>
      </c>
      <c r="J63" s="63"/>
      <c r="K63" s="63"/>
      <c r="L63" s="63"/>
      <c r="M63" s="63" t="s">
        <v>31</v>
      </c>
      <c r="N63" s="63" t="s">
        <v>2669</v>
      </c>
      <c r="O63" s="63"/>
      <c r="P63" s="85" t="s">
        <v>1906</v>
      </c>
      <c r="Q63" s="63"/>
      <c r="R63" s="63" t="s">
        <v>2628</v>
      </c>
      <c r="S63" s="63" t="s">
        <v>40</v>
      </c>
      <c r="T63" s="63" t="s">
        <v>2129</v>
      </c>
      <c r="U63" s="63" t="s">
        <v>2129</v>
      </c>
      <c r="V63" s="107" t="str">
        <f>VLOOKUP(B63,[2]Overall!$A:$D,4,0)</f>
        <v>TELEINFRA NORD</v>
      </c>
      <c r="W63" s="107" t="str">
        <f>VLOOKUP(B63,[3]Sheet1!$A:$B,2,0)</f>
        <v>Dogba</v>
      </c>
      <c r="X63" s="89" t="str">
        <f t="shared" ref="X63:X70" si="6">LEFT(B63,3)</f>
        <v>EXN</v>
      </c>
      <c r="Y63" s="89" t="str">
        <f t="shared" ref="Y63:Y70" si="7">IF(I63 &lt; 1/24, "T&lt;1H", IF(AND(I63&lt;2/24, I63&gt;1/24), "1H&lt;T&lt;2H", IF(AND(I63&lt;4/24, I63&gt;2/24), "2H&lt;T&lt;4H", IF(AND(I63&lt;8/24, I63&gt;4/24), "4H&lt;T&lt;8H", IF(AND(I63&lt;16/24, I63&gt;8/24), "8H&lt;T&lt;16H",IF(AND(I63&lt;24/24, I63&gt;16/24),"16H&lt;T&lt;24H", IF(AND(I63&lt;48/24, I63&gt;24/24),"24H&lt;T&lt;48H",IF(AND(I63&lt;72/24, I63&gt;24/24),"48H&lt;T&lt;72H", "T&gt;72H"))))))))</f>
        <v>T&lt;1H</v>
      </c>
      <c r="Z63" s="107">
        <f t="shared" ref="Z63:Z70" si="8">IF(OR(E63="", E63="affected_cells=unknown"), "", LEN(E63)-LEN(SUBSTITUTE(E63, ",", "")) + LEN(E63)-LEN(SUBSTITUTE(E63, ";", "")) + 1)</f>
        <v>4</v>
      </c>
      <c r="AA63" s="85" t="s">
        <v>77</v>
      </c>
      <c r="AB63" s="85" t="s">
        <v>1555</v>
      </c>
      <c r="AC63" s="108" t="s">
        <v>2680</v>
      </c>
      <c r="AD63" s="109" t="s">
        <v>1994</v>
      </c>
      <c r="AE63" s="63"/>
    </row>
    <row r="64" spans="1:31" ht="391.5" x14ac:dyDescent="0.35">
      <c r="A64" s="63" t="s">
        <v>1919</v>
      </c>
      <c r="B64" s="63" t="s">
        <v>1914</v>
      </c>
      <c r="C64" s="68"/>
      <c r="D64" s="63"/>
      <c r="E64" s="63" t="s">
        <v>2670</v>
      </c>
      <c r="F64" s="71" t="s">
        <v>53</v>
      </c>
      <c r="G64" s="71" t="s">
        <v>2121</v>
      </c>
      <c r="H64" s="69">
        <v>46179.667361111111</v>
      </c>
      <c r="I64" s="77">
        <v>3.0864351851050742E-2</v>
      </c>
      <c r="J64" s="63"/>
      <c r="K64" s="63"/>
      <c r="L64" s="63"/>
      <c r="M64" s="63" t="s">
        <v>31</v>
      </c>
      <c r="N64" s="63" t="s">
        <v>2671</v>
      </c>
      <c r="O64" s="63"/>
      <c r="P64" s="85" t="s">
        <v>1906</v>
      </c>
      <c r="Q64" s="63"/>
      <c r="R64" s="63" t="s">
        <v>2628</v>
      </c>
      <c r="S64" s="63" t="s">
        <v>40</v>
      </c>
      <c r="T64" s="63" t="s">
        <v>2129</v>
      </c>
      <c r="U64" s="63" t="s">
        <v>2129</v>
      </c>
      <c r="V64" s="107" t="str">
        <f>VLOOKUP(B64,[2]Overall!$A:$D,4,0)</f>
        <v>TELEINFRA NORD</v>
      </c>
      <c r="W64" s="107" t="str">
        <f>VLOOKUP(B64,[3]Sheet1!$A:$B,2,0)</f>
        <v>Dogba</v>
      </c>
      <c r="X64" s="89" t="str">
        <f t="shared" si="6"/>
        <v>EXN</v>
      </c>
      <c r="Y64" s="89" t="str">
        <f t="shared" si="7"/>
        <v>T&lt;1H</v>
      </c>
      <c r="Z64" s="107">
        <f t="shared" si="8"/>
        <v>9</v>
      </c>
      <c r="AA64" s="85" t="s">
        <v>77</v>
      </c>
      <c r="AB64" s="85" t="s">
        <v>1555</v>
      </c>
      <c r="AC64" s="108" t="s">
        <v>2680</v>
      </c>
      <c r="AD64" s="109" t="s">
        <v>1994</v>
      </c>
      <c r="AE64" s="63"/>
    </row>
    <row r="65" spans="1:31" ht="43.5" x14ac:dyDescent="0.35">
      <c r="A65" s="63" t="s">
        <v>2672</v>
      </c>
      <c r="B65" s="63" t="s">
        <v>2673</v>
      </c>
      <c r="C65" s="68"/>
      <c r="D65" s="63"/>
      <c r="E65" s="63" t="s">
        <v>2674</v>
      </c>
      <c r="F65" s="71" t="s">
        <v>53</v>
      </c>
      <c r="G65" s="71" t="s">
        <v>2121</v>
      </c>
      <c r="H65" s="69">
        <v>46179.676296296297</v>
      </c>
      <c r="I65" s="77">
        <v>2.1929166665358935E-2</v>
      </c>
      <c r="J65" s="63"/>
      <c r="K65" s="63"/>
      <c r="L65" s="63"/>
      <c r="M65" s="63" t="s">
        <v>2053</v>
      </c>
      <c r="N65" s="63" t="s">
        <v>2054</v>
      </c>
      <c r="O65" s="63"/>
      <c r="P65" s="85" t="s">
        <v>1906</v>
      </c>
      <c r="Q65" s="63"/>
      <c r="R65" s="85" t="s">
        <v>2618</v>
      </c>
      <c r="S65" s="63" t="s">
        <v>51</v>
      </c>
      <c r="T65" s="63" t="s">
        <v>1898</v>
      </c>
      <c r="U65" s="63" t="s">
        <v>1898</v>
      </c>
      <c r="V65" s="107" t="str">
        <f>VLOOKUP(B65,[2]Overall!$A:$D,4,0)</f>
        <v xml:space="preserve">I-ENG </v>
      </c>
      <c r="W65" s="107" t="str">
        <f>VLOOKUP(B65,[3]Sheet1!$A:$B,2,0)</f>
        <v>Kiiki</v>
      </c>
      <c r="X65" s="89" t="str">
        <f t="shared" si="6"/>
        <v>CTR</v>
      </c>
      <c r="Y65" s="89" t="str">
        <f t="shared" si="7"/>
        <v>T&lt;1H</v>
      </c>
      <c r="Z65" s="107">
        <f t="shared" si="8"/>
        <v>1</v>
      </c>
      <c r="AA65" s="85" t="s">
        <v>77</v>
      </c>
      <c r="AB65" s="85" t="s">
        <v>1555</v>
      </c>
      <c r="AC65" s="108" t="s">
        <v>2680</v>
      </c>
      <c r="AD65" s="109" t="s">
        <v>1994</v>
      </c>
      <c r="AE65" s="63"/>
    </row>
    <row r="66" spans="1:31" ht="43.5" x14ac:dyDescent="0.35">
      <c r="A66" s="63" t="s">
        <v>2672</v>
      </c>
      <c r="B66" s="63" t="s">
        <v>2673</v>
      </c>
      <c r="C66" s="68"/>
      <c r="D66" s="63"/>
      <c r="E66" s="63" t="s">
        <v>2675</v>
      </c>
      <c r="F66" s="71" t="s">
        <v>53</v>
      </c>
      <c r="G66" s="71" t="s">
        <v>2121</v>
      </c>
      <c r="H66" s="69">
        <v>46179.67628472222</v>
      </c>
      <c r="I66" s="77">
        <v>2.1940740742138587E-2</v>
      </c>
      <c r="J66" s="63"/>
      <c r="K66" s="63"/>
      <c r="L66" s="63"/>
      <c r="M66" s="63" t="s">
        <v>2053</v>
      </c>
      <c r="N66" s="63" t="s">
        <v>2054</v>
      </c>
      <c r="O66" s="63"/>
      <c r="P66" s="85" t="s">
        <v>1906</v>
      </c>
      <c r="Q66" s="63"/>
      <c r="R66" s="85" t="s">
        <v>2618</v>
      </c>
      <c r="S66" s="63" t="s">
        <v>51</v>
      </c>
      <c r="T66" s="63" t="s">
        <v>1898</v>
      </c>
      <c r="U66" s="63" t="s">
        <v>1898</v>
      </c>
      <c r="V66" s="107" t="str">
        <f>VLOOKUP(B66,[2]Overall!$A:$D,4,0)</f>
        <v xml:space="preserve">I-ENG </v>
      </c>
      <c r="W66" s="107" t="str">
        <f>VLOOKUP(B66,[3]Sheet1!$A:$B,2,0)</f>
        <v>Kiiki</v>
      </c>
      <c r="X66" s="89" t="str">
        <f t="shared" si="6"/>
        <v>CTR</v>
      </c>
      <c r="Y66" s="89" t="str">
        <f t="shared" si="7"/>
        <v>T&lt;1H</v>
      </c>
      <c r="Z66" s="107">
        <f t="shared" si="8"/>
        <v>1</v>
      </c>
      <c r="AA66" s="85" t="s">
        <v>77</v>
      </c>
      <c r="AB66" s="85" t="s">
        <v>1555</v>
      </c>
      <c r="AC66" s="108" t="s">
        <v>2680</v>
      </c>
      <c r="AD66" s="109" t="s">
        <v>1994</v>
      </c>
      <c r="AE66" s="63"/>
    </row>
    <row r="67" spans="1:31" ht="43.5" hidden="1" x14ac:dyDescent="0.35">
      <c r="A67" s="61" t="s">
        <v>2676</v>
      </c>
      <c r="B67" s="61" t="s">
        <v>2673</v>
      </c>
      <c r="C67" s="65"/>
      <c r="D67" s="61"/>
      <c r="E67" s="61" t="s">
        <v>49</v>
      </c>
      <c r="F67" s="70" t="s">
        <v>53</v>
      </c>
      <c r="G67" s="70" t="s">
        <v>2121</v>
      </c>
      <c r="H67" s="67">
        <v>46179.677199074074</v>
      </c>
      <c r="I67" s="75">
        <v>2.1026388887548819E-2</v>
      </c>
      <c r="J67" s="61"/>
      <c r="K67" s="61"/>
      <c r="L67" s="61"/>
      <c r="M67" s="61" t="s">
        <v>2053</v>
      </c>
      <c r="N67" s="61" t="s">
        <v>2677</v>
      </c>
      <c r="O67" s="61"/>
      <c r="P67" s="61"/>
      <c r="Q67" s="61"/>
      <c r="R67" s="84" t="s">
        <v>2618</v>
      </c>
      <c r="S67" s="61" t="s">
        <v>51</v>
      </c>
      <c r="T67" s="61" t="s">
        <v>1898</v>
      </c>
      <c r="U67" s="61" t="s">
        <v>1898</v>
      </c>
      <c r="V67" s="101" t="str">
        <f>VLOOKUP(B67,[2]Overall!$A:$D,4,0)</f>
        <v xml:space="preserve">I-ENG </v>
      </c>
      <c r="W67" s="101" t="str">
        <f>VLOOKUP(B67,[3]Sheet1!$A:$B,2,0)</f>
        <v>Kiiki</v>
      </c>
      <c r="X67" s="88" t="str">
        <f t="shared" si="6"/>
        <v>CTR</v>
      </c>
      <c r="Y67" s="88" t="str">
        <f t="shared" si="7"/>
        <v>T&lt;1H</v>
      </c>
      <c r="Z67" s="101">
        <f t="shared" si="8"/>
        <v>1</v>
      </c>
      <c r="AA67" s="84" t="s">
        <v>1566</v>
      </c>
      <c r="AB67" s="84" t="s">
        <v>1555</v>
      </c>
      <c r="AC67" s="105" t="s">
        <v>2680</v>
      </c>
      <c r="AD67" s="106" t="s">
        <v>1994</v>
      </c>
      <c r="AE67" s="61"/>
    </row>
    <row r="68" spans="1:31" ht="43.5" hidden="1" x14ac:dyDescent="0.35">
      <c r="A68" s="61" t="s">
        <v>2676</v>
      </c>
      <c r="B68" s="61" t="s">
        <v>2673</v>
      </c>
      <c r="C68" s="65"/>
      <c r="D68" s="61"/>
      <c r="E68" s="61" t="s">
        <v>1636</v>
      </c>
      <c r="F68" s="70" t="s">
        <v>53</v>
      </c>
      <c r="G68" s="70" t="s">
        <v>2121</v>
      </c>
      <c r="H68" s="67">
        <v>46179.677199074074</v>
      </c>
      <c r="I68" s="75">
        <v>2.1026388887548819E-2</v>
      </c>
      <c r="J68" s="61"/>
      <c r="K68" s="61"/>
      <c r="L68" s="61"/>
      <c r="M68" s="61" t="s">
        <v>2053</v>
      </c>
      <c r="N68" s="61" t="s">
        <v>2678</v>
      </c>
      <c r="O68" s="61"/>
      <c r="P68" s="61"/>
      <c r="Q68" s="61"/>
      <c r="R68" s="84" t="s">
        <v>2618</v>
      </c>
      <c r="S68" s="61" t="s">
        <v>51</v>
      </c>
      <c r="T68" s="61" t="s">
        <v>1898</v>
      </c>
      <c r="U68" s="61" t="s">
        <v>1898</v>
      </c>
      <c r="V68" s="101" t="str">
        <f>VLOOKUP(B68,[2]Overall!$A:$D,4,0)</f>
        <v xml:space="preserve">I-ENG </v>
      </c>
      <c r="W68" s="101" t="str">
        <f>VLOOKUP(B68,[3]Sheet1!$A:$B,2,0)</f>
        <v>Kiiki</v>
      </c>
      <c r="X68" s="88" t="str">
        <f t="shared" si="6"/>
        <v>CTR</v>
      </c>
      <c r="Y68" s="88" t="str">
        <f t="shared" si="7"/>
        <v>T&lt;1H</v>
      </c>
      <c r="Z68" s="101">
        <f t="shared" si="8"/>
        <v>1</v>
      </c>
      <c r="AA68" s="84" t="s">
        <v>1566</v>
      </c>
      <c r="AB68" s="84" t="s">
        <v>1555</v>
      </c>
      <c r="AC68" s="105" t="s">
        <v>2680</v>
      </c>
      <c r="AD68" s="106" t="s">
        <v>1994</v>
      </c>
      <c r="AE68" s="61"/>
    </row>
    <row r="69" spans="1:31" ht="72.5" hidden="1" x14ac:dyDescent="0.35">
      <c r="A69" s="61" t="s">
        <v>2676</v>
      </c>
      <c r="B69" s="61" t="s">
        <v>2673</v>
      </c>
      <c r="C69" s="65"/>
      <c r="D69" s="61"/>
      <c r="E69" s="61" t="s">
        <v>47</v>
      </c>
      <c r="F69" s="70" t="s">
        <v>53</v>
      </c>
      <c r="G69" s="70" t="s">
        <v>2121</v>
      </c>
      <c r="H69" s="67">
        <v>46179.689884259256</v>
      </c>
      <c r="I69" s="75">
        <v>8.3412037056405097E-3</v>
      </c>
      <c r="J69" s="61"/>
      <c r="K69" s="61"/>
      <c r="L69" s="61"/>
      <c r="M69" s="61" t="s">
        <v>31</v>
      </c>
      <c r="N69" s="61" t="s">
        <v>2679</v>
      </c>
      <c r="O69" s="61"/>
      <c r="P69" s="61"/>
      <c r="Q69" s="61"/>
      <c r="R69" s="84" t="s">
        <v>2618</v>
      </c>
      <c r="S69" s="61" t="s">
        <v>51</v>
      </c>
      <c r="T69" s="61" t="s">
        <v>1898</v>
      </c>
      <c r="U69" s="61" t="s">
        <v>1898</v>
      </c>
      <c r="V69" s="101" t="str">
        <f>VLOOKUP(B69,[2]Overall!$A:$D,4,0)</f>
        <v xml:space="preserve">I-ENG </v>
      </c>
      <c r="W69" s="101" t="str">
        <f>VLOOKUP(B69,[3]Sheet1!$A:$B,2,0)</f>
        <v>Kiiki</v>
      </c>
      <c r="X69" s="88" t="str">
        <f t="shared" si="6"/>
        <v>CTR</v>
      </c>
      <c r="Y69" s="88" t="str">
        <f t="shared" si="7"/>
        <v>T&lt;1H</v>
      </c>
      <c r="Z69" s="101">
        <f t="shared" si="8"/>
        <v>3</v>
      </c>
      <c r="AA69" s="84" t="s">
        <v>1566</v>
      </c>
      <c r="AB69" s="84" t="s">
        <v>1555</v>
      </c>
      <c r="AC69" s="105" t="s">
        <v>2680</v>
      </c>
      <c r="AD69" s="106" t="s">
        <v>1994</v>
      </c>
      <c r="AE69" s="61"/>
    </row>
    <row r="70" spans="1:31" ht="72.5" x14ac:dyDescent="0.35">
      <c r="A70" s="63" t="s">
        <v>1797</v>
      </c>
      <c r="B70" s="63" t="s">
        <v>1798</v>
      </c>
      <c r="C70" s="68"/>
      <c r="D70" s="63"/>
      <c r="E70" s="63" t="s">
        <v>1799</v>
      </c>
      <c r="F70" s="71" t="s">
        <v>53</v>
      </c>
      <c r="G70" s="71" t="s">
        <v>2121</v>
      </c>
      <c r="H70" s="69">
        <v>46179.690162037034</v>
      </c>
      <c r="I70" s="77">
        <v>8.063425928412471E-3</v>
      </c>
      <c r="J70" s="63"/>
      <c r="K70" s="63"/>
      <c r="L70" s="63"/>
      <c r="M70" s="63" t="s">
        <v>31</v>
      </c>
      <c r="N70" s="63" t="s">
        <v>1800</v>
      </c>
      <c r="O70" s="63"/>
      <c r="P70" s="85" t="s">
        <v>1906</v>
      </c>
      <c r="Q70" s="63"/>
      <c r="R70" s="85" t="s">
        <v>2682</v>
      </c>
      <c r="S70" s="85" t="s">
        <v>40</v>
      </c>
      <c r="T70" s="85" t="s">
        <v>1898</v>
      </c>
      <c r="U70" s="85" t="s">
        <v>1898</v>
      </c>
      <c r="V70" s="107" t="str">
        <f>VLOOKUP(B70,[2]Overall!$A:$D,4,0)</f>
        <v>TELEINFRA CENTRE</v>
      </c>
      <c r="W70" s="107" t="str">
        <f>VLOOKUP(B70,[3]Sheet1!$A:$B,2,0)</f>
        <v>Bonga</v>
      </c>
      <c r="X70" s="89" t="str">
        <f t="shared" si="6"/>
        <v>EST</v>
      </c>
      <c r="Y70" s="89" t="str">
        <f t="shared" si="7"/>
        <v>T&lt;1H</v>
      </c>
      <c r="Z70" s="107">
        <f t="shared" si="8"/>
        <v>4</v>
      </c>
      <c r="AA70" s="85" t="s">
        <v>77</v>
      </c>
      <c r="AB70" s="85" t="s">
        <v>1555</v>
      </c>
      <c r="AC70" s="108" t="s">
        <v>2680</v>
      </c>
      <c r="AD70" s="109" t="s">
        <v>1994</v>
      </c>
      <c r="AE70" s="63"/>
    </row>
  </sheetData>
  <autoFilter ref="A1:AE70" xr:uid="{7E61290C-0E78-4A5C-A054-830D6C09B6EC}">
    <filterColumn colId="26">
      <filters>
        <filter val="#N/A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0994-69A8-4019-B995-AB980F346D79}">
  <sheetPr codeName="Sheet52">
    <tabColor theme="5"/>
  </sheetPr>
  <dimension ref="A1:AE63"/>
  <sheetViews>
    <sheetView topLeftCell="A3" zoomScale="48" zoomScaleNormal="85" workbookViewId="0">
      <pane xSplit="6" topLeftCell="S1" activePane="topRight" state="frozen"/>
      <selection activeCell="AB4" sqref="AB4"/>
      <selection pane="topRight" activeCell="Z1" sqref="Z1:Z1048576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406" x14ac:dyDescent="0.35">
      <c r="A2" s="61" t="s">
        <v>1913</v>
      </c>
      <c r="B2" s="61" t="s">
        <v>1914</v>
      </c>
      <c r="C2" s="65"/>
      <c r="D2" s="61"/>
      <c r="E2" s="61" t="s">
        <v>43</v>
      </c>
      <c r="F2" s="70" t="s">
        <v>53</v>
      </c>
      <c r="G2" s="70" t="s">
        <v>2121</v>
      </c>
      <c r="H2" s="67">
        <v>46168.171053240738</v>
      </c>
      <c r="I2" s="75">
        <f ca="1">NOW()-H2</f>
        <v>12.497639120374515</v>
      </c>
      <c r="J2" s="61"/>
      <c r="K2" s="61"/>
      <c r="L2" s="61"/>
      <c r="M2" s="61" t="s">
        <v>31</v>
      </c>
      <c r="N2" s="61" t="s">
        <v>1915</v>
      </c>
      <c r="O2" s="61"/>
      <c r="P2" s="61"/>
      <c r="Q2" s="61"/>
      <c r="R2" s="84" t="s">
        <v>2707</v>
      </c>
      <c r="S2" s="61" t="s">
        <v>40</v>
      </c>
      <c r="T2" s="84" t="s">
        <v>1840</v>
      </c>
      <c r="U2" s="84" t="s">
        <v>1840</v>
      </c>
      <c r="V2" s="101" t="str">
        <f>VLOOKUP(B2,[2]Overall!$A:$D,4,0)</f>
        <v>TELEINFRA NORD</v>
      </c>
      <c r="W2" s="101" t="str">
        <f>VLOOKUP(B2,[3]Sheet1!$A:$B,2,0)</f>
        <v>Dogba</v>
      </c>
      <c r="X2" s="88" t="str">
        <f t="shared" ref="X2:X19" si="0">LEFT(B2,3)</f>
        <v>EXN</v>
      </c>
      <c r="Y2" s="88" t="str">
        <f t="shared" ref="Y2:Y19" ca="1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19" si="2">IF(OR(E2="", E2="affected_cells=unknown"), "", LEN(E2)-LEN(SUBSTITUTE(E2, ",", "")) + LEN(E2)-LEN(SUBSTITUTE(E2, ";", "")) + 1)</f>
        <v>4</v>
      </c>
      <c r="AA2" s="86" t="s">
        <v>1566</v>
      </c>
      <c r="AB2" s="84" t="s">
        <v>1904</v>
      </c>
      <c r="AC2" s="105" t="s">
        <v>2702</v>
      </c>
      <c r="AD2" s="106" t="s">
        <v>1994</v>
      </c>
      <c r="AE2" s="61"/>
    </row>
    <row r="3" spans="1:31" ht="406" x14ac:dyDescent="0.35">
      <c r="A3" s="61" t="s">
        <v>1913</v>
      </c>
      <c r="B3" s="61" t="s">
        <v>1914</v>
      </c>
      <c r="C3" s="65"/>
      <c r="D3" s="61"/>
      <c r="E3" s="61" t="s">
        <v>35</v>
      </c>
      <c r="F3" s="70" t="s">
        <v>53</v>
      </c>
      <c r="G3" s="70" t="s">
        <v>2121</v>
      </c>
      <c r="H3" s="67">
        <v>46168.171064814815</v>
      </c>
      <c r="I3" s="75">
        <f t="shared" ref="I3:I63" ca="1" si="3">NOW()-H3</f>
        <v>12.497627546297736</v>
      </c>
      <c r="J3" s="61"/>
      <c r="K3" s="61"/>
      <c r="L3" s="61"/>
      <c r="M3" s="61" t="s">
        <v>31</v>
      </c>
      <c r="N3" s="61" t="s">
        <v>1916</v>
      </c>
      <c r="O3" s="61"/>
      <c r="P3" s="61"/>
      <c r="Q3" s="61"/>
      <c r="R3" s="84" t="s">
        <v>2707</v>
      </c>
      <c r="S3" s="61" t="s">
        <v>40</v>
      </c>
      <c r="T3" s="84" t="s">
        <v>1840</v>
      </c>
      <c r="U3" s="84" t="s">
        <v>1840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ca="1" si="1"/>
        <v>T&gt;72H</v>
      </c>
      <c r="Z3" s="101">
        <f t="shared" si="2"/>
        <v>3</v>
      </c>
      <c r="AA3" s="86" t="s">
        <v>1566</v>
      </c>
      <c r="AB3" s="84" t="s">
        <v>1904</v>
      </c>
      <c r="AC3" s="105" t="s">
        <v>2702</v>
      </c>
      <c r="AD3" s="106" t="s">
        <v>1994</v>
      </c>
      <c r="AE3" s="61"/>
    </row>
    <row r="4" spans="1:31" ht="246.5" x14ac:dyDescent="0.35">
      <c r="A4" s="63" t="s">
        <v>1930</v>
      </c>
      <c r="B4" s="63" t="s">
        <v>1931</v>
      </c>
      <c r="C4" s="68"/>
      <c r="D4" s="63"/>
      <c r="E4" s="63" t="s">
        <v>34</v>
      </c>
      <c r="F4" s="71" t="s">
        <v>53</v>
      </c>
      <c r="G4" s="71" t="s">
        <v>2121</v>
      </c>
      <c r="H4" s="69">
        <v>46172.534074074072</v>
      </c>
      <c r="I4" s="75">
        <f t="shared" ca="1" si="3"/>
        <v>8.1346182870402117</v>
      </c>
      <c r="J4" s="63"/>
      <c r="K4" s="63"/>
      <c r="L4" s="63"/>
      <c r="M4" s="63" t="s">
        <v>1929</v>
      </c>
      <c r="N4" s="63" t="s">
        <v>1932</v>
      </c>
      <c r="O4" s="63"/>
      <c r="P4" s="85" t="s">
        <v>1906</v>
      </c>
      <c r="Q4" s="63"/>
      <c r="R4" s="85" t="s">
        <v>2734</v>
      </c>
      <c r="S4" s="63" t="s">
        <v>40</v>
      </c>
      <c r="T4" s="63" t="s">
        <v>1898</v>
      </c>
      <c r="U4" s="63" t="s">
        <v>1898</v>
      </c>
      <c r="V4" s="107" t="str">
        <f>VLOOKUP(B4,[2]Overall!$A:$D,4,0)</f>
        <v>TELEINFRA NORD</v>
      </c>
      <c r="W4" s="107" t="str">
        <f>VLOOKUP(B4,[3]Sheet1!$A:$B,2,0)</f>
        <v>Mazera</v>
      </c>
      <c r="X4" s="89" t="str">
        <f t="shared" si="0"/>
        <v>EXN</v>
      </c>
      <c r="Y4" s="89" t="str">
        <f t="shared" ca="1" si="1"/>
        <v>T&gt;72H</v>
      </c>
      <c r="Z4" s="107">
        <f t="shared" si="2"/>
        <v>1</v>
      </c>
      <c r="AA4" s="85" t="s">
        <v>77</v>
      </c>
      <c r="AB4" s="85" t="s">
        <v>1904</v>
      </c>
      <c r="AC4" s="108" t="s">
        <v>2702</v>
      </c>
      <c r="AD4" s="109" t="s">
        <v>1994</v>
      </c>
      <c r="AE4" s="63"/>
    </row>
    <row r="5" spans="1:31" ht="409.5" x14ac:dyDescent="0.35">
      <c r="A5" s="61" t="s">
        <v>1773</v>
      </c>
      <c r="B5" s="61" t="s">
        <v>1774</v>
      </c>
      <c r="C5" s="65"/>
      <c r="D5" s="61"/>
      <c r="E5" s="61" t="s">
        <v>1956</v>
      </c>
      <c r="F5" s="70" t="s">
        <v>53</v>
      </c>
      <c r="G5" s="70" t="s">
        <v>2121</v>
      </c>
      <c r="H5" s="67">
        <v>46172.719837962963</v>
      </c>
      <c r="I5" s="75">
        <f t="shared" ca="1" si="3"/>
        <v>7.948854398149706</v>
      </c>
      <c r="J5" s="61"/>
      <c r="K5" s="61"/>
      <c r="L5" s="61"/>
      <c r="M5" s="61" t="s">
        <v>31</v>
      </c>
      <c r="N5" s="61" t="s">
        <v>1957</v>
      </c>
      <c r="O5" s="61"/>
      <c r="P5" s="61"/>
      <c r="Q5" s="61"/>
      <c r="R5" s="61" t="s">
        <v>2492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Hamalade</v>
      </c>
      <c r="X5" s="88" t="str">
        <f t="shared" si="0"/>
        <v>NRD</v>
      </c>
      <c r="Y5" s="88" t="str">
        <f t="shared" ca="1" si="1"/>
        <v>T&gt;72H</v>
      </c>
      <c r="Z5" s="101">
        <f t="shared" si="2"/>
        <v>3</v>
      </c>
      <c r="AA5" s="86" t="s">
        <v>1566</v>
      </c>
      <c r="AB5" s="84" t="s">
        <v>1904</v>
      </c>
      <c r="AC5" s="105" t="s">
        <v>2702</v>
      </c>
      <c r="AD5" s="106" t="s">
        <v>1994</v>
      </c>
      <c r="AE5" s="61"/>
    </row>
    <row r="6" spans="1:31" ht="409.5" x14ac:dyDescent="0.35">
      <c r="A6" s="61" t="s">
        <v>1773</v>
      </c>
      <c r="B6" s="61" t="s">
        <v>1774</v>
      </c>
      <c r="C6" s="65"/>
      <c r="D6" s="61"/>
      <c r="E6" s="61" t="s">
        <v>35</v>
      </c>
      <c r="F6" s="70" t="s">
        <v>53</v>
      </c>
      <c r="G6" s="70" t="s">
        <v>2121</v>
      </c>
      <c r="H6" s="67">
        <v>46172.719837962963</v>
      </c>
      <c r="I6" s="75">
        <f t="shared" ca="1" si="3"/>
        <v>7.948854398149706</v>
      </c>
      <c r="J6" s="61"/>
      <c r="K6" s="61"/>
      <c r="L6" s="61"/>
      <c r="M6" s="61" t="s">
        <v>31</v>
      </c>
      <c r="N6" s="61" t="s">
        <v>1775</v>
      </c>
      <c r="O6" s="61"/>
      <c r="P6" s="61"/>
      <c r="Q6" s="61"/>
      <c r="R6" s="61" t="s">
        <v>2492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Hamalade</v>
      </c>
      <c r="X6" s="88" t="str">
        <f t="shared" si="0"/>
        <v>NRD</v>
      </c>
      <c r="Y6" s="88" t="str">
        <f t="shared" ca="1" si="1"/>
        <v>T&gt;72H</v>
      </c>
      <c r="Z6" s="101">
        <f t="shared" si="2"/>
        <v>3</v>
      </c>
      <c r="AA6" s="86" t="s">
        <v>1566</v>
      </c>
      <c r="AB6" s="84" t="s">
        <v>1904</v>
      </c>
      <c r="AC6" s="105" t="s">
        <v>2702</v>
      </c>
      <c r="AD6" s="106" t="s">
        <v>1994</v>
      </c>
      <c r="AE6" s="61"/>
    </row>
    <row r="7" spans="1:31" ht="409.5" x14ac:dyDescent="0.35">
      <c r="A7" s="61" t="s">
        <v>1773</v>
      </c>
      <c r="B7" s="61" t="s">
        <v>1774</v>
      </c>
      <c r="C7" s="65"/>
      <c r="D7" s="61"/>
      <c r="E7" s="61" t="s">
        <v>1954</v>
      </c>
      <c r="F7" s="70" t="s">
        <v>53</v>
      </c>
      <c r="G7" s="70" t="s">
        <v>2121</v>
      </c>
      <c r="H7" s="67">
        <v>46172.724965277775</v>
      </c>
      <c r="I7" s="75">
        <f t="shared" ca="1" si="3"/>
        <v>7.943727083336853</v>
      </c>
      <c r="J7" s="61"/>
      <c r="K7" s="61"/>
      <c r="L7" s="61"/>
      <c r="M7" s="61" t="s">
        <v>1750</v>
      </c>
      <c r="N7" s="61" t="s">
        <v>1751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0"/>
        <v>NRD</v>
      </c>
      <c r="Y7" s="88" t="str">
        <f t="shared" ca="1" si="1"/>
        <v>T&gt;72H</v>
      </c>
      <c r="Z7" s="101">
        <f t="shared" si="2"/>
        <v>1</v>
      </c>
      <c r="AA7" s="86" t="s">
        <v>1566</v>
      </c>
      <c r="AB7" s="84" t="s">
        <v>1904</v>
      </c>
      <c r="AC7" s="105" t="s">
        <v>2702</v>
      </c>
      <c r="AD7" s="106" t="s">
        <v>1994</v>
      </c>
      <c r="AE7" s="61"/>
    </row>
    <row r="8" spans="1:31" ht="409.5" x14ac:dyDescent="0.35">
      <c r="A8" s="61" t="s">
        <v>1773</v>
      </c>
      <c r="B8" s="61" t="s">
        <v>1774</v>
      </c>
      <c r="C8" s="65"/>
      <c r="D8" s="61"/>
      <c r="E8" s="61" t="s">
        <v>1955</v>
      </c>
      <c r="F8" s="70" t="s">
        <v>53</v>
      </c>
      <c r="G8" s="70" t="s">
        <v>2121</v>
      </c>
      <c r="H8" s="67">
        <v>46172.724965277775</v>
      </c>
      <c r="I8" s="75">
        <f t="shared" ca="1" si="3"/>
        <v>7.943727083336853</v>
      </c>
      <c r="J8" s="61"/>
      <c r="K8" s="61"/>
      <c r="L8" s="61"/>
      <c r="M8" s="61" t="s">
        <v>1750</v>
      </c>
      <c r="N8" s="61" t="s">
        <v>1751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ca="1" si="1"/>
        <v>T&gt;72H</v>
      </c>
      <c r="Z8" s="101">
        <f t="shared" si="2"/>
        <v>1</v>
      </c>
      <c r="AA8" s="86" t="s">
        <v>1566</v>
      </c>
      <c r="AB8" s="84" t="s">
        <v>1904</v>
      </c>
      <c r="AC8" s="105" t="s">
        <v>2702</v>
      </c>
      <c r="AD8" s="106" t="s">
        <v>1994</v>
      </c>
      <c r="AE8" s="61"/>
    </row>
    <row r="9" spans="1:31" ht="409.5" x14ac:dyDescent="0.35">
      <c r="A9" s="61" t="s">
        <v>1773</v>
      </c>
      <c r="B9" s="61" t="s">
        <v>1774</v>
      </c>
      <c r="C9" s="65"/>
      <c r="D9" s="61"/>
      <c r="E9" s="61" t="s">
        <v>1953</v>
      </c>
      <c r="F9" s="70" t="s">
        <v>53</v>
      </c>
      <c r="G9" s="70" t="s">
        <v>2121</v>
      </c>
      <c r="H9" s="67">
        <v>46172.724965277775</v>
      </c>
      <c r="I9" s="75">
        <f t="shared" ca="1" si="3"/>
        <v>7.943727083336853</v>
      </c>
      <c r="J9" s="61"/>
      <c r="K9" s="61"/>
      <c r="L9" s="61"/>
      <c r="M9" s="61" t="s">
        <v>1750</v>
      </c>
      <c r="N9" s="61" t="s">
        <v>1751</v>
      </c>
      <c r="O9" s="61"/>
      <c r="P9" s="61"/>
      <c r="Q9" s="61"/>
      <c r="R9" s="61" t="s">
        <v>2492</v>
      </c>
      <c r="S9" s="61" t="s">
        <v>40</v>
      </c>
      <c r="T9" s="61" t="s">
        <v>1898</v>
      </c>
      <c r="U9" s="61" t="s">
        <v>1898</v>
      </c>
      <c r="V9" s="101" t="str">
        <f>VLOOKUP(B9,[2]Overall!$A:$D,4,0)</f>
        <v>TELEINFRA NORD</v>
      </c>
      <c r="W9" s="101" t="str">
        <f>VLOOKUP(B9,[3]Sheet1!$A:$B,2,0)</f>
        <v>Hamalade</v>
      </c>
      <c r="X9" s="88" t="str">
        <f t="shared" si="0"/>
        <v>NRD</v>
      </c>
      <c r="Y9" s="88" t="str">
        <f t="shared" ca="1" si="1"/>
        <v>T&gt;72H</v>
      </c>
      <c r="Z9" s="101">
        <f t="shared" si="2"/>
        <v>1</v>
      </c>
      <c r="AA9" s="86" t="s">
        <v>1566</v>
      </c>
      <c r="AB9" s="84" t="s">
        <v>1904</v>
      </c>
      <c r="AC9" s="105" t="s">
        <v>2702</v>
      </c>
      <c r="AD9" s="106" t="s">
        <v>1994</v>
      </c>
      <c r="AE9" s="61"/>
    </row>
    <row r="10" spans="1:31" ht="409.5" x14ac:dyDescent="0.35">
      <c r="A10" s="61" t="s">
        <v>1724</v>
      </c>
      <c r="B10" s="61" t="s">
        <v>1725</v>
      </c>
      <c r="C10" s="65"/>
      <c r="D10" s="61"/>
      <c r="E10" s="61" t="s">
        <v>1726</v>
      </c>
      <c r="F10" s="70" t="s">
        <v>53</v>
      </c>
      <c r="G10" s="70" t="s">
        <v>2121</v>
      </c>
      <c r="H10" s="67">
        <v>46172.76761574074</v>
      </c>
      <c r="I10" s="75">
        <f t="shared" ca="1" si="3"/>
        <v>7.9010766203718958</v>
      </c>
      <c r="J10" s="61"/>
      <c r="K10" s="61"/>
      <c r="L10" s="61"/>
      <c r="M10" s="61" t="s">
        <v>33</v>
      </c>
      <c r="N10" s="61" t="s">
        <v>1635</v>
      </c>
      <c r="O10" s="61"/>
      <c r="P10" s="61"/>
      <c r="Q10" s="61"/>
      <c r="R10" s="61" t="s">
        <v>2626</v>
      </c>
      <c r="S10" s="61" t="s">
        <v>32</v>
      </c>
      <c r="T10" s="61" t="s">
        <v>1898</v>
      </c>
      <c r="U10" s="61" t="s">
        <v>1898</v>
      </c>
      <c r="V10" s="101" t="str">
        <f>VLOOKUP(B10,[2]Overall!$A:$D,4,0)</f>
        <v xml:space="preserve">I-ENG </v>
      </c>
      <c r="W10" s="101" t="str">
        <f>VLOOKUP(B10,[3]Sheet1!$A:$B,2,0)</f>
        <v>Mbakong</v>
      </c>
      <c r="X10" s="88" t="str">
        <f t="shared" si="0"/>
        <v>NRO</v>
      </c>
      <c r="Y10" s="88" t="str">
        <f t="shared" ca="1" si="1"/>
        <v>T&gt;72H</v>
      </c>
      <c r="Z10" s="101">
        <f t="shared" si="2"/>
        <v>2</v>
      </c>
      <c r="AA10" s="86" t="s">
        <v>1566</v>
      </c>
      <c r="AB10" s="84" t="s">
        <v>1904</v>
      </c>
      <c r="AC10" s="105" t="s">
        <v>2702</v>
      </c>
      <c r="AD10" s="106" t="s">
        <v>1994</v>
      </c>
      <c r="AE10" s="61"/>
    </row>
    <row r="11" spans="1:31" ht="130.5" x14ac:dyDescent="0.35">
      <c r="A11" s="61" t="s">
        <v>1843</v>
      </c>
      <c r="B11" s="61" t="s">
        <v>1844</v>
      </c>
      <c r="C11" s="65"/>
      <c r="D11" s="61"/>
      <c r="E11" s="61" t="s">
        <v>1879</v>
      </c>
      <c r="F11" s="70" t="s">
        <v>53</v>
      </c>
      <c r="G11" s="70" t="s">
        <v>2121</v>
      </c>
      <c r="H11" s="67">
        <v>46175.448993055557</v>
      </c>
      <c r="I11" s="75">
        <f t="shared" ca="1" si="3"/>
        <v>5.2196993055549683</v>
      </c>
      <c r="J11" s="61"/>
      <c r="K11" s="61"/>
      <c r="L11" s="61"/>
      <c r="M11" s="61" t="s">
        <v>38</v>
      </c>
      <c r="N11" s="61" t="s">
        <v>1845</v>
      </c>
      <c r="O11" s="61"/>
      <c r="P11" s="61"/>
      <c r="Q11" s="61"/>
      <c r="R11" s="61" t="s">
        <v>2380</v>
      </c>
      <c r="S11" s="61" t="s">
        <v>75</v>
      </c>
      <c r="T11" s="61" t="s">
        <v>1901</v>
      </c>
      <c r="U11" s="61" t="s">
        <v>1901</v>
      </c>
      <c r="V11" s="101" t="str">
        <f>VLOOKUP(B11,[2]Overall!$A:$D,4,0)</f>
        <v>TELEINFRA NORD</v>
      </c>
      <c r="W11" s="101" t="str">
        <f>VLOOKUP(B11,[3]Sheet1!$A:$B,2,0)</f>
        <v>Mayo-Nonde</v>
      </c>
      <c r="X11" s="88" t="str">
        <f t="shared" si="0"/>
        <v>NRD</v>
      </c>
      <c r="Y11" s="88" t="str">
        <f t="shared" ca="1" si="1"/>
        <v>T&gt;72H</v>
      </c>
      <c r="Z11" s="101">
        <f t="shared" si="2"/>
        <v>3</v>
      </c>
      <c r="AA11" s="86" t="s">
        <v>1566</v>
      </c>
      <c r="AB11" s="84" t="s">
        <v>1904</v>
      </c>
      <c r="AC11" s="105" t="s">
        <v>2702</v>
      </c>
      <c r="AD11" s="106" t="s">
        <v>1994</v>
      </c>
      <c r="AE11" s="61"/>
    </row>
    <row r="12" spans="1:31" ht="116" x14ac:dyDescent="0.35">
      <c r="A12" s="61" t="s">
        <v>1892</v>
      </c>
      <c r="B12" s="61" t="s">
        <v>1893</v>
      </c>
      <c r="C12" s="65"/>
      <c r="D12" s="61"/>
      <c r="E12" s="61" t="s">
        <v>2199</v>
      </c>
      <c r="F12" s="70" t="s">
        <v>53</v>
      </c>
      <c r="G12" s="70" t="s">
        <v>2121</v>
      </c>
      <c r="H12" s="67">
        <v>46175.837418981479</v>
      </c>
      <c r="I12" s="75">
        <f t="shared" ca="1" si="3"/>
        <v>4.8312733796337852</v>
      </c>
      <c r="J12" s="61"/>
      <c r="K12" s="61"/>
      <c r="L12" s="61"/>
      <c r="M12" s="61" t="s">
        <v>41</v>
      </c>
      <c r="N12" s="61" t="s">
        <v>42</v>
      </c>
      <c r="O12" s="61"/>
      <c r="P12" s="61"/>
      <c r="Q12" s="61"/>
      <c r="R12" s="61" t="s">
        <v>2378</v>
      </c>
      <c r="S12" s="61" t="s">
        <v>75</v>
      </c>
      <c r="T12" s="61" t="s">
        <v>1688</v>
      </c>
      <c r="U12" s="61" t="s">
        <v>1688</v>
      </c>
      <c r="V12" s="101" t="str">
        <f>VLOOKUP(B12,[2]Overall!$A:$D,4,0)</f>
        <v>H-TELI</v>
      </c>
      <c r="W12" s="101" t="str">
        <f>VLOOKUP(B12,[3]Sheet1!$A:$B,2,0)</f>
        <v>Santchou</v>
      </c>
      <c r="X12" s="88" t="str">
        <f t="shared" si="0"/>
        <v>OST</v>
      </c>
      <c r="Y12" s="88" t="str">
        <f t="shared" ca="1" si="1"/>
        <v>T&gt;72H</v>
      </c>
      <c r="Z12" s="101">
        <f t="shared" si="2"/>
        <v>1</v>
      </c>
      <c r="AA12" s="86" t="s">
        <v>1566</v>
      </c>
      <c r="AB12" s="84" t="s">
        <v>1904</v>
      </c>
      <c r="AC12" s="105" t="s">
        <v>2702</v>
      </c>
      <c r="AD12" s="106" t="s">
        <v>1994</v>
      </c>
      <c r="AE12" s="61"/>
    </row>
    <row r="13" spans="1:31" ht="116" x14ac:dyDescent="0.35">
      <c r="A13" s="61" t="s">
        <v>1892</v>
      </c>
      <c r="B13" s="61" t="s">
        <v>1893</v>
      </c>
      <c r="C13" s="65"/>
      <c r="D13" s="61"/>
      <c r="E13" s="61" t="s">
        <v>2200</v>
      </c>
      <c r="F13" s="70" t="s">
        <v>53</v>
      </c>
      <c r="G13" s="70" t="s">
        <v>2121</v>
      </c>
      <c r="H13" s="67">
        <v>46175.837430555555</v>
      </c>
      <c r="I13" s="75">
        <f t="shared" ca="1" si="3"/>
        <v>4.8312618055570056</v>
      </c>
      <c r="J13" s="61"/>
      <c r="K13" s="61"/>
      <c r="L13" s="61"/>
      <c r="M13" s="61" t="s">
        <v>41</v>
      </c>
      <c r="N13" s="61" t="s">
        <v>42</v>
      </c>
      <c r="O13" s="61"/>
      <c r="P13" s="61"/>
      <c r="Q13" s="61"/>
      <c r="R13" s="61" t="s">
        <v>2378</v>
      </c>
      <c r="S13" s="61" t="s">
        <v>75</v>
      </c>
      <c r="T13" s="61" t="s">
        <v>1688</v>
      </c>
      <c r="U13" s="61" t="s">
        <v>1688</v>
      </c>
      <c r="V13" s="101" t="str">
        <f>VLOOKUP(B13,[2]Overall!$A:$D,4,0)</f>
        <v>H-TELI</v>
      </c>
      <c r="W13" s="101" t="str">
        <f>VLOOKUP(B13,[3]Sheet1!$A:$B,2,0)</f>
        <v>Santchou</v>
      </c>
      <c r="X13" s="88" t="str">
        <f t="shared" si="0"/>
        <v>OST</v>
      </c>
      <c r="Y13" s="88" t="str">
        <f t="shared" ca="1" si="1"/>
        <v>T&gt;72H</v>
      </c>
      <c r="Z13" s="101">
        <f t="shared" si="2"/>
        <v>1</v>
      </c>
      <c r="AA13" s="86" t="s">
        <v>1566</v>
      </c>
      <c r="AB13" s="84" t="s">
        <v>1904</v>
      </c>
      <c r="AC13" s="105" t="s">
        <v>2702</v>
      </c>
      <c r="AD13" s="106" t="s">
        <v>1994</v>
      </c>
      <c r="AE13" s="61"/>
    </row>
    <row r="14" spans="1:31" ht="116" x14ac:dyDescent="0.35">
      <c r="A14" s="61" t="s">
        <v>1892</v>
      </c>
      <c r="B14" s="61" t="s">
        <v>1893</v>
      </c>
      <c r="C14" s="65"/>
      <c r="D14" s="61"/>
      <c r="E14" s="61" t="s">
        <v>2201</v>
      </c>
      <c r="F14" s="70" t="s">
        <v>53</v>
      </c>
      <c r="G14" s="70" t="s">
        <v>2121</v>
      </c>
      <c r="H14" s="67">
        <v>46175.837407407409</v>
      </c>
      <c r="I14" s="75">
        <f t="shared" ca="1" si="3"/>
        <v>4.8312849537032889</v>
      </c>
      <c r="J14" s="61"/>
      <c r="K14" s="61"/>
      <c r="L14" s="61"/>
      <c r="M14" s="61" t="s">
        <v>41</v>
      </c>
      <c r="N14" s="61" t="s">
        <v>42</v>
      </c>
      <c r="O14" s="61"/>
      <c r="P14" s="61"/>
      <c r="Q14" s="61"/>
      <c r="R14" s="61" t="s">
        <v>2378</v>
      </c>
      <c r="S14" s="61" t="s">
        <v>75</v>
      </c>
      <c r="T14" s="61" t="s">
        <v>1688</v>
      </c>
      <c r="U14" s="61" t="s">
        <v>1688</v>
      </c>
      <c r="V14" s="101" t="str">
        <f>VLOOKUP(B14,[2]Overall!$A:$D,4,0)</f>
        <v>H-TELI</v>
      </c>
      <c r="W14" s="101" t="str">
        <f>VLOOKUP(B14,[3]Sheet1!$A:$B,2,0)</f>
        <v>Santchou</v>
      </c>
      <c r="X14" s="88" t="str">
        <f t="shared" si="0"/>
        <v>OST</v>
      </c>
      <c r="Y14" s="88" t="str">
        <f t="shared" ca="1" si="1"/>
        <v>T&gt;72H</v>
      </c>
      <c r="Z14" s="101">
        <f t="shared" si="2"/>
        <v>1</v>
      </c>
      <c r="AA14" s="86" t="s">
        <v>1566</v>
      </c>
      <c r="AB14" s="84" t="s">
        <v>1904</v>
      </c>
      <c r="AC14" s="105" t="s">
        <v>2702</v>
      </c>
      <c r="AD14" s="106" t="s">
        <v>1994</v>
      </c>
      <c r="AE14" s="61"/>
    </row>
    <row r="15" spans="1:31" ht="116" x14ac:dyDescent="0.35">
      <c r="A15" s="61" t="s">
        <v>1892</v>
      </c>
      <c r="B15" s="61" t="s">
        <v>1893</v>
      </c>
      <c r="C15" s="65"/>
      <c r="D15" s="61"/>
      <c r="E15" s="61" t="s">
        <v>2202</v>
      </c>
      <c r="F15" s="70" t="s">
        <v>53</v>
      </c>
      <c r="G15" s="70" t="s">
        <v>2121</v>
      </c>
      <c r="H15" s="67">
        <v>46175.837430555555</v>
      </c>
      <c r="I15" s="75">
        <f t="shared" ca="1" si="3"/>
        <v>4.8312618055570056</v>
      </c>
      <c r="J15" s="61"/>
      <c r="K15" s="61"/>
      <c r="L15" s="61"/>
      <c r="M15" s="61" t="s">
        <v>41</v>
      </c>
      <c r="N15" s="61" t="s">
        <v>42</v>
      </c>
      <c r="O15" s="61"/>
      <c r="P15" s="61"/>
      <c r="Q15" s="61"/>
      <c r="R15" s="61" t="s">
        <v>2378</v>
      </c>
      <c r="S15" s="61" t="s">
        <v>75</v>
      </c>
      <c r="T15" s="61" t="s">
        <v>1688</v>
      </c>
      <c r="U15" s="61" t="s">
        <v>1688</v>
      </c>
      <c r="V15" s="101" t="str">
        <f>VLOOKUP(B15,[2]Overall!$A:$D,4,0)</f>
        <v>H-TELI</v>
      </c>
      <c r="W15" s="101" t="str">
        <f>VLOOKUP(B15,[3]Sheet1!$A:$B,2,0)</f>
        <v>Santchou</v>
      </c>
      <c r="X15" s="88" t="str">
        <f t="shared" si="0"/>
        <v>OST</v>
      </c>
      <c r="Y15" s="88" t="str">
        <f t="shared" ca="1" si="1"/>
        <v>T&gt;72H</v>
      </c>
      <c r="Z15" s="101">
        <f t="shared" si="2"/>
        <v>1</v>
      </c>
      <c r="AA15" s="86" t="s">
        <v>1566</v>
      </c>
      <c r="AB15" s="84" t="s">
        <v>1904</v>
      </c>
      <c r="AC15" s="105" t="s">
        <v>2702</v>
      </c>
      <c r="AD15" s="106" t="s">
        <v>1994</v>
      </c>
      <c r="AE15" s="61"/>
    </row>
    <row r="16" spans="1:31" ht="116" x14ac:dyDescent="0.35">
      <c r="A16" s="61" t="s">
        <v>1892</v>
      </c>
      <c r="B16" s="61" t="s">
        <v>1893</v>
      </c>
      <c r="C16" s="65"/>
      <c r="D16" s="61"/>
      <c r="E16" s="61" t="s">
        <v>2203</v>
      </c>
      <c r="F16" s="70" t="s">
        <v>53</v>
      </c>
      <c r="G16" s="70" t="s">
        <v>2121</v>
      </c>
      <c r="H16" s="67">
        <v>46175.837430555555</v>
      </c>
      <c r="I16" s="75">
        <f t="shared" ca="1" si="3"/>
        <v>4.8312618055570056</v>
      </c>
      <c r="J16" s="61"/>
      <c r="K16" s="61"/>
      <c r="L16" s="61"/>
      <c r="M16" s="61" t="s">
        <v>41</v>
      </c>
      <c r="N16" s="61" t="s">
        <v>42</v>
      </c>
      <c r="O16" s="61"/>
      <c r="P16" s="61"/>
      <c r="Q16" s="61"/>
      <c r="R16" s="61" t="s">
        <v>2378</v>
      </c>
      <c r="S16" s="61" t="s">
        <v>75</v>
      </c>
      <c r="T16" s="61" t="s">
        <v>1688</v>
      </c>
      <c r="U16" s="61" t="s">
        <v>1688</v>
      </c>
      <c r="V16" s="101" t="str">
        <f>VLOOKUP(B16,[2]Overall!$A:$D,4,0)</f>
        <v>H-TELI</v>
      </c>
      <c r="W16" s="101" t="str">
        <f>VLOOKUP(B16,[3]Sheet1!$A:$B,2,0)</f>
        <v>Santchou</v>
      </c>
      <c r="X16" s="88" t="str">
        <f t="shared" si="0"/>
        <v>OST</v>
      </c>
      <c r="Y16" s="88" t="str">
        <f t="shared" ca="1" si="1"/>
        <v>T&gt;72H</v>
      </c>
      <c r="Z16" s="101">
        <f t="shared" si="2"/>
        <v>1</v>
      </c>
      <c r="AA16" s="86" t="s">
        <v>1566</v>
      </c>
      <c r="AB16" s="84" t="s">
        <v>1904</v>
      </c>
      <c r="AC16" s="105" t="s">
        <v>2702</v>
      </c>
      <c r="AD16" s="106" t="s">
        <v>1994</v>
      </c>
      <c r="AE16" s="61"/>
    </row>
    <row r="17" spans="1:31" ht="116" x14ac:dyDescent="0.35">
      <c r="A17" s="61" t="s">
        <v>1892</v>
      </c>
      <c r="B17" s="61" t="s">
        <v>1893</v>
      </c>
      <c r="C17" s="65"/>
      <c r="D17" s="61"/>
      <c r="E17" s="61" t="s">
        <v>2204</v>
      </c>
      <c r="F17" s="70" t="s">
        <v>53</v>
      </c>
      <c r="G17" s="70" t="s">
        <v>2121</v>
      </c>
      <c r="H17" s="67">
        <v>46175.837430555555</v>
      </c>
      <c r="I17" s="75">
        <f t="shared" ca="1" si="3"/>
        <v>4.8312618055570056</v>
      </c>
      <c r="J17" s="61"/>
      <c r="K17" s="61"/>
      <c r="L17" s="61"/>
      <c r="M17" s="61" t="s">
        <v>41</v>
      </c>
      <c r="N17" s="61" t="s">
        <v>42</v>
      </c>
      <c r="O17" s="61"/>
      <c r="P17" s="61"/>
      <c r="Q17" s="61"/>
      <c r="R17" s="61" t="s">
        <v>2378</v>
      </c>
      <c r="S17" s="61" t="s">
        <v>75</v>
      </c>
      <c r="T17" s="61" t="s">
        <v>1688</v>
      </c>
      <c r="U17" s="61" t="s">
        <v>1688</v>
      </c>
      <c r="V17" s="101" t="str">
        <f>VLOOKUP(B17,[2]Overall!$A:$D,4,0)</f>
        <v>H-TELI</v>
      </c>
      <c r="W17" s="101" t="str">
        <f>VLOOKUP(B17,[3]Sheet1!$A:$B,2,0)</f>
        <v>Santchou</v>
      </c>
      <c r="X17" s="88" t="str">
        <f t="shared" si="0"/>
        <v>OST</v>
      </c>
      <c r="Y17" s="88" t="str">
        <f t="shared" ca="1" si="1"/>
        <v>T&gt;72H</v>
      </c>
      <c r="Z17" s="101">
        <f t="shared" si="2"/>
        <v>1</v>
      </c>
      <c r="AA17" s="86" t="s">
        <v>1566</v>
      </c>
      <c r="AB17" s="84" t="s">
        <v>1904</v>
      </c>
      <c r="AC17" s="105" t="s">
        <v>2702</v>
      </c>
      <c r="AD17" s="106" t="s">
        <v>1994</v>
      </c>
      <c r="AE17" s="61"/>
    </row>
    <row r="18" spans="1:31" ht="188.5" x14ac:dyDescent="0.35">
      <c r="A18" s="61" t="s">
        <v>2262</v>
      </c>
      <c r="B18" s="61" t="s">
        <v>2263</v>
      </c>
      <c r="C18" s="65"/>
      <c r="D18" s="61"/>
      <c r="E18" s="61" t="s">
        <v>2264</v>
      </c>
      <c r="F18" s="70" t="s">
        <v>53</v>
      </c>
      <c r="G18" s="70" t="s">
        <v>2121</v>
      </c>
      <c r="H18" s="67">
        <v>46176.41369212963</v>
      </c>
      <c r="I18" s="75">
        <f t="shared" ca="1" si="3"/>
        <v>4.2550002314819722</v>
      </c>
      <c r="J18" s="61"/>
      <c r="K18" s="61"/>
      <c r="L18" s="61"/>
      <c r="M18" s="61" t="s">
        <v>31</v>
      </c>
      <c r="N18" s="61" t="s">
        <v>2265</v>
      </c>
      <c r="O18" s="61"/>
      <c r="P18" s="61"/>
      <c r="Q18" s="61"/>
      <c r="R18" s="61" t="s">
        <v>2636</v>
      </c>
      <c r="S18" s="61" t="s">
        <v>40</v>
      </c>
      <c r="T18" s="61" t="s">
        <v>1898</v>
      </c>
      <c r="U18" s="61" t="s">
        <v>1898</v>
      </c>
      <c r="V18" s="101" t="str">
        <f>VLOOKUP(B18,[2]Overall!$A:$D,4,0)</f>
        <v>TELEINFRA NORD</v>
      </c>
      <c r="W18" s="101" t="str">
        <f>VLOOKUP(B18,[3]Sheet1!$A:$B,2,0)</f>
        <v>Ndiam-badji</v>
      </c>
      <c r="X18" s="88" t="str">
        <f t="shared" si="0"/>
        <v>NRD</v>
      </c>
      <c r="Y18" s="88" t="str">
        <f t="shared" ca="1" si="1"/>
        <v>T&gt;72H</v>
      </c>
      <c r="Z18" s="101">
        <f t="shared" si="2"/>
        <v>6</v>
      </c>
      <c r="AA18" s="86" t="s">
        <v>1566</v>
      </c>
      <c r="AB18" s="84" t="s">
        <v>1904</v>
      </c>
      <c r="AC18" s="105" t="s">
        <v>2702</v>
      </c>
      <c r="AD18" s="106" t="s">
        <v>1994</v>
      </c>
      <c r="AE18" s="61"/>
    </row>
    <row r="19" spans="1:31" ht="188.5" x14ac:dyDescent="0.35">
      <c r="A19" s="61" t="s">
        <v>2262</v>
      </c>
      <c r="B19" s="61" t="s">
        <v>2263</v>
      </c>
      <c r="C19" s="65"/>
      <c r="D19" s="61"/>
      <c r="E19" s="61" t="s">
        <v>2264</v>
      </c>
      <c r="F19" s="70" t="s">
        <v>53</v>
      </c>
      <c r="G19" s="70" t="s">
        <v>2121</v>
      </c>
      <c r="H19" s="67">
        <v>46176.450185185182</v>
      </c>
      <c r="I19" s="75">
        <f t="shared" ca="1" si="3"/>
        <v>4.2185071759304265</v>
      </c>
      <c r="J19" s="61"/>
      <c r="K19" s="61"/>
      <c r="L19" s="61"/>
      <c r="M19" s="61" t="s">
        <v>1713</v>
      </c>
      <c r="N19" s="61" t="s">
        <v>2266</v>
      </c>
      <c r="O19" s="61"/>
      <c r="P19" s="61"/>
      <c r="Q19" s="61"/>
      <c r="R19" s="61" t="s">
        <v>2636</v>
      </c>
      <c r="S19" s="61" t="s">
        <v>40</v>
      </c>
      <c r="T19" s="61" t="s">
        <v>1898</v>
      </c>
      <c r="U19" s="61" t="s">
        <v>1898</v>
      </c>
      <c r="V19" s="101" t="str">
        <f>VLOOKUP(B19,[2]Overall!$A:$D,4,0)</f>
        <v>TELEINFRA NORD</v>
      </c>
      <c r="W19" s="101" t="str">
        <f>VLOOKUP(B19,[3]Sheet1!$A:$B,2,0)</f>
        <v>Ndiam-badji</v>
      </c>
      <c r="X19" s="88" t="str">
        <f t="shared" si="0"/>
        <v>NRD</v>
      </c>
      <c r="Y19" s="88" t="str">
        <f t="shared" ca="1" si="1"/>
        <v>T&gt;72H</v>
      </c>
      <c r="Z19" s="101">
        <f t="shared" si="2"/>
        <v>6</v>
      </c>
      <c r="AA19" s="86" t="s">
        <v>1566</v>
      </c>
      <c r="AB19" s="84" t="s">
        <v>1904</v>
      </c>
      <c r="AC19" s="105" t="s">
        <v>2702</v>
      </c>
      <c r="AD19" s="106" t="s">
        <v>1994</v>
      </c>
      <c r="AE19" s="61"/>
    </row>
    <row r="20" spans="1:31" ht="87" x14ac:dyDescent="0.35">
      <c r="A20" s="61" t="s">
        <v>1705</v>
      </c>
      <c r="B20" s="61" t="s">
        <v>1706</v>
      </c>
      <c r="C20" s="65"/>
      <c r="D20" s="61"/>
      <c r="E20" s="61" t="s">
        <v>48</v>
      </c>
      <c r="F20" s="70" t="s">
        <v>53</v>
      </c>
      <c r="G20" s="70" t="s">
        <v>2121</v>
      </c>
      <c r="H20" s="67">
        <v>46177.386990740742</v>
      </c>
      <c r="I20" s="75">
        <f t="shared" ca="1" si="3"/>
        <v>3.2817016203698586</v>
      </c>
      <c r="J20" s="61"/>
      <c r="K20" s="61"/>
      <c r="L20" s="61"/>
      <c r="M20" s="61" t="s">
        <v>1707</v>
      </c>
      <c r="N20" s="61" t="s">
        <v>1708</v>
      </c>
      <c r="O20" s="61"/>
      <c r="P20" s="61"/>
      <c r="Q20" s="61"/>
      <c r="R20" s="61" t="s">
        <v>2414</v>
      </c>
      <c r="S20" s="61" t="s">
        <v>71</v>
      </c>
      <c r="T20" s="61" t="s">
        <v>1902</v>
      </c>
      <c r="U20" s="61" t="s">
        <v>1896</v>
      </c>
      <c r="V20" s="101" t="str">
        <f>VLOOKUP(B20,[2]Overall!$A:$D,4,0)</f>
        <v xml:space="preserve">I-ENG </v>
      </c>
      <c r="W20" s="101" t="str">
        <f>VLOOKUP(B20,[3]Sheet1!$A:$B,2,0)</f>
        <v>Laising</v>
      </c>
      <c r="X20" s="88" t="str">
        <f t="shared" ref="X20:X59" si="4">LEFT(B20,3)</f>
        <v>NRO</v>
      </c>
      <c r="Y20" s="88" t="str">
        <f t="shared" ref="Y20:Y59" ca="1" si="5">IF(I20 &lt; 1/24, "T&lt;1H", IF(AND(I20&lt;2/24, I20&gt;1/24), "1H&lt;T&lt;2H", IF(AND(I20&lt;4/24, I20&gt;2/24), "2H&lt;T&lt;4H", IF(AND(I20&lt;8/24, I20&gt;4/24), "4H&lt;T&lt;8H", IF(AND(I20&lt;16/24, I20&gt;8/24), "8H&lt;T&lt;16H",IF(AND(I20&lt;24/24, I20&gt;16/24),"16H&lt;T&lt;24H", IF(AND(I20&lt;48/24, I20&gt;24/24),"24H&lt;T&lt;48H",IF(AND(I20&lt;72/24, I20&gt;24/24),"48H&lt;T&lt;72H", "T&gt;72H"))))))))</f>
        <v>T&gt;72H</v>
      </c>
      <c r="Z20" s="101">
        <f t="shared" ref="Z20:Z59" si="6">IF(OR(E20="", E20="affected_cells=unknown"), "", LEN(E20)-LEN(SUBSTITUTE(E20, ",", "")) + LEN(E20)-LEN(SUBSTITUTE(E20, ";", "")) + 1)</f>
        <v>1</v>
      </c>
      <c r="AA20" s="86" t="s">
        <v>1566</v>
      </c>
      <c r="AB20" s="84" t="s">
        <v>1904</v>
      </c>
      <c r="AC20" s="105" t="s">
        <v>2702</v>
      </c>
      <c r="AD20" s="106" t="s">
        <v>1994</v>
      </c>
      <c r="AE20" s="61"/>
    </row>
    <row r="21" spans="1:31" ht="174" x14ac:dyDescent="0.35">
      <c r="A21" s="61" t="s">
        <v>2257</v>
      </c>
      <c r="B21" s="61" t="s">
        <v>1796</v>
      </c>
      <c r="C21" s="65"/>
      <c r="D21" s="61"/>
      <c r="E21" s="61" t="s">
        <v>35</v>
      </c>
      <c r="F21" s="70" t="s">
        <v>53</v>
      </c>
      <c r="G21" s="70" t="s">
        <v>2121</v>
      </c>
      <c r="H21" s="67">
        <v>46177.521458333336</v>
      </c>
      <c r="I21" s="75">
        <f t="shared" ca="1" si="3"/>
        <v>3.147234027775994</v>
      </c>
      <c r="J21" s="61"/>
      <c r="K21" s="61"/>
      <c r="L21" s="61"/>
      <c r="M21" s="61" t="s">
        <v>31</v>
      </c>
      <c r="N21" s="61" t="s">
        <v>2400</v>
      </c>
      <c r="O21" s="61"/>
      <c r="P21" s="61"/>
      <c r="Q21" s="61"/>
      <c r="R21" s="61" t="s">
        <v>2655</v>
      </c>
      <c r="S21" s="61" t="s">
        <v>40</v>
      </c>
      <c r="T21" s="61" t="s">
        <v>1899</v>
      </c>
      <c r="U21" s="61" t="s">
        <v>1899</v>
      </c>
      <c r="V21" s="101" t="str">
        <f>VLOOKUP(B21,[2]Overall!$A:$D,4,0)</f>
        <v>TELEINFRA NORD</v>
      </c>
      <c r="W21" s="101" t="str">
        <f>VLOOKUP(B21,[3]Sheet1!$A:$B,2,0)</f>
        <v>Bagarao</v>
      </c>
      <c r="X21" s="88" t="str">
        <f t="shared" si="4"/>
        <v>EXN</v>
      </c>
      <c r="Y21" s="88" t="str">
        <f t="shared" ca="1" si="5"/>
        <v>T&gt;72H</v>
      </c>
      <c r="Z21" s="101">
        <f t="shared" si="6"/>
        <v>3</v>
      </c>
      <c r="AA21" s="86" t="s">
        <v>1566</v>
      </c>
      <c r="AB21" s="84" t="s">
        <v>1904</v>
      </c>
      <c r="AC21" s="105" t="s">
        <v>2702</v>
      </c>
      <c r="AD21" s="106" t="s">
        <v>1994</v>
      </c>
      <c r="AE21" s="61"/>
    </row>
    <row r="22" spans="1:31" ht="87" x14ac:dyDescent="0.35">
      <c r="A22" s="61" t="s">
        <v>2276</v>
      </c>
      <c r="B22" s="61" t="s">
        <v>2277</v>
      </c>
      <c r="C22" s="65"/>
      <c r="D22" s="61"/>
      <c r="E22" s="61" t="s">
        <v>2278</v>
      </c>
      <c r="F22" s="70" t="s">
        <v>53</v>
      </c>
      <c r="G22" s="70" t="s">
        <v>2121</v>
      </c>
      <c r="H22" s="67">
        <v>46177.591168981482</v>
      </c>
      <c r="I22" s="75">
        <f t="shared" ca="1" si="3"/>
        <v>3.0775233796302928</v>
      </c>
      <c r="J22" s="61"/>
      <c r="K22" s="61"/>
      <c r="L22" s="61"/>
      <c r="M22" s="61" t="s">
        <v>38</v>
      </c>
      <c r="N22" s="61" t="s">
        <v>2279</v>
      </c>
      <c r="O22" s="61"/>
      <c r="P22" s="61"/>
      <c r="Q22" s="61"/>
      <c r="R22" s="61" t="s">
        <v>2624</v>
      </c>
      <c r="S22" s="61" t="s">
        <v>32</v>
      </c>
      <c r="T22" s="61" t="s">
        <v>1898</v>
      </c>
      <c r="U22" s="61" t="s">
        <v>1898</v>
      </c>
      <c r="V22" s="101" t="str">
        <f>VLOOKUP(B22,[2]Overall!$A:$D,4,0)</f>
        <v xml:space="preserve">I-ENG </v>
      </c>
      <c r="W22" s="101" t="str">
        <f>VLOOKUP(B22,[3]Sheet1!$A:$B,2,0)</f>
        <v>Babanki</v>
      </c>
      <c r="X22" s="88" t="str">
        <f t="shared" si="4"/>
        <v>NRO</v>
      </c>
      <c r="Y22" s="88" t="str">
        <f t="shared" ca="1" si="5"/>
        <v>T&gt;72H</v>
      </c>
      <c r="Z22" s="101">
        <f t="shared" si="6"/>
        <v>2</v>
      </c>
      <c r="AA22" s="86" t="s">
        <v>1566</v>
      </c>
      <c r="AB22" s="84" t="s">
        <v>1904</v>
      </c>
      <c r="AC22" s="105" t="s">
        <v>2702</v>
      </c>
      <c r="AD22" s="106" t="s">
        <v>1994</v>
      </c>
      <c r="AE22" s="61"/>
    </row>
    <row r="23" spans="1:31" ht="87" x14ac:dyDescent="0.35">
      <c r="A23" s="61" t="s">
        <v>1684</v>
      </c>
      <c r="B23" s="61" t="s">
        <v>1620</v>
      </c>
      <c r="C23" s="65"/>
      <c r="D23" s="61"/>
      <c r="E23" s="61" t="s">
        <v>1793</v>
      </c>
      <c r="F23" s="70" t="s">
        <v>53</v>
      </c>
      <c r="G23" s="70" t="s">
        <v>2121</v>
      </c>
      <c r="H23" s="67">
        <v>46177.706493055557</v>
      </c>
      <c r="I23" s="75">
        <f t="shared" ca="1" si="3"/>
        <v>2.9621993055552593</v>
      </c>
      <c r="J23" s="61"/>
      <c r="K23" s="61"/>
      <c r="L23" s="61"/>
      <c r="M23" s="61" t="s">
        <v>33</v>
      </c>
      <c r="N23" s="61" t="s">
        <v>1653</v>
      </c>
      <c r="O23" s="61"/>
      <c r="P23" s="61"/>
      <c r="Q23" s="61"/>
      <c r="R23" s="61" t="s">
        <v>2497</v>
      </c>
      <c r="S23" s="61" t="s">
        <v>75</v>
      </c>
      <c r="T23" s="61" t="s">
        <v>1898</v>
      </c>
      <c r="U23" s="61" t="s">
        <v>1898</v>
      </c>
      <c r="V23" s="101" t="str">
        <f>VLOOKUP(B23,[2]Overall!$A:$D,4,0)</f>
        <v>TELEINFRA NORD</v>
      </c>
      <c r="W23" s="101" t="str">
        <f>VLOOKUP(B23,[3]Sheet1!$A:$B,2,0)</f>
        <v>Batoua-Godole</v>
      </c>
      <c r="X23" s="88" t="str">
        <f t="shared" si="4"/>
        <v>ADM</v>
      </c>
      <c r="Y23" s="88" t="str">
        <f t="shared" ca="1" si="5"/>
        <v>48H&lt;T&lt;72H</v>
      </c>
      <c r="Z23" s="101">
        <f t="shared" si="6"/>
        <v>2</v>
      </c>
      <c r="AA23" s="86" t="s">
        <v>1566</v>
      </c>
      <c r="AB23" s="84" t="s">
        <v>1904</v>
      </c>
      <c r="AC23" s="105" t="s">
        <v>2702</v>
      </c>
      <c r="AD23" s="106" t="s">
        <v>1994</v>
      </c>
      <c r="AE23" s="61"/>
    </row>
    <row r="24" spans="1:31" ht="145" x14ac:dyDescent="0.35">
      <c r="A24" s="61" t="s">
        <v>1807</v>
      </c>
      <c r="B24" s="61" t="s">
        <v>1808</v>
      </c>
      <c r="C24" s="65"/>
      <c r="D24" s="61"/>
      <c r="E24" s="61" t="s">
        <v>1810</v>
      </c>
      <c r="F24" s="70" t="s">
        <v>53</v>
      </c>
      <c r="G24" s="70" t="s">
        <v>2121</v>
      </c>
      <c r="H24" s="67">
        <v>46177.733206018522</v>
      </c>
      <c r="I24" s="75">
        <f t="shared" ca="1" si="3"/>
        <v>2.9354863425905933</v>
      </c>
      <c r="J24" s="61"/>
      <c r="K24" s="61"/>
      <c r="L24" s="61"/>
      <c r="M24" s="61" t="s">
        <v>2053</v>
      </c>
      <c r="N24" s="61" t="s">
        <v>2054</v>
      </c>
      <c r="O24" s="61"/>
      <c r="P24" s="61"/>
      <c r="Q24" s="61"/>
      <c r="R24" s="61" t="s">
        <v>2622</v>
      </c>
      <c r="S24" s="61" t="s">
        <v>85</v>
      </c>
      <c r="T24" s="61" t="s">
        <v>1898</v>
      </c>
      <c r="U24" s="61" t="s">
        <v>1898</v>
      </c>
      <c r="V24" s="101" t="str">
        <f>VLOOKUP(B24,[2]Overall!$A:$D,4,0)</f>
        <v>H-TELI</v>
      </c>
      <c r="W24" s="101" t="str">
        <f>VLOOKUP(B24,[3]Sheet1!$A:$B,2,0)</f>
        <v>Songloulou</v>
      </c>
      <c r="X24" s="88" t="str">
        <f t="shared" si="4"/>
        <v>LIT</v>
      </c>
      <c r="Y24" s="88" t="str">
        <f t="shared" ca="1" si="5"/>
        <v>48H&lt;T&lt;72H</v>
      </c>
      <c r="Z24" s="101">
        <f t="shared" si="6"/>
        <v>1</v>
      </c>
      <c r="AA24" s="86" t="s">
        <v>1566</v>
      </c>
      <c r="AB24" s="84" t="s">
        <v>1904</v>
      </c>
      <c r="AC24" s="105" t="s">
        <v>2702</v>
      </c>
      <c r="AD24" s="106" t="s">
        <v>1994</v>
      </c>
      <c r="AE24" s="61"/>
    </row>
    <row r="25" spans="1:31" ht="217.5" x14ac:dyDescent="0.35">
      <c r="A25" s="61" t="s">
        <v>2147</v>
      </c>
      <c r="B25" s="61" t="s">
        <v>2148</v>
      </c>
      <c r="C25" s="65"/>
      <c r="D25" s="61"/>
      <c r="E25" s="61" t="s">
        <v>2149</v>
      </c>
      <c r="F25" s="70" t="s">
        <v>53</v>
      </c>
      <c r="G25" s="70" t="s">
        <v>2121</v>
      </c>
      <c r="H25" s="67">
        <v>46177.806562500002</v>
      </c>
      <c r="I25" s="75">
        <f t="shared" ca="1" si="3"/>
        <v>2.8621298611105885</v>
      </c>
      <c r="J25" s="61"/>
      <c r="K25" s="61"/>
      <c r="L25" s="61"/>
      <c r="M25" s="61" t="s">
        <v>33</v>
      </c>
      <c r="N25" s="61" t="s">
        <v>1626</v>
      </c>
      <c r="O25" s="61"/>
      <c r="P25" s="61"/>
      <c r="Q25" s="61"/>
      <c r="R25" s="61" t="s">
        <v>2685</v>
      </c>
      <c r="S25" s="61" t="s">
        <v>40</v>
      </c>
      <c r="T25" s="61" t="s">
        <v>1898</v>
      </c>
      <c r="U25" s="61" t="s">
        <v>1898</v>
      </c>
      <c r="V25" s="101" t="str">
        <f>VLOOKUP(B25,[2]Overall!$A:$D,4,0)</f>
        <v>TELEINFRA NORD</v>
      </c>
      <c r="W25" s="101" t="str">
        <f>VLOOKUP(B25,[3]Sheet1!$A:$B,2,0)</f>
        <v>Mboulai</v>
      </c>
      <c r="X25" s="88" t="str">
        <f t="shared" si="4"/>
        <v>ADM</v>
      </c>
      <c r="Y25" s="88" t="str">
        <f t="shared" ca="1" si="5"/>
        <v>48H&lt;T&lt;72H</v>
      </c>
      <c r="Z25" s="101">
        <f t="shared" si="6"/>
        <v>1</v>
      </c>
      <c r="AA25" s="86" t="s">
        <v>1566</v>
      </c>
      <c r="AB25" s="84" t="s">
        <v>1904</v>
      </c>
      <c r="AC25" s="105" t="s">
        <v>2702</v>
      </c>
      <c r="AD25" s="106" t="s">
        <v>1994</v>
      </c>
      <c r="AE25" s="61"/>
    </row>
    <row r="26" spans="1:31" ht="72.5" x14ac:dyDescent="0.35">
      <c r="A26" s="61" t="s">
        <v>2350</v>
      </c>
      <c r="B26" s="61" t="s">
        <v>2351</v>
      </c>
      <c r="C26" s="65"/>
      <c r="D26" s="61"/>
      <c r="E26" s="61" t="s">
        <v>2352</v>
      </c>
      <c r="F26" s="70" t="s">
        <v>53</v>
      </c>
      <c r="G26" s="70" t="s">
        <v>2121</v>
      </c>
      <c r="H26" s="67">
        <v>46177.830648148149</v>
      </c>
      <c r="I26" s="75">
        <f t="shared" ca="1" si="3"/>
        <v>2.8380442129637231</v>
      </c>
      <c r="J26" s="61"/>
      <c r="K26" s="61"/>
      <c r="L26" s="61"/>
      <c r="M26" s="61" t="s">
        <v>38</v>
      </c>
      <c r="N26" s="61" t="s">
        <v>2353</v>
      </c>
      <c r="O26" s="61"/>
      <c r="P26" s="61"/>
      <c r="Q26" s="61"/>
      <c r="R26" s="61" t="s">
        <v>2590</v>
      </c>
      <c r="S26" s="61" t="s">
        <v>75</v>
      </c>
      <c r="T26" s="61" t="s">
        <v>1754</v>
      </c>
      <c r="U26" s="61" t="s">
        <v>1754</v>
      </c>
      <c r="V26" s="101" t="str">
        <f>VLOOKUP(B26,[2]Overall!$A:$D,4,0)</f>
        <v>TELEINFRA NORD</v>
      </c>
      <c r="W26" s="101" t="str">
        <f>VLOOKUP(B26,[3]Sheet1!$A:$B,2,0)</f>
        <v>Guidjiba</v>
      </c>
      <c r="X26" s="88" t="str">
        <f t="shared" si="4"/>
        <v>NRD</v>
      </c>
      <c r="Y26" s="88" t="str">
        <f t="shared" ca="1" si="5"/>
        <v>48H&lt;T&lt;72H</v>
      </c>
      <c r="Z26" s="101">
        <f t="shared" si="6"/>
        <v>2</v>
      </c>
      <c r="AA26" s="86" t="s">
        <v>1566</v>
      </c>
      <c r="AB26" s="84" t="s">
        <v>1904</v>
      </c>
      <c r="AC26" s="105" t="s">
        <v>2702</v>
      </c>
      <c r="AD26" s="106" t="s">
        <v>1994</v>
      </c>
      <c r="AE26" s="61"/>
    </row>
    <row r="27" spans="1:31" ht="72.5" x14ac:dyDescent="0.35">
      <c r="A27" s="82" t="s">
        <v>2208</v>
      </c>
      <c r="B27" s="82" t="s">
        <v>2209</v>
      </c>
      <c r="C27" s="127"/>
      <c r="D27" s="82"/>
      <c r="E27" s="82" t="s">
        <v>2210</v>
      </c>
      <c r="F27" s="91" t="s">
        <v>53</v>
      </c>
      <c r="G27" s="91" t="s">
        <v>2121</v>
      </c>
      <c r="H27" s="128">
        <v>46178.137129629627</v>
      </c>
      <c r="I27" s="75">
        <f t="shared" ca="1" si="3"/>
        <v>2.5315627314848825</v>
      </c>
      <c r="J27" s="82"/>
      <c r="K27" s="82"/>
      <c r="L27" s="82"/>
      <c r="M27" s="82" t="s">
        <v>1627</v>
      </c>
      <c r="N27" s="82" t="s">
        <v>2211</v>
      </c>
      <c r="O27" s="82"/>
      <c r="P27" s="82"/>
      <c r="Q27" s="82"/>
      <c r="R27" s="82" t="s">
        <v>2601</v>
      </c>
      <c r="S27" s="82" t="s">
        <v>45</v>
      </c>
      <c r="T27" s="82" t="s">
        <v>1754</v>
      </c>
      <c r="U27" s="82" t="s">
        <v>1754</v>
      </c>
      <c r="V27" s="129" t="str">
        <f>VLOOKUP(B27,[2]Overall!$A:$D,4,0)</f>
        <v>TELEINFRA CENTRE</v>
      </c>
      <c r="W27" s="129" t="str">
        <f>VLOOKUP(B27,[3]Sheet1!$A:$B,2,0)</f>
        <v>Mvangan</v>
      </c>
      <c r="X27" s="130" t="str">
        <f t="shared" si="4"/>
        <v>SUD</v>
      </c>
      <c r="Y27" s="130" t="str">
        <f t="shared" ca="1" si="5"/>
        <v>48H&lt;T&lt;72H</v>
      </c>
      <c r="Z27" s="129">
        <f t="shared" si="6"/>
        <v>1</v>
      </c>
      <c r="AA27" s="86" t="s">
        <v>1566</v>
      </c>
      <c r="AB27" s="86" t="s">
        <v>1555</v>
      </c>
      <c r="AC27" s="131" t="s">
        <v>2702</v>
      </c>
      <c r="AD27" s="132" t="s">
        <v>1994</v>
      </c>
      <c r="AE27" s="82"/>
    </row>
    <row r="28" spans="1:31" ht="232" x14ac:dyDescent="0.35">
      <c r="A28" s="63" t="s">
        <v>1776</v>
      </c>
      <c r="B28" s="63" t="s">
        <v>1777</v>
      </c>
      <c r="C28" s="68"/>
      <c r="D28" s="63"/>
      <c r="E28" s="63" t="s">
        <v>35</v>
      </c>
      <c r="F28" s="71" t="s">
        <v>53</v>
      </c>
      <c r="G28" s="71" t="s">
        <v>2121</v>
      </c>
      <c r="H28" s="69">
        <v>46178.43041666667</v>
      </c>
      <c r="I28" s="75">
        <f t="shared" ca="1" si="3"/>
        <v>2.2382756944425637</v>
      </c>
      <c r="J28" s="63"/>
      <c r="K28" s="63"/>
      <c r="L28" s="63"/>
      <c r="M28" s="63" t="s">
        <v>31</v>
      </c>
      <c r="N28" s="63" t="s">
        <v>1778</v>
      </c>
      <c r="O28" s="63"/>
      <c r="P28" s="85" t="s">
        <v>1906</v>
      </c>
      <c r="Q28" s="63"/>
      <c r="R28" s="63" t="s">
        <v>2538</v>
      </c>
      <c r="S28" s="63" t="s">
        <v>32</v>
      </c>
      <c r="T28" s="63" t="s">
        <v>1898</v>
      </c>
      <c r="U28" s="63" t="s">
        <v>1898</v>
      </c>
      <c r="V28" s="107" t="str">
        <f>VLOOKUP(B28,[2]Overall!$A:$D,4,0)</f>
        <v xml:space="preserve">I-ENG </v>
      </c>
      <c r="W28" s="107" t="str">
        <f>VLOOKUP(B28,[3]Sheet1!$A:$B,2,0)</f>
        <v>Bafmeng</v>
      </c>
      <c r="X28" s="89" t="str">
        <f t="shared" si="4"/>
        <v>NRO</v>
      </c>
      <c r="Y28" s="89" t="str">
        <f t="shared" ca="1" si="5"/>
        <v>48H&lt;T&lt;72H</v>
      </c>
      <c r="Z28" s="107">
        <f t="shared" si="6"/>
        <v>3</v>
      </c>
      <c r="AA28" s="85" t="s">
        <v>77</v>
      </c>
      <c r="AB28" s="85" t="s">
        <v>1904</v>
      </c>
      <c r="AC28" s="108" t="s">
        <v>2702</v>
      </c>
      <c r="AD28" s="109" t="s">
        <v>1994</v>
      </c>
      <c r="AE28" s="63"/>
    </row>
    <row r="29" spans="1:31" ht="87" x14ac:dyDescent="0.35">
      <c r="A29" s="61" t="s">
        <v>2441</v>
      </c>
      <c r="B29" s="61" t="s">
        <v>2442</v>
      </c>
      <c r="C29" s="65"/>
      <c r="D29" s="61"/>
      <c r="E29" s="61" t="s">
        <v>2471</v>
      </c>
      <c r="F29" s="70" t="s">
        <v>53</v>
      </c>
      <c r="G29" s="70" t="s">
        <v>2121</v>
      </c>
      <c r="H29" s="67">
        <v>46178.441736111112</v>
      </c>
      <c r="I29" s="75">
        <f t="shared" ca="1" si="3"/>
        <v>2.2269562500005122</v>
      </c>
      <c r="J29" s="61"/>
      <c r="K29" s="61"/>
      <c r="L29" s="61"/>
      <c r="M29" s="61" t="s">
        <v>33</v>
      </c>
      <c r="N29" s="61" t="s">
        <v>2444</v>
      </c>
      <c r="O29" s="61"/>
      <c r="P29" s="61"/>
      <c r="Q29" s="61"/>
      <c r="R29" s="61" t="s">
        <v>2652</v>
      </c>
      <c r="S29" s="61" t="s">
        <v>45</v>
      </c>
      <c r="T29" s="61" t="s">
        <v>1898</v>
      </c>
      <c r="U29" s="61" t="s">
        <v>1898</v>
      </c>
      <c r="V29" s="101" t="str">
        <f>VLOOKUP(B29,[2]Overall!$A:$D,4,0)</f>
        <v>TELEINFRA CENTRE</v>
      </c>
      <c r="W29" s="101" t="str">
        <f>VLOOKUP(B29,[3]Sheet1!$A:$B,2,0)</f>
        <v>Yola</v>
      </c>
      <c r="X29" s="88" t="str">
        <f t="shared" si="4"/>
        <v>EST</v>
      </c>
      <c r="Y29" s="88" t="str">
        <f t="shared" ca="1" si="5"/>
        <v>48H&lt;T&lt;72H</v>
      </c>
      <c r="Z29" s="101">
        <f t="shared" si="6"/>
        <v>2</v>
      </c>
      <c r="AA29" s="86" t="s">
        <v>1566</v>
      </c>
      <c r="AB29" s="84" t="s">
        <v>1904</v>
      </c>
      <c r="AC29" s="105" t="s">
        <v>2702</v>
      </c>
      <c r="AD29" s="106" t="s">
        <v>1994</v>
      </c>
      <c r="AE29" s="61"/>
    </row>
    <row r="30" spans="1:31" ht="101.5" x14ac:dyDescent="0.35">
      <c r="A30" s="61" t="s">
        <v>2481</v>
      </c>
      <c r="B30" s="61" t="s">
        <v>2482</v>
      </c>
      <c r="C30" s="65"/>
      <c r="D30" s="61"/>
      <c r="E30" s="61" t="s">
        <v>2483</v>
      </c>
      <c r="F30" s="70" t="s">
        <v>53</v>
      </c>
      <c r="G30" s="70" t="s">
        <v>2121</v>
      </c>
      <c r="H30" s="67">
        <v>46178.506608796299</v>
      </c>
      <c r="I30" s="75">
        <f t="shared" ca="1" si="3"/>
        <v>2.1620835648136563</v>
      </c>
      <c r="J30" s="61"/>
      <c r="K30" s="61"/>
      <c r="L30" s="61"/>
      <c r="M30" s="61" t="s">
        <v>46</v>
      </c>
      <c r="N30" s="61" t="s">
        <v>2484</v>
      </c>
      <c r="O30" s="61"/>
      <c r="P30" s="61"/>
      <c r="Q30" s="61"/>
      <c r="R30" s="61" t="s">
        <v>2623</v>
      </c>
      <c r="S30" s="61" t="s">
        <v>85</v>
      </c>
      <c r="T30" s="61" t="s">
        <v>1898</v>
      </c>
      <c r="U30" s="61" t="s">
        <v>1898</v>
      </c>
      <c r="V30" s="101" t="str">
        <f>VLOOKUP(B30,[2]Overall!$A:$D,4,0)</f>
        <v>H-TELI</v>
      </c>
      <c r="W30" s="101" t="str">
        <f>VLOOKUP(B30,[3]Sheet1!$A:$B,2,0)</f>
        <v>Banguem</v>
      </c>
      <c r="X30" s="88" t="str">
        <f t="shared" si="4"/>
        <v>SUO</v>
      </c>
      <c r="Y30" s="88" t="str">
        <f t="shared" ca="1" si="5"/>
        <v>48H&lt;T&lt;72H</v>
      </c>
      <c r="Z30" s="101">
        <f t="shared" si="6"/>
        <v>1</v>
      </c>
      <c r="AA30" s="86" t="s">
        <v>1566</v>
      </c>
      <c r="AB30" s="84" t="s">
        <v>1904</v>
      </c>
      <c r="AC30" s="105" t="s">
        <v>2702</v>
      </c>
      <c r="AD30" s="106" t="s">
        <v>1994</v>
      </c>
      <c r="AE30" s="61"/>
    </row>
    <row r="31" spans="1:31" ht="87" x14ac:dyDescent="0.35">
      <c r="A31" s="61" t="s">
        <v>2520</v>
      </c>
      <c r="B31" s="61" t="s">
        <v>2521</v>
      </c>
      <c r="C31" s="65"/>
      <c r="D31" s="61"/>
      <c r="E31" s="61" t="s">
        <v>2522</v>
      </c>
      <c r="F31" s="70" t="s">
        <v>53</v>
      </c>
      <c r="G31" s="70" t="s">
        <v>2121</v>
      </c>
      <c r="H31" s="67">
        <v>46178.632245370369</v>
      </c>
      <c r="I31" s="75">
        <f t="shared" ca="1" si="3"/>
        <v>2.0364469907435705</v>
      </c>
      <c r="J31" s="61"/>
      <c r="K31" s="61"/>
      <c r="L31" s="61"/>
      <c r="M31" s="61" t="s">
        <v>33</v>
      </c>
      <c r="N31" s="61" t="s">
        <v>2523</v>
      </c>
      <c r="O31" s="61"/>
      <c r="P31" s="61"/>
      <c r="Q31" s="61"/>
      <c r="R31" s="61" t="s">
        <v>2660</v>
      </c>
      <c r="S31" s="61" t="s">
        <v>32</v>
      </c>
      <c r="T31" s="61" t="s">
        <v>1898</v>
      </c>
      <c r="U31" s="61" t="s">
        <v>1898</v>
      </c>
      <c r="V31" s="101" t="str">
        <f>VLOOKUP(B31,[2]Overall!$A:$D,4,0)</f>
        <v xml:space="preserve">I-ENG </v>
      </c>
      <c r="W31" s="101" t="str">
        <f>VLOOKUP(B31,[3]Sheet1!$A:$B,2,0)</f>
        <v>Nyanon</v>
      </c>
      <c r="X31" s="88" t="str">
        <f t="shared" si="4"/>
        <v>LIT</v>
      </c>
      <c r="Y31" s="88" t="str">
        <f t="shared" ca="1" si="5"/>
        <v>48H&lt;T&lt;72H</v>
      </c>
      <c r="Z31" s="101">
        <f t="shared" si="6"/>
        <v>2</v>
      </c>
      <c r="AA31" s="86" t="s">
        <v>1566</v>
      </c>
      <c r="AB31" s="84" t="s">
        <v>1904</v>
      </c>
      <c r="AC31" s="105" t="s">
        <v>2702</v>
      </c>
      <c r="AD31" s="106" t="s">
        <v>1994</v>
      </c>
      <c r="AE31" s="61"/>
    </row>
    <row r="32" spans="1:31" ht="409.5" x14ac:dyDescent="0.35">
      <c r="A32" s="61" t="s">
        <v>1624</v>
      </c>
      <c r="B32" s="61" t="s">
        <v>1625</v>
      </c>
      <c r="C32" s="65"/>
      <c r="D32" s="61"/>
      <c r="E32" s="61" t="s">
        <v>2582</v>
      </c>
      <c r="F32" s="70" t="s">
        <v>53</v>
      </c>
      <c r="G32" s="70" t="s">
        <v>2121</v>
      </c>
      <c r="H32" s="67">
        <v>46178.691365740742</v>
      </c>
      <c r="I32" s="75">
        <f t="shared" ca="1" si="3"/>
        <v>1.9773266203701496</v>
      </c>
      <c r="J32" s="61"/>
      <c r="K32" s="61"/>
      <c r="L32" s="61"/>
      <c r="M32" s="61" t="s">
        <v>33</v>
      </c>
      <c r="N32" s="61" t="s">
        <v>2470</v>
      </c>
      <c r="O32" s="61"/>
      <c r="P32" s="61"/>
      <c r="Q32" s="61"/>
      <c r="R32" s="61" t="s">
        <v>2681</v>
      </c>
      <c r="S32" s="61" t="s">
        <v>32</v>
      </c>
      <c r="T32" s="61" t="s">
        <v>1900</v>
      </c>
      <c r="U32" s="61" t="s">
        <v>1900</v>
      </c>
      <c r="V32" s="101" t="str">
        <f>VLOOKUP(B32,[2]Overall!$A:$D,4,0)</f>
        <v xml:space="preserve">I-ENG </v>
      </c>
      <c r="W32" s="101" t="str">
        <f>VLOOKUP(B32,[3]Sheet1!$A:$B,2,0)</f>
        <v>Kembong</v>
      </c>
      <c r="X32" s="88" t="str">
        <f t="shared" si="4"/>
        <v>NRO</v>
      </c>
      <c r="Y32" s="88" t="str">
        <f t="shared" ca="1" si="5"/>
        <v>24H&lt;T&lt;48H</v>
      </c>
      <c r="Z32" s="101">
        <f t="shared" si="6"/>
        <v>2</v>
      </c>
      <c r="AA32" s="86" t="s">
        <v>1566</v>
      </c>
      <c r="AB32" s="84" t="s">
        <v>1904</v>
      </c>
      <c r="AC32" s="105" t="s">
        <v>2702</v>
      </c>
      <c r="AD32" s="106" t="s">
        <v>1994</v>
      </c>
      <c r="AE32" s="61"/>
    </row>
    <row r="33" spans="1:31" ht="116" x14ac:dyDescent="0.35">
      <c r="A33" s="63" t="s">
        <v>1803</v>
      </c>
      <c r="B33" s="63" t="s">
        <v>1804</v>
      </c>
      <c r="C33" s="68"/>
      <c r="D33" s="63"/>
      <c r="E33" s="63" t="s">
        <v>2602</v>
      </c>
      <c r="F33" s="71" t="s">
        <v>53</v>
      </c>
      <c r="G33" s="71" t="s">
        <v>2121</v>
      </c>
      <c r="H33" s="69">
        <v>46178.741863425923</v>
      </c>
      <c r="I33" s="75">
        <f t="shared" ca="1" si="3"/>
        <v>1.9268289351894055</v>
      </c>
      <c r="J33" s="63"/>
      <c r="K33" s="63"/>
      <c r="L33" s="63"/>
      <c r="M33" s="63" t="s">
        <v>1627</v>
      </c>
      <c r="N33" s="63" t="s">
        <v>2603</v>
      </c>
      <c r="O33" s="63"/>
      <c r="P33" s="63" t="s">
        <v>2733</v>
      </c>
      <c r="Q33" s="63"/>
      <c r="R33" s="85" t="s">
        <v>2732</v>
      </c>
      <c r="S33" s="85" t="s">
        <v>45</v>
      </c>
      <c r="T33" s="85" t="s">
        <v>1898</v>
      </c>
      <c r="U33" s="85" t="s">
        <v>1898</v>
      </c>
      <c r="V33" s="107" t="str">
        <f>VLOOKUP(B33,[2]Overall!$A:$D,4,0)</f>
        <v>TELEINFRA CENTRE</v>
      </c>
      <c r="W33" s="107" t="str">
        <f>VLOOKUP(B33,[3]Sheet1!$A:$B,2,0)</f>
        <v>SALAPOUMBE</v>
      </c>
      <c r="X33" s="89" t="str">
        <f t="shared" si="4"/>
        <v>EST</v>
      </c>
      <c r="Y33" s="89" t="str">
        <f t="shared" ca="1" si="5"/>
        <v>24H&lt;T&lt;48H</v>
      </c>
      <c r="Z33" s="107">
        <f t="shared" si="6"/>
        <v>1</v>
      </c>
      <c r="AA33" s="85" t="s">
        <v>77</v>
      </c>
      <c r="AB33" s="85" t="s">
        <v>1904</v>
      </c>
      <c r="AC33" s="108" t="s">
        <v>2702</v>
      </c>
      <c r="AD33" s="109" t="s">
        <v>1994</v>
      </c>
      <c r="AE33" s="63"/>
    </row>
    <row r="34" spans="1:31" ht="87" x14ac:dyDescent="0.35">
      <c r="A34" s="61" t="s">
        <v>2554</v>
      </c>
      <c r="B34" s="61" t="s">
        <v>2555</v>
      </c>
      <c r="C34" s="65"/>
      <c r="D34" s="61"/>
      <c r="E34" s="61" t="s">
        <v>2564</v>
      </c>
      <c r="F34" s="70" t="s">
        <v>53</v>
      </c>
      <c r="G34" s="70" t="s">
        <v>2121</v>
      </c>
      <c r="H34" s="67">
        <v>46178.890717592592</v>
      </c>
      <c r="I34" s="75">
        <f t="shared" ca="1" si="3"/>
        <v>1.7779747685199254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61" t="s">
        <v>2654</v>
      </c>
      <c r="S34" s="61" t="s">
        <v>71</v>
      </c>
      <c r="T34" s="61" t="s">
        <v>1902</v>
      </c>
      <c r="U34" s="61" t="s">
        <v>1896</v>
      </c>
      <c r="V34" s="101" t="str">
        <f>VLOOKUP(B34,[2]Overall!$A:$D,4,0)</f>
        <v xml:space="preserve">I-ENG </v>
      </c>
      <c r="W34" s="101" t="str">
        <f>VLOOKUP(B34,[3]Sheet1!$A:$B,2,0)</f>
        <v>Bangambi</v>
      </c>
      <c r="X34" s="88" t="str">
        <f t="shared" si="4"/>
        <v>OST</v>
      </c>
      <c r="Y34" s="88" t="str">
        <f t="shared" ca="1" si="5"/>
        <v>24H&lt;T&lt;48H</v>
      </c>
      <c r="Z34" s="101">
        <f t="shared" si="6"/>
        <v>1</v>
      </c>
      <c r="AA34" s="86" t="s">
        <v>1566</v>
      </c>
      <c r="AB34" s="84" t="s">
        <v>1904</v>
      </c>
      <c r="AC34" s="105" t="s">
        <v>2702</v>
      </c>
      <c r="AD34" s="106" t="s">
        <v>1994</v>
      </c>
      <c r="AE34" s="61"/>
    </row>
    <row r="35" spans="1:31" ht="87" x14ac:dyDescent="0.35">
      <c r="A35" s="61" t="s">
        <v>2554</v>
      </c>
      <c r="B35" s="61" t="s">
        <v>2555</v>
      </c>
      <c r="C35" s="65"/>
      <c r="D35" s="61"/>
      <c r="E35" s="61" t="s">
        <v>2558</v>
      </c>
      <c r="F35" s="70" t="s">
        <v>53</v>
      </c>
      <c r="G35" s="70" t="s">
        <v>2121</v>
      </c>
      <c r="H35" s="67">
        <v>46178.890717592592</v>
      </c>
      <c r="I35" s="75">
        <f t="shared" ca="1" si="3"/>
        <v>1.7779747685199254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2654</v>
      </c>
      <c r="S35" s="61" t="s">
        <v>71</v>
      </c>
      <c r="T35" s="61" t="s">
        <v>1902</v>
      </c>
      <c r="U35" s="61" t="s">
        <v>1896</v>
      </c>
      <c r="V35" s="101" t="str">
        <f>VLOOKUP(B35,[2]Overall!$A:$D,4,0)</f>
        <v xml:space="preserve">I-ENG </v>
      </c>
      <c r="W35" s="101" t="str">
        <f>VLOOKUP(B35,[3]Sheet1!$A:$B,2,0)</f>
        <v>Bangambi</v>
      </c>
      <c r="X35" s="88" t="str">
        <f t="shared" si="4"/>
        <v>OST</v>
      </c>
      <c r="Y35" s="88" t="str">
        <f t="shared" ca="1" si="5"/>
        <v>24H&lt;T&lt;48H</v>
      </c>
      <c r="Z35" s="101">
        <f t="shared" si="6"/>
        <v>1</v>
      </c>
      <c r="AA35" s="86" t="s">
        <v>1566</v>
      </c>
      <c r="AB35" s="84" t="s">
        <v>1904</v>
      </c>
      <c r="AC35" s="105" t="s">
        <v>2702</v>
      </c>
      <c r="AD35" s="106" t="s">
        <v>1994</v>
      </c>
      <c r="AE35" s="61"/>
    </row>
    <row r="36" spans="1:31" ht="87" x14ac:dyDescent="0.35">
      <c r="A36" s="61" t="s">
        <v>2554</v>
      </c>
      <c r="B36" s="61" t="s">
        <v>2555</v>
      </c>
      <c r="C36" s="65"/>
      <c r="D36" s="61"/>
      <c r="E36" s="61" t="s">
        <v>2560</v>
      </c>
      <c r="F36" s="70" t="s">
        <v>53</v>
      </c>
      <c r="G36" s="70" t="s">
        <v>2121</v>
      </c>
      <c r="H36" s="67">
        <v>46178.890717592592</v>
      </c>
      <c r="I36" s="75">
        <f t="shared" ca="1" si="3"/>
        <v>1.7779747685199254</v>
      </c>
      <c r="J36" s="61"/>
      <c r="K36" s="61"/>
      <c r="L36" s="61"/>
      <c r="M36" s="61" t="s">
        <v>41</v>
      </c>
      <c r="N36" s="61" t="s">
        <v>42</v>
      </c>
      <c r="O36" s="61"/>
      <c r="P36" s="61"/>
      <c r="Q36" s="61"/>
      <c r="R36" s="61" t="s">
        <v>2654</v>
      </c>
      <c r="S36" s="61" t="s">
        <v>71</v>
      </c>
      <c r="T36" s="61" t="s">
        <v>1902</v>
      </c>
      <c r="U36" s="61" t="s">
        <v>1896</v>
      </c>
      <c r="V36" s="101" t="str">
        <f>VLOOKUP(B36,[2]Overall!$A:$D,4,0)</f>
        <v xml:space="preserve">I-ENG </v>
      </c>
      <c r="W36" s="101" t="str">
        <f>VLOOKUP(B36,[3]Sheet1!$A:$B,2,0)</f>
        <v>Bangambi</v>
      </c>
      <c r="X36" s="88" t="str">
        <f t="shared" si="4"/>
        <v>OST</v>
      </c>
      <c r="Y36" s="88" t="str">
        <f t="shared" ca="1" si="5"/>
        <v>24H&lt;T&lt;48H</v>
      </c>
      <c r="Z36" s="101">
        <f t="shared" si="6"/>
        <v>1</v>
      </c>
      <c r="AA36" s="86" t="s">
        <v>1566</v>
      </c>
      <c r="AB36" s="84" t="s">
        <v>1904</v>
      </c>
      <c r="AC36" s="105" t="s">
        <v>2702</v>
      </c>
      <c r="AD36" s="106" t="s">
        <v>1994</v>
      </c>
      <c r="AE36" s="61"/>
    </row>
    <row r="37" spans="1:31" ht="87" x14ac:dyDescent="0.35">
      <c r="A37" s="61" t="s">
        <v>2554</v>
      </c>
      <c r="B37" s="61" t="s">
        <v>2555</v>
      </c>
      <c r="C37" s="65"/>
      <c r="D37" s="61"/>
      <c r="E37" s="61" t="s">
        <v>2562</v>
      </c>
      <c r="F37" s="70" t="s">
        <v>53</v>
      </c>
      <c r="G37" s="70" t="s">
        <v>2121</v>
      </c>
      <c r="H37" s="67">
        <v>46178.890717592592</v>
      </c>
      <c r="I37" s="75">
        <f t="shared" ca="1" si="3"/>
        <v>1.7779747685199254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2654</v>
      </c>
      <c r="S37" s="61" t="s">
        <v>71</v>
      </c>
      <c r="T37" s="61" t="s">
        <v>1902</v>
      </c>
      <c r="U37" s="61" t="s">
        <v>1896</v>
      </c>
      <c r="V37" s="101" t="str">
        <f>VLOOKUP(B37,[2]Overall!$A:$D,4,0)</f>
        <v xml:space="preserve">I-ENG </v>
      </c>
      <c r="W37" s="101" t="str">
        <f>VLOOKUP(B37,[3]Sheet1!$A:$B,2,0)</f>
        <v>Bangambi</v>
      </c>
      <c r="X37" s="88" t="str">
        <f t="shared" si="4"/>
        <v>OST</v>
      </c>
      <c r="Y37" s="88" t="str">
        <f t="shared" ca="1" si="5"/>
        <v>24H&lt;T&lt;48H</v>
      </c>
      <c r="Z37" s="101">
        <f t="shared" si="6"/>
        <v>1</v>
      </c>
      <c r="AA37" s="86" t="s">
        <v>1566</v>
      </c>
      <c r="AB37" s="84" t="s">
        <v>1904</v>
      </c>
      <c r="AC37" s="105" t="s">
        <v>2702</v>
      </c>
      <c r="AD37" s="106" t="s">
        <v>1994</v>
      </c>
      <c r="AE37" s="61"/>
    </row>
    <row r="38" spans="1:31" ht="87" x14ac:dyDescent="0.35">
      <c r="A38" s="61" t="s">
        <v>2554</v>
      </c>
      <c r="B38" s="61" t="s">
        <v>2555</v>
      </c>
      <c r="C38" s="65"/>
      <c r="D38" s="61"/>
      <c r="E38" s="61" t="s">
        <v>2556</v>
      </c>
      <c r="F38" s="70" t="s">
        <v>53</v>
      </c>
      <c r="G38" s="70" t="s">
        <v>2121</v>
      </c>
      <c r="H38" s="67">
        <v>46178.890706018516</v>
      </c>
      <c r="I38" s="75">
        <f t="shared" ca="1" si="3"/>
        <v>1.7779863425967051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2654</v>
      </c>
      <c r="S38" s="61" t="s">
        <v>71</v>
      </c>
      <c r="T38" s="61" t="s">
        <v>1902</v>
      </c>
      <c r="U38" s="61" t="s">
        <v>1896</v>
      </c>
      <c r="V38" s="101" t="str">
        <f>VLOOKUP(B38,[2]Overall!$A:$D,4,0)</f>
        <v xml:space="preserve">I-ENG </v>
      </c>
      <c r="W38" s="101" t="str">
        <f>VLOOKUP(B38,[3]Sheet1!$A:$B,2,0)</f>
        <v>Bangambi</v>
      </c>
      <c r="X38" s="88" t="str">
        <f t="shared" si="4"/>
        <v>OST</v>
      </c>
      <c r="Y38" s="88" t="str">
        <f t="shared" ca="1" si="5"/>
        <v>24H&lt;T&lt;48H</v>
      </c>
      <c r="Z38" s="101">
        <f t="shared" si="6"/>
        <v>1</v>
      </c>
      <c r="AA38" s="86" t="s">
        <v>1566</v>
      </c>
      <c r="AB38" s="84" t="s">
        <v>1904</v>
      </c>
      <c r="AC38" s="105" t="s">
        <v>2702</v>
      </c>
      <c r="AD38" s="106" t="s">
        <v>1994</v>
      </c>
      <c r="AE38" s="61"/>
    </row>
    <row r="39" spans="1:31" ht="87" x14ac:dyDescent="0.35">
      <c r="A39" s="61" t="s">
        <v>2554</v>
      </c>
      <c r="B39" s="61" t="s">
        <v>2555</v>
      </c>
      <c r="C39" s="65"/>
      <c r="D39" s="61"/>
      <c r="E39" s="61" t="s">
        <v>2561</v>
      </c>
      <c r="F39" s="70" t="s">
        <v>53</v>
      </c>
      <c r="G39" s="70" t="s">
        <v>2121</v>
      </c>
      <c r="H39" s="67">
        <v>46178.890717592592</v>
      </c>
      <c r="I39" s="75">
        <f t="shared" ca="1" si="3"/>
        <v>1.7779747685199254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2654</v>
      </c>
      <c r="S39" s="61" t="s">
        <v>71</v>
      </c>
      <c r="T39" s="61" t="s">
        <v>1902</v>
      </c>
      <c r="U39" s="61" t="s">
        <v>1896</v>
      </c>
      <c r="V39" s="101" t="str">
        <f>VLOOKUP(B39,[2]Overall!$A:$D,4,0)</f>
        <v xml:space="preserve">I-ENG </v>
      </c>
      <c r="W39" s="101" t="str">
        <f>VLOOKUP(B39,[3]Sheet1!$A:$B,2,0)</f>
        <v>Bangambi</v>
      </c>
      <c r="X39" s="88" t="str">
        <f t="shared" si="4"/>
        <v>OST</v>
      </c>
      <c r="Y39" s="88" t="str">
        <f t="shared" ca="1" si="5"/>
        <v>24H&lt;T&lt;48H</v>
      </c>
      <c r="Z39" s="101">
        <f t="shared" si="6"/>
        <v>1</v>
      </c>
      <c r="AA39" s="86" t="s">
        <v>1566</v>
      </c>
      <c r="AB39" s="84" t="s">
        <v>1904</v>
      </c>
      <c r="AC39" s="105" t="s">
        <v>2702</v>
      </c>
      <c r="AD39" s="106" t="s">
        <v>1994</v>
      </c>
      <c r="AE39" s="61"/>
    </row>
    <row r="40" spans="1:31" ht="87" x14ac:dyDescent="0.35">
      <c r="A40" s="61" t="s">
        <v>2554</v>
      </c>
      <c r="B40" s="61" t="s">
        <v>2555</v>
      </c>
      <c r="C40" s="65"/>
      <c r="D40" s="61"/>
      <c r="E40" s="61" t="s">
        <v>2563</v>
      </c>
      <c r="F40" s="70" t="s">
        <v>53</v>
      </c>
      <c r="G40" s="70" t="s">
        <v>2121</v>
      </c>
      <c r="H40" s="67">
        <v>46178.890717592592</v>
      </c>
      <c r="I40" s="75">
        <f t="shared" ca="1" si="3"/>
        <v>1.7779747685199254</v>
      </c>
      <c r="J40" s="61"/>
      <c r="K40" s="61"/>
      <c r="L40" s="61"/>
      <c r="M40" s="61" t="s">
        <v>41</v>
      </c>
      <c r="N40" s="61" t="s">
        <v>42</v>
      </c>
      <c r="O40" s="61"/>
      <c r="P40" s="61"/>
      <c r="Q40" s="61"/>
      <c r="R40" s="61" t="s">
        <v>2654</v>
      </c>
      <c r="S40" s="61" t="s">
        <v>71</v>
      </c>
      <c r="T40" s="61" t="s">
        <v>1902</v>
      </c>
      <c r="U40" s="61" t="s">
        <v>1896</v>
      </c>
      <c r="V40" s="101" t="str">
        <f>VLOOKUP(B40,[2]Overall!$A:$D,4,0)</f>
        <v xml:space="preserve">I-ENG </v>
      </c>
      <c r="W40" s="101" t="str">
        <f>VLOOKUP(B40,[3]Sheet1!$A:$B,2,0)</f>
        <v>Bangambi</v>
      </c>
      <c r="X40" s="88" t="str">
        <f t="shared" si="4"/>
        <v>OST</v>
      </c>
      <c r="Y40" s="88" t="str">
        <f t="shared" ca="1" si="5"/>
        <v>24H&lt;T&lt;48H</v>
      </c>
      <c r="Z40" s="101">
        <f t="shared" si="6"/>
        <v>1</v>
      </c>
      <c r="AA40" s="86" t="s">
        <v>1566</v>
      </c>
      <c r="AB40" s="84" t="s">
        <v>1904</v>
      </c>
      <c r="AC40" s="105" t="s">
        <v>2702</v>
      </c>
      <c r="AD40" s="106" t="s">
        <v>1994</v>
      </c>
      <c r="AE40" s="61"/>
    </row>
    <row r="41" spans="1:31" ht="87" x14ac:dyDescent="0.35">
      <c r="A41" s="61" t="s">
        <v>2554</v>
      </c>
      <c r="B41" s="61" t="s">
        <v>2555</v>
      </c>
      <c r="C41" s="65"/>
      <c r="D41" s="61"/>
      <c r="E41" s="61" t="s">
        <v>2559</v>
      </c>
      <c r="F41" s="70" t="s">
        <v>53</v>
      </c>
      <c r="G41" s="70" t="s">
        <v>2121</v>
      </c>
      <c r="H41" s="67">
        <v>46178.890717592592</v>
      </c>
      <c r="I41" s="75">
        <f t="shared" ca="1" si="3"/>
        <v>1.7779747685199254</v>
      </c>
      <c r="J41" s="61"/>
      <c r="K41" s="61"/>
      <c r="L41" s="61"/>
      <c r="M41" s="61" t="s">
        <v>41</v>
      </c>
      <c r="N41" s="61" t="s">
        <v>42</v>
      </c>
      <c r="O41" s="61"/>
      <c r="P41" s="61"/>
      <c r="Q41" s="61"/>
      <c r="R41" s="61" t="s">
        <v>2654</v>
      </c>
      <c r="S41" s="61" t="s">
        <v>71</v>
      </c>
      <c r="T41" s="61" t="s">
        <v>1902</v>
      </c>
      <c r="U41" s="61" t="s">
        <v>1896</v>
      </c>
      <c r="V41" s="101" t="str">
        <f>VLOOKUP(B41,[2]Overall!$A:$D,4,0)</f>
        <v xml:space="preserve">I-ENG </v>
      </c>
      <c r="W41" s="101" t="str">
        <f>VLOOKUP(B41,[3]Sheet1!$A:$B,2,0)</f>
        <v>Bangambi</v>
      </c>
      <c r="X41" s="88" t="str">
        <f t="shared" si="4"/>
        <v>OST</v>
      </c>
      <c r="Y41" s="88" t="str">
        <f t="shared" ca="1" si="5"/>
        <v>24H&lt;T&lt;48H</v>
      </c>
      <c r="Z41" s="101">
        <f t="shared" si="6"/>
        <v>1</v>
      </c>
      <c r="AA41" s="86" t="s">
        <v>1566</v>
      </c>
      <c r="AB41" s="84" t="s">
        <v>1904</v>
      </c>
      <c r="AC41" s="105" t="s">
        <v>2702</v>
      </c>
      <c r="AD41" s="106" t="s">
        <v>1994</v>
      </c>
      <c r="AE41" s="61"/>
    </row>
    <row r="42" spans="1:31" ht="87" x14ac:dyDescent="0.35">
      <c r="A42" s="61" t="s">
        <v>2554</v>
      </c>
      <c r="B42" s="61" t="s">
        <v>2555</v>
      </c>
      <c r="C42" s="65"/>
      <c r="D42" s="61"/>
      <c r="E42" s="61" t="s">
        <v>2557</v>
      </c>
      <c r="F42" s="70" t="s">
        <v>53</v>
      </c>
      <c r="G42" s="70" t="s">
        <v>2121</v>
      </c>
      <c r="H42" s="67">
        <v>46178.890717592592</v>
      </c>
      <c r="I42" s="75">
        <f t="shared" ca="1" si="3"/>
        <v>1.7779747685199254</v>
      </c>
      <c r="J42" s="61"/>
      <c r="K42" s="61"/>
      <c r="L42" s="61"/>
      <c r="M42" s="61" t="s">
        <v>41</v>
      </c>
      <c r="N42" s="61" t="s">
        <v>42</v>
      </c>
      <c r="O42" s="61"/>
      <c r="P42" s="61"/>
      <c r="Q42" s="61"/>
      <c r="R42" s="61" t="s">
        <v>2654</v>
      </c>
      <c r="S42" s="61" t="s">
        <v>71</v>
      </c>
      <c r="T42" s="61" t="s">
        <v>1902</v>
      </c>
      <c r="U42" s="61" t="s">
        <v>1896</v>
      </c>
      <c r="V42" s="101" t="str">
        <f>VLOOKUP(B42,[2]Overall!$A:$D,4,0)</f>
        <v xml:space="preserve">I-ENG </v>
      </c>
      <c r="W42" s="101" t="str">
        <f>VLOOKUP(B42,[3]Sheet1!$A:$B,2,0)</f>
        <v>Bangambi</v>
      </c>
      <c r="X42" s="88" t="str">
        <f t="shared" si="4"/>
        <v>OST</v>
      </c>
      <c r="Y42" s="88" t="str">
        <f t="shared" ca="1" si="5"/>
        <v>24H&lt;T&lt;48H</v>
      </c>
      <c r="Z42" s="101">
        <f t="shared" si="6"/>
        <v>1</v>
      </c>
      <c r="AA42" s="86" t="s">
        <v>1566</v>
      </c>
      <c r="AB42" s="84" t="s">
        <v>1904</v>
      </c>
      <c r="AC42" s="105" t="s">
        <v>2702</v>
      </c>
      <c r="AD42" s="106" t="s">
        <v>1994</v>
      </c>
      <c r="AE42" s="61"/>
    </row>
    <row r="43" spans="1:31" ht="116" x14ac:dyDescent="0.35">
      <c r="A43" s="61" t="s">
        <v>2576</v>
      </c>
      <c r="B43" s="61" t="s">
        <v>2577</v>
      </c>
      <c r="C43" s="65"/>
      <c r="D43" s="61"/>
      <c r="E43" s="61" t="s">
        <v>1641</v>
      </c>
      <c r="F43" s="70" t="s">
        <v>53</v>
      </c>
      <c r="G43" s="70" t="s">
        <v>2121</v>
      </c>
      <c r="H43" s="67">
        <v>46179.268483796295</v>
      </c>
      <c r="I43" s="75">
        <f t="shared" ca="1" si="3"/>
        <v>1.4002085648171487</v>
      </c>
      <c r="J43" s="61"/>
      <c r="K43" s="61"/>
      <c r="L43" s="61"/>
      <c r="M43" s="61" t="s">
        <v>41</v>
      </c>
      <c r="N43" s="61" t="s">
        <v>2349</v>
      </c>
      <c r="O43" s="61"/>
      <c r="P43" s="61"/>
      <c r="Q43" s="61"/>
      <c r="R43" s="61" t="s">
        <v>2634</v>
      </c>
      <c r="S43" s="61" t="s">
        <v>40</v>
      </c>
      <c r="T43" s="61" t="s">
        <v>1840</v>
      </c>
      <c r="U43" s="61" t="s">
        <v>1840</v>
      </c>
      <c r="V43" s="101" t="str">
        <f>VLOOKUP(B43,[2]Overall!$A:$D,4,0)</f>
        <v>TELEINFRA NORD</v>
      </c>
      <c r="W43" s="101" t="str">
        <f>VLOOKUP(B43,[3]Sheet1!$A:$B,2,0)</f>
        <v>Tchevi</v>
      </c>
      <c r="X43" s="88" t="str">
        <f t="shared" si="4"/>
        <v>EXN</v>
      </c>
      <c r="Y43" s="88" t="str">
        <f t="shared" ca="1" si="5"/>
        <v>24H&lt;T&lt;48H</v>
      </c>
      <c r="Z43" s="101">
        <f t="shared" si="6"/>
        <v>1</v>
      </c>
      <c r="AA43" s="86" t="s">
        <v>1566</v>
      </c>
      <c r="AB43" s="84" t="s">
        <v>1904</v>
      </c>
      <c r="AC43" s="105" t="s">
        <v>2702</v>
      </c>
      <c r="AD43" s="106" t="s">
        <v>1994</v>
      </c>
      <c r="AE43" s="61"/>
    </row>
    <row r="44" spans="1:31" ht="116" x14ac:dyDescent="0.35">
      <c r="A44" s="61" t="s">
        <v>2576</v>
      </c>
      <c r="B44" s="61" t="s">
        <v>2577</v>
      </c>
      <c r="C44" s="65"/>
      <c r="D44" s="61"/>
      <c r="E44" s="61" t="s">
        <v>1636</v>
      </c>
      <c r="F44" s="70" t="s">
        <v>53</v>
      </c>
      <c r="G44" s="70" t="s">
        <v>2121</v>
      </c>
      <c r="H44" s="67">
        <v>46179.268483796295</v>
      </c>
      <c r="I44" s="75">
        <f t="shared" ca="1" si="3"/>
        <v>1.4002085648171487</v>
      </c>
      <c r="J44" s="61"/>
      <c r="K44" s="61"/>
      <c r="L44" s="61"/>
      <c r="M44" s="61" t="s">
        <v>41</v>
      </c>
      <c r="N44" s="61" t="s">
        <v>2348</v>
      </c>
      <c r="O44" s="61"/>
      <c r="P44" s="61"/>
      <c r="Q44" s="61"/>
      <c r="R44" s="61" t="s">
        <v>2634</v>
      </c>
      <c r="S44" s="61" t="s">
        <v>40</v>
      </c>
      <c r="T44" s="61" t="s">
        <v>1840</v>
      </c>
      <c r="U44" s="61" t="s">
        <v>1840</v>
      </c>
      <c r="V44" s="101" t="str">
        <f>VLOOKUP(B44,[2]Overall!$A:$D,4,0)</f>
        <v>TELEINFRA NORD</v>
      </c>
      <c r="W44" s="101" t="str">
        <f>VLOOKUP(B44,[3]Sheet1!$A:$B,2,0)</f>
        <v>Tchevi</v>
      </c>
      <c r="X44" s="88" t="str">
        <f t="shared" si="4"/>
        <v>EXN</v>
      </c>
      <c r="Y44" s="88" t="str">
        <f t="shared" ca="1" si="5"/>
        <v>24H&lt;T&lt;48H</v>
      </c>
      <c r="Z44" s="101">
        <f t="shared" si="6"/>
        <v>1</v>
      </c>
      <c r="AA44" s="86" t="s">
        <v>1566</v>
      </c>
      <c r="AB44" s="84" t="s">
        <v>1904</v>
      </c>
      <c r="AC44" s="105" t="s">
        <v>2702</v>
      </c>
      <c r="AD44" s="106" t="s">
        <v>1994</v>
      </c>
      <c r="AE44" s="61"/>
    </row>
    <row r="45" spans="1:31" ht="116" x14ac:dyDescent="0.35">
      <c r="A45" s="61" t="s">
        <v>2576</v>
      </c>
      <c r="B45" s="61" t="s">
        <v>2577</v>
      </c>
      <c r="C45" s="65"/>
      <c r="D45" s="61"/>
      <c r="E45" s="61" t="s">
        <v>49</v>
      </c>
      <c r="F45" s="70" t="s">
        <v>53</v>
      </c>
      <c r="G45" s="70" t="s">
        <v>2121</v>
      </c>
      <c r="H45" s="67">
        <v>46179.268483796295</v>
      </c>
      <c r="I45" s="75">
        <f t="shared" ca="1" si="3"/>
        <v>1.4002085648171487</v>
      </c>
      <c r="J45" s="61"/>
      <c r="K45" s="61"/>
      <c r="L45" s="61"/>
      <c r="M45" s="61" t="s">
        <v>41</v>
      </c>
      <c r="N45" s="61" t="s">
        <v>2347</v>
      </c>
      <c r="O45" s="61"/>
      <c r="P45" s="61"/>
      <c r="Q45" s="61"/>
      <c r="R45" s="61" t="s">
        <v>2634</v>
      </c>
      <c r="S45" s="61" t="s">
        <v>40</v>
      </c>
      <c r="T45" s="61" t="s">
        <v>1840</v>
      </c>
      <c r="U45" s="61" t="s">
        <v>1840</v>
      </c>
      <c r="V45" s="101" t="str">
        <f>VLOOKUP(B45,[2]Overall!$A:$D,4,0)</f>
        <v>TELEINFRA NORD</v>
      </c>
      <c r="W45" s="101" t="str">
        <f>VLOOKUP(B45,[3]Sheet1!$A:$B,2,0)</f>
        <v>Tchevi</v>
      </c>
      <c r="X45" s="88" t="str">
        <f t="shared" si="4"/>
        <v>EXN</v>
      </c>
      <c r="Y45" s="88" t="str">
        <f t="shared" ca="1" si="5"/>
        <v>24H&lt;T&lt;48H</v>
      </c>
      <c r="Z45" s="101">
        <f t="shared" si="6"/>
        <v>1</v>
      </c>
      <c r="AA45" s="86" t="s">
        <v>1566</v>
      </c>
      <c r="AB45" s="84" t="s">
        <v>1904</v>
      </c>
      <c r="AC45" s="105" t="s">
        <v>2702</v>
      </c>
      <c r="AD45" s="106" t="s">
        <v>1994</v>
      </c>
      <c r="AE45" s="61"/>
    </row>
    <row r="46" spans="1:31" ht="261" x14ac:dyDescent="0.35">
      <c r="A46" s="61" t="s">
        <v>1779</v>
      </c>
      <c r="B46" s="61" t="s">
        <v>1780</v>
      </c>
      <c r="C46" s="65"/>
      <c r="D46" s="61"/>
      <c r="E46" s="61" t="s">
        <v>37</v>
      </c>
      <c r="F46" s="70" t="s">
        <v>53</v>
      </c>
      <c r="G46" s="70" t="s">
        <v>2121</v>
      </c>
      <c r="H46" s="67">
        <v>46179.27957175926</v>
      </c>
      <c r="I46" s="75">
        <f t="shared" ca="1" si="3"/>
        <v>1.3891206018524827</v>
      </c>
      <c r="J46" s="61"/>
      <c r="K46" s="61"/>
      <c r="L46" s="61"/>
      <c r="M46" s="61" t="s">
        <v>41</v>
      </c>
      <c r="N46" s="61" t="s">
        <v>1781</v>
      </c>
      <c r="O46" s="61"/>
      <c r="P46" s="61"/>
      <c r="Q46" s="61"/>
      <c r="R46" s="61" t="s">
        <v>2379</v>
      </c>
      <c r="S46" s="61" t="s">
        <v>75</v>
      </c>
      <c r="T46" s="61" t="s">
        <v>1840</v>
      </c>
      <c r="U46" s="61" t="s">
        <v>1840</v>
      </c>
      <c r="V46" s="101" t="str">
        <f>VLOOKUP(B46,[2]Overall!$A:$D,4,0)</f>
        <v>TELEINFRA NORD</v>
      </c>
      <c r="W46" s="101" t="str">
        <f>VLOOKUP(B46,[3]Sheet1!$A:$B,2,0)</f>
        <v>Badjonre</v>
      </c>
      <c r="X46" s="88" t="str">
        <f t="shared" si="4"/>
        <v>EXN</v>
      </c>
      <c r="Y46" s="88" t="str">
        <f t="shared" ca="1" si="5"/>
        <v>24H&lt;T&lt;48H</v>
      </c>
      <c r="Z46" s="101">
        <f t="shared" si="6"/>
        <v>1</v>
      </c>
      <c r="AA46" s="86" t="s">
        <v>1566</v>
      </c>
      <c r="AB46" s="84" t="s">
        <v>1904</v>
      </c>
      <c r="AC46" s="105" t="s">
        <v>2702</v>
      </c>
      <c r="AD46" s="106" t="s">
        <v>1994</v>
      </c>
      <c r="AE46" s="61"/>
    </row>
    <row r="47" spans="1:31" ht="130.5" x14ac:dyDescent="0.35">
      <c r="A47" s="61" t="s">
        <v>2436</v>
      </c>
      <c r="B47" s="61" t="s">
        <v>2437</v>
      </c>
      <c r="C47" s="65"/>
      <c r="D47" s="61"/>
      <c r="E47" s="61" t="s">
        <v>34</v>
      </c>
      <c r="F47" s="70" t="s">
        <v>53</v>
      </c>
      <c r="G47" s="70" t="s">
        <v>2121</v>
      </c>
      <c r="H47" s="67">
        <v>46179.286550925928</v>
      </c>
      <c r="I47" s="75">
        <f t="shared" ca="1" si="3"/>
        <v>1.3821414351841668</v>
      </c>
      <c r="J47" s="61"/>
      <c r="K47" s="61"/>
      <c r="L47" s="61"/>
      <c r="M47" s="61" t="s">
        <v>31</v>
      </c>
      <c r="N47" s="61" t="s">
        <v>2438</v>
      </c>
      <c r="O47" s="61"/>
      <c r="P47" s="61"/>
      <c r="Q47" s="61"/>
      <c r="R47" s="61" t="s">
        <v>2653</v>
      </c>
      <c r="S47" s="61" t="s">
        <v>45</v>
      </c>
      <c r="T47" s="61" t="s">
        <v>1898</v>
      </c>
      <c r="U47" s="61" t="s">
        <v>1898</v>
      </c>
      <c r="V47" s="101" t="str">
        <f>VLOOKUP(B47,[2]Overall!$A:$D,4,0)</f>
        <v>TELEINFRA CENTRE</v>
      </c>
      <c r="W47" s="101" t="str">
        <f>VLOOKUP(B47,[3]Sheet1!$A:$B,2,0)</f>
        <v>Ngola</v>
      </c>
      <c r="X47" s="88" t="str">
        <f t="shared" si="4"/>
        <v>EST</v>
      </c>
      <c r="Y47" s="88" t="str">
        <f t="shared" ca="1" si="5"/>
        <v>24H&lt;T&lt;48H</v>
      </c>
      <c r="Z47" s="101">
        <f t="shared" si="6"/>
        <v>1</v>
      </c>
      <c r="AA47" s="86" t="s">
        <v>1566</v>
      </c>
      <c r="AB47" s="84" t="s">
        <v>1904</v>
      </c>
      <c r="AC47" s="105" t="s">
        <v>2702</v>
      </c>
      <c r="AD47" s="106" t="s">
        <v>1994</v>
      </c>
      <c r="AE47" s="61"/>
    </row>
    <row r="48" spans="1:31" ht="72.5" x14ac:dyDescent="0.35">
      <c r="A48" s="84" t="s">
        <v>2637</v>
      </c>
      <c r="B48" s="61" t="s">
        <v>2638</v>
      </c>
      <c r="C48" s="65"/>
      <c r="D48" s="61"/>
      <c r="E48" s="61" t="s">
        <v>47</v>
      </c>
      <c r="F48" s="70" t="s">
        <v>53</v>
      </c>
      <c r="G48" s="70" t="s">
        <v>2121</v>
      </c>
      <c r="H48" s="67">
        <v>46179.473391203705</v>
      </c>
      <c r="I48" s="75">
        <f t="shared" ca="1" si="3"/>
        <v>1.1953011574078118</v>
      </c>
      <c r="J48" s="61"/>
      <c r="K48" s="61"/>
      <c r="L48" s="61"/>
      <c r="M48" s="61" t="s">
        <v>31</v>
      </c>
      <c r="N48" s="61" t="s">
        <v>2639</v>
      </c>
      <c r="O48" s="61"/>
      <c r="P48" s="61"/>
      <c r="Q48" s="61"/>
      <c r="R48" s="61" t="s">
        <v>2651</v>
      </c>
      <c r="S48" s="61" t="s">
        <v>32</v>
      </c>
      <c r="T48" s="61" t="s">
        <v>1898</v>
      </c>
      <c r="U48" s="61" t="s">
        <v>1898</v>
      </c>
      <c r="V48" s="101" t="str">
        <f>VLOOKUP(B48,[2]Overall!$A:$D,4,0)</f>
        <v xml:space="preserve">I-ENG </v>
      </c>
      <c r="W48" s="101" t="str">
        <f>VLOOKUP(B48,[3]Sheet1!$A:$B,2,0)</f>
        <v>Nkambe</v>
      </c>
      <c r="X48" s="88" t="str">
        <f t="shared" si="4"/>
        <v>NRO</v>
      </c>
      <c r="Y48" s="88" t="str">
        <f t="shared" ca="1" si="5"/>
        <v>24H&lt;T&lt;48H</v>
      </c>
      <c r="Z48" s="101">
        <f t="shared" si="6"/>
        <v>3</v>
      </c>
      <c r="AA48" s="86" t="s">
        <v>1566</v>
      </c>
      <c r="AB48" s="84" t="s">
        <v>1904</v>
      </c>
      <c r="AC48" s="105" t="s">
        <v>2702</v>
      </c>
      <c r="AD48" s="106" t="s">
        <v>1994</v>
      </c>
      <c r="AE48" s="61"/>
    </row>
    <row r="49" spans="1:31" ht="275.5" x14ac:dyDescent="0.35">
      <c r="A49" s="61" t="s">
        <v>1581</v>
      </c>
      <c r="B49" s="61" t="s">
        <v>1582</v>
      </c>
      <c r="C49" s="65"/>
      <c r="D49" s="61"/>
      <c r="E49" s="61" t="s">
        <v>1937</v>
      </c>
      <c r="F49" s="70" t="s">
        <v>53</v>
      </c>
      <c r="G49" s="70" t="s">
        <v>2121</v>
      </c>
      <c r="H49" s="67">
        <v>46179.600486111114</v>
      </c>
      <c r="I49" s="75">
        <f t="shared" ca="1" si="3"/>
        <v>1.0682062499981839</v>
      </c>
      <c r="J49" s="61"/>
      <c r="K49" s="61"/>
      <c r="L49" s="61"/>
      <c r="M49" s="61" t="s">
        <v>41</v>
      </c>
      <c r="N49" s="61" t="s">
        <v>1938</v>
      </c>
      <c r="O49" s="61"/>
      <c r="P49" s="61"/>
      <c r="Q49" s="61"/>
      <c r="R49" s="61" t="s">
        <v>2659</v>
      </c>
      <c r="S49" s="61" t="s">
        <v>32</v>
      </c>
      <c r="T49" s="61" t="s">
        <v>1840</v>
      </c>
      <c r="U49" s="61" t="s">
        <v>1840</v>
      </c>
      <c r="V49" s="101" t="str">
        <f>VLOOKUP(B49,[2]Overall!$A:$D,4,0)</f>
        <v xml:space="preserve">I-ENG </v>
      </c>
      <c r="W49" s="101" t="str">
        <f>VLOOKUP(B49,[3]Sheet1!$A:$B,2,0)</f>
        <v>Batibo</v>
      </c>
      <c r="X49" s="88" t="str">
        <f t="shared" si="4"/>
        <v>NRO</v>
      </c>
      <c r="Y49" s="88" t="str">
        <f t="shared" ca="1" si="5"/>
        <v>24H&lt;T&lt;48H</v>
      </c>
      <c r="Z49" s="101">
        <f t="shared" si="6"/>
        <v>1</v>
      </c>
      <c r="AA49" s="86" t="s">
        <v>1566</v>
      </c>
      <c r="AB49" s="84" t="s">
        <v>1904</v>
      </c>
      <c r="AC49" s="105" t="s">
        <v>2702</v>
      </c>
      <c r="AD49" s="106" t="s">
        <v>1994</v>
      </c>
      <c r="AE49" s="61"/>
    </row>
    <row r="50" spans="1:31" ht="188.5" x14ac:dyDescent="0.35">
      <c r="A50" s="61" t="s">
        <v>2273</v>
      </c>
      <c r="B50" s="61" t="s">
        <v>2268</v>
      </c>
      <c r="C50" s="65"/>
      <c r="D50" s="61"/>
      <c r="E50" s="61" t="s">
        <v>37</v>
      </c>
      <c r="F50" s="70" t="s">
        <v>53</v>
      </c>
      <c r="G50" s="70" t="s">
        <v>2121</v>
      </c>
      <c r="H50" s="67">
        <v>46179.610868055555</v>
      </c>
      <c r="I50" s="75">
        <f t="shared" ca="1" si="3"/>
        <v>1.0578243055570056</v>
      </c>
      <c r="J50" s="61"/>
      <c r="K50" s="61"/>
      <c r="L50" s="61"/>
      <c r="M50" s="61" t="s">
        <v>41</v>
      </c>
      <c r="N50" s="61" t="s">
        <v>2668</v>
      </c>
      <c r="O50" s="61"/>
      <c r="P50" s="61"/>
      <c r="Q50" s="61"/>
      <c r="R50" s="61" t="s">
        <v>2657</v>
      </c>
      <c r="S50" s="61" t="s">
        <v>40</v>
      </c>
      <c r="T50" s="61" t="s">
        <v>1840</v>
      </c>
      <c r="U50" s="61" t="s">
        <v>1840</v>
      </c>
      <c r="V50" s="101" t="str">
        <f>VLOOKUP(B50,[2]Overall!$A:$D,4,0)</f>
        <v>TELEINFRA NORD</v>
      </c>
      <c r="W50" s="101" t="str">
        <f>VLOOKUP(B50,[3]Sheet1!$A:$B,2,0)</f>
        <v>Dabanga</v>
      </c>
      <c r="X50" s="88" t="str">
        <f t="shared" si="4"/>
        <v>EXN</v>
      </c>
      <c r="Y50" s="88" t="str">
        <f t="shared" ca="1" si="5"/>
        <v>24H&lt;T&lt;48H</v>
      </c>
      <c r="Z50" s="101">
        <f t="shared" si="6"/>
        <v>1</v>
      </c>
      <c r="AA50" s="86" t="s">
        <v>1566</v>
      </c>
      <c r="AB50" s="84" t="s">
        <v>1904</v>
      </c>
      <c r="AC50" s="105" t="s">
        <v>2702</v>
      </c>
      <c r="AD50" s="106" t="s">
        <v>1994</v>
      </c>
      <c r="AE50" s="61"/>
    </row>
    <row r="51" spans="1:31" ht="101.5" x14ac:dyDescent="0.35">
      <c r="A51" s="86" t="s">
        <v>2225</v>
      </c>
      <c r="B51" s="82" t="s">
        <v>2226</v>
      </c>
      <c r="C51" s="127"/>
      <c r="D51" s="82"/>
      <c r="E51" s="82" t="s">
        <v>39</v>
      </c>
      <c r="F51" s="91" t="s">
        <v>53</v>
      </c>
      <c r="G51" s="91" t="s">
        <v>2121</v>
      </c>
      <c r="H51" s="128">
        <v>46179.739756944444</v>
      </c>
      <c r="I51" s="75">
        <f t="shared" ca="1" si="3"/>
        <v>0.92893541666853707</v>
      </c>
      <c r="J51" s="82"/>
      <c r="K51" s="82"/>
      <c r="L51" s="82"/>
      <c r="M51" s="82" t="s">
        <v>1712</v>
      </c>
      <c r="N51" s="82" t="s">
        <v>2227</v>
      </c>
      <c r="O51" s="82"/>
      <c r="P51" s="82"/>
      <c r="Q51" s="82"/>
      <c r="R51" s="86" t="s">
        <v>2708</v>
      </c>
      <c r="S51" s="86" t="s">
        <v>32</v>
      </c>
      <c r="T51" s="82" t="s">
        <v>1899</v>
      </c>
      <c r="U51" s="82" t="s">
        <v>1899</v>
      </c>
      <c r="V51" s="129" t="str">
        <f>VLOOKUP(B51,[2]Overall!$A:$D,4,0)</f>
        <v xml:space="preserve">I-ENG </v>
      </c>
      <c r="W51" s="129" t="str">
        <f>VLOOKUP(B51,[3]Sheet1!$A:$B,2,0)</f>
        <v>Matsari</v>
      </c>
      <c r="X51" s="130" t="str">
        <f t="shared" si="4"/>
        <v>CTR</v>
      </c>
      <c r="Y51" s="130" t="str">
        <f t="shared" ca="1" si="5"/>
        <v>16H&lt;T&lt;24H</v>
      </c>
      <c r="Z51" s="129">
        <f t="shared" si="6"/>
        <v>1</v>
      </c>
      <c r="AA51" s="86" t="s">
        <v>1566</v>
      </c>
      <c r="AB51" s="86" t="s">
        <v>1555</v>
      </c>
      <c r="AC51" s="131" t="s">
        <v>2702</v>
      </c>
      <c r="AD51" s="132" t="s">
        <v>1994</v>
      </c>
      <c r="AE51" s="82"/>
    </row>
    <row r="52" spans="1:31" ht="116" x14ac:dyDescent="0.35">
      <c r="A52" s="61" t="s">
        <v>2316</v>
      </c>
      <c r="B52" s="61" t="s">
        <v>2317</v>
      </c>
      <c r="C52" s="65"/>
      <c r="D52" s="61"/>
      <c r="E52" s="61" t="s">
        <v>2694</v>
      </c>
      <c r="F52" s="70" t="s">
        <v>53</v>
      </c>
      <c r="G52" s="70" t="s">
        <v>2121</v>
      </c>
      <c r="H52" s="67">
        <v>46179.757233796299</v>
      </c>
      <c r="I52" s="75">
        <f t="shared" ca="1" si="3"/>
        <v>0.91145856481307419</v>
      </c>
      <c r="J52" s="61"/>
      <c r="K52" s="61"/>
      <c r="L52" s="61"/>
      <c r="M52" s="61" t="s">
        <v>38</v>
      </c>
      <c r="N52" s="61" t="s">
        <v>2319</v>
      </c>
      <c r="O52" s="61"/>
      <c r="P52" s="61"/>
      <c r="Q52" s="61"/>
      <c r="R52" s="84" t="s">
        <v>2709</v>
      </c>
      <c r="S52" s="61" t="s">
        <v>85</v>
      </c>
      <c r="T52" s="61" t="s">
        <v>1898</v>
      </c>
      <c r="U52" s="61" t="s">
        <v>1898</v>
      </c>
      <c r="V52" s="101" t="str">
        <f>VLOOKUP(B52,[2]Overall!$A:$D,4,0)</f>
        <v>H-TELI</v>
      </c>
      <c r="W52" s="101" t="str">
        <f>VLOOKUP(B52,[3]Sheet1!$A:$B,2,0)</f>
        <v>Logbong</v>
      </c>
      <c r="X52" s="88" t="str">
        <f t="shared" si="4"/>
        <v>LIT</v>
      </c>
      <c r="Y52" s="88" t="str">
        <f t="shared" ca="1" si="5"/>
        <v>16H&lt;T&lt;24H</v>
      </c>
      <c r="Z52" s="101">
        <f t="shared" si="6"/>
        <v>6</v>
      </c>
      <c r="AA52" s="86" t="s">
        <v>1566</v>
      </c>
      <c r="AB52" s="84" t="s">
        <v>1904</v>
      </c>
      <c r="AC52" s="105" t="s">
        <v>2702</v>
      </c>
      <c r="AD52" s="106" t="s">
        <v>1994</v>
      </c>
      <c r="AE52" s="61"/>
    </row>
    <row r="53" spans="1:31" ht="116" x14ac:dyDescent="0.35">
      <c r="A53" s="61" t="s">
        <v>2320</v>
      </c>
      <c r="B53" s="61" t="s">
        <v>2317</v>
      </c>
      <c r="C53" s="65"/>
      <c r="D53" s="61"/>
      <c r="E53" s="61" t="s">
        <v>1787</v>
      </c>
      <c r="F53" s="70" t="s">
        <v>53</v>
      </c>
      <c r="G53" s="70" t="s">
        <v>2121</v>
      </c>
      <c r="H53" s="67">
        <v>46179.757870370369</v>
      </c>
      <c r="I53" s="75">
        <f t="shared" ca="1" si="3"/>
        <v>0.91082199074298842</v>
      </c>
      <c r="J53" s="61"/>
      <c r="K53" s="61"/>
      <c r="L53" s="61"/>
      <c r="M53" s="61" t="s">
        <v>38</v>
      </c>
      <c r="N53" s="61" t="s">
        <v>2321</v>
      </c>
      <c r="O53" s="61"/>
      <c r="P53" s="61"/>
      <c r="Q53" s="61"/>
      <c r="R53" s="61" t="s">
        <v>2621</v>
      </c>
      <c r="S53" s="61" t="s">
        <v>85</v>
      </c>
      <c r="T53" s="61" t="s">
        <v>1898</v>
      </c>
      <c r="U53" s="61" t="s">
        <v>1898</v>
      </c>
      <c r="V53" s="101" t="str">
        <f>VLOOKUP(B53,[2]Overall!$A:$D,4,0)</f>
        <v>H-TELI</v>
      </c>
      <c r="W53" s="101" t="str">
        <f>VLOOKUP(B53,[3]Sheet1!$A:$B,2,0)</f>
        <v>Logbong</v>
      </c>
      <c r="X53" s="88" t="str">
        <f t="shared" si="4"/>
        <v>LIT</v>
      </c>
      <c r="Y53" s="88" t="str">
        <f t="shared" ca="1" si="5"/>
        <v>16H&lt;T&lt;24H</v>
      </c>
      <c r="Z53" s="101">
        <f t="shared" si="6"/>
        <v>2</v>
      </c>
      <c r="AA53" s="86" t="s">
        <v>1566</v>
      </c>
      <c r="AB53" s="84" t="s">
        <v>1904</v>
      </c>
      <c r="AC53" s="105" t="s">
        <v>2702</v>
      </c>
      <c r="AD53" s="106" t="s">
        <v>1994</v>
      </c>
      <c r="AE53" s="61"/>
    </row>
    <row r="54" spans="1:31" ht="87" x14ac:dyDescent="0.35">
      <c r="A54" s="61" t="s">
        <v>2676</v>
      </c>
      <c r="B54" s="61" t="s">
        <v>2673</v>
      </c>
      <c r="C54" s="65"/>
      <c r="D54" s="61"/>
      <c r="E54" s="61" t="s">
        <v>2695</v>
      </c>
      <c r="F54" s="70" t="s">
        <v>53</v>
      </c>
      <c r="G54" s="70" t="s">
        <v>2121</v>
      </c>
      <c r="H54" s="67">
        <v>46179.78361111111</v>
      </c>
      <c r="I54" s="75">
        <f t="shared" ca="1" si="3"/>
        <v>0.88508125000225846</v>
      </c>
      <c r="J54" s="61"/>
      <c r="K54" s="61"/>
      <c r="L54" s="61"/>
      <c r="M54" s="61" t="s">
        <v>2696</v>
      </c>
      <c r="N54" s="61" t="s">
        <v>2697</v>
      </c>
      <c r="O54" s="61"/>
      <c r="P54" s="61"/>
      <c r="Q54" s="61"/>
      <c r="R54" s="84" t="s">
        <v>2705</v>
      </c>
      <c r="S54" s="61" t="s">
        <v>51</v>
      </c>
      <c r="T54" s="61" t="s">
        <v>1898</v>
      </c>
      <c r="U54" s="61" t="s">
        <v>1898</v>
      </c>
      <c r="V54" s="101" t="str">
        <f>VLOOKUP(B54,[2]Overall!$A:$D,4,0)</f>
        <v xml:space="preserve">I-ENG </v>
      </c>
      <c r="W54" s="101" t="str">
        <f>VLOOKUP(B54,[3]Sheet1!$A:$B,2,0)</f>
        <v>Kiiki</v>
      </c>
      <c r="X54" s="88" t="str">
        <f t="shared" si="4"/>
        <v>CTR</v>
      </c>
      <c r="Y54" s="88" t="str">
        <f t="shared" ca="1" si="5"/>
        <v>16H&lt;T&lt;24H</v>
      </c>
      <c r="Z54" s="101">
        <f t="shared" si="6"/>
        <v>2</v>
      </c>
      <c r="AA54" s="86" t="s">
        <v>1566</v>
      </c>
      <c r="AB54" s="84" t="s">
        <v>1904</v>
      </c>
      <c r="AC54" s="105" t="s">
        <v>2702</v>
      </c>
      <c r="AD54" s="106" t="s">
        <v>1994</v>
      </c>
      <c r="AE54" s="61"/>
    </row>
    <row r="55" spans="1:31" ht="159.5" x14ac:dyDescent="0.35">
      <c r="A55" s="61" t="s">
        <v>2218</v>
      </c>
      <c r="B55" s="61" t="s">
        <v>2219</v>
      </c>
      <c r="C55" s="65"/>
      <c r="D55" s="61"/>
      <c r="E55" s="61" t="s">
        <v>2223</v>
      </c>
      <c r="F55" s="70" t="s">
        <v>53</v>
      </c>
      <c r="G55" s="70" t="s">
        <v>2121</v>
      </c>
      <c r="H55" s="67">
        <v>46179.860775462963</v>
      </c>
      <c r="I55" s="75">
        <f t="shared" ca="1" si="3"/>
        <v>0.80791689814941492</v>
      </c>
      <c r="J55" s="61"/>
      <c r="K55" s="61"/>
      <c r="L55" s="61"/>
      <c r="M55" s="61" t="s">
        <v>1730</v>
      </c>
      <c r="N55" s="61" t="s">
        <v>2224</v>
      </c>
      <c r="O55" s="61"/>
      <c r="P55" s="61"/>
      <c r="Q55" s="61"/>
      <c r="R55" s="84" t="s">
        <v>2706</v>
      </c>
      <c r="S55" s="61" t="s">
        <v>45</v>
      </c>
      <c r="T55" s="61" t="s">
        <v>1898</v>
      </c>
      <c r="U55" s="61" t="s">
        <v>1898</v>
      </c>
      <c r="V55" s="101" t="str">
        <f>VLOOKUP(B55,[2]Overall!$A:$D,4,0)</f>
        <v>TELEINFRA CENTRE</v>
      </c>
      <c r="W55" s="101" t="str">
        <f>VLOOKUP(B55,[3]Sheet1!$A:$B,2,0)</f>
        <v>Evodoula</v>
      </c>
      <c r="X55" s="88" t="str">
        <f t="shared" si="4"/>
        <v>CTR</v>
      </c>
      <c r="Y55" s="88" t="str">
        <f t="shared" ca="1" si="5"/>
        <v>16H&lt;T&lt;24H</v>
      </c>
      <c r="Z55" s="101">
        <f t="shared" si="6"/>
        <v>2</v>
      </c>
      <c r="AA55" s="86" t="s">
        <v>1566</v>
      </c>
      <c r="AB55" s="84" t="s">
        <v>1904</v>
      </c>
      <c r="AC55" s="105" t="s">
        <v>2702</v>
      </c>
      <c r="AD55" s="106" t="s">
        <v>1994</v>
      </c>
      <c r="AE55" s="61"/>
    </row>
    <row r="56" spans="1:31" ht="72.5" x14ac:dyDescent="0.35">
      <c r="A56" s="82" t="s">
        <v>2551</v>
      </c>
      <c r="B56" s="82" t="s">
        <v>2552</v>
      </c>
      <c r="C56" s="127"/>
      <c r="D56" s="82"/>
      <c r="E56" s="82" t="s">
        <v>1823</v>
      </c>
      <c r="F56" s="91" t="s">
        <v>53</v>
      </c>
      <c r="G56" s="91" t="s">
        <v>2121</v>
      </c>
      <c r="H56" s="128">
        <v>46180.005370370367</v>
      </c>
      <c r="I56" s="75">
        <f t="shared" ca="1" si="3"/>
        <v>0.66332199074531673</v>
      </c>
      <c r="J56" s="82"/>
      <c r="K56" s="82"/>
      <c r="L56" s="82"/>
      <c r="M56" s="82" t="s">
        <v>31</v>
      </c>
      <c r="N56" s="82" t="s">
        <v>2553</v>
      </c>
      <c r="O56" s="82"/>
      <c r="P56" s="82"/>
      <c r="Q56" s="82"/>
      <c r="R56" s="86" t="s">
        <v>2703</v>
      </c>
      <c r="S56" s="82" t="s">
        <v>40</v>
      </c>
      <c r="T56" s="82" t="s">
        <v>1898</v>
      </c>
      <c r="U56" s="82" t="s">
        <v>1898</v>
      </c>
      <c r="V56" s="129" t="str">
        <f>VLOOKUP(B56,[2]Overall!$A:$D,4,0)</f>
        <v>TELEINFRA NORD</v>
      </c>
      <c r="W56" s="129" t="str">
        <f>VLOOKUP(B56,[3]Sheet1!$A:$B,2,0)</f>
        <v>Bardake</v>
      </c>
      <c r="X56" s="130" t="str">
        <f t="shared" si="4"/>
        <v>NRD</v>
      </c>
      <c r="Y56" s="130" t="str">
        <f t="shared" ca="1" si="5"/>
        <v>8H&lt;T&lt;16H</v>
      </c>
      <c r="Z56" s="129">
        <f t="shared" si="6"/>
        <v>2</v>
      </c>
      <c r="AA56" s="86" t="s">
        <v>1566</v>
      </c>
      <c r="AB56" s="86" t="s">
        <v>1555</v>
      </c>
      <c r="AC56" s="131" t="s">
        <v>2702</v>
      </c>
      <c r="AD56" s="132" t="s">
        <v>1994</v>
      </c>
      <c r="AE56" s="82"/>
    </row>
    <row r="57" spans="1:31" ht="72.5" x14ac:dyDescent="0.35">
      <c r="A57" s="61" t="s">
        <v>2604</v>
      </c>
      <c r="B57" s="61" t="s">
        <v>2605</v>
      </c>
      <c r="C57" s="65"/>
      <c r="D57" s="61"/>
      <c r="E57" s="61" t="s">
        <v>2606</v>
      </c>
      <c r="F57" s="70" t="s">
        <v>53</v>
      </c>
      <c r="G57" s="70" t="s">
        <v>2121</v>
      </c>
      <c r="H57" s="67">
        <v>46180.25408564815</v>
      </c>
      <c r="I57" s="75">
        <f t="shared" ca="1" si="3"/>
        <v>0.41460671296226792</v>
      </c>
      <c r="J57" s="61"/>
      <c r="K57" s="61"/>
      <c r="L57" s="61"/>
      <c r="M57" s="61" t="s">
        <v>38</v>
      </c>
      <c r="N57" s="61" t="s">
        <v>2607</v>
      </c>
      <c r="O57" s="61"/>
      <c r="P57" s="61"/>
      <c r="Q57" s="61"/>
      <c r="R57" s="61" t="s">
        <v>2658</v>
      </c>
      <c r="S57" s="61" t="s">
        <v>40</v>
      </c>
      <c r="T57" s="61" t="s">
        <v>1898</v>
      </c>
      <c r="U57" s="61" t="s">
        <v>1898</v>
      </c>
      <c r="V57" s="101" t="str">
        <f>VLOOKUP(B57,[2]Overall!$A:$D,4,0)</f>
        <v>TELEINFRA NORD</v>
      </c>
      <c r="W57" s="101" t="str">
        <f>VLOOKUP(B57,[3]Sheet1!$A:$B,2,0)</f>
        <v>Nganha</v>
      </c>
      <c r="X57" s="88" t="str">
        <f t="shared" si="4"/>
        <v>ADM</v>
      </c>
      <c r="Y57" s="88" t="str">
        <f t="shared" ca="1" si="5"/>
        <v>8H&lt;T&lt;16H</v>
      </c>
      <c r="Z57" s="101">
        <f t="shared" si="6"/>
        <v>2</v>
      </c>
      <c r="AA57" s="86" t="s">
        <v>1566</v>
      </c>
      <c r="AB57" s="84" t="s">
        <v>1904</v>
      </c>
      <c r="AC57" s="105" t="s">
        <v>2702</v>
      </c>
      <c r="AD57" s="106" t="s">
        <v>1994</v>
      </c>
      <c r="AE57" s="61"/>
    </row>
    <row r="58" spans="1:31" ht="174" x14ac:dyDescent="0.35">
      <c r="A58" s="82" t="s">
        <v>1795</v>
      </c>
      <c r="B58" s="82" t="s">
        <v>1796</v>
      </c>
      <c r="C58" s="127"/>
      <c r="D58" s="82"/>
      <c r="E58" s="82" t="s">
        <v>2698</v>
      </c>
      <c r="F58" s="91" t="s">
        <v>53</v>
      </c>
      <c r="G58" s="91" t="s">
        <v>2121</v>
      </c>
      <c r="H58" s="128">
        <v>46180.256006944444</v>
      </c>
      <c r="I58" s="75">
        <f t="shared" ca="1" si="3"/>
        <v>0.412685416667955</v>
      </c>
      <c r="J58" s="82"/>
      <c r="K58" s="82"/>
      <c r="L58" s="82"/>
      <c r="M58" s="82" t="s">
        <v>46</v>
      </c>
      <c r="N58" s="82" t="s">
        <v>2699</v>
      </c>
      <c r="O58" s="82"/>
      <c r="P58" s="82"/>
      <c r="Q58" s="82"/>
      <c r="R58" s="82" t="s">
        <v>2655</v>
      </c>
      <c r="S58" s="82" t="s">
        <v>40</v>
      </c>
      <c r="T58" s="82" t="s">
        <v>1899</v>
      </c>
      <c r="U58" s="82" t="s">
        <v>1899</v>
      </c>
      <c r="V58" s="129" t="str">
        <f>VLOOKUP(B58,[2]Overall!$A:$D,4,0)</f>
        <v>TELEINFRA NORD</v>
      </c>
      <c r="W58" s="129" t="str">
        <f>VLOOKUP(B58,[3]Sheet1!$A:$B,2,0)</f>
        <v>Bagarao</v>
      </c>
      <c r="X58" s="130" t="str">
        <f t="shared" si="4"/>
        <v>EXN</v>
      </c>
      <c r="Y58" s="130" t="str">
        <f t="shared" ca="1" si="5"/>
        <v>8H&lt;T&lt;16H</v>
      </c>
      <c r="Z58" s="129">
        <f t="shared" si="6"/>
        <v>1</v>
      </c>
      <c r="AA58" s="86" t="s">
        <v>1566</v>
      </c>
      <c r="AB58" s="86" t="s">
        <v>1555</v>
      </c>
      <c r="AC58" s="131" t="s">
        <v>2702</v>
      </c>
      <c r="AD58" s="132" t="s">
        <v>1994</v>
      </c>
      <c r="AE58" s="82"/>
    </row>
    <row r="59" spans="1:31" ht="188.5" x14ac:dyDescent="0.35">
      <c r="A59" s="61" t="s">
        <v>1877</v>
      </c>
      <c r="B59" s="61" t="s">
        <v>1878</v>
      </c>
      <c r="C59" s="65"/>
      <c r="D59" s="61"/>
      <c r="E59" s="61" t="s">
        <v>49</v>
      </c>
      <c r="F59" s="70" t="s">
        <v>53</v>
      </c>
      <c r="G59" s="70" t="s">
        <v>2121</v>
      </c>
      <c r="H59" s="67">
        <v>46180.314571759256</v>
      </c>
      <c r="I59" s="75">
        <f t="shared" ca="1" si="3"/>
        <v>0.35412060185626615</v>
      </c>
      <c r="J59" s="61"/>
      <c r="K59" s="61"/>
      <c r="L59" s="61"/>
      <c r="M59" s="61" t="s">
        <v>38</v>
      </c>
      <c r="N59" s="61" t="s">
        <v>1943</v>
      </c>
      <c r="O59" s="61"/>
      <c r="P59" s="61"/>
      <c r="Q59" s="61"/>
      <c r="R59" s="61" t="s">
        <v>2627</v>
      </c>
      <c r="S59" s="61" t="s">
        <v>85</v>
      </c>
      <c r="T59" s="61" t="s">
        <v>1688</v>
      </c>
      <c r="U59" s="61" t="s">
        <v>1688</v>
      </c>
      <c r="V59" s="101" t="str">
        <f>VLOOKUP(B59,[2]Overall!$A:$D,4,0)</f>
        <v>H-TELI</v>
      </c>
      <c r="W59" s="101" t="str">
        <f>VLOOKUP(B59,[3]Sheet1!$A:$B,2,0)</f>
        <v>Massock-Songloulou</v>
      </c>
      <c r="X59" s="88" t="str">
        <f t="shared" si="4"/>
        <v>LIT</v>
      </c>
      <c r="Y59" s="88" t="str">
        <f t="shared" ca="1" si="5"/>
        <v>8H&lt;T&lt;16H</v>
      </c>
      <c r="Z59" s="101">
        <f t="shared" si="6"/>
        <v>1</v>
      </c>
      <c r="AA59" s="86" t="s">
        <v>1566</v>
      </c>
      <c r="AB59" s="84" t="s">
        <v>1904</v>
      </c>
      <c r="AC59" s="105" t="s">
        <v>2702</v>
      </c>
      <c r="AD59" s="106" t="s">
        <v>1994</v>
      </c>
      <c r="AE59" s="61"/>
    </row>
    <row r="60" spans="1:31" ht="145" x14ac:dyDescent="0.35">
      <c r="A60" s="61" t="s">
        <v>1807</v>
      </c>
      <c r="B60" s="61" t="s">
        <v>1808</v>
      </c>
      <c r="C60" s="65"/>
      <c r="D60" s="61"/>
      <c r="E60" s="61" t="s">
        <v>2446</v>
      </c>
      <c r="F60" s="70" t="s">
        <v>53</v>
      </c>
      <c r="G60" s="70" t="s">
        <v>2121</v>
      </c>
      <c r="H60" s="67">
        <v>46180.315520833334</v>
      </c>
      <c r="I60" s="75">
        <f t="shared" ca="1" si="3"/>
        <v>0.35317152777861338</v>
      </c>
      <c r="J60" s="61"/>
      <c r="K60" s="61"/>
      <c r="L60" s="61"/>
      <c r="M60" s="61" t="s">
        <v>2053</v>
      </c>
      <c r="N60" s="61" t="s">
        <v>2054</v>
      </c>
      <c r="O60" s="61"/>
      <c r="P60" s="61"/>
      <c r="Q60" s="61"/>
      <c r="R60" s="61" t="s">
        <v>2622</v>
      </c>
      <c r="S60" s="61" t="s">
        <v>85</v>
      </c>
      <c r="T60" s="61" t="s">
        <v>1898</v>
      </c>
      <c r="U60" s="61" t="s">
        <v>1898</v>
      </c>
      <c r="V60" s="101" t="str">
        <f>VLOOKUP(B60,[2]Overall!$A:$D,4,0)</f>
        <v>H-TELI</v>
      </c>
      <c r="W60" s="101" t="str">
        <f>VLOOKUP(B60,[3]Sheet1!$A:$B,2,0)</f>
        <v>Songloulou</v>
      </c>
      <c r="X60" s="88" t="str">
        <f t="shared" ref="X60:X63" si="7">LEFT(B60,3)</f>
        <v>LIT</v>
      </c>
      <c r="Y60" s="88" t="str">
        <f t="shared" ref="Y60:Y63" ca="1" si="8">IF(I60 &lt; 1/24, "T&lt;1H", IF(AND(I60&lt;2/24, I60&gt;1/24), "1H&lt;T&lt;2H", IF(AND(I60&lt;4/24, I60&gt;2/24), "2H&lt;T&lt;4H", IF(AND(I60&lt;8/24, I60&gt;4/24), "4H&lt;T&lt;8H", IF(AND(I60&lt;16/24, I60&gt;8/24), "8H&lt;T&lt;16H",IF(AND(I60&lt;24/24, I60&gt;16/24),"16H&lt;T&lt;24H", IF(AND(I60&lt;48/24, I60&gt;24/24),"24H&lt;T&lt;48H",IF(AND(I60&lt;72/24, I60&gt;24/24),"48H&lt;T&lt;72H", "T&gt;72H"))))))))</f>
        <v>8H&lt;T&lt;16H</v>
      </c>
      <c r="Z60" s="101">
        <f t="shared" ref="Z60:Z63" si="9">IF(OR(E60="", E60="affected_cells=unknown"), "", LEN(E60)-LEN(SUBSTITUTE(E60, ",", "")) + LEN(E60)-LEN(SUBSTITUTE(E60, ";", "")) + 1)</f>
        <v>1</v>
      </c>
      <c r="AA60" s="86" t="s">
        <v>1566</v>
      </c>
      <c r="AB60" s="84" t="s">
        <v>1904</v>
      </c>
      <c r="AC60" s="105" t="s">
        <v>2702</v>
      </c>
      <c r="AD60" s="106" t="s">
        <v>1994</v>
      </c>
      <c r="AE60" s="61"/>
    </row>
    <row r="61" spans="1:31" ht="145" x14ac:dyDescent="0.35">
      <c r="A61" s="61" t="s">
        <v>1807</v>
      </c>
      <c r="B61" s="61" t="s">
        <v>1808</v>
      </c>
      <c r="C61" s="65"/>
      <c r="D61" s="61"/>
      <c r="E61" s="61" t="s">
        <v>1812</v>
      </c>
      <c r="F61" s="70" t="s">
        <v>53</v>
      </c>
      <c r="G61" s="70" t="s">
        <v>2121</v>
      </c>
      <c r="H61" s="67">
        <v>46180.329953703702</v>
      </c>
      <c r="I61" s="75">
        <f t="shared" ca="1" si="3"/>
        <v>0.33873865741043119</v>
      </c>
      <c r="J61" s="61"/>
      <c r="K61" s="61"/>
      <c r="L61" s="61"/>
      <c r="M61" s="61" t="s">
        <v>41</v>
      </c>
      <c r="N61" s="61" t="s">
        <v>42</v>
      </c>
      <c r="O61" s="61"/>
      <c r="P61" s="61"/>
      <c r="Q61" s="61"/>
      <c r="R61" s="61" t="s">
        <v>2622</v>
      </c>
      <c r="S61" s="61" t="s">
        <v>85</v>
      </c>
      <c r="T61" s="61" t="s">
        <v>1898</v>
      </c>
      <c r="U61" s="61" t="s">
        <v>1898</v>
      </c>
      <c r="V61" s="101" t="str">
        <f>VLOOKUP(B61,[2]Overall!$A:$D,4,0)</f>
        <v>H-TELI</v>
      </c>
      <c r="W61" s="101" t="str">
        <f>VLOOKUP(B61,[3]Sheet1!$A:$B,2,0)</f>
        <v>Songloulou</v>
      </c>
      <c r="X61" s="88" t="str">
        <f t="shared" si="7"/>
        <v>LIT</v>
      </c>
      <c r="Y61" s="88" t="str">
        <f t="shared" ca="1" si="8"/>
        <v>8H&lt;T&lt;16H</v>
      </c>
      <c r="Z61" s="101">
        <f t="shared" si="9"/>
        <v>1</v>
      </c>
      <c r="AA61" s="86" t="s">
        <v>1566</v>
      </c>
      <c r="AB61" s="84" t="s">
        <v>1904</v>
      </c>
      <c r="AC61" s="105" t="s">
        <v>2702</v>
      </c>
      <c r="AD61" s="106" t="s">
        <v>1994</v>
      </c>
      <c r="AE61" s="61"/>
    </row>
    <row r="62" spans="1:31" ht="145" x14ac:dyDescent="0.35">
      <c r="A62" s="61" t="s">
        <v>1807</v>
      </c>
      <c r="B62" s="61" t="s">
        <v>1808</v>
      </c>
      <c r="C62" s="65"/>
      <c r="D62" s="61"/>
      <c r="E62" s="61" t="s">
        <v>1813</v>
      </c>
      <c r="F62" s="70" t="s">
        <v>53</v>
      </c>
      <c r="G62" s="70" t="s">
        <v>2121</v>
      </c>
      <c r="H62" s="67">
        <v>46180.329965277779</v>
      </c>
      <c r="I62" s="75">
        <f t="shared" ca="1" si="3"/>
        <v>0.33872708333365154</v>
      </c>
      <c r="J62" s="61"/>
      <c r="K62" s="61"/>
      <c r="L62" s="61"/>
      <c r="M62" s="61" t="s">
        <v>41</v>
      </c>
      <c r="N62" s="61" t="s">
        <v>42</v>
      </c>
      <c r="O62" s="61"/>
      <c r="P62" s="61"/>
      <c r="Q62" s="61"/>
      <c r="R62" s="61" t="s">
        <v>2622</v>
      </c>
      <c r="S62" s="61" t="s">
        <v>85</v>
      </c>
      <c r="T62" s="61" t="s">
        <v>1898</v>
      </c>
      <c r="U62" s="61" t="s">
        <v>1898</v>
      </c>
      <c r="V62" s="101" t="str">
        <f>VLOOKUP(B62,[2]Overall!$A:$D,4,0)</f>
        <v>H-TELI</v>
      </c>
      <c r="W62" s="101" t="str">
        <f>VLOOKUP(B62,[3]Sheet1!$A:$B,2,0)</f>
        <v>Songloulou</v>
      </c>
      <c r="X62" s="88" t="str">
        <f t="shared" si="7"/>
        <v>LIT</v>
      </c>
      <c r="Y62" s="88" t="str">
        <f t="shared" ca="1" si="8"/>
        <v>8H&lt;T&lt;16H</v>
      </c>
      <c r="Z62" s="101">
        <f t="shared" si="9"/>
        <v>1</v>
      </c>
      <c r="AA62" s="86" t="s">
        <v>1566</v>
      </c>
      <c r="AB62" s="84" t="s">
        <v>1904</v>
      </c>
      <c r="AC62" s="105" t="s">
        <v>2702</v>
      </c>
      <c r="AD62" s="106" t="s">
        <v>1994</v>
      </c>
      <c r="AE62" s="61"/>
    </row>
    <row r="63" spans="1:31" ht="145" x14ac:dyDescent="0.35">
      <c r="A63" s="61" t="s">
        <v>1807</v>
      </c>
      <c r="B63" s="61" t="s">
        <v>1808</v>
      </c>
      <c r="C63" s="65"/>
      <c r="D63" s="61"/>
      <c r="E63" s="61" t="s">
        <v>2700</v>
      </c>
      <c r="F63" s="70" t="s">
        <v>53</v>
      </c>
      <c r="G63" s="70" t="s">
        <v>2121</v>
      </c>
      <c r="H63" s="67">
        <v>46180.330787037034</v>
      </c>
      <c r="I63" s="75">
        <f t="shared" ca="1" si="3"/>
        <v>0.33790532407874707</v>
      </c>
      <c r="J63" s="61"/>
      <c r="K63" s="61"/>
      <c r="L63" s="61"/>
      <c r="M63" s="61" t="s">
        <v>1686</v>
      </c>
      <c r="N63" s="61" t="s">
        <v>2701</v>
      </c>
      <c r="O63" s="61"/>
      <c r="P63" s="61"/>
      <c r="Q63" s="61"/>
      <c r="R63" s="61" t="s">
        <v>2622</v>
      </c>
      <c r="S63" s="61" t="s">
        <v>85</v>
      </c>
      <c r="T63" s="61" t="s">
        <v>1898</v>
      </c>
      <c r="U63" s="61" t="s">
        <v>1898</v>
      </c>
      <c r="V63" s="101" t="str">
        <f>VLOOKUP(B63,[2]Overall!$A:$D,4,0)</f>
        <v>H-TELI</v>
      </c>
      <c r="W63" s="101" t="str">
        <f>VLOOKUP(B63,[3]Sheet1!$A:$B,2,0)</f>
        <v>Songloulou</v>
      </c>
      <c r="X63" s="88" t="str">
        <f t="shared" si="7"/>
        <v>LIT</v>
      </c>
      <c r="Y63" s="88" t="str">
        <f t="shared" ca="1" si="8"/>
        <v>8H&lt;T&lt;16H</v>
      </c>
      <c r="Z63" s="101">
        <f t="shared" si="9"/>
        <v>6</v>
      </c>
      <c r="AA63" s="86" t="s">
        <v>1566</v>
      </c>
      <c r="AB63" s="84" t="s">
        <v>1904</v>
      </c>
      <c r="AC63" s="105" t="s">
        <v>2702</v>
      </c>
      <c r="AD63" s="106" t="s">
        <v>1994</v>
      </c>
      <c r="AE63" s="61"/>
    </row>
  </sheetData>
  <autoFilter ref="A1:AE63" xr:uid="{7E61290C-0E78-4A5C-A054-830D6C09B6EC}"/>
  <phoneticPr fontId="18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9690-24A7-4EC1-825C-650A766043C3}">
  <sheetPr codeName="Sheet53" filterMode="1">
    <tabColor rgb="FF0070C0"/>
  </sheetPr>
  <dimension ref="A1:AE74"/>
  <sheetViews>
    <sheetView tabSelected="1" zoomScale="55" zoomScaleNormal="55" workbookViewId="0">
      <pane xSplit="6" topLeftCell="Q1" activePane="topRight" state="frozen"/>
      <selection activeCell="AB4" sqref="AB4"/>
      <selection pane="topRight" activeCell="R75" sqref="R75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9" t="s">
        <v>1691</v>
      </c>
      <c r="T1" s="112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406" hidden="1" x14ac:dyDescent="0.35">
      <c r="A2" s="61" t="s">
        <v>1913</v>
      </c>
      <c r="B2" s="61" t="s">
        <v>1914</v>
      </c>
      <c r="C2" s="65"/>
      <c r="D2" s="61"/>
      <c r="E2" s="61" t="s">
        <v>43</v>
      </c>
      <c r="F2" s="70" t="s">
        <v>53</v>
      </c>
      <c r="G2" s="70" t="s">
        <v>2121</v>
      </c>
      <c r="H2" s="67">
        <v>46168.171053240738</v>
      </c>
      <c r="I2" s="75">
        <v>12.394861458335072</v>
      </c>
      <c r="J2" s="61"/>
      <c r="K2" s="61"/>
      <c r="L2" s="61"/>
      <c r="M2" s="61" t="s">
        <v>31</v>
      </c>
      <c r="N2" s="61" t="s">
        <v>1915</v>
      </c>
      <c r="O2" s="61"/>
      <c r="P2" s="61"/>
      <c r="Q2" s="61"/>
      <c r="R2" s="61" t="s">
        <v>2707</v>
      </c>
      <c r="S2" s="61" t="s">
        <v>40</v>
      </c>
      <c r="T2" s="61" t="s">
        <v>1840</v>
      </c>
      <c r="U2" s="61" t="s">
        <v>1840</v>
      </c>
      <c r="V2" s="101" t="str">
        <f>VLOOKUP(B2,[2]Overall!$A:$D,4,0)</f>
        <v>TELEINFRA NORD</v>
      </c>
      <c r="W2" s="101" t="str">
        <f>VLOOKUP(B2,[3]Sheet1!$A:$B,2,0)</f>
        <v>Dogba</v>
      </c>
      <c r="X2" s="88" t="str">
        <f t="shared" ref="X2:X18" si="0">LEFT(B2,3)</f>
        <v>EXN</v>
      </c>
      <c r="Y2" s="88" t="str">
        <f t="shared" ref="Y2:Y18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18" si="2">IF(OR(E2="", E2="affected_cells=unknown"), "", LEN(E2)-LEN(SUBSTITUTE(E2, ",", "")) + LEN(E2)-LEN(SUBSTITUTE(E2, ";", "")) + 1)</f>
        <v>4</v>
      </c>
      <c r="AA2" s="61"/>
      <c r="AB2" s="84" t="s">
        <v>1554</v>
      </c>
      <c r="AC2" s="105" t="s">
        <v>2730</v>
      </c>
      <c r="AD2" s="106" t="s">
        <v>1994</v>
      </c>
      <c r="AE2" s="61"/>
    </row>
    <row r="3" spans="1:31" ht="406" hidden="1" x14ac:dyDescent="0.35">
      <c r="A3" s="61" t="s">
        <v>1913</v>
      </c>
      <c r="B3" s="61" t="s">
        <v>1914</v>
      </c>
      <c r="C3" s="65"/>
      <c r="D3" s="61"/>
      <c r="E3" s="61" t="s">
        <v>35</v>
      </c>
      <c r="F3" s="70" t="s">
        <v>53</v>
      </c>
      <c r="G3" s="70" t="s">
        <v>2121</v>
      </c>
      <c r="H3" s="67">
        <v>46168.171064814815</v>
      </c>
      <c r="I3" s="75">
        <v>12.394849884258292</v>
      </c>
      <c r="J3" s="61"/>
      <c r="K3" s="61"/>
      <c r="L3" s="61"/>
      <c r="M3" s="61" t="s">
        <v>31</v>
      </c>
      <c r="N3" s="61" t="s">
        <v>1916</v>
      </c>
      <c r="O3" s="61"/>
      <c r="P3" s="61"/>
      <c r="Q3" s="61"/>
      <c r="R3" s="61" t="s">
        <v>2707</v>
      </c>
      <c r="S3" s="61" t="s">
        <v>40</v>
      </c>
      <c r="T3" s="61" t="s">
        <v>1840</v>
      </c>
      <c r="U3" s="61" t="s">
        <v>1840</v>
      </c>
      <c r="V3" s="101" t="str">
        <f>VLOOKUP(B3,[2]Overall!$A:$D,4,0)</f>
        <v>TELEINFRA NORD</v>
      </c>
      <c r="W3" s="101" t="str">
        <f>VLOOKUP(B3,[3]Sheet1!$A:$B,2,0)</f>
        <v>Dogba</v>
      </c>
      <c r="X3" s="88" t="str">
        <f t="shared" si="0"/>
        <v>EXN</v>
      </c>
      <c r="Y3" s="88" t="str">
        <f t="shared" si="1"/>
        <v>T&gt;72H</v>
      </c>
      <c r="Z3" s="101">
        <f t="shared" si="2"/>
        <v>3</v>
      </c>
      <c r="AA3" s="61"/>
      <c r="AB3" s="84" t="s">
        <v>1554</v>
      </c>
      <c r="AC3" s="105" t="s">
        <v>2730</v>
      </c>
      <c r="AD3" s="106" t="s">
        <v>1994</v>
      </c>
      <c r="AE3" s="61"/>
    </row>
    <row r="4" spans="1:31" ht="409.5" hidden="1" x14ac:dyDescent="0.35">
      <c r="A4" s="61" t="s">
        <v>1773</v>
      </c>
      <c r="B4" s="61" t="s">
        <v>1774</v>
      </c>
      <c r="C4" s="65"/>
      <c r="D4" s="61"/>
      <c r="E4" s="61" t="s">
        <v>1956</v>
      </c>
      <c r="F4" s="70" t="s">
        <v>53</v>
      </c>
      <c r="G4" s="70" t="s">
        <v>2121</v>
      </c>
      <c r="H4" s="67">
        <v>46172.719837962963</v>
      </c>
      <c r="I4" s="75">
        <v>7.8460767361102626</v>
      </c>
      <c r="J4" s="61"/>
      <c r="K4" s="61"/>
      <c r="L4" s="61"/>
      <c r="M4" s="61" t="s">
        <v>31</v>
      </c>
      <c r="N4" s="61" t="s">
        <v>1957</v>
      </c>
      <c r="O4" s="61"/>
      <c r="P4" s="61"/>
      <c r="Q4" s="61"/>
      <c r="R4" s="61" t="s">
        <v>2492</v>
      </c>
      <c r="S4" s="61" t="s">
        <v>40</v>
      </c>
      <c r="T4" s="61" t="s">
        <v>1898</v>
      </c>
      <c r="U4" s="61" t="s">
        <v>1898</v>
      </c>
      <c r="V4" s="101" t="str">
        <f>VLOOKUP(B4,[2]Overall!$A:$D,4,0)</f>
        <v>TELEINFRA NORD</v>
      </c>
      <c r="W4" s="101" t="str">
        <f>VLOOKUP(B4,[3]Sheet1!$A:$B,2,0)</f>
        <v>Hamalade</v>
      </c>
      <c r="X4" s="88" t="str">
        <f t="shared" si="0"/>
        <v>NRD</v>
      </c>
      <c r="Y4" s="88" t="str">
        <f t="shared" si="1"/>
        <v>T&gt;72H</v>
      </c>
      <c r="Z4" s="101">
        <f t="shared" si="2"/>
        <v>3</v>
      </c>
      <c r="AA4" s="61"/>
      <c r="AB4" s="84" t="s">
        <v>1554</v>
      </c>
      <c r="AC4" s="105" t="s">
        <v>2730</v>
      </c>
      <c r="AD4" s="106" t="s">
        <v>1994</v>
      </c>
      <c r="AE4" s="61"/>
    </row>
    <row r="5" spans="1:31" ht="409.5" hidden="1" x14ac:dyDescent="0.35">
      <c r="A5" s="61" t="s">
        <v>1773</v>
      </c>
      <c r="B5" s="61" t="s">
        <v>1774</v>
      </c>
      <c r="C5" s="65"/>
      <c r="D5" s="61"/>
      <c r="E5" s="61" t="s">
        <v>35</v>
      </c>
      <c r="F5" s="70" t="s">
        <v>53</v>
      </c>
      <c r="G5" s="70" t="s">
        <v>2121</v>
      </c>
      <c r="H5" s="67">
        <v>46172.719837962963</v>
      </c>
      <c r="I5" s="75">
        <v>7.8460767361102626</v>
      </c>
      <c r="J5" s="61"/>
      <c r="K5" s="61"/>
      <c r="L5" s="61"/>
      <c r="M5" s="61" t="s">
        <v>31</v>
      </c>
      <c r="N5" s="61" t="s">
        <v>1775</v>
      </c>
      <c r="O5" s="61"/>
      <c r="P5" s="61"/>
      <c r="Q5" s="61"/>
      <c r="R5" s="61" t="s">
        <v>2492</v>
      </c>
      <c r="S5" s="61" t="s">
        <v>40</v>
      </c>
      <c r="T5" s="61" t="s">
        <v>1898</v>
      </c>
      <c r="U5" s="61" t="s">
        <v>1898</v>
      </c>
      <c r="V5" s="101" t="str">
        <f>VLOOKUP(B5,[2]Overall!$A:$D,4,0)</f>
        <v>TELEINFRA NORD</v>
      </c>
      <c r="W5" s="101" t="str">
        <f>VLOOKUP(B5,[3]Sheet1!$A:$B,2,0)</f>
        <v>Hamalade</v>
      </c>
      <c r="X5" s="88" t="str">
        <f t="shared" si="0"/>
        <v>NRD</v>
      </c>
      <c r="Y5" s="88" t="str">
        <f t="shared" si="1"/>
        <v>T&gt;72H</v>
      </c>
      <c r="Z5" s="101">
        <f t="shared" si="2"/>
        <v>3</v>
      </c>
      <c r="AA5" s="61"/>
      <c r="AB5" s="84" t="s">
        <v>1554</v>
      </c>
      <c r="AC5" s="105" t="s">
        <v>2730</v>
      </c>
      <c r="AD5" s="106" t="s">
        <v>1994</v>
      </c>
      <c r="AE5" s="61"/>
    </row>
    <row r="6" spans="1:31" ht="409.5" hidden="1" x14ac:dyDescent="0.35">
      <c r="A6" s="61" t="s">
        <v>1773</v>
      </c>
      <c r="B6" s="61" t="s">
        <v>1774</v>
      </c>
      <c r="C6" s="65"/>
      <c r="D6" s="61"/>
      <c r="E6" s="61" t="s">
        <v>1954</v>
      </c>
      <c r="F6" s="70" t="s">
        <v>53</v>
      </c>
      <c r="G6" s="70" t="s">
        <v>2121</v>
      </c>
      <c r="H6" s="67">
        <v>46172.724965277775</v>
      </c>
      <c r="I6" s="75">
        <v>7.8409494212974096</v>
      </c>
      <c r="J6" s="61"/>
      <c r="K6" s="61"/>
      <c r="L6" s="61"/>
      <c r="M6" s="61" t="s">
        <v>1750</v>
      </c>
      <c r="N6" s="61" t="s">
        <v>1751</v>
      </c>
      <c r="O6" s="61"/>
      <c r="P6" s="61"/>
      <c r="Q6" s="61"/>
      <c r="R6" s="61" t="s">
        <v>2492</v>
      </c>
      <c r="S6" s="61" t="s">
        <v>40</v>
      </c>
      <c r="T6" s="61" t="s">
        <v>1898</v>
      </c>
      <c r="U6" s="61" t="s">
        <v>1898</v>
      </c>
      <c r="V6" s="101" t="str">
        <f>VLOOKUP(B6,[2]Overall!$A:$D,4,0)</f>
        <v>TELEINFRA NORD</v>
      </c>
      <c r="W6" s="101" t="str">
        <f>VLOOKUP(B6,[3]Sheet1!$A:$B,2,0)</f>
        <v>Hamalade</v>
      </c>
      <c r="X6" s="88" t="str">
        <f t="shared" si="0"/>
        <v>NRD</v>
      </c>
      <c r="Y6" s="88" t="str">
        <f t="shared" si="1"/>
        <v>T&gt;72H</v>
      </c>
      <c r="Z6" s="101">
        <f t="shared" si="2"/>
        <v>1</v>
      </c>
      <c r="AA6" s="61"/>
      <c r="AB6" s="84" t="s">
        <v>1554</v>
      </c>
      <c r="AC6" s="105" t="s">
        <v>2730</v>
      </c>
      <c r="AD6" s="106" t="s">
        <v>1994</v>
      </c>
      <c r="AE6" s="61"/>
    </row>
    <row r="7" spans="1:31" ht="409.5" hidden="1" x14ac:dyDescent="0.35">
      <c r="A7" s="61" t="s">
        <v>1773</v>
      </c>
      <c r="B7" s="61" t="s">
        <v>1774</v>
      </c>
      <c r="C7" s="65"/>
      <c r="D7" s="61"/>
      <c r="E7" s="61" t="s">
        <v>1955</v>
      </c>
      <c r="F7" s="70" t="s">
        <v>53</v>
      </c>
      <c r="G7" s="70" t="s">
        <v>2121</v>
      </c>
      <c r="H7" s="67">
        <v>46172.724965277775</v>
      </c>
      <c r="I7" s="75">
        <v>7.8409494212974096</v>
      </c>
      <c r="J7" s="61"/>
      <c r="K7" s="61"/>
      <c r="L7" s="61"/>
      <c r="M7" s="61" t="s">
        <v>1750</v>
      </c>
      <c r="N7" s="61" t="s">
        <v>1751</v>
      </c>
      <c r="O7" s="61"/>
      <c r="P7" s="61"/>
      <c r="Q7" s="61"/>
      <c r="R7" s="61" t="s">
        <v>2492</v>
      </c>
      <c r="S7" s="61" t="s">
        <v>40</v>
      </c>
      <c r="T7" s="61" t="s">
        <v>1898</v>
      </c>
      <c r="U7" s="61" t="s">
        <v>1898</v>
      </c>
      <c r="V7" s="101" t="str">
        <f>VLOOKUP(B7,[2]Overall!$A:$D,4,0)</f>
        <v>TELEINFRA NORD</v>
      </c>
      <c r="W7" s="101" t="str">
        <f>VLOOKUP(B7,[3]Sheet1!$A:$B,2,0)</f>
        <v>Hamalade</v>
      </c>
      <c r="X7" s="88" t="str">
        <f t="shared" si="0"/>
        <v>NRD</v>
      </c>
      <c r="Y7" s="88" t="str">
        <f t="shared" si="1"/>
        <v>T&gt;72H</v>
      </c>
      <c r="Z7" s="101">
        <f t="shared" si="2"/>
        <v>1</v>
      </c>
      <c r="AA7" s="61"/>
      <c r="AB7" s="84" t="s">
        <v>1554</v>
      </c>
      <c r="AC7" s="105" t="s">
        <v>2730</v>
      </c>
      <c r="AD7" s="106" t="s">
        <v>1994</v>
      </c>
      <c r="AE7" s="61"/>
    </row>
    <row r="8" spans="1:31" ht="409.5" hidden="1" x14ac:dyDescent="0.35">
      <c r="A8" s="61" t="s">
        <v>1773</v>
      </c>
      <c r="B8" s="61" t="s">
        <v>1774</v>
      </c>
      <c r="C8" s="65"/>
      <c r="D8" s="61"/>
      <c r="E8" s="61" t="s">
        <v>1953</v>
      </c>
      <c r="F8" s="70" t="s">
        <v>53</v>
      </c>
      <c r="G8" s="70" t="s">
        <v>2121</v>
      </c>
      <c r="H8" s="67">
        <v>46172.724965277775</v>
      </c>
      <c r="I8" s="75">
        <v>7.8409494212974096</v>
      </c>
      <c r="J8" s="61"/>
      <c r="K8" s="61"/>
      <c r="L8" s="61"/>
      <c r="M8" s="61" t="s">
        <v>1750</v>
      </c>
      <c r="N8" s="61" t="s">
        <v>1751</v>
      </c>
      <c r="O8" s="61"/>
      <c r="P8" s="61"/>
      <c r="Q8" s="61"/>
      <c r="R8" s="61" t="s">
        <v>2492</v>
      </c>
      <c r="S8" s="61" t="s">
        <v>40</v>
      </c>
      <c r="T8" s="61" t="s">
        <v>1898</v>
      </c>
      <c r="U8" s="61" t="s">
        <v>1898</v>
      </c>
      <c r="V8" s="101" t="str">
        <f>VLOOKUP(B8,[2]Overall!$A:$D,4,0)</f>
        <v>TELEINFRA NORD</v>
      </c>
      <c r="W8" s="101" t="str">
        <f>VLOOKUP(B8,[3]Sheet1!$A:$B,2,0)</f>
        <v>Hamalade</v>
      </c>
      <c r="X8" s="88" t="str">
        <f t="shared" si="0"/>
        <v>NRD</v>
      </c>
      <c r="Y8" s="88" t="str">
        <f t="shared" si="1"/>
        <v>T&gt;72H</v>
      </c>
      <c r="Z8" s="101">
        <f t="shared" si="2"/>
        <v>1</v>
      </c>
      <c r="AA8" s="61"/>
      <c r="AB8" s="84" t="s">
        <v>1554</v>
      </c>
      <c r="AC8" s="105" t="s">
        <v>2730</v>
      </c>
      <c r="AD8" s="106" t="s">
        <v>1994</v>
      </c>
      <c r="AE8" s="61"/>
    </row>
    <row r="9" spans="1:31" ht="409.5" hidden="1" x14ac:dyDescent="0.35">
      <c r="A9" s="61" t="s">
        <v>1724</v>
      </c>
      <c r="B9" s="61" t="s">
        <v>1725</v>
      </c>
      <c r="C9" s="65"/>
      <c r="D9" s="61"/>
      <c r="E9" s="61" t="s">
        <v>1726</v>
      </c>
      <c r="F9" s="70" t="s">
        <v>53</v>
      </c>
      <c r="G9" s="70" t="s">
        <v>2121</v>
      </c>
      <c r="H9" s="67">
        <v>46172.76761574074</v>
      </c>
      <c r="I9" s="75">
        <v>7.7982989583324525</v>
      </c>
      <c r="J9" s="61"/>
      <c r="K9" s="61"/>
      <c r="L9" s="61"/>
      <c r="M9" s="61" t="s">
        <v>33</v>
      </c>
      <c r="N9" s="61" t="s">
        <v>1635</v>
      </c>
      <c r="O9" s="61"/>
      <c r="P9" s="61"/>
      <c r="Q9" s="61"/>
      <c r="R9" s="61" t="s">
        <v>2626</v>
      </c>
      <c r="S9" s="61" t="s">
        <v>32</v>
      </c>
      <c r="T9" s="61" t="s">
        <v>1898</v>
      </c>
      <c r="U9" s="61" t="s">
        <v>1898</v>
      </c>
      <c r="V9" s="101" t="str">
        <f>VLOOKUP(B9,[2]Overall!$A:$D,4,0)</f>
        <v xml:space="preserve">I-ENG </v>
      </c>
      <c r="W9" s="101" t="str">
        <f>VLOOKUP(B9,[3]Sheet1!$A:$B,2,0)</f>
        <v>Mbakong</v>
      </c>
      <c r="X9" s="88" t="str">
        <f t="shared" si="0"/>
        <v>NRO</v>
      </c>
      <c r="Y9" s="88" t="str">
        <f t="shared" si="1"/>
        <v>T&gt;72H</v>
      </c>
      <c r="Z9" s="101">
        <f t="shared" si="2"/>
        <v>2</v>
      </c>
      <c r="AA9" s="61"/>
      <c r="AB9" s="84" t="s">
        <v>1554</v>
      </c>
      <c r="AC9" s="105" t="s">
        <v>2730</v>
      </c>
      <c r="AD9" s="106" t="s">
        <v>1994</v>
      </c>
      <c r="AE9" s="61"/>
    </row>
    <row r="10" spans="1:31" ht="130.5" hidden="1" x14ac:dyDescent="0.35">
      <c r="A10" s="61" t="s">
        <v>1843</v>
      </c>
      <c r="B10" s="61" t="s">
        <v>1844</v>
      </c>
      <c r="C10" s="65"/>
      <c r="D10" s="61"/>
      <c r="E10" s="61" t="s">
        <v>1879</v>
      </c>
      <c r="F10" s="70" t="s">
        <v>53</v>
      </c>
      <c r="G10" s="70" t="s">
        <v>2121</v>
      </c>
      <c r="H10" s="67">
        <v>46175.448993055557</v>
      </c>
      <c r="I10" s="75">
        <v>5.1169216435155249</v>
      </c>
      <c r="J10" s="61"/>
      <c r="K10" s="61"/>
      <c r="L10" s="61"/>
      <c r="M10" s="61" t="s">
        <v>38</v>
      </c>
      <c r="N10" s="61" t="s">
        <v>1845</v>
      </c>
      <c r="O10" s="61"/>
      <c r="P10" s="61"/>
      <c r="Q10" s="61"/>
      <c r="R10" s="61" t="s">
        <v>2380</v>
      </c>
      <c r="S10" s="61" t="s">
        <v>75</v>
      </c>
      <c r="T10" s="61" t="s">
        <v>1901</v>
      </c>
      <c r="U10" s="61" t="s">
        <v>1901</v>
      </c>
      <c r="V10" s="101" t="str">
        <f>VLOOKUP(B10,[2]Overall!$A:$D,4,0)</f>
        <v>TELEINFRA NORD</v>
      </c>
      <c r="W10" s="101" t="str">
        <f>VLOOKUP(B10,[3]Sheet1!$A:$B,2,0)</f>
        <v>Mayo-Nonde</v>
      </c>
      <c r="X10" s="88" t="str">
        <f t="shared" si="0"/>
        <v>NRD</v>
      </c>
      <c r="Y10" s="88" t="str">
        <f t="shared" si="1"/>
        <v>T&gt;72H</v>
      </c>
      <c r="Z10" s="101">
        <f t="shared" si="2"/>
        <v>3</v>
      </c>
      <c r="AA10" s="61"/>
      <c r="AB10" s="84" t="s">
        <v>1554</v>
      </c>
      <c r="AC10" s="105" t="s">
        <v>2730</v>
      </c>
      <c r="AD10" s="106" t="s">
        <v>1994</v>
      </c>
      <c r="AE10" s="61"/>
    </row>
    <row r="11" spans="1:31" ht="116" hidden="1" x14ac:dyDescent="0.35">
      <c r="A11" s="61" t="s">
        <v>1892</v>
      </c>
      <c r="B11" s="61" t="s">
        <v>1893</v>
      </c>
      <c r="C11" s="65"/>
      <c r="D11" s="61"/>
      <c r="E11" s="61" t="s">
        <v>2199</v>
      </c>
      <c r="F11" s="70" t="s">
        <v>53</v>
      </c>
      <c r="G11" s="70" t="s">
        <v>2121</v>
      </c>
      <c r="H11" s="67">
        <v>46175.837418981479</v>
      </c>
      <c r="I11" s="75">
        <v>4.7284957175943418</v>
      </c>
      <c r="J11" s="61"/>
      <c r="K11" s="61"/>
      <c r="L11" s="61"/>
      <c r="M11" s="61" t="s">
        <v>41</v>
      </c>
      <c r="N11" s="61" t="s">
        <v>42</v>
      </c>
      <c r="O11" s="61"/>
      <c r="P11" s="61"/>
      <c r="Q11" s="61"/>
      <c r="R11" s="61" t="s">
        <v>2378</v>
      </c>
      <c r="S11" s="61" t="s">
        <v>75</v>
      </c>
      <c r="T11" s="61" t="s">
        <v>1688</v>
      </c>
      <c r="U11" s="61" t="s">
        <v>1688</v>
      </c>
      <c r="V11" s="101" t="str">
        <f>VLOOKUP(B11,[2]Overall!$A:$D,4,0)</f>
        <v>H-TELI</v>
      </c>
      <c r="W11" s="101" t="str">
        <f>VLOOKUP(B11,[3]Sheet1!$A:$B,2,0)</f>
        <v>Santchou</v>
      </c>
      <c r="X11" s="88" t="str">
        <f t="shared" si="0"/>
        <v>OST</v>
      </c>
      <c r="Y11" s="88" t="str">
        <f t="shared" si="1"/>
        <v>T&gt;72H</v>
      </c>
      <c r="Z11" s="101">
        <f t="shared" si="2"/>
        <v>1</v>
      </c>
      <c r="AA11" s="61"/>
      <c r="AB11" s="84" t="s">
        <v>1554</v>
      </c>
      <c r="AC11" s="105" t="s">
        <v>2730</v>
      </c>
      <c r="AD11" s="106" t="s">
        <v>1994</v>
      </c>
      <c r="AE11" s="61"/>
    </row>
    <row r="12" spans="1:31" ht="116" hidden="1" x14ac:dyDescent="0.35">
      <c r="A12" s="61" t="s">
        <v>1892</v>
      </c>
      <c r="B12" s="61" t="s">
        <v>1893</v>
      </c>
      <c r="C12" s="65"/>
      <c r="D12" s="61"/>
      <c r="E12" s="61" t="s">
        <v>2200</v>
      </c>
      <c r="F12" s="70" t="s">
        <v>53</v>
      </c>
      <c r="G12" s="70" t="s">
        <v>2121</v>
      </c>
      <c r="H12" s="67">
        <v>46175.837430555555</v>
      </c>
      <c r="I12" s="75">
        <v>4.7284841435175622</v>
      </c>
      <c r="J12" s="61"/>
      <c r="K12" s="61"/>
      <c r="L12" s="61"/>
      <c r="M12" s="61" t="s">
        <v>41</v>
      </c>
      <c r="N12" s="61" t="s">
        <v>42</v>
      </c>
      <c r="O12" s="61"/>
      <c r="P12" s="61"/>
      <c r="Q12" s="61"/>
      <c r="R12" s="61" t="s">
        <v>2378</v>
      </c>
      <c r="S12" s="61" t="s">
        <v>75</v>
      </c>
      <c r="T12" s="61" t="s">
        <v>1688</v>
      </c>
      <c r="U12" s="61" t="s">
        <v>1688</v>
      </c>
      <c r="V12" s="101" t="str">
        <f>VLOOKUP(B12,[2]Overall!$A:$D,4,0)</f>
        <v>H-TELI</v>
      </c>
      <c r="W12" s="101" t="str">
        <f>VLOOKUP(B12,[3]Sheet1!$A:$B,2,0)</f>
        <v>Santchou</v>
      </c>
      <c r="X12" s="88" t="str">
        <f t="shared" si="0"/>
        <v>OST</v>
      </c>
      <c r="Y12" s="88" t="str">
        <f t="shared" si="1"/>
        <v>T&gt;72H</v>
      </c>
      <c r="Z12" s="101">
        <f t="shared" si="2"/>
        <v>1</v>
      </c>
      <c r="AA12" s="61"/>
      <c r="AB12" s="84" t="s">
        <v>1554</v>
      </c>
      <c r="AC12" s="105" t="s">
        <v>2730</v>
      </c>
      <c r="AD12" s="106" t="s">
        <v>1994</v>
      </c>
      <c r="AE12" s="61"/>
    </row>
    <row r="13" spans="1:31" ht="116" hidden="1" x14ac:dyDescent="0.35">
      <c r="A13" s="61" t="s">
        <v>1892</v>
      </c>
      <c r="B13" s="61" t="s">
        <v>1893</v>
      </c>
      <c r="C13" s="65"/>
      <c r="D13" s="61"/>
      <c r="E13" s="61" t="s">
        <v>2201</v>
      </c>
      <c r="F13" s="70" t="s">
        <v>53</v>
      </c>
      <c r="G13" s="70" t="s">
        <v>2121</v>
      </c>
      <c r="H13" s="67">
        <v>46175.837407407409</v>
      </c>
      <c r="I13" s="75">
        <v>4.7285072916638455</v>
      </c>
      <c r="J13" s="61"/>
      <c r="K13" s="61"/>
      <c r="L13" s="61"/>
      <c r="M13" s="61" t="s">
        <v>41</v>
      </c>
      <c r="N13" s="61" t="s">
        <v>42</v>
      </c>
      <c r="O13" s="61"/>
      <c r="P13" s="61"/>
      <c r="Q13" s="61"/>
      <c r="R13" s="61" t="s">
        <v>2378</v>
      </c>
      <c r="S13" s="61" t="s">
        <v>75</v>
      </c>
      <c r="T13" s="61" t="s">
        <v>1688</v>
      </c>
      <c r="U13" s="61" t="s">
        <v>1688</v>
      </c>
      <c r="V13" s="101" t="str">
        <f>VLOOKUP(B13,[2]Overall!$A:$D,4,0)</f>
        <v>H-TELI</v>
      </c>
      <c r="W13" s="101" t="str">
        <f>VLOOKUP(B13,[3]Sheet1!$A:$B,2,0)</f>
        <v>Santchou</v>
      </c>
      <c r="X13" s="88" t="str">
        <f t="shared" si="0"/>
        <v>OST</v>
      </c>
      <c r="Y13" s="88" t="str">
        <f t="shared" si="1"/>
        <v>T&gt;72H</v>
      </c>
      <c r="Z13" s="101">
        <f t="shared" si="2"/>
        <v>1</v>
      </c>
      <c r="AA13" s="61"/>
      <c r="AB13" s="84" t="s">
        <v>1554</v>
      </c>
      <c r="AC13" s="105" t="s">
        <v>2730</v>
      </c>
      <c r="AD13" s="106" t="s">
        <v>1994</v>
      </c>
      <c r="AE13" s="61"/>
    </row>
    <row r="14" spans="1:31" ht="116" hidden="1" x14ac:dyDescent="0.35">
      <c r="A14" s="61" t="s">
        <v>1892</v>
      </c>
      <c r="B14" s="61" t="s">
        <v>1893</v>
      </c>
      <c r="C14" s="65"/>
      <c r="D14" s="61"/>
      <c r="E14" s="61" t="s">
        <v>2202</v>
      </c>
      <c r="F14" s="70" t="s">
        <v>53</v>
      </c>
      <c r="G14" s="70" t="s">
        <v>2121</v>
      </c>
      <c r="H14" s="67">
        <v>46175.837430555555</v>
      </c>
      <c r="I14" s="75">
        <v>4.7284841435175622</v>
      </c>
      <c r="J14" s="61"/>
      <c r="K14" s="61"/>
      <c r="L14" s="61"/>
      <c r="M14" s="61" t="s">
        <v>41</v>
      </c>
      <c r="N14" s="61" t="s">
        <v>42</v>
      </c>
      <c r="O14" s="61"/>
      <c r="P14" s="61"/>
      <c r="Q14" s="61"/>
      <c r="R14" s="61" t="s">
        <v>2378</v>
      </c>
      <c r="S14" s="61" t="s">
        <v>75</v>
      </c>
      <c r="T14" s="61" t="s">
        <v>1688</v>
      </c>
      <c r="U14" s="61" t="s">
        <v>1688</v>
      </c>
      <c r="V14" s="101" t="str">
        <f>VLOOKUP(B14,[2]Overall!$A:$D,4,0)</f>
        <v>H-TELI</v>
      </c>
      <c r="W14" s="101" t="str">
        <f>VLOOKUP(B14,[3]Sheet1!$A:$B,2,0)</f>
        <v>Santchou</v>
      </c>
      <c r="X14" s="88" t="str">
        <f t="shared" si="0"/>
        <v>OST</v>
      </c>
      <c r="Y14" s="88" t="str">
        <f t="shared" si="1"/>
        <v>T&gt;72H</v>
      </c>
      <c r="Z14" s="101">
        <f t="shared" si="2"/>
        <v>1</v>
      </c>
      <c r="AA14" s="61"/>
      <c r="AB14" s="84" t="s">
        <v>1554</v>
      </c>
      <c r="AC14" s="105" t="s">
        <v>2730</v>
      </c>
      <c r="AD14" s="106" t="s">
        <v>1994</v>
      </c>
      <c r="AE14" s="61"/>
    </row>
    <row r="15" spans="1:31" ht="116" hidden="1" x14ac:dyDescent="0.35">
      <c r="A15" s="61" t="s">
        <v>1892</v>
      </c>
      <c r="B15" s="61" t="s">
        <v>1893</v>
      </c>
      <c r="C15" s="65"/>
      <c r="D15" s="61"/>
      <c r="E15" s="61" t="s">
        <v>2203</v>
      </c>
      <c r="F15" s="70" t="s">
        <v>53</v>
      </c>
      <c r="G15" s="70" t="s">
        <v>2121</v>
      </c>
      <c r="H15" s="67">
        <v>46175.837430555555</v>
      </c>
      <c r="I15" s="75">
        <v>4.7284841435175622</v>
      </c>
      <c r="J15" s="61"/>
      <c r="K15" s="61"/>
      <c r="L15" s="61"/>
      <c r="M15" s="61" t="s">
        <v>41</v>
      </c>
      <c r="N15" s="61" t="s">
        <v>42</v>
      </c>
      <c r="O15" s="61"/>
      <c r="P15" s="61"/>
      <c r="Q15" s="61"/>
      <c r="R15" s="61" t="s">
        <v>2378</v>
      </c>
      <c r="S15" s="61" t="s">
        <v>75</v>
      </c>
      <c r="T15" s="61" t="s">
        <v>1688</v>
      </c>
      <c r="U15" s="61" t="s">
        <v>1688</v>
      </c>
      <c r="V15" s="101" t="str">
        <f>VLOOKUP(B15,[2]Overall!$A:$D,4,0)</f>
        <v>H-TELI</v>
      </c>
      <c r="W15" s="101" t="str">
        <f>VLOOKUP(B15,[3]Sheet1!$A:$B,2,0)</f>
        <v>Santchou</v>
      </c>
      <c r="X15" s="88" t="str">
        <f t="shared" si="0"/>
        <v>OST</v>
      </c>
      <c r="Y15" s="88" t="str">
        <f t="shared" si="1"/>
        <v>T&gt;72H</v>
      </c>
      <c r="Z15" s="101">
        <f t="shared" si="2"/>
        <v>1</v>
      </c>
      <c r="AA15" s="61"/>
      <c r="AB15" s="84" t="s">
        <v>1554</v>
      </c>
      <c r="AC15" s="105" t="s">
        <v>2730</v>
      </c>
      <c r="AD15" s="106" t="s">
        <v>1994</v>
      </c>
      <c r="AE15" s="61"/>
    </row>
    <row r="16" spans="1:31" ht="116" hidden="1" x14ac:dyDescent="0.35">
      <c r="A16" s="61" t="s">
        <v>1892</v>
      </c>
      <c r="B16" s="61" t="s">
        <v>1893</v>
      </c>
      <c r="C16" s="65"/>
      <c r="D16" s="61"/>
      <c r="E16" s="61" t="s">
        <v>2204</v>
      </c>
      <c r="F16" s="70" t="s">
        <v>53</v>
      </c>
      <c r="G16" s="70" t="s">
        <v>2121</v>
      </c>
      <c r="H16" s="67">
        <v>46175.837430555555</v>
      </c>
      <c r="I16" s="75">
        <v>4.7284841435175622</v>
      </c>
      <c r="J16" s="61"/>
      <c r="K16" s="61"/>
      <c r="L16" s="61"/>
      <c r="M16" s="61" t="s">
        <v>41</v>
      </c>
      <c r="N16" s="61" t="s">
        <v>42</v>
      </c>
      <c r="O16" s="61"/>
      <c r="P16" s="61"/>
      <c r="Q16" s="61"/>
      <c r="R16" s="61" t="s">
        <v>2378</v>
      </c>
      <c r="S16" s="61" t="s">
        <v>75</v>
      </c>
      <c r="T16" s="61" t="s">
        <v>1688</v>
      </c>
      <c r="U16" s="61" t="s">
        <v>1688</v>
      </c>
      <c r="V16" s="101" t="str">
        <f>VLOOKUP(B16,[2]Overall!$A:$D,4,0)</f>
        <v>H-TELI</v>
      </c>
      <c r="W16" s="101" t="str">
        <f>VLOOKUP(B16,[3]Sheet1!$A:$B,2,0)</f>
        <v>Santchou</v>
      </c>
      <c r="X16" s="88" t="str">
        <f t="shared" si="0"/>
        <v>OST</v>
      </c>
      <c r="Y16" s="88" t="str">
        <f t="shared" si="1"/>
        <v>T&gt;72H</v>
      </c>
      <c r="Z16" s="101">
        <f t="shared" si="2"/>
        <v>1</v>
      </c>
      <c r="AA16" s="61"/>
      <c r="AB16" s="84" t="s">
        <v>1554</v>
      </c>
      <c r="AC16" s="105" t="s">
        <v>2730</v>
      </c>
      <c r="AD16" s="106" t="s">
        <v>1994</v>
      </c>
      <c r="AE16" s="61"/>
    </row>
    <row r="17" spans="1:31" ht="188.5" hidden="1" x14ac:dyDescent="0.35">
      <c r="A17" s="61" t="s">
        <v>2262</v>
      </c>
      <c r="B17" s="61" t="s">
        <v>2263</v>
      </c>
      <c r="C17" s="65"/>
      <c r="D17" s="61"/>
      <c r="E17" s="61" t="s">
        <v>2264</v>
      </c>
      <c r="F17" s="70" t="s">
        <v>53</v>
      </c>
      <c r="G17" s="70" t="s">
        <v>2121</v>
      </c>
      <c r="H17" s="67">
        <v>46176.41369212963</v>
      </c>
      <c r="I17" s="75">
        <v>4.1522225694425288</v>
      </c>
      <c r="J17" s="61"/>
      <c r="K17" s="61"/>
      <c r="L17" s="61"/>
      <c r="M17" s="61" t="s">
        <v>31</v>
      </c>
      <c r="N17" s="61" t="s">
        <v>2265</v>
      </c>
      <c r="O17" s="61"/>
      <c r="P17" s="61"/>
      <c r="Q17" s="61"/>
      <c r="R17" s="61" t="s">
        <v>2636</v>
      </c>
      <c r="S17" s="61" t="s">
        <v>40</v>
      </c>
      <c r="T17" s="61" t="s">
        <v>1898</v>
      </c>
      <c r="U17" s="61" t="s">
        <v>1898</v>
      </c>
      <c r="V17" s="101" t="str">
        <f>VLOOKUP(B17,[2]Overall!$A:$D,4,0)</f>
        <v>TELEINFRA NORD</v>
      </c>
      <c r="W17" s="101" t="str">
        <f>VLOOKUP(B17,[3]Sheet1!$A:$B,2,0)</f>
        <v>Ndiam-badji</v>
      </c>
      <c r="X17" s="88" t="str">
        <f t="shared" si="0"/>
        <v>NRD</v>
      </c>
      <c r="Y17" s="88" t="str">
        <f t="shared" si="1"/>
        <v>T&gt;72H</v>
      </c>
      <c r="Z17" s="101">
        <f t="shared" si="2"/>
        <v>6</v>
      </c>
      <c r="AA17" s="61"/>
      <c r="AB17" s="84" t="s">
        <v>1554</v>
      </c>
      <c r="AC17" s="105" t="s">
        <v>2730</v>
      </c>
      <c r="AD17" s="106" t="s">
        <v>1994</v>
      </c>
      <c r="AE17" s="61"/>
    </row>
    <row r="18" spans="1:31" ht="188.5" hidden="1" x14ac:dyDescent="0.35">
      <c r="A18" s="61" t="s">
        <v>2262</v>
      </c>
      <c r="B18" s="61" t="s">
        <v>2263</v>
      </c>
      <c r="C18" s="65"/>
      <c r="D18" s="61"/>
      <c r="E18" s="61" t="s">
        <v>2264</v>
      </c>
      <c r="F18" s="70" t="s">
        <v>53</v>
      </c>
      <c r="G18" s="70" t="s">
        <v>2121</v>
      </c>
      <c r="H18" s="67">
        <v>46176.450185185182</v>
      </c>
      <c r="I18" s="75">
        <v>4.1157295138909831</v>
      </c>
      <c r="J18" s="61"/>
      <c r="K18" s="61"/>
      <c r="L18" s="61"/>
      <c r="M18" s="61" t="s">
        <v>1713</v>
      </c>
      <c r="N18" s="61" t="s">
        <v>2266</v>
      </c>
      <c r="O18" s="61"/>
      <c r="P18" s="61"/>
      <c r="Q18" s="61"/>
      <c r="R18" s="61" t="s">
        <v>2636</v>
      </c>
      <c r="S18" s="61" t="s">
        <v>40</v>
      </c>
      <c r="T18" s="61" t="s">
        <v>1898</v>
      </c>
      <c r="U18" s="61" t="s">
        <v>1898</v>
      </c>
      <c r="V18" s="101" t="str">
        <f>VLOOKUP(B18,[2]Overall!$A:$D,4,0)</f>
        <v>TELEINFRA NORD</v>
      </c>
      <c r="W18" s="101" t="str">
        <f>VLOOKUP(B18,[3]Sheet1!$A:$B,2,0)</f>
        <v>Ndiam-badji</v>
      </c>
      <c r="X18" s="88" t="str">
        <f t="shared" si="0"/>
        <v>NRD</v>
      </c>
      <c r="Y18" s="88" t="str">
        <f t="shared" si="1"/>
        <v>T&gt;72H</v>
      </c>
      <c r="Z18" s="101">
        <f t="shared" si="2"/>
        <v>6</v>
      </c>
      <c r="AA18" s="61"/>
      <c r="AB18" s="84" t="s">
        <v>1554</v>
      </c>
      <c r="AC18" s="105" t="s">
        <v>2730</v>
      </c>
      <c r="AD18" s="106" t="s">
        <v>1994</v>
      </c>
      <c r="AE18" s="61"/>
    </row>
    <row r="19" spans="1:31" ht="87" hidden="1" x14ac:dyDescent="0.35">
      <c r="A19" s="61" t="s">
        <v>1705</v>
      </c>
      <c r="B19" s="61" t="s">
        <v>1706</v>
      </c>
      <c r="C19" s="65"/>
      <c r="D19" s="61"/>
      <c r="E19" s="61" t="s">
        <v>48</v>
      </c>
      <c r="F19" s="70" t="s">
        <v>53</v>
      </c>
      <c r="G19" s="70" t="s">
        <v>2121</v>
      </c>
      <c r="H19" s="67">
        <v>46177.386990740742</v>
      </c>
      <c r="I19" s="75">
        <v>3.1789239583304152</v>
      </c>
      <c r="J19" s="61"/>
      <c r="K19" s="61"/>
      <c r="L19" s="61"/>
      <c r="M19" s="61" t="s">
        <v>1707</v>
      </c>
      <c r="N19" s="61" t="s">
        <v>1708</v>
      </c>
      <c r="O19" s="61"/>
      <c r="P19" s="61"/>
      <c r="Q19" s="61"/>
      <c r="R19" s="61" t="s">
        <v>2414</v>
      </c>
      <c r="S19" s="61" t="s">
        <v>71</v>
      </c>
      <c r="T19" s="61" t="s">
        <v>1902</v>
      </c>
      <c r="U19" s="61" t="s">
        <v>1896</v>
      </c>
      <c r="V19" s="101" t="str">
        <f>VLOOKUP(B19,[2]Overall!$A:$D,4,0)</f>
        <v xml:space="preserve">I-ENG </v>
      </c>
      <c r="W19" s="101" t="str">
        <f>VLOOKUP(B19,[3]Sheet1!$A:$B,2,0)</f>
        <v>Laising</v>
      </c>
      <c r="X19" s="88" t="str">
        <f t="shared" ref="X19:X60" si="3">LEFT(B19,3)</f>
        <v>NRO</v>
      </c>
      <c r="Y19" s="88" t="str">
        <f t="shared" ref="Y19:Y60" si="4">IF(I19 &lt; 1/24, "T&lt;1H", IF(AND(I19&lt;2/24, I19&gt;1/24), "1H&lt;T&lt;2H", IF(AND(I19&lt;4/24, I19&gt;2/24), "2H&lt;T&lt;4H", IF(AND(I19&lt;8/24, I19&gt;4/24), "4H&lt;T&lt;8H", IF(AND(I19&lt;16/24, I19&gt;8/24), "8H&lt;T&lt;16H",IF(AND(I19&lt;24/24, I19&gt;16/24),"16H&lt;T&lt;24H", IF(AND(I19&lt;48/24, I19&gt;24/24),"24H&lt;T&lt;48H",IF(AND(I19&lt;72/24, I19&gt;24/24),"48H&lt;T&lt;72H", "T&gt;72H"))))))))</f>
        <v>T&gt;72H</v>
      </c>
      <c r="Z19" s="101">
        <f t="shared" ref="Z19:Z60" si="5">IF(OR(E19="", E19="affected_cells=unknown"), "", LEN(E19)-LEN(SUBSTITUTE(E19, ",", "")) + LEN(E19)-LEN(SUBSTITUTE(E19, ";", "")) + 1)</f>
        <v>1</v>
      </c>
      <c r="AA19" s="61"/>
      <c r="AB19" s="84" t="s">
        <v>1554</v>
      </c>
      <c r="AC19" s="105" t="s">
        <v>2730</v>
      </c>
      <c r="AD19" s="106" t="s">
        <v>1994</v>
      </c>
      <c r="AE19" s="61"/>
    </row>
    <row r="20" spans="1:31" ht="174" hidden="1" x14ac:dyDescent="0.35">
      <c r="A20" s="61" t="s">
        <v>2257</v>
      </c>
      <c r="B20" s="61" t="s">
        <v>1796</v>
      </c>
      <c r="C20" s="65"/>
      <c r="D20" s="61"/>
      <c r="E20" s="61" t="s">
        <v>35</v>
      </c>
      <c r="F20" s="70" t="s">
        <v>53</v>
      </c>
      <c r="G20" s="70" t="s">
        <v>2121</v>
      </c>
      <c r="H20" s="67">
        <v>46177.521458333336</v>
      </c>
      <c r="I20" s="75">
        <v>3.0444563657365507</v>
      </c>
      <c r="J20" s="61"/>
      <c r="K20" s="61"/>
      <c r="L20" s="61"/>
      <c r="M20" s="61" t="s">
        <v>31</v>
      </c>
      <c r="N20" s="61" t="s">
        <v>2400</v>
      </c>
      <c r="O20" s="61"/>
      <c r="P20" s="61"/>
      <c r="Q20" s="61"/>
      <c r="R20" s="61" t="s">
        <v>2655</v>
      </c>
      <c r="S20" s="61" t="s">
        <v>40</v>
      </c>
      <c r="T20" s="61" t="s">
        <v>1899</v>
      </c>
      <c r="U20" s="61" t="s">
        <v>1899</v>
      </c>
      <c r="V20" s="101" t="str">
        <f>VLOOKUP(B20,[2]Overall!$A:$D,4,0)</f>
        <v>TELEINFRA NORD</v>
      </c>
      <c r="W20" s="101" t="str">
        <f>VLOOKUP(B20,[3]Sheet1!$A:$B,2,0)</f>
        <v>Bagarao</v>
      </c>
      <c r="X20" s="88" t="str">
        <f t="shared" si="3"/>
        <v>EXN</v>
      </c>
      <c r="Y20" s="88" t="str">
        <f t="shared" si="4"/>
        <v>T&gt;72H</v>
      </c>
      <c r="Z20" s="101">
        <f t="shared" si="5"/>
        <v>3</v>
      </c>
      <c r="AA20" s="61"/>
      <c r="AB20" s="84" t="s">
        <v>1554</v>
      </c>
      <c r="AC20" s="105" t="s">
        <v>2730</v>
      </c>
      <c r="AD20" s="106" t="s">
        <v>1994</v>
      </c>
      <c r="AE20" s="61"/>
    </row>
    <row r="21" spans="1:31" ht="87" hidden="1" x14ac:dyDescent="0.35">
      <c r="A21" s="61" t="s">
        <v>2276</v>
      </c>
      <c r="B21" s="61" t="s">
        <v>2277</v>
      </c>
      <c r="C21" s="65"/>
      <c r="D21" s="61"/>
      <c r="E21" s="61" t="s">
        <v>2278</v>
      </c>
      <c r="F21" s="70" t="s">
        <v>53</v>
      </c>
      <c r="G21" s="70" t="s">
        <v>2121</v>
      </c>
      <c r="H21" s="67">
        <v>46177.591168981482</v>
      </c>
      <c r="I21" s="75">
        <v>2.9747457175908494</v>
      </c>
      <c r="J21" s="61"/>
      <c r="K21" s="61"/>
      <c r="L21" s="61"/>
      <c r="M21" s="61" t="s">
        <v>38</v>
      </c>
      <c r="N21" s="61" t="s">
        <v>2279</v>
      </c>
      <c r="O21" s="61"/>
      <c r="P21" s="61"/>
      <c r="Q21" s="61"/>
      <c r="R21" s="61" t="s">
        <v>2624</v>
      </c>
      <c r="S21" s="61" t="s">
        <v>32</v>
      </c>
      <c r="T21" s="61" t="s">
        <v>1898</v>
      </c>
      <c r="U21" s="61" t="s">
        <v>1898</v>
      </c>
      <c r="V21" s="101" t="str">
        <f>VLOOKUP(B21,[2]Overall!$A:$D,4,0)</f>
        <v xml:space="preserve">I-ENG </v>
      </c>
      <c r="W21" s="101" t="str">
        <f>VLOOKUP(B21,[3]Sheet1!$A:$B,2,0)</f>
        <v>Babanki</v>
      </c>
      <c r="X21" s="88" t="str">
        <f t="shared" si="3"/>
        <v>NRO</v>
      </c>
      <c r="Y21" s="88" t="str">
        <f t="shared" si="4"/>
        <v>48H&lt;T&lt;72H</v>
      </c>
      <c r="Z21" s="101">
        <f t="shared" si="5"/>
        <v>2</v>
      </c>
      <c r="AA21" s="61"/>
      <c r="AB21" s="84" t="s">
        <v>1554</v>
      </c>
      <c r="AC21" s="105" t="s">
        <v>2730</v>
      </c>
      <c r="AD21" s="106" t="s">
        <v>1994</v>
      </c>
      <c r="AE21" s="61"/>
    </row>
    <row r="22" spans="1:31" ht="87" hidden="1" x14ac:dyDescent="0.35">
      <c r="A22" s="61" t="s">
        <v>1684</v>
      </c>
      <c r="B22" s="61" t="s">
        <v>1620</v>
      </c>
      <c r="C22" s="65"/>
      <c r="D22" s="61"/>
      <c r="E22" s="61" t="s">
        <v>1793</v>
      </c>
      <c r="F22" s="70" t="s">
        <v>53</v>
      </c>
      <c r="G22" s="70" t="s">
        <v>2121</v>
      </c>
      <c r="H22" s="67">
        <v>46177.706493055557</v>
      </c>
      <c r="I22" s="75">
        <v>2.859421643515816</v>
      </c>
      <c r="J22" s="61"/>
      <c r="K22" s="61"/>
      <c r="L22" s="61"/>
      <c r="M22" s="61" t="s">
        <v>33</v>
      </c>
      <c r="N22" s="61" t="s">
        <v>1653</v>
      </c>
      <c r="O22" s="61"/>
      <c r="P22" s="61"/>
      <c r="Q22" s="61"/>
      <c r="R22" s="61" t="s">
        <v>2497</v>
      </c>
      <c r="S22" s="61" t="s">
        <v>75</v>
      </c>
      <c r="T22" s="61" t="s">
        <v>1898</v>
      </c>
      <c r="U22" s="61" t="s">
        <v>1898</v>
      </c>
      <c r="V22" s="101" t="str">
        <f>VLOOKUP(B22,[2]Overall!$A:$D,4,0)</f>
        <v>TELEINFRA NORD</v>
      </c>
      <c r="W22" s="101" t="str">
        <f>VLOOKUP(B22,[3]Sheet1!$A:$B,2,0)</f>
        <v>Batoua-Godole</v>
      </c>
      <c r="X22" s="88" t="str">
        <f t="shared" si="3"/>
        <v>ADM</v>
      </c>
      <c r="Y22" s="88" t="str">
        <f t="shared" si="4"/>
        <v>48H&lt;T&lt;72H</v>
      </c>
      <c r="Z22" s="101">
        <f t="shared" si="5"/>
        <v>2</v>
      </c>
      <c r="AA22" s="61"/>
      <c r="AB22" s="84" t="s">
        <v>1554</v>
      </c>
      <c r="AC22" s="105" t="s">
        <v>2730</v>
      </c>
      <c r="AD22" s="106" t="s">
        <v>1994</v>
      </c>
      <c r="AE22" s="61"/>
    </row>
    <row r="23" spans="1:31" ht="145" hidden="1" x14ac:dyDescent="0.35">
      <c r="A23" s="61" t="s">
        <v>1807</v>
      </c>
      <c r="B23" s="61" t="s">
        <v>1808</v>
      </c>
      <c r="C23" s="65"/>
      <c r="D23" s="61"/>
      <c r="E23" s="61" t="s">
        <v>1810</v>
      </c>
      <c r="F23" s="70" t="s">
        <v>53</v>
      </c>
      <c r="G23" s="70" t="s">
        <v>2121</v>
      </c>
      <c r="H23" s="67">
        <v>46177.733206018522</v>
      </c>
      <c r="I23" s="75">
        <v>2.8327086805511499</v>
      </c>
      <c r="J23" s="61"/>
      <c r="K23" s="61"/>
      <c r="L23" s="61"/>
      <c r="M23" s="61" t="s">
        <v>2053</v>
      </c>
      <c r="N23" s="61" t="s">
        <v>2054</v>
      </c>
      <c r="O23" s="61"/>
      <c r="P23" s="61"/>
      <c r="Q23" s="61"/>
      <c r="R23" s="61" t="s">
        <v>2622</v>
      </c>
      <c r="S23" s="61" t="s">
        <v>85</v>
      </c>
      <c r="T23" s="61" t="s">
        <v>1898</v>
      </c>
      <c r="U23" s="61" t="s">
        <v>1898</v>
      </c>
      <c r="V23" s="101" t="str">
        <f>VLOOKUP(B23,[2]Overall!$A:$D,4,0)</f>
        <v>H-TELI</v>
      </c>
      <c r="W23" s="101" t="str">
        <f>VLOOKUP(B23,[3]Sheet1!$A:$B,2,0)</f>
        <v>Songloulou</v>
      </c>
      <c r="X23" s="88" t="str">
        <f t="shared" si="3"/>
        <v>LIT</v>
      </c>
      <c r="Y23" s="88" t="str">
        <f t="shared" si="4"/>
        <v>48H&lt;T&lt;72H</v>
      </c>
      <c r="Z23" s="101">
        <f t="shared" si="5"/>
        <v>1</v>
      </c>
      <c r="AA23" s="61"/>
      <c r="AB23" s="84" t="s">
        <v>1554</v>
      </c>
      <c r="AC23" s="105" t="s">
        <v>2730</v>
      </c>
      <c r="AD23" s="106" t="s">
        <v>1994</v>
      </c>
      <c r="AE23" s="61"/>
    </row>
    <row r="24" spans="1:31" ht="217.5" hidden="1" x14ac:dyDescent="0.35">
      <c r="A24" s="61" t="s">
        <v>2147</v>
      </c>
      <c r="B24" s="61" t="s">
        <v>2148</v>
      </c>
      <c r="C24" s="65"/>
      <c r="D24" s="61"/>
      <c r="E24" s="61" t="s">
        <v>2149</v>
      </c>
      <c r="F24" s="70" t="s">
        <v>53</v>
      </c>
      <c r="G24" s="70" t="s">
        <v>2121</v>
      </c>
      <c r="H24" s="67">
        <v>46177.806562500002</v>
      </c>
      <c r="I24" s="75">
        <v>2.7593521990711452</v>
      </c>
      <c r="J24" s="61"/>
      <c r="K24" s="61"/>
      <c r="L24" s="61"/>
      <c r="M24" s="61" t="s">
        <v>33</v>
      </c>
      <c r="N24" s="61" t="s">
        <v>1626</v>
      </c>
      <c r="O24" s="61"/>
      <c r="P24" s="61"/>
      <c r="Q24" s="61"/>
      <c r="R24" s="61" t="s">
        <v>2685</v>
      </c>
      <c r="S24" s="61" t="s">
        <v>40</v>
      </c>
      <c r="T24" s="61" t="s">
        <v>1898</v>
      </c>
      <c r="U24" s="61" t="s">
        <v>1898</v>
      </c>
      <c r="V24" s="101" t="str">
        <f>VLOOKUP(B24,[2]Overall!$A:$D,4,0)</f>
        <v>TELEINFRA NORD</v>
      </c>
      <c r="W24" s="101" t="str">
        <f>VLOOKUP(B24,[3]Sheet1!$A:$B,2,0)</f>
        <v>Mboulai</v>
      </c>
      <c r="X24" s="88" t="str">
        <f t="shared" si="3"/>
        <v>ADM</v>
      </c>
      <c r="Y24" s="88" t="str">
        <f t="shared" si="4"/>
        <v>48H&lt;T&lt;72H</v>
      </c>
      <c r="Z24" s="101">
        <f t="shared" si="5"/>
        <v>1</v>
      </c>
      <c r="AA24" s="61"/>
      <c r="AB24" s="84" t="s">
        <v>1554</v>
      </c>
      <c r="AC24" s="105" t="s">
        <v>2730</v>
      </c>
      <c r="AD24" s="106" t="s">
        <v>1994</v>
      </c>
      <c r="AE24" s="61"/>
    </row>
    <row r="25" spans="1:31" ht="72.5" hidden="1" x14ac:dyDescent="0.35">
      <c r="A25" s="61" t="s">
        <v>2350</v>
      </c>
      <c r="B25" s="61" t="s">
        <v>2351</v>
      </c>
      <c r="C25" s="65"/>
      <c r="D25" s="61"/>
      <c r="E25" s="61" t="s">
        <v>2352</v>
      </c>
      <c r="F25" s="70" t="s">
        <v>53</v>
      </c>
      <c r="G25" s="70" t="s">
        <v>2121</v>
      </c>
      <c r="H25" s="67">
        <v>46177.830648148149</v>
      </c>
      <c r="I25" s="75">
        <v>2.7352665509242797</v>
      </c>
      <c r="J25" s="61"/>
      <c r="K25" s="61"/>
      <c r="L25" s="61"/>
      <c r="M25" s="61" t="s">
        <v>38</v>
      </c>
      <c r="N25" s="61" t="s">
        <v>2353</v>
      </c>
      <c r="O25" s="61"/>
      <c r="P25" s="61"/>
      <c r="Q25" s="61"/>
      <c r="R25" s="61" t="s">
        <v>2590</v>
      </c>
      <c r="S25" s="61" t="s">
        <v>75</v>
      </c>
      <c r="T25" s="61" t="s">
        <v>1754</v>
      </c>
      <c r="U25" s="61" t="s">
        <v>1754</v>
      </c>
      <c r="V25" s="101" t="str">
        <f>VLOOKUP(B25,[2]Overall!$A:$D,4,0)</f>
        <v>TELEINFRA NORD</v>
      </c>
      <c r="W25" s="101" t="str">
        <f>VLOOKUP(B25,[3]Sheet1!$A:$B,2,0)</f>
        <v>Guidjiba</v>
      </c>
      <c r="X25" s="88" t="str">
        <f t="shared" si="3"/>
        <v>NRD</v>
      </c>
      <c r="Y25" s="88" t="str">
        <f t="shared" si="4"/>
        <v>48H&lt;T&lt;72H</v>
      </c>
      <c r="Z25" s="101">
        <f t="shared" si="5"/>
        <v>2</v>
      </c>
      <c r="AA25" s="61"/>
      <c r="AB25" s="84" t="s">
        <v>1554</v>
      </c>
      <c r="AC25" s="105" t="s">
        <v>2730</v>
      </c>
      <c r="AD25" s="106" t="s">
        <v>1994</v>
      </c>
      <c r="AE25" s="61"/>
    </row>
    <row r="26" spans="1:31" ht="72.5" hidden="1" x14ac:dyDescent="0.35">
      <c r="A26" s="61" t="s">
        <v>2208</v>
      </c>
      <c r="B26" s="61" t="s">
        <v>2209</v>
      </c>
      <c r="C26" s="65"/>
      <c r="D26" s="61"/>
      <c r="E26" s="61" t="s">
        <v>2210</v>
      </c>
      <c r="F26" s="70" t="s">
        <v>53</v>
      </c>
      <c r="G26" s="70" t="s">
        <v>2121</v>
      </c>
      <c r="H26" s="67">
        <v>46178.137129629627</v>
      </c>
      <c r="I26" s="75">
        <v>2.4287850694454391</v>
      </c>
      <c r="J26" s="61"/>
      <c r="K26" s="61"/>
      <c r="L26" s="61"/>
      <c r="M26" s="61" t="s">
        <v>1627</v>
      </c>
      <c r="N26" s="61" t="s">
        <v>2211</v>
      </c>
      <c r="O26" s="61"/>
      <c r="P26" s="61"/>
      <c r="Q26" s="61"/>
      <c r="R26" s="61" t="s">
        <v>2601</v>
      </c>
      <c r="S26" s="61" t="s">
        <v>45</v>
      </c>
      <c r="T26" s="61" t="s">
        <v>1754</v>
      </c>
      <c r="U26" s="61" t="s">
        <v>1754</v>
      </c>
      <c r="V26" s="101" t="str">
        <f>VLOOKUP(B26,[2]Overall!$A:$D,4,0)</f>
        <v>TELEINFRA CENTRE</v>
      </c>
      <c r="W26" s="101" t="str">
        <f>VLOOKUP(B26,[3]Sheet1!$A:$B,2,0)</f>
        <v>Mvangan</v>
      </c>
      <c r="X26" s="88" t="str">
        <f t="shared" si="3"/>
        <v>SUD</v>
      </c>
      <c r="Y26" s="88" t="str">
        <f t="shared" si="4"/>
        <v>48H&lt;T&lt;72H</v>
      </c>
      <c r="Z26" s="101">
        <f t="shared" si="5"/>
        <v>1</v>
      </c>
      <c r="AA26" s="61"/>
      <c r="AB26" s="84" t="s">
        <v>1554</v>
      </c>
      <c r="AC26" s="105" t="s">
        <v>2730</v>
      </c>
      <c r="AD26" s="106" t="s">
        <v>1994</v>
      </c>
      <c r="AE26" s="61"/>
    </row>
    <row r="27" spans="1:31" ht="87" hidden="1" x14ac:dyDescent="0.35">
      <c r="A27" s="61" t="s">
        <v>2441</v>
      </c>
      <c r="B27" s="61" t="s">
        <v>2442</v>
      </c>
      <c r="C27" s="65"/>
      <c r="D27" s="61"/>
      <c r="E27" s="61" t="s">
        <v>2471</v>
      </c>
      <c r="F27" s="70" t="s">
        <v>53</v>
      </c>
      <c r="G27" s="70" t="s">
        <v>2121</v>
      </c>
      <c r="H27" s="67">
        <v>46178.441736111112</v>
      </c>
      <c r="I27" s="75">
        <v>2.1241785879610688</v>
      </c>
      <c r="J27" s="61"/>
      <c r="K27" s="61"/>
      <c r="L27" s="61"/>
      <c r="M27" s="61" t="s">
        <v>33</v>
      </c>
      <c r="N27" s="61" t="s">
        <v>2444</v>
      </c>
      <c r="O27" s="61"/>
      <c r="P27" s="61"/>
      <c r="Q27" s="61"/>
      <c r="R27" s="61" t="s">
        <v>2652</v>
      </c>
      <c r="S27" s="61" t="s">
        <v>45</v>
      </c>
      <c r="T27" s="61" t="s">
        <v>1898</v>
      </c>
      <c r="U27" s="61" t="s">
        <v>1898</v>
      </c>
      <c r="V27" s="101" t="str">
        <f>VLOOKUP(B27,[2]Overall!$A:$D,4,0)</f>
        <v>TELEINFRA CENTRE</v>
      </c>
      <c r="W27" s="101" t="str">
        <f>VLOOKUP(B27,[3]Sheet1!$A:$B,2,0)</f>
        <v>Yola</v>
      </c>
      <c r="X27" s="88" t="str">
        <f t="shared" si="3"/>
        <v>EST</v>
      </c>
      <c r="Y27" s="88" t="str">
        <f t="shared" si="4"/>
        <v>48H&lt;T&lt;72H</v>
      </c>
      <c r="Z27" s="101">
        <f t="shared" si="5"/>
        <v>2</v>
      </c>
      <c r="AA27" s="61"/>
      <c r="AB27" s="84" t="s">
        <v>1554</v>
      </c>
      <c r="AC27" s="105" t="s">
        <v>2730</v>
      </c>
      <c r="AD27" s="106" t="s">
        <v>1994</v>
      </c>
      <c r="AE27" s="61"/>
    </row>
    <row r="28" spans="1:31" ht="101.5" hidden="1" x14ac:dyDescent="0.35">
      <c r="A28" s="61" t="s">
        <v>2481</v>
      </c>
      <c r="B28" s="61" t="s">
        <v>2482</v>
      </c>
      <c r="C28" s="65"/>
      <c r="D28" s="61"/>
      <c r="E28" s="61" t="s">
        <v>2483</v>
      </c>
      <c r="F28" s="70" t="s">
        <v>53</v>
      </c>
      <c r="G28" s="70" t="s">
        <v>2121</v>
      </c>
      <c r="H28" s="67">
        <v>46178.506608796299</v>
      </c>
      <c r="I28" s="75">
        <v>2.0593059027742129</v>
      </c>
      <c r="J28" s="61"/>
      <c r="K28" s="61"/>
      <c r="L28" s="61"/>
      <c r="M28" s="61" t="s">
        <v>46</v>
      </c>
      <c r="N28" s="61" t="s">
        <v>2484</v>
      </c>
      <c r="O28" s="61"/>
      <c r="P28" s="61"/>
      <c r="Q28" s="61"/>
      <c r="R28" s="61" t="s">
        <v>2623</v>
      </c>
      <c r="S28" s="61" t="s">
        <v>85</v>
      </c>
      <c r="T28" s="61" t="s">
        <v>1898</v>
      </c>
      <c r="U28" s="61" t="s">
        <v>1898</v>
      </c>
      <c r="V28" s="101" t="str">
        <f>VLOOKUP(B28,[2]Overall!$A:$D,4,0)</f>
        <v>H-TELI</v>
      </c>
      <c r="W28" s="101" t="str">
        <f>VLOOKUP(B28,[3]Sheet1!$A:$B,2,0)</f>
        <v>Banguem</v>
      </c>
      <c r="X28" s="88" t="str">
        <f t="shared" si="3"/>
        <v>SUO</v>
      </c>
      <c r="Y28" s="88" t="str">
        <f t="shared" si="4"/>
        <v>48H&lt;T&lt;72H</v>
      </c>
      <c r="Z28" s="101">
        <f t="shared" si="5"/>
        <v>1</v>
      </c>
      <c r="AA28" s="61"/>
      <c r="AB28" s="84" t="s">
        <v>1554</v>
      </c>
      <c r="AC28" s="105" t="s">
        <v>2730</v>
      </c>
      <c r="AD28" s="106" t="s">
        <v>1994</v>
      </c>
      <c r="AE28" s="61"/>
    </row>
    <row r="29" spans="1:31" ht="87" hidden="1" x14ac:dyDescent="0.35">
      <c r="A29" s="61" t="s">
        <v>2520</v>
      </c>
      <c r="B29" s="61" t="s">
        <v>2521</v>
      </c>
      <c r="C29" s="65"/>
      <c r="D29" s="61"/>
      <c r="E29" s="61" t="s">
        <v>2522</v>
      </c>
      <c r="F29" s="70" t="s">
        <v>53</v>
      </c>
      <c r="G29" s="70" t="s">
        <v>2121</v>
      </c>
      <c r="H29" s="67">
        <v>46178.632245370369</v>
      </c>
      <c r="I29" s="75">
        <v>1.9336693287041271</v>
      </c>
      <c r="J29" s="61"/>
      <c r="K29" s="61"/>
      <c r="L29" s="61"/>
      <c r="M29" s="61" t="s">
        <v>33</v>
      </c>
      <c r="N29" s="61" t="s">
        <v>2523</v>
      </c>
      <c r="O29" s="61"/>
      <c r="P29" s="61"/>
      <c r="Q29" s="61"/>
      <c r="R29" s="61" t="s">
        <v>2660</v>
      </c>
      <c r="S29" s="61" t="s">
        <v>32</v>
      </c>
      <c r="T29" s="61" t="s">
        <v>1898</v>
      </c>
      <c r="U29" s="61" t="s">
        <v>1898</v>
      </c>
      <c r="V29" s="101" t="str">
        <f>VLOOKUP(B29,[2]Overall!$A:$D,4,0)</f>
        <v xml:space="preserve">I-ENG </v>
      </c>
      <c r="W29" s="101" t="str">
        <f>VLOOKUP(B29,[3]Sheet1!$A:$B,2,0)</f>
        <v>Nyanon</v>
      </c>
      <c r="X29" s="88" t="str">
        <f t="shared" si="3"/>
        <v>LIT</v>
      </c>
      <c r="Y29" s="88" t="str">
        <f t="shared" si="4"/>
        <v>24H&lt;T&lt;48H</v>
      </c>
      <c r="Z29" s="101">
        <f t="shared" si="5"/>
        <v>2</v>
      </c>
      <c r="AA29" s="61"/>
      <c r="AB29" s="84" t="s">
        <v>1554</v>
      </c>
      <c r="AC29" s="105" t="s">
        <v>2730</v>
      </c>
      <c r="AD29" s="106" t="s">
        <v>1994</v>
      </c>
      <c r="AE29" s="61"/>
    </row>
    <row r="30" spans="1:31" ht="409.5" hidden="1" x14ac:dyDescent="0.35">
      <c r="A30" s="61" t="s">
        <v>1624</v>
      </c>
      <c r="B30" s="61" t="s">
        <v>1625</v>
      </c>
      <c r="C30" s="65"/>
      <c r="D30" s="61"/>
      <c r="E30" s="61" t="s">
        <v>2582</v>
      </c>
      <c r="F30" s="70" t="s">
        <v>53</v>
      </c>
      <c r="G30" s="70" t="s">
        <v>2121</v>
      </c>
      <c r="H30" s="67">
        <v>46178.691365740742</v>
      </c>
      <c r="I30" s="75">
        <v>1.8745489583307062</v>
      </c>
      <c r="J30" s="61"/>
      <c r="K30" s="61"/>
      <c r="L30" s="61"/>
      <c r="M30" s="61" t="s">
        <v>33</v>
      </c>
      <c r="N30" s="61" t="s">
        <v>2470</v>
      </c>
      <c r="O30" s="61"/>
      <c r="P30" s="61"/>
      <c r="Q30" s="61"/>
      <c r="R30" s="61" t="s">
        <v>2681</v>
      </c>
      <c r="S30" s="61" t="s">
        <v>32</v>
      </c>
      <c r="T30" s="61" t="s">
        <v>1900</v>
      </c>
      <c r="U30" s="61" t="s">
        <v>1900</v>
      </c>
      <c r="V30" s="101" t="str">
        <f>VLOOKUP(B30,[2]Overall!$A:$D,4,0)</f>
        <v xml:space="preserve">I-ENG </v>
      </c>
      <c r="W30" s="101" t="str">
        <f>VLOOKUP(B30,[3]Sheet1!$A:$B,2,0)</f>
        <v>Kembong</v>
      </c>
      <c r="X30" s="88" t="str">
        <f t="shared" si="3"/>
        <v>NRO</v>
      </c>
      <c r="Y30" s="88" t="str">
        <f t="shared" si="4"/>
        <v>24H&lt;T&lt;48H</v>
      </c>
      <c r="Z30" s="101">
        <f t="shared" si="5"/>
        <v>2</v>
      </c>
      <c r="AA30" s="61"/>
      <c r="AB30" s="84" t="s">
        <v>1554</v>
      </c>
      <c r="AC30" s="105" t="s">
        <v>2730</v>
      </c>
      <c r="AD30" s="106" t="s">
        <v>1994</v>
      </c>
      <c r="AE30" s="61"/>
    </row>
    <row r="31" spans="1:31" ht="87" hidden="1" x14ac:dyDescent="0.35">
      <c r="A31" s="61" t="s">
        <v>2554</v>
      </c>
      <c r="B31" s="61" t="s">
        <v>2555</v>
      </c>
      <c r="C31" s="65"/>
      <c r="D31" s="61"/>
      <c r="E31" s="61" t="s">
        <v>2564</v>
      </c>
      <c r="F31" s="70" t="s">
        <v>53</v>
      </c>
      <c r="G31" s="70" t="s">
        <v>2121</v>
      </c>
      <c r="H31" s="67">
        <v>46178.890717592592</v>
      </c>
      <c r="I31" s="75">
        <v>1.675197106480482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2654</v>
      </c>
      <c r="S31" s="61" t="s">
        <v>71</v>
      </c>
      <c r="T31" s="61" t="s">
        <v>1902</v>
      </c>
      <c r="U31" s="61" t="s">
        <v>1896</v>
      </c>
      <c r="V31" s="101" t="str">
        <f>VLOOKUP(B31,[2]Overall!$A:$D,4,0)</f>
        <v xml:space="preserve">I-ENG </v>
      </c>
      <c r="W31" s="101" t="str">
        <f>VLOOKUP(B31,[3]Sheet1!$A:$B,2,0)</f>
        <v>Bangambi</v>
      </c>
      <c r="X31" s="88" t="str">
        <f t="shared" si="3"/>
        <v>OST</v>
      </c>
      <c r="Y31" s="88" t="str">
        <f t="shared" si="4"/>
        <v>24H&lt;T&lt;48H</v>
      </c>
      <c r="Z31" s="101">
        <f t="shared" si="5"/>
        <v>1</v>
      </c>
      <c r="AA31" s="61"/>
      <c r="AB31" s="84" t="s">
        <v>1554</v>
      </c>
      <c r="AC31" s="105" t="s">
        <v>2730</v>
      </c>
      <c r="AD31" s="106" t="s">
        <v>1994</v>
      </c>
      <c r="AE31" s="61"/>
    </row>
    <row r="32" spans="1:31" ht="87" hidden="1" x14ac:dyDescent="0.35">
      <c r="A32" s="61" t="s">
        <v>2554</v>
      </c>
      <c r="B32" s="61" t="s">
        <v>2555</v>
      </c>
      <c r="C32" s="65"/>
      <c r="D32" s="61"/>
      <c r="E32" s="61" t="s">
        <v>2558</v>
      </c>
      <c r="F32" s="70" t="s">
        <v>53</v>
      </c>
      <c r="G32" s="70" t="s">
        <v>2121</v>
      </c>
      <c r="H32" s="67">
        <v>46178.890717592592</v>
      </c>
      <c r="I32" s="75">
        <v>1.675197106480482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2654</v>
      </c>
      <c r="S32" s="61" t="s">
        <v>71</v>
      </c>
      <c r="T32" s="61" t="s">
        <v>1902</v>
      </c>
      <c r="U32" s="61" t="s">
        <v>1896</v>
      </c>
      <c r="V32" s="101" t="str">
        <f>VLOOKUP(B32,[2]Overall!$A:$D,4,0)</f>
        <v xml:space="preserve">I-ENG </v>
      </c>
      <c r="W32" s="101" t="str">
        <f>VLOOKUP(B32,[3]Sheet1!$A:$B,2,0)</f>
        <v>Bangambi</v>
      </c>
      <c r="X32" s="88" t="str">
        <f t="shared" si="3"/>
        <v>OST</v>
      </c>
      <c r="Y32" s="88" t="str">
        <f t="shared" si="4"/>
        <v>24H&lt;T&lt;48H</v>
      </c>
      <c r="Z32" s="101">
        <f t="shared" si="5"/>
        <v>1</v>
      </c>
      <c r="AA32" s="61"/>
      <c r="AB32" s="84" t="s">
        <v>1554</v>
      </c>
      <c r="AC32" s="105" t="s">
        <v>2730</v>
      </c>
      <c r="AD32" s="106" t="s">
        <v>1994</v>
      </c>
      <c r="AE32" s="61"/>
    </row>
    <row r="33" spans="1:31" ht="87" hidden="1" x14ac:dyDescent="0.35">
      <c r="A33" s="61" t="s">
        <v>2554</v>
      </c>
      <c r="B33" s="61" t="s">
        <v>2555</v>
      </c>
      <c r="C33" s="65"/>
      <c r="D33" s="61"/>
      <c r="E33" s="61" t="s">
        <v>2560</v>
      </c>
      <c r="F33" s="70" t="s">
        <v>53</v>
      </c>
      <c r="G33" s="70" t="s">
        <v>2121</v>
      </c>
      <c r="H33" s="67">
        <v>46178.890717592592</v>
      </c>
      <c r="I33" s="75">
        <v>1.675197106480482</v>
      </c>
      <c r="J33" s="61"/>
      <c r="K33" s="61"/>
      <c r="L33" s="61"/>
      <c r="M33" s="61" t="s">
        <v>41</v>
      </c>
      <c r="N33" s="61" t="s">
        <v>42</v>
      </c>
      <c r="O33" s="61"/>
      <c r="P33" s="61"/>
      <c r="Q33" s="61"/>
      <c r="R33" s="61" t="s">
        <v>2654</v>
      </c>
      <c r="S33" s="61" t="s">
        <v>71</v>
      </c>
      <c r="T33" s="61" t="s">
        <v>1902</v>
      </c>
      <c r="U33" s="61" t="s">
        <v>1896</v>
      </c>
      <c r="V33" s="101" t="str">
        <f>VLOOKUP(B33,[2]Overall!$A:$D,4,0)</f>
        <v xml:space="preserve">I-ENG </v>
      </c>
      <c r="W33" s="101" t="str">
        <f>VLOOKUP(B33,[3]Sheet1!$A:$B,2,0)</f>
        <v>Bangambi</v>
      </c>
      <c r="X33" s="88" t="str">
        <f t="shared" si="3"/>
        <v>OST</v>
      </c>
      <c r="Y33" s="88" t="str">
        <f t="shared" si="4"/>
        <v>24H&lt;T&lt;48H</v>
      </c>
      <c r="Z33" s="101">
        <f t="shared" si="5"/>
        <v>1</v>
      </c>
      <c r="AA33" s="61"/>
      <c r="AB33" s="84" t="s">
        <v>1554</v>
      </c>
      <c r="AC33" s="105" t="s">
        <v>2730</v>
      </c>
      <c r="AD33" s="106" t="s">
        <v>1994</v>
      </c>
      <c r="AE33" s="61"/>
    </row>
    <row r="34" spans="1:31" ht="87" hidden="1" x14ac:dyDescent="0.35">
      <c r="A34" s="61" t="s">
        <v>2554</v>
      </c>
      <c r="B34" s="61" t="s">
        <v>2555</v>
      </c>
      <c r="C34" s="65"/>
      <c r="D34" s="61"/>
      <c r="E34" s="61" t="s">
        <v>2562</v>
      </c>
      <c r="F34" s="70" t="s">
        <v>53</v>
      </c>
      <c r="G34" s="70" t="s">
        <v>2121</v>
      </c>
      <c r="H34" s="67">
        <v>46178.890717592592</v>
      </c>
      <c r="I34" s="75">
        <v>1.675197106480482</v>
      </c>
      <c r="J34" s="61"/>
      <c r="K34" s="61"/>
      <c r="L34" s="61"/>
      <c r="M34" s="61" t="s">
        <v>41</v>
      </c>
      <c r="N34" s="61" t="s">
        <v>42</v>
      </c>
      <c r="O34" s="61"/>
      <c r="P34" s="61"/>
      <c r="Q34" s="61"/>
      <c r="R34" s="61" t="s">
        <v>2654</v>
      </c>
      <c r="S34" s="61" t="s">
        <v>71</v>
      </c>
      <c r="T34" s="61" t="s">
        <v>1902</v>
      </c>
      <c r="U34" s="61" t="s">
        <v>1896</v>
      </c>
      <c r="V34" s="101" t="str">
        <f>VLOOKUP(B34,[2]Overall!$A:$D,4,0)</f>
        <v xml:space="preserve">I-ENG </v>
      </c>
      <c r="W34" s="101" t="str">
        <f>VLOOKUP(B34,[3]Sheet1!$A:$B,2,0)</f>
        <v>Bangambi</v>
      </c>
      <c r="X34" s="88" t="str">
        <f t="shared" si="3"/>
        <v>OST</v>
      </c>
      <c r="Y34" s="88" t="str">
        <f t="shared" si="4"/>
        <v>24H&lt;T&lt;48H</v>
      </c>
      <c r="Z34" s="101">
        <f t="shared" si="5"/>
        <v>1</v>
      </c>
      <c r="AA34" s="61"/>
      <c r="AB34" s="84" t="s">
        <v>1554</v>
      </c>
      <c r="AC34" s="105" t="s">
        <v>2730</v>
      </c>
      <c r="AD34" s="106" t="s">
        <v>1994</v>
      </c>
      <c r="AE34" s="61"/>
    </row>
    <row r="35" spans="1:31" ht="87" hidden="1" x14ac:dyDescent="0.35">
      <c r="A35" s="61" t="s">
        <v>2554</v>
      </c>
      <c r="B35" s="61" t="s">
        <v>2555</v>
      </c>
      <c r="C35" s="65"/>
      <c r="D35" s="61"/>
      <c r="E35" s="61" t="s">
        <v>2556</v>
      </c>
      <c r="F35" s="70" t="s">
        <v>53</v>
      </c>
      <c r="G35" s="70" t="s">
        <v>2121</v>
      </c>
      <c r="H35" s="67">
        <v>46178.890706018516</v>
      </c>
      <c r="I35" s="75">
        <v>1.6752086805572617</v>
      </c>
      <c r="J35" s="61"/>
      <c r="K35" s="61"/>
      <c r="L35" s="61"/>
      <c r="M35" s="61" t="s">
        <v>41</v>
      </c>
      <c r="N35" s="61" t="s">
        <v>42</v>
      </c>
      <c r="O35" s="61"/>
      <c r="P35" s="61"/>
      <c r="Q35" s="61"/>
      <c r="R35" s="61" t="s">
        <v>2654</v>
      </c>
      <c r="S35" s="61" t="s">
        <v>71</v>
      </c>
      <c r="T35" s="61" t="s">
        <v>1902</v>
      </c>
      <c r="U35" s="61" t="s">
        <v>1896</v>
      </c>
      <c r="V35" s="101" t="str">
        <f>VLOOKUP(B35,[2]Overall!$A:$D,4,0)</f>
        <v xml:space="preserve">I-ENG </v>
      </c>
      <c r="W35" s="101" t="str">
        <f>VLOOKUP(B35,[3]Sheet1!$A:$B,2,0)</f>
        <v>Bangambi</v>
      </c>
      <c r="X35" s="88" t="str">
        <f t="shared" si="3"/>
        <v>OST</v>
      </c>
      <c r="Y35" s="88" t="str">
        <f t="shared" si="4"/>
        <v>24H&lt;T&lt;48H</v>
      </c>
      <c r="Z35" s="101">
        <f t="shared" si="5"/>
        <v>1</v>
      </c>
      <c r="AA35" s="61"/>
      <c r="AB35" s="84" t="s">
        <v>1554</v>
      </c>
      <c r="AC35" s="105" t="s">
        <v>2730</v>
      </c>
      <c r="AD35" s="106" t="s">
        <v>1994</v>
      </c>
      <c r="AE35" s="61"/>
    </row>
    <row r="36" spans="1:31" ht="87" hidden="1" x14ac:dyDescent="0.35">
      <c r="A36" s="61" t="s">
        <v>2554</v>
      </c>
      <c r="B36" s="61" t="s">
        <v>2555</v>
      </c>
      <c r="C36" s="65"/>
      <c r="D36" s="61"/>
      <c r="E36" s="61" t="s">
        <v>2561</v>
      </c>
      <c r="F36" s="70" t="s">
        <v>53</v>
      </c>
      <c r="G36" s="70" t="s">
        <v>2121</v>
      </c>
      <c r="H36" s="67">
        <v>46178.890717592592</v>
      </c>
      <c r="I36" s="75">
        <v>1.675197106480482</v>
      </c>
      <c r="J36" s="61"/>
      <c r="K36" s="61"/>
      <c r="L36" s="61"/>
      <c r="M36" s="61" t="s">
        <v>41</v>
      </c>
      <c r="N36" s="61" t="s">
        <v>42</v>
      </c>
      <c r="O36" s="61"/>
      <c r="P36" s="61"/>
      <c r="Q36" s="61"/>
      <c r="R36" s="61" t="s">
        <v>2654</v>
      </c>
      <c r="S36" s="61" t="s">
        <v>71</v>
      </c>
      <c r="T36" s="61" t="s">
        <v>1902</v>
      </c>
      <c r="U36" s="61" t="s">
        <v>1896</v>
      </c>
      <c r="V36" s="101" t="str">
        <f>VLOOKUP(B36,[2]Overall!$A:$D,4,0)</f>
        <v xml:space="preserve">I-ENG </v>
      </c>
      <c r="W36" s="101" t="str">
        <f>VLOOKUP(B36,[3]Sheet1!$A:$B,2,0)</f>
        <v>Bangambi</v>
      </c>
      <c r="X36" s="88" t="str">
        <f t="shared" si="3"/>
        <v>OST</v>
      </c>
      <c r="Y36" s="88" t="str">
        <f t="shared" si="4"/>
        <v>24H&lt;T&lt;48H</v>
      </c>
      <c r="Z36" s="101">
        <f t="shared" si="5"/>
        <v>1</v>
      </c>
      <c r="AA36" s="61"/>
      <c r="AB36" s="84" t="s">
        <v>1554</v>
      </c>
      <c r="AC36" s="105" t="s">
        <v>2730</v>
      </c>
      <c r="AD36" s="106" t="s">
        <v>1994</v>
      </c>
      <c r="AE36" s="61"/>
    </row>
    <row r="37" spans="1:31" ht="87" hidden="1" x14ac:dyDescent="0.35">
      <c r="A37" s="61" t="s">
        <v>2554</v>
      </c>
      <c r="B37" s="61" t="s">
        <v>2555</v>
      </c>
      <c r="C37" s="65"/>
      <c r="D37" s="61"/>
      <c r="E37" s="61" t="s">
        <v>2563</v>
      </c>
      <c r="F37" s="70" t="s">
        <v>53</v>
      </c>
      <c r="G37" s="70" t="s">
        <v>2121</v>
      </c>
      <c r="H37" s="67">
        <v>46178.890717592592</v>
      </c>
      <c r="I37" s="75">
        <v>1.675197106480482</v>
      </c>
      <c r="J37" s="61"/>
      <c r="K37" s="61"/>
      <c r="L37" s="61"/>
      <c r="M37" s="61" t="s">
        <v>41</v>
      </c>
      <c r="N37" s="61" t="s">
        <v>42</v>
      </c>
      <c r="O37" s="61"/>
      <c r="P37" s="61"/>
      <c r="Q37" s="61"/>
      <c r="R37" s="61" t="s">
        <v>2654</v>
      </c>
      <c r="S37" s="61" t="s">
        <v>71</v>
      </c>
      <c r="T37" s="61" t="s">
        <v>1902</v>
      </c>
      <c r="U37" s="61" t="s">
        <v>1896</v>
      </c>
      <c r="V37" s="101" t="str">
        <f>VLOOKUP(B37,[2]Overall!$A:$D,4,0)</f>
        <v xml:space="preserve">I-ENG </v>
      </c>
      <c r="W37" s="101" t="str">
        <f>VLOOKUP(B37,[3]Sheet1!$A:$B,2,0)</f>
        <v>Bangambi</v>
      </c>
      <c r="X37" s="88" t="str">
        <f t="shared" si="3"/>
        <v>OST</v>
      </c>
      <c r="Y37" s="88" t="str">
        <f t="shared" si="4"/>
        <v>24H&lt;T&lt;48H</v>
      </c>
      <c r="Z37" s="101">
        <f t="shared" si="5"/>
        <v>1</v>
      </c>
      <c r="AA37" s="61"/>
      <c r="AB37" s="84" t="s">
        <v>1554</v>
      </c>
      <c r="AC37" s="105" t="s">
        <v>2730</v>
      </c>
      <c r="AD37" s="106" t="s">
        <v>1994</v>
      </c>
      <c r="AE37" s="61"/>
    </row>
    <row r="38" spans="1:31" ht="87" hidden="1" x14ac:dyDescent="0.35">
      <c r="A38" s="61" t="s">
        <v>2554</v>
      </c>
      <c r="B38" s="61" t="s">
        <v>2555</v>
      </c>
      <c r="C38" s="65"/>
      <c r="D38" s="61"/>
      <c r="E38" s="61" t="s">
        <v>2559</v>
      </c>
      <c r="F38" s="70" t="s">
        <v>53</v>
      </c>
      <c r="G38" s="70" t="s">
        <v>2121</v>
      </c>
      <c r="H38" s="67">
        <v>46178.890717592592</v>
      </c>
      <c r="I38" s="75">
        <v>1.675197106480482</v>
      </c>
      <c r="J38" s="61"/>
      <c r="K38" s="61"/>
      <c r="L38" s="61"/>
      <c r="M38" s="61" t="s">
        <v>41</v>
      </c>
      <c r="N38" s="61" t="s">
        <v>42</v>
      </c>
      <c r="O38" s="61"/>
      <c r="P38" s="61"/>
      <c r="Q38" s="61"/>
      <c r="R38" s="61" t="s">
        <v>2654</v>
      </c>
      <c r="S38" s="61" t="s">
        <v>71</v>
      </c>
      <c r="T38" s="61" t="s">
        <v>1902</v>
      </c>
      <c r="U38" s="61" t="s">
        <v>1896</v>
      </c>
      <c r="V38" s="101" t="str">
        <f>VLOOKUP(B38,[2]Overall!$A:$D,4,0)</f>
        <v xml:space="preserve">I-ENG </v>
      </c>
      <c r="W38" s="101" t="str">
        <f>VLOOKUP(B38,[3]Sheet1!$A:$B,2,0)</f>
        <v>Bangambi</v>
      </c>
      <c r="X38" s="88" t="str">
        <f t="shared" si="3"/>
        <v>OST</v>
      </c>
      <c r="Y38" s="88" t="str">
        <f t="shared" si="4"/>
        <v>24H&lt;T&lt;48H</v>
      </c>
      <c r="Z38" s="101">
        <f t="shared" si="5"/>
        <v>1</v>
      </c>
      <c r="AA38" s="61"/>
      <c r="AB38" s="84" t="s">
        <v>1554</v>
      </c>
      <c r="AC38" s="105" t="s">
        <v>2730</v>
      </c>
      <c r="AD38" s="106" t="s">
        <v>1994</v>
      </c>
      <c r="AE38" s="61"/>
    </row>
    <row r="39" spans="1:31" ht="87" hidden="1" x14ac:dyDescent="0.35">
      <c r="A39" s="61" t="s">
        <v>2554</v>
      </c>
      <c r="B39" s="61" t="s">
        <v>2555</v>
      </c>
      <c r="C39" s="65"/>
      <c r="D39" s="61"/>
      <c r="E39" s="61" t="s">
        <v>2557</v>
      </c>
      <c r="F39" s="70" t="s">
        <v>53</v>
      </c>
      <c r="G39" s="70" t="s">
        <v>2121</v>
      </c>
      <c r="H39" s="67">
        <v>46178.890717592592</v>
      </c>
      <c r="I39" s="75">
        <v>1.675197106480482</v>
      </c>
      <c r="J39" s="61"/>
      <c r="K39" s="61"/>
      <c r="L39" s="61"/>
      <c r="M39" s="61" t="s">
        <v>41</v>
      </c>
      <c r="N39" s="61" t="s">
        <v>42</v>
      </c>
      <c r="O39" s="61"/>
      <c r="P39" s="61"/>
      <c r="Q39" s="61"/>
      <c r="R39" s="61" t="s">
        <v>2654</v>
      </c>
      <c r="S39" s="61" t="s">
        <v>71</v>
      </c>
      <c r="T39" s="61" t="s">
        <v>1902</v>
      </c>
      <c r="U39" s="61" t="s">
        <v>1896</v>
      </c>
      <c r="V39" s="101" t="str">
        <f>VLOOKUP(B39,[2]Overall!$A:$D,4,0)</f>
        <v xml:space="preserve">I-ENG </v>
      </c>
      <c r="W39" s="101" t="str">
        <f>VLOOKUP(B39,[3]Sheet1!$A:$B,2,0)</f>
        <v>Bangambi</v>
      </c>
      <c r="X39" s="88" t="str">
        <f t="shared" si="3"/>
        <v>OST</v>
      </c>
      <c r="Y39" s="88" t="str">
        <f t="shared" si="4"/>
        <v>24H&lt;T&lt;48H</v>
      </c>
      <c r="Z39" s="101">
        <f t="shared" si="5"/>
        <v>1</v>
      </c>
      <c r="AA39" s="61"/>
      <c r="AB39" s="84" t="s">
        <v>1554</v>
      </c>
      <c r="AC39" s="105" t="s">
        <v>2730</v>
      </c>
      <c r="AD39" s="106" t="s">
        <v>1994</v>
      </c>
      <c r="AE39" s="61"/>
    </row>
    <row r="40" spans="1:31" ht="116" hidden="1" x14ac:dyDescent="0.35">
      <c r="A40" s="61" t="s">
        <v>2576</v>
      </c>
      <c r="B40" s="61" t="s">
        <v>2577</v>
      </c>
      <c r="C40" s="65"/>
      <c r="D40" s="61"/>
      <c r="E40" s="61" t="s">
        <v>1641</v>
      </c>
      <c r="F40" s="70" t="s">
        <v>53</v>
      </c>
      <c r="G40" s="70" t="s">
        <v>2121</v>
      </c>
      <c r="H40" s="67">
        <v>46179.268483796295</v>
      </c>
      <c r="I40" s="75">
        <v>1.2974309027777053</v>
      </c>
      <c r="J40" s="61"/>
      <c r="K40" s="61"/>
      <c r="L40" s="61"/>
      <c r="M40" s="61" t="s">
        <v>41</v>
      </c>
      <c r="N40" s="61" t="s">
        <v>2349</v>
      </c>
      <c r="O40" s="61"/>
      <c r="P40" s="61"/>
      <c r="Q40" s="61"/>
      <c r="R40" s="61" t="s">
        <v>2634</v>
      </c>
      <c r="S40" s="61" t="s">
        <v>40</v>
      </c>
      <c r="T40" s="61" t="s">
        <v>1840</v>
      </c>
      <c r="U40" s="61" t="s">
        <v>1840</v>
      </c>
      <c r="V40" s="101" t="str">
        <f>VLOOKUP(B40,[2]Overall!$A:$D,4,0)</f>
        <v>TELEINFRA NORD</v>
      </c>
      <c r="W40" s="101" t="str">
        <f>VLOOKUP(B40,[3]Sheet1!$A:$B,2,0)</f>
        <v>Tchevi</v>
      </c>
      <c r="X40" s="88" t="str">
        <f t="shared" si="3"/>
        <v>EXN</v>
      </c>
      <c r="Y40" s="88" t="str">
        <f t="shared" si="4"/>
        <v>24H&lt;T&lt;48H</v>
      </c>
      <c r="Z40" s="101">
        <f t="shared" si="5"/>
        <v>1</v>
      </c>
      <c r="AA40" s="61"/>
      <c r="AB40" s="84" t="s">
        <v>1554</v>
      </c>
      <c r="AC40" s="105" t="s">
        <v>2730</v>
      </c>
      <c r="AD40" s="106" t="s">
        <v>1994</v>
      </c>
      <c r="AE40" s="61"/>
    </row>
    <row r="41" spans="1:31" ht="116" hidden="1" x14ac:dyDescent="0.35">
      <c r="A41" s="61" t="s">
        <v>2576</v>
      </c>
      <c r="B41" s="61" t="s">
        <v>2577</v>
      </c>
      <c r="C41" s="65"/>
      <c r="D41" s="61"/>
      <c r="E41" s="61" t="s">
        <v>1636</v>
      </c>
      <c r="F41" s="70" t="s">
        <v>53</v>
      </c>
      <c r="G41" s="70" t="s">
        <v>2121</v>
      </c>
      <c r="H41" s="67">
        <v>46179.268483796295</v>
      </c>
      <c r="I41" s="75">
        <v>1.2974309027777053</v>
      </c>
      <c r="J41" s="61"/>
      <c r="K41" s="61"/>
      <c r="L41" s="61"/>
      <c r="M41" s="61" t="s">
        <v>41</v>
      </c>
      <c r="N41" s="61" t="s">
        <v>2348</v>
      </c>
      <c r="O41" s="61"/>
      <c r="P41" s="61"/>
      <c r="Q41" s="61"/>
      <c r="R41" s="61" t="s">
        <v>2634</v>
      </c>
      <c r="S41" s="61" t="s">
        <v>40</v>
      </c>
      <c r="T41" s="61" t="s">
        <v>1840</v>
      </c>
      <c r="U41" s="61" t="s">
        <v>1840</v>
      </c>
      <c r="V41" s="101" t="str">
        <f>VLOOKUP(B41,[2]Overall!$A:$D,4,0)</f>
        <v>TELEINFRA NORD</v>
      </c>
      <c r="W41" s="101" t="str">
        <f>VLOOKUP(B41,[3]Sheet1!$A:$B,2,0)</f>
        <v>Tchevi</v>
      </c>
      <c r="X41" s="88" t="str">
        <f t="shared" si="3"/>
        <v>EXN</v>
      </c>
      <c r="Y41" s="88" t="str">
        <f t="shared" si="4"/>
        <v>24H&lt;T&lt;48H</v>
      </c>
      <c r="Z41" s="101">
        <f t="shared" si="5"/>
        <v>1</v>
      </c>
      <c r="AA41" s="61"/>
      <c r="AB41" s="84" t="s">
        <v>1554</v>
      </c>
      <c r="AC41" s="105" t="s">
        <v>2730</v>
      </c>
      <c r="AD41" s="106" t="s">
        <v>1994</v>
      </c>
      <c r="AE41" s="61"/>
    </row>
    <row r="42" spans="1:31" ht="116" hidden="1" x14ac:dyDescent="0.35">
      <c r="A42" s="61" t="s">
        <v>2576</v>
      </c>
      <c r="B42" s="61" t="s">
        <v>2577</v>
      </c>
      <c r="C42" s="65"/>
      <c r="D42" s="61"/>
      <c r="E42" s="61" t="s">
        <v>49</v>
      </c>
      <c r="F42" s="70" t="s">
        <v>53</v>
      </c>
      <c r="G42" s="70" t="s">
        <v>2121</v>
      </c>
      <c r="H42" s="67">
        <v>46179.268483796295</v>
      </c>
      <c r="I42" s="75">
        <v>1.2974309027777053</v>
      </c>
      <c r="J42" s="61"/>
      <c r="K42" s="61"/>
      <c r="L42" s="61"/>
      <c r="M42" s="61" t="s">
        <v>41</v>
      </c>
      <c r="N42" s="61" t="s">
        <v>2347</v>
      </c>
      <c r="O42" s="61"/>
      <c r="P42" s="61"/>
      <c r="Q42" s="61"/>
      <c r="R42" s="61" t="s">
        <v>2634</v>
      </c>
      <c r="S42" s="61" t="s">
        <v>40</v>
      </c>
      <c r="T42" s="61" t="s">
        <v>1840</v>
      </c>
      <c r="U42" s="61" t="s">
        <v>1840</v>
      </c>
      <c r="V42" s="101" t="str">
        <f>VLOOKUP(B42,[2]Overall!$A:$D,4,0)</f>
        <v>TELEINFRA NORD</v>
      </c>
      <c r="W42" s="101" t="str">
        <f>VLOOKUP(B42,[3]Sheet1!$A:$B,2,0)</f>
        <v>Tchevi</v>
      </c>
      <c r="X42" s="88" t="str">
        <f t="shared" si="3"/>
        <v>EXN</v>
      </c>
      <c r="Y42" s="88" t="str">
        <f t="shared" si="4"/>
        <v>24H&lt;T&lt;48H</v>
      </c>
      <c r="Z42" s="101">
        <f t="shared" si="5"/>
        <v>1</v>
      </c>
      <c r="AA42" s="61"/>
      <c r="AB42" s="84" t="s">
        <v>1554</v>
      </c>
      <c r="AC42" s="105" t="s">
        <v>2730</v>
      </c>
      <c r="AD42" s="106" t="s">
        <v>1994</v>
      </c>
      <c r="AE42" s="61"/>
    </row>
    <row r="43" spans="1:31" ht="261" hidden="1" x14ac:dyDescent="0.35">
      <c r="A43" s="61" t="s">
        <v>1779</v>
      </c>
      <c r="B43" s="61" t="s">
        <v>1780</v>
      </c>
      <c r="C43" s="65"/>
      <c r="D43" s="61"/>
      <c r="E43" s="61" t="s">
        <v>37</v>
      </c>
      <c r="F43" s="70" t="s">
        <v>53</v>
      </c>
      <c r="G43" s="70" t="s">
        <v>2121</v>
      </c>
      <c r="H43" s="67">
        <v>46179.27957175926</v>
      </c>
      <c r="I43" s="75">
        <v>1.2863429398130393</v>
      </c>
      <c r="J43" s="61"/>
      <c r="K43" s="61"/>
      <c r="L43" s="61"/>
      <c r="M43" s="61" t="s">
        <v>41</v>
      </c>
      <c r="N43" s="61" t="s">
        <v>1781</v>
      </c>
      <c r="O43" s="61"/>
      <c r="P43" s="61"/>
      <c r="Q43" s="61"/>
      <c r="R43" s="61" t="s">
        <v>2379</v>
      </c>
      <c r="S43" s="61" t="s">
        <v>75</v>
      </c>
      <c r="T43" s="61" t="s">
        <v>1840</v>
      </c>
      <c r="U43" s="61" t="s">
        <v>1840</v>
      </c>
      <c r="V43" s="101" t="str">
        <f>VLOOKUP(B43,[2]Overall!$A:$D,4,0)</f>
        <v>TELEINFRA NORD</v>
      </c>
      <c r="W43" s="101" t="str">
        <f>VLOOKUP(B43,[3]Sheet1!$A:$B,2,0)</f>
        <v>Badjonre</v>
      </c>
      <c r="X43" s="88" t="str">
        <f t="shared" si="3"/>
        <v>EXN</v>
      </c>
      <c r="Y43" s="88" t="str">
        <f t="shared" si="4"/>
        <v>24H&lt;T&lt;48H</v>
      </c>
      <c r="Z43" s="101">
        <f t="shared" si="5"/>
        <v>1</v>
      </c>
      <c r="AA43" s="61"/>
      <c r="AB43" s="84" t="s">
        <v>1554</v>
      </c>
      <c r="AC43" s="105" t="s">
        <v>2730</v>
      </c>
      <c r="AD43" s="106" t="s">
        <v>1994</v>
      </c>
      <c r="AE43" s="61"/>
    </row>
    <row r="44" spans="1:31" ht="130.5" hidden="1" x14ac:dyDescent="0.35">
      <c r="A44" s="61" t="s">
        <v>2436</v>
      </c>
      <c r="B44" s="61" t="s">
        <v>2437</v>
      </c>
      <c r="C44" s="65"/>
      <c r="D44" s="61"/>
      <c r="E44" s="61" t="s">
        <v>34</v>
      </c>
      <c r="F44" s="70" t="s">
        <v>53</v>
      </c>
      <c r="G44" s="70" t="s">
        <v>2121</v>
      </c>
      <c r="H44" s="67">
        <v>46179.286550925928</v>
      </c>
      <c r="I44" s="75">
        <v>1.2793637731447234</v>
      </c>
      <c r="J44" s="61"/>
      <c r="K44" s="61"/>
      <c r="L44" s="61"/>
      <c r="M44" s="61" t="s">
        <v>31</v>
      </c>
      <c r="N44" s="61" t="s">
        <v>2438</v>
      </c>
      <c r="O44" s="61"/>
      <c r="P44" s="61"/>
      <c r="Q44" s="61"/>
      <c r="R44" s="61" t="s">
        <v>2653</v>
      </c>
      <c r="S44" s="61" t="s">
        <v>45</v>
      </c>
      <c r="T44" s="61" t="s">
        <v>1898</v>
      </c>
      <c r="U44" s="61" t="s">
        <v>1898</v>
      </c>
      <c r="V44" s="101" t="str">
        <f>VLOOKUP(B44,[2]Overall!$A:$D,4,0)</f>
        <v>TELEINFRA CENTRE</v>
      </c>
      <c r="W44" s="101" t="str">
        <f>VLOOKUP(B44,[3]Sheet1!$A:$B,2,0)</f>
        <v>Ngola</v>
      </c>
      <c r="X44" s="88" t="str">
        <f t="shared" si="3"/>
        <v>EST</v>
      </c>
      <c r="Y44" s="88" t="str">
        <f t="shared" si="4"/>
        <v>24H&lt;T&lt;48H</v>
      </c>
      <c r="Z44" s="101">
        <f t="shared" si="5"/>
        <v>1</v>
      </c>
      <c r="AA44" s="61"/>
      <c r="AB44" s="84" t="s">
        <v>1554</v>
      </c>
      <c r="AC44" s="105" t="s">
        <v>2730</v>
      </c>
      <c r="AD44" s="106" t="s">
        <v>1994</v>
      </c>
      <c r="AE44" s="61"/>
    </row>
    <row r="45" spans="1:31" ht="87" x14ac:dyDescent="0.35">
      <c r="A45" s="61" t="s">
        <v>2637</v>
      </c>
      <c r="B45" s="61" t="s">
        <v>2638</v>
      </c>
      <c r="C45" s="65"/>
      <c r="D45" s="61"/>
      <c r="E45" s="61" t="s">
        <v>47</v>
      </c>
      <c r="F45" s="70" t="s">
        <v>53</v>
      </c>
      <c r="G45" s="70" t="s">
        <v>2121</v>
      </c>
      <c r="H45" s="67">
        <v>46179.473391203705</v>
      </c>
      <c r="I45" s="75">
        <v>1.0925234953683685</v>
      </c>
      <c r="J45" s="61"/>
      <c r="K45" s="61"/>
      <c r="L45" s="61"/>
      <c r="M45" s="61" t="s">
        <v>31</v>
      </c>
      <c r="N45" s="61" t="s">
        <v>2639</v>
      </c>
      <c r="O45" s="61"/>
      <c r="P45" s="61"/>
      <c r="Q45" s="61"/>
      <c r="R45" s="84" t="s">
        <v>2750</v>
      </c>
      <c r="S45" s="61" t="s">
        <v>32</v>
      </c>
      <c r="T45" s="61" t="s">
        <v>1898</v>
      </c>
      <c r="U45" s="61" t="s">
        <v>1898</v>
      </c>
      <c r="V45" s="101" t="str">
        <f>VLOOKUP(B45,[2]Overall!$A:$D,4,0)</f>
        <v xml:space="preserve">I-ENG </v>
      </c>
      <c r="W45" s="101" t="str">
        <f>VLOOKUP(B45,[3]Sheet1!$A:$B,2,0)</f>
        <v>Nkambe</v>
      </c>
      <c r="X45" s="88" t="str">
        <f t="shared" si="3"/>
        <v>NRO</v>
      </c>
      <c r="Y45" s="88" t="str">
        <f t="shared" si="4"/>
        <v>24H&lt;T&lt;48H</v>
      </c>
      <c r="Z45" s="101">
        <f t="shared" si="5"/>
        <v>3</v>
      </c>
      <c r="AA45" s="61"/>
      <c r="AB45" s="84" t="s">
        <v>1554</v>
      </c>
      <c r="AC45" s="105" t="s">
        <v>2730</v>
      </c>
      <c r="AD45" s="106" t="s">
        <v>1994</v>
      </c>
      <c r="AE45" s="61"/>
    </row>
    <row r="46" spans="1:31" ht="275.5" hidden="1" x14ac:dyDescent="0.35">
      <c r="A46" s="61" t="s">
        <v>1581</v>
      </c>
      <c r="B46" s="61" t="s">
        <v>1582</v>
      </c>
      <c r="C46" s="65"/>
      <c r="D46" s="61"/>
      <c r="E46" s="61" t="s">
        <v>1937</v>
      </c>
      <c r="F46" s="70" t="s">
        <v>53</v>
      </c>
      <c r="G46" s="70" t="s">
        <v>2121</v>
      </c>
      <c r="H46" s="67">
        <v>46179.600486111114</v>
      </c>
      <c r="I46" s="75">
        <v>0.96542858795874054</v>
      </c>
      <c r="J46" s="61"/>
      <c r="K46" s="61"/>
      <c r="L46" s="61"/>
      <c r="M46" s="61" t="s">
        <v>41</v>
      </c>
      <c r="N46" s="61" t="s">
        <v>1938</v>
      </c>
      <c r="O46" s="61"/>
      <c r="P46" s="61"/>
      <c r="Q46" s="61"/>
      <c r="R46" s="61" t="s">
        <v>2659</v>
      </c>
      <c r="S46" s="61" t="s">
        <v>32</v>
      </c>
      <c r="T46" s="61" t="s">
        <v>1840</v>
      </c>
      <c r="U46" s="61" t="s">
        <v>1840</v>
      </c>
      <c r="V46" s="101" t="str">
        <f>VLOOKUP(B46,[2]Overall!$A:$D,4,0)</f>
        <v xml:space="preserve">I-ENG </v>
      </c>
      <c r="W46" s="101" t="str">
        <f>VLOOKUP(B46,[3]Sheet1!$A:$B,2,0)</f>
        <v>Batibo</v>
      </c>
      <c r="X46" s="88" t="str">
        <f t="shared" si="3"/>
        <v>NRO</v>
      </c>
      <c r="Y46" s="88" t="str">
        <f t="shared" si="4"/>
        <v>16H&lt;T&lt;24H</v>
      </c>
      <c r="Z46" s="101">
        <f t="shared" si="5"/>
        <v>1</v>
      </c>
      <c r="AA46" s="61"/>
      <c r="AB46" s="84" t="s">
        <v>1554</v>
      </c>
      <c r="AC46" s="105" t="s">
        <v>2730</v>
      </c>
      <c r="AD46" s="106" t="s">
        <v>1994</v>
      </c>
      <c r="AE46" s="61"/>
    </row>
    <row r="47" spans="1:31" ht="188.5" hidden="1" x14ac:dyDescent="0.35">
      <c r="A47" s="61" t="s">
        <v>2273</v>
      </c>
      <c r="B47" s="61" t="s">
        <v>2268</v>
      </c>
      <c r="C47" s="65"/>
      <c r="D47" s="61"/>
      <c r="E47" s="61" t="s">
        <v>37</v>
      </c>
      <c r="F47" s="70" t="s">
        <v>53</v>
      </c>
      <c r="G47" s="70" t="s">
        <v>2121</v>
      </c>
      <c r="H47" s="67">
        <v>46179.610868055555</v>
      </c>
      <c r="I47" s="75">
        <v>0.95504664351756219</v>
      </c>
      <c r="J47" s="61"/>
      <c r="K47" s="61"/>
      <c r="L47" s="61"/>
      <c r="M47" s="61" t="s">
        <v>41</v>
      </c>
      <c r="N47" s="61" t="s">
        <v>2668</v>
      </c>
      <c r="O47" s="61"/>
      <c r="P47" s="61"/>
      <c r="Q47" s="61"/>
      <c r="R47" s="61" t="s">
        <v>2657</v>
      </c>
      <c r="S47" s="61" t="s">
        <v>40</v>
      </c>
      <c r="T47" s="61" t="s">
        <v>1840</v>
      </c>
      <c r="U47" s="61" t="s">
        <v>1840</v>
      </c>
      <c r="V47" s="101" t="str">
        <f>VLOOKUP(B47,[2]Overall!$A:$D,4,0)</f>
        <v>TELEINFRA NORD</v>
      </c>
      <c r="W47" s="101" t="str">
        <f>VLOOKUP(B47,[3]Sheet1!$A:$B,2,0)</f>
        <v>Dabanga</v>
      </c>
      <c r="X47" s="88" t="str">
        <f t="shared" si="3"/>
        <v>EXN</v>
      </c>
      <c r="Y47" s="88" t="str">
        <f t="shared" si="4"/>
        <v>16H&lt;T&lt;24H</v>
      </c>
      <c r="Z47" s="101">
        <f t="shared" si="5"/>
        <v>1</v>
      </c>
      <c r="AA47" s="61"/>
      <c r="AB47" s="84" t="s">
        <v>1554</v>
      </c>
      <c r="AC47" s="105" t="s">
        <v>2730</v>
      </c>
      <c r="AD47" s="106" t="s">
        <v>1994</v>
      </c>
      <c r="AE47" s="61"/>
    </row>
    <row r="48" spans="1:31" ht="130.5" hidden="1" x14ac:dyDescent="0.35">
      <c r="A48" s="61" t="s">
        <v>2316</v>
      </c>
      <c r="B48" s="61" t="s">
        <v>2317</v>
      </c>
      <c r="C48" s="65"/>
      <c r="D48" s="61"/>
      <c r="E48" s="61" t="s">
        <v>2694</v>
      </c>
      <c r="F48" s="70" t="s">
        <v>53</v>
      </c>
      <c r="G48" s="70" t="s">
        <v>2121</v>
      </c>
      <c r="H48" s="67">
        <v>46179.757233796299</v>
      </c>
      <c r="I48" s="75">
        <v>0.80868090277363081</v>
      </c>
      <c r="J48" s="61"/>
      <c r="K48" s="61"/>
      <c r="L48" s="61"/>
      <c r="M48" s="61" t="s">
        <v>38</v>
      </c>
      <c r="N48" s="61" t="s">
        <v>2319</v>
      </c>
      <c r="O48" s="61"/>
      <c r="P48" s="61"/>
      <c r="Q48" s="61"/>
      <c r="R48" s="84" t="s">
        <v>2737</v>
      </c>
      <c r="S48" s="61" t="s">
        <v>85</v>
      </c>
      <c r="T48" s="61" t="s">
        <v>1898</v>
      </c>
      <c r="U48" s="61" t="s">
        <v>1898</v>
      </c>
      <c r="V48" s="101" t="str">
        <f>VLOOKUP(B48,[2]Overall!$A:$D,4,0)</f>
        <v>H-TELI</v>
      </c>
      <c r="W48" s="101" t="str">
        <f>VLOOKUP(B48,[3]Sheet1!$A:$B,2,0)</f>
        <v>Logbong</v>
      </c>
      <c r="X48" s="88" t="str">
        <f t="shared" si="3"/>
        <v>LIT</v>
      </c>
      <c r="Y48" s="88" t="str">
        <f t="shared" si="4"/>
        <v>16H&lt;T&lt;24H</v>
      </c>
      <c r="Z48" s="101">
        <f t="shared" si="5"/>
        <v>6</v>
      </c>
      <c r="AA48" s="61"/>
      <c r="AB48" s="84" t="s">
        <v>1554</v>
      </c>
      <c r="AC48" s="105" t="s">
        <v>2730</v>
      </c>
      <c r="AD48" s="106" t="s">
        <v>1994</v>
      </c>
      <c r="AE48" s="61"/>
    </row>
    <row r="49" spans="1:31" ht="130.5" hidden="1" x14ac:dyDescent="0.35">
      <c r="A49" s="61" t="s">
        <v>2320</v>
      </c>
      <c r="B49" s="61" t="s">
        <v>2317</v>
      </c>
      <c r="C49" s="65"/>
      <c r="D49" s="61"/>
      <c r="E49" s="61" t="s">
        <v>1787</v>
      </c>
      <c r="F49" s="70" t="s">
        <v>53</v>
      </c>
      <c r="G49" s="70" t="s">
        <v>2121</v>
      </c>
      <c r="H49" s="67">
        <v>46179.757870370369</v>
      </c>
      <c r="I49" s="75">
        <v>0.80804432870354503</v>
      </c>
      <c r="J49" s="61"/>
      <c r="K49" s="61"/>
      <c r="L49" s="61"/>
      <c r="M49" s="61" t="s">
        <v>38</v>
      </c>
      <c r="N49" s="61" t="s">
        <v>2321</v>
      </c>
      <c r="O49" s="61"/>
      <c r="P49" s="61"/>
      <c r="Q49" s="61"/>
      <c r="R49" s="84" t="s">
        <v>2737</v>
      </c>
      <c r="S49" s="61" t="s">
        <v>85</v>
      </c>
      <c r="T49" s="61" t="s">
        <v>1898</v>
      </c>
      <c r="U49" s="61" t="s">
        <v>1898</v>
      </c>
      <c r="V49" s="101" t="str">
        <f>VLOOKUP(B49,[2]Overall!$A:$D,4,0)</f>
        <v>H-TELI</v>
      </c>
      <c r="W49" s="101" t="str">
        <f>VLOOKUP(B49,[3]Sheet1!$A:$B,2,0)</f>
        <v>Logbong</v>
      </c>
      <c r="X49" s="88" t="str">
        <f t="shared" si="3"/>
        <v>LIT</v>
      </c>
      <c r="Y49" s="88" t="str">
        <f t="shared" si="4"/>
        <v>16H&lt;T&lt;24H</v>
      </c>
      <c r="Z49" s="101">
        <f t="shared" si="5"/>
        <v>2</v>
      </c>
      <c r="AA49" s="61"/>
      <c r="AB49" s="84" t="s">
        <v>1554</v>
      </c>
      <c r="AC49" s="105" t="s">
        <v>2730</v>
      </c>
      <c r="AD49" s="106" t="s">
        <v>1994</v>
      </c>
      <c r="AE49" s="61"/>
    </row>
    <row r="50" spans="1:31" ht="87" hidden="1" x14ac:dyDescent="0.35">
      <c r="A50" s="61" t="s">
        <v>2676</v>
      </c>
      <c r="B50" s="61" t="s">
        <v>2673</v>
      </c>
      <c r="C50" s="65"/>
      <c r="D50" s="61"/>
      <c r="E50" s="61" t="s">
        <v>2695</v>
      </c>
      <c r="F50" s="70" t="s">
        <v>53</v>
      </c>
      <c r="G50" s="70" t="s">
        <v>2121</v>
      </c>
      <c r="H50" s="67">
        <v>46179.78361111111</v>
      </c>
      <c r="I50" s="75">
        <v>0.78230358796281507</v>
      </c>
      <c r="J50" s="61"/>
      <c r="K50" s="61"/>
      <c r="L50" s="61"/>
      <c r="M50" s="61" t="s">
        <v>2696</v>
      </c>
      <c r="N50" s="61" t="s">
        <v>2697</v>
      </c>
      <c r="O50" s="61"/>
      <c r="P50" s="61"/>
      <c r="Q50" s="61"/>
      <c r="R50" s="61" t="s">
        <v>2705</v>
      </c>
      <c r="S50" s="61" t="s">
        <v>51</v>
      </c>
      <c r="T50" s="61" t="s">
        <v>1898</v>
      </c>
      <c r="U50" s="61" t="s">
        <v>1898</v>
      </c>
      <c r="V50" s="101" t="str">
        <f>VLOOKUP(B50,[2]Overall!$A:$D,4,0)</f>
        <v xml:space="preserve">I-ENG </v>
      </c>
      <c r="W50" s="101" t="str">
        <f>VLOOKUP(B50,[3]Sheet1!$A:$B,2,0)</f>
        <v>Kiiki</v>
      </c>
      <c r="X50" s="88" t="str">
        <f t="shared" si="3"/>
        <v>CTR</v>
      </c>
      <c r="Y50" s="88" t="str">
        <f t="shared" si="4"/>
        <v>16H&lt;T&lt;24H</v>
      </c>
      <c r="Z50" s="101">
        <f t="shared" si="5"/>
        <v>2</v>
      </c>
      <c r="AA50" s="61"/>
      <c r="AB50" s="84" t="s">
        <v>1554</v>
      </c>
      <c r="AC50" s="105" t="s">
        <v>2730</v>
      </c>
      <c r="AD50" s="106" t="s">
        <v>1994</v>
      </c>
      <c r="AE50" s="61"/>
    </row>
    <row r="51" spans="1:31" ht="159.5" hidden="1" x14ac:dyDescent="0.35">
      <c r="A51" s="61" t="s">
        <v>2218</v>
      </c>
      <c r="B51" s="61" t="s">
        <v>2219</v>
      </c>
      <c r="C51" s="65"/>
      <c r="D51" s="61"/>
      <c r="E51" s="61" t="s">
        <v>2223</v>
      </c>
      <c r="F51" s="70" t="s">
        <v>53</v>
      </c>
      <c r="G51" s="70" t="s">
        <v>2121</v>
      </c>
      <c r="H51" s="67">
        <v>46179.860775462963</v>
      </c>
      <c r="I51" s="75">
        <v>0.70513923610997153</v>
      </c>
      <c r="J51" s="61"/>
      <c r="K51" s="61"/>
      <c r="L51" s="61"/>
      <c r="M51" s="61" t="s">
        <v>1730</v>
      </c>
      <c r="N51" s="61" t="s">
        <v>2224</v>
      </c>
      <c r="O51" s="61"/>
      <c r="P51" s="61"/>
      <c r="Q51" s="61"/>
      <c r="R51" s="61" t="s">
        <v>2706</v>
      </c>
      <c r="S51" s="61" t="s">
        <v>45</v>
      </c>
      <c r="T51" s="61" t="s">
        <v>1898</v>
      </c>
      <c r="U51" s="61" t="s">
        <v>1898</v>
      </c>
      <c r="V51" s="101" t="str">
        <f>VLOOKUP(B51,[2]Overall!$A:$D,4,0)</f>
        <v>TELEINFRA CENTRE</v>
      </c>
      <c r="W51" s="101" t="str">
        <f>VLOOKUP(B51,[3]Sheet1!$A:$B,2,0)</f>
        <v>Evodoula</v>
      </c>
      <c r="X51" s="88" t="str">
        <f t="shared" si="3"/>
        <v>CTR</v>
      </c>
      <c r="Y51" s="88" t="str">
        <f t="shared" si="4"/>
        <v>16H&lt;T&lt;24H</v>
      </c>
      <c r="Z51" s="101">
        <f t="shared" si="5"/>
        <v>2</v>
      </c>
      <c r="AA51" s="61"/>
      <c r="AB51" s="84" t="s">
        <v>1554</v>
      </c>
      <c r="AC51" s="105" t="s">
        <v>2730</v>
      </c>
      <c r="AD51" s="106" t="s">
        <v>1994</v>
      </c>
      <c r="AE51" s="61"/>
    </row>
    <row r="52" spans="1:31" ht="72.5" hidden="1" x14ac:dyDescent="0.35">
      <c r="A52" s="61" t="s">
        <v>2551</v>
      </c>
      <c r="B52" s="61" t="s">
        <v>2552</v>
      </c>
      <c r="C52" s="65"/>
      <c r="D52" s="61"/>
      <c r="E52" s="61" t="s">
        <v>1823</v>
      </c>
      <c r="F52" s="70" t="s">
        <v>53</v>
      </c>
      <c r="G52" s="70" t="s">
        <v>2121</v>
      </c>
      <c r="H52" s="67">
        <v>46180.005370370367</v>
      </c>
      <c r="I52" s="75">
        <v>0.56054432870587334</v>
      </c>
      <c r="J52" s="61"/>
      <c r="K52" s="61"/>
      <c r="L52" s="61"/>
      <c r="M52" s="61" t="s">
        <v>31</v>
      </c>
      <c r="N52" s="61" t="s">
        <v>2553</v>
      </c>
      <c r="O52" s="61"/>
      <c r="P52" s="61"/>
      <c r="Q52" s="61"/>
      <c r="R52" s="61" t="s">
        <v>2703</v>
      </c>
      <c r="S52" s="61" t="s">
        <v>40</v>
      </c>
      <c r="T52" s="61" t="s">
        <v>1898</v>
      </c>
      <c r="U52" s="61" t="s">
        <v>1898</v>
      </c>
      <c r="V52" s="101" t="str">
        <f>VLOOKUP(B52,[2]Overall!$A:$D,4,0)</f>
        <v>TELEINFRA NORD</v>
      </c>
      <c r="W52" s="101" t="str">
        <f>VLOOKUP(B52,[3]Sheet1!$A:$B,2,0)</f>
        <v>Bardake</v>
      </c>
      <c r="X52" s="88" t="str">
        <f t="shared" si="3"/>
        <v>NRD</v>
      </c>
      <c r="Y52" s="88" t="str">
        <f t="shared" si="4"/>
        <v>8H&lt;T&lt;16H</v>
      </c>
      <c r="Z52" s="101">
        <f t="shared" si="5"/>
        <v>2</v>
      </c>
      <c r="AA52" s="61"/>
      <c r="AB52" s="84" t="s">
        <v>1554</v>
      </c>
      <c r="AC52" s="105" t="s">
        <v>2730</v>
      </c>
      <c r="AD52" s="106" t="s">
        <v>1994</v>
      </c>
      <c r="AE52" s="61"/>
    </row>
    <row r="53" spans="1:31" ht="72.5" hidden="1" x14ac:dyDescent="0.35">
      <c r="A53" s="61" t="s">
        <v>2604</v>
      </c>
      <c r="B53" s="61" t="s">
        <v>2605</v>
      </c>
      <c r="C53" s="65"/>
      <c r="D53" s="61"/>
      <c r="E53" s="61" t="s">
        <v>2606</v>
      </c>
      <c r="F53" s="70" t="s">
        <v>53</v>
      </c>
      <c r="G53" s="70" t="s">
        <v>2121</v>
      </c>
      <c r="H53" s="67">
        <v>46180.25408564815</v>
      </c>
      <c r="I53" s="75">
        <v>0.31182905092282454</v>
      </c>
      <c r="J53" s="61"/>
      <c r="K53" s="61"/>
      <c r="L53" s="61"/>
      <c r="M53" s="61" t="s">
        <v>38</v>
      </c>
      <c r="N53" s="61" t="s">
        <v>2607</v>
      </c>
      <c r="O53" s="61"/>
      <c r="P53" s="61"/>
      <c r="Q53" s="61"/>
      <c r="R53" s="61" t="s">
        <v>2658</v>
      </c>
      <c r="S53" s="61" t="s">
        <v>40</v>
      </c>
      <c r="T53" s="61" t="s">
        <v>1898</v>
      </c>
      <c r="U53" s="61" t="s">
        <v>1898</v>
      </c>
      <c r="V53" s="101" t="str">
        <f>VLOOKUP(B53,[2]Overall!$A:$D,4,0)</f>
        <v>TELEINFRA NORD</v>
      </c>
      <c r="W53" s="101" t="str">
        <f>VLOOKUP(B53,[3]Sheet1!$A:$B,2,0)</f>
        <v>Nganha</v>
      </c>
      <c r="X53" s="88" t="str">
        <f t="shared" si="3"/>
        <v>ADM</v>
      </c>
      <c r="Y53" s="88" t="str">
        <f t="shared" si="4"/>
        <v>4H&lt;T&lt;8H</v>
      </c>
      <c r="Z53" s="101">
        <f t="shared" si="5"/>
        <v>2</v>
      </c>
      <c r="AA53" s="61"/>
      <c r="AB53" s="84" t="s">
        <v>1554</v>
      </c>
      <c r="AC53" s="105" t="s">
        <v>2730</v>
      </c>
      <c r="AD53" s="106" t="s">
        <v>1994</v>
      </c>
      <c r="AE53" s="61"/>
    </row>
    <row r="54" spans="1:31" ht="188.5" hidden="1" x14ac:dyDescent="0.35">
      <c r="A54" s="61" t="s">
        <v>1877</v>
      </c>
      <c r="B54" s="61" t="s">
        <v>1878</v>
      </c>
      <c r="C54" s="65"/>
      <c r="D54" s="61"/>
      <c r="E54" s="61" t="s">
        <v>49</v>
      </c>
      <c r="F54" s="70" t="s">
        <v>53</v>
      </c>
      <c r="G54" s="70" t="s">
        <v>2121</v>
      </c>
      <c r="H54" s="67">
        <v>46180.314571759256</v>
      </c>
      <c r="I54" s="75">
        <v>0.25134293981682276</v>
      </c>
      <c r="J54" s="61"/>
      <c r="K54" s="61"/>
      <c r="L54" s="61"/>
      <c r="M54" s="61" t="s">
        <v>38</v>
      </c>
      <c r="N54" s="61" t="s">
        <v>1943</v>
      </c>
      <c r="O54" s="61"/>
      <c r="P54" s="61"/>
      <c r="Q54" s="61"/>
      <c r="R54" s="61" t="s">
        <v>2627</v>
      </c>
      <c r="S54" s="61" t="s">
        <v>85</v>
      </c>
      <c r="T54" s="61" t="s">
        <v>1688</v>
      </c>
      <c r="U54" s="61" t="s">
        <v>1688</v>
      </c>
      <c r="V54" s="101" t="str">
        <f>VLOOKUP(B54,[2]Overall!$A:$D,4,0)</f>
        <v>H-TELI</v>
      </c>
      <c r="W54" s="101" t="str">
        <f>VLOOKUP(B54,[3]Sheet1!$A:$B,2,0)</f>
        <v>Massock-Songloulou</v>
      </c>
      <c r="X54" s="88" t="str">
        <f t="shared" si="3"/>
        <v>LIT</v>
      </c>
      <c r="Y54" s="88" t="str">
        <f t="shared" si="4"/>
        <v>4H&lt;T&lt;8H</v>
      </c>
      <c r="Z54" s="101">
        <f t="shared" si="5"/>
        <v>1</v>
      </c>
      <c r="AA54" s="61"/>
      <c r="AB54" s="84" t="s">
        <v>1554</v>
      </c>
      <c r="AC54" s="105" t="s">
        <v>2730</v>
      </c>
      <c r="AD54" s="106" t="s">
        <v>1994</v>
      </c>
      <c r="AE54" s="61"/>
    </row>
    <row r="55" spans="1:31" ht="145" hidden="1" x14ac:dyDescent="0.35">
      <c r="A55" s="61" t="s">
        <v>1807</v>
      </c>
      <c r="B55" s="61" t="s">
        <v>1808</v>
      </c>
      <c r="C55" s="65"/>
      <c r="D55" s="61"/>
      <c r="E55" s="61" t="s">
        <v>2446</v>
      </c>
      <c r="F55" s="70" t="s">
        <v>53</v>
      </c>
      <c r="G55" s="70" t="s">
        <v>2121</v>
      </c>
      <c r="H55" s="67">
        <v>46180.315520833334</v>
      </c>
      <c r="I55" s="75">
        <v>0.25039386573917</v>
      </c>
      <c r="J55" s="61"/>
      <c r="K55" s="61"/>
      <c r="L55" s="61"/>
      <c r="M55" s="61" t="s">
        <v>2053</v>
      </c>
      <c r="N55" s="61" t="s">
        <v>2054</v>
      </c>
      <c r="O55" s="61"/>
      <c r="P55" s="61"/>
      <c r="Q55" s="61"/>
      <c r="R55" s="61" t="s">
        <v>2622</v>
      </c>
      <c r="S55" s="61" t="s">
        <v>85</v>
      </c>
      <c r="T55" s="61" t="s">
        <v>1898</v>
      </c>
      <c r="U55" s="61" t="s">
        <v>1898</v>
      </c>
      <c r="V55" s="101" t="str">
        <f>VLOOKUP(B55,[2]Overall!$A:$D,4,0)</f>
        <v>H-TELI</v>
      </c>
      <c r="W55" s="101" t="str">
        <f>VLOOKUP(B55,[3]Sheet1!$A:$B,2,0)</f>
        <v>Songloulou</v>
      </c>
      <c r="X55" s="88" t="str">
        <f t="shared" si="3"/>
        <v>LIT</v>
      </c>
      <c r="Y55" s="88" t="str">
        <f t="shared" si="4"/>
        <v>4H&lt;T&lt;8H</v>
      </c>
      <c r="Z55" s="101">
        <f t="shared" si="5"/>
        <v>1</v>
      </c>
      <c r="AA55" s="61"/>
      <c r="AB55" s="84" t="s">
        <v>1554</v>
      </c>
      <c r="AC55" s="105" t="s">
        <v>2730</v>
      </c>
      <c r="AD55" s="106" t="s">
        <v>1994</v>
      </c>
      <c r="AE55" s="61"/>
    </row>
    <row r="56" spans="1:31" ht="145" hidden="1" x14ac:dyDescent="0.35">
      <c r="A56" s="61" t="s">
        <v>1807</v>
      </c>
      <c r="B56" s="61" t="s">
        <v>1808</v>
      </c>
      <c r="C56" s="65"/>
      <c r="D56" s="61"/>
      <c r="E56" s="61" t="s">
        <v>1812</v>
      </c>
      <c r="F56" s="70" t="s">
        <v>53</v>
      </c>
      <c r="G56" s="70" t="s">
        <v>2121</v>
      </c>
      <c r="H56" s="67">
        <v>46180.329953703702</v>
      </c>
      <c r="I56" s="75">
        <v>0.2359609953709878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61" t="s">
        <v>2622</v>
      </c>
      <c r="S56" s="61" t="s">
        <v>85</v>
      </c>
      <c r="T56" s="61" t="s">
        <v>1898</v>
      </c>
      <c r="U56" s="61" t="s">
        <v>1898</v>
      </c>
      <c r="V56" s="101" t="str">
        <f>VLOOKUP(B56,[2]Overall!$A:$D,4,0)</f>
        <v>H-TELI</v>
      </c>
      <c r="W56" s="101" t="str">
        <f>VLOOKUP(B56,[3]Sheet1!$A:$B,2,0)</f>
        <v>Songloulou</v>
      </c>
      <c r="X56" s="88" t="str">
        <f t="shared" si="3"/>
        <v>LIT</v>
      </c>
      <c r="Y56" s="88" t="str">
        <f t="shared" si="4"/>
        <v>4H&lt;T&lt;8H</v>
      </c>
      <c r="Z56" s="101">
        <f t="shared" si="5"/>
        <v>1</v>
      </c>
      <c r="AA56" s="61"/>
      <c r="AB56" s="84" t="s">
        <v>1554</v>
      </c>
      <c r="AC56" s="105" t="s">
        <v>2730</v>
      </c>
      <c r="AD56" s="106" t="s">
        <v>1994</v>
      </c>
      <c r="AE56" s="61"/>
    </row>
    <row r="57" spans="1:31" ht="145" hidden="1" x14ac:dyDescent="0.35">
      <c r="A57" s="61" t="s">
        <v>1807</v>
      </c>
      <c r="B57" s="61" t="s">
        <v>1808</v>
      </c>
      <c r="C57" s="65"/>
      <c r="D57" s="61"/>
      <c r="E57" s="61" t="s">
        <v>1813</v>
      </c>
      <c r="F57" s="70" t="s">
        <v>53</v>
      </c>
      <c r="G57" s="70" t="s">
        <v>2121</v>
      </c>
      <c r="H57" s="67">
        <v>46180.329965277779</v>
      </c>
      <c r="I57" s="75">
        <v>0.23594942129420815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61" t="s">
        <v>2622</v>
      </c>
      <c r="S57" s="61" t="s">
        <v>85</v>
      </c>
      <c r="T57" s="61" t="s">
        <v>1898</v>
      </c>
      <c r="U57" s="61" t="s">
        <v>1898</v>
      </c>
      <c r="V57" s="101" t="str">
        <f>VLOOKUP(B57,[2]Overall!$A:$D,4,0)</f>
        <v>H-TELI</v>
      </c>
      <c r="W57" s="101" t="str">
        <f>VLOOKUP(B57,[3]Sheet1!$A:$B,2,0)</f>
        <v>Songloulou</v>
      </c>
      <c r="X57" s="88" t="str">
        <f t="shared" si="3"/>
        <v>LIT</v>
      </c>
      <c r="Y57" s="88" t="str">
        <f t="shared" si="4"/>
        <v>4H&lt;T&lt;8H</v>
      </c>
      <c r="Z57" s="101">
        <f t="shared" si="5"/>
        <v>1</v>
      </c>
      <c r="AA57" s="61"/>
      <c r="AB57" s="84" t="s">
        <v>1554</v>
      </c>
      <c r="AC57" s="105" t="s">
        <v>2730</v>
      </c>
      <c r="AD57" s="106" t="s">
        <v>1994</v>
      </c>
      <c r="AE57" s="61"/>
    </row>
    <row r="58" spans="1:31" ht="145" hidden="1" x14ac:dyDescent="0.35">
      <c r="A58" s="61" t="s">
        <v>1807</v>
      </c>
      <c r="B58" s="61" t="s">
        <v>1808</v>
      </c>
      <c r="C58" s="65"/>
      <c r="D58" s="61"/>
      <c r="E58" s="61" t="s">
        <v>2700</v>
      </c>
      <c r="F58" s="70" t="s">
        <v>53</v>
      </c>
      <c r="G58" s="70" t="s">
        <v>2121</v>
      </c>
      <c r="H58" s="67">
        <v>46180.330787037034</v>
      </c>
      <c r="I58" s="75">
        <v>0.23512766203930369</v>
      </c>
      <c r="J58" s="61"/>
      <c r="K58" s="61"/>
      <c r="L58" s="61"/>
      <c r="M58" s="61" t="s">
        <v>1686</v>
      </c>
      <c r="N58" s="61" t="s">
        <v>2701</v>
      </c>
      <c r="O58" s="61"/>
      <c r="P58" s="61"/>
      <c r="Q58" s="61"/>
      <c r="R58" s="61" t="s">
        <v>2622</v>
      </c>
      <c r="S58" s="61" t="s">
        <v>85</v>
      </c>
      <c r="T58" s="61" t="s">
        <v>1898</v>
      </c>
      <c r="U58" s="61" t="s">
        <v>1898</v>
      </c>
      <c r="V58" s="101" t="str">
        <f>VLOOKUP(B58,[2]Overall!$A:$D,4,0)</f>
        <v>H-TELI</v>
      </c>
      <c r="W58" s="101" t="str">
        <f>VLOOKUP(B58,[3]Sheet1!$A:$B,2,0)</f>
        <v>Songloulou</v>
      </c>
      <c r="X58" s="88" t="str">
        <f t="shared" si="3"/>
        <v>LIT</v>
      </c>
      <c r="Y58" s="88" t="str">
        <f t="shared" si="4"/>
        <v>4H&lt;T&lt;8H</v>
      </c>
      <c r="Z58" s="101">
        <f t="shared" si="5"/>
        <v>6</v>
      </c>
      <c r="AA58" s="61"/>
      <c r="AB58" s="84" t="s">
        <v>1554</v>
      </c>
      <c r="AC58" s="105" t="s">
        <v>2730</v>
      </c>
      <c r="AD58" s="106" t="s">
        <v>1994</v>
      </c>
      <c r="AE58" s="61"/>
    </row>
    <row r="59" spans="1:31" ht="159.5" hidden="1" x14ac:dyDescent="0.35">
      <c r="A59" s="61" t="s">
        <v>2710</v>
      </c>
      <c r="B59" s="61" t="s">
        <v>2711</v>
      </c>
      <c r="C59" s="65"/>
      <c r="D59" s="61"/>
      <c r="E59" s="61" t="s">
        <v>39</v>
      </c>
      <c r="F59" s="70" t="s">
        <v>53</v>
      </c>
      <c r="G59" s="70" t="s">
        <v>2121</v>
      </c>
      <c r="H59" s="67">
        <v>46180.433206018519</v>
      </c>
      <c r="I59" s="75">
        <v>0.13270868055406027</v>
      </c>
      <c r="J59" s="61"/>
      <c r="K59" s="61"/>
      <c r="L59" s="61"/>
      <c r="M59" s="61" t="s">
        <v>1707</v>
      </c>
      <c r="N59" s="61" t="s">
        <v>2712</v>
      </c>
      <c r="O59" s="61"/>
      <c r="P59" s="61"/>
      <c r="Q59" s="61"/>
      <c r="R59" s="84" t="s">
        <v>2731</v>
      </c>
      <c r="S59" s="61" t="s">
        <v>51</v>
      </c>
      <c r="T59" s="61" t="s">
        <v>1898</v>
      </c>
      <c r="U59" s="61" t="s">
        <v>1898</v>
      </c>
      <c r="V59" s="101" t="str">
        <f>VLOOKUP(B59,[2]Overall!$A:$D,4,0)</f>
        <v>TELEINFRA NORD</v>
      </c>
      <c r="W59" s="101" t="str">
        <f>VLOOKUP(B59,[3]Sheet1!$A:$B,2,0)</f>
        <v>Matafal</v>
      </c>
      <c r="X59" s="88" t="str">
        <f t="shared" si="3"/>
        <v>EXN</v>
      </c>
      <c r="Y59" s="88" t="str">
        <f t="shared" si="4"/>
        <v>2H&lt;T&lt;4H</v>
      </c>
      <c r="Z59" s="101">
        <f t="shared" si="5"/>
        <v>1</v>
      </c>
      <c r="AA59" s="61"/>
      <c r="AB59" s="84" t="s">
        <v>1555</v>
      </c>
      <c r="AC59" s="105" t="s">
        <v>2730</v>
      </c>
      <c r="AD59" s="106" t="s">
        <v>1994</v>
      </c>
      <c r="AE59" s="61"/>
    </row>
    <row r="60" spans="1:31" ht="101.5" hidden="1" x14ac:dyDescent="0.35">
      <c r="A60" s="61" t="s">
        <v>2710</v>
      </c>
      <c r="B60" s="61" t="s">
        <v>2711</v>
      </c>
      <c r="C60" s="65"/>
      <c r="D60" s="61"/>
      <c r="E60" s="61" t="s">
        <v>2713</v>
      </c>
      <c r="F60" s="70" t="s">
        <v>53</v>
      </c>
      <c r="G60" s="70" t="s">
        <v>2121</v>
      </c>
      <c r="H60" s="67">
        <v>46180.435312499998</v>
      </c>
      <c r="I60" s="75">
        <v>0.13060219907492865</v>
      </c>
      <c r="J60" s="61"/>
      <c r="K60" s="61"/>
      <c r="L60" s="61"/>
      <c r="M60" s="61" t="s">
        <v>31</v>
      </c>
      <c r="N60" s="61" t="s">
        <v>2714</v>
      </c>
      <c r="O60" s="61"/>
      <c r="P60" s="61"/>
      <c r="Q60" s="61"/>
      <c r="R60" s="84" t="s">
        <v>2731</v>
      </c>
      <c r="S60" s="61" t="s">
        <v>51</v>
      </c>
      <c r="T60" s="61" t="s">
        <v>1898</v>
      </c>
      <c r="U60" s="61" t="s">
        <v>1898</v>
      </c>
      <c r="V60" s="101" t="str">
        <f>VLOOKUP(B60,[2]Overall!$A:$D,4,0)</f>
        <v>TELEINFRA NORD</v>
      </c>
      <c r="W60" s="101" t="str">
        <f>VLOOKUP(B60,[3]Sheet1!$A:$B,2,0)</f>
        <v>Matafal</v>
      </c>
      <c r="X60" s="88" t="str">
        <f t="shared" si="3"/>
        <v>EXN</v>
      </c>
      <c r="Y60" s="88" t="str">
        <f t="shared" si="4"/>
        <v>2H&lt;T&lt;4H</v>
      </c>
      <c r="Z60" s="101">
        <f t="shared" si="5"/>
        <v>9</v>
      </c>
      <c r="AA60" s="61"/>
      <c r="AB60" s="84" t="s">
        <v>1555</v>
      </c>
      <c r="AC60" s="105" t="s">
        <v>2730</v>
      </c>
      <c r="AD60" s="106" t="s">
        <v>1994</v>
      </c>
      <c r="AE60" s="61"/>
    </row>
    <row r="61" spans="1:31" ht="130.5" hidden="1" x14ac:dyDescent="0.35">
      <c r="A61" s="61" t="s">
        <v>2710</v>
      </c>
      <c r="B61" s="61" t="s">
        <v>2711</v>
      </c>
      <c r="C61" s="65"/>
      <c r="D61" s="61"/>
      <c r="E61" s="61" t="s">
        <v>39</v>
      </c>
      <c r="F61" s="70" t="s">
        <v>53</v>
      </c>
      <c r="G61" s="70" t="s">
        <v>2121</v>
      </c>
      <c r="H61" s="67">
        <v>46180.435636574075</v>
      </c>
      <c r="I61" s="75">
        <v>0.13027812499785796</v>
      </c>
      <c r="J61" s="61"/>
      <c r="K61" s="61"/>
      <c r="L61" s="61"/>
      <c r="M61" s="61" t="s">
        <v>1769</v>
      </c>
      <c r="N61" s="61" t="s">
        <v>2715</v>
      </c>
      <c r="O61" s="61"/>
      <c r="P61" s="61"/>
      <c r="Q61" s="61"/>
      <c r="R61" s="84" t="s">
        <v>2731</v>
      </c>
      <c r="S61" s="61" t="s">
        <v>51</v>
      </c>
      <c r="T61" s="61" t="s">
        <v>1898</v>
      </c>
      <c r="U61" s="61" t="s">
        <v>1898</v>
      </c>
      <c r="V61" s="101" t="str">
        <f>VLOOKUP(B61,[2]Overall!$A:$D,4,0)</f>
        <v>TELEINFRA NORD</v>
      </c>
      <c r="W61" s="101" t="str">
        <f>VLOOKUP(B61,[3]Sheet1!$A:$B,2,0)</f>
        <v>Matafal</v>
      </c>
      <c r="X61" s="88" t="str">
        <f t="shared" ref="X61:X74" si="6">LEFT(B61,3)</f>
        <v>EXN</v>
      </c>
      <c r="Y61" s="88" t="str">
        <f t="shared" ref="Y61:Y74" si="7">IF(I61 &lt; 1/24, "T&lt;1H", IF(AND(I61&lt;2/24, I61&gt;1/24), "1H&lt;T&lt;2H", IF(AND(I61&lt;4/24, I61&gt;2/24), "2H&lt;T&lt;4H", IF(AND(I61&lt;8/24, I61&gt;4/24), "4H&lt;T&lt;8H", IF(AND(I61&lt;16/24, I61&gt;8/24), "8H&lt;T&lt;16H",IF(AND(I61&lt;24/24, I61&gt;16/24),"16H&lt;T&lt;24H", IF(AND(I61&lt;48/24, I61&gt;24/24),"24H&lt;T&lt;48H",IF(AND(I61&lt;72/24, I61&gt;24/24),"48H&lt;T&lt;72H", "T&gt;72H"))))))))</f>
        <v>2H&lt;T&lt;4H</v>
      </c>
      <c r="Z61" s="101">
        <f t="shared" ref="Z61:Z74" si="8">IF(OR(E61="", E61="affected_cells=unknown"), "", LEN(E61)-LEN(SUBSTITUTE(E61, ",", "")) + LEN(E61)-LEN(SUBSTITUTE(E61, ";", "")) + 1)</f>
        <v>1</v>
      </c>
      <c r="AA61" s="61"/>
      <c r="AB61" s="84" t="s">
        <v>1555</v>
      </c>
      <c r="AC61" s="105" t="s">
        <v>2730</v>
      </c>
      <c r="AD61" s="106" t="s">
        <v>1994</v>
      </c>
      <c r="AE61" s="61"/>
    </row>
    <row r="62" spans="1:31" ht="174" hidden="1" x14ac:dyDescent="0.35">
      <c r="A62" s="61" t="s">
        <v>1795</v>
      </c>
      <c r="B62" s="61" t="s">
        <v>1796</v>
      </c>
      <c r="C62" s="65"/>
      <c r="D62" s="61"/>
      <c r="E62" s="61" t="s">
        <v>2698</v>
      </c>
      <c r="F62" s="70" t="s">
        <v>53</v>
      </c>
      <c r="G62" s="70" t="s">
        <v>2121</v>
      </c>
      <c r="H62" s="67">
        <v>46180.505752314813</v>
      </c>
      <c r="I62" s="75">
        <v>6.0162384259456303E-2</v>
      </c>
      <c r="J62" s="61"/>
      <c r="K62" s="61"/>
      <c r="L62" s="61"/>
      <c r="M62" s="61" t="s">
        <v>46</v>
      </c>
      <c r="N62" s="61" t="s">
        <v>2699</v>
      </c>
      <c r="O62" s="61"/>
      <c r="P62" s="61"/>
      <c r="Q62" s="61"/>
      <c r="R62" s="61" t="s">
        <v>2655</v>
      </c>
      <c r="S62" s="61" t="s">
        <v>40</v>
      </c>
      <c r="T62" s="61" t="s">
        <v>1899</v>
      </c>
      <c r="U62" s="61" t="s">
        <v>1899</v>
      </c>
      <c r="V62" s="101" t="str">
        <f>VLOOKUP(B62,[2]Overall!$A:$D,4,0)</f>
        <v>TELEINFRA NORD</v>
      </c>
      <c r="W62" s="101" t="str">
        <f>VLOOKUP(B62,[3]Sheet1!$A:$B,2,0)</f>
        <v>Bagarao</v>
      </c>
      <c r="X62" s="88" t="str">
        <f t="shared" si="6"/>
        <v>EXN</v>
      </c>
      <c r="Y62" s="88" t="str">
        <f t="shared" si="7"/>
        <v>1H&lt;T&lt;2H</v>
      </c>
      <c r="Z62" s="101">
        <f t="shared" si="8"/>
        <v>1</v>
      </c>
      <c r="AA62" s="61"/>
      <c r="AB62" s="84" t="s">
        <v>1554</v>
      </c>
      <c r="AC62" s="105" t="s">
        <v>2730</v>
      </c>
      <c r="AD62" s="106" t="s">
        <v>1994</v>
      </c>
      <c r="AE62" s="61"/>
    </row>
    <row r="63" spans="1:31" ht="87" hidden="1" x14ac:dyDescent="0.35">
      <c r="A63" s="61" t="s">
        <v>2716</v>
      </c>
      <c r="B63" s="61" t="s">
        <v>2717</v>
      </c>
      <c r="C63" s="65"/>
      <c r="D63" s="61"/>
      <c r="E63" s="61" t="s">
        <v>2718</v>
      </c>
      <c r="F63" s="70" t="s">
        <v>53</v>
      </c>
      <c r="G63" s="70" t="s">
        <v>2121</v>
      </c>
      <c r="H63" s="67">
        <v>46180.530543981484</v>
      </c>
      <c r="I63" s="75">
        <v>3.5370717589103151E-2</v>
      </c>
      <c r="J63" s="61"/>
      <c r="K63" s="61"/>
      <c r="L63" s="61"/>
      <c r="M63" s="61" t="s">
        <v>41</v>
      </c>
      <c r="N63" s="61" t="s">
        <v>42</v>
      </c>
      <c r="O63" s="61"/>
      <c r="P63" s="61"/>
      <c r="Q63" s="61"/>
      <c r="R63" s="84" t="s">
        <v>2731</v>
      </c>
      <c r="S63" s="61" t="s">
        <v>51</v>
      </c>
      <c r="T63" s="61" t="s">
        <v>1898</v>
      </c>
      <c r="U63" s="61" t="s">
        <v>1898</v>
      </c>
      <c r="V63" s="101" t="str">
        <f>VLOOKUP(B63,[2]Overall!$A:$D,4,0)</f>
        <v xml:space="preserve">I-ENG </v>
      </c>
      <c r="W63" s="101" t="str">
        <f>VLOOKUP(B63,[3]Sheet1!$A:$B,2,0)</f>
        <v>Mbonso</v>
      </c>
      <c r="X63" s="88" t="str">
        <f t="shared" si="6"/>
        <v>NRO</v>
      </c>
      <c r="Y63" s="88" t="str">
        <f t="shared" si="7"/>
        <v>T&lt;1H</v>
      </c>
      <c r="Z63" s="101">
        <f t="shared" si="8"/>
        <v>1</v>
      </c>
      <c r="AA63" s="61"/>
      <c r="AB63" s="84" t="s">
        <v>1555</v>
      </c>
      <c r="AC63" s="105" t="s">
        <v>2730</v>
      </c>
      <c r="AD63" s="106" t="s">
        <v>1994</v>
      </c>
      <c r="AE63" s="61"/>
    </row>
    <row r="64" spans="1:31" ht="87" hidden="1" x14ac:dyDescent="0.35">
      <c r="A64" s="61" t="s">
        <v>2716</v>
      </c>
      <c r="B64" s="61" t="s">
        <v>2717</v>
      </c>
      <c r="C64" s="65"/>
      <c r="D64" s="61"/>
      <c r="E64" s="61" t="s">
        <v>2719</v>
      </c>
      <c r="F64" s="70" t="s">
        <v>53</v>
      </c>
      <c r="G64" s="70" t="s">
        <v>2121</v>
      </c>
      <c r="H64" s="67">
        <v>46180.530543981484</v>
      </c>
      <c r="I64" s="75">
        <v>3.5370717589103151E-2</v>
      </c>
      <c r="J64" s="61"/>
      <c r="K64" s="61"/>
      <c r="L64" s="61"/>
      <c r="M64" s="61" t="s">
        <v>41</v>
      </c>
      <c r="N64" s="61" t="s">
        <v>42</v>
      </c>
      <c r="O64" s="61"/>
      <c r="P64" s="61"/>
      <c r="Q64" s="61"/>
      <c r="R64" s="84" t="s">
        <v>2731</v>
      </c>
      <c r="S64" s="61" t="s">
        <v>51</v>
      </c>
      <c r="T64" s="61" t="s">
        <v>1898</v>
      </c>
      <c r="U64" s="61" t="s">
        <v>1898</v>
      </c>
      <c r="V64" s="101" t="str">
        <f>VLOOKUP(B64,[2]Overall!$A:$D,4,0)</f>
        <v xml:space="preserve">I-ENG </v>
      </c>
      <c r="W64" s="101" t="str">
        <f>VLOOKUP(B64,[3]Sheet1!$A:$B,2,0)</f>
        <v>Mbonso</v>
      </c>
      <c r="X64" s="88" t="str">
        <f t="shared" si="6"/>
        <v>NRO</v>
      </c>
      <c r="Y64" s="88" t="str">
        <f t="shared" si="7"/>
        <v>T&lt;1H</v>
      </c>
      <c r="Z64" s="101">
        <f t="shared" si="8"/>
        <v>1</v>
      </c>
      <c r="AA64" s="61"/>
      <c r="AB64" s="84" t="s">
        <v>1555</v>
      </c>
      <c r="AC64" s="105" t="s">
        <v>2730</v>
      </c>
      <c r="AD64" s="106" t="s">
        <v>1994</v>
      </c>
      <c r="AE64" s="61"/>
    </row>
    <row r="65" spans="1:31" ht="87" hidden="1" x14ac:dyDescent="0.35">
      <c r="A65" s="61" t="s">
        <v>2716</v>
      </c>
      <c r="B65" s="61" t="s">
        <v>2717</v>
      </c>
      <c r="C65" s="65"/>
      <c r="D65" s="61"/>
      <c r="E65" s="61" t="s">
        <v>2720</v>
      </c>
      <c r="F65" s="70" t="s">
        <v>53</v>
      </c>
      <c r="G65" s="70" t="s">
        <v>2121</v>
      </c>
      <c r="H65" s="67">
        <v>46180.530543981484</v>
      </c>
      <c r="I65" s="75">
        <v>3.5370717589103151E-2</v>
      </c>
      <c r="J65" s="61"/>
      <c r="K65" s="61"/>
      <c r="L65" s="61"/>
      <c r="M65" s="61" t="s">
        <v>41</v>
      </c>
      <c r="N65" s="61" t="s">
        <v>42</v>
      </c>
      <c r="O65" s="61"/>
      <c r="P65" s="61"/>
      <c r="Q65" s="61"/>
      <c r="R65" s="84" t="s">
        <v>2731</v>
      </c>
      <c r="S65" s="61" t="s">
        <v>51</v>
      </c>
      <c r="T65" s="61" t="s">
        <v>1898</v>
      </c>
      <c r="U65" s="61" t="s">
        <v>1898</v>
      </c>
      <c r="V65" s="101" t="str">
        <f>VLOOKUP(B65,[2]Overall!$A:$D,4,0)</f>
        <v xml:space="preserve">I-ENG </v>
      </c>
      <c r="W65" s="101" t="str">
        <f>VLOOKUP(B65,[3]Sheet1!$A:$B,2,0)</f>
        <v>Mbonso</v>
      </c>
      <c r="X65" s="88" t="str">
        <f t="shared" si="6"/>
        <v>NRO</v>
      </c>
      <c r="Y65" s="88" t="str">
        <f t="shared" si="7"/>
        <v>T&lt;1H</v>
      </c>
      <c r="Z65" s="101">
        <f t="shared" si="8"/>
        <v>1</v>
      </c>
      <c r="AA65" s="61"/>
      <c r="AB65" s="84" t="s">
        <v>1555</v>
      </c>
      <c r="AC65" s="105" t="s">
        <v>2730</v>
      </c>
      <c r="AD65" s="106" t="s">
        <v>1994</v>
      </c>
      <c r="AE65" s="61"/>
    </row>
    <row r="66" spans="1:31" ht="87" hidden="1" x14ac:dyDescent="0.35">
      <c r="A66" s="61" t="s">
        <v>2716</v>
      </c>
      <c r="B66" s="61" t="s">
        <v>2717</v>
      </c>
      <c r="C66" s="65"/>
      <c r="D66" s="61"/>
      <c r="E66" s="61" t="s">
        <v>2721</v>
      </c>
      <c r="F66" s="70" t="s">
        <v>53</v>
      </c>
      <c r="G66" s="70" t="s">
        <v>2121</v>
      </c>
      <c r="H66" s="67">
        <v>46180.530543981484</v>
      </c>
      <c r="I66" s="75">
        <v>3.5370717589103151E-2</v>
      </c>
      <c r="J66" s="61"/>
      <c r="K66" s="61"/>
      <c r="L66" s="61"/>
      <c r="M66" s="61" t="s">
        <v>41</v>
      </c>
      <c r="N66" s="61" t="s">
        <v>42</v>
      </c>
      <c r="O66" s="61"/>
      <c r="P66" s="61"/>
      <c r="Q66" s="61"/>
      <c r="R66" s="84" t="s">
        <v>2731</v>
      </c>
      <c r="S66" s="61" t="s">
        <v>51</v>
      </c>
      <c r="T66" s="61" t="s">
        <v>1898</v>
      </c>
      <c r="U66" s="61" t="s">
        <v>1898</v>
      </c>
      <c r="V66" s="101" t="str">
        <f>VLOOKUP(B66,[2]Overall!$A:$D,4,0)</f>
        <v xml:space="preserve">I-ENG </v>
      </c>
      <c r="W66" s="101" t="str">
        <f>VLOOKUP(B66,[3]Sheet1!$A:$B,2,0)</f>
        <v>Mbonso</v>
      </c>
      <c r="X66" s="88" t="str">
        <f t="shared" si="6"/>
        <v>NRO</v>
      </c>
      <c r="Y66" s="88" t="str">
        <f t="shared" si="7"/>
        <v>T&lt;1H</v>
      </c>
      <c r="Z66" s="101">
        <f t="shared" si="8"/>
        <v>1</v>
      </c>
      <c r="AA66" s="61"/>
      <c r="AB66" s="84" t="s">
        <v>1555</v>
      </c>
      <c r="AC66" s="105" t="s">
        <v>2730</v>
      </c>
      <c r="AD66" s="106" t="s">
        <v>1994</v>
      </c>
      <c r="AE66" s="61"/>
    </row>
    <row r="67" spans="1:31" ht="87" hidden="1" x14ac:dyDescent="0.35">
      <c r="A67" s="61" t="s">
        <v>2716</v>
      </c>
      <c r="B67" s="61" t="s">
        <v>2717</v>
      </c>
      <c r="C67" s="65"/>
      <c r="D67" s="61"/>
      <c r="E67" s="61" t="s">
        <v>2722</v>
      </c>
      <c r="F67" s="70" t="s">
        <v>53</v>
      </c>
      <c r="G67" s="70" t="s">
        <v>2121</v>
      </c>
      <c r="H67" s="67">
        <v>46180.530543981484</v>
      </c>
      <c r="I67" s="75">
        <v>3.5370717589103151E-2</v>
      </c>
      <c r="J67" s="61"/>
      <c r="K67" s="61"/>
      <c r="L67" s="61"/>
      <c r="M67" s="61" t="s">
        <v>41</v>
      </c>
      <c r="N67" s="61" t="s">
        <v>42</v>
      </c>
      <c r="O67" s="61"/>
      <c r="P67" s="61"/>
      <c r="Q67" s="61"/>
      <c r="R67" s="84" t="s">
        <v>2731</v>
      </c>
      <c r="S67" s="61" t="s">
        <v>51</v>
      </c>
      <c r="T67" s="61" t="s">
        <v>1898</v>
      </c>
      <c r="U67" s="61" t="s">
        <v>1898</v>
      </c>
      <c r="V67" s="101" t="str">
        <f>VLOOKUP(B67,[2]Overall!$A:$D,4,0)</f>
        <v xml:space="preserve">I-ENG </v>
      </c>
      <c r="W67" s="101" t="str">
        <f>VLOOKUP(B67,[3]Sheet1!$A:$B,2,0)</f>
        <v>Mbonso</v>
      </c>
      <c r="X67" s="88" t="str">
        <f t="shared" si="6"/>
        <v>NRO</v>
      </c>
      <c r="Y67" s="88" t="str">
        <f t="shared" si="7"/>
        <v>T&lt;1H</v>
      </c>
      <c r="Z67" s="101">
        <f t="shared" si="8"/>
        <v>1</v>
      </c>
      <c r="AA67" s="61"/>
      <c r="AB67" s="84" t="s">
        <v>1555</v>
      </c>
      <c r="AC67" s="105" t="s">
        <v>2730</v>
      </c>
      <c r="AD67" s="106" t="s">
        <v>1994</v>
      </c>
      <c r="AE67" s="61"/>
    </row>
    <row r="68" spans="1:31" ht="87" hidden="1" x14ac:dyDescent="0.35">
      <c r="A68" s="61" t="s">
        <v>2716</v>
      </c>
      <c r="B68" s="61" t="s">
        <v>2717</v>
      </c>
      <c r="C68" s="65"/>
      <c r="D68" s="61"/>
      <c r="E68" s="61" t="s">
        <v>2723</v>
      </c>
      <c r="F68" s="70" t="s">
        <v>53</v>
      </c>
      <c r="G68" s="70" t="s">
        <v>2121</v>
      </c>
      <c r="H68" s="67">
        <v>46180.530543981484</v>
      </c>
      <c r="I68" s="75">
        <v>3.5370717589103151E-2</v>
      </c>
      <c r="J68" s="61"/>
      <c r="K68" s="61"/>
      <c r="L68" s="61"/>
      <c r="M68" s="61" t="s">
        <v>41</v>
      </c>
      <c r="N68" s="61" t="s">
        <v>42</v>
      </c>
      <c r="O68" s="61"/>
      <c r="P68" s="61"/>
      <c r="Q68" s="61"/>
      <c r="R68" s="84" t="s">
        <v>2731</v>
      </c>
      <c r="S68" s="61" t="s">
        <v>51</v>
      </c>
      <c r="T68" s="61" t="s">
        <v>1898</v>
      </c>
      <c r="U68" s="61" t="s">
        <v>1898</v>
      </c>
      <c r="V68" s="101" t="str">
        <f>VLOOKUP(B68,[2]Overall!$A:$D,4,0)</f>
        <v xml:space="preserve">I-ENG </v>
      </c>
      <c r="W68" s="101" t="str">
        <f>VLOOKUP(B68,[3]Sheet1!$A:$B,2,0)</f>
        <v>Mbonso</v>
      </c>
      <c r="X68" s="88" t="str">
        <f t="shared" si="6"/>
        <v>NRO</v>
      </c>
      <c r="Y68" s="88" t="str">
        <f t="shared" si="7"/>
        <v>T&lt;1H</v>
      </c>
      <c r="Z68" s="101">
        <f t="shared" si="8"/>
        <v>1</v>
      </c>
      <c r="AA68" s="61"/>
      <c r="AB68" s="84" t="s">
        <v>1555</v>
      </c>
      <c r="AC68" s="105" t="s">
        <v>2730</v>
      </c>
      <c r="AD68" s="106" t="s">
        <v>1994</v>
      </c>
      <c r="AE68" s="61"/>
    </row>
    <row r="69" spans="1:31" ht="87" hidden="1" x14ac:dyDescent="0.35">
      <c r="A69" s="61" t="s">
        <v>2716</v>
      </c>
      <c r="B69" s="61" t="s">
        <v>2717</v>
      </c>
      <c r="C69" s="65"/>
      <c r="D69" s="61"/>
      <c r="E69" s="61" t="s">
        <v>2724</v>
      </c>
      <c r="F69" s="70" t="s">
        <v>53</v>
      </c>
      <c r="G69" s="70" t="s">
        <v>2121</v>
      </c>
      <c r="H69" s="67">
        <v>46180.530543981484</v>
      </c>
      <c r="I69" s="75">
        <v>3.5370717589103151E-2</v>
      </c>
      <c r="J69" s="61"/>
      <c r="K69" s="61"/>
      <c r="L69" s="61"/>
      <c r="M69" s="61" t="s">
        <v>41</v>
      </c>
      <c r="N69" s="61" t="s">
        <v>42</v>
      </c>
      <c r="O69" s="61"/>
      <c r="P69" s="61"/>
      <c r="Q69" s="61"/>
      <c r="R69" s="84" t="s">
        <v>2731</v>
      </c>
      <c r="S69" s="61" t="s">
        <v>51</v>
      </c>
      <c r="T69" s="61" t="s">
        <v>1898</v>
      </c>
      <c r="U69" s="61" t="s">
        <v>1898</v>
      </c>
      <c r="V69" s="101" t="str">
        <f>VLOOKUP(B69,[2]Overall!$A:$D,4,0)</f>
        <v xml:space="preserve">I-ENG </v>
      </c>
      <c r="W69" s="101" t="str">
        <f>VLOOKUP(B69,[3]Sheet1!$A:$B,2,0)</f>
        <v>Mbonso</v>
      </c>
      <c r="X69" s="88" t="str">
        <f t="shared" si="6"/>
        <v>NRO</v>
      </c>
      <c r="Y69" s="88" t="str">
        <f t="shared" si="7"/>
        <v>T&lt;1H</v>
      </c>
      <c r="Z69" s="101">
        <f t="shared" si="8"/>
        <v>1</v>
      </c>
      <c r="AA69" s="61"/>
      <c r="AB69" s="84" t="s">
        <v>1555</v>
      </c>
      <c r="AC69" s="105" t="s">
        <v>2730</v>
      </c>
      <c r="AD69" s="106" t="s">
        <v>1994</v>
      </c>
      <c r="AE69" s="61"/>
    </row>
    <row r="70" spans="1:31" ht="87" hidden="1" x14ac:dyDescent="0.35">
      <c r="A70" s="61" t="s">
        <v>2716</v>
      </c>
      <c r="B70" s="61" t="s">
        <v>2717</v>
      </c>
      <c r="C70" s="65"/>
      <c r="D70" s="61"/>
      <c r="E70" s="61" t="s">
        <v>2725</v>
      </c>
      <c r="F70" s="70" t="s">
        <v>53</v>
      </c>
      <c r="G70" s="70" t="s">
        <v>2121</v>
      </c>
      <c r="H70" s="67">
        <v>46180.530532407407</v>
      </c>
      <c r="I70" s="75">
        <v>3.5382291665882803E-2</v>
      </c>
      <c r="J70" s="61"/>
      <c r="K70" s="61"/>
      <c r="L70" s="61"/>
      <c r="M70" s="61" t="s">
        <v>41</v>
      </c>
      <c r="N70" s="61" t="s">
        <v>42</v>
      </c>
      <c r="O70" s="61"/>
      <c r="P70" s="61"/>
      <c r="Q70" s="61"/>
      <c r="R70" s="84" t="s">
        <v>2731</v>
      </c>
      <c r="S70" s="61" t="s">
        <v>51</v>
      </c>
      <c r="T70" s="61" t="s">
        <v>1898</v>
      </c>
      <c r="U70" s="61" t="s">
        <v>1898</v>
      </c>
      <c r="V70" s="101" t="str">
        <f>VLOOKUP(B70,[2]Overall!$A:$D,4,0)</f>
        <v xml:space="preserve">I-ENG </v>
      </c>
      <c r="W70" s="101" t="str">
        <f>VLOOKUP(B70,[3]Sheet1!$A:$B,2,0)</f>
        <v>Mbonso</v>
      </c>
      <c r="X70" s="88" t="str">
        <f t="shared" si="6"/>
        <v>NRO</v>
      </c>
      <c r="Y70" s="88" t="str">
        <f t="shared" si="7"/>
        <v>T&lt;1H</v>
      </c>
      <c r="Z70" s="101">
        <f t="shared" si="8"/>
        <v>1</v>
      </c>
      <c r="AA70" s="61"/>
      <c r="AB70" s="84" t="s">
        <v>1555</v>
      </c>
      <c r="AC70" s="105" t="s">
        <v>2730</v>
      </c>
      <c r="AD70" s="106" t="s">
        <v>1994</v>
      </c>
      <c r="AE70" s="61"/>
    </row>
    <row r="71" spans="1:31" ht="87" hidden="1" x14ac:dyDescent="0.35">
      <c r="A71" s="61" t="s">
        <v>2716</v>
      </c>
      <c r="B71" s="61" t="s">
        <v>2717</v>
      </c>
      <c r="C71" s="65"/>
      <c r="D71" s="61"/>
      <c r="E71" s="61" t="s">
        <v>2726</v>
      </c>
      <c r="F71" s="70" t="s">
        <v>53</v>
      </c>
      <c r="G71" s="70" t="s">
        <v>2121</v>
      </c>
      <c r="H71" s="67">
        <v>46180.530543981484</v>
      </c>
      <c r="I71" s="75">
        <v>3.5370717589103151E-2</v>
      </c>
      <c r="J71" s="61"/>
      <c r="K71" s="61"/>
      <c r="L71" s="61"/>
      <c r="M71" s="61" t="s">
        <v>41</v>
      </c>
      <c r="N71" s="61" t="s">
        <v>42</v>
      </c>
      <c r="O71" s="61"/>
      <c r="P71" s="61"/>
      <c r="Q71" s="61"/>
      <c r="R71" s="84" t="s">
        <v>2731</v>
      </c>
      <c r="S71" s="61" t="s">
        <v>51</v>
      </c>
      <c r="T71" s="61" t="s">
        <v>1898</v>
      </c>
      <c r="U71" s="61" t="s">
        <v>1898</v>
      </c>
      <c r="V71" s="101" t="str">
        <f>VLOOKUP(B71,[2]Overall!$A:$D,4,0)</f>
        <v xml:space="preserve">I-ENG </v>
      </c>
      <c r="W71" s="101" t="str">
        <f>VLOOKUP(B71,[3]Sheet1!$A:$B,2,0)</f>
        <v>Mbonso</v>
      </c>
      <c r="X71" s="88" t="str">
        <f t="shared" si="6"/>
        <v>NRO</v>
      </c>
      <c r="Y71" s="88" t="str">
        <f t="shared" si="7"/>
        <v>T&lt;1H</v>
      </c>
      <c r="Z71" s="101">
        <f t="shared" si="8"/>
        <v>1</v>
      </c>
      <c r="AA71" s="61"/>
      <c r="AB71" s="84" t="s">
        <v>1555</v>
      </c>
      <c r="AC71" s="105" t="s">
        <v>2730</v>
      </c>
      <c r="AD71" s="106" t="s">
        <v>1994</v>
      </c>
      <c r="AE71" s="61"/>
    </row>
    <row r="72" spans="1:31" ht="101.5" hidden="1" x14ac:dyDescent="0.35">
      <c r="A72" s="61" t="s">
        <v>2225</v>
      </c>
      <c r="B72" s="61" t="s">
        <v>2226</v>
      </c>
      <c r="C72" s="65"/>
      <c r="D72" s="61"/>
      <c r="E72" s="61" t="s">
        <v>39</v>
      </c>
      <c r="F72" s="70" t="s">
        <v>53</v>
      </c>
      <c r="G72" s="70" t="s">
        <v>2121</v>
      </c>
      <c r="H72" s="67">
        <v>46180.55265046296</v>
      </c>
      <c r="I72" s="75">
        <v>1.3264236113172956E-2</v>
      </c>
      <c r="J72" s="61"/>
      <c r="K72" s="61"/>
      <c r="L72" s="61"/>
      <c r="M72" s="61" t="s">
        <v>1712</v>
      </c>
      <c r="N72" s="61" t="s">
        <v>2227</v>
      </c>
      <c r="O72" s="61"/>
      <c r="P72" s="61"/>
      <c r="Q72" s="61"/>
      <c r="R72" s="61" t="s">
        <v>2708</v>
      </c>
      <c r="S72" s="61" t="s">
        <v>32</v>
      </c>
      <c r="T72" s="61" t="s">
        <v>1899</v>
      </c>
      <c r="U72" s="61" t="s">
        <v>1899</v>
      </c>
      <c r="V72" s="101" t="str">
        <f>VLOOKUP(B72,[2]Overall!$A:$D,4,0)</f>
        <v xml:space="preserve">I-ENG </v>
      </c>
      <c r="W72" s="101" t="str">
        <f>VLOOKUP(B72,[3]Sheet1!$A:$B,2,0)</f>
        <v>Matsari</v>
      </c>
      <c r="X72" s="88" t="str">
        <f t="shared" si="6"/>
        <v>CTR</v>
      </c>
      <c r="Y72" s="88" t="str">
        <f t="shared" si="7"/>
        <v>T&lt;1H</v>
      </c>
      <c r="Z72" s="101">
        <f t="shared" si="8"/>
        <v>1</v>
      </c>
      <c r="AA72" s="61"/>
      <c r="AB72" s="84" t="s">
        <v>1554</v>
      </c>
      <c r="AC72" s="105" t="s">
        <v>2730</v>
      </c>
      <c r="AD72" s="106" t="s">
        <v>1994</v>
      </c>
      <c r="AE72" s="61"/>
    </row>
    <row r="73" spans="1:31" ht="87" hidden="1" x14ac:dyDescent="0.35">
      <c r="A73" s="61" t="s">
        <v>2727</v>
      </c>
      <c r="B73" s="61" t="s">
        <v>2555</v>
      </c>
      <c r="C73" s="65"/>
      <c r="D73" s="61"/>
      <c r="E73" s="61" t="s">
        <v>37</v>
      </c>
      <c r="F73" s="70" t="s">
        <v>53</v>
      </c>
      <c r="G73" s="70" t="s">
        <v>2121</v>
      </c>
      <c r="H73" s="67">
        <v>46180.558842592596</v>
      </c>
      <c r="I73" s="75">
        <v>7.0721064766985364E-3</v>
      </c>
      <c r="J73" s="61"/>
      <c r="K73" s="61"/>
      <c r="L73" s="61"/>
      <c r="M73" s="61" t="s">
        <v>1686</v>
      </c>
      <c r="N73" s="61" t="s">
        <v>2728</v>
      </c>
      <c r="O73" s="61"/>
      <c r="P73" s="61"/>
      <c r="Q73" s="61"/>
      <c r="R73" s="61" t="s">
        <v>2654</v>
      </c>
      <c r="S73" s="61" t="s">
        <v>71</v>
      </c>
      <c r="T73" s="61" t="s">
        <v>1902</v>
      </c>
      <c r="U73" s="61" t="s">
        <v>1896</v>
      </c>
      <c r="V73" s="101" t="str">
        <f>VLOOKUP(B73,[2]Overall!$A:$D,4,0)</f>
        <v xml:space="preserve">I-ENG </v>
      </c>
      <c r="W73" s="101" t="str">
        <f>VLOOKUP(B73,[3]Sheet1!$A:$B,2,0)</f>
        <v>Bangambi</v>
      </c>
      <c r="X73" s="88" t="str">
        <f t="shared" si="6"/>
        <v>OST</v>
      </c>
      <c r="Y73" s="88" t="str">
        <f t="shared" si="7"/>
        <v>T&lt;1H</v>
      </c>
      <c r="Z73" s="101">
        <f t="shared" si="8"/>
        <v>1</v>
      </c>
      <c r="AA73" s="61"/>
      <c r="AB73" s="84" t="s">
        <v>1555</v>
      </c>
      <c r="AC73" s="105" t="s">
        <v>2730</v>
      </c>
      <c r="AD73" s="106" t="s">
        <v>1994</v>
      </c>
      <c r="AE73" s="61"/>
    </row>
    <row r="74" spans="1:31" ht="87" hidden="1" x14ac:dyDescent="0.35">
      <c r="A74" s="61" t="s">
        <v>2727</v>
      </c>
      <c r="B74" s="61" t="s">
        <v>2555</v>
      </c>
      <c r="C74" s="65"/>
      <c r="D74" s="61"/>
      <c r="E74" s="61" t="s">
        <v>47</v>
      </c>
      <c r="F74" s="70" t="s">
        <v>53</v>
      </c>
      <c r="G74" s="70" t="s">
        <v>2121</v>
      </c>
      <c r="H74" s="67">
        <v>46180.559467592589</v>
      </c>
      <c r="I74" s="75">
        <v>6.4471064833924174E-3</v>
      </c>
      <c r="J74" s="61"/>
      <c r="K74" s="61"/>
      <c r="L74" s="61"/>
      <c r="M74" s="61" t="s">
        <v>31</v>
      </c>
      <c r="N74" s="61" t="s">
        <v>2729</v>
      </c>
      <c r="O74" s="61"/>
      <c r="P74" s="61"/>
      <c r="Q74" s="61"/>
      <c r="R74" s="61" t="s">
        <v>2654</v>
      </c>
      <c r="S74" s="61" t="s">
        <v>71</v>
      </c>
      <c r="T74" s="61" t="s">
        <v>1902</v>
      </c>
      <c r="U74" s="61" t="s">
        <v>1896</v>
      </c>
      <c r="V74" s="101" t="str">
        <f>VLOOKUP(B74,[2]Overall!$A:$D,4,0)</f>
        <v xml:space="preserve">I-ENG </v>
      </c>
      <c r="W74" s="101" t="str">
        <f>VLOOKUP(B74,[3]Sheet1!$A:$B,2,0)</f>
        <v>Bangambi</v>
      </c>
      <c r="X74" s="88" t="str">
        <f t="shared" si="6"/>
        <v>OST</v>
      </c>
      <c r="Y74" s="88" t="str">
        <f t="shared" si="7"/>
        <v>T&lt;1H</v>
      </c>
      <c r="Z74" s="101">
        <f t="shared" si="8"/>
        <v>3</v>
      </c>
      <c r="AA74" s="61"/>
      <c r="AB74" s="84" t="s">
        <v>1555</v>
      </c>
      <c r="AC74" s="105" t="s">
        <v>2730</v>
      </c>
      <c r="AD74" s="106" t="s">
        <v>1994</v>
      </c>
      <c r="AE74" s="61"/>
    </row>
  </sheetData>
  <autoFilter ref="A1:AE74" xr:uid="{7E61290C-0E78-4A5C-A054-830D6C09B6EC}">
    <filterColumn colId="0">
      <filters>
        <filter val="Nkambe-Entrance-IHS_L18L8_NRO_090_MRBTS2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F111-88E4-4B8C-87B0-807D8049D175}">
  <sheetPr codeName="Sheet1"/>
  <dimension ref="A1:G4"/>
  <sheetViews>
    <sheetView workbookViewId="0">
      <selection sqref="A1:G4"/>
    </sheetView>
  </sheetViews>
  <sheetFormatPr defaultRowHeight="14.5" x14ac:dyDescent="0.35"/>
  <cols>
    <col min="1" max="1" width="24.6328125" customWidth="1"/>
    <col min="3" max="3" width="13.81640625" customWidth="1"/>
    <col min="4" max="4" width="9.36328125" customWidth="1"/>
    <col min="5" max="5" width="16.81640625" customWidth="1"/>
    <col min="6" max="6" width="20.54296875" customWidth="1"/>
    <col min="7" max="9" width="16.81640625" customWidth="1"/>
  </cols>
  <sheetData>
    <row r="1" spans="1:7" ht="29" x14ac:dyDescent="0.35">
      <c r="A1" s="113" t="s">
        <v>0</v>
      </c>
      <c r="B1" s="114" t="s">
        <v>1</v>
      </c>
      <c r="C1" s="115" t="s">
        <v>7</v>
      </c>
      <c r="D1" s="116" t="s">
        <v>8</v>
      </c>
      <c r="E1" s="117" t="s">
        <v>12</v>
      </c>
      <c r="F1" s="117" t="s">
        <v>13</v>
      </c>
      <c r="G1" s="118" t="s">
        <v>17</v>
      </c>
    </row>
    <row r="2" spans="1:7" ht="101.5" x14ac:dyDescent="0.35">
      <c r="A2" s="123" t="s">
        <v>2676</v>
      </c>
      <c r="B2" s="123" t="s">
        <v>2673</v>
      </c>
      <c r="C2" s="124">
        <v>46179.78361111111</v>
      </c>
      <c r="D2" s="125">
        <v>0.78230358796281507</v>
      </c>
      <c r="E2" s="123" t="s">
        <v>2696</v>
      </c>
      <c r="F2" s="123" t="s">
        <v>2697</v>
      </c>
      <c r="G2" s="123" t="s">
        <v>2705</v>
      </c>
    </row>
    <row r="3" spans="1:7" ht="174" x14ac:dyDescent="0.35">
      <c r="A3" s="123" t="s">
        <v>2710</v>
      </c>
      <c r="B3" s="123" t="s">
        <v>2711</v>
      </c>
      <c r="C3" s="124">
        <v>46180.433206018519</v>
      </c>
      <c r="D3" s="125">
        <v>0.13270868055406027</v>
      </c>
      <c r="E3" s="123" t="s">
        <v>1707</v>
      </c>
      <c r="F3" s="123" t="s">
        <v>2712</v>
      </c>
      <c r="G3" s="126" t="s">
        <v>2731</v>
      </c>
    </row>
    <row r="4" spans="1:7" ht="101.5" x14ac:dyDescent="0.35">
      <c r="A4" s="123" t="s">
        <v>2716</v>
      </c>
      <c r="B4" s="123" t="s">
        <v>2717</v>
      </c>
      <c r="C4" s="124">
        <v>46180.530543981484</v>
      </c>
      <c r="D4" s="125">
        <v>3.5370717589103151E-2</v>
      </c>
      <c r="E4" s="123" t="s">
        <v>41</v>
      </c>
      <c r="F4" s="123" t="s">
        <v>42</v>
      </c>
      <c r="G4" s="126" t="s">
        <v>2731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DB2E-A77D-4945-9987-44BA1BD0FDEA}">
  <sheetPr codeName="Sheet10">
    <tabColor rgb="FFFF0000"/>
  </sheetPr>
  <dimension ref="A2:U29"/>
  <sheetViews>
    <sheetView zoomScale="58" zoomScaleNormal="58" workbookViewId="0">
      <pane xSplit="1" topLeftCell="O1" activePane="topRight" state="frozen"/>
      <selection activeCell="Q4" sqref="Q4"/>
      <selection pane="topRight" activeCell="U22" sqref="U22"/>
    </sheetView>
  </sheetViews>
  <sheetFormatPr defaultRowHeight="14.5" x14ac:dyDescent="0.35"/>
  <cols>
    <col min="1" max="1" width="21.1796875" bestFit="1" customWidth="1"/>
    <col min="2" max="2" width="17.1796875" customWidth="1"/>
    <col min="3" max="8" width="17.81640625" customWidth="1"/>
    <col min="9" max="21" width="17.1796875" customWidth="1"/>
  </cols>
  <sheetData>
    <row r="2" spans="1:21" x14ac:dyDescent="0.35">
      <c r="A2" s="2" t="s">
        <v>59</v>
      </c>
      <c r="B2" s="53" t="s">
        <v>2009</v>
      </c>
      <c r="C2" s="87" t="s">
        <v>2034</v>
      </c>
      <c r="D2" s="87" t="s">
        <v>2094</v>
      </c>
      <c r="E2" s="87" t="s">
        <v>2095</v>
      </c>
      <c r="F2" s="87" t="s">
        <v>2139</v>
      </c>
      <c r="G2" s="87" t="s">
        <v>2187</v>
      </c>
      <c r="H2" s="87" t="s">
        <v>2253</v>
      </c>
      <c r="I2" s="87" t="s">
        <v>2339</v>
      </c>
      <c r="J2" s="87" t="s">
        <v>2340</v>
      </c>
      <c r="K2" s="87" t="s">
        <v>2387</v>
      </c>
      <c r="L2" s="87" t="s">
        <v>2422</v>
      </c>
      <c r="M2" s="87" t="s">
        <v>2452</v>
      </c>
      <c r="N2" s="87" t="s">
        <v>2596</v>
      </c>
      <c r="O2" s="87" t="s">
        <v>2597</v>
      </c>
      <c r="P2" s="87" t="s">
        <v>2598</v>
      </c>
      <c r="Q2" s="87" t="s">
        <v>2661</v>
      </c>
      <c r="R2" s="87" t="s">
        <v>2662</v>
      </c>
      <c r="S2" s="87" t="s">
        <v>2688</v>
      </c>
      <c r="T2" s="87" t="s">
        <v>2735</v>
      </c>
      <c r="U2" s="87" t="s">
        <v>2736</v>
      </c>
    </row>
    <row r="3" spans="1:21" x14ac:dyDescent="0.35">
      <c r="A3" s="3" t="s">
        <v>60</v>
      </c>
      <c r="B3" s="4">
        <f>SUM('cell downs 01062026 8h16'!S:S,'cell downs 01062026 8h16'!Z:Z)</f>
        <v>96</v>
      </c>
      <c r="C3" s="4">
        <f>SUM('cell downs 01062026 13h'!S:S,'cell downs 01062026 13h'!Z:Z)</f>
        <v>84</v>
      </c>
      <c r="D3" s="4">
        <f>SUM('cell downs 01062026 17h03'!S:S,'cell downs 01062026 17h03'!Z:Z)</f>
        <v>80</v>
      </c>
      <c r="E3" s="4">
        <f>SUM('cell downs 02062026 8h14'!S:S,'cell downs 02062026 8h14'!Z:Z)</f>
        <v>80</v>
      </c>
      <c r="F3" s="4">
        <f>SUM('cell downs 02062026 13h25'!S:S,'cell downs 02062026 13h25'!Z:Z)</f>
        <v>111</v>
      </c>
      <c r="G3" s="4">
        <f>SUM('cell downs 02062026 17h07'!S:S,'cell downs 02062026 17h07'!Z:Z)</f>
        <v>151</v>
      </c>
      <c r="H3" s="4">
        <f>SUM('cell downs 03062026 8h20'!S:S,'cell downs 03062026 8h20'!Z:Z)</f>
        <v>117</v>
      </c>
      <c r="I3" s="4">
        <f>SUM('cell downs 03062026 13h'!S:S,'cell downs 03062026 13h'!Z:Z)</f>
        <v>149</v>
      </c>
      <c r="J3" s="4">
        <f>SUM('cell downs 03062026 16h27'!S:S,'cell downs 03062026 16h27'!Z:Z)</f>
        <v>132</v>
      </c>
      <c r="K3" s="4">
        <f>SUM('cell downs 04062026 8h37'!S:S,'cell downs 04062026 8h37'!Z:Z)</f>
        <v>134</v>
      </c>
      <c r="L3" s="4">
        <f>SUM('cell downs 04062026 12h46'!S:S,'cell downs 04062026 12h46'!Z:Z)</f>
        <v>131</v>
      </c>
      <c r="M3" s="4">
        <f>SUM('cell downs 04062026 17h04'!S:S,'cell downs 04062026 17h04'!Z:Z)</f>
        <v>134</v>
      </c>
      <c r="N3" s="4">
        <f>SUM('cell downs 05062026 8h40'!S:S,'cell downs 05062026 8h40'!Z:Z)</f>
        <v>124</v>
      </c>
      <c r="O3" s="4">
        <f>SUM('cell downs 05062026 13h02'!S:S,'cell downs 05062026 13h02'!Z:Z)</f>
        <v>147</v>
      </c>
      <c r="P3" s="4">
        <f>SUM('cell downs 05062026 17h38'!S:S,'cell downs 05062026 17h38'!Z:Z)</f>
        <v>127</v>
      </c>
      <c r="Q3" s="4">
        <f>SUM('cell downs 06062026 8h45'!S:S,'cell downs 06062026 8h45'!Z:Z)</f>
        <v>119</v>
      </c>
      <c r="R3" s="4">
        <f>SUM('cell downs 06062026 13h15'!S:S,'cell downs 06062026 13h15'!Z:Z)</f>
        <v>105</v>
      </c>
      <c r="S3" s="4">
        <f>SUM('cell downs 06062026 16h35'!S:S,'cell downs 06062026 16h35'!Z:Z)</f>
        <v>131</v>
      </c>
      <c r="T3" s="4">
        <f>SUM('cell downs 07062026 9h35'!S:S,'cell downs 07062026 9h35'!Z:Z)</f>
        <v>111</v>
      </c>
      <c r="U3" s="4">
        <f>SUM('cell downs 07062026 13h27'!S:S,'cell downs 07062026 13h27'!Z:Z)</f>
        <v>130</v>
      </c>
    </row>
    <row r="4" spans="1:21" x14ac:dyDescent="0.35">
      <c r="A4" s="54" t="s">
        <v>61</v>
      </c>
      <c r="B4" s="52">
        <f>SUMIF('cell downs 01062026 8h16'!AB:AB,'cell downs 01062026 8h16'!AB2,'cell downs 01062026 8h16'!Z:Z)</f>
        <v>53</v>
      </c>
      <c r="C4" s="52">
        <f>SUMIF('cell downs 01062026 13h'!AB:AB,'cell downs 01062026 13h'!AB41,'cell downs 01062026 13h'!Z:Z)</f>
        <v>77</v>
      </c>
      <c r="D4" s="52">
        <f>SUMIF('cell downs 01062026 17h03'!AB:AB,'cell downs 01062026 17h03'!AB2,'cell downs 01062026 17h03'!Z:Z)</f>
        <v>65</v>
      </c>
      <c r="E4" s="52">
        <f>SUMIF('cell downs 02062026 8h14'!AB:AB,'cell downs 02062026 8h14'!AB2,'cell downs 02062026 8h14'!Z:Z)</f>
        <v>49</v>
      </c>
      <c r="F4" s="52">
        <f>SUMIF('cell downs 02062026 13h25'!AB:AB,'cell downs 02062026 13h25'!AB2,'cell downs 02062026 13h25'!Z:Z)</f>
        <v>63</v>
      </c>
      <c r="G4" s="52">
        <f>SUMIF('cell downs 02062026 17h07'!AB:AB,'cell downs 02062026 17h07'!AB2,'cell downs 02062026 17h07'!Z:Z)</f>
        <v>111</v>
      </c>
      <c r="H4" s="52">
        <f>SUMIF('cell downs 03062026 8h20'!AB:AB,'cell downs 03062026 8h20'!AB3,'cell downs 03062026 8h20'!Z:Z)</f>
        <v>98</v>
      </c>
      <c r="I4" s="52">
        <f>SUMIF('cell downs 03062026 13h'!AB:AB,'cell downs 03062026 13h'!AB2,'cell downs 03062026 13h'!Z:Z)</f>
        <v>110</v>
      </c>
      <c r="J4" s="52">
        <f>SUMIF('cell downs 03062026 16h27'!AB:AB,'cell downs 03062026 16h27'!AB2,'cell downs 03062026 16h27'!Z:Z)</f>
        <v>108</v>
      </c>
      <c r="K4" s="52">
        <f>SUMIF('cell downs 04062026 8h37'!AB:AB,'cell downs 04062026 8h37'!AB2,'cell downs 04062026 8h37'!Z:Z)</f>
        <v>126</v>
      </c>
      <c r="L4" s="52">
        <f>SUMIF('cell downs 04062026 12h46'!AB:AB,'cell downs 04062026 12h46'!AB2,'cell downs 04062026 12h46'!Z:Z)</f>
        <v>127</v>
      </c>
      <c r="M4" s="52">
        <f>SUMIF('cell downs 04062026 17h04'!AB:AB,'cell downs 04062026 17h04'!AB2,'cell downs 04062026 17h04'!Z:Z)</f>
        <v>126</v>
      </c>
      <c r="N4" s="52">
        <f>SUMIF('cell downs 05062026 8h40'!AB:AB,'cell downs 05062026 8h40'!AB2,'cell downs 05062026 8h40'!Z:Z)</f>
        <v>110</v>
      </c>
      <c r="O4" s="52">
        <f>SUMIF('cell downs 05062026 13h02'!AB:AB,'cell downs 05062026 13h02'!AB2,'cell downs 05062026 13h02'!Z:Z)</f>
        <v>115</v>
      </c>
      <c r="P4" s="52">
        <f>SUMIF('cell downs 05062026 17h38'!AB:AB,'cell downs 05062026 17h38'!#REF!,'cell downs 05062026 17h38'!Z:Z)</f>
        <v>0</v>
      </c>
      <c r="Q4" s="52">
        <f>SUMIF('cell downs 06062026 8h45'!AB:AB,'cell downs 06062026 8h45'!AB2,'cell downs 06062026 8h45'!Z:Z)</f>
        <v>116</v>
      </c>
      <c r="R4" s="52">
        <f>SUMIF('cell downs 06062026 13h15'!AB:AB,'cell downs 06062026 13h15'!AB3,'cell downs 06062026 13h15'!Z:Z)</f>
        <v>97</v>
      </c>
      <c r="S4" s="52">
        <f>SUMIF('cell downs 06062026 16h35'!AB:AB,'cell downs 06062026 16h35'!AB2,'cell downs 06062026 16h35'!Z:Z)</f>
        <v>100</v>
      </c>
      <c r="T4" s="52">
        <f>SUMIF('cell downs 07062026 9h35'!AB:AB,'cell downs 07062026 9h35'!AB2,'cell downs 07062026 9h35'!Z:Z)</f>
        <v>106</v>
      </c>
      <c r="U4" s="52">
        <f>SUMIF('cell downs 07062026 13h27'!AB:AB,'cell downs 07062026 13h27'!AB2,'cell downs 07062026 13h27'!Z:Z)</f>
        <v>106</v>
      </c>
    </row>
    <row r="5" spans="1:21" x14ac:dyDescent="0.35">
      <c r="A5" s="54" t="s">
        <v>62</v>
      </c>
      <c r="B5" s="52">
        <f>SUMIF('cell downs 01062026 8h16'!AB:AB,'cell downs 01062026 8h16'!AB8,'cell downs 01062026 8h16'!Z:Z)</f>
        <v>43</v>
      </c>
      <c r="C5" s="52">
        <f>SUMIF('cell downs 01062026 13h'!AB:AB,'cell downs 01062026 13h'!AB42,'cell downs 01062026 13h'!Z:Z)</f>
        <v>77</v>
      </c>
      <c r="D5" s="52">
        <f>SUMIF('cell downs 01062026 17h03'!AB:AB,'cell downs 01062026 17h03'!AB42,'cell downs 01062026 17h03'!Z:Z)</f>
        <v>15</v>
      </c>
      <c r="E5" s="52">
        <f>SUMIF('cell downs 02062026 8h14'!AB:AB,'cell downs 02062026 8h14'!#REF!,'cell downs 02062026 8h14'!Z:Z)</f>
        <v>0</v>
      </c>
      <c r="F5" s="52">
        <f>SUMIF('cell downs 02062026 13h25'!AB:AB,'cell downs 02062026 13h25'!AB17,'cell downs 02062026 13h25'!Z:Z)</f>
        <v>48</v>
      </c>
      <c r="G5" s="52">
        <f>SUMIF('cell downs 02062026 17h07'!AB:AB,'cell downs 02062026 17h07'!AB35,'cell downs 02062026 17h07'!Z:Z)</f>
        <v>40</v>
      </c>
      <c r="H5" s="52">
        <f>SUMIF('cell downs 03062026 8h20'!AB:AB,'cell downs 03062026 8h20'!AB2,'cell downs 03062026 8h20'!Z:Z)</f>
        <v>19</v>
      </c>
      <c r="I5" s="52">
        <f>SUMIF('cell downs 03062026 13h'!AB:AB,'cell downs 03062026 13h'!AB57,'cell downs 03062026 13h'!Z:Z)</f>
        <v>39</v>
      </c>
      <c r="J5" s="52">
        <f>SUMIF('cell downs 03062026 16h27'!AB:AB,'cell downs 03062026 16h27'!AB59,'cell downs 03062026 16h27'!Z:Z)</f>
        <v>24</v>
      </c>
      <c r="K5" s="52">
        <f>SUMIF('cell downs 04062026 8h37'!AB:AB,'cell downs 04062026 8h37'!AB14,'cell downs 04062026 8h37'!Z:Z)</f>
        <v>8</v>
      </c>
      <c r="L5" s="52">
        <f>SUMIF('cell downs 04062026 12h46'!AB:AB,'cell downs 04062026 12h46'!AB74,'cell downs 04062026 12h46'!Z:Z)</f>
        <v>4</v>
      </c>
      <c r="M5" s="52">
        <f>SUMIF('cell downs 04062026 17h04'!AB:AB,'cell downs 04062026 17h04'!AB65,'cell downs 04062026 17h04'!Z:Z)</f>
        <v>8</v>
      </c>
      <c r="N5" s="52">
        <f>SUMIF('cell downs 05062026 8h40'!AB:AB,'cell downs 05062026 8h40'!AB61,'cell downs 05062026 8h40'!Z:Z)</f>
        <v>14</v>
      </c>
      <c r="O5" s="52">
        <f>SUMIF('cell downs 05062026 13h02'!AB:AB,'cell downs 05062026 13h02'!AB56,'cell downs 05062026 13h02'!Z:Z)</f>
        <v>32</v>
      </c>
      <c r="P5" s="52">
        <f>SUMIF('cell downs 05062026 17h38'!AB:AB,'cell downs 05062026 17h38'!AB53,'cell downs 05062026 17h38'!Z:Z)</f>
        <v>27</v>
      </c>
      <c r="Q5" s="52">
        <f>SUMIF('cell downs 06062026 8h45'!AB:AB,'cell downs 06062026 8h45'!AB43,'cell downs 06062026 8h45'!Z:Z)</f>
        <v>3</v>
      </c>
      <c r="R5" s="52">
        <f>SUMIF('cell downs 06062026 13h15'!AB:AB,'cell downs 06062026 13h15'!AB2,'cell downs 06062026 13h15'!Z:Z)</f>
        <v>8</v>
      </c>
      <c r="S5" s="52">
        <f>SUMIF('cell downs 06062026 16h35'!AB:AB,'cell downs 06062026 16h35'!AB39,'cell downs 06062026 16h35'!Z:Z)</f>
        <v>31</v>
      </c>
      <c r="T5" s="52">
        <f>SUMIF('cell downs 07062026 9h35'!AB:AB,'cell downs 07062026 9h35'!AB27,'cell downs 07062026 9h35'!Z:Z)</f>
        <v>5</v>
      </c>
      <c r="U5" s="52">
        <f>SUMIF('cell downs 07062026 13h27'!AB:AB,'cell downs 07062026 13h27'!AB63,'cell downs 07062026 13h27'!Z:Z)</f>
        <v>24</v>
      </c>
    </row>
    <row r="6" spans="1:21" x14ac:dyDescent="0.35">
      <c r="A6" s="5" t="s">
        <v>63</v>
      </c>
      <c r="B6" s="64">
        <f>SUMIF('cell downs 01062026 8h16'!AA:AA,'cell downs 01062026 8h16'!AA18,'cell downs 01062026 8h16'!Z:Z)</f>
        <v>20</v>
      </c>
      <c r="C6" s="64">
        <f>SUMIF('cell downs 01062026 13h'!AA:AA,'cell downs 01062026 13h'!AA2,'cell downs 01062026 13h'!Z:Z)</f>
        <v>74</v>
      </c>
      <c r="D6" s="64">
        <f>SUMIF('cell downs 01062026 17h03'!AA:AA,'cell downs 01062026 17h03'!AA15,'cell downs 01062026 17h03'!Z:Z)</f>
        <v>31</v>
      </c>
      <c r="E6" s="64">
        <f>SUMIF('cell downs 02062026 8h14'!AA:AA,'cell downs 02062026 8h14'!AA14,'cell downs 02062026 8h14'!Z:Z)</f>
        <v>17</v>
      </c>
      <c r="F6" s="64">
        <f>SUMIF('cell downs 02062026 13h25'!AA:AA,'cell downs 02062026 13h25'!AA5,'cell downs 02062026 13h25'!Z:Z)</f>
        <v>15</v>
      </c>
      <c r="G6" s="64">
        <f>SUMIF('cell downs 02062026 17h07'!AA:AA,'cell downs 02062026 17h07'!AA27,'cell downs 02062026 17h07'!Z:Z)</f>
        <v>35</v>
      </c>
      <c r="H6" s="64">
        <f>SUMIF('cell downs 03062026 8h20'!AA:AA,'cell downs 03062026 8h20'!AA10,'cell downs 03062026 8h20'!Z:Z)</f>
        <v>22</v>
      </c>
      <c r="I6" s="64">
        <f>SUMIF('cell downs 03062026 13h'!AA:AA,'cell downs 03062026 13h'!AA53,'cell downs 03062026 13h'!Z:Z)</f>
        <v>41</v>
      </c>
      <c r="J6" s="64">
        <f>SUMIF('cell downs 03062026 16h27'!AA:AA,'cell downs 03062026 16h27'!AA37,'cell downs 03062026 16h27'!Z:Z)</f>
        <v>5</v>
      </c>
      <c r="K6" s="64">
        <f>SUMIF('cell downs 04062026 8h37'!AA:AA,'cell downs 04062026 8h37'!AA14,'cell downs 04062026 8h37'!Z:Z)</f>
        <v>4</v>
      </c>
      <c r="L6" s="64">
        <f>SUMIF('cell downs 04062026 12h46'!AA:AA,'cell downs 04062026 12h46'!AA14,'cell downs 04062026 12h46'!Z:Z)</f>
        <v>7</v>
      </c>
      <c r="M6" s="64">
        <f>SUMIF('cell downs 04062026 17h04'!AA:AA,'cell downs 04062026 17h04'!AA52,'cell downs 04062026 17h04'!Z:Z)</f>
        <v>13</v>
      </c>
      <c r="N6" s="64">
        <f>SUMIF('cell downs 05062026 8h40'!AA:AA,'cell downs 05062026 8h40'!AA6,'cell downs 05062026 8h40'!Z:Z)</f>
        <v>10</v>
      </c>
      <c r="O6" s="64">
        <f>SUMIF('cell downs 05062026 13h02'!AA:AA,'cell downs 05062026 13h02'!AA6,'cell downs 05062026 13h02'!Z:Z)</f>
        <v>47</v>
      </c>
      <c r="P6" s="64">
        <f>SUMIF('cell downs 05062026 17h38'!AA:AA,'cell downs 05062026 17h38'!AA2,'cell downs 05062026 17h38'!Z:Z)</f>
        <v>17</v>
      </c>
      <c r="Q6" s="64">
        <f>SUMIF('cell downs 06062026 8h45'!AA:AA,'cell downs 06062026 8h45'!AA22,'cell downs 06062026 8h45'!Z:Z)</f>
        <v>6</v>
      </c>
      <c r="R6" s="64">
        <f>SUMIF('cell downs 06062026 13h15'!AA:AA,'cell downs 06062026 13h15'!AA35,'cell downs 06062026 13h15'!Z:Z)</f>
        <v>5</v>
      </c>
      <c r="S6" s="64">
        <f>SUMIF('cell downs 06062026 16h35'!AA:AA,'cell downs 06062026 16h35'!AA2,'cell downs 06062026 16h35'!Z:Z)</f>
        <v>27</v>
      </c>
      <c r="T6" s="64">
        <f>SUMIF('cell downs 07062026 9h35'!AA:AA,'cell downs 07062026 9h35'!AA28,'cell downs 07062026 9h35'!Z:Z)</f>
        <v>5</v>
      </c>
      <c r="U6" s="64"/>
    </row>
    <row r="7" spans="1:21" ht="16" x14ac:dyDescent="0.4">
      <c r="A7" s="6" t="s">
        <v>64</v>
      </c>
      <c r="B7" s="7">
        <f t="shared" ref="B7:T7" si="0">B6/B3</f>
        <v>0.20833333333333334</v>
      </c>
      <c r="C7" s="7">
        <f t="shared" si="0"/>
        <v>0.88095238095238093</v>
      </c>
      <c r="D7" s="7">
        <f t="shared" si="0"/>
        <v>0.38750000000000001</v>
      </c>
      <c r="E7" s="7">
        <f t="shared" si="0"/>
        <v>0.21249999999999999</v>
      </c>
      <c r="F7" s="7">
        <f t="shared" si="0"/>
        <v>0.13513513513513514</v>
      </c>
      <c r="G7" s="7">
        <f t="shared" si="0"/>
        <v>0.23178807947019867</v>
      </c>
      <c r="H7" s="7">
        <f t="shared" si="0"/>
        <v>0.18803418803418803</v>
      </c>
      <c r="I7" s="7">
        <f t="shared" si="0"/>
        <v>0.27516778523489932</v>
      </c>
      <c r="J7" s="7">
        <f t="shared" si="0"/>
        <v>3.787878787878788E-2</v>
      </c>
      <c r="K7" s="7">
        <f t="shared" si="0"/>
        <v>2.9850746268656716E-2</v>
      </c>
      <c r="L7" s="7">
        <f t="shared" si="0"/>
        <v>5.3435114503816793E-2</v>
      </c>
      <c r="M7" s="7">
        <f t="shared" si="0"/>
        <v>9.7014925373134331E-2</v>
      </c>
      <c r="N7" s="7">
        <f t="shared" si="0"/>
        <v>8.0645161290322578E-2</v>
      </c>
      <c r="O7" s="7">
        <f t="shared" si="0"/>
        <v>0.31972789115646261</v>
      </c>
      <c r="P7" s="7">
        <f t="shared" si="0"/>
        <v>0.13385826771653545</v>
      </c>
      <c r="Q7" s="7">
        <f t="shared" si="0"/>
        <v>5.0420168067226892E-2</v>
      </c>
      <c r="R7" s="7">
        <f t="shared" si="0"/>
        <v>4.7619047619047616E-2</v>
      </c>
      <c r="S7" s="7">
        <f t="shared" si="0"/>
        <v>0.20610687022900764</v>
      </c>
      <c r="T7" s="7">
        <f t="shared" si="0"/>
        <v>4.5045045045045043E-2</v>
      </c>
      <c r="U7" s="7"/>
    </row>
    <row r="8" spans="1:21" x14ac:dyDescent="0.35">
      <c r="A8" s="8"/>
    </row>
    <row r="9" spans="1:21" x14ac:dyDescent="0.35">
      <c r="A9" s="8"/>
    </row>
    <row r="10" spans="1:21" x14ac:dyDescent="0.35">
      <c r="A10" s="2" t="s">
        <v>65</v>
      </c>
      <c r="B10" s="53" t="s">
        <v>2009</v>
      </c>
      <c r="C10" s="87" t="s">
        <v>2035</v>
      </c>
      <c r="D10" s="87" t="s">
        <v>2094</v>
      </c>
      <c r="E10" s="87" t="s">
        <v>2095</v>
      </c>
      <c r="F10" s="87" t="s">
        <v>2139</v>
      </c>
      <c r="G10" s="87" t="s">
        <v>2187</v>
      </c>
      <c r="H10" s="87" t="s">
        <v>2253</v>
      </c>
      <c r="I10" s="87" t="s">
        <v>2339</v>
      </c>
      <c r="J10" s="87" t="s">
        <v>2340</v>
      </c>
      <c r="K10" s="87" t="s">
        <v>2387</v>
      </c>
      <c r="L10" s="87" t="s">
        <v>2422</v>
      </c>
      <c r="M10" s="87" t="s">
        <v>2452</v>
      </c>
      <c r="N10" s="87" t="s">
        <v>2596</v>
      </c>
      <c r="O10" s="87" t="s">
        <v>2597</v>
      </c>
      <c r="P10" s="87" t="s">
        <v>2598</v>
      </c>
      <c r="Q10" s="87" t="s">
        <v>2661</v>
      </c>
      <c r="R10" s="87" t="s">
        <v>2662</v>
      </c>
      <c r="S10" s="87" t="s">
        <v>2688</v>
      </c>
      <c r="T10" s="87" t="s">
        <v>2735</v>
      </c>
      <c r="U10" s="87" t="s">
        <v>2736</v>
      </c>
    </row>
    <row r="11" spans="1:21" x14ac:dyDescent="0.35">
      <c r="A11" s="9" t="s">
        <v>60</v>
      </c>
      <c r="B11" s="4">
        <f>SUM('cell downs 01062026 8h16'!S:S,'cell downs 01062026 8h16'!Z:Z)</f>
        <v>96</v>
      </c>
      <c r="C11" s="4">
        <f>SUM('cell downs 01062026 13h'!S:S,'cell downs 01062026 13h'!Z:Z)</f>
        <v>84</v>
      </c>
      <c r="D11" s="4">
        <f>SUM('cell downs 01062026 17h03'!S:S,'cell downs 01062026 17h03'!Z:Z)</f>
        <v>80</v>
      </c>
      <c r="E11" s="4">
        <f>SUM('cell downs 02062026 8h14'!S:S,'cell downs 02062026 8h14'!Z:Z)</f>
        <v>80</v>
      </c>
      <c r="F11" s="4">
        <f>SUM('cell downs 02062026 13h25'!S:S,'cell downs 02062026 13h25'!Z:Z)</f>
        <v>111</v>
      </c>
      <c r="G11" s="4">
        <f>SUM('cell downs 02062026 17h07'!S:S,'cell downs 02062026 17h07'!Z:Z)</f>
        <v>151</v>
      </c>
      <c r="H11" s="4">
        <f>SUM('cell downs 03062026 8h20'!S:S,'cell downs 03062026 8h20'!Z:Z)</f>
        <v>117</v>
      </c>
      <c r="I11" s="4">
        <f>SUM('cell downs 03062026 13h'!S:S,'cell downs 03062026 13h'!Z:Z)</f>
        <v>149</v>
      </c>
      <c r="J11" s="4">
        <f>SUM('cell downs 03062026 16h27'!S:S,'cell downs 03062026 16h27'!Z:Z)</f>
        <v>132</v>
      </c>
      <c r="K11" s="4">
        <f>SUM('cell downs 04062026 8h37'!S:S,'cell downs 04062026 8h37'!Z:Z)</f>
        <v>134</v>
      </c>
      <c r="L11" s="4">
        <f>SUM('cell downs 04062026 12h46'!S:S,'cell downs 04062026 12h46'!Z:Z)</f>
        <v>131</v>
      </c>
      <c r="M11" s="4">
        <f>SUM('cell downs 04062026 17h04'!S:S,'cell downs 04062026 17h04'!Z:Z)</f>
        <v>134</v>
      </c>
      <c r="N11" s="4">
        <f>SUM('cell downs 05062026 8h40'!S:S,'cell downs 05062026 8h40'!Z:Z)</f>
        <v>124</v>
      </c>
      <c r="O11" s="4">
        <f>SUM('cell downs 05062026 13h02'!S:S,'cell downs 05062026 13h02'!Z:Z)</f>
        <v>147</v>
      </c>
      <c r="P11" s="4">
        <f>SUM('cell downs 05062026 17h38'!S:S,'cell downs 05062026 17h38'!Z:Z)</f>
        <v>127</v>
      </c>
      <c r="Q11" s="4">
        <f>SUM('cell downs 06062026 8h45'!S:S,'cell downs 06062026 8h45'!Z:Z)</f>
        <v>119</v>
      </c>
      <c r="R11" s="4">
        <f>SUM('cell downs 06062026 13h15'!S:S,'cell downs 06062026 13h15'!Z:Z)</f>
        <v>105</v>
      </c>
      <c r="S11" s="4">
        <f>SUM('cell downs 06062026 16h35'!S:S,'cell downs 06062026 16h35'!Z:Z)</f>
        <v>131</v>
      </c>
      <c r="T11" s="4">
        <f>SUM('cell downs 07062026 9h35'!S:S,'cell downs 07062026 9h35'!Z:Z)</f>
        <v>111</v>
      </c>
      <c r="U11" s="4">
        <f>SUM('cell downs 07062026 13h27'!S:S,'cell downs 07062026 13h27'!Z:Z)</f>
        <v>130</v>
      </c>
    </row>
    <row r="12" spans="1:21" x14ac:dyDescent="0.35">
      <c r="A12" s="51" t="s">
        <v>66</v>
      </c>
      <c r="B12" s="52">
        <f>SUMIF('cell downs 01062026 8h16'!S:S,'cell downs 01062026 8h16'!S6,'cell downs 01062026 8h16'!Z:Z)+SUMIF('cell downs 01062026 8h16'!S:S,'cell downs 01062026 8h16'!S9,'cell downs 01062026 8h16'!Z:Z)+SUMIF('cell downs 01062026 8h16'!S:S,'cell downs 01062026 8h16'!S12,'cell downs 01062026 8h16'!Z:Z)+SUMIF('cell downs 01062026 8h16'!S:S,'cell downs 01062026 8h16'!S13,'cell downs 01062026 8h16'!Z:Z)</f>
        <v>47</v>
      </c>
      <c r="C12" s="52">
        <f>SUMIF('cell downs 01062026 13h'!S:S,'cell downs 01062026 13h'!S2,'cell downs 01062026 13h'!Z:Z)+SUMIF('cell downs 01062026 13h'!S:S,'cell downs 01062026 13h'!S7,'cell downs 01062026 13h'!Z:Z)+SUMIF('cell downs 01062026 13h'!S:S,'cell downs 01062026 13h'!S10,'cell downs 01062026 13h'!Z:Z)+SUMIF('cell downs 01062026 13h'!S:S,'cell downs 01062026 13h'!S13,'cell downs 01062026 13h'!Z:Z)</f>
        <v>46</v>
      </c>
      <c r="D12" s="52">
        <f>SUMIF('cell downs 01062026 17h03'!S:S,'cell downs 01062026 17h03'!S6,'cell downs 01062026 17h03'!Z:Z)+SUMIF('cell downs 01062026 17h03'!S:S,'cell downs 01062026 17h03'!S9,'cell downs 01062026 17h03'!Z:Z)+SUMIF('cell downs 01062026 17h03'!S:S,'cell downs 01062026 17h03'!S12,'cell downs 01062026 17h03'!Z:Z)+SUMIF('cell downs 01062026 17h03'!S:S,'cell downs 01062026 17h03'!S14,'cell downs 01062026 17h03'!Z:Z)</f>
        <v>56</v>
      </c>
      <c r="E12" s="52">
        <f>SUMIF('cell downs 02062026 8h14'!S:S,'cell downs 02062026 8h14'!S2,'cell downs 02062026 8h14'!Z:Z)+SUMIF('cell downs 02062026 8h14'!S:S,'cell downs 02062026 8h14'!S6,'cell downs 02062026 8h14'!Z:Z)+SUMIF('cell downs 02062026 8h14'!S:S,'cell downs 02062026 8h14'!S9,'cell downs 02062026 8h14'!Z:Z)+SUMIF('cell downs 02062026 8h14'!S:S,'cell downs 02062026 8h14'!S12,'cell downs 02062026 8h14'!Z:Z)</f>
        <v>61</v>
      </c>
      <c r="F12" s="52">
        <f>SUMIF('cell downs 02062026 13h25'!S:S,'cell downs 02062026 13h25'!S2,'cell downs 02062026 13h25'!Z:Z)+SUMIF('cell downs 02062026 13h25'!S:S,'cell downs 02062026 13h25'!S6,'cell downs 02062026 13h25'!Z:Z)+SUMIF('cell downs 02062026 13h25'!S:S,'cell downs 02062026 13h25'!S10,'cell downs 02062026 13h25'!Z:Z)+SUMIF('cell downs 02062026 13h25'!S:S,'cell downs 02062026 13h25'!S9,'cell downs 02062026 13h25'!Z:Z)</f>
        <v>98</v>
      </c>
      <c r="G12" s="52">
        <f>SUMIF('cell downs 02062026 17h07'!S:S,'cell downs 02062026 17h07'!S2,'cell downs 02062026 17h07'!Z:Z)+SUMIF('cell downs 02062026 17h07'!S:S,'cell downs 02062026 17h07'!S5,'cell downs 02062026 17h07'!Z:Z)+SUMIF('cell downs 02062026 17h07'!S:S,'cell downs 02062026 17h07'!S8,'cell downs 02062026 17h07'!Z:Z)+SUMIF('cell downs 02062026 17h07'!S:S,'cell downs 02062026 17h07'!S9,'cell downs 02062026 17h07'!Z:Z)</f>
        <v>99</v>
      </c>
      <c r="H12" s="52">
        <f>SUMIF('cell downs 03062026 8h20'!S:S,'cell downs 03062026 8h20'!S3,'cell downs 03062026 8h20'!Z:Z)+SUMIF('cell downs 03062026 8h20'!S:S,'cell downs 03062026 8h20'!S6,'cell downs 03062026 8h20'!Z:Z)+SUMIF('cell downs 03062026 8h20'!S:S,'cell downs 03062026 8h20'!S8,'cell downs 03062026 8h20'!Z:Z)+SUMIF('cell downs 03062026 8h20'!S:S,'cell downs 03062026 8h20'!S74,'cell downs 03062026 8h20'!Z:Z)</f>
        <v>88</v>
      </c>
      <c r="I12" s="52">
        <f>SUMIF('cell downs 03062026 13h'!S:S,'cell downs 03062026 13h'!S3,'cell downs 03062026 13h'!Z:Z)+SUMIF('cell downs 03062026 13h'!S:S,'cell downs 03062026 13h'!S6,'cell downs 03062026 13h'!Z:Z)+SUMIF('cell downs 03062026 13h'!S:S,'cell downs 03062026 13h'!S7,'cell downs 03062026 13h'!Z:Z)+SUMIF('cell downs 03062026 13h'!S:S,'cell downs 03062026 13h'!S63,'cell downs 03062026 13h'!Z:Z)</f>
        <v>111</v>
      </c>
      <c r="J12" s="52">
        <f>SUMIF('cell downs 03062026 16h27'!S:S,'cell downs 03062026 16h27'!S3,'cell downs 03062026 16h27'!Z:Z)+SUMIF('cell downs 03062026 16h27'!S:S,'cell downs 03062026 16h27'!S6,'cell downs 03062026 16h27'!Z:Z)+SUMIF('cell downs 03062026 16h27'!S:S,'cell downs 03062026 16h27'!S19,'cell downs 03062026 16h27'!Z:Z)+SUMIF('cell downs 03062026 16h27'!S:S,'cell downs 03062026 16h27'!S37,'cell downs 03062026 16h27'!Z:Z)</f>
        <v>77</v>
      </c>
      <c r="K12" s="52">
        <f>SUMIF('cell downs 04062026 8h37'!S:S,'cell downs 04062026 8h37'!S3,'cell downs 04062026 8h37'!Z:Z)+SUMIF('cell downs 04062026 8h37'!S:S,'cell downs 04062026 8h37'!S13,'cell downs 04062026 8h37'!Z:Z)+SUMIF('cell downs 04062026 8h37'!S:S,'cell downs 04062026 8h37'!S19,'cell downs 04062026 8h37'!Z:Z)+SUMIF('cell downs 04062026 8h37'!S:S,'cell downs 04062026 8h37'!S79,'cell downs 04062026 8h37'!Z:Z)</f>
        <v>75</v>
      </c>
      <c r="L12" s="52">
        <f>SUMIF('cell downs 04062026 12h46'!S:S,'cell downs 04062026 12h46'!S3,'cell downs 04062026 12h46'!Z:Z)+SUMIF('cell downs 04062026 12h46'!S:S,'cell downs 04062026 12h46'!S13,'cell downs 04062026 12h46'!Z:Z)+SUMIF('cell downs 04062026 12h46'!S:S,'cell downs 04062026 12h46'!S18,'cell downs 04062026 12h46'!Z:Z)+SUMIF('cell downs 04062026 12h46'!S:S,'cell downs 04062026 12h46'!S70,'cell downs 04062026 12h46'!Z:Z)</f>
        <v>82</v>
      </c>
      <c r="M12" s="52">
        <f>SUMIF('cell downs 04062026 17h04'!S:S,'cell downs 04062026 17h04'!S3,'cell downs 04062026 17h04'!Z:Z)+SUMIF('cell downs 04062026 17h04'!S:S,'cell downs 04062026 17h04'!S6,'cell downs 04062026 17h04'!Z:Z)+SUMIF('cell downs 04062026 17h04'!S:S,'cell downs 04062026 17h04'!S13,'cell downs 04062026 17h04'!Z:Z)+SUMIF('cell downs 04062026 17h04'!S:S,'cell downs 04062026 17h04'!S61,'cell downs 04062026 17h04'!Z:Z)</f>
        <v>85</v>
      </c>
      <c r="N12" s="52">
        <f>SUMIF('cell downs 05062026 8h40'!S:S,'cell downs 05062026 8h40'!S3,'cell downs 05062026 8h40'!Z:Z)+SUMIF('cell downs 05062026 8h40'!S:S,'cell downs 05062026 8h40'!S6,'cell downs 05062026 8h40'!Z:Z)+SUMIF('cell downs 05062026 8h40'!S:S,'cell downs 05062026 8h40'!S13,'cell downs 05062026 8h40'!Z:Z)+SUMIF('cell downs 05062026 8h40'!S:S,'cell downs 05062026 8h40'!S54,'cell downs 05062026 8h40'!Z:Z)</f>
        <v>76</v>
      </c>
      <c r="O12" s="52">
        <f>SUMIF('cell downs 05062026 13h02'!S:S,'cell downs 05062026 13h02'!S3,'cell downs 05062026 13h02'!Z:Z)+SUMIF('cell downs 05062026 13h02'!S:S,'cell downs 05062026 13h02'!S6,'cell downs 05062026 13h02'!Z:Z)+SUMIF('cell downs 05062026 13h02'!S:S,'cell downs 05062026 13h02'!S13,'cell downs 05062026 13h02'!Z:Z)+SUMIF('cell downs 05062026 13h02'!S:S,'cell downs 05062026 13h02'!S42,'cell downs 05062026 13h02'!Z:Z)</f>
        <v>102</v>
      </c>
      <c r="P12" s="52">
        <f>SUMIF('cell downs 05062026 17h38'!S:S,'cell downs 05062026 17h38'!S3,'cell downs 05062026 17h38'!Z:Z)+SUMIF('cell downs 05062026 17h38'!S:S,'cell downs 05062026 17h38'!S12,'cell downs 05062026 17h38'!Z:Z)+SUMIF('cell downs 05062026 17h38'!S:S,'cell downs 05062026 17h38'!S35,'cell downs 05062026 17h38'!Z:Z)+SUMIF('cell downs 05062026 17h38'!S:S,'cell downs 05062026 17h38'!S36,'cell downs 05062026 17h38'!Z:Z)</f>
        <v>76</v>
      </c>
      <c r="Q12" s="52">
        <f>SUMIF('cell downs 06062026 8h45'!S:S,'cell downs 06062026 8h45'!S2,'cell downs 06062026 8h45'!Z:Z)+SUMIF('cell downs 06062026 8h45'!S:S,'cell downs 06062026 8h45'!S11,'cell downs 06062026 8h45'!Z:Z)+SUMIF('cell downs 06062026 8h45'!S:S,'cell downs 06062026 8h45'!S23,'cell downs 06062026 8h45'!Z:Z)+SUMIF('cell downs 06062026 8h45'!S:S,'cell downs 06062026 8h45'!S38,'cell downs 06062026 8h45'!Z:Z)</f>
        <v>93</v>
      </c>
      <c r="R12" s="52">
        <f>SUMIF('cell downs 06062026 13h15'!S:S,'cell downs 06062026 13h15'!S3,'cell downs 06062026 13h15'!Z:Z)+SUMIF('cell downs 06062026 13h15'!S:S,'cell downs 06062026 13h15'!S12,'cell downs 06062026 13h15'!Z:Z)+SUMIF('cell downs 06062026 13h15'!S:S,'cell downs 06062026 13h15'!S22,'cell downs 06062026 13h15'!Z:Z)+SUMIF('cell downs 06062026 13h15'!S:S,'cell downs 06062026 13h15'!S35,'cell downs 06062026 13h15'!Z:Z)</f>
        <v>77</v>
      </c>
      <c r="S12" s="52">
        <f>SUMIF('cell downs 06062026 16h35'!S:S,'cell downs 06062026 16h35'!S3,'cell downs 06062026 16h35'!Z:Z)+SUMIF('cell downs 06062026 16h35'!S:S,'cell downs 06062026 16h35'!S12,'cell downs 06062026 16h35'!Z:Z)+SUMIF('cell downs 06062026 16h35'!S:S,'cell downs 06062026 16h35'!S22,'cell downs 06062026 16h35'!Z:Z)+SUMIF('cell downs 06062026 16h35'!S:S,'cell downs 06062026 16h35'!S36,'cell downs 06062026 16h35'!Z:Z)</f>
        <v>92</v>
      </c>
      <c r="T12" s="52">
        <f>SUMIF('cell downs 07062026 9h35'!S:S,'cell downs 07062026 9h35'!S2,'cell downs 07062026 9h35'!Z:Z)+SUMIF('cell downs 07062026 9h35'!S:S,'cell downs 07062026 9h35'!S10,'cell downs 07062026 9h35'!Z:Z)+SUMIF('cell downs 07062026 9h35'!S:S,'cell downs 07062026 9h35'!S24,'cell downs 07062026 9h35'!Z:Z)+SUMIF('cell downs 07062026 9h35'!S:S,'cell downs 07062026 9h35'!S27,'cell downs 07062026 9h35'!Z:Z)</f>
        <v>85</v>
      </c>
      <c r="U12" s="52">
        <f>SUMIF('cell downs 07062026 13h27'!S:S,'cell downs 07062026 13h27'!S2,'cell downs 07062026 13h27'!Z:Z)+SUMIF('cell downs 07062026 13h27'!S:S,'cell downs 07062026 13h27'!S9,'cell downs 07062026 13h27'!Z:Z)+SUMIF('cell downs 07062026 13h27'!S:S,'cell downs 07062026 13h27'!S23,'cell downs 07062026 13h27'!Z:Z)+SUMIF('cell downs 07062026 13h27'!S:S,'cell downs 07062026 13h27'!S27,'cell downs 07062026 13h27'!Z:Z)</f>
        <v>80</v>
      </c>
    </row>
    <row r="13" spans="1:21" x14ac:dyDescent="0.35">
      <c r="A13" s="51" t="s">
        <v>67</v>
      </c>
      <c r="B13" s="52">
        <f>SUMIF('cell downs 01062026 8h16'!S:S,'cell downs 01062026 8h16'!S2,'cell downs 01062026 8h16'!Z:Z)+SUMIF('cell downs 01062026 8h16'!S:S,'cell downs 01062026 8h16'!S18,'cell downs 01062026 8h16'!Z:Z)</f>
        <v>27</v>
      </c>
      <c r="C13" s="52">
        <f>SUMIF('cell downs 01062026 13h'!S:S,'cell downs 01062026 13h'!S3,'cell downs 01062026 13h'!Z:Z)+SUMIF('cell downs 01062026 13h'!S:S,'cell downs 01062026 13h'!S34,'cell downs 01062026 13h'!Z:Z)</f>
        <v>68</v>
      </c>
      <c r="D13" s="52">
        <f>SUMIF('cell downs 01062026 17h03'!S:S,'cell downs 01062026 17h03'!S2,'cell downs 01062026 17h03'!Z:Z)+SUMIF('cell downs 01062026 17h03'!S:S,'cell downs 01062026 17h03'!S37,'cell downs 01062026 17h03'!Z:Z)</f>
        <v>11</v>
      </c>
      <c r="E13" s="52">
        <f>SUMIF('cell downs 02062026 8h14'!S:S,'cell downs 02062026 8h14'!S20,'cell downs 02062026 8h14'!Z:Z)</f>
        <v>9</v>
      </c>
      <c r="F13" s="52"/>
      <c r="G13" s="52">
        <f>SUMIF('cell downs 02062026 17h07'!S:S,'cell downs 02062026 17h07'!S34,'cell downs 02062026 17h07'!Z:Z)</f>
        <v>16</v>
      </c>
      <c r="H13" s="52">
        <f>SUMIF('cell downs 03062026 8h20'!S:S,'cell downs 03062026 8h20'!S32,'cell downs 03062026 8h20'!Z:Z)</f>
        <v>45</v>
      </c>
      <c r="I13" s="52">
        <f>SUMIF('cell downs 03062026 13h'!S:S,'cell downs 03062026 13h'!S70,'cell downs 03062026 13h'!Z:Z)</f>
        <v>11</v>
      </c>
      <c r="J13" s="52">
        <f>SUMIF('cell downs 03062026 16h27'!S:S,'cell downs 03062026 16h27'!S48,'cell downs 03062026 16h27'!Z:Z)</f>
        <v>19</v>
      </c>
      <c r="K13" s="52">
        <f>SUMIF('cell downs 04062026 8h37'!S:S,'cell downs 04062026 8h37'!S50,'cell downs 04062026 8h37'!Z:Z)</f>
        <v>16</v>
      </c>
      <c r="L13" s="52">
        <f>SUMIF('cell downs 04062026 12h46'!S:S,'cell downs 04062026 12h46'!S64,'cell downs 04062026 12h46'!Z:Z)</f>
        <v>7</v>
      </c>
      <c r="M13" s="52">
        <f>SUMIF('cell downs 04062026 17h04'!S:S,'cell downs 04062026 17h04'!S53,'cell downs 04062026 17h04'!Z:Z)</f>
        <v>8</v>
      </c>
      <c r="N13" s="52">
        <f>SUMIF('cell downs 05062026 8h40'!S:S,'cell downs 05062026 8h40'!S70,'cell downs 05062026 8h40'!Z:Z)</f>
        <v>5</v>
      </c>
      <c r="O13" s="52">
        <f>SUMIF('cell downs 05062026 13h02'!S:S,'cell downs 05062026 13h02'!S75,'cell downs 05062026 13h02'!Z:Z)</f>
        <v>2</v>
      </c>
      <c r="P13" s="52">
        <f>SUMIF('cell downs 05062026 17h38'!S:S,'cell downs 05062026 17h38'!S51,'cell downs 05062026 17h38'!Z:Z)</f>
        <v>23</v>
      </c>
      <c r="Q13" s="52">
        <f>SUMIF('cell downs 06062026 8h45'!S:S,'cell downs 06062026 8h45'!S53,'cell downs 06062026 8h45'!Z:Z)</f>
        <v>2</v>
      </c>
      <c r="R13" s="52">
        <f>SUMIF('cell downs 06062026 13h15'!S:S,'cell downs 06062026 13h15'!S61,'cell downs 06062026 13h15'!Z:Z)</f>
        <v>3</v>
      </c>
      <c r="S13" s="52">
        <f>SUMIF('cell downs 06062026 16h35'!S:S,'cell downs 06062026 16h35'!S40,'cell downs 06062026 16h35'!Z:Z)</f>
        <v>14</v>
      </c>
      <c r="T13" s="52">
        <f>SUMIF('cell downs 07062026 9h35'!S:S,'cell downs 07062026 9h35'!S54,'cell downs 07062026 9h35'!Z:Z)</f>
        <v>2</v>
      </c>
      <c r="U13" s="52">
        <f>SUMIF('cell downs 07062026 13h27'!S:S,'cell downs 07062026 13h27'!S60,'cell downs 07062026 13h27'!Z:Z)</f>
        <v>22</v>
      </c>
    </row>
    <row r="14" spans="1:21" x14ac:dyDescent="0.35">
      <c r="A14" s="51" t="s">
        <v>68</v>
      </c>
      <c r="B14" s="52">
        <f>SUMIF('cell downs 01062026 8h16'!S:S,'cell downs 01062026 8h16'!S7,'cell downs 01062026 8h16'!Z:Z)</f>
        <v>17</v>
      </c>
      <c r="C14" s="52">
        <f>SUMIF('cell downs 01062026 13h'!S:S,'cell downs 01062026 13h'!S8,'cell downs 01062026 13h'!Z:Z)</f>
        <v>11</v>
      </c>
      <c r="D14" s="52">
        <f>SUMIF('cell downs 01062026 17h03'!S:S,'cell downs 01062026 17h03'!S7,'cell downs 01062026 17h03'!Z:Z)</f>
        <v>8</v>
      </c>
      <c r="E14" s="52">
        <f>SUMIF('cell downs 02062026 8h14'!S:S,'cell downs 02062026 8h14'!S7,'cell downs 02062026 8h14'!Z:Z)</f>
        <v>8</v>
      </c>
      <c r="F14" s="52">
        <f>SUMIF('cell downs 02062026 13h25'!S:S,'cell downs 02062026 13h25'!S24,'cell downs 02062026 13h25'!Z:Z)</f>
        <v>8</v>
      </c>
      <c r="G14" s="52">
        <f>SUMIF('cell downs 02062026 17h07'!S:S,'cell downs 02062026 17h07'!S23,'cell downs 02062026 17h07'!Z:Z)</f>
        <v>9</v>
      </c>
      <c r="H14" s="52">
        <f>SUMIF('cell downs 03062026 8h20'!S:S,'cell downs 03062026 8h20'!S21,'cell downs 03062026 8h20'!Z:Z)</f>
        <v>10</v>
      </c>
      <c r="I14" s="52">
        <f>SUMIF('cell downs 03062026 13h'!S:S,'cell downs 03062026 13h'!S19,'cell downs 03062026 13h'!Z:Z)</f>
        <v>10</v>
      </c>
      <c r="J14" s="52">
        <f>SUMIF('cell downs 03062026 16h27'!S:S,'cell downs 03062026 16h27'!S18,'cell downs 03062026 16h27'!Z:Z)</f>
        <v>19</v>
      </c>
      <c r="K14" s="52">
        <f>SUMIF('cell downs 04062026 8h37'!S:S,'cell downs 04062026 8h37'!S17,'cell downs 04062026 8h37'!Z:Z)</f>
        <v>18</v>
      </c>
      <c r="L14" s="52">
        <f>SUMIF('cell downs 04062026 12h46'!S:S,'cell downs 04062026 12h46'!S16,'cell downs 04062026 12h46'!Z:Z)</f>
        <v>17</v>
      </c>
      <c r="M14" s="52">
        <f>SUMIF('cell downs 04062026 17h04'!S:S,'cell downs 04062026 17h04'!S15,'cell downs 04062026 17h04'!Z:Z)</f>
        <v>18</v>
      </c>
      <c r="N14" s="52">
        <f>SUMIF('cell downs 05062026 8h40'!S:S,'cell downs 05062026 8h40'!S50,'cell downs 05062026 8h40'!Z:Z)</f>
        <v>18</v>
      </c>
      <c r="O14" s="52">
        <f>SUMIF('cell downs 05062026 13h02'!S:S,'cell downs 05062026 13h02'!S72,'cell downs 05062026 13h02'!Z:Z)</f>
        <v>18</v>
      </c>
      <c r="P14" s="52">
        <f>SUMIF('cell downs 05062026 17h38'!S:S,'cell downs 05062026 17h38'!S31,'cell downs 05062026 17h38'!Z:Z)</f>
        <v>1</v>
      </c>
      <c r="Q14" s="52">
        <f>SUMIF('cell downs 06062026 8h45'!S:S,'cell downs 06062026 8h45'!S24,'cell downs 06062026 8h45'!Z:Z)</f>
        <v>10</v>
      </c>
      <c r="R14" s="52">
        <f>SUMIF('cell downs 06062026 13h15'!S:S,'cell downs 06062026 13h15'!S48,'cell downs 06062026 13h15'!Z:Z)</f>
        <v>10</v>
      </c>
      <c r="S14" s="52">
        <f>SUMIF('cell downs 06062026 16h35'!S:S,'cell downs 06062026 16h35'!S41,'cell downs 06062026 16h35'!Z:Z)</f>
        <v>10</v>
      </c>
      <c r="T14" s="52">
        <f>SUMIF('cell downs 07062026 9h35'!S:S,'cell downs 07062026 9h35'!S36,'cell downs 07062026 9h35'!Z:Z)</f>
        <v>10</v>
      </c>
      <c r="U14" s="52">
        <f>SUMIF('cell downs 07062026 13h27'!S:S,'cell downs 07062026 13h27'!S19,'cell downs 07062026 13h27'!Z:Z)</f>
        <v>14</v>
      </c>
    </row>
    <row r="15" spans="1:21" ht="26.5" x14ac:dyDescent="0.35">
      <c r="A15" s="51" t="s">
        <v>69</v>
      </c>
      <c r="B15" s="52">
        <f>SUMIF('cell downs 01062026 8h16'!S:S,'cell downs 01062026 8h16'!S5,'cell downs 01062026 8h16'!Z:Z)+SUMIF('cell downs 01062026 8h16'!S:S,'cell downs 01062026 8h16'!S17,'cell downs 01062026 8h16'!Z:Z)</f>
        <v>5</v>
      </c>
      <c r="C15" s="52">
        <f>SUMIF('cell downs 01062026 13h'!S:S,'cell downs 01062026 13h'!S6,'cell downs 01062026 13h'!Z:Z)+SUMIF('cell downs 01062026 13h'!S:S,'cell downs 01062026 13h'!S18,'cell downs 01062026 13h'!Z:Z)</f>
        <v>24</v>
      </c>
      <c r="D15" s="52">
        <f>SUMIF('cell downs 01062026 17h03'!S:S,'cell downs 01062026 17h03'!S5,'cell downs 01062026 17h03'!Z:Z)+SUMIF('cell downs 01062026 17h03'!S:S,'cell downs 01062026 17h03'!S16,'cell downs 01062026 17h03'!Z:Z)</f>
        <v>5</v>
      </c>
      <c r="E15" s="52">
        <f>SUMIF('cell downs 02062026 8h14'!S:S,'cell downs 02062026 8h14'!S5,'cell downs 02062026 8h14'!Z:Z)+SUMIF('cell downs 02062026 8h14'!S:S,'cell downs 02062026 8h14'!S29,'cell downs 02062026 8h14'!Z:Z)</f>
        <v>2</v>
      </c>
      <c r="F15" s="52">
        <f>SUMIF('cell downs 02062026 13h25'!S:S,'cell downs 02062026 13h25'!S5,'cell downs 02062026 13h25'!Z:Z)+SUMIF('cell downs 02062026 13h25'!S:S,'cell downs 02062026 13h25'!S30,'cell downs 02062026 13h25'!Z:Z)</f>
        <v>5</v>
      </c>
      <c r="G15" s="52">
        <f>SUMIF('cell downs 02062026 17h07'!S:S,'cell downs 02062026 17h07'!S29,'cell downs 02062026 17h07'!Z:Z)</f>
        <v>27</v>
      </c>
      <c r="H15" s="52">
        <f>SUMIF('cell downs 03062026 8h20'!S:S,'cell downs 03062026 8h20'!S2,'cell downs 03062026 8h20'!Z:Z)+SUMIF('cell downs 03062026 8h20'!S:S,'cell downs 03062026 8h20'!S25,'cell downs 03062026 8h20'!Z:Z)</f>
        <v>17</v>
      </c>
      <c r="I15" s="52">
        <f>SUMIF('cell downs 03062026 13h'!S:S,'cell downs 03062026 13h'!S2,'cell downs 03062026 13h'!Z:Z)+SUMIF('cell downs 03062026 13h'!S:S,'cell downs 03062026 13h'!S26,'cell downs 03062026 13h'!Z:Z)</f>
        <v>17</v>
      </c>
      <c r="J15" s="52">
        <f>SUMIF('cell downs 03062026 16h27'!S:S,'cell downs 03062026 16h27'!S2,'cell downs 03062026 16h27'!Z:Z)+SUMIF('cell downs 03062026 16h27'!S:S,'cell downs 03062026 16h27'!S20,'cell downs 03062026 16h27'!Z:Z)</f>
        <v>17</v>
      </c>
      <c r="K15" s="52">
        <f>SUMIF('cell downs 04062026 8h37'!S:S,'cell downs 04062026 8h37'!S2,'cell downs 04062026 8h37'!Z:Z)</f>
        <v>25</v>
      </c>
      <c r="L15" s="52">
        <f>SUMIF('cell downs 04062026 12h46'!S:S,'cell downs 04062026 12h46'!S2,'cell downs 04062026 12h46'!Z:Z)</f>
        <v>25</v>
      </c>
      <c r="M15" s="52">
        <f>SUMIF('cell downs 04062026 17h04'!S:S,'cell downs 04062026 17h04'!S2,'cell downs 04062026 17h04'!Z:Z)</f>
        <v>23</v>
      </c>
      <c r="N15" s="52">
        <f>SUMIF('cell downs 05062026 8h40'!S:S,'cell downs 05062026 8h40'!S2,'cell downs 05062026 8h40'!Z:Z)</f>
        <v>25</v>
      </c>
      <c r="O15" s="52">
        <f>SUMIF('cell downs 05062026 13h02'!S:S,'cell downs 05062026 13h02'!S46,'cell downs 05062026 13h02'!Z:Z)</f>
        <v>25</v>
      </c>
      <c r="P15" s="52">
        <f>SUMIF('cell downs 05062026 17h38'!S:S,'cell downs 05062026 17h38'!S24,'cell downs 05062026 17h38'!Z:Z)</f>
        <v>27</v>
      </c>
      <c r="Q15" s="52">
        <f>SUMIF('cell downs 06062026 8h45'!S:S,'cell downs 06062026 8h45'!S17,'cell downs 06062026 8h45'!Z:Z)</f>
        <v>14</v>
      </c>
      <c r="R15" s="52">
        <f>SUMIF('cell downs 06062026 13h15'!S:S,'cell downs 06062026 13h15'!S54,'cell downs 06062026 13h15'!Z:Z)</f>
        <v>15</v>
      </c>
      <c r="S15" s="52">
        <f>SUMIF('cell downs 06062026 16h35'!S:S,'cell downs 06062026 16h35'!S53,'cell downs 06062026 16h35'!Z:Z)</f>
        <v>15</v>
      </c>
      <c r="T15" s="52">
        <f>SUMIF('cell downs 07062026 9h35'!S:S,'cell downs 07062026 9h35'!S26,'cell downs 07062026 9h35'!Z:Z)</f>
        <v>14</v>
      </c>
      <c r="U15" s="52">
        <f>SUMIF('cell downs 07062026 13h27'!S:S,'cell downs 07062026 13h27'!S22,'cell downs 07062026 13h27'!Z:Z)</f>
        <v>14</v>
      </c>
    </row>
    <row r="16" spans="1:21" x14ac:dyDescent="0.35">
      <c r="A16" s="51" t="s">
        <v>36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8" spans="1:21" x14ac:dyDescent="0.35">
      <c r="A18" s="8"/>
    </row>
    <row r="19" spans="1:21" x14ac:dyDescent="0.35">
      <c r="A19" s="8"/>
    </row>
    <row r="20" spans="1:21" x14ac:dyDescent="0.35">
      <c r="A20" s="2" t="s">
        <v>70</v>
      </c>
      <c r="B20" s="53" t="s">
        <v>2009</v>
      </c>
      <c r="C20" s="87" t="s">
        <v>2035</v>
      </c>
      <c r="D20" s="87" t="s">
        <v>2094</v>
      </c>
      <c r="E20" s="87" t="s">
        <v>2095</v>
      </c>
      <c r="F20" s="87" t="s">
        <v>2139</v>
      </c>
      <c r="G20" s="87" t="s">
        <v>2187</v>
      </c>
      <c r="H20" s="87" t="s">
        <v>2253</v>
      </c>
      <c r="I20" s="87" t="s">
        <v>2339</v>
      </c>
      <c r="J20" s="87" t="s">
        <v>2340</v>
      </c>
      <c r="K20" s="87" t="s">
        <v>2387</v>
      </c>
      <c r="L20" s="87" t="s">
        <v>2422</v>
      </c>
      <c r="M20" s="87" t="s">
        <v>2452</v>
      </c>
      <c r="N20" s="87" t="s">
        <v>2596</v>
      </c>
      <c r="O20" s="87" t="s">
        <v>2597</v>
      </c>
      <c r="P20" s="87" t="s">
        <v>2598</v>
      </c>
      <c r="Q20" s="87" t="s">
        <v>2661</v>
      </c>
      <c r="R20" s="87" t="s">
        <v>2662</v>
      </c>
      <c r="S20" s="87" t="s">
        <v>2688</v>
      </c>
      <c r="T20" s="87" t="s">
        <v>2735</v>
      </c>
      <c r="U20" s="87" t="s">
        <v>2736</v>
      </c>
    </row>
    <row r="21" spans="1:21" x14ac:dyDescent="0.35">
      <c r="A21" s="51" t="s">
        <v>71</v>
      </c>
      <c r="B21" s="52">
        <v>17</v>
      </c>
      <c r="C21" s="52">
        <f>SUMIF('cell downs 01062026 13h'!S:S,'cell downs 01062026 13h'!S8,'cell downs 01062026 13h'!Z:Z)</f>
        <v>11</v>
      </c>
      <c r="D21" s="52">
        <f>SUMIF('cell downs 01062026 17h03'!S:S,'cell downs 01062026 17h03'!S7,'cell downs 01062026 17h03'!Z:Z)</f>
        <v>8</v>
      </c>
      <c r="E21" s="52">
        <f>SUMIF('cell downs 02062026 8h14'!S:S,'cell downs 02062026 8h14'!S7,'cell downs 02062026 8h14'!Z:Z)</f>
        <v>8</v>
      </c>
      <c r="F21" s="52">
        <f>SUMIF('cell downs 02062026 13h25'!S:S,'cell downs 02062026 13h25'!S24,'cell downs 02062026 13h25'!Z:Z)</f>
        <v>8</v>
      </c>
      <c r="G21" s="52">
        <f>SUMIF('cell downs 02062026 17h07'!S:S,'cell downs 02062026 17h07'!S23,'cell downs 02062026 17h07'!Z:Z)</f>
        <v>9</v>
      </c>
      <c r="H21" s="52">
        <f>SUMIF('cell downs 03062026 8h20'!S:S,'cell downs 03062026 8h20'!S21,'cell downs 03062026 8h20'!Z:Z)</f>
        <v>10</v>
      </c>
      <c r="I21" s="52">
        <f>SUMIF('cell downs 03062026 13h'!S:S,'cell downs 03062026 13h'!S19,'cell downs 03062026 13h'!Z:Z)</f>
        <v>10</v>
      </c>
      <c r="J21" s="52">
        <f>SUMIF('cell downs 03062026 16h27'!S:S,'cell downs 03062026 16h27'!S18,'cell downs 03062026 16h27'!Z:Z)</f>
        <v>19</v>
      </c>
      <c r="K21" s="52">
        <f>SUMIF('cell downs 04062026 8h37'!S:S,'cell downs 04062026 8h37'!S17,'cell downs 04062026 8h37'!Z:Z)</f>
        <v>18</v>
      </c>
      <c r="L21" s="52">
        <f>SUMIF('cell downs 04062026 12h46'!S:S,'cell downs 04062026 12h46'!S16,'cell downs 04062026 12h46'!Z:Z)</f>
        <v>17</v>
      </c>
      <c r="M21" s="52">
        <f>SUMIF('cell downs 04062026 17h04'!S:S,'cell downs 04062026 17h04'!S15,'cell downs 04062026 17h04'!Z:Z)</f>
        <v>18</v>
      </c>
      <c r="N21" s="52">
        <f>SUMIF('cell downs 05062026 8h40'!S:S,'cell downs 05062026 8h40'!S50,'cell downs 05062026 8h40'!Z:Z)</f>
        <v>18</v>
      </c>
      <c r="O21" s="52">
        <f>SUMIF('cell downs 05062026 13h02'!S:S,'cell downs 05062026 13h02'!S72,'cell downs 05062026 13h02'!Z:Z)</f>
        <v>18</v>
      </c>
      <c r="P21" s="52">
        <f>SUMIF('cell downs 05062026 17h38'!S:S,'cell downs 05062026 17h38'!S31,'cell downs 05062026 17h38'!Z:Z)</f>
        <v>1</v>
      </c>
      <c r="Q21" s="52">
        <f>SUMIF('cell downs 06062026 8h45'!S:S,'cell downs 06062026 8h45'!S24,'cell downs 06062026 8h45'!Z:Z)</f>
        <v>10</v>
      </c>
      <c r="R21" s="52">
        <f>SUMIF('cell downs 06062026 13h15'!S:S,'cell downs 06062026 13h15'!S48,'cell downs 06062026 13h15'!Z:Z)</f>
        <v>10</v>
      </c>
      <c r="S21" s="52">
        <f>SUMIF('cell downs 06062026 16h35'!S:S,'cell downs 06062026 16h35'!S41,'cell downs 06062026 16h35'!Z:Z)</f>
        <v>10</v>
      </c>
      <c r="T21" s="52">
        <f>SUMIF('cell downs 07062026 9h35'!S:S,'cell downs 07062026 9h35'!S36,'cell downs 07062026 9h35'!Z:Z)</f>
        <v>10</v>
      </c>
      <c r="U21" s="52">
        <f>SUMIF('cell downs 07062026 13h27'!S:S,'cell downs 07062026 13h27'!S19,'cell downs 07062026 13h27'!Z:Z)</f>
        <v>14</v>
      </c>
    </row>
    <row r="22" spans="1:21" x14ac:dyDescent="0.35">
      <c r="A22" s="51" t="s">
        <v>72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</row>
    <row r="23" spans="1:21" x14ac:dyDescent="0.35">
      <c r="A23" s="51" t="s">
        <v>73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x14ac:dyDescent="0.35">
      <c r="A24" s="51" t="s">
        <v>36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</row>
    <row r="25" spans="1:21" x14ac:dyDescent="0.35">
      <c r="A25" s="8"/>
    </row>
    <row r="26" spans="1:21" x14ac:dyDescent="0.35">
      <c r="A26" s="8"/>
    </row>
    <row r="27" spans="1:21" x14ac:dyDescent="0.35">
      <c r="A27" s="2" t="s">
        <v>74</v>
      </c>
      <c r="B27" s="53" t="s">
        <v>2009</v>
      </c>
      <c r="C27" s="87" t="s">
        <v>2036</v>
      </c>
      <c r="D27" s="87" t="s">
        <v>2094</v>
      </c>
      <c r="E27" s="87" t="s">
        <v>2095</v>
      </c>
      <c r="F27" s="87" t="s">
        <v>2139</v>
      </c>
      <c r="G27" s="87" t="s">
        <v>2187</v>
      </c>
      <c r="H27" s="87" t="s">
        <v>2253</v>
      </c>
      <c r="I27" s="87" t="s">
        <v>2339</v>
      </c>
      <c r="J27" s="87" t="s">
        <v>2340</v>
      </c>
      <c r="K27" s="87" t="s">
        <v>2387</v>
      </c>
      <c r="L27" s="87" t="s">
        <v>2422</v>
      </c>
      <c r="M27" s="87" t="s">
        <v>2452</v>
      </c>
      <c r="N27" s="87" t="s">
        <v>2596</v>
      </c>
      <c r="O27" s="87" t="s">
        <v>2597</v>
      </c>
      <c r="P27" s="87" t="s">
        <v>2598</v>
      </c>
      <c r="Q27" s="87" t="s">
        <v>2661</v>
      </c>
      <c r="R27" s="87" t="s">
        <v>2662</v>
      </c>
      <c r="S27" s="87" t="s">
        <v>2688</v>
      </c>
      <c r="T27" s="87" t="s">
        <v>2735</v>
      </c>
      <c r="U27" s="87" t="s">
        <v>2736</v>
      </c>
    </row>
    <row r="28" spans="1:21" x14ac:dyDescent="0.35">
      <c r="A28" s="51" t="s">
        <v>75</v>
      </c>
      <c r="B28" s="52">
        <v>3</v>
      </c>
      <c r="C28" s="52">
        <f>SUMIF('cell downs 01062026 13h'!S:S,'cell downs 01062026 13h'!S18,'cell downs 01062026 13h'!Z:Z)</f>
        <v>13</v>
      </c>
      <c r="D28" s="52">
        <f>SUMIF('cell downs 01062026 17h03'!S:S,'cell downs 01062026 17h03'!S16,'cell downs 01062026 17h03'!Z:Z)</f>
        <v>3</v>
      </c>
      <c r="E28" s="52">
        <f>SUMIF('cell downs 02062026 8h14'!S:S,'cell downs 02062026 8h14'!S29,'cell downs 02062026 8h14'!Z:Z)</f>
        <v>1</v>
      </c>
      <c r="F28" s="52">
        <f>+SUMIF('cell downs 02062026 13h25'!S:S,'cell downs 02062026 13h25'!S30,'cell downs 02062026 13h25'!Z:Z)</f>
        <v>4</v>
      </c>
      <c r="G28" s="52">
        <f>SUMIF('cell downs 02062026 17h07'!S:S,'cell downs 02062026 17h07'!S29,'cell downs 02062026 17h07'!Z:Z)</f>
        <v>27</v>
      </c>
      <c r="H28" s="52">
        <f>SUMIF('cell downs 03062026 8h20'!S:S,'cell downs 03062026 8h20'!S25,'cell downs 03062026 8h20'!Z:Z)</f>
        <v>15</v>
      </c>
      <c r="I28" s="52">
        <f>SUMIF('cell downs 03062026 13h'!S:S,'cell downs 03062026 13h'!S26,'cell downs 03062026 13h'!Z:Z)</f>
        <v>15</v>
      </c>
      <c r="J28" s="52">
        <f>SUMIF('cell downs 03062026 16h27'!S:S,'cell downs 03062026 16h27'!S20,'cell downs 03062026 16h27'!Z:Z)</f>
        <v>15</v>
      </c>
      <c r="K28" s="52">
        <f>SUMIF('cell downs 04062026 8h37'!S:S,'cell downs 04062026 8h37'!S2,'cell downs 04062026 8h37'!Z:Z)</f>
        <v>25</v>
      </c>
      <c r="L28" s="52">
        <f>SUMIF('cell downs 04062026 12h46'!S:S,'cell downs 04062026 12h46'!S2,'cell downs 04062026 12h46'!Z:Z)</f>
        <v>25</v>
      </c>
      <c r="M28" s="52">
        <f>SUMIF('cell downs 04062026 17h04'!S:S,'cell downs 04062026 17h04'!S2,'cell downs 04062026 17h04'!Z:Z)</f>
        <v>23</v>
      </c>
      <c r="N28" s="52">
        <f>SUMIF('cell downs 05062026 8h40'!S:S,'cell downs 05062026 8h40'!S2,'cell downs 05062026 8h40'!Z:Z)</f>
        <v>25</v>
      </c>
      <c r="O28" s="52">
        <f>SUMIF('cell downs 05062026 13h02'!S:S,'cell downs 05062026 13h02'!S46,'cell downs 05062026 13h02'!Z:Z)</f>
        <v>25</v>
      </c>
      <c r="P28" s="52">
        <f>SUMIF('cell downs 05062026 17h38'!S:S,'cell downs 05062026 17h38'!S24,'cell downs 05062026 17h38'!Z:Z)</f>
        <v>27</v>
      </c>
      <c r="Q28" s="52">
        <f>SUMIF('cell downs 06062026 8h45'!S:S,'cell downs 06062026 8h45'!S17,'cell downs 06062026 8h45'!Z:Z)</f>
        <v>14</v>
      </c>
      <c r="R28" s="52">
        <f>SUMIF('cell downs 06062026 13h15'!S:S,'cell downs 06062026 13h15'!S54,'cell downs 06062026 13h15'!Z:Z)</f>
        <v>15</v>
      </c>
      <c r="S28" s="52">
        <f>SUMIF('cell downs 06062026 16h35'!S:S,'cell downs 06062026 16h35'!S53,'cell downs 06062026 16h35'!Z:Z)</f>
        <v>15</v>
      </c>
      <c r="T28" s="52">
        <f>SUMIF('cell downs 07062026 9h35'!S:S,'cell downs 07062026 9h35'!S26,'cell downs 07062026 9h35'!Z:Z)</f>
        <v>14</v>
      </c>
      <c r="U28" s="52">
        <f>SUMIF('cell downs 07062026 13h27'!S:S,'cell downs 07062026 13h27'!S22,'cell downs 07062026 13h27'!Z:Z)</f>
        <v>14</v>
      </c>
    </row>
    <row r="29" spans="1:21" x14ac:dyDescent="0.35">
      <c r="A29" s="51" t="s">
        <v>50</v>
      </c>
      <c r="B29" s="52">
        <v>2</v>
      </c>
      <c r="C29" s="52">
        <f>SUMIF('cell downs 01062026 13h'!S:S,'cell downs 01062026 13h'!S17,'cell downs 01062026 13h'!Z:Z)</f>
        <v>3</v>
      </c>
      <c r="D29" s="52">
        <f>SUMIF('cell downs 01062026 17h03'!S:S,'cell downs 01062026 17h03'!S5,'cell downs 01062026 17h03'!Z:Z)</f>
        <v>2</v>
      </c>
      <c r="E29" s="52">
        <f>SUMIF('cell downs 02062026 8h14'!S:S,'cell downs 02062026 8h14'!S5,'cell downs 02062026 8h14'!Z:Z)</f>
        <v>1</v>
      </c>
      <c r="F29" s="52">
        <f>SUMIF('cell downs 02062026 13h25'!S:S,'cell downs 02062026 13h25'!S5,'cell downs 02062026 13h25'!Z:Z)</f>
        <v>1</v>
      </c>
      <c r="G29" s="52"/>
      <c r="H29" s="52">
        <f>SUMIF('cell downs 03062026 8h20'!S:S,'cell downs 03062026 8h20'!S2,'cell downs 03062026 8h20'!Z:Z)</f>
        <v>2</v>
      </c>
      <c r="I29" s="52">
        <f>SUMIF('cell downs 03062026 13h'!S:S,'cell downs 03062026 13h'!S2,'cell downs 03062026 13h'!Z:Z)</f>
        <v>2</v>
      </c>
      <c r="J29" s="52">
        <f>SUMIF('cell downs 03062026 16h27'!S:S,'cell downs 03062026 16h27'!S2,'cell downs 03062026 16h27'!Z:Z)</f>
        <v>2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5642-A8F4-4E84-9F54-06B14965D6DD}">
  <sheetPr codeName="Sheet14">
    <tabColor theme="8"/>
  </sheetPr>
  <dimension ref="A2:T33"/>
  <sheetViews>
    <sheetView zoomScale="48" zoomScaleNormal="60" zoomScalePageLayoutView="39" workbookViewId="0">
      <selection activeCell="I25" sqref="I25"/>
    </sheetView>
  </sheetViews>
  <sheetFormatPr defaultRowHeight="14.5" x14ac:dyDescent="0.35"/>
  <cols>
    <col min="1" max="1" width="31.81640625" style="32" bestFit="1" customWidth="1"/>
    <col min="2" max="2" width="28.1796875" customWidth="1"/>
    <col min="3" max="3" width="20.453125" customWidth="1"/>
    <col min="4" max="4" width="20" bestFit="1" customWidth="1"/>
    <col min="5" max="5" width="26.90625" customWidth="1"/>
    <col min="7" max="7" width="29.36328125" bestFit="1" customWidth="1"/>
    <col min="8" max="8" width="14.54296875" bestFit="1" customWidth="1"/>
    <col min="9" max="11" width="15.6328125" bestFit="1" customWidth="1"/>
    <col min="12" max="12" width="17.81640625" bestFit="1" customWidth="1"/>
    <col min="13" max="15" width="19.6328125" bestFit="1" customWidth="1"/>
    <col min="16" max="16" width="11.36328125" bestFit="1" customWidth="1"/>
    <col min="17" max="17" width="11.453125" customWidth="1"/>
    <col min="18" max="18" width="14.36328125" bestFit="1" customWidth="1"/>
    <col min="22" max="22" width="15.36328125" bestFit="1" customWidth="1"/>
    <col min="23" max="23" width="9.81640625" bestFit="1" customWidth="1"/>
    <col min="25" max="25" width="17.54296875" bestFit="1" customWidth="1"/>
  </cols>
  <sheetData>
    <row r="2" spans="1:20" ht="52" x14ac:dyDescent="0.6">
      <c r="A2" s="83" t="s">
        <v>2600</v>
      </c>
      <c r="B2" s="10" t="s">
        <v>2738</v>
      </c>
      <c r="C2" s="11" t="s">
        <v>76</v>
      </c>
      <c r="D2" s="14" t="s">
        <v>77</v>
      </c>
      <c r="E2" s="10" t="s">
        <v>2739</v>
      </c>
      <c r="G2" s="120" t="s">
        <v>2749</v>
      </c>
      <c r="H2" s="121"/>
      <c r="I2" s="121"/>
      <c r="J2" s="121"/>
      <c r="K2" s="121"/>
      <c r="L2" s="121"/>
      <c r="M2" s="121"/>
      <c r="N2" s="121"/>
      <c r="O2" s="121"/>
      <c r="P2" s="121"/>
      <c r="Q2" s="122"/>
    </row>
    <row r="3" spans="1:20" ht="26" x14ac:dyDescent="0.6">
      <c r="A3" s="25" t="s">
        <v>51</v>
      </c>
      <c r="B3" s="13">
        <f>SUMIFS('cell downs 07062026 9h35'!$Z:$Z,'cell downs 07062026 9h35'!$S:$S,'Breackdown-Global'!$G4)</f>
        <v>2</v>
      </c>
      <c r="C3" s="13">
        <f>SUMIFS(New!$Z:$Z,New!$S:$S,'Breackdown-Global'!G4)</f>
        <v>20</v>
      </c>
      <c r="D3" s="14">
        <f>SUMIFS(UP!Z:Z,UP!S:S,'Breackdown-Global'!A3)</f>
        <v>0</v>
      </c>
      <c r="E3" s="13">
        <f>SUMIFS('cell downs 07062026 13h27'!$Z:$Z,'cell downs 07062026 13h27'!$S:$S,'Breackdown-Global'!$G4)</f>
        <v>22</v>
      </c>
      <c r="G3" s="15" t="s">
        <v>78</v>
      </c>
      <c r="H3" s="16" t="s">
        <v>79</v>
      </c>
      <c r="I3" s="17" t="s">
        <v>80</v>
      </c>
      <c r="J3" s="18" t="s">
        <v>55</v>
      </c>
      <c r="K3" s="19" t="s">
        <v>52</v>
      </c>
      <c r="L3" s="20" t="s">
        <v>58</v>
      </c>
      <c r="M3" s="21" t="s">
        <v>57</v>
      </c>
      <c r="N3" s="22" t="s">
        <v>81</v>
      </c>
      <c r="O3" s="22" t="s">
        <v>82</v>
      </c>
      <c r="P3" s="23" t="s">
        <v>56</v>
      </c>
      <c r="Q3" s="24" t="s">
        <v>83</v>
      </c>
    </row>
    <row r="4" spans="1:20" ht="28.5" x14ac:dyDescent="0.65">
      <c r="A4" s="25" t="s">
        <v>84</v>
      </c>
      <c r="B4" s="13">
        <f>SUMIFS('cell downs 07062026 9h35'!$Z:$Z,'cell downs 07062026 9h35'!$S:$S,'Breackdown-Global'!$G5)</f>
        <v>0</v>
      </c>
      <c r="C4" s="13">
        <f>SUMIFS(New!$Z:$Z,New!$S:$S,'Breackdown-Global'!G5)</f>
        <v>0</v>
      </c>
      <c r="D4" s="14">
        <f>SUMIFS(UP!Z:Z,UP!S:S,'Breackdown-Global'!A4)</f>
        <v>0</v>
      </c>
      <c r="E4" s="13">
        <f>SUMIFS('cell downs 07062026 13h27'!$Z:$Z,'cell downs 07062026 13h27'!$S:$S,'Breackdown-Global'!$G5)</f>
        <v>0</v>
      </c>
      <c r="G4" s="25" t="s">
        <v>51</v>
      </c>
      <c r="H4" s="26">
        <f>SUMIFS('cell downs 07062026 13h27'!$Z:$Z,'cell downs 07062026 13h27'!$S:$S,'Breackdown-Global'!$G4,'cell downs 07062026 13h27'!$Y:$Y,'Breackdown-Global'!I$3)</f>
        <v>0</v>
      </c>
      <c r="I4" s="26">
        <f>SUMIFS('cell downs 07062026 13h27'!$Z:$Z,'cell downs 07062026 13h27'!$S:$S,'Breackdown-Global'!$G4,'cell downs 07062026 13h27'!$Y:$Y,'Breackdown-Global'!J$3)</f>
        <v>11</v>
      </c>
      <c r="J4" s="26">
        <f>SUMIFS('cell downs 07062026 13h27'!$Z:$Z,'cell downs 07062026 13h27'!$S:$S,'Breackdown-Global'!$G4,'cell downs 07062026 13h27'!$Y:$Y,'Breackdown-Global'!K$3)</f>
        <v>0</v>
      </c>
      <c r="K4" s="26">
        <f>SUMIFS('cell downs 07062026 13h27'!$Z:$Z,'cell downs 07062026 13h27'!$S:$S,'Breackdown-Global'!$G4,'cell downs 07062026 13h27'!$Y:$Y,'Breackdown-Global'!L$3)</f>
        <v>0</v>
      </c>
      <c r="L4" s="26">
        <f>SUMIFS('cell downs 07062026 13h27'!$Z:$Z,'cell downs 07062026 13h27'!$S:$S,'Breackdown-Global'!$G4,'cell downs 07062026 13h27'!$Y:$Y,'Breackdown-Global'!M$3)</f>
        <v>2</v>
      </c>
      <c r="M4" s="26">
        <f>SUMIFS('cell downs 07062026 13h27'!$Z:$Z,'cell downs 07062026 13h27'!$S:$S,'Breackdown-Global'!$G4,'cell downs 07062026 13h27'!$Y:$Y,'Breackdown-Global'!N$3)</f>
        <v>0</v>
      </c>
      <c r="N4" s="26">
        <f>SUMIFS('cell downs 07062026 13h27'!$Z:$Z,'cell downs 07062026 13h27'!$S:$S,'Breackdown-Global'!$G4,'cell downs 07062026 13h27'!$Y:$Y,'Breackdown-Global'!O$3)</f>
        <v>0</v>
      </c>
      <c r="O4" s="26">
        <f>SUMIFS('cell downs 07062026 13h27'!$Z:$Z,'cell downs 07062026 13h27'!$S:$S,'Breackdown-Global'!$G4,'cell downs 07062026 13h27'!$Y:$Y,'Breackdown-Global'!P$3)</f>
        <v>0</v>
      </c>
      <c r="P4" s="26">
        <f>SUMIFS('cell downs 07062026 13h27'!$Z:$Z,'cell downs 07062026 13h27'!$S:$S,'Breackdown-Global'!$G4,'cell downs 07062026 13h27'!$Y:$Y,'Breackdown-Global'!Q$3)</f>
        <v>0</v>
      </c>
      <c r="Q4" s="27">
        <f t="shared" ref="Q4:Q16" si="0">SUM(H4:P4)</f>
        <v>13</v>
      </c>
    </row>
    <row r="5" spans="1:20" ht="28.5" x14ac:dyDescent="0.65">
      <c r="A5" s="25" t="s">
        <v>40</v>
      </c>
      <c r="B5" s="13">
        <f>SUMIFS('cell downs 07062026 9h35'!$Z:$Z,'cell downs 07062026 9h35'!$S:$S,'Breackdown-Global'!$G6)</f>
        <v>42</v>
      </c>
      <c r="C5" s="13">
        <f>SUMIFS(New!$Z:$Z,New!$S:$S,'Breackdown-Global'!G6)</f>
        <v>0</v>
      </c>
      <c r="D5" s="14">
        <f>SUMIFS(UP!Z:Z,UP!S:S,'Breackdown-Global'!A5)</f>
        <v>1</v>
      </c>
      <c r="E5" s="13">
        <f>SUMIFS('cell downs 07062026 13h27'!$Z:$Z,'cell downs 07062026 13h27'!$S:$S,'Breackdown-Global'!$G6)</f>
        <v>41</v>
      </c>
      <c r="G5" s="25" t="s">
        <v>84</v>
      </c>
      <c r="H5" s="26">
        <f>SUMIFS('cell downs 07062026 13h27'!$Z:$Z,'cell downs 07062026 13h27'!$S:$S,'Breackdown-Global'!$G5,'cell downs 07062026 13h27'!$Y:$Y,'Breackdown-Global'!I$3)</f>
        <v>0</v>
      </c>
      <c r="I5" s="26">
        <f>SUMIFS('cell downs 07062026 13h27'!$Z:$Z,'cell downs 07062026 13h27'!$S:$S,'Breackdown-Global'!$G5,'cell downs 07062026 13h27'!$Y:$Y,'Breackdown-Global'!J$3)</f>
        <v>0</v>
      </c>
      <c r="J5" s="26">
        <f>SUMIFS('cell downs 07062026 13h27'!$Z:$Z,'cell downs 07062026 13h27'!$S:$S,'Breackdown-Global'!$G5,'cell downs 07062026 13h27'!$Y:$Y,'Breackdown-Global'!K$3)</f>
        <v>0</v>
      </c>
      <c r="K5" s="26">
        <f>SUMIFS('cell downs 07062026 13h27'!$Z:$Z,'cell downs 07062026 13h27'!$S:$S,'Breackdown-Global'!$G5,'cell downs 07062026 13h27'!$Y:$Y,'Breackdown-Global'!L$3)</f>
        <v>0</v>
      </c>
      <c r="L5" s="26">
        <f>SUMIFS('cell downs 07062026 13h27'!$Z:$Z,'cell downs 07062026 13h27'!$S:$S,'Breackdown-Global'!$G5,'cell downs 07062026 13h27'!$Y:$Y,'Breackdown-Global'!M$3)</f>
        <v>0</v>
      </c>
      <c r="M5" s="26">
        <f>SUMIFS('cell downs 07062026 13h27'!$Z:$Z,'cell downs 07062026 13h27'!$S:$S,'Breackdown-Global'!$G5,'cell downs 07062026 13h27'!$Y:$Y,'Breackdown-Global'!N$3)</f>
        <v>0</v>
      </c>
      <c r="N5" s="26">
        <f>SUMIFS('cell downs 07062026 13h27'!$Z:$Z,'cell downs 07062026 13h27'!$S:$S,'Breackdown-Global'!$G5,'cell downs 07062026 13h27'!$Y:$Y,'Breackdown-Global'!O$3)</f>
        <v>0</v>
      </c>
      <c r="O5" s="26">
        <f>SUMIFS('cell downs 07062026 13h27'!$Z:$Z,'cell downs 07062026 13h27'!$S:$S,'Breackdown-Global'!$G5,'cell downs 07062026 13h27'!$Y:$Y,'Breackdown-Global'!P$3)</f>
        <v>0</v>
      </c>
      <c r="P5" s="26">
        <f>SUMIFS('cell downs 07062026 13h27'!$Z:$Z,'cell downs 07062026 13h27'!$S:$S,'Breackdown-Global'!$G5,'cell downs 07062026 13h27'!$Y:$Y,'Breackdown-Global'!Q$3)</f>
        <v>0</v>
      </c>
      <c r="Q5" s="27">
        <f t="shared" si="0"/>
        <v>0</v>
      </c>
    </row>
    <row r="6" spans="1:20" ht="28.5" x14ac:dyDescent="0.65">
      <c r="A6" s="12" t="s">
        <v>85</v>
      </c>
      <c r="B6" s="13">
        <f>SUMIFS('cell downs 07062026 9h35'!$Z:$Z,'cell downs 07062026 9h35'!$S:$S,'Breackdown-Global'!$G7)</f>
        <v>20</v>
      </c>
      <c r="C6" s="13">
        <f>SUMIFS(New!$Z:$Z,New!$S:$S,'Breackdown-Global'!G7)</f>
        <v>0</v>
      </c>
      <c r="D6" s="14">
        <f>SUMIFS(UP!Z:Z,UP!S:S,'Breackdown-Global'!A6)</f>
        <v>0</v>
      </c>
      <c r="E6" s="13">
        <f>SUMIFS('cell downs 07062026 13h27'!$Z:$Z,'cell downs 07062026 13h27'!$S:$S,'Breackdown-Global'!$G7)</f>
        <v>20</v>
      </c>
      <c r="G6" s="25" t="s">
        <v>40</v>
      </c>
      <c r="H6" s="26">
        <f>SUMIFS('cell downs 07062026 13h27'!$Z:$Z,'cell downs 07062026 13h27'!$S:$S,'Breackdown-Global'!$G6,'cell downs 07062026 13h27'!$Y:$Y,'Breackdown-Global'!I$3)</f>
        <v>1</v>
      </c>
      <c r="I6" s="26">
        <f>SUMIFS('cell downs 07062026 13h27'!$Z:$Z,'cell downs 07062026 13h27'!$S:$S,'Breackdown-Global'!$G6,'cell downs 07062026 13h27'!$Y:$Y,'Breackdown-Global'!J$3)</f>
        <v>0</v>
      </c>
      <c r="J6" s="26">
        <f>SUMIFS('cell downs 07062026 13h27'!$Z:$Z,'cell downs 07062026 13h27'!$S:$S,'Breackdown-Global'!$G6,'cell downs 07062026 13h27'!$Y:$Y,'Breackdown-Global'!K$3)</f>
        <v>2</v>
      </c>
      <c r="K6" s="26">
        <f>SUMIFS('cell downs 07062026 13h27'!$Z:$Z,'cell downs 07062026 13h27'!$S:$S,'Breackdown-Global'!$G6,'cell downs 07062026 13h27'!$Y:$Y,'Breackdown-Global'!L$3)</f>
        <v>2</v>
      </c>
      <c r="L6" s="26">
        <f>SUMIFS('cell downs 07062026 13h27'!$Z:$Z,'cell downs 07062026 13h27'!$S:$S,'Breackdown-Global'!$G6,'cell downs 07062026 13h27'!$Y:$Y,'Breackdown-Global'!M$3)</f>
        <v>1</v>
      </c>
      <c r="M6" s="26">
        <f>SUMIFS('cell downs 07062026 13h27'!$Z:$Z,'cell downs 07062026 13h27'!$S:$S,'Breackdown-Global'!$G6,'cell downs 07062026 13h27'!$Y:$Y,'Breackdown-Global'!N$3)</f>
        <v>3</v>
      </c>
      <c r="N6" s="26">
        <f>SUMIFS('cell downs 07062026 13h27'!$Z:$Z,'cell downs 07062026 13h27'!$S:$S,'Breackdown-Global'!$G6,'cell downs 07062026 13h27'!$Y:$Y,'Breackdown-Global'!O$3)</f>
        <v>1</v>
      </c>
      <c r="O6" s="26">
        <f>SUMIFS('cell downs 07062026 13h27'!$Z:$Z,'cell downs 07062026 13h27'!$S:$S,'Breackdown-Global'!$G6,'cell downs 07062026 13h27'!$Y:$Y,'Breackdown-Global'!P$3)</f>
        <v>31</v>
      </c>
      <c r="P6" s="26">
        <f>SUMIFS('cell downs 07062026 13h27'!$Z:$Z,'cell downs 07062026 13h27'!$S:$S,'Breackdown-Global'!$G6,'cell downs 07062026 13h27'!$Y:$Y,'Breackdown-Global'!Q$3)</f>
        <v>0</v>
      </c>
      <c r="Q6" s="27">
        <f t="shared" si="0"/>
        <v>41</v>
      </c>
    </row>
    <row r="7" spans="1:20" ht="28.5" x14ac:dyDescent="0.65">
      <c r="A7" s="25" t="s">
        <v>75</v>
      </c>
      <c r="B7" s="13">
        <f>SUMIFS('cell downs 07062026 9h35'!$Z:$Z,'cell downs 07062026 9h35'!$S:$S,'Breackdown-Global'!$G8)</f>
        <v>14</v>
      </c>
      <c r="C7" s="13">
        <f>SUMIFS(New!$Z:$Z,New!$S:$S,'Breackdown-Global'!G8)</f>
        <v>0</v>
      </c>
      <c r="D7" s="14">
        <f>SUMIFS(UP!Z:Z,UP!S:S,'Breackdown-Global'!A7)</f>
        <v>0</v>
      </c>
      <c r="E7" s="13">
        <f>SUMIFS('cell downs 07062026 13h27'!$Z:$Z,'cell downs 07062026 13h27'!$S:$S,'Breackdown-Global'!$G8)</f>
        <v>14</v>
      </c>
      <c r="G7" s="12" t="s">
        <v>85</v>
      </c>
      <c r="H7" s="26">
        <f>SUMIFS('cell downs 07062026 13h27'!$Z:$Z,'cell downs 07062026 13h27'!$S:$S,'Breackdown-Global'!$G7,'cell downs 07062026 13h27'!$Y:$Y,'Breackdown-Global'!I$3)</f>
        <v>0</v>
      </c>
      <c r="I7" s="26">
        <f>SUMIFS('cell downs 07062026 13h27'!$Z:$Z,'cell downs 07062026 13h27'!$S:$S,'Breackdown-Global'!$G7,'cell downs 07062026 13h27'!$Y:$Y,'Breackdown-Global'!J$3)</f>
        <v>0</v>
      </c>
      <c r="J7" s="26">
        <f>SUMIFS('cell downs 07062026 13h27'!$Z:$Z,'cell downs 07062026 13h27'!$S:$S,'Breackdown-Global'!$G7,'cell downs 07062026 13h27'!$Y:$Y,'Breackdown-Global'!K$3)</f>
        <v>10</v>
      </c>
      <c r="K7" s="26">
        <f>SUMIFS('cell downs 07062026 13h27'!$Z:$Z,'cell downs 07062026 13h27'!$S:$S,'Breackdown-Global'!$G7,'cell downs 07062026 13h27'!$Y:$Y,'Breackdown-Global'!L$3)</f>
        <v>0</v>
      </c>
      <c r="L7" s="26">
        <f>SUMIFS('cell downs 07062026 13h27'!$Z:$Z,'cell downs 07062026 13h27'!$S:$S,'Breackdown-Global'!$G7,'cell downs 07062026 13h27'!$Y:$Y,'Breackdown-Global'!M$3)</f>
        <v>8</v>
      </c>
      <c r="M7" s="26">
        <f>SUMIFS('cell downs 07062026 13h27'!$Z:$Z,'cell downs 07062026 13h27'!$S:$S,'Breackdown-Global'!$G7,'cell downs 07062026 13h27'!$Y:$Y,'Breackdown-Global'!N$3)</f>
        <v>0</v>
      </c>
      <c r="N7" s="26">
        <f>SUMIFS('cell downs 07062026 13h27'!$Z:$Z,'cell downs 07062026 13h27'!$S:$S,'Breackdown-Global'!$G7,'cell downs 07062026 13h27'!$Y:$Y,'Breackdown-Global'!O$3)</f>
        <v>2</v>
      </c>
      <c r="O7" s="26">
        <f>SUMIFS('cell downs 07062026 13h27'!$Z:$Z,'cell downs 07062026 13h27'!$S:$S,'Breackdown-Global'!$G7,'cell downs 07062026 13h27'!$Y:$Y,'Breackdown-Global'!P$3)</f>
        <v>0</v>
      </c>
      <c r="P7" s="26">
        <f>SUMIFS('cell downs 07062026 13h27'!$Z:$Z,'cell downs 07062026 13h27'!$S:$S,'Breackdown-Global'!$G7,'cell downs 07062026 13h27'!$Y:$Y,'Breackdown-Global'!Q$3)</f>
        <v>0</v>
      </c>
      <c r="Q7" s="27">
        <f t="shared" si="0"/>
        <v>20</v>
      </c>
    </row>
    <row r="8" spans="1:20" ht="28.5" x14ac:dyDescent="0.65">
      <c r="A8" s="12" t="s">
        <v>32</v>
      </c>
      <c r="B8" s="13">
        <f>SUMIFS('cell downs 07062026 9h35'!$Z:$Z,'cell downs 07062026 9h35'!$S:$S,'Breackdown-Global'!$G9)</f>
        <v>16</v>
      </c>
      <c r="C8" s="13">
        <f>SUMIFS(New!$Z:$Z,New!$S:$S,'Breackdown-Global'!G9)</f>
        <v>0</v>
      </c>
      <c r="D8" s="14">
        <f>SUMIFS(UP!Z:Z,UP!S:S,'Breackdown-Global'!A8)</f>
        <v>3</v>
      </c>
      <c r="E8" s="13">
        <f>SUMIFS('cell downs 07062026 13h27'!$Z:$Z,'cell downs 07062026 13h27'!$S:$S,'Breackdown-Global'!$G9)</f>
        <v>13</v>
      </c>
      <c r="G8" s="25" t="s">
        <v>75</v>
      </c>
      <c r="H8" s="26">
        <f>SUMIFS('cell downs 07062026 13h27'!$Z:$Z,'cell downs 07062026 13h27'!$S:$S,'Breackdown-Global'!$G8,'cell downs 07062026 13h27'!$Y:$Y,'Breackdown-Global'!I$3)</f>
        <v>0</v>
      </c>
      <c r="I8" s="26">
        <f>SUMIFS('cell downs 07062026 13h27'!$Z:$Z,'cell downs 07062026 13h27'!$S:$S,'Breackdown-Global'!$G8,'cell downs 07062026 13h27'!$Y:$Y,'Breackdown-Global'!J$3)</f>
        <v>0</v>
      </c>
      <c r="J8" s="26">
        <f>SUMIFS('cell downs 07062026 13h27'!$Z:$Z,'cell downs 07062026 13h27'!$S:$S,'Breackdown-Global'!$G8,'cell downs 07062026 13h27'!$Y:$Y,'Breackdown-Global'!K$3)</f>
        <v>0</v>
      </c>
      <c r="K8" s="26">
        <f>SUMIFS('cell downs 07062026 13h27'!$Z:$Z,'cell downs 07062026 13h27'!$S:$S,'Breackdown-Global'!$G8,'cell downs 07062026 13h27'!$Y:$Y,'Breackdown-Global'!L$3)</f>
        <v>0</v>
      </c>
      <c r="L8" s="26">
        <f>SUMIFS('cell downs 07062026 13h27'!$Z:$Z,'cell downs 07062026 13h27'!$S:$S,'Breackdown-Global'!$G8,'cell downs 07062026 13h27'!$Y:$Y,'Breackdown-Global'!M$3)</f>
        <v>0</v>
      </c>
      <c r="M8" s="26">
        <f>SUMIFS('cell downs 07062026 13h27'!$Z:$Z,'cell downs 07062026 13h27'!$S:$S,'Breackdown-Global'!$G8,'cell downs 07062026 13h27'!$Y:$Y,'Breackdown-Global'!N$3)</f>
        <v>1</v>
      </c>
      <c r="N8" s="26">
        <f>SUMIFS('cell downs 07062026 13h27'!$Z:$Z,'cell downs 07062026 13h27'!$S:$S,'Breackdown-Global'!$G8,'cell downs 07062026 13h27'!$Y:$Y,'Breackdown-Global'!O$3)</f>
        <v>4</v>
      </c>
      <c r="O8" s="26">
        <f>SUMIFS('cell downs 07062026 13h27'!$Z:$Z,'cell downs 07062026 13h27'!$S:$S,'Breackdown-Global'!$G8,'cell downs 07062026 13h27'!$Y:$Y,'Breackdown-Global'!P$3)</f>
        <v>9</v>
      </c>
      <c r="P8" s="26">
        <f>SUMIFS('cell downs 07062026 13h27'!$Z:$Z,'cell downs 07062026 13h27'!$S:$S,'Breackdown-Global'!$G8,'cell downs 07062026 13h27'!$Y:$Y,'Breackdown-Global'!Q$3)</f>
        <v>0</v>
      </c>
      <c r="Q8" s="27">
        <f t="shared" si="0"/>
        <v>14</v>
      </c>
      <c r="T8" t="s">
        <v>86</v>
      </c>
    </row>
    <row r="9" spans="1:20" ht="28.5" x14ac:dyDescent="0.65">
      <c r="A9" s="25" t="s">
        <v>71</v>
      </c>
      <c r="B9" s="13">
        <f>SUMIFS('cell downs 07062026 9h35'!$Z:$Z,'cell downs 07062026 9h35'!$S:$S,'Breackdown-Global'!$G10)</f>
        <v>10</v>
      </c>
      <c r="C9" s="13">
        <f>SUMIFS(New!$Z:$Z,New!$S:$S,'Breackdown-Global'!G10)</f>
        <v>4</v>
      </c>
      <c r="D9" s="14">
        <f>SUMIFS(UP!Z:Z,UP!S:S,'Breackdown-Global'!A9)</f>
        <v>0</v>
      </c>
      <c r="E9" s="13">
        <f>SUMIFS('cell downs 07062026 13h27'!$Z:$Z,'cell downs 07062026 13h27'!$S:$S,'Breackdown-Global'!$G10)</f>
        <v>14</v>
      </c>
      <c r="G9" s="12" t="s">
        <v>32</v>
      </c>
      <c r="H9" s="26">
        <f>SUMIFS('cell downs 07062026 13h27'!$Z:$Z,'cell downs 07062026 13h27'!$S:$S,'Breackdown-Global'!$G9,'cell downs 07062026 13h27'!$Y:$Y,'Breackdown-Global'!I$3)</f>
        <v>0</v>
      </c>
      <c r="I9" s="26">
        <f>SUMIFS('cell downs 07062026 13h27'!$Z:$Z,'cell downs 07062026 13h27'!$S:$S,'Breackdown-Global'!$G9,'cell downs 07062026 13h27'!$Y:$Y,'Breackdown-Global'!J$3)</f>
        <v>0</v>
      </c>
      <c r="J9" s="26">
        <f>SUMIFS('cell downs 07062026 13h27'!$Z:$Z,'cell downs 07062026 13h27'!$S:$S,'Breackdown-Global'!$G9,'cell downs 07062026 13h27'!$Y:$Y,'Breackdown-Global'!K$3)</f>
        <v>0</v>
      </c>
      <c r="K9" s="26">
        <f>SUMIFS('cell downs 07062026 13h27'!$Z:$Z,'cell downs 07062026 13h27'!$S:$S,'Breackdown-Global'!$G9,'cell downs 07062026 13h27'!$Y:$Y,'Breackdown-Global'!L$3)</f>
        <v>0</v>
      </c>
      <c r="L9" s="26">
        <f>SUMIFS('cell downs 07062026 13h27'!$Z:$Z,'cell downs 07062026 13h27'!$S:$S,'Breackdown-Global'!$G9,'cell downs 07062026 13h27'!$Y:$Y,'Breackdown-Global'!M$3)</f>
        <v>1</v>
      </c>
      <c r="M9" s="26">
        <f>SUMIFS('cell downs 07062026 13h27'!$Z:$Z,'cell downs 07062026 13h27'!$S:$S,'Breackdown-Global'!$G9,'cell downs 07062026 13h27'!$Y:$Y,'Breackdown-Global'!N$3)</f>
        <v>7</v>
      </c>
      <c r="N9" s="26">
        <f>SUMIFS('cell downs 07062026 13h27'!$Z:$Z,'cell downs 07062026 13h27'!$S:$S,'Breackdown-Global'!$G9,'cell downs 07062026 13h27'!$Y:$Y,'Breackdown-Global'!O$3)</f>
        <v>2</v>
      </c>
      <c r="O9" s="26">
        <f>SUMIFS('cell downs 07062026 13h27'!$Z:$Z,'cell downs 07062026 13h27'!$S:$S,'Breackdown-Global'!$G9,'cell downs 07062026 13h27'!$Y:$Y,'Breackdown-Global'!P$3)</f>
        <v>2</v>
      </c>
      <c r="P9" s="26">
        <f>SUMIFS('cell downs 07062026 13h27'!$Z:$Z,'cell downs 07062026 13h27'!$S:$S,'Breackdown-Global'!$G9,'cell downs 07062026 13h27'!$Y:$Y,'Breackdown-Global'!Q$3)</f>
        <v>0</v>
      </c>
      <c r="Q9" s="27">
        <f t="shared" si="0"/>
        <v>12</v>
      </c>
    </row>
    <row r="10" spans="1:20" ht="28.5" x14ac:dyDescent="0.65">
      <c r="A10" s="12" t="s">
        <v>72</v>
      </c>
      <c r="B10" s="13">
        <f>SUMIFS('cell downs 07062026 9h35'!$Z:$Z,'cell downs 07062026 9h35'!$S:$S,'Breackdown-Global'!$G11)</f>
        <v>0</v>
      </c>
      <c r="C10" s="13">
        <f>SUMIFS(New!$Z:$Z,New!$S:$S,'Breackdown-Global'!G11)</f>
        <v>0</v>
      </c>
      <c r="D10" s="14">
        <f>SUMIFS(UP!Z:Z,UP!S:S,'Breackdown-Global'!A10)</f>
        <v>0</v>
      </c>
      <c r="E10" s="13">
        <f>SUMIFS('cell downs 07062026 13h27'!$Z:$Z,'cell downs 07062026 13h27'!$S:$S,'Breackdown-Global'!$G11)</f>
        <v>0</v>
      </c>
      <c r="G10" s="25" t="s">
        <v>71</v>
      </c>
      <c r="H10" s="26">
        <f>SUMIFS('cell downs 07062026 13h27'!$Z:$Z,'cell downs 07062026 13h27'!$S:$S,'Breackdown-Global'!$G10,'cell downs 07062026 13h27'!$Y:$Y,'Breackdown-Global'!I$3)</f>
        <v>0</v>
      </c>
      <c r="I10" s="26">
        <f>SUMIFS('cell downs 07062026 13h27'!$Z:$Z,'cell downs 07062026 13h27'!$S:$S,'Breackdown-Global'!$G10,'cell downs 07062026 13h27'!$Y:$Y,'Breackdown-Global'!J$3)</f>
        <v>0</v>
      </c>
      <c r="J10" s="26">
        <f>SUMIFS('cell downs 07062026 13h27'!$Z:$Z,'cell downs 07062026 13h27'!$S:$S,'Breackdown-Global'!$G10,'cell downs 07062026 13h27'!$Y:$Y,'Breackdown-Global'!K$3)</f>
        <v>0</v>
      </c>
      <c r="K10" s="26">
        <f>SUMIFS('cell downs 07062026 13h27'!$Z:$Z,'cell downs 07062026 13h27'!$S:$S,'Breackdown-Global'!$G10,'cell downs 07062026 13h27'!$Y:$Y,'Breackdown-Global'!L$3)</f>
        <v>0</v>
      </c>
      <c r="L10" s="26">
        <f>SUMIFS('cell downs 07062026 13h27'!$Z:$Z,'cell downs 07062026 13h27'!$S:$S,'Breackdown-Global'!$G10,'cell downs 07062026 13h27'!$Y:$Y,'Breackdown-Global'!M$3)</f>
        <v>0</v>
      </c>
      <c r="M10" s="26">
        <f>SUMIFS('cell downs 07062026 13h27'!$Z:$Z,'cell downs 07062026 13h27'!$S:$S,'Breackdown-Global'!$G10,'cell downs 07062026 13h27'!$Y:$Y,'Breackdown-Global'!N$3)</f>
        <v>9</v>
      </c>
      <c r="N10" s="26">
        <f>SUMIFS('cell downs 07062026 13h27'!$Z:$Z,'cell downs 07062026 13h27'!$S:$S,'Breackdown-Global'!$G10,'cell downs 07062026 13h27'!$Y:$Y,'Breackdown-Global'!O$3)</f>
        <v>0</v>
      </c>
      <c r="O10" s="26">
        <f>SUMIFS('cell downs 07062026 13h27'!$Z:$Z,'cell downs 07062026 13h27'!$S:$S,'Breackdown-Global'!$G10,'cell downs 07062026 13h27'!$Y:$Y,'Breackdown-Global'!P$3)</f>
        <v>1</v>
      </c>
      <c r="P10" s="26">
        <f>SUMIFS('cell downs 07062026 13h27'!$Z:$Z,'cell downs 07062026 13h27'!$S:$S,'Breackdown-Global'!$G10,'cell downs 07062026 13h27'!$Y:$Y,'Breackdown-Global'!Q$3)</f>
        <v>0</v>
      </c>
      <c r="Q10" s="27">
        <f t="shared" si="0"/>
        <v>10</v>
      </c>
    </row>
    <row r="11" spans="1:20" ht="28.5" x14ac:dyDescent="0.65">
      <c r="A11" s="25" t="s">
        <v>36</v>
      </c>
      <c r="B11" s="13">
        <f>SUMIFS('cell downs 07062026 9h35'!$Z:$Z,'cell downs 07062026 9h35'!$S:$S,'Breackdown-Global'!$G12)</f>
        <v>0</v>
      </c>
      <c r="C11" s="13">
        <f>SUMIFS(New!$Z:$Z,New!$S:$S,'Breackdown-Global'!G12)</f>
        <v>0</v>
      </c>
      <c r="D11" s="14">
        <f>SUMIFS(UP!Z:Z,UP!S:S,'Breackdown-Global'!A11)</f>
        <v>0</v>
      </c>
      <c r="E11" s="13">
        <f>SUMIFS('cell downs 07062026 13h27'!$Z:$Z,'cell downs 07062026 13h27'!$S:$S,'Breackdown-Global'!$G12)</f>
        <v>0</v>
      </c>
      <c r="G11" s="12" t="s">
        <v>72</v>
      </c>
      <c r="H11" s="26">
        <f>SUMIFS('cell downs 07062026 13h27'!$Z:$Z,'cell downs 07062026 13h27'!$S:$S,'Breackdown-Global'!$G11,'cell downs 07062026 13h27'!$Y:$Y,'Breackdown-Global'!I$3)</f>
        <v>0</v>
      </c>
      <c r="I11" s="26">
        <f>SUMIFS('cell downs 07062026 13h27'!$Z:$Z,'cell downs 07062026 13h27'!$S:$S,'Breackdown-Global'!$G11,'cell downs 07062026 13h27'!$Y:$Y,'Breackdown-Global'!J$3)</f>
        <v>0</v>
      </c>
      <c r="J11" s="26">
        <f>SUMIFS('cell downs 07062026 13h27'!$Z:$Z,'cell downs 07062026 13h27'!$S:$S,'Breackdown-Global'!$G11,'cell downs 07062026 13h27'!$Y:$Y,'Breackdown-Global'!K$3)</f>
        <v>0</v>
      </c>
      <c r="K11" s="26">
        <f>SUMIFS('cell downs 07062026 13h27'!$Z:$Z,'cell downs 07062026 13h27'!$S:$S,'Breackdown-Global'!$G11,'cell downs 07062026 13h27'!$Y:$Y,'Breackdown-Global'!L$3)</f>
        <v>0</v>
      </c>
      <c r="L11" s="26">
        <f>SUMIFS('cell downs 07062026 13h27'!$Z:$Z,'cell downs 07062026 13h27'!$S:$S,'Breackdown-Global'!$G11,'cell downs 07062026 13h27'!$Y:$Y,'Breackdown-Global'!M$3)</f>
        <v>0</v>
      </c>
      <c r="M11" s="26">
        <f>SUMIFS('cell downs 07062026 13h27'!$Z:$Z,'cell downs 07062026 13h27'!$S:$S,'Breackdown-Global'!$G11,'cell downs 07062026 13h27'!$Y:$Y,'Breackdown-Global'!N$3)</f>
        <v>0</v>
      </c>
      <c r="N11" s="26">
        <f>SUMIFS('cell downs 07062026 13h27'!$Z:$Z,'cell downs 07062026 13h27'!$S:$S,'Breackdown-Global'!$G11,'cell downs 07062026 13h27'!$Y:$Y,'Breackdown-Global'!O$3)</f>
        <v>0</v>
      </c>
      <c r="O11" s="26">
        <f>SUMIFS('cell downs 07062026 13h27'!$Z:$Z,'cell downs 07062026 13h27'!$S:$S,'Breackdown-Global'!$G11,'cell downs 07062026 13h27'!$Y:$Y,'Breackdown-Global'!P$3)</f>
        <v>0</v>
      </c>
      <c r="P11" s="26">
        <f>SUMIFS('cell downs 07062026 13h27'!$Z:$Z,'cell downs 07062026 13h27'!$S:$S,'Breackdown-Global'!$G11,'cell downs 07062026 13h27'!$Y:$Y,'Breackdown-Global'!Q$3)</f>
        <v>0</v>
      </c>
      <c r="Q11" s="27">
        <f t="shared" si="0"/>
        <v>0</v>
      </c>
    </row>
    <row r="12" spans="1:20" ht="28.5" x14ac:dyDescent="0.65">
      <c r="A12" s="25" t="s">
        <v>45</v>
      </c>
      <c r="B12" s="13">
        <f>SUMIFS('cell downs 07062026 9h35'!$Z:$Z,'cell downs 07062026 9h35'!$S:$S,'Breackdown-Global'!$G13)</f>
        <v>7</v>
      </c>
      <c r="C12" s="13">
        <f>SUMIFS(New!$Z:$Z,New!$S:$S,'Breackdown-Global'!G13)</f>
        <v>0</v>
      </c>
      <c r="D12" s="14">
        <f>SUMIFS(UP!Z:Z,UP!S:S,'Breackdown-Global'!A12)</f>
        <v>1</v>
      </c>
      <c r="E12" s="13">
        <f>SUMIFS('cell downs 07062026 13h27'!$Z:$Z,'cell downs 07062026 13h27'!$S:$S,'Breackdown-Global'!$G13)</f>
        <v>6</v>
      </c>
      <c r="G12" s="25" t="s">
        <v>36</v>
      </c>
      <c r="H12" s="26">
        <f>SUMIFS('cell downs 07062026 13h27'!$Z:$Z,'cell downs 07062026 13h27'!$S:$S,'Breackdown-Global'!$G12,'cell downs 07062026 13h27'!$Y:$Y,'Breackdown-Global'!I$3)</f>
        <v>0</v>
      </c>
      <c r="I12" s="26">
        <f>SUMIFS('cell downs 07062026 13h27'!$Z:$Z,'cell downs 07062026 13h27'!$S:$S,'Breackdown-Global'!$G12,'cell downs 07062026 13h27'!$Y:$Y,'Breackdown-Global'!J$3)</f>
        <v>0</v>
      </c>
      <c r="J12" s="26">
        <f>SUMIFS('cell downs 07062026 13h27'!$Z:$Z,'cell downs 07062026 13h27'!$S:$S,'Breackdown-Global'!$G12,'cell downs 07062026 13h27'!$Y:$Y,'Breackdown-Global'!K$3)</f>
        <v>0</v>
      </c>
      <c r="K12" s="26">
        <f>SUMIFS('cell downs 07062026 13h27'!$Z:$Z,'cell downs 07062026 13h27'!$S:$S,'Breackdown-Global'!$G12,'cell downs 07062026 13h27'!$Y:$Y,'Breackdown-Global'!L$3)</f>
        <v>0</v>
      </c>
      <c r="L12" s="26">
        <f>SUMIFS('cell downs 07062026 13h27'!$Z:$Z,'cell downs 07062026 13h27'!$S:$S,'Breackdown-Global'!$G12,'cell downs 07062026 13h27'!$Y:$Y,'Breackdown-Global'!M$3)</f>
        <v>0</v>
      </c>
      <c r="M12" s="26">
        <f>SUMIFS('cell downs 07062026 13h27'!$Z:$Z,'cell downs 07062026 13h27'!$S:$S,'Breackdown-Global'!$G12,'cell downs 07062026 13h27'!$Y:$Y,'Breackdown-Global'!N$3)</f>
        <v>0</v>
      </c>
      <c r="N12" s="26">
        <f>SUMIFS('cell downs 07062026 13h27'!$Z:$Z,'cell downs 07062026 13h27'!$S:$S,'Breackdown-Global'!$G12,'cell downs 07062026 13h27'!$Y:$Y,'Breackdown-Global'!O$3)</f>
        <v>0</v>
      </c>
      <c r="O12" s="26">
        <f>SUMIFS('cell downs 07062026 13h27'!$Z:$Z,'cell downs 07062026 13h27'!$S:$S,'Breackdown-Global'!$G12,'cell downs 07062026 13h27'!$Y:$Y,'Breackdown-Global'!P$3)</f>
        <v>0</v>
      </c>
      <c r="P12" s="26">
        <f>SUMIFS('cell downs 07062026 13h27'!$Z:$Z,'cell downs 07062026 13h27'!$S:$S,'Breackdown-Global'!$G12,'cell downs 07062026 13h27'!$Y:$Y,'Breackdown-Global'!Q$3)</f>
        <v>0</v>
      </c>
      <c r="Q12" s="27">
        <f t="shared" si="0"/>
        <v>0</v>
      </c>
    </row>
    <row r="13" spans="1:20" ht="28.5" x14ac:dyDescent="0.65">
      <c r="A13" s="25" t="s">
        <v>73</v>
      </c>
      <c r="B13" s="13">
        <f>SUMIFS('cell downs 07062026 9h35'!$Z:$Z,'cell downs 07062026 9h35'!$S:$S,'Breackdown-Global'!$G14)</f>
        <v>0</v>
      </c>
      <c r="C13" s="13">
        <f>SUMIFS(New!$Z:$Z,New!$S:$S,'Breackdown-Global'!G14)</f>
        <v>0</v>
      </c>
      <c r="D13" s="14">
        <f>SUMIFS(UP!Z:Z,UP!S:S,'Breackdown-Global'!A13)</f>
        <v>0</v>
      </c>
      <c r="E13" s="13">
        <f>SUMIFS('cell downs 07062026 13h27'!$Z:$Z,'cell downs 07062026 13h27'!$S:$S,'Breackdown-Global'!$G14)</f>
        <v>0</v>
      </c>
      <c r="G13" s="25" t="s">
        <v>45</v>
      </c>
      <c r="H13" s="26">
        <f>SUMIFS('cell downs 07062026 13h27'!$Z:$Z,'cell downs 07062026 13h27'!$S:$S,'Breackdown-Global'!$G13,'cell downs 07062026 13h27'!$Y:$Y,'Breackdown-Global'!I$3)</f>
        <v>0</v>
      </c>
      <c r="I13" s="26">
        <f>SUMIFS('cell downs 07062026 13h27'!$Z:$Z,'cell downs 07062026 13h27'!$S:$S,'Breackdown-Global'!$G13,'cell downs 07062026 13h27'!$Y:$Y,'Breackdown-Global'!J$3)</f>
        <v>0</v>
      </c>
      <c r="J13" s="26">
        <f>SUMIFS('cell downs 07062026 13h27'!$Z:$Z,'cell downs 07062026 13h27'!$S:$S,'Breackdown-Global'!$G13,'cell downs 07062026 13h27'!$Y:$Y,'Breackdown-Global'!K$3)</f>
        <v>0</v>
      </c>
      <c r="K13" s="26">
        <f>SUMIFS('cell downs 07062026 13h27'!$Z:$Z,'cell downs 07062026 13h27'!$S:$S,'Breackdown-Global'!$G13,'cell downs 07062026 13h27'!$Y:$Y,'Breackdown-Global'!L$3)</f>
        <v>0</v>
      </c>
      <c r="L13" s="26">
        <f>SUMIFS('cell downs 07062026 13h27'!$Z:$Z,'cell downs 07062026 13h27'!$S:$S,'Breackdown-Global'!$G13,'cell downs 07062026 13h27'!$Y:$Y,'Breackdown-Global'!M$3)</f>
        <v>2</v>
      </c>
      <c r="M13" s="26">
        <f>SUMIFS('cell downs 07062026 13h27'!$Z:$Z,'cell downs 07062026 13h27'!$S:$S,'Breackdown-Global'!$G13,'cell downs 07062026 13h27'!$Y:$Y,'Breackdown-Global'!N$3)</f>
        <v>1</v>
      </c>
      <c r="N13" s="26">
        <f>SUMIFS('cell downs 07062026 13h27'!$Z:$Z,'cell downs 07062026 13h27'!$S:$S,'Breackdown-Global'!$G13,'cell downs 07062026 13h27'!$Y:$Y,'Breackdown-Global'!O$3)</f>
        <v>3</v>
      </c>
      <c r="O13" s="26">
        <f>SUMIFS('cell downs 07062026 13h27'!$Z:$Z,'cell downs 07062026 13h27'!$S:$S,'Breackdown-Global'!$G13,'cell downs 07062026 13h27'!$Y:$Y,'Breackdown-Global'!P$3)</f>
        <v>0</v>
      </c>
      <c r="P13" s="26">
        <f>SUMIFS('cell downs 07062026 13h27'!$Z:$Z,'cell downs 07062026 13h27'!$S:$S,'Breackdown-Global'!$G13,'cell downs 07062026 13h27'!$Y:$Y,'Breackdown-Global'!Q$3)</f>
        <v>0</v>
      </c>
      <c r="Q13" s="27">
        <f t="shared" si="0"/>
        <v>6</v>
      </c>
    </row>
    <row r="14" spans="1:20" ht="28.5" x14ac:dyDescent="0.65">
      <c r="A14" s="25" t="s">
        <v>50</v>
      </c>
      <c r="B14" s="13">
        <f>SUMIFS('cell downs 07062026 9h35'!$Z:$Z,'cell downs 07062026 9h35'!$S:$S,'Breackdown-Global'!$G15)</f>
        <v>0</v>
      </c>
      <c r="C14" s="13">
        <f>SUMIFS(New!$Z:$Z,New!$S:$S,'Breackdown-Global'!G15)</f>
        <v>0</v>
      </c>
      <c r="D14" s="14">
        <f>SUMIFS(UP!Z:Z,UP!S:S,'Breackdown-Global'!A14)</f>
        <v>0</v>
      </c>
      <c r="E14" s="13">
        <f>SUMIFS('cell downs 07062026 13h27'!$Z:$Z,'cell downs 07062026 13h27'!$S:$S,'Breackdown-Global'!$G15)</f>
        <v>0</v>
      </c>
      <c r="G14" s="25" t="s">
        <v>73</v>
      </c>
      <c r="H14" s="26">
        <f>SUMIFS('cell downs 07062026 13h27'!$Z:$Z,'cell downs 07062026 13h27'!$S:$S,'Breackdown-Global'!$G14,'cell downs 07062026 13h27'!$Y:$Y,'Breackdown-Global'!I$3)</f>
        <v>0</v>
      </c>
      <c r="I14" s="26">
        <f>SUMIFS('cell downs 07062026 13h27'!$Z:$Z,'cell downs 07062026 13h27'!$S:$S,'Breackdown-Global'!$G14,'cell downs 07062026 13h27'!$Y:$Y,'Breackdown-Global'!J$3)</f>
        <v>0</v>
      </c>
      <c r="J14" s="26">
        <f>SUMIFS('cell downs 07062026 13h27'!$Z:$Z,'cell downs 07062026 13h27'!$S:$S,'Breackdown-Global'!$G14,'cell downs 07062026 13h27'!$Y:$Y,'Breackdown-Global'!K$3)</f>
        <v>0</v>
      </c>
      <c r="K14" s="26">
        <f>SUMIFS('cell downs 07062026 13h27'!$Z:$Z,'cell downs 07062026 13h27'!$S:$S,'Breackdown-Global'!$G14,'cell downs 07062026 13h27'!$Y:$Y,'Breackdown-Global'!L$3)</f>
        <v>0</v>
      </c>
      <c r="L14" s="26">
        <f>SUMIFS('cell downs 07062026 13h27'!$Z:$Z,'cell downs 07062026 13h27'!$S:$S,'Breackdown-Global'!$G14,'cell downs 07062026 13h27'!$Y:$Y,'Breackdown-Global'!M$3)</f>
        <v>0</v>
      </c>
      <c r="M14" s="26">
        <f>SUMIFS('cell downs 07062026 13h27'!$Z:$Z,'cell downs 07062026 13h27'!$S:$S,'Breackdown-Global'!$G14,'cell downs 07062026 13h27'!$Y:$Y,'Breackdown-Global'!N$3)</f>
        <v>0</v>
      </c>
      <c r="N14" s="26">
        <f>SUMIFS('cell downs 07062026 13h27'!$Z:$Z,'cell downs 07062026 13h27'!$S:$S,'Breackdown-Global'!$G14,'cell downs 07062026 13h27'!$Y:$Y,'Breackdown-Global'!O$3)</f>
        <v>0</v>
      </c>
      <c r="O14" s="26">
        <f>SUMIFS('cell downs 07062026 13h27'!$Z:$Z,'cell downs 07062026 13h27'!$S:$S,'Breackdown-Global'!$G14,'cell downs 07062026 13h27'!$Y:$Y,'Breackdown-Global'!P$3)</f>
        <v>0</v>
      </c>
      <c r="P14" s="26">
        <f>SUMIFS('cell downs 07062026 13h27'!$Z:$Z,'cell downs 07062026 13h27'!$S:$S,'Breackdown-Global'!$G14,'cell downs 07062026 13h27'!$Y:$Y,'Breackdown-Global'!Q$3)</f>
        <v>0</v>
      </c>
      <c r="Q14" s="27">
        <f t="shared" si="0"/>
        <v>0</v>
      </c>
    </row>
    <row r="15" spans="1:20" ht="28.5" x14ac:dyDescent="0.65">
      <c r="A15" s="25" t="s">
        <v>87</v>
      </c>
      <c r="B15" s="13">
        <f>SUMIFS('cell downs 07062026 9h35'!$Z:$Z,'cell downs 07062026 9h35'!$S:$S,'Breackdown-Global'!$G16)</f>
        <v>0</v>
      </c>
      <c r="C15" s="13">
        <f>SUMIFS(New!$Z:$Z,New!$S:$S,'Breackdown-Global'!G16)</f>
        <v>0</v>
      </c>
      <c r="D15" s="14">
        <f>SUMIFS(UP!Z:Z,UP!S:S,'Breackdown-Global'!A15)</f>
        <v>0</v>
      </c>
      <c r="E15" s="13">
        <f>SUMIFS('cell downs 07062026 13h27'!$Z:$Z,'cell downs 07062026 13h27'!$S:$S,'Breackdown-Global'!$G16)</f>
        <v>0</v>
      </c>
      <c r="G15" s="25" t="s">
        <v>50</v>
      </c>
      <c r="H15" s="26">
        <f>SUMIFS('cell downs 07062026 13h27'!$Z:$Z,'cell downs 07062026 13h27'!$S:$S,'Breackdown-Global'!$G15,'cell downs 07062026 13h27'!$Y:$Y,'Breackdown-Global'!I$3)</f>
        <v>0</v>
      </c>
      <c r="I15" s="26">
        <f>SUMIFS('cell downs 07062026 13h27'!$Z:$Z,'cell downs 07062026 13h27'!$S:$S,'Breackdown-Global'!$G15,'cell downs 07062026 13h27'!$Y:$Y,'Breackdown-Global'!J$3)</f>
        <v>0</v>
      </c>
      <c r="J15" s="26">
        <f>SUMIFS('cell downs 07062026 13h27'!$Z:$Z,'cell downs 07062026 13h27'!$S:$S,'Breackdown-Global'!$G15,'cell downs 07062026 13h27'!$Y:$Y,'Breackdown-Global'!K$3)</f>
        <v>0</v>
      </c>
      <c r="K15" s="26">
        <f>SUMIFS('cell downs 07062026 13h27'!$Z:$Z,'cell downs 07062026 13h27'!$S:$S,'Breackdown-Global'!$G15,'cell downs 07062026 13h27'!$Y:$Y,'Breackdown-Global'!L$3)</f>
        <v>0</v>
      </c>
      <c r="L15" s="26">
        <f>SUMIFS('cell downs 07062026 13h27'!$Z:$Z,'cell downs 07062026 13h27'!$S:$S,'Breackdown-Global'!$G15,'cell downs 07062026 13h27'!$Y:$Y,'Breackdown-Global'!M$3)</f>
        <v>0</v>
      </c>
      <c r="M15" s="26">
        <f>SUMIFS('cell downs 07062026 13h27'!$Z:$Z,'cell downs 07062026 13h27'!$S:$S,'Breackdown-Global'!$G15,'cell downs 07062026 13h27'!$Y:$Y,'Breackdown-Global'!N$3)</f>
        <v>0</v>
      </c>
      <c r="N15" s="26">
        <f>SUMIFS('cell downs 07062026 13h27'!$Z:$Z,'cell downs 07062026 13h27'!$S:$S,'Breackdown-Global'!$G15,'cell downs 07062026 13h27'!$Y:$Y,'Breackdown-Global'!O$3)</f>
        <v>0</v>
      </c>
      <c r="O15" s="26">
        <f>SUMIFS('cell downs 07062026 13h27'!$Z:$Z,'cell downs 07062026 13h27'!$S:$S,'Breackdown-Global'!$G15,'cell downs 07062026 13h27'!$Y:$Y,'Breackdown-Global'!P$3)</f>
        <v>0</v>
      </c>
      <c r="P15" s="26">
        <f>SUMIFS('cell downs 07062026 13h27'!$Z:$Z,'cell downs 07062026 13h27'!$S:$S,'Breackdown-Global'!$G15,'cell downs 07062026 13h27'!$Y:$Y,'Breackdown-Global'!Q$3)</f>
        <v>0</v>
      </c>
      <c r="Q15" s="27">
        <f t="shared" si="0"/>
        <v>0</v>
      </c>
    </row>
    <row r="16" spans="1:20" ht="28.5" x14ac:dyDescent="0.65">
      <c r="A16" s="28" t="s">
        <v>83</v>
      </c>
      <c r="B16" s="28">
        <f>SUM(B3:B15)</f>
        <v>111</v>
      </c>
      <c r="C16" s="28">
        <f>SUM(C3:C15)</f>
        <v>24</v>
      </c>
      <c r="D16" s="28">
        <f>SUM(D3:D15)</f>
        <v>5</v>
      </c>
      <c r="E16" s="28">
        <f>SUM(E3:E15)</f>
        <v>130</v>
      </c>
      <c r="G16" s="25" t="s">
        <v>87</v>
      </c>
      <c r="H16" s="26">
        <f>SUMIFS('cell downs 07062026 13h27'!$Z:$Z,'cell downs 07062026 13h27'!$S:$S,'Breackdown-Global'!$G16,'cell downs 07062026 13h27'!$Y:$Y,'Breackdown-Global'!I$3)</f>
        <v>0</v>
      </c>
      <c r="I16" s="26">
        <f>SUMIFS('cell downs 07062026 13h27'!$Z:$Z,'cell downs 07062026 13h27'!$S:$S,'Breackdown-Global'!$G16,'cell downs 07062026 13h27'!$Y:$Y,'Breackdown-Global'!J$3)</f>
        <v>0</v>
      </c>
      <c r="J16" s="26">
        <f>SUMIFS('cell downs 07062026 13h27'!$Z:$Z,'cell downs 07062026 13h27'!$S:$S,'Breackdown-Global'!$G16,'cell downs 07062026 13h27'!$Y:$Y,'Breackdown-Global'!K$3)</f>
        <v>0</v>
      </c>
      <c r="K16" s="26">
        <f>SUMIFS('cell downs 07062026 13h27'!$Z:$Z,'cell downs 07062026 13h27'!$S:$S,'Breackdown-Global'!$G16,'cell downs 07062026 13h27'!$Y:$Y,'Breackdown-Global'!L$3)</f>
        <v>0</v>
      </c>
      <c r="L16" s="26">
        <f>SUMIFS('cell downs 07062026 13h27'!$Z:$Z,'cell downs 07062026 13h27'!$S:$S,'Breackdown-Global'!$G16,'cell downs 07062026 13h27'!$Y:$Y,'Breackdown-Global'!M$3)</f>
        <v>0</v>
      </c>
      <c r="M16" s="26">
        <f>SUMIFS('cell downs 07062026 13h27'!$Z:$Z,'cell downs 07062026 13h27'!$S:$S,'Breackdown-Global'!$G16,'cell downs 07062026 13h27'!$Y:$Y,'Breackdown-Global'!N$3)</f>
        <v>0</v>
      </c>
      <c r="N16" s="26">
        <f>SUMIFS('cell downs 07062026 13h27'!$Z:$Z,'cell downs 07062026 13h27'!$S:$S,'Breackdown-Global'!$G16,'cell downs 07062026 13h27'!$Y:$Y,'Breackdown-Global'!O$3)</f>
        <v>0</v>
      </c>
      <c r="O16" s="26">
        <f>SUMIFS('cell downs 07062026 13h27'!$Z:$Z,'cell downs 07062026 13h27'!$S:$S,'Breackdown-Global'!$G16,'cell downs 07062026 13h27'!$Y:$Y,'Breackdown-Global'!P$3)</f>
        <v>0</v>
      </c>
      <c r="P16" s="26">
        <f>SUMIFS('cell downs 07062026 13h27'!$Z:$Z,'cell downs 07062026 13h27'!$S:$S,'Breackdown-Global'!$G16,'cell downs 07062026 13h27'!$Y:$Y,'Breackdown-Global'!Q$3)</f>
        <v>0</v>
      </c>
      <c r="Q16" s="27">
        <f t="shared" si="0"/>
        <v>0</v>
      </c>
    </row>
    <row r="17" spans="1:17" s="29" customFormat="1" ht="31" x14ac:dyDescent="0.7">
      <c r="A17"/>
      <c r="B17"/>
      <c r="C17"/>
      <c r="D17"/>
      <c r="E17"/>
      <c r="G17" s="30" t="s">
        <v>88</v>
      </c>
      <c r="H17" s="31">
        <f t="shared" ref="H17:Q17" si="1">SUM(H4:H16)</f>
        <v>1</v>
      </c>
      <c r="I17" s="31">
        <f t="shared" si="1"/>
        <v>11</v>
      </c>
      <c r="J17" s="31">
        <f t="shared" si="1"/>
        <v>12</v>
      </c>
      <c r="K17" s="31">
        <f t="shared" si="1"/>
        <v>2</v>
      </c>
      <c r="L17" s="31">
        <f t="shared" si="1"/>
        <v>14</v>
      </c>
      <c r="M17" s="31">
        <f t="shared" si="1"/>
        <v>21</v>
      </c>
      <c r="N17" s="31">
        <f>SUM(N4:N16)</f>
        <v>12</v>
      </c>
      <c r="O17" s="31">
        <f t="shared" si="1"/>
        <v>43</v>
      </c>
      <c r="P17" s="31">
        <f t="shared" si="1"/>
        <v>0</v>
      </c>
      <c r="Q17" s="31">
        <f t="shared" si="1"/>
        <v>116</v>
      </c>
    </row>
    <row r="18" spans="1:17" x14ac:dyDescent="0.35">
      <c r="A18" s="29"/>
      <c r="B18" s="29"/>
      <c r="C18" s="29"/>
      <c r="D18" s="29"/>
      <c r="E18" s="29"/>
    </row>
    <row r="19" spans="1:17" x14ac:dyDescent="0.35">
      <c r="A19"/>
    </row>
    <row r="20" spans="1:17" x14ac:dyDescent="0.35">
      <c r="A20"/>
    </row>
    <row r="21" spans="1:17" x14ac:dyDescent="0.35">
      <c r="A21"/>
    </row>
    <row r="33" spans="10:10" x14ac:dyDescent="0.35">
      <c r="J33" s="1"/>
    </row>
  </sheetData>
  <mergeCells count="1">
    <mergeCell ref="G2:Q2"/>
  </mergeCells>
  <pageMargins left="0.7" right="0.7" top="0.75" bottom="0.75" header="0.3" footer="0.3"/>
  <pageSetup orientation="portrait" horizontalDpi="180" verticalDpi="18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8A06-0345-4D2B-98A6-9133613B6439}">
  <sheetPr codeName="Sheet17">
    <tabColor theme="5" tint="-0.249977111117893"/>
  </sheetPr>
  <dimension ref="A1:AE15"/>
  <sheetViews>
    <sheetView zoomScale="98" zoomScaleNormal="70" workbookViewId="0">
      <pane xSplit="2" ySplit="1" topLeftCell="L2" activePane="bottomRight" state="frozen"/>
      <selection activeCell="J231" sqref="J231"/>
      <selection pane="topRight" activeCell="J231" sqref="J231"/>
      <selection pane="bottomLeft" activeCell="J231" sqref="J231"/>
      <selection pane="bottomRight" activeCell="Z1" sqref="Z1:Z1048576"/>
    </sheetView>
  </sheetViews>
  <sheetFormatPr defaultColWidth="8.81640625" defaultRowHeight="14.5" x14ac:dyDescent="0.35"/>
  <cols>
    <col min="5" max="6" width="8.81640625" style="1"/>
  </cols>
  <sheetData>
    <row r="1" spans="1:31" ht="72.5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9" t="s">
        <v>1691</v>
      </c>
      <c r="T1" s="112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409.5" x14ac:dyDescent="0.35">
      <c r="A2" s="61" t="s">
        <v>2710</v>
      </c>
      <c r="B2" s="61" t="s">
        <v>2711</v>
      </c>
      <c r="C2" s="65"/>
      <c r="D2" s="61"/>
      <c r="E2" s="61" t="s">
        <v>39</v>
      </c>
      <c r="F2" s="70" t="s">
        <v>53</v>
      </c>
      <c r="G2" s="70" t="s">
        <v>2121</v>
      </c>
      <c r="H2" s="67">
        <v>46180.433206018519</v>
      </c>
      <c r="I2" s="75">
        <v>0.13270868055406027</v>
      </c>
      <c r="J2" s="61"/>
      <c r="K2" s="61"/>
      <c r="L2" s="61"/>
      <c r="M2" s="61" t="s">
        <v>1707</v>
      </c>
      <c r="N2" s="61" t="s">
        <v>2712</v>
      </c>
      <c r="O2" s="61"/>
      <c r="P2" s="61"/>
      <c r="Q2" s="61"/>
      <c r="R2" s="84" t="s">
        <v>2731</v>
      </c>
      <c r="S2" s="61" t="s">
        <v>51</v>
      </c>
      <c r="T2" s="61" t="s">
        <v>1898</v>
      </c>
      <c r="U2" s="61" t="s">
        <v>1898</v>
      </c>
      <c r="V2" s="101" t="s">
        <v>1583</v>
      </c>
      <c r="W2" s="101" t="s">
        <v>2742</v>
      </c>
      <c r="X2" s="88" t="s">
        <v>2096</v>
      </c>
      <c r="Y2" s="88" t="s">
        <v>55</v>
      </c>
      <c r="Z2" s="101">
        <v>1</v>
      </c>
      <c r="AA2" s="61"/>
      <c r="AB2" s="84" t="s">
        <v>1555</v>
      </c>
      <c r="AC2" s="105" t="s">
        <v>2730</v>
      </c>
      <c r="AD2" s="106" t="s">
        <v>1994</v>
      </c>
      <c r="AE2" s="61"/>
    </row>
    <row r="3" spans="1:31" ht="319" x14ac:dyDescent="0.35">
      <c r="A3" s="61" t="s">
        <v>2710</v>
      </c>
      <c r="B3" s="61" t="s">
        <v>2711</v>
      </c>
      <c r="C3" s="65"/>
      <c r="D3" s="61"/>
      <c r="E3" s="61" t="s">
        <v>2713</v>
      </c>
      <c r="F3" s="70" t="s">
        <v>53</v>
      </c>
      <c r="G3" s="70" t="s">
        <v>2121</v>
      </c>
      <c r="H3" s="67">
        <v>46180.435312499998</v>
      </c>
      <c r="I3" s="75">
        <v>0.13060219907492865</v>
      </c>
      <c r="J3" s="61"/>
      <c r="K3" s="61"/>
      <c r="L3" s="61"/>
      <c r="M3" s="61" t="s">
        <v>31</v>
      </c>
      <c r="N3" s="61" t="s">
        <v>2714</v>
      </c>
      <c r="O3" s="61"/>
      <c r="P3" s="61"/>
      <c r="Q3" s="61"/>
      <c r="R3" s="84" t="s">
        <v>2731</v>
      </c>
      <c r="S3" s="61" t="s">
        <v>51</v>
      </c>
      <c r="T3" s="61" t="s">
        <v>1898</v>
      </c>
      <c r="U3" s="61" t="s">
        <v>1898</v>
      </c>
      <c r="V3" s="101" t="s">
        <v>1583</v>
      </c>
      <c r="W3" s="101" t="s">
        <v>2742</v>
      </c>
      <c r="X3" s="88" t="s">
        <v>2096</v>
      </c>
      <c r="Y3" s="88" t="s">
        <v>55</v>
      </c>
      <c r="Z3" s="101">
        <v>9</v>
      </c>
      <c r="AA3" s="61"/>
      <c r="AB3" s="84" t="s">
        <v>1555</v>
      </c>
      <c r="AC3" s="105" t="s">
        <v>2730</v>
      </c>
      <c r="AD3" s="106" t="s">
        <v>1994</v>
      </c>
      <c r="AE3" s="61"/>
    </row>
    <row r="4" spans="1:31" ht="391.5" x14ac:dyDescent="0.35">
      <c r="A4" s="61" t="s">
        <v>2710</v>
      </c>
      <c r="B4" s="61" t="s">
        <v>2711</v>
      </c>
      <c r="C4" s="65"/>
      <c r="D4" s="61"/>
      <c r="E4" s="61" t="s">
        <v>39</v>
      </c>
      <c r="F4" s="70" t="s">
        <v>53</v>
      </c>
      <c r="G4" s="70" t="s">
        <v>2121</v>
      </c>
      <c r="H4" s="67">
        <v>46180.435636574075</v>
      </c>
      <c r="I4" s="75">
        <v>0.13027812499785796</v>
      </c>
      <c r="J4" s="61"/>
      <c r="K4" s="61"/>
      <c r="L4" s="61"/>
      <c r="M4" s="61" t="s">
        <v>1769</v>
      </c>
      <c r="N4" s="61" t="s">
        <v>2715</v>
      </c>
      <c r="O4" s="61"/>
      <c r="P4" s="61"/>
      <c r="Q4" s="61"/>
      <c r="R4" s="84" t="s">
        <v>2731</v>
      </c>
      <c r="S4" s="61" t="s">
        <v>51</v>
      </c>
      <c r="T4" s="61" t="s">
        <v>1898</v>
      </c>
      <c r="U4" s="61" t="s">
        <v>1898</v>
      </c>
      <c r="V4" s="101" t="s">
        <v>1583</v>
      </c>
      <c r="W4" s="101" t="s">
        <v>2742</v>
      </c>
      <c r="X4" s="88" t="s">
        <v>2096</v>
      </c>
      <c r="Y4" s="88" t="s">
        <v>55</v>
      </c>
      <c r="Z4" s="101">
        <v>1</v>
      </c>
      <c r="AA4" s="61"/>
      <c r="AB4" s="84" t="s">
        <v>1555</v>
      </c>
      <c r="AC4" s="105" t="s">
        <v>2730</v>
      </c>
      <c r="AD4" s="106" t="s">
        <v>1994</v>
      </c>
      <c r="AE4" s="61"/>
    </row>
    <row r="5" spans="1:31" ht="261" x14ac:dyDescent="0.35">
      <c r="A5" s="61" t="s">
        <v>2716</v>
      </c>
      <c r="B5" s="61" t="s">
        <v>2717</v>
      </c>
      <c r="C5" s="65"/>
      <c r="D5" s="61"/>
      <c r="E5" s="61" t="s">
        <v>2718</v>
      </c>
      <c r="F5" s="70" t="s">
        <v>53</v>
      </c>
      <c r="G5" s="70" t="s">
        <v>2121</v>
      </c>
      <c r="H5" s="67">
        <v>46180.530543981484</v>
      </c>
      <c r="I5" s="75">
        <v>3.5370717589103151E-2</v>
      </c>
      <c r="J5" s="61"/>
      <c r="K5" s="61"/>
      <c r="L5" s="61"/>
      <c r="M5" s="61" t="s">
        <v>41</v>
      </c>
      <c r="N5" s="61" t="s">
        <v>42</v>
      </c>
      <c r="O5" s="61"/>
      <c r="P5" s="61"/>
      <c r="Q5" s="61"/>
      <c r="R5" s="84" t="s">
        <v>2731</v>
      </c>
      <c r="S5" s="61" t="s">
        <v>51</v>
      </c>
      <c r="T5" s="61" t="s">
        <v>1898</v>
      </c>
      <c r="U5" s="61" t="s">
        <v>1898</v>
      </c>
      <c r="V5" s="101" t="s">
        <v>2509</v>
      </c>
      <c r="W5" s="101" t="s">
        <v>2743</v>
      </c>
      <c r="X5" s="88" t="s">
        <v>2510</v>
      </c>
      <c r="Y5" s="88" t="s">
        <v>79</v>
      </c>
      <c r="Z5" s="101">
        <v>1</v>
      </c>
      <c r="AA5" s="61"/>
      <c r="AB5" s="84" t="s">
        <v>1555</v>
      </c>
      <c r="AC5" s="105" t="s">
        <v>2730</v>
      </c>
      <c r="AD5" s="106" t="s">
        <v>1994</v>
      </c>
      <c r="AE5" s="61"/>
    </row>
    <row r="6" spans="1:31" ht="261" x14ac:dyDescent="0.35">
      <c r="A6" s="61" t="s">
        <v>2716</v>
      </c>
      <c r="B6" s="61" t="s">
        <v>2717</v>
      </c>
      <c r="C6" s="65"/>
      <c r="D6" s="61"/>
      <c r="E6" s="61" t="s">
        <v>2719</v>
      </c>
      <c r="F6" s="70" t="s">
        <v>53</v>
      </c>
      <c r="G6" s="70" t="s">
        <v>2121</v>
      </c>
      <c r="H6" s="67">
        <v>46180.530543981484</v>
      </c>
      <c r="I6" s="75">
        <v>3.5370717589103151E-2</v>
      </c>
      <c r="J6" s="61"/>
      <c r="K6" s="61"/>
      <c r="L6" s="61"/>
      <c r="M6" s="61" t="s">
        <v>41</v>
      </c>
      <c r="N6" s="61" t="s">
        <v>42</v>
      </c>
      <c r="O6" s="61"/>
      <c r="P6" s="61"/>
      <c r="Q6" s="61"/>
      <c r="R6" s="84" t="s">
        <v>2731</v>
      </c>
      <c r="S6" s="61" t="s">
        <v>51</v>
      </c>
      <c r="T6" s="61" t="s">
        <v>1898</v>
      </c>
      <c r="U6" s="61" t="s">
        <v>1898</v>
      </c>
      <c r="V6" s="101" t="s">
        <v>2509</v>
      </c>
      <c r="W6" s="101" t="s">
        <v>2743</v>
      </c>
      <c r="X6" s="88" t="s">
        <v>2510</v>
      </c>
      <c r="Y6" s="88" t="s">
        <v>79</v>
      </c>
      <c r="Z6" s="101">
        <v>1</v>
      </c>
      <c r="AA6" s="61"/>
      <c r="AB6" s="84" t="s">
        <v>1555</v>
      </c>
      <c r="AC6" s="105" t="s">
        <v>2730</v>
      </c>
      <c r="AD6" s="106" t="s">
        <v>1994</v>
      </c>
      <c r="AE6" s="61"/>
    </row>
    <row r="7" spans="1:31" ht="261" x14ac:dyDescent="0.35">
      <c r="A7" s="61" t="s">
        <v>2716</v>
      </c>
      <c r="B7" s="61" t="s">
        <v>2717</v>
      </c>
      <c r="C7" s="65"/>
      <c r="D7" s="61"/>
      <c r="E7" s="61" t="s">
        <v>2720</v>
      </c>
      <c r="F7" s="70" t="s">
        <v>53</v>
      </c>
      <c r="G7" s="70" t="s">
        <v>2121</v>
      </c>
      <c r="H7" s="67">
        <v>46180.530543981484</v>
      </c>
      <c r="I7" s="75">
        <v>3.5370717589103151E-2</v>
      </c>
      <c r="J7" s="61"/>
      <c r="K7" s="61"/>
      <c r="L7" s="61"/>
      <c r="M7" s="61" t="s">
        <v>41</v>
      </c>
      <c r="N7" s="61" t="s">
        <v>42</v>
      </c>
      <c r="O7" s="61"/>
      <c r="P7" s="61"/>
      <c r="Q7" s="61"/>
      <c r="R7" s="84" t="s">
        <v>2731</v>
      </c>
      <c r="S7" s="61" t="s">
        <v>51</v>
      </c>
      <c r="T7" s="61" t="s">
        <v>1898</v>
      </c>
      <c r="U7" s="61" t="s">
        <v>1898</v>
      </c>
      <c r="V7" s="101" t="s">
        <v>2509</v>
      </c>
      <c r="W7" s="101" t="s">
        <v>2743</v>
      </c>
      <c r="X7" s="88" t="s">
        <v>2510</v>
      </c>
      <c r="Y7" s="88" t="s">
        <v>79</v>
      </c>
      <c r="Z7" s="101">
        <v>1</v>
      </c>
      <c r="AA7" s="61"/>
      <c r="AB7" s="84" t="s">
        <v>1555</v>
      </c>
      <c r="AC7" s="105" t="s">
        <v>2730</v>
      </c>
      <c r="AD7" s="106" t="s">
        <v>1994</v>
      </c>
      <c r="AE7" s="61"/>
    </row>
    <row r="8" spans="1:31" ht="261" x14ac:dyDescent="0.35">
      <c r="A8" s="61" t="s">
        <v>2716</v>
      </c>
      <c r="B8" s="61" t="s">
        <v>2717</v>
      </c>
      <c r="C8" s="65"/>
      <c r="D8" s="61"/>
      <c r="E8" s="61" t="s">
        <v>2721</v>
      </c>
      <c r="F8" s="70" t="s">
        <v>53</v>
      </c>
      <c r="G8" s="70" t="s">
        <v>2121</v>
      </c>
      <c r="H8" s="67">
        <v>46180.530543981484</v>
      </c>
      <c r="I8" s="75">
        <v>3.5370717589103151E-2</v>
      </c>
      <c r="J8" s="61"/>
      <c r="K8" s="61"/>
      <c r="L8" s="61"/>
      <c r="M8" s="61" t="s">
        <v>41</v>
      </c>
      <c r="N8" s="61" t="s">
        <v>42</v>
      </c>
      <c r="O8" s="61"/>
      <c r="P8" s="61"/>
      <c r="Q8" s="61"/>
      <c r="R8" s="84" t="s">
        <v>2731</v>
      </c>
      <c r="S8" s="61" t="s">
        <v>51</v>
      </c>
      <c r="T8" s="61" t="s">
        <v>1898</v>
      </c>
      <c r="U8" s="61" t="s">
        <v>1898</v>
      </c>
      <c r="V8" s="101" t="s">
        <v>2509</v>
      </c>
      <c r="W8" s="101" t="s">
        <v>2743</v>
      </c>
      <c r="X8" s="88" t="s">
        <v>2510</v>
      </c>
      <c r="Y8" s="88" t="s">
        <v>79</v>
      </c>
      <c r="Z8" s="101">
        <v>1</v>
      </c>
      <c r="AA8" s="61"/>
      <c r="AB8" s="84" t="s">
        <v>1555</v>
      </c>
      <c r="AC8" s="105" t="s">
        <v>2730</v>
      </c>
      <c r="AD8" s="106" t="s">
        <v>1994</v>
      </c>
      <c r="AE8" s="61"/>
    </row>
    <row r="9" spans="1:31" ht="261" x14ac:dyDescent="0.35">
      <c r="A9" s="61" t="s">
        <v>2716</v>
      </c>
      <c r="B9" s="61" t="s">
        <v>2717</v>
      </c>
      <c r="C9" s="65"/>
      <c r="D9" s="61"/>
      <c r="E9" s="61" t="s">
        <v>2722</v>
      </c>
      <c r="F9" s="70" t="s">
        <v>53</v>
      </c>
      <c r="G9" s="70" t="s">
        <v>2121</v>
      </c>
      <c r="H9" s="67">
        <v>46180.530543981484</v>
      </c>
      <c r="I9" s="75">
        <v>3.5370717589103151E-2</v>
      </c>
      <c r="J9" s="61"/>
      <c r="K9" s="61"/>
      <c r="L9" s="61"/>
      <c r="M9" s="61" t="s">
        <v>41</v>
      </c>
      <c r="N9" s="61" t="s">
        <v>42</v>
      </c>
      <c r="O9" s="61"/>
      <c r="P9" s="61"/>
      <c r="Q9" s="61"/>
      <c r="R9" s="84" t="s">
        <v>2731</v>
      </c>
      <c r="S9" s="61" t="s">
        <v>51</v>
      </c>
      <c r="T9" s="61" t="s">
        <v>1898</v>
      </c>
      <c r="U9" s="61" t="s">
        <v>1898</v>
      </c>
      <c r="V9" s="101" t="s">
        <v>2509</v>
      </c>
      <c r="W9" s="101" t="s">
        <v>2743</v>
      </c>
      <c r="X9" s="88" t="s">
        <v>2510</v>
      </c>
      <c r="Y9" s="88" t="s">
        <v>79</v>
      </c>
      <c r="Z9" s="101">
        <v>1</v>
      </c>
      <c r="AA9" s="61"/>
      <c r="AB9" s="84" t="s">
        <v>1555</v>
      </c>
      <c r="AC9" s="105" t="s">
        <v>2730</v>
      </c>
      <c r="AD9" s="106" t="s">
        <v>1994</v>
      </c>
      <c r="AE9" s="61"/>
    </row>
    <row r="10" spans="1:31" ht="261" x14ac:dyDescent="0.35">
      <c r="A10" s="61" t="s">
        <v>2716</v>
      </c>
      <c r="B10" s="61" t="s">
        <v>2717</v>
      </c>
      <c r="C10" s="65"/>
      <c r="D10" s="61"/>
      <c r="E10" s="61" t="s">
        <v>2723</v>
      </c>
      <c r="F10" s="70" t="s">
        <v>53</v>
      </c>
      <c r="G10" s="70" t="s">
        <v>2121</v>
      </c>
      <c r="H10" s="67">
        <v>46180.530543981484</v>
      </c>
      <c r="I10" s="75">
        <v>3.5370717589103151E-2</v>
      </c>
      <c r="J10" s="61"/>
      <c r="K10" s="61"/>
      <c r="L10" s="61"/>
      <c r="M10" s="61" t="s">
        <v>41</v>
      </c>
      <c r="N10" s="61" t="s">
        <v>42</v>
      </c>
      <c r="O10" s="61"/>
      <c r="P10" s="61"/>
      <c r="Q10" s="61"/>
      <c r="R10" s="84" t="s">
        <v>2731</v>
      </c>
      <c r="S10" s="61" t="s">
        <v>51</v>
      </c>
      <c r="T10" s="61" t="s">
        <v>1898</v>
      </c>
      <c r="U10" s="61" t="s">
        <v>1898</v>
      </c>
      <c r="V10" s="101" t="s">
        <v>2509</v>
      </c>
      <c r="W10" s="101" t="s">
        <v>2743</v>
      </c>
      <c r="X10" s="88" t="s">
        <v>2510</v>
      </c>
      <c r="Y10" s="88" t="s">
        <v>79</v>
      </c>
      <c r="Z10" s="101">
        <v>1</v>
      </c>
      <c r="AA10" s="61"/>
      <c r="AB10" s="84" t="s">
        <v>1555</v>
      </c>
      <c r="AC10" s="105" t="s">
        <v>2730</v>
      </c>
      <c r="AD10" s="106" t="s">
        <v>1994</v>
      </c>
      <c r="AE10" s="61"/>
    </row>
    <row r="11" spans="1:31" ht="261" x14ac:dyDescent="0.35">
      <c r="A11" s="61" t="s">
        <v>2716</v>
      </c>
      <c r="B11" s="61" t="s">
        <v>2717</v>
      </c>
      <c r="C11" s="65"/>
      <c r="D11" s="61"/>
      <c r="E11" s="61" t="s">
        <v>2724</v>
      </c>
      <c r="F11" s="70" t="s">
        <v>53</v>
      </c>
      <c r="G11" s="70" t="s">
        <v>2121</v>
      </c>
      <c r="H11" s="67">
        <v>46180.530543981484</v>
      </c>
      <c r="I11" s="75">
        <v>3.5370717589103151E-2</v>
      </c>
      <c r="J11" s="61"/>
      <c r="K11" s="61"/>
      <c r="L11" s="61"/>
      <c r="M11" s="61" t="s">
        <v>41</v>
      </c>
      <c r="N11" s="61" t="s">
        <v>42</v>
      </c>
      <c r="O11" s="61"/>
      <c r="P11" s="61"/>
      <c r="Q11" s="61"/>
      <c r="R11" s="84" t="s">
        <v>2731</v>
      </c>
      <c r="S11" s="61" t="s">
        <v>51</v>
      </c>
      <c r="T11" s="61" t="s">
        <v>1898</v>
      </c>
      <c r="U11" s="61" t="s">
        <v>1898</v>
      </c>
      <c r="V11" s="101" t="s">
        <v>2509</v>
      </c>
      <c r="W11" s="101" t="s">
        <v>2743</v>
      </c>
      <c r="X11" s="88" t="s">
        <v>2510</v>
      </c>
      <c r="Y11" s="88" t="s">
        <v>79</v>
      </c>
      <c r="Z11" s="101">
        <v>1</v>
      </c>
      <c r="AA11" s="61"/>
      <c r="AB11" s="84" t="s">
        <v>1555</v>
      </c>
      <c r="AC11" s="105" t="s">
        <v>2730</v>
      </c>
      <c r="AD11" s="106" t="s">
        <v>1994</v>
      </c>
      <c r="AE11" s="61"/>
    </row>
    <row r="12" spans="1:31" ht="261" x14ac:dyDescent="0.35">
      <c r="A12" s="61" t="s">
        <v>2716</v>
      </c>
      <c r="B12" s="61" t="s">
        <v>2717</v>
      </c>
      <c r="C12" s="65"/>
      <c r="D12" s="61"/>
      <c r="E12" s="61" t="s">
        <v>2725</v>
      </c>
      <c r="F12" s="70" t="s">
        <v>53</v>
      </c>
      <c r="G12" s="70" t="s">
        <v>2121</v>
      </c>
      <c r="H12" s="67">
        <v>46180.530532407407</v>
      </c>
      <c r="I12" s="75">
        <v>3.5382291665882803E-2</v>
      </c>
      <c r="J12" s="61"/>
      <c r="K12" s="61"/>
      <c r="L12" s="61"/>
      <c r="M12" s="61" t="s">
        <v>41</v>
      </c>
      <c r="N12" s="61" t="s">
        <v>42</v>
      </c>
      <c r="O12" s="61"/>
      <c r="P12" s="61"/>
      <c r="Q12" s="61"/>
      <c r="R12" s="84" t="s">
        <v>2731</v>
      </c>
      <c r="S12" s="61" t="s">
        <v>51</v>
      </c>
      <c r="T12" s="61" t="s">
        <v>1898</v>
      </c>
      <c r="U12" s="61" t="s">
        <v>1898</v>
      </c>
      <c r="V12" s="101" t="s">
        <v>2509</v>
      </c>
      <c r="W12" s="101" t="s">
        <v>2743</v>
      </c>
      <c r="X12" s="88" t="s">
        <v>2510</v>
      </c>
      <c r="Y12" s="88" t="s">
        <v>79</v>
      </c>
      <c r="Z12" s="101">
        <v>1</v>
      </c>
      <c r="AA12" s="61"/>
      <c r="AB12" s="84" t="s">
        <v>1555</v>
      </c>
      <c r="AC12" s="105" t="s">
        <v>2730</v>
      </c>
      <c r="AD12" s="106" t="s">
        <v>1994</v>
      </c>
      <c r="AE12" s="61"/>
    </row>
    <row r="13" spans="1:31" ht="261" x14ac:dyDescent="0.35">
      <c r="A13" s="61" t="s">
        <v>2716</v>
      </c>
      <c r="B13" s="61" t="s">
        <v>2717</v>
      </c>
      <c r="C13" s="65"/>
      <c r="D13" s="61"/>
      <c r="E13" s="61" t="s">
        <v>2726</v>
      </c>
      <c r="F13" s="70" t="s">
        <v>53</v>
      </c>
      <c r="G13" s="70" t="s">
        <v>2121</v>
      </c>
      <c r="H13" s="67">
        <v>46180.530543981484</v>
      </c>
      <c r="I13" s="75">
        <v>3.5370717589103151E-2</v>
      </c>
      <c r="J13" s="61"/>
      <c r="K13" s="61"/>
      <c r="L13" s="61"/>
      <c r="M13" s="61" t="s">
        <v>41</v>
      </c>
      <c r="N13" s="61" t="s">
        <v>42</v>
      </c>
      <c r="O13" s="61"/>
      <c r="P13" s="61"/>
      <c r="Q13" s="61"/>
      <c r="R13" s="84" t="s">
        <v>2731</v>
      </c>
      <c r="S13" s="61" t="s">
        <v>51</v>
      </c>
      <c r="T13" s="61" t="s">
        <v>1898</v>
      </c>
      <c r="U13" s="61" t="s">
        <v>1898</v>
      </c>
      <c r="V13" s="101" t="s">
        <v>2509</v>
      </c>
      <c r="W13" s="101" t="s">
        <v>2743</v>
      </c>
      <c r="X13" s="88" t="s">
        <v>2510</v>
      </c>
      <c r="Y13" s="88" t="s">
        <v>79</v>
      </c>
      <c r="Z13" s="101">
        <v>1</v>
      </c>
      <c r="AA13" s="61"/>
      <c r="AB13" s="84" t="s">
        <v>1555</v>
      </c>
      <c r="AC13" s="105" t="s">
        <v>2730</v>
      </c>
      <c r="AD13" s="106" t="s">
        <v>1994</v>
      </c>
      <c r="AE13" s="61"/>
    </row>
    <row r="14" spans="1:31" ht="348" x14ac:dyDescent="0.35">
      <c r="A14" s="61" t="s">
        <v>2727</v>
      </c>
      <c r="B14" s="61" t="s">
        <v>2555</v>
      </c>
      <c r="C14" s="65"/>
      <c r="D14" s="61"/>
      <c r="E14" s="61" t="s">
        <v>37</v>
      </c>
      <c r="F14" s="70" t="s">
        <v>53</v>
      </c>
      <c r="G14" s="70" t="s">
        <v>2121</v>
      </c>
      <c r="H14" s="67">
        <v>46180.558842592596</v>
      </c>
      <c r="I14" s="75">
        <v>7.0721064766985364E-3</v>
      </c>
      <c r="J14" s="61"/>
      <c r="K14" s="61"/>
      <c r="L14" s="61"/>
      <c r="M14" s="61" t="s">
        <v>1686</v>
      </c>
      <c r="N14" s="61" t="s">
        <v>2728</v>
      </c>
      <c r="O14" s="61"/>
      <c r="P14" s="61"/>
      <c r="Q14" s="61"/>
      <c r="R14" s="61" t="s">
        <v>2654</v>
      </c>
      <c r="S14" s="61" t="s">
        <v>71</v>
      </c>
      <c r="T14" s="61" t="s">
        <v>1902</v>
      </c>
      <c r="U14" s="61" t="s">
        <v>1896</v>
      </c>
      <c r="V14" s="101" t="s">
        <v>2509</v>
      </c>
      <c r="W14" s="101" t="s">
        <v>2744</v>
      </c>
      <c r="X14" s="88" t="s">
        <v>2745</v>
      </c>
      <c r="Y14" s="88" t="s">
        <v>79</v>
      </c>
      <c r="Z14" s="101">
        <v>1</v>
      </c>
      <c r="AA14" s="61"/>
      <c r="AB14" s="84" t="s">
        <v>1555</v>
      </c>
      <c r="AC14" s="105" t="s">
        <v>2730</v>
      </c>
      <c r="AD14" s="106" t="s">
        <v>1994</v>
      </c>
      <c r="AE14" s="61"/>
    </row>
    <row r="15" spans="1:31" ht="348" x14ac:dyDescent="0.35">
      <c r="A15" s="61" t="s">
        <v>2727</v>
      </c>
      <c r="B15" s="61" t="s">
        <v>2555</v>
      </c>
      <c r="C15" s="65"/>
      <c r="D15" s="61"/>
      <c r="E15" s="61" t="s">
        <v>47</v>
      </c>
      <c r="F15" s="70" t="s">
        <v>53</v>
      </c>
      <c r="G15" s="70" t="s">
        <v>2121</v>
      </c>
      <c r="H15" s="67">
        <v>46180.559467592589</v>
      </c>
      <c r="I15" s="75">
        <v>6.4471064833924174E-3</v>
      </c>
      <c r="J15" s="61"/>
      <c r="K15" s="61"/>
      <c r="L15" s="61"/>
      <c r="M15" s="61" t="s">
        <v>31</v>
      </c>
      <c r="N15" s="61" t="s">
        <v>2729</v>
      </c>
      <c r="O15" s="61"/>
      <c r="P15" s="61"/>
      <c r="Q15" s="61"/>
      <c r="R15" s="61" t="s">
        <v>2654</v>
      </c>
      <c r="S15" s="61" t="s">
        <v>71</v>
      </c>
      <c r="T15" s="61" t="s">
        <v>1902</v>
      </c>
      <c r="U15" s="61" t="s">
        <v>1896</v>
      </c>
      <c r="V15" s="101" t="s">
        <v>2509</v>
      </c>
      <c r="W15" s="101" t="s">
        <v>2744</v>
      </c>
      <c r="X15" s="88" t="s">
        <v>2745</v>
      </c>
      <c r="Y15" s="88" t="s">
        <v>79</v>
      </c>
      <c r="Z15" s="101">
        <v>3</v>
      </c>
      <c r="AA15" s="61"/>
      <c r="AB15" s="84" t="s">
        <v>1555</v>
      </c>
      <c r="AC15" s="105" t="s">
        <v>2730</v>
      </c>
      <c r="AD15" s="106" t="s">
        <v>1994</v>
      </c>
      <c r="AE15" s="6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8B5B-DF5A-4AA8-A264-F9072312A703}">
  <sheetPr codeName="Sheet18">
    <tabColor theme="6"/>
  </sheetPr>
  <dimension ref="A1:AE4"/>
  <sheetViews>
    <sheetView zoomScaleNormal="83" workbookViewId="0">
      <pane xSplit="2" ySplit="1" topLeftCell="P2" activePane="bottomRight" state="frozen"/>
      <selection activeCell="E5" sqref="E5"/>
      <selection pane="topRight" activeCell="E5" sqref="E5"/>
      <selection pane="bottomLeft" activeCell="E5" sqref="E5"/>
      <selection pane="bottomRight" activeCell="Z1" sqref="Z1:Z1048576"/>
    </sheetView>
  </sheetViews>
  <sheetFormatPr defaultColWidth="8.81640625" defaultRowHeight="14.5" x14ac:dyDescent="0.35"/>
  <cols>
    <col min="16" max="16" width="8.81640625" style="1"/>
  </cols>
  <sheetData>
    <row r="1" spans="1:31" ht="72.5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409.5" x14ac:dyDescent="0.35">
      <c r="A2" s="63" t="s">
        <v>1930</v>
      </c>
      <c r="B2" s="63" t="s">
        <v>1931</v>
      </c>
      <c r="C2" s="68"/>
      <c r="D2" s="63"/>
      <c r="E2" s="63" t="s">
        <v>34</v>
      </c>
      <c r="F2" s="71" t="s">
        <v>53</v>
      </c>
      <c r="G2" s="71" t="s">
        <v>2121</v>
      </c>
      <c r="H2" s="69">
        <v>46172.534074074072</v>
      </c>
      <c r="I2" s="75">
        <v>8.1144959490775364</v>
      </c>
      <c r="J2" s="63"/>
      <c r="K2" s="63"/>
      <c r="L2" s="63"/>
      <c r="M2" s="63" t="s">
        <v>1929</v>
      </c>
      <c r="N2" s="63" t="s">
        <v>1932</v>
      </c>
      <c r="O2" s="63"/>
      <c r="P2" s="85" t="s">
        <v>1906</v>
      </c>
      <c r="Q2" s="63"/>
      <c r="R2" s="85" t="s">
        <v>2734</v>
      </c>
      <c r="S2" s="63" t="s">
        <v>40</v>
      </c>
      <c r="T2" s="63" t="s">
        <v>1898</v>
      </c>
      <c r="U2" s="63" t="s">
        <v>1898</v>
      </c>
      <c r="V2" s="107" t="s">
        <v>1583</v>
      </c>
      <c r="W2" s="107" t="s">
        <v>2746</v>
      </c>
      <c r="X2" s="89" t="s">
        <v>2096</v>
      </c>
      <c r="Y2" s="89" t="s">
        <v>56</v>
      </c>
      <c r="Z2" s="107">
        <v>1</v>
      </c>
      <c r="AA2" s="85" t="s">
        <v>77</v>
      </c>
      <c r="AB2" s="85" t="s">
        <v>1904</v>
      </c>
      <c r="AC2" s="108" t="s">
        <v>2702</v>
      </c>
      <c r="AD2" s="109" t="s">
        <v>1994</v>
      </c>
      <c r="AE2" s="63"/>
    </row>
    <row r="3" spans="1:31" ht="409.5" x14ac:dyDescent="0.35">
      <c r="A3" s="63" t="s">
        <v>1776</v>
      </c>
      <c r="B3" s="63" t="s">
        <v>1777</v>
      </c>
      <c r="C3" s="68"/>
      <c r="D3" s="63"/>
      <c r="E3" s="63" t="s">
        <v>35</v>
      </c>
      <c r="F3" s="71" t="s">
        <v>53</v>
      </c>
      <c r="G3" s="71" t="s">
        <v>2121</v>
      </c>
      <c r="H3" s="69">
        <v>46178.43041666667</v>
      </c>
      <c r="I3" s="75">
        <v>2.2181533564798883</v>
      </c>
      <c r="J3" s="63"/>
      <c r="K3" s="63"/>
      <c r="L3" s="63"/>
      <c r="M3" s="63" t="s">
        <v>31</v>
      </c>
      <c r="N3" s="63" t="s">
        <v>1778</v>
      </c>
      <c r="O3" s="63"/>
      <c r="P3" s="85" t="s">
        <v>1906</v>
      </c>
      <c r="Q3" s="63"/>
      <c r="R3" s="63" t="s">
        <v>2538</v>
      </c>
      <c r="S3" s="63" t="s">
        <v>32</v>
      </c>
      <c r="T3" s="63" t="s">
        <v>1898</v>
      </c>
      <c r="U3" s="63" t="s">
        <v>1898</v>
      </c>
      <c r="V3" s="107" t="s">
        <v>2509</v>
      </c>
      <c r="W3" s="107" t="s">
        <v>2747</v>
      </c>
      <c r="X3" s="89" t="s">
        <v>2510</v>
      </c>
      <c r="Y3" s="89" t="s">
        <v>82</v>
      </c>
      <c r="Z3" s="107">
        <v>3</v>
      </c>
      <c r="AA3" s="85" t="s">
        <v>77</v>
      </c>
      <c r="AB3" s="85" t="s">
        <v>1904</v>
      </c>
      <c r="AC3" s="108" t="s">
        <v>2702</v>
      </c>
      <c r="AD3" s="109" t="s">
        <v>1994</v>
      </c>
      <c r="AE3" s="63"/>
    </row>
    <row r="4" spans="1:31" ht="348" x14ac:dyDescent="0.35">
      <c r="A4" s="63" t="s">
        <v>1803</v>
      </c>
      <c r="B4" s="63" t="s">
        <v>1804</v>
      </c>
      <c r="C4" s="68"/>
      <c r="D4" s="63"/>
      <c r="E4" s="63" t="s">
        <v>2602</v>
      </c>
      <c r="F4" s="71" t="s">
        <v>53</v>
      </c>
      <c r="G4" s="71" t="s">
        <v>2121</v>
      </c>
      <c r="H4" s="69">
        <v>46178.741863425923</v>
      </c>
      <c r="I4" s="75">
        <v>1.9067065972267301</v>
      </c>
      <c r="J4" s="63"/>
      <c r="K4" s="63"/>
      <c r="L4" s="63"/>
      <c r="M4" s="63" t="s">
        <v>1627</v>
      </c>
      <c r="N4" s="63" t="s">
        <v>2603</v>
      </c>
      <c r="O4" s="63"/>
      <c r="P4" s="63" t="s">
        <v>2733</v>
      </c>
      <c r="Q4" s="63"/>
      <c r="R4" s="85" t="s">
        <v>2732</v>
      </c>
      <c r="S4" s="85" t="s">
        <v>45</v>
      </c>
      <c r="T4" s="85" t="s">
        <v>1898</v>
      </c>
      <c r="U4" s="85" t="s">
        <v>1898</v>
      </c>
      <c r="V4" s="107" t="s">
        <v>2690</v>
      </c>
      <c r="W4" s="107" t="s">
        <v>2748</v>
      </c>
      <c r="X4" s="89" t="s">
        <v>2691</v>
      </c>
      <c r="Y4" s="89" t="s">
        <v>81</v>
      </c>
      <c r="Z4" s="107">
        <v>1</v>
      </c>
      <c r="AA4" s="85" t="s">
        <v>77</v>
      </c>
      <c r="AB4" s="85" t="s">
        <v>1904</v>
      </c>
      <c r="AC4" s="108" t="s">
        <v>2702</v>
      </c>
      <c r="AD4" s="109" t="s">
        <v>1994</v>
      </c>
      <c r="AE4" s="6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FE84-74ED-4631-A95E-4DCA95B6C56B}">
  <sheetPr codeName="Sheet16">
    <tabColor rgb="FF002060"/>
  </sheetPr>
  <dimension ref="A1:E1640"/>
  <sheetViews>
    <sheetView topLeftCell="E1603" zoomScale="60" zoomScaleNormal="60" zoomScalePageLayoutView="39" workbookViewId="0">
      <selection activeCell="I1607" sqref="I1607"/>
    </sheetView>
  </sheetViews>
  <sheetFormatPr defaultColWidth="8.81640625" defaultRowHeight="14.5" x14ac:dyDescent="0.35"/>
  <cols>
    <col min="1" max="1" width="20.453125" style="50" customWidth="1"/>
    <col min="2" max="2" width="11.08984375" bestFit="1" customWidth="1"/>
    <col min="3" max="3" width="9.54296875" customWidth="1"/>
    <col min="4" max="4" width="20" bestFit="1" customWidth="1"/>
    <col min="5" max="5" width="16.36328125" bestFit="1" customWidth="1"/>
    <col min="6" max="6" width="14.1796875" bestFit="1" customWidth="1"/>
    <col min="9" max="9" width="15.36328125" bestFit="1" customWidth="1"/>
    <col min="10" max="10" width="9.81640625" bestFit="1" customWidth="1"/>
    <col min="12" max="12" width="17.54296875" bestFit="1" customWidth="1"/>
  </cols>
  <sheetData>
    <row r="1" spans="1:5" x14ac:dyDescent="0.35">
      <c r="A1" s="32"/>
    </row>
    <row r="2" spans="1:5" x14ac:dyDescent="0.35">
      <c r="A2" s="32"/>
    </row>
    <row r="3" spans="1:5" ht="27" customHeight="1" x14ac:dyDescent="0.35">
      <c r="A3" s="33" t="s">
        <v>89</v>
      </c>
      <c r="B3" s="34" t="s">
        <v>90</v>
      </c>
      <c r="C3" s="34" t="s">
        <v>76</v>
      </c>
      <c r="D3" s="34" t="s">
        <v>77</v>
      </c>
      <c r="E3" s="34" t="s">
        <v>91</v>
      </c>
    </row>
    <row r="4" spans="1:5" x14ac:dyDescent="0.35">
      <c r="A4" s="35" t="s">
        <v>92</v>
      </c>
      <c r="B4" s="36">
        <v>383</v>
      </c>
      <c r="C4" s="37">
        <v>99</v>
      </c>
      <c r="D4" s="38">
        <v>248</v>
      </c>
      <c r="E4" s="39">
        <v>207</v>
      </c>
    </row>
    <row r="5" spans="1:5" x14ac:dyDescent="0.35">
      <c r="A5" s="35" t="s">
        <v>93</v>
      </c>
      <c r="B5" s="36">
        <v>207</v>
      </c>
      <c r="C5" s="37">
        <v>52</v>
      </c>
      <c r="D5" s="38">
        <v>149</v>
      </c>
      <c r="E5" s="39">
        <v>111</v>
      </c>
    </row>
    <row r="6" spans="1:5" x14ac:dyDescent="0.35">
      <c r="A6" s="35" t="s">
        <v>94</v>
      </c>
      <c r="B6" s="36">
        <v>111</v>
      </c>
      <c r="C6" s="37">
        <v>174</v>
      </c>
      <c r="D6" s="38">
        <v>33</v>
      </c>
      <c r="E6" s="39">
        <v>242</v>
      </c>
    </row>
    <row r="7" spans="1:5" x14ac:dyDescent="0.35">
      <c r="A7" s="35" t="s">
        <v>95</v>
      </c>
      <c r="B7" s="36">
        <v>242</v>
      </c>
      <c r="C7" s="37">
        <v>55</v>
      </c>
      <c r="D7" s="38">
        <v>93</v>
      </c>
      <c r="E7" s="39">
        <v>200</v>
      </c>
    </row>
    <row r="8" spans="1:5" x14ac:dyDescent="0.35">
      <c r="A8" s="35" t="s">
        <v>96</v>
      </c>
      <c r="B8" s="36">
        <v>200</v>
      </c>
      <c r="C8" s="37">
        <v>63</v>
      </c>
      <c r="D8" s="38">
        <v>28</v>
      </c>
      <c r="E8" s="39">
        <v>232</v>
      </c>
    </row>
    <row r="9" spans="1:5" x14ac:dyDescent="0.35">
      <c r="A9" s="35" t="s">
        <v>97</v>
      </c>
      <c r="B9" s="36">
        <v>232</v>
      </c>
      <c r="C9" s="37">
        <v>37</v>
      </c>
      <c r="D9" s="38">
        <v>28</v>
      </c>
      <c r="E9" s="39">
        <v>120</v>
      </c>
    </row>
    <row r="10" spans="1:5" x14ac:dyDescent="0.35">
      <c r="A10" s="35" t="s">
        <v>98</v>
      </c>
      <c r="B10" s="36">
        <v>120</v>
      </c>
      <c r="C10" s="37">
        <v>25</v>
      </c>
      <c r="D10" s="38">
        <v>55</v>
      </c>
      <c r="E10" s="39">
        <v>90</v>
      </c>
    </row>
    <row r="11" spans="1:5" x14ac:dyDescent="0.35">
      <c r="A11" s="35" t="s">
        <v>99</v>
      </c>
      <c r="B11" s="36">
        <v>90</v>
      </c>
      <c r="C11" s="37">
        <v>152</v>
      </c>
      <c r="D11" s="38">
        <v>21</v>
      </c>
      <c r="E11" s="39">
        <v>221</v>
      </c>
    </row>
    <row r="12" spans="1:5" x14ac:dyDescent="0.35">
      <c r="A12" s="35" t="s">
        <v>100</v>
      </c>
      <c r="B12" s="36">
        <v>221</v>
      </c>
      <c r="C12" s="37">
        <v>35</v>
      </c>
      <c r="D12" s="38">
        <v>139</v>
      </c>
      <c r="E12" s="39">
        <v>150</v>
      </c>
    </row>
    <row r="13" spans="1:5" x14ac:dyDescent="0.35">
      <c r="A13" s="35" t="s">
        <v>101</v>
      </c>
      <c r="B13" s="36">
        <v>150</v>
      </c>
      <c r="C13" s="37">
        <v>14</v>
      </c>
      <c r="D13" s="38">
        <v>27</v>
      </c>
      <c r="E13" s="39">
        <v>136</v>
      </c>
    </row>
    <row r="14" spans="1:5" x14ac:dyDescent="0.35">
      <c r="A14" s="35" t="s">
        <v>102</v>
      </c>
      <c r="B14" s="36">
        <v>136</v>
      </c>
      <c r="C14" s="37">
        <v>90</v>
      </c>
      <c r="D14" s="38">
        <v>11</v>
      </c>
      <c r="E14" s="39">
        <v>215</v>
      </c>
    </row>
    <row r="15" spans="1:5" x14ac:dyDescent="0.35">
      <c r="A15" s="35" t="s">
        <v>103</v>
      </c>
      <c r="B15" s="36">
        <v>215</v>
      </c>
      <c r="C15" s="37">
        <v>89</v>
      </c>
      <c r="D15" s="38">
        <v>39</v>
      </c>
      <c r="E15" s="39">
        <v>279</v>
      </c>
    </row>
    <row r="16" spans="1:5" x14ac:dyDescent="0.35">
      <c r="A16" s="35" t="s">
        <v>104</v>
      </c>
      <c r="B16" s="36">
        <v>279</v>
      </c>
      <c r="C16" s="37">
        <v>32</v>
      </c>
      <c r="D16" s="38">
        <v>68</v>
      </c>
      <c r="E16" s="39">
        <v>210</v>
      </c>
    </row>
    <row r="17" spans="1:5" x14ac:dyDescent="0.35">
      <c r="A17" s="35" t="s">
        <v>105</v>
      </c>
      <c r="B17" s="36">
        <v>210</v>
      </c>
      <c r="C17" s="37">
        <v>134</v>
      </c>
      <c r="D17" s="38">
        <v>78</v>
      </c>
      <c r="E17" s="39">
        <v>261</v>
      </c>
    </row>
    <row r="18" spans="1:5" x14ac:dyDescent="0.35">
      <c r="A18" s="35" t="s">
        <v>106</v>
      </c>
      <c r="B18" s="36">
        <v>261</v>
      </c>
      <c r="C18" s="37">
        <v>77</v>
      </c>
      <c r="D18" s="38">
        <v>71</v>
      </c>
      <c r="E18" s="39">
        <v>284</v>
      </c>
    </row>
    <row r="19" spans="1:5" x14ac:dyDescent="0.35">
      <c r="A19" s="35" t="s">
        <v>107</v>
      </c>
      <c r="B19" s="36">
        <v>284</v>
      </c>
      <c r="C19" s="37">
        <v>87</v>
      </c>
      <c r="D19" s="38">
        <v>101</v>
      </c>
      <c r="E19" s="39">
        <v>315</v>
      </c>
    </row>
    <row r="20" spans="1:5" x14ac:dyDescent="0.35">
      <c r="A20" s="35" t="s">
        <v>108</v>
      </c>
      <c r="B20" s="36">
        <v>315</v>
      </c>
      <c r="C20" s="37">
        <v>40</v>
      </c>
      <c r="D20" s="38">
        <v>125</v>
      </c>
      <c r="E20" s="39">
        <v>241</v>
      </c>
    </row>
    <row r="21" spans="1:5" x14ac:dyDescent="0.35">
      <c r="A21" s="35" t="s">
        <v>109</v>
      </c>
      <c r="B21" s="36">
        <v>241</v>
      </c>
      <c r="C21" s="37">
        <v>122</v>
      </c>
      <c r="D21" s="38">
        <v>58</v>
      </c>
      <c r="E21" s="39">
        <v>312</v>
      </c>
    </row>
    <row r="22" spans="1:5" x14ac:dyDescent="0.35">
      <c r="A22" s="35" t="s">
        <v>110</v>
      </c>
      <c r="B22" s="36">
        <v>312</v>
      </c>
      <c r="C22" s="37">
        <v>86</v>
      </c>
      <c r="D22" s="38">
        <v>92</v>
      </c>
      <c r="E22" s="39">
        <v>306</v>
      </c>
    </row>
    <row r="23" spans="1:5" x14ac:dyDescent="0.35">
      <c r="A23" s="35" t="s">
        <v>111</v>
      </c>
      <c r="B23" s="36">
        <v>306</v>
      </c>
      <c r="C23" s="37">
        <v>54</v>
      </c>
      <c r="D23" s="38">
        <v>106</v>
      </c>
      <c r="E23" s="39">
        <v>238</v>
      </c>
    </row>
    <row r="24" spans="1:5" x14ac:dyDescent="0.35">
      <c r="A24" s="35" t="s">
        <v>112</v>
      </c>
      <c r="B24" s="36">
        <v>238</v>
      </c>
      <c r="C24" s="37">
        <v>37</v>
      </c>
      <c r="D24" s="38">
        <v>171</v>
      </c>
      <c r="E24" s="39">
        <v>103</v>
      </c>
    </row>
    <row r="25" spans="1:5" x14ac:dyDescent="0.35">
      <c r="A25" s="35" t="s">
        <v>113</v>
      </c>
      <c r="B25" s="36">
        <v>103</v>
      </c>
      <c r="C25" s="37">
        <v>122</v>
      </c>
      <c r="D25" s="38">
        <v>32</v>
      </c>
      <c r="E25" s="39">
        <v>189</v>
      </c>
    </row>
    <row r="26" spans="1:5" x14ac:dyDescent="0.35">
      <c r="A26" s="35" t="s">
        <v>114</v>
      </c>
      <c r="B26" s="36">
        <v>189</v>
      </c>
      <c r="C26" s="37">
        <v>58</v>
      </c>
      <c r="D26" s="38">
        <v>55</v>
      </c>
      <c r="E26" s="39">
        <v>203</v>
      </c>
    </row>
    <row r="27" spans="1:5" x14ac:dyDescent="0.35">
      <c r="A27" s="35" t="s">
        <v>115</v>
      </c>
      <c r="B27" s="36">
        <v>203</v>
      </c>
      <c r="C27" s="37">
        <v>33</v>
      </c>
      <c r="D27" s="38">
        <v>38</v>
      </c>
      <c r="E27" s="39">
        <v>185</v>
      </c>
    </row>
    <row r="28" spans="1:5" x14ac:dyDescent="0.35">
      <c r="A28" s="35" t="s">
        <v>116</v>
      </c>
      <c r="B28" s="36">
        <v>185</v>
      </c>
      <c r="C28" s="37">
        <v>22</v>
      </c>
      <c r="D28" s="38">
        <v>48</v>
      </c>
      <c r="E28" s="39">
        <v>153</v>
      </c>
    </row>
    <row r="29" spans="1:5" x14ac:dyDescent="0.35">
      <c r="A29" s="35" t="s">
        <v>117</v>
      </c>
      <c r="B29" s="36">
        <v>153</v>
      </c>
      <c r="C29" s="37">
        <v>41</v>
      </c>
      <c r="D29" s="38">
        <v>22</v>
      </c>
      <c r="E29" s="39">
        <v>191</v>
      </c>
    </row>
    <row r="30" spans="1:5" x14ac:dyDescent="0.35">
      <c r="A30" s="35" t="s">
        <v>118</v>
      </c>
      <c r="B30" s="36">
        <v>191</v>
      </c>
      <c r="C30" s="37">
        <v>60</v>
      </c>
      <c r="D30" s="38">
        <v>68</v>
      </c>
      <c r="E30" s="39">
        <v>164</v>
      </c>
    </row>
    <row r="31" spans="1:5" x14ac:dyDescent="0.35">
      <c r="A31" s="35" t="s">
        <v>119</v>
      </c>
      <c r="B31" s="36">
        <v>164</v>
      </c>
      <c r="C31" s="37">
        <v>52</v>
      </c>
      <c r="D31" s="38">
        <v>26</v>
      </c>
      <c r="E31" s="39">
        <v>189</v>
      </c>
    </row>
    <row r="32" spans="1:5" x14ac:dyDescent="0.35">
      <c r="A32" s="35" t="s">
        <v>120</v>
      </c>
      <c r="B32" s="36">
        <v>189</v>
      </c>
      <c r="C32" s="37">
        <v>52</v>
      </c>
      <c r="D32" s="38">
        <v>79</v>
      </c>
      <c r="E32" s="39">
        <v>188</v>
      </c>
    </row>
    <row r="33" spans="1:5" x14ac:dyDescent="0.35">
      <c r="A33" s="35" t="s">
        <v>121</v>
      </c>
      <c r="B33" s="36">
        <v>188</v>
      </c>
      <c r="C33" s="37">
        <v>30</v>
      </c>
      <c r="D33" s="38">
        <v>43</v>
      </c>
      <c r="E33" s="39">
        <v>174</v>
      </c>
    </row>
    <row r="34" spans="1:5" x14ac:dyDescent="0.35">
      <c r="A34" s="35" t="s">
        <v>122</v>
      </c>
      <c r="B34" s="36">
        <v>174</v>
      </c>
      <c r="C34" s="37">
        <v>24</v>
      </c>
      <c r="D34" s="38">
        <v>36</v>
      </c>
      <c r="E34" s="39">
        <v>166</v>
      </c>
    </row>
    <row r="35" spans="1:5" x14ac:dyDescent="0.35">
      <c r="A35" s="35" t="s">
        <v>123</v>
      </c>
      <c r="B35" s="36">
        <v>166</v>
      </c>
      <c r="C35" s="37">
        <v>61</v>
      </c>
      <c r="D35" s="38">
        <v>29</v>
      </c>
      <c r="E35" s="39">
        <v>195</v>
      </c>
    </row>
    <row r="36" spans="1:5" x14ac:dyDescent="0.35">
      <c r="A36" s="35" t="s">
        <v>124</v>
      </c>
      <c r="B36" s="36">
        <v>195</v>
      </c>
      <c r="C36" s="37">
        <v>39</v>
      </c>
      <c r="D36" s="38">
        <v>55</v>
      </c>
      <c r="E36" s="39">
        <v>178</v>
      </c>
    </row>
    <row r="37" spans="1:5" x14ac:dyDescent="0.35">
      <c r="A37" s="35" t="s">
        <v>125</v>
      </c>
      <c r="B37" s="36">
        <v>178</v>
      </c>
      <c r="C37" s="37">
        <v>80</v>
      </c>
      <c r="D37" s="38">
        <v>53</v>
      </c>
      <c r="E37" s="39">
        <v>184</v>
      </c>
    </row>
    <row r="38" spans="1:5" x14ac:dyDescent="0.35">
      <c r="A38" s="35" t="s">
        <v>126</v>
      </c>
      <c r="B38" s="36">
        <v>184</v>
      </c>
      <c r="C38" s="37">
        <v>81</v>
      </c>
      <c r="D38" s="38">
        <v>64</v>
      </c>
      <c r="E38" s="39">
        <v>226</v>
      </c>
    </row>
    <row r="39" spans="1:5" x14ac:dyDescent="0.35">
      <c r="A39" s="35" t="s">
        <v>127</v>
      </c>
      <c r="B39" s="36">
        <v>226</v>
      </c>
      <c r="C39" s="37">
        <v>91</v>
      </c>
      <c r="D39" s="38">
        <v>21</v>
      </c>
      <c r="E39" s="39">
        <v>279</v>
      </c>
    </row>
    <row r="40" spans="1:5" x14ac:dyDescent="0.35">
      <c r="A40" s="35" t="s">
        <v>128</v>
      </c>
      <c r="B40" s="36">
        <v>279</v>
      </c>
      <c r="C40" s="37">
        <v>63</v>
      </c>
      <c r="D40" s="38">
        <v>73</v>
      </c>
      <c r="E40" s="39">
        <v>194</v>
      </c>
    </row>
    <row r="41" spans="1:5" x14ac:dyDescent="0.35">
      <c r="A41" s="35" t="s">
        <v>129</v>
      </c>
      <c r="B41" s="36">
        <v>194</v>
      </c>
      <c r="C41" s="37">
        <v>50</v>
      </c>
      <c r="D41" s="38">
        <v>57</v>
      </c>
      <c r="E41" s="39">
        <v>241</v>
      </c>
    </row>
    <row r="42" spans="1:5" x14ac:dyDescent="0.35">
      <c r="A42" s="35" t="s">
        <v>130</v>
      </c>
      <c r="B42" s="36">
        <v>241</v>
      </c>
      <c r="C42" s="37">
        <v>71</v>
      </c>
      <c r="D42" s="38">
        <v>83</v>
      </c>
      <c r="E42" s="39">
        <v>191</v>
      </c>
    </row>
    <row r="43" spans="1:5" x14ac:dyDescent="0.35">
      <c r="A43" s="35" t="s">
        <v>131</v>
      </c>
      <c r="B43" s="36">
        <v>191</v>
      </c>
      <c r="C43" s="37">
        <v>52</v>
      </c>
      <c r="D43" s="38">
        <v>58</v>
      </c>
      <c r="E43" s="39">
        <v>158</v>
      </c>
    </row>
    <row r="44" spans="1:5" x14ac:dyDescent="0.35">
      <c r="A44" s="35" t="s">
        <v>132</v>
      </c>
      <c r="B44" s="36">
        <v>157</v>
      </c>
      <c r="C44" s="37">
        <v>66</v>
      </c>
      <c r="D44" s="38">
        <v>57</v>
      </c>
      <c r="E44" s="39">
        <v>171</v>
      </c>
    </row>
    <row r="45" spans="1:5" x14ac:dyDescent="0.35">
      <c r="A45" s="35" t="s">
        <v>133</v>
      </c>
      <c r="B45" s="36">
        <v>171</v>
      </c>
      <c r="C45" s="37">
        <v>20</v>
      </c>
      <c r="D45" s="38">
        <v>43</v>
      </c>
      <c r="E45" s="39">
        <v>152</v>
      </c>
    </row>
    <row r="46" spans="1:5" x14ac:dyDescent="0.35">
      <c r="A46" s="35" t="s">
        <v>134</v>
      </c>
      <c r="B46" s="36">
        <v>152</v>
      </c>
      <c r="C46" s="37">
        <v>40</v>
      </c>
      <c r="D46" s="38">
        <v>30</v>
      </c>
      <c r="E46" s="39">
        <v>156</v>
      </c>
    </row>
    <row r="47" spans="1:5" x14ac:dyDescent="0.35">
      <c r="A47" s="35" t="s">
        <v>135</v>
      </c>
      <c r="B47" s="36">
        <v>156</v>
      </c>
      <c r="C47" s="37">
        <v>87</v>
      </c>
      <c r="D47" s="38">
        <v>62</v>
      </c>
      <c r="E47" s="39">
        <v>181</v>
      </c>
    </row>
    <row r="48" spans="1:5" x14ac:dyDescent="0.35">
      <c r="A48" s="35" t="s">
        <v>136</v>
      </c>
      <c r="B48" s="36">
        <v>181</v>
      </c>
      <c r="C48" s="37">
        <v>79</v>
      </c>
      <c r="D48" s="38">
        <v>78</v>
      </c>
      <c r="E48" s="39">
        <v>137</v>
      </c>
    </row>
    <row r="49" spans="1:5" x14ac:dyDescent="0.35">
      <c r="A49" s="35" t="s">
        <v>137</v>
      </c>
      <c r="B49" s="36">
        <v>137</v>
      </c>
      <c r="C49" s="37">
        <v>41</v>
      </c>
      <c r="D49" s="38">
        <v>32</v>
      </c>
      <c r="E49" s="39">
        <v>174</v>
      </c>
    </row>
    <row r="50" spans="1:5" x14ac:dyDescent="0.35">
      <c r="A50" s="35" t="s">
        <v>138</v>
      </c>
      <c r="B50" s="36">
        <v>174</v>
      </c>
      <c r="C50" s="37">
        <v>28</v>
      </c>
      <c r="D50" s="38">
        <v>37</v>
      </c>
      <c r="E50" s="39">
        <v>158</v>
      </c>
    </row>
    <row r="51" spans="1:5" x14ac:dyDescent="0.35">
      <c r="A51" s="35" t="s">
        <v>139</v>
      </c>
      <c r="B51" s="36">
        <v>158</v>
      </c>
      <c r="C51" s="37">
        <v>48</v>
      </c>
      <c r="D51" s="38">
        <v>38</v>
      </c>
      <c r="E51" s="39">
        <v>171</v>
      </c>
    </row>
    <row r="52" spans="1:5" x14ac:dyDescent="0.35">
      <c r="A52" s="35" t="s">
        <v>140</v>
      </c>
      <c r="B52" s="36">
        <v>171</v>
      </c>
      <c r="C52" s="37">
        <v>112</v>
      </c>
      <c r="D52" s="38">
        <v>40</v>
      </c>
      <c r="E52" s="39">
        <v>250</v>
      </c>
    </row>
    <row r="53" spans="1:5" x14ac:dyDescent="0.35">
      <c r="A53" s="35" t="s">
        <v>141</v>
      </c>
      <c r="B53" s="36">
        <v>250</v>
      </c>
      <c r="C53" s="37">
        <v>32</v>
      </c>
      <c r="D53" s="38">
        <v>51</v>
      </c>
      <c r="E53" s="39">
        <v>232</v>
      </c>
    </row>
    <row r="54" spans="1:5" x14ac:dyDescent="0.35">
      <c r="A54" s="35" t="s">
        <v>142</v>
      </c>
      <c r="B54" s="36">
        <v>234</v>
      </c>
      <c r="C54" s="37">
        <v>3</v>
      </c>
      <c r="D54" s="38">
        <v>0</v>
      </c>
      <c r="E54" s="39">
        <v>234</v>
      </c>
    </row>
    <row r="55" spans="1:5" x14ac:dyDescent="0.35">
      <c r="A55" s="35" t="s">
        <v>143</v>
      </c>
      <c r="B55" s="36">
        <v>234</v>
      </c>
      <c r="C55" s="37">
        <v>86</v>
      </c>
      <c r="D55" s="38">
        <v>73</v>
      </c>
      <c r="E55" s="39">
        <v>258</v>
      </c>
    </row>
    <row r="56" spans="1:5" x14ac:dyDescent="0.35">
      <c r="A56" s="35" t="s">
        <v>144</v>
      </c>
      <c r="B56" s="36">
        <v>258</v>
      </c>
      <c r="C56" s="37">
        <v>124</v>
      </c>
      <c r="D56" s="38">
        <v>104</v>
      </c>
      <c r="E56" s="39">
        <v>243</v>
      </c>
    </row>
    <row r="57" spans="1:5" x14ac:dyDescent="0.35">
      <c r="A57" s="35" t="s">
        <v>145</v>
      </c>
      <c r="B57" s="36">
        <v>243</v>
      </c>
      <c r="C57" s="37">
        <v>24</v>
      </c>
      <c r="D57" s="38">
        <v>76</v>
      </c>
      <c r="E57" s="39">
        <v>194</v>
      </c>
    </row>
    <row r="58" spans="1:5" x14ac:dyDescent="0.35">
      <c r="A58" s="35" t="s">
        <v>146</v>
      </c>
      <c r="B58" s="36">
        <v>194</v>
      </c>
      <c r="C58" s="37">
        <v>111</v>
      </c>
      <c r="D58" s="38">
        <v>19</v>
      </c>
      <c r="E58" s="39">
        <v>291</v>
      </c>
    </row>
    <row r="59" spans="1:5" x14ac:dyDescent="0.35">
      <c r="A59" s="35" t="s">
        <v>147</v>
      </c>
      <c r="B59" s="36">
        <v>291</v>
      </c>
      <c r="C59" s="37">
        <v>61</v>
      </c>
      <c r="D59" s="38">
        <v>103</v>
      </c>
      <c r="E59" s="39">
        <v>243</v>
      </c>
    </row>
    <row r="60" spans="1:5" x14ac:dyDescent="0.35">
      <c r="A60" s="35" t="s">
        <v>148</v>
      </c>
      <c r="B60" s="36">
        <v>243</v>
      </c>
      <c r="C60" s="37">
        <v>25</v>
      </c>
      <c r="D60" s="38">
        <v>77</v>
      </c>
      <c r="E60" s="39">
        <v>188</v>
      </c>
    </row>
    <row r="61" spans="1:5" x14ac:dyDescent="0.35">
      <c r="A61" s="35" t="s">
        <v>149</v>
      </c>
      <c r="B61" s="36">
        <v>188</v>
      </c>
      <c r="C61" s="37">
        <v>55</v>
      </c>
      <c r="D61" s="38">
        <v>69</v>
      </c>
      <c r="E61" s="39">
        <v>174</v>
      </c>
    </row>
    <row r="62" spans="1:5" x14ac:dyDescent="0.35">
      <c r="A62" s="35" t="s">
        <v>150</v>
      </c>
      <c r="B62" s="36">
        <v>174</v>
      </c>
      <c r="C62" s="37">
        <v>33</v>
      </c>
      <c r="D62" s="38">
        <v>79</v>
      </c>
      <c r="E62" s="39">
        <v>113</v>
      </c>
    </row>
    <row r="63" spans="1:5" x14ac:dyDescent="0.35">
      <c r="A63" s="35" t="s">
        <v>151</v>
      </c>
      <c r="B63" s="36">
        <v>113</v>
      </c>
      <c r="C63" s="37">
        <v>100</v>
      </c>
      <c r="D63" s="38">
        <v>34</v>
      </c>
      <c r="E63" s="39">
        <v>206</v>
      </c>
    </row>
    <row r="64" spans="1:5" x14ac:dyDescent="0.35">
      <c r="A64" s="35" t="s">
        <v>152</v>
      </c>
      <c r="B64" s="36">
        <v>206</v>
      </c>
      <c r="C64" s="37">
        <v>52</v>
      </c>
      <c r="D64" s="38">
        <v>89</v>
      </c>
      <c r="E64" s="39">
        <v>198</v>
      </c>
    </row>
    <row r="65" spans="1:5" x14ac:dyDescent="0.35">
      <c r="A65" s="35" t="s">
        <v>153</v>
      </c>
      <c r="B65" s="36">
        <v>198</v>
      </c>
      <c r="C65" s="37">
        <v>38</v>
      </c>
      <c r="D65" s="38">
        <v>70</v>
      </c>
      <c r="E65" s="39">
        <v>157</v>
      </c>
    </row>
    <row r="66" spans="1:5" x14ac:dyDescent="0.35">
      <c r="A66" s="35" t="s">
        <v>154</v>
      </c>
      <c r="B66" s="36">
        <v>157</v>
      </c>
      <c r="C66" s="37">
        <v>59</v>
      </c>
      <c r="D66" s="38">
        <v>47</v>
      </c>
      <c r="E66" s="39">
        <v>167</v>
      </c>
    </row>
    <row r="67" spans="1:5" x14ac:dyDescent="0.35">
      <c r="A67" s="35" t="s">
        <v>155</v>
      </c>
      <c r="B67" s="36">
        <v>167</v>
      </c>
      <c r="C67" s="37">
        <v>33</v>
      </c>
      <c r="D67" s="38">
        <v>52</v>
      </c>
      <c r="E67" s="39">
        <v>155</v>
      </c>
    </row>
    <row r="68" spans="1:5" x14ac:dyDescent="0.35">
      <c r="A68" s="35" t="s">
        <v>156</v>
      </c>
      <c r="B68" s="36">
        <v>155</v>
      </c>
      <c r="C68" s="37">
        <v>70</v>
      </c>
      <c r="D68" s="38">
        <v>24</v>
      </c>
      <c r="E68" s="39">
        <v>197</v>
      </c>
    </row>
    <row r="69" spans="1:5" x14ac:dyDescent="0.35">
      <c r="A69" s="35" t="s">
        <v>157</v>
      </c>
      <c r="B69" s="36">
        <v>197</v>
      </c>
      <c r="C69" s="37">
        <v>20</v>
      </c>
      <c r="D69" s="38">
        <v>97</v>
      </c>
      <c r="E69" s="39">
        <v>119</v>
      </c>
    </row>
    <row r="70" spans="1:5" x14ac:dyDescent="0.35">
      <c r="A70" s="35" t="s">
        <v>158</v>
      </c>
      <c r="B70" s="36">
        <v>119</v>
      </c>
      <c r="C70" s="37">
        <v>59</v>
      </c>
      <c r="D70" s="38">
        <v>23</v>
      </c>
      <c r="E70" s="39">
        <v>155</v>
      </c>
    </row>
    <row r="71" spans="1:5" x14ac:dyDescent="0.35">
      <c r="A71" s="35" t="s">
        <v>159</v>
      </c>
      <c r="B71" s="36">
        <v>191</v>
      </c>
      <c r="C71" s="37">
        <v>91</v>
      </c>
      <c r="D71" s="38">
        <v>50</v>
      </c>
      <c r="E71" s="39">
        <v>196</v>
      </c>
    </row>
    <row r="72" spans="1:5" x14ac:dyDescent="0.35">
      <c r="A72" s="35" t="s">
        <v>160</v>
      </c>
      <c r="B72" s="36">
        <v>196</v>
      </c>
      <c r="C72" s="37">
        <v>38</v>
      </c>
      <c r="D72" s="38">
        <v>93</v>
      </c>
      <c r="E72" s="39">
        <v>140</v>
      </c>
    </row>
    <row r="73" spans="1:5" x14ac:dyDescent="0.35">
      <c r="A73" s="35" t="s">
        <v>161</v>
      </c>
      <c r="B73" s="36">
        <v>140</v>
      </c>
      <c r="C73" s="37">
        <v>41</v>
      </c>
      <c r="D73" s="38">
        <v>37</v>
      </c>
      <c r="E73" s="39">
        <v>150</v>
      </c>
    </row>
    <row r="74" spans="1:5" x14ac:dyDescent="0.35">
      <c r="A74" s="35" t="s">
        <v>162</v>
      </c>
      <c r="B74" s="36">
        <v>150</v>
      </c>
      <c r="C74" s="37">
        <v>90</v>
      </c>
      <c r="D74" s="38">
        <v>50</v>
      </c>
      <c r="E74" s="39">
        <v>189</v>
      </c>
    </row>
    <row r="75" spans="1:5" x14ac:dyDescent="0.35">
      <c r="A75" s="35" t="s">
        <v>163</v>
      </c>
      <c r="B75" s="36">
        <v>150</v>
      </c>
      <c r="C75" s="37">
        <v>17</v>
      </c>
      <c r="D75" s="38">
        <v>61</v>
      </c>
      <c r="E75" s="39">
        <v>189</v>
      </c>
    </row>
    <row r="76" spans="1:5" x14ac:dyDescent="0.35">
      <c r="A76" s="35" t="s">
        <v>164</v>
      </c>
      <c r="B76" s="36">
        <v>147</v>
      </c>
      <c r="C76" s="37">
        <v>102</v>
      </c>
      <c r="D76" s="38">
        <v>24</v>
      </c>
      <c r="E76" s="39">
        <v>224</v>
      </c>
    </row>
    <row r="77" spans="1:5" x14ac:dyDescent="0.35">
      <c r="A77" s="35" t="s">
        <v>165</v>
      </c>
      <c r="B77" s="36">
        <v>224</v>
      </c>
      <c r="C77" s="37">
        <v>35</v>
      </c>
      <c r="D77" s="38">
        <v>116</v>
      </c>
      <c r="E77" s="39">
        <v>138</v>
      </c>
    </row>
    <row r="78" spans="1:5" x14ac:dyDescent="0.35">
      <c r="A78" s="35" t="s">
        <v>166</v>
      </c>
      <c r="B78" s="36">
        <v>138</v>
      </c>
      <c r="C78" s="37">
        <v>69</v>
      </c>
      <c r="D78" s="38">
        <v>26</v>
      </c>
      <c r="E78" s="39">
        <v>190</v>
      </c>
    </row>
    <row r="79" spans="1:5" x14ac:dyDescent="0.35">
      <c r="A79" s="35" t="s">
        <v>167</v>
      </c>
      <c r="B79" s="36">
        <v>190</v>
      </c>
      <c r="C79" s="37">
        <v>109</v>
      </c>
      <c r="D79" s="38">
        <v>66</v>
      </c>
      <c r="E79" s="39">
        <v>220</v>
      </c>
    </row>
    <row r="80" spans="1:5" x14ac:dyDescent="0.35">
      <c r="A80" s="35" t="s">
        <v>168</v>
      </c>
      <c r="B80" s="36">
        <v>220</v>
      </c>
      <c r="C80" s="37">
        <v>19</v>
      </c>
      <c r="D80" s="38">
        <v>113</v>
      </c>
      <c r="E80" s="39">
        <v>132</v>
      </c>
    </row>
    <row r="81" spans="1:5" x14ac:dyDescent="0.35">
      <c r="A81" s="35" t="s">
        <v>169</v>
      </c>
      <c r="B81" s="36">
        <v>132</v>
      </c>
      <c r="C81" s="37">
        <v>42</v>
      </c>
      <c r="D81" s="38">
        <v>28</v>
      </c>
      <c r="E81" s="39">
        <v>145</v>
      </c>
    </row>
    <row r="82" spans="1:5" x14ac:dyDescent="0.35">
      <c r="A82" s="35" t="s">
        <v>170</v>
      </c>
      <c r="B82" s="36">
        <v>145</v>
      </c>
      <c r="C82" s="37">
        <v>72</v>
      </c>
      <c r="D82" s="38">
        <v>67</v>
      </c>
      <c r="E82" s="39">
        <v>154</v>
      </c>
    </row>
    <row r="83" spans="1:5" x14ac:dyDescent="0.35">
      <c r="A83" s="35" t="s">
        <v>171</v>
      </c>
      <c r="B83" s="36">
        <v>154</v>
      </c>
      <c r="C83" s="37">
        <v>50</v>
      </c>
      <c r="D83" s="38">
        <v>62</v>
      </c>
      <c r="E83" s="39">
        <v>146</v>
      </c>
    </row>
    <row r="84" spans="1:5" x14ac:dyDescent="0.35">
      <c r="A84" s="35" t="s">
        <v>172</v>
      </c>
      <c r="B84" s="36">
        <v>146</v>
      </c>
      <c r="C84" s="37">
        <v>37</v>
      </c>
      <c r="D84" s="38">
        <v>35</v>
      </c>
      <c r="E84" s="39">
        <v>151</v>
      </c>
    </row>
    <row r="85" spans="1:5" x14ac:dyDescent="0.35">
      <c r="A85" s="35" t="s">
        <v>173</v>
      </c>
      <c r="B85" s="36">
        <v>151</v>
      </c>
      <c r="C85" s="37">
        <v>106</v>
      </c>
      <c r="D85" s="38">
        <v>50</v>
      </c>
      <c r="E85" s="39">
        <v>198</v>
      </c>
    </row>
    <row r="86" spans="1:5" x14ac:dyDescent="0.35">
      <c r="A86" s="35" t="s">
        <v>174</v>
      </c>
      <c r="B86" s="36">
        <v>198</v>
      </c>
      <c r="C86" s="37">
        <v>42</v>
      </c>
      <c r="D86" s="38">
        <v>25</v>
      </c>
      <c r="E86" s="39">
        <v>124</v>
      </c>
    </row>
    <row r="87" spans="1:5" x14ac:dyDescent="0.35">
      <c r="A87" s="35" t="s">
        <v>175</v>
      </c>
      <c r="B87" s="36">
        <v>124</v>
      </c>
      <c r="C87" s="37">
        <v>42</v>
      </c>
      <c r="D87" s="38">
        <v>25</v>
      </c>
      <c r="E87" s="39">
        <v>109</v>
      </c>
    </row>
    <row r="88" spans="1:5" x14ac:dyDescent="0.35">
      <c r="A88" s="35" t="s">
        <v>176</v>
      </c>
      <c r="B88" s="36">
        <v>109</v>
      </c>
      <c r="C88" s="37">
        <v>38</v>
      </c>
      <c r="D88" s="38">
        <v>23</v>
      </c>
      <c r="E88" s="39">
        <v>139</v>
      </c>
    </row>
    <row r="89" spans="1:5" x14ac:dyDescent="0.35">
      <c r="A89" s="35" t="s">
        <v>177</v>
      </c>
      <c r="B89" s="36">
        <v>139</v>
      </c>
      <c r="C89" s="37">
        <v>13</v>
      </c>
      <c r="D89" s="38">
        <v>45</v>
      </c>
      <c r="E89" s="39">
        <v>117</v>
      </c>
    </row>
    <row r="90" spans="1:5" x14ac:dyDescent="0.35">
      <c r="A90" s="35" t="s">
        <v>178</v>
      </c>
      <c r="B90" s="36">
        <v>117</v>
      </c>
      <c r="C90" s="37">
        <v>55</v>
      </c>
      <c r="D90" s="38">
        <v>37</v>
      </c>
      <c r="E90" s="39">
        <v>139</v>
      </c>
    </row>
    <row r="91" spans="1:5" x14ac:dyDescent="0.35">
      <c r="A91" s="35" t="s">
        <v>179</v>
      </c>
      <c r="B91" s="36">
        <v>139</v>
      </c>
      <c r="C91" s="37">
        <v>27</v>
      </c>
      <c r="D91" s="38">
        <v>75</v>
      </c>
      <c r="E91" s="39">
        <v>87</v>
      </c>
    </row>
    <row r="92" spans="1:5" x14ac:dyDescent="0.35">
      <c r="A92" s="35" t="s">
        <v>180</v>
      </c>
      <c r="B92" s="36">
        <v>87</v>
      </c>
      <c r="C92" s="37">
        <v>69</v>
      </c>
      <c r="D92" s="38">
        <v>11</v>
      </c>
      <c r="E92" s="39">
        <v>145</v>
      </c>
    </row>
    <row r="93" spans="1:5" x14ac:dyDescent="0.35">
      <c r="A93" s="35" t="s">
        <v>181</v>
      </c>
      <c r="B93" s="36">
        <v>145</v>
      </c>
      <c r="C93" s="37">
        <v>46</v>
      </c>
      <c r="D93" s="38">
        <v>55</v>
      </c>
      <c r="E93" s="39">
        <v>148</v>
      </c>
    </row>
    <row r="94" spans="1:5" x14ac:dyDescent="0.35">
      <c r="A94" s="35" t="s">
        <v>182</v>
      </c>
      <c r="B94" s="36">
        <v>148</v>
      </c>
      <c r="C94" s="37">
        <v>100</v>
      </c>
      <c r="D94" s="38">
        <v>51</v>
      </c>
      <c r="E94" s="39">
        <v>187</v>
      </c>
    </row>
    <row r="95" spans="1:5" x14ac:dyDescent="0.35">
      <c r="A95" s="35" t="s">
        <v>183</v>
      </c>
      <c r="B95" s="36">
        <v>187</v>
      </c>
      <c r="C95" s="37">
        <v>31</v>
      </c>
      <c r="D95" s="38">
        <v>70</v>
      </c>
      <c r="E95" s="39">
        <v>153</v>
      </c>
    </row>
    <row r="96" spans="1:5" x14ac:dyDescent="0.35">
      <c r="A96" s="35" t="s">
        <v>184</v>
      </c>
      <c r="B96" s="36">
        <v>153</v>
      </c>
      <c r="C96" s="37">
        <v>76</v>
      </c>
      <c r="D96" s="38">
        <v>48</v>
      </c>
      <c r="E96" s="39">
        <v>180</v>
      </c>
    </row>
    <row r="97" spans="1:5" x14ac:dyDescent="0.35">
      <c r="A97" s="35" t="s">
        <v>185</v>
      </c>
      <c r="B97" s="36">
        <v>180</v>
      </c>
      <c r="C97" s="37">
        <v>40</v>
      </c>
      <c r="D97" s="38">
        <v>57</v>
      </c>
      <c r="E97" s="39">
        <v>162</v>
      </c>
    </row>
    <row r="98" spans="1:5" x14ac:dyDescent="0.35">
      <c r="A98" s="35" t="s">
        <v>186</v>
      </c>
      <c r="B98" s="36">
        <v>162</v>
      </c>
      <c r="C98" s="37">
        <v>51</v>
      </c>
      <c r="D98" s="38">
        <v>56</v>
      </c>
      <c r="E98" s="39">
        <v>154</v>
      </c>
    </row>
    <row r="99" spans="1:5" x14ac:dyDescent="0.35">
      <c r="A99" s="35" t="s">
        <v>187</v>
      </c>
      <c r="B99" s="36">
        <v>154</v>
      </c>
      <c r="C99" s="37">
        <v>92</v>
      </c>
      <c r="D99" s="38">
        <v>62</v>
      </c>
      <c r="E99" s="39">
        <v>190</v>
      </c>
    </row>
    <row r="100" spans="1:5" x14ac:dyDescent="0.35">
      <c r="A100" s="35" t="s">
        <v>188</v>
      </c>
      <c r="B100" s="36">
        <v>141</v>
      </c>
      <c r="C100" s="37">
        <v>56</v>
      </c>
      <c r="D100" s="38">
        <v>32</v>
      </c>
      <c r="E100" s="39">
        <v>153</v>
      </c>
    </row>
    <row r="101" spans="1:5" x14ac:dyDescent="0.35">
      <c r="A101" s="35" t="s">
        <v>189</v>
      </c>
      <c r="B101" s="36">
        <v>153</v>
      </c>
      <c r="C101" s="37">
        <v>39</v>
      </c>
      <c r="D101" s="38">
        <v>89</v>
      </c>
      <c r="E101" s="39">
        <v>156</v>
      </c>
    </row>
    <row r="102" spans="1:5" x14ac:dyDescent="0.35">
      <c r="A102" s="35" t="s">
        <v>190</v>
      </c>
      <c r="B102" s="36">
        <v>159</v>
      </c>
      <c r="C102" s="37">
        <v>16</v>
      </c>
      <c r="D102" s="38">
        <v>75</v>
      </c>
      <c r="E102" s="39">
        <v>109</v>
      </c>
    </row>
    <row r="103" spans="1:5" x14ac:dyDescent="0.35">
      <c r="A103" s="35" t="s">
        <v>191</v>
      </c>
      <c r="B103" s="36">
        <v>94</v>
      </c>
      <c r="C103" s="37">
        <v>41</v>
      </c>
      <c r="D103" s="38">
        <v>51</v>
      </c>
      <c r="E103" s="39">
        <v>132</v>
      </c>
    </row>
    <row r="104" spans="1:5" x14ac:dyDescent="0.35">
      <c r="A104" s="35" t="s">
        <v>192</v>
      </c>
      <c r="B104" s="36">
        <v>132</v>
      </c>
      <c r="C104" s="37">
        <v>61</v>
      </c>
      <c r="D104" s="38">
        <v>40</v>
      </c>
      <c r="E104" s="39">
        <v>133</v>
      </c>
    </row>
    <row r="105" spans="1:5" x14ac:dyDescent="0.35">
      <c r="A105" s="35" t="s">
        <v>193</v>
      </c>
      <c r="B105" s="36">
        <v>133</v>
      </c>
      <c r="C105" s="37">
        <v>32</v>
      </c>
      <c r="D105" s="38">
        <v>87</v>
      </c>
      <c r="E105" s="39">
        <v>80</v>
      </c>
    </row>
    <row r="106" spans="1:5" x14ac:dyDescent="0.35">
      <c r="A106" s="35" t="s">
        <v>194</v>
      </c>
      <c r="B106" s="36">
        <v>80</v>
      </c>
      <c r="C106" s="37">
        <v>91</v>
      </c>
      <c r="D106" s="38">
        <v>33</v>
      </c>
      <c r="E106" s="39">
        <v>140</v>
      </c>
    </row>
    <row r="107" spans="1:5" x14ac:dyDescent="0.35">
      <c r="A107" s="35" t="s">
        <v>195</v>
      </c>
      <c r="B107" s="36">
        <f>E106</f>
        <v>140</v>
      </c>
      <c r="C107" s="37">
        <v>33</v>
      </c>
      <c r="D107" s="38">
        <v>58</v>
      </c>
      <c r="E107" s="39">
        <v>114</v>
      </c>
    </row>
    <row r="108" spans="1:5" x14ac:dyDescent="0.35">
      <c r="A108" s="35" t="s">
        <v>196</v>
      </c>
      <c r="B108" s="36">
        <f>E107</f>
        <v>114</v>
      </c>
      <c r="C108" s="37">
        <v>23</v>
      </c>
      <c r="D108" s="38">
        <v>23</v>
      </c>
      <c r="E108" s="39">
        <v>109</v>
      </c>
    </row>
    <row r="109" spans="1:5" x14ac:dyDescent="0.35">
      <c r="A109" s="35" t="s">
        <v>197</v>
      </c>
      <c r="B109" s="36">
        <f>E108</f>
        <v>109</v>
      </c>
      <c r="C109" s="37">
        <v>23</v>
      </c>
      <c r="D109" s="38">
        <v>30</v>
      </c>
      <c r="E109" s="39">
        <v>95</v>
      </c>
    </row>
    <row r="110" spans="1:5" x14ac:dyDescent="0.35">
      <c r="A110" s="35" t="s">
        <v>198</v>
      </c>
      <c r="B110" s="36">
        <f>E109</f>
        <v>95</v>
      </c>
      <c r="C110" s="37">
        <v>46</v>
      </c>
      <c r="D110" s="38">
        <v>21</v>
      </c>
      <c r="E110" s="39">
        <v>123</v>
      </c>
    </row>
    <row r="111" spans="1:5" x14ac:dyDescent="0.35">
      <c r="A111" s="35" t="s">
        <v>199</v>
      </c>
      <c r="B111" s="36">
        <f>E110</f>
        <v>123</v>
      </c>
      <c r="C111" s="37">
        <v>0</v>
      </c>
      <c r="D111" s="38">
        <v>25</v>
      </c>
      <c r="E111" s="39">
        <v>96</v>
      </c>
    </row>
    <row r="112" spans="1:5" x14ac:dyDescent="0.35">
      <c r="A112" s="35" t="s">
        <v>200</v>
      </c>
      <c r="B112" s="36">
        <v>96</v>
      </c>
      <c r="C112" s="37">
        <v>71</v>
      </c>
      <c r="D112" s="38">
        <v>58</v>
      </c>
      <c r="E112" s="39">
        <v>89</v>
      </c>
    </row>
    <row r="113" spans="1:5" x14ac:dyDescent="0.35">
      <c r="A113" s="35" t="s">
        <v>201</v>
      </c>
      <c r="B113" s="36">
        <v>89</v>
      </c>
      <c r="C113" s="37">
        <v>36</v>
      </c>
      <c r="D113" s="38">
        <v>35</v>
      </c>
      <c r="E113" s="39">
        <v>85</v>
      </c>
    </row>
    <row r="114" spans="1:5" x14ac:dyDescent="0.35">
      <c r="A114" s="35" t="s">
        <v>202</v>
      </c>
      <c r="B114" s="36">
        <v>85</v>
      </c>
      <c r="C114" s="37">
        <v>61</v>
      </c>
      <c r="D114" s="38">
        <v>25</v>
      </c>
      <c r="E114" s="39">
        <v>124</v>
      </c>
    </row>
    <row r="115" spans="1:5" x14ac:dyDescent="0.35">
      <c r="A115" s="35" t="s">
        <v>203</v>
      </c>
      <c r="B115" s="36">
        <v>124</v>
      </c>
      <c r="C115" s="37">
        <v>62</v>
      </c>
      <c r="D115" s="38">
        <v>89</v>
      </c>
      <c r="E115" s="39">
        <v>103</v>
      </c>
    </row>
    <row r="116" spans="1:5" x14ac:dyDescent="0.35">
      <c r="A116" s="35" t="s">
        <v>204</v>
      </c>
      <c r="B116" s="36">
        <v>103</v>
      </c>
      <c r="C116" s="37">
        <v>92</v>
      </c>
      <c r="D116" s="38">
        <v>54</v>
      </c>
      <c r="E116" s="39">
        <v>143</v>
      </c>
    </row>
    <row r="117" spans="1:5" x14ac:dyDescent="0.35">
      <c r="A117" s="35" t="s">
        <v>205</v>
      </c>
      <c r="B117" s="36">
        <v>143</v>
      </c>
      <c r="C117" s="37">
        <v>53</v>
      </c>
      <c r="D117" s="38">
        <v>82</v>
      </c>
      <c r="E117" s="39">
        <v>139</v>
      </c>
    </row>
    <row r="118" spans="1:5" x14ac:dyDescent="0.35">
      <c r="A118" s="35" t="s">
        <v>206</v>
      </c>
      <c r="B118" s="36">
        <v>138</v>
      </c>
      <c r="C118" s="37">
        <v>36</v>
      </c>
      <c r="D118" s="38">
        <v>95</v>
      </c>
      <c r="E118" s="39">
        <v>76</v>
      </c>
    </row>
    <row r="119" spans="1:5" x14ac:dyDescent="0.35">
      <c r="A119" s="35" t="s">
        <v>207</v>
      </c>
      <c r="B119" s="36">
        <v>76</v>
      </c>
      <c r="C119" s="37">
        <v>25</v>
      </c>
      <c r="D119" s="38">
        <v>42</v>
      </c>
      <c r="E119" s="39">
        <v>49</v>
      </c>
    </row>
    <row r="120" spans="1:5" x14ac:dyDescent="0.35">
      <c r="A120" s="35" t="s">
        <v>208</v>
      </c>
      <c r="B120" s="36">
        <v>61</v>
      </c>
      <c r="C120" s="37">
        <v>18</v>
      </c>
      <c r="D120" s="38">
        <v>13</v>
      </c>
      <c r="E120" s="39">
        <v>69</v>
      </c>
    </row>
    <row r="121" spans="1:5" x14ac:dyDescent="0.35">
      <c r="A121" s="35" t="s">
        <v>209</v>
      </c>
      <c r="B121" s="36">
        <v>69</v>
      </c>
      <c r="C121" s="37">
        <v>88</v>
      </c>
      <c r="D121" s="38">
        <v>13</v>
      </c>
      <c r="E121" s="39">
        <v>128</v>
      </c>
    </row>
    <row r="122" spans="1:5" x14ac:dyDescent="0.35">
      <c r="A122" s="35" t="s">
        <v>210</v>
      </c>
      <c r="B122" s="36">
        <v>129</v>
      </c>
      <c r="C122" s="37">
        <v>63</v>
      </c>
      <c r="D122" s="38">
        <v>14</v>
      </c>
      <c r="E122" s="39">
        <v>152</v>
      </c>
    </row>
    <row r="123" spans="1:5" x14ac:dyDescent="0.35">
      <c r="A123" s="35" t="s">
        <v>211</v>
      </c>
      <c r="B123" s="36">
        <v>140</v>
      </c>
      <c r="C123" s="37">
        <v>50</v>
      </c>
      <c r="D123" s="38">
        <v>89</v>
      </c>
      <c r="E123" s="39">
        <v>85</v>
      </c>
    </row>
    <row r="124" spans="1:5" x14ac:dyDescent="0.35">
      <c r="A124" s="35" t="s">
        <v>212</v>
      </c>
      <c r="B124" s="36">
        <v>85</v>
      </c>
      <c r="C124" s="37">
        <v>32</v>
      </c>
      <c r="D124" s="38">
        <v>37</v>
      </c>
      <c r="E124" s="39">
        <v>67</v>
      </c>
    </row>
    <row r="125" spans="1:5" x14ac:dyDescent="0.35">
      <c r="A125" s="35" t="s">
        <v>213</v>
      </c>
      <c r="B125" s="36">
        <v>67</v>
      </c>
      <c r="C125" s="37">
        <v>55</v>
      </c>
      <c r="D125" s="38">
        <v>24</v>
      </c>
      <c r="E125" s="39">
        <v>99</v>
      </c>
    </row>
    <row r="126" spans="1:5" x14ac:dyDescent="0.35">
      <c r="A126" s="35" t="s">
        <v>214</v>
      </c>
      <c r="B126" s="36">
        <v>99</v>
      </c>
      <c r="C126" s="37">
        <v>72</v>
      </c>
      <c r="D126" s="38">
        <v>34</v>
      </c>
      <c r="E126" s="39">
        <v>135</v>
      </c>
    </row>
    <row r="127" spans="1:5" x14ac:dyDescent="0.35">
      <c r="A127" s="35" t="s">
        <v>215</v>
      </c>
      <c r="B127" s="36">
        <v>135</v>
      </c>
      <c r="C127" s="37">
        <v>31</v>
      </c>
      <c r="D127" s="38">
        <v>34</v>
      </c>
      <c r="E127" s="39">
        <v>106</v>
      </c>
    </row>
    <row r="128" spans="1:5" x14ac:dyDescent="0.35">
      <c r="A128" s="35" t="s">
        <v>216</v>
      </c>
      <c r="B128" s="36">
        <v>103</v>
      </c>
      <c r="C128" s="37">
        <v>31</v>
      </c>
      <c r="D128" s="38">
        <v>23</v>
      </c>
      <c r="E128" s="39">
        <v>113</v>
      </c>
    </row>
    <row r="129" spans="1:5" x14ac:dyDescent="0.35">
      <c r="A129" s="35" t="s">
        <v>217</v>
      </c>
      <c r="B129" s="36">
        <v>113</v>
      </c>
      <c r="C129" s="37">
        <v>35</v>
      </c>
      <c r="D129" s="38">
        <v>50</v>
      </c>
      <c r="E129" s="39">
        <v>104</v>
      </c>
    </row>
    <row r="130" spans="1:5" x14ac:dyDescent="0.35">
      <c r="A130" s="35" t="s">
        <v>218</v>
      </c>
      <c r="B130" s="36">
        <v>104</v>
      </c>
      <c r="C130" s="37">
        <v>64</v>
      </c>
      <c r="D130" s="38">
        <v>45</v>
      </c>
      <c r="E130" s="39">
        <v>122</v>
      </c>
    </row>
    <row r="131" spans="1:5" x14ac:dyDescent="0.35">
      <c r="A131" s="35" t="s">
        <v>219</v>
      </c>
      <c r="B131" s="36">
        <v>121</v>
      </c>
      <c r="C131" s="37">
        <v>54</v>
      </c>
      <c r="D131" s="38">
        <v>67</v>
      </c>
      <c r="E131" s="39">
        <v>101</v>
      </c>
    </row>
    <row r="132" spans="1:5" x14ac:dyDescent="0.35">
      <c r="A132" s="35" t="s">
        <v>220</v>
      </c>
      <c r="B132" s="36">
        <v>83</v>
      </c>
      <c r="C132" s="37">
        <v>42</v>
      </c>
      <c r="D132" s="38">
        <v>20</v>
      </c>
      <c r="E132" s="39">
        <v>103</v>
      </c>
    </row>
    <row r="133" spans="1:5" x14ac:dyDescent="0.35">
      <c r="A133" s="35" t="s">
        <v>221</v>
      </c>
      <c r="B133" s="36">
        <v>103</v>
      </c>
      <c r="C133" s="37">
        <v>54</v>
      </c>
      <c r="D133" s="38">
        <v>43</v>
      </c>
      <c r="E133" s="39">
        <v>122</v>
      </c>
    </row>
    <row r="134" spans="1:5" x14ac:dyDescent="0.35">
      <c r="A134" s="35" t="s">
        <v>222</v>
      </c>
      <c r="B134" s="36">
        <v>122</v>
      </c>
      <c r="C134" s="37">
        <v>29</v>
      </c>
      <c r="D134" s="38">
        <v>36</v>
      </c>
      <c r="E134" s="39">
        <v>110</v>
      </c>
    </row>
    <row r="135" spans="1:5" x14ac:dyDescent="0.35">
      <c r="A135" s="35" t="s">
        <v>223</v>
      </c>
      <c r="B135" s="36">
        <v>110</v>
      </c>
      <c r="C135" s="37">
        <v>41</v>
      </c>
      <c r="D135" s="38">
        <v>55</v>
      </c>
      <c r="E135" s="39">
        <v>101</v>
      </c>
    </row>
    <row r="136" spans="1:5" x14ac:dyDescent="0.35">
      <c r="A136" s="35" t="s">
        <v>224</v>
      </c>
      <c r="B136" s="36">
        <v>101</v>
      </c>
      <c r="C136" s="37">
        <v>58</v>
      </c>
      <c r="D136" s="38">
        <v>46</v>
      </c>
      <c r="E136" s="39">
        <v>111</v>
      </c>
    </row>
    <row r="137" spans="1:5" x14ac:dyDescent="0.35">
      <c r="A137" s="35" t="s">
        <v>225</v>
      </c>
      <c r="B137" s="36">
        <v>111</v>
      </c>
      <c r="C137" s="37">
        <v>39</v>
      </c>
      <c r="D137" s="38">
        <v>71</v>
      </c>
      <c r="E137" s="39">
        <v>64</v>
      </c>
    </row>
    <row r="138" spans="1:5" x14ac:dyDescent="0.35">
      <c r="A138" s="35" t="s">
        <v>226</v>
      </c>
      <c r="B138" s="36">
        <v>64</v>
      </c>
      <c r="C138" s="37">
        <v>17</v>
      </c>
      <c r="D138" s="38">
        <v>13</v>
      </c>
      <c r="E138" s="39">
        <v>73</v>
      </c>
    </row>
    <row r="139" spans="1:5" x14ac:dyDescent="0.35">
      <c r="A139" s="35" t="s">
        <v>227</v>
      </c>
      <c r="B139" s="36">
        <v>73</v>
      </c>
      <c r="C139" s="37">
        <v>33</v>
      </c>
      <c r="D139" s="38">
        <v>28</v>
      </c>
      <c r="E139" s="39">
        <v>63</v>
      </c>
    </row>
    <row r="140" spans="1:5" x14ac:dyDescent="0.35">
      <c r="A140" s="35" t="s">
        <v>228</v>
      </c>
      <c r="B140" s="36">
        <v>63</v>
      </c>
      <c r="C140" s="37">
        <v>18</v>
      </c>
      <c r="D140" s="38">
        <v>10</v>
      </c>
      <c r="E140" s="39">
        <v>61</v>
      </c>
    </row>
    <row r="141" spans="1:5" x14ac:dyDescent="0.35">
      <c r="A141" s="35" t="s">
        <v>229</v>
      </c>
      <c r="B141" s="36">
        <v>61</v>
      </c>
      <c r="C141" s="37">
        <v>37</v>
      </c>
      <c r="D141" s="38">
        <v>24</v>
      </c>
      <c r="E141" s="39">
        <v>75</v>
      </c>
    </row>
    <row r="142" spans="1:5" x14ac:dyDescent="0.35">
      <c r="A142" s="35" t="s">
        <v>230</v>
      </c>
      <c r="B142" s="36">
        <v>75</v>
      </c>
      <c r="C142" s="37">
        <v>32</v>
      </c>
      <c r="D142" s="38">
        <v>37</v>
      </c>
      <c r="E142" s="39">
        <v>69</v>
      </c>
    </row>
    <row r="143" spans="1:5" x14ac:dyDescent="0.35">
      <c r="A143" s="35" t="s">
        <v>231</v>
      </c>
      <c r="B143" s="36">
        <v>69</v>
      </c>
      <c r="C143" s="37">
        <v>50</v>
      </c>
      <c r="D143" s="38">
        <v>34</v>
      </c>
      <c r="E143" s="39">
        <v>85</v>
      </c>
    </row>
    <row r="144" spans="1:5" x14ac:dyDescent="0.35">
      <c r="A144" s="35" t="s">
        <v>232</v>
      </c>
      <c r="B144" s="36">
        <v>85</v>
      </c>
      <c r="C144" s="37">
        <v>37</v>
      </c>
      <c r="D144" s="38">
        <v>17</v>
      </c>
      <c r="E144" s="39">
        <v>115</v>
      </c>
    </row>
    <row r="145" spans="1:5" x14ac:dyDescent="0.35">
      <c r="A145" s="35" t="s">
        <v>233</v>
      </c>
      <c r="B145" s="36">
        <v>115</v>
      </c>
      <c r="C145" s="37">
        <v>37</v>
      </c>
      <c r="D145" s="38">
        <v>67</v>
      </c>
      <c r="E145" s="39">
        <v>71</v>
      </c>
    </row>
    <row r="146" spans="1:5" x14ac:dyDescent="0.35">
      <c r="A146" s="35" t="s">
        <v>234</v>
      </c>
      <c r="B146" s="36">
        <v>71</v>
      </c>
      <c r="C146" s="37">
        <v>15</v>
      </c>
      <c r="D146" s="38">
        <v>30</v>
      </c>
      <c r="E146" s="39">
        <v>53</v>
      </c>
    </row>
    <row r="147" spans="1:5" x14ac:dyDescent="0.35">
      <c r="A147" s="35" t="s">
        <v>235</v>
      </c>
      <c r="B147" s="36">
        <v>53</v>
      </c>
      <c r="C147" s="37">
        <v>28</v>
      </c>
      <c r="D147" s="38">
        <v>15</v>
      </c>
      <c r="E147" s="39">
        <v>69</v>
      </c>
    </row>
    <row r="148" spans="1:5" x14ac:dyDescent="0.35">
      <c r="A148" s="35" t="s">
        <v>236</v>
      </c>
      <c r="B148" s="36">
        <v>69</v>
      </c>
      <c r="C148" s="37">
        <v>60</v>
      </c>
      <c r="D148" s="38">
        <v>28</v>
      </c>
      <c r="E148" s="39">
        <v>96</v>
      </c>
    </row>
    <row r="149" spans="1:5" x14ac:dyDescent="0.35">
      <c r="A149" s="35" t="s">
        <v>237</v>
      </c>
      <c r="B149" s="36">
        <v>96</v>
      </c>
      <c r="C149" s="37">
        <v>20</v>
      </c>
      <c r="D149" s="38">
        <v>64</v>
      </c>
      <c r="E149" s="39">
        <v>60</v>
      </c>
    </row>
    <row r="150" spans="1:5" x14ac:dyDescent="0.35">
      <c r="A150" s="35" t="s">
        <v>238</v>
      </c>
      <c r="B150" s="36">
        <v>60</v>
      </c>
      <c r="C150" s="37">
        <v>33</v>
      </c>
      <c r="D150" s="38">
        <v>18</v>
      </c>
      <c r="E150" s="39">
        <v>76</v>
      </c>
    </row>
    <row r="151" spans="1:5" x14ac:dyDescent="0.35">
      <c r="A151" s="35" t="s">
        <v>239</v>
      </c>
      <c r="B151" s="36">
        <v>76</v>
      </c>
      <c r="C151" s="37">
        <v>31</v>
      </c>
      <c r="D151" s="38">
        <v>32</v>
      </c>
      <c r="E151" s="39">
        <v>87</v>
      </c>
    </row>
    <row r="152" spans="1:5" x14ac:dyDescent="0.35">
      <c r="A152" s="35" t="s">
        <v>240</v>
      </c>
      <c r="B152" s="36">
        <v>87</v>
      </c>
      <c r="C152" s="37">
        <v>51</v>
      </c>
      <c r="D152" s="38">
        <v>37</v>
      </c>
      <c r="E152" s="39">
        <v>102</v>
      </c>
    </row>
    <row r="153" spans="1:5" x14ac:dyDescent="0.35">
      <c r="A153" s="35" t="s">
        <v>241</v>
      </c>
      <c r="B153" s="36">
        <v>102</v>
      </c>
      <c r="C153" s="37">
        <v>15</v>
      </c>
      <c r="D153" s="38">
        <v>21</v>
      </c>
      <c r="E153" s="39">
        <v>85</v>
      </c>
    </row>
    <row r="154" spans="1:5" x14ac:dyDescent="0.35">
      <c r="A154" s="35" t="s">
        <v>242</v>
      </c>
      <c r="B154" s="36">
        <v>85</v>
      </c>
      <c r="C154" s="37">
        <v>41</v>
      </c>
      <c r="D154" s="38">
        <v>40</v>
      </c>
      <c r="E154" s="39">
        <v>84</v>
      </c>
    </row>
    <row r="155" spans="1:5" x14ac:dyDescent="0.35">
      <c r="A155" s="35" t="s">
        <v>243</v>
      </c>
      <c r="B155" s="36">
        <v>99</v>
      </c>
      <c r="C155" s="37">
        <v>0</v>
      </c>
      <c r="D155" s="38">
        <v>31</v>
      </c>
      <c r="E155" s="39">
        <v>97</v>
      </c>
    </row>
    <row r="156" spans="1:5" x14ac:dyDescent="0.35">
      <c r="A156" s="35" t="s">
        <v>244</v>
      </c>
      <c r="B156" s="36">
        <v>96</v>
      </c>
      <c r="C156" s="37">
        <v>71</v>
      </c>
      <c r="D156" s="38">
        <v>35</v>
      </c>
      <c r="E156" s="39">
        <v>114</v>
      </c>
    </row>
    <row r="157" spans="1:5" x14ac:dyDescent="0.35">
      <c r="A157" s="35" t="s">
        <v>245</v>
      </c>
      <c r="B157" s="36">
        <v>107</v>
      </c>
      <c r="C157" s="37">
        <v>19</v>
      </c>
      <c r="D157" s="38">
        <v>33</v>
      </c>
      <c r="E157" s="39">
        <v>99</v>
      </c>
    </row>
    <row r="158" spans="1:5" x14ac:dyDescent="0.35">
      <c r="A158" s="35" t="s">
        <v>246</v>
      </c>
      <c r="B158" s="36">
        <v>99</v>
      </c>
      <c r="C158" s="37">
        <v>19</v>
      </c>
      <c r="D158" s="38">
        <v>33</v>
      </c>
      <c r="E158" s="39">
        <v>103</v>
      </c>
    </row>
    <row r="159" spans="1:5" x14ac:dyDescent="0.35">
      <c r="A159" s="35" t="s">
        <v>247</v>
      </c>
      <c r="B159" s="36">
        <v>103</v>
      </c>
      <c r="C159" s="37">
        <v>88</v>
      </c>
      <c r="D159" s="38">
        <v>54</v>
      </c>
      <c r="E159" s="39">
        <v>123</v>
      </c>
    </row>
    <row r="160" spans="1:5" x14ac:dyDescent="0.35">
      <c r="A160" s="35" t="s">
        <v>248</v>
      </c>
      <c r="B160" s="36">
        <v>123</v>
      </c>
      <c r="C160" s="37">
        <v>68</v>
      </c>
      <c r="D160" s="38">
        <v>69</v>
      </c>
      <c r="E160" s="39">
        <v>124</v>
      </c>
    </row>
    <row r="161" spans="1:5" x14ac:dyDescent="0.35">
      <c r="A161" s="35" t="s">
        <v>249</v>
      </c>
      <c r="B161" s="36">
        <v>124</v>
      </c>
      <c r="C161" s="37">
        <v>68</v>
      </c>
      <c r="D161" s="38">
        <v>69</v>
      </c>
      <c r="E161" s="39">
        <v>74</v>
      </c>
    </row>
    <row r="162" spans="1:5" x14ac:dyDescent="0.35">
      <c r="A162" s="35" t="s">
        <v>250</v>
      </c>
      <c r="B162" s="36">
        <v>74</v>
      </c>
      <c r="C162" s="37">
        <v>103</v>
      </c>
      <c r="D162" s="38">
        <v>55</v>
      </c>
      <c r="E162" s="39">
        <v>152</v>
      </c>
    </row>
    <row r="163" spans="1:5" x14ac:dyDescent="0.35">
      <c r="A163" s="35" t="s">
        <v>251</v>
      </c>
      <c r="B163" s="36">
        <v>152</v>
      </c>
      <c r="C163" s="37">
        <v>50</v>
      </c>
      <c r="D163" s="38">
        <v>55</v>
      </c>
      <c r="E163" s="39">
        <v>120</v>
      </c>
    </row>
    <row r="164" spans="1:5" x14ac:dyDescent="0.35">
      <c r="A164" s="35" t="s">
        <v>252</v>
      </c>
      <c r="B164" s="36">
        <v>120</v>
      </c>
      <c r="C164" s="37">
        <v>0</v>
      </c>
      <c r="D164" s="38">
        <v>70</v>
      </c>
      <c r="E164" s="39">
        <v>90</v>
      </c>
    </row>
    <row r="165" spans="1:5" x14ac:dyDescent="0.35">
      <c r="A165" s="35" t="s">
        <v>253</v>
      </c>
      <c r="B165" s="36">
        <v>90</v>
      </c>
      <c r="C165" s="37">
        <v>25</v>
      </c>
      <c r="D165" s="38">
        <v>25</v>
      </c>
      <c r="E165" s="39">
        <v>88</v>
      </c>
    </row>
    <row r="166" spans="1:5" x14ac:dyDescent="0.35">
      <c r="A166" s="35" t="s">
        <v>254</v>
      </c>
      <c r="B166" s="36">
        <v>90</v>
      </c>
      <c r="C166" s="37">
        <v>25</v>
      </c>
      <c r="D166" s="38">
        <v>25</v>
      </c>
      <c r="E166" s="39">
        <v>88</v>
      </c>
    </row>
    <row r="167" spans="1:5" x14ac:dyDescent="0.35">
      <c r="A167" s="35" t="s">
        <v>255</v>
      </c>
      <c r="B167" s="36">
        <v>109</v>
      </c>
      <c r="C167" s="37">
        <v>28</v>
      </c>
      <c r="D167" s="38">
        <v>55</v>
      </c>
      <c r="E167" s="39">
        <v>83</v>
      </c>
    </row>
    <row r="168" spans="1:5" x14ac:dyDescent="0.35">
      <c r="A168" s="35" t="s">
        <v>256</v>
      </c>
      <c r="B168" s="36">
        <v>83</v>
      </c>
      <c r="C168" s="37">
        <v>56</v>
      </c>
      <c r="D168" s="38">
        <v>33</v>
      </c>
      <c r="E168" s="39">
        <v>111</v>
      </c>
    </row>
    <row r="169" spans="1:5" x14ac:dyDescent="0.35">
      <c r="A169" s="35" t="s">
        <v>257</v>
      </c>
      <c r="B169" s="36">
        <v>111</v>
      </c>
      <c r="C169" s="37">
        <v>3</v>
      </c>
      <c r="D169" s="38">
        <v>52</v>
      </c>
      <c r="E169" s="39">
        <v>64</v>
      </c>
    </row>
    <row r="170" spans="1:5" x14ac:dyDescent="0.35">
      <c r="A170" s="35" t="s">
        <v>258</v>
      </c>
      <c r="B170" s="36">
        <v>64</v>
      </c>
      <c r="C170" s="37">
        <v>50</v>
      </c>
      <c r="D170" s="38">
        <v>8</v>
      </c>
      <c r="E170" s="39">
        <v>104</v>
      </c>
    </row>
    <row r="171" spans="1:5" x14ac:dyDescent="0.35">
      <c r="A171" s="35" t="s">
        <v>259</v>
      </c>
      <c r="B171" s="36">
        <v>104</v>
      </c>
      <c r="C171" s="37">
        <v>54</v>
      </c>
      <c r="D171" s="38">
        <v>59</v>
      </c>
      <c r="E171" s="39">
        <v>100</v>
      </c>
    </row>
    <row r="172" spans="1:5" x14ac:dyDescent="0.35">
      <c r="A172" s="35" t="s">
        <v>260</v>
      </c>
      <c r="B172" s="36">
        <v>100</v>
      </c>
      <c r="C172" s="37">
        <v>50</v>
      </c>
      <c r="D172" s="38">
        <v>81</v>
      </c>
      <c r="E172" s="39">
        <v>61</v>
      </c>
    </row>
    <row r="173" spans="1:5" x14ac:dyDescent="0.35">
      <c r="A173" s="35" t="s">
        <v>261</v>
      </c>
      <c r="B173" s="36">
        <v>61</v>
      </c>
      <c r="C173" s="37">
        <v>44</v>
      </c>
      <c r="D173" s="38">
        <v>20</v>
      </c>
      <c r="E173" s="39">
        <v>93</v>
      </c>
    </row>
    <row r="174" spans="1:5" x14ac:dyDescent="0.35">
      <c r="A174" s="35" t="s">
        <v>262</v>
      </c>
      <c r="B174" s="36">
        <v>90</v>
      </c>
      <c r="C174" s="37">
        <v>53</v>
      </c>
      <c r="D174" s="38">
        <v>24</v>
      </c>
      <c r="E174" s="39">
        <v>107</v>
      </c>
    </row>
    <row r="175" spans="1:5" x14ac:dyDescent="0.35">
      <c r="A175" s="35" t="s">
        <v>263</v>
      </c>
      <c r="B175" s="36">
        <v>107</v>
      </c>
      <c r="C175" s="37">
        <v>26</v>
      </c>
      <c r="D175" s="38">
        <v>21</v>
      </c>
      <c r="E175" s="39">
        <v>91</v>
      </c>
    </row>
    <row r="176" spans="1:5" x14ac:dyDescent="0.35">
      <c r="A176" s="35" t="s">
        <v>263</v>
      </c>
      <c r="B176" s="36">
        <v>72</v>
      </c>
      <c r="C176" s="37">
        <v>25</v>
      </c>
      <c r="D176" s="38">
        <v>18</v>
      </c>
      <c r="E176" s="39">
        <v>75</v>
      </c>
    </row>
    <row r="177" spans="1:5" x14ac:dyDescent="0.35">
      <c r="A177" s="35" t="s">
        <v>264</v>
      </c>
      <c r="B177" s="36">
        <v>75</v>
      </c>
      <c r="C177" s="37">
        <v>25</v>
      </c>
      <c r="D177" s="38">
        <v>26</v>
      </c>
      <c r="E177" s="39">
        <v>73</v>
      </c>
    </row>
    <row r="178" spans="1:5" x14ac:dyDescent="0.35">
      <c r="A178" s="35" t="s">
        <v>265</v>
      </c>
      <c r="B178" s="36">
        <v>73</v>
      </c>
      <c r="C178" s="37">
        <v>36</v>
      </c>
      <c r="D178" s="38">
        <v>35</v>
      </c>
      <c r="E178" s="39">
        <v>77</v>
      </c>
    </row>
    <row r="179" spans="1:5" x14ac:dyDescent="0.35">
      <c r="A179" s="35" t="s">
        <v>266</v>
      </c>
      <c r="B179" s="36">
        <v>77</v>
      </c>
      <c r="C179" s="37">
        <v>15</v>
      </c>
      <c r="D179" s="38">
        <v>21</v>
      </c>
      <c r="E179" s="39">
        <v>69</v>
      </c>
    </row>
    <row r="180" spans="1:5" x14ac:dyDescent="0.35">
      <c r="A180" s="35" t="s">
        <v>267</v>
      </c>
      <c r="B180" s="36">
        <v>69</v>
      </c>
      <c r="C180" s="37">
        <v>55</v>
      </c>
      <c r="D180" s="38">
        <v>32</v>
      </c>
      <c r="E180" s="39">
        <v>95</v>
      </c>
    </row>
    <row r="181" spans="1:5" x14ac:dyDescent="0.35">
      <c r="A181" s="35" t="s">
        <v>268</v>
      </c>
      <c r="B181" s="36">
        <v>95</v>
      </c>
      <c r="C181" s="37">
        <v>27</v>
      </c>
      <c r="D181" s="38">
        <v>66</v>
      </c>
      <c r="E181" s="39">
        <v>52</v>
      </c>
    </row>
    <row r="182" spans="1:5" x14ac:dyDescent="0.35">
      <c r="A182" s="35" t="s">
        <v>269</v>
      </c>
      <c r="B182" s="36">
        <v>52</v>
      </c>
      <c r="C182" s="37">
        <v>20</v>
      </c>
      <c r="D182" s="38">
        <v>6</v>
      </c>
      <c r="E182" s="39">
        <v>66</v>
      </c>
    </row>
    <row r="183" spans="1:5" x14ac:dyDescent="0.35">
      <c r="A183" s="35" t="s">
        <v>270</v>
      </c>
      <c r="B183" s="36">
        <v>66</v>
      </c>
      <c r="C183" s="37">
        <v>27</v>
      </c>
      <c r="D183" s="38">
        <v>17</v>
      </c>
      <c r="E183" s="39">
        <v>79</v>
      </c>
    </row>
    <row r="184" spans="1:5" x14ac:dyDescent="0.35">
      <c r="A184" s="35" t="s">
        <v>271</v>
      </c>
      <c r="B184" s="36">
        <v>79</v>
      </c>
      <c r="C184" s="37">
        <v>36</v>
      </c>
      <c r="D184" s="38">
        <v>24</v>
      </c>
      <c r="E184" s="39">
        <v>90</v>
      </c>
    </row>
    <row r="185" spans="1:5" x14ac:dyDescent="0.35">
      <c r="A185" s="35" t="s">
        <v>272</v>
      </c>
      <c r="B185" s="36">
        <v>90</v>
      </c>
      <c r="C185" s="37">
        <v>66</v>
      </c>
      <c r="D185" s="38">
        <v>38</v>
      </c>
      <c r="E185" s="39">
        <v>124</v>
      </c>
    </row>
    <row r="186" spans="1:5" x14ac:dyDescent="0.35">
      <c r="A186" s="35" t="s">
        <v>273</v>
      </c>
      <c r="B186" s="36">
        <v>124</v>
      </c>
      <c r="C186" s="37">
        <v>11</v>
      </c>
      <c r="D186" s="38">
        <v>35</v>
      </c>
      <c r="E186" s="39">
        <v>91</v>
      </c>
    </row>
    <row r="187" spans="1:5" x14ac:dyDescent="0.35">
      <c r="A187" s="35" t="s">
        <v>274</v>
      </c>
      <c r="B187" s="36">
        <v>91</v>
      </c>
      <c r="C187" s="37">
        <v>44</v>
      </c>
      <c r="D187" s="38">
        <v>31</v>
      </c>
      <c r="E187" s="39">
        <v>101</v>
      </c>
    </row>
    <row r="188" spans="1:5" x14ac:dyDescent="0.35">
      <c r="A188" s="35" t="s">
        <v>275</v>
      </c>
      <c r="B188" s="36">
        <v>101</v>
      </c>
      <c r="C188" s="37">
        <v>11</v>
      </c>
      <c r="D188" s="38">
        <v>59</v>
      </c>
      <c r="E188" s="39">
        <v>82</v>
      </c>
    </row>
    <row r="189" spans="1:5" x14ac:dyDescent="0.35">
      <c r="A189" s="35" t="s">
        <v>276</v>
      </c>
      <c r="B189" s="36">
        <v>82</v>
      </c>
      <c r="C189" s="37">
        <v>28</v>
      </c>
      <c r="D189" s="38">
        <v>34</v>
      </c>
      <c r="E189" s="39">
        <v>76</v>
      </c>
    </row>
    <row r="190" spans="1:5" x14ac:dyDescent="0.35">
      <c r="A190" s="35" t="s">
        <v>277</v>
      </c>
      <c r="B190" s="36">
        <v>76</v>
      </c>
      <c r="C190" s="37">
        <v>75</v>
      </c>
      <c r="D190" s="38">
        <v>37</v>
      </c>
      <c r="E190" s="39">
        <v>106</v>
      </c>
    </row>
    <row r="191" spans="1:5" x14ac:dyDescent="0.35">
      <c r="A191" s="35" t="s">
        <v>278</v>
      </c>
      <c r="B191" s="36">
        <v>106</v>
      </c>
      <c r="C191" s="37">
        <v>22</v>
      </c>
      <c r="D191" s="38">
        <v>35</v>
      </c>
      <c r="E191" s="39">
        <v>88</v>
      </c>
    </row>
    <row r="192" spans="1:5" x14ac:dyDescent="0.35">
      <c r="A192" s="35" t="s">
        <v>279</v>
      </c>
      <c r="B192" s="36">
        <v>80</v>
      </c>
      <c r="C192" s="37">
        <v>75</v>
      </c>
      <c r="D192" s="38">
        <v>53</v>
      </c>
      <c r="E192" s="39">
        <v>108</v>
      </c>
    </row>
    <row r="193" spans="1:5" x14ac:dyDescent="0.35">
      <c r="A193" s="35" t="s">
        <v>280</v>
      </c>
      <c r="B193" s="36">
        <v>108</v>
      </c>
      <c r="C193" s="37">
        <v>49</v>
      </c>
      <c r="D193" s="38">
        <v>41</v>
      </c>
      <c r="E193" s="39">
        <v>112</v>
      </c>
    </row>
    <row r="194" spans="1:5" x14ac:dyDescent="0.35">
      <c r="A194" s="35" t="s">
        <v>281</v>
      </c>
      <c r="B194" s="36">
        <v>112</v>
      </c>
      <c r="C194" s="37">
        <v>6</v>
      </c>
      <c r="D194" s="38">
        <v>49</v>
      </c>
      <c r="E194" s="39">
        <v>57</v>
      </c>
    </row>
    <row r="195" spans="1:5" x14ac:dyDescent="0.35">
      <c r="A195" s="35" t="s">
        <v>282</v>
      </c>
      <c r="B195" s="36">
        <v>57</v>
      </c>
      <c r="C195" s="37">
        <v>91</v>
      </c>
      <c r="D195" s="38">
        <v>21</v>
      </c>
      <c r="E195" s="39">
        <v>129</v>
      </c>
    </row>
    <row r="196" spans="1:5" x14ac:dyDescent="0.35">
      <c r="A196" s="35" t="s">
        <v>283</v>
      </c>
      <c r="B196" s="36">
        <v>129</v>
      </c>
      <c r="C196" s="37">
        <v>76</v>
      </c>
      <c r="D196" s="38">
        <v>38</v>
      </c>
      <c r="E196" s="39">
        <v>147</v>
      </c>
    </row>
    <row r="197" spans="1:5" x14ac:dyDescent="0.35">
      <c r="A197" s="35" t="s">
        <v>284</v>
      </c>
      <c r="B197" s="36">
        <v>147</v>
      </c>
      <c r="C197" s="37">
        <v>36</v>
      </c>
      <c r="D197" s="38">
        <v>42</v>
      </c>
      <c r="E197" s="39">
        <v>160</v>
      </c>
    </row>
    <row r="198" spans="1:5" x14ac:dyDescent="0.35">
      <c r="A198" s="35" t="s">
        <v>285</v>
      </c>
      <c r="B198" s="36">
        <v>160</v>
      </c>
      <c r="C198" s="37">
        <v>18</v>
      </c>
      <c r="D198" s="38">
        <v>44</v>
      </c>
      <c r="E198" s="39">
        <v>134</v>
      </c>
    </row>
    <row r="199" spans="1:5" x14ac:dyDescent="0.35">
      <c r="A199" s="35" t="s">
        <v>286</v>
      </c>
      <c r="B199" s="36">
        <v>134</v>
      </c>
      <c r="C199" s="37">
        <v>107</v>
      </c>
      <c r="D199" s="38">
        <v>50</v>
      </c>
      <c r="E199" s="39">
        <v>191</v>
      </c>
    </row>
    <row r="200" spans="1:5" x14ac:dyDescent="0.35">
      <c r="A200" s="35" t="s">
        <v>287</v>
      </c>
      <c r="B200" s="36">
        <v>191</v>
      </c>
      <c r="C200" s="37">
        <v>36</v>
      </c>
      <c r="D200" s="38">
        <v>57</v>
      </c>
      <c r="E200" s="39">
        <v>119</v>
      </c>
    </row>
    <row r="201" spans="1:5" x14ac:dyDescent="0.35">
      <c r="A201" s="35" t="s">
        <v>288</v>
      </c>
      <c r="B201" s="36">
        <v>119</v>
      </c>
      <c r="C201" s="37">
        <v>54</v>
      </c>
      <c r="D201" s="38">
        <v>62</v>
      </c>
      <c r="E201" s="39">
        <v>120</v>
      </c>
    </row>
    <row r="202" spans="1:5" x14ac:dyDescent="0.35">
      <c r="A202" s="35" t="s">
        <v>289</v>
      </c>
      <c r="B202" s="36">
        <v>120</v>
      </c>
      <c r="C202" s="37">
        <v>44</v>
      </c>
      <c r="D202" s="38">
        <v>34</v>
      </c>
      <c r="E202" s="39">
        <v>118</v>
      </c>
    </row>
    <row r="203" spans="1:5" x14ac:dyDescent="0.35">
      <c r="A203" s="35" t="s">
        <v>290</v>
      </c>
      <c r="B203" s="36">
        <v>118</v>
      </c>
      <c r="C203" s="37">
        <v>50</v>
      </c>
      <c r="D203" s="38">
        <v>51</v>
      </c>
      <c r="E203" s="39">
        <v>112</v>
      </c>
    </row>
    <row r="204" spans="1:5" x14ac:dyDescent="0.35">
      <c r="A204" s="35" t="s">
        <v>291</v>
      </c>
      <c r="B204" s="36">
        <v>112</v>
      </c>
      <c r="C204" s="37">
        <v>52</v>
      </c>
      <c r="D204" s="38">
        <v>80</v>
      </c>
      <c r="E204" s="39">
        <v>86</v>
      </c>
    </row>
    <row r="205" spans="1:5" x14ac:dyDescent="0.35">
      <c r="A205" s="35" t="s">
        <v>292</v>
      </c>
      <c r="B205" s="36">
        <v>86</v>
      </c>
      <c r="C205" s="37">
        <v>34</v>
      </c>
      <c r="D205" s="38">
        <v>22</v>
      </c>
      <c r="E205" s="39">
        <v>93</v>
      </c>
    </row>
    <row r="206" spans="1:5" x14ac:dyDescent="0.35">
      <c r="A206" s="35" t="s">
        <v>293</v>
      </c>
      <c r="B206" s="36">
        <v>93</v>
      </c>
      <c r="C206" s="37">
        <v>5</v>
      </c>
      <c r="D206" s="38">
        <v>46</v>
      </c>
      <c r="E206" s="39">
        <v>67</v>
      </c>
    </row>
    <row r="207" spans="1:5" x14ac:dyDescent="0.35">
      <c r="A207" s="35" t="s">
        <v>294</v>
      </c>
      <c r="B207" s="36">
        <v>67</v>
      </c>
      <c r="C207" s="37">
        <v>115</v>
      </c>
      <c r="D207" s="38">
        <v>9</v>
      </c>
      <c r="E207" s="39">
        <v>164</v>
      </c>
    </row>
    <row r="208" spans="1:5" x14ac:dyDescent="0.35">
      <c r="A208" s="35" t="s">
        <v>295</v>
      </c>
      <c r="B208" s="36">
        <v>136</v>
      </c>
      <c r="C208" s="37">
        <v>50</v>
      </c>
      <c r="D208" s="38">
        <v>69</v>
      </c>
      <c r="E208" s="39">
        <v>107</v>
      </c>
    </row>
    <row r="209" spans="1:5" x14ac:dyDescent="0.35">
      <c r="A209" s="35" t="s">
        <v>296</v>
      </c>
      <c r="B209" s="36">
        <v>107</v>
      </c>
      <c r="C209" s="37">
        <v>44</v>
      </c>
      <c r="D209" s="38">
        <v>70</v>
      </c>
      <c r="E209" s="39">
        <v>107</v>
      </c>
    </row>
    <row r="210" spans="1:5" x14ac:dyDescent="0.35">
      <c r="A210" s="35" t="s">
        <v>297</v>
      </c>
      <c r="B210" s="36">
        <v>107</v>
      </c>
      <c r="C210" s="37">
        <v>12</v>
      </c>
      <c r="D210" s="38">
        <v>69</v>
      </c>
      <c r="E210" s="39">
        <v>67</v>
      </c>
    </row>
    <row r="211" spans="1:5" x14ac:dyDescent="0.35">
      <c r="A211" s="35" t="s">
        <v>298</v>
      </c>
      <c r="B211" s="36">
        <v>67</v>
      </c>
      <c r="C211" s="37">
        <v>38</v>
      </c>
      <c r="D211" s="38">
        <v>15</v>
      </c>
      <c r="E211" s="39">
        <v>97</v>
      </c>
    </row>
    <row r="212" spans="1:5" x14ac:dyDescent="0.35">
      <c r="A212" s="35" t="s">
        <v>299</v>
      </c>
      <c r="B212" s="36">
        <v>96</v>
      </c>
      <c r="C212" s="37">
        <v>37</v>
      </c>
      <c r="D212" s="38">
        <v>50</v>
      </c>
      <c r="E212" s="39">
        <v>83</v>
      </c>
    </row>
    <row r="213" spans="1:5" x14ac:dyDescent="0.35">
      <c r="A213" s="35" t="s">
        <v>300</v>
      </c>
      <c r="B213" s="36">
        <v>83</v>
      </c>
      <c r="C213" s="37">
        <v>31</v>
      </c>
      <c r="D213" s="38">
        <v>38</v>
      </c>
      <c r="E213" s="39">
        <v>76</v>
      </c>
    </row>
    <row r="214" spans="1:5" x14ac:dyDescent="0.35">
      <c r="A214" s="35" t="s">
        <v>301</v>
      </c>
      <c r="B214" s="36">
        <v>52</v>
      </c>
      <c r="C214" s="37">
        <v>30</v>
      </c>
      <c r="D214" s="38">
        <v>26</v>
      </c>
      <c r="E214" s="39">
        <v>56</v>
      </c>
    </row>
    <row r="215" spans="1:5" x14ac:dyDescent="0.35">
      <c r="A215" s="35" t="s">
        <v>302</v>
      </c>
      <c r="B215" s="36">
        <v>56</v>
      </c>
      <c r="C215" s="37">
        <v>17</v>
      </c>
      <c r="D215" s="38">
        <v>29</v>
      </c>
      <c r="E215" s="39">
        <v>54</v>
      </c>
    </row>
    <row r="216" spans="1:5" x14ac:dyDescent="0.35">
      <c r="A216" s="35" t="s">
        <v>303</v>
      </c>
      <c r="B216" s="36">
        <v>54</v>
      </c>
      <c r="C216" s="37">
        <v>34</v>
      </c>
      <c r="D216" s="38">
        <v>31</v>
      </c>
      <c r="E216" s="39">
        <v>59</v>
      </c>
    </row>
    <row r="217" spans="1:5" x14ac:dyDescent="0.35">
      <c r="A217" s="35" t="s">
        <v>304</v>
      </c>
      <c r="B217" s="36">
        <v>59</v>
      </c>
      <c r="C217" s="37">
        <v>28</v>
      </c>
      <c r="D217" s="38">
        <v>21</v>
      </c>
      <c r="E217" s="39">
        <v>64</v>
      </c>
    </row>
    <row r="218" spans="1:5" x14ac:dyDescent="0.35">
      <c r="A218" s="35" t="s">
        <v>305</v>
      </c>
      <c r="B218" s="36">
        <v>64</v>
      </c>
      <c r="C218" s="37">
        <v>50</v>
      </c>
      <c r="D218" s="38">
        <v>32</v>
      </c>
      <c r="E218" s="39">
        <v>90</v>
      </c>
    </row>
    <row r="219" spans="1:5" x14ac:dyDescent="0.35">
      <c r="A219" s="35" t="s">
        <v>306</v>
      </c>
      <c r="B219" s="36">
        <v>90</v>
      </c>
      <c r="C219" s="37">
        <v>27</v>
      </c>
      <c r="D219" s="38">
        <v>26</v>
      </c>
      <c r="E219" s="39">
        <v>77</v>
      </c>
    </row>
    <row r="220" spans="1:5" x14ac:dyDescent="0.35">
      <c r="A220" s="35" t="s">
        <v>307</v>
      </c>
      <c r="B220" s="36">
        <v>77</v>
      </c>
      <c r="C220" s="37">
        <v>20</v>
      </c>
      <c r="D220" s="38">
        <v>13</v>
      </c>
      <c r="E220" s="39">
        <v>60</v>
      </c>
    </row>
    <row r="221" spans="1:5" x14ac:dyDescent="0.35">
      <c r="A221" s="35" t="s">
        <v>308</v>
      </c>
      <c r="B221" s="36">
        <v>60</v>
      </c>
      <c r="C221" s="37">
        <v>70</v>
      </c>
      <c r="D221" s="38">
        <v>29</v>
      </c>
      <c r="E221" s="39">
        <v>124</v>
      </c>
    </row>
    <row r="222" spans="1:5" x14ac:dyDescent="0.35">
      <c r="A222" s="35" t="s">
        <v>309</v>
      </c>
      <c r="B222" s="36">
        <v>124</v>
      </c>
      <c r="C222" s="37">
        <v>26</v>
      </c>
      <c r="D222" s="38">
        <v>38</v>
      </c>
      <c r="E222" s="39">
        <v>96</v>
      </c>
    </row>
    <row r="223" spans="1:5" x14ac:dyDescent="0.35">
      <c r="A223" s="35" t="s">
        <v>310</v>
      </c>
      <c r="B223" s="36">
        <v>96</v>
      </c>
      <c r="C223" s="37">
        <v>30</v>
      </c>
      <c r="D223" s="38">
        <v>71</v>
      </c>
      <c r="E223" s="39">
        <v>71</v>
      </c>
    </row>
    <row r="224" spans="1:5" x14ac:dyDescent="0.35">
      <c r="A224" s="35" t="s">
        <v>311</v>
      </c>
      <c r="B224" s="36">
        <v>71</v>
      </c>
      <c r="C224" s="37">
        <v>26</v>
      </c>
      <c r="D224" s="38">
        <v>37</v>
      </c>
      <c r="E224" s="39">
        <v>60</v>
      </c>
    </row>
    <row r="225" spans="1:5" x14ac:dyDescent="0.35">
      <c r="A225" s="35" t="s">
        <v>312</v>
      </c>
      <c r="B225" s="36">
        <v>61</v>
      </c>
      <c r="C225" s="37">
        <v>34</v>
      </c>
      <c r="D225" s="38">
        <v>21</v>
      </c>
      <c r="E225" s="39">
        <v>82</v>
      </c>
    </row>
    <row r="226" spans="1:5" x14ac:dyDescent="0.35">
      <c r="A226" s="35" t="s">
        <v>313</v>
      </c>
      <c r="B226" s="36">
        <v>82</v>
      </c>
      <c r="C226" s="37">
        <v>19</v>
      </c>
      <c r="D226" s="38">
        <v>30</v>
      </c>
      <c r="E226" s="39">
        <v>67</v>
      </c>
    </row>
    <row r="227" spans="1:5" x14ac:dyDescent="0.35">
      <c r="A227" s="35" t="s">
        <v>314</v>
      </c>
      <c r="B227" s="36">
        <v>67</v>
      </c>
      <c r="C227" s="37">
        <v>24</v>
      </c>
      <c r="D227" s="38">
        <v>20</v>
      </c>
      <c r="E227" s="39">
        <v>70</v>
      </c>
    </row>
    <row r="228" spans="1:5" x14ac:dyDescent="0.35">
      <c r="A228" s="35" t="s">
        <v>315</v>
      </c>
      <c r="B228" s="36">
        <v>70</v>
      </c>
      <c r="C228" s="37">
        <v>31</v>
      </c>
      <c r="D228" s="38">
        <v>25</v>
      </c>
      <c r="E228" s="39">
        <v>82</v>
      </c>
    </row>
    <row r="229" spans="1:5" x14ac:dyDescent="0.35">
      <c r="A229" s="35" t="s">
        <v>316</v>
      </c>
      <c r="B229" s="36">
        <v>82</v>
      </c>
      <c r="C229" s="37">
        <v>50</v>
      </c>
      <c r="D229" s="38">
        <v>31</v>
      </c>
      <c r="E229" s="39">
        <v>69</v>
      </c>
    </row>
    <row r="230" spans="1:5" x14ac:dyDescent="0.35">
      <c r="A230" s="35" t="s">
        <v>317</v>
      </c>
      <c r="B230" s="36">
        <v>69</v>
      </c>
      <c r="C230" s="37">
        <v>15</v>
      </c>
      <c r="D230" s="38">
        <v>11</v>
      </c>
      <c r="E230" s="39">
        <v>57</v>
      </c>
    </row>
    <row r="231" spans="1:5" x14ac:dyDescent="0.35">
      <c r="A231" s="35" t="s">
        <v>318</v>
      </c>
      <c r="B231" s="36">
        <v>57</v>
      </c>
      <c r="C231" s="37">
        <v>47</v>
      </c>
      <c r="D231" s="38">
        <v>3</v>
      </c>
      <c r="E231" s="39">
        <v>98</v>
      </c>
    </row>
    <row r="232" spans="1:5" x14ac:dyDescent="0.35">
      <c r="A232" s="35" t="s">
        <v>319</v>
      </c>
      <c r="B232" s="36">
        <v>93</v>
      </c>
      <c r="C232" s="37">
        <v>23</v>
      </c>
      <c r="D232" s="38">
        <v>46</v>
      </c>
      <c r="E232" s="39">
        <v>75</v>
      </c>
    </row>
    <row r="233" spans="1:5" x14ac:dyDescent="0.35">
      <c r="A233" s="35" t="s">
        <v>320</v>
      </c>
      <c r="B233" s="36">
        <v>75</v>
      </c>
      <c r="C233" s="37">
        <v>43</v>
      </c>
      <c r="D233" s="38">
        <v>28</v>
      </c>
      <c r="E233" s="39">
        <v>90</v>
      </c>
    </row>
    <row r="234" spans="1:5" x14ac:dyDescent="0.35">
      <c r="A234" s="35" t="s">
        <v>321</v>
      </c>
      <c r="B234" s="36">
        <v>90</v>
      </c>
      <c r="C234" s="37">
        <v>14</v>
      </c>
      <c r="D234" s="38">
        <v>13</v>
      </c>
      <c r="E234" s="39">
        <v>97</v>
      </c>
    </row>
    <row r="235" spans="1:5" x14ac:dyDescent="0.35">
      <c r="A235" s="35" t="s">
        <v>322</v>
      </c>
      <c r="B235" s="36">
        <v>97</v>
      </c>
      <c r="C235" s="37">
        <v>4</v>
      </c>
      <c r="D235" s="38">
        <v>27</v>
      </c>
      <c r="E235" s="39">
        <v>86</v>
      </c>
    </row>
    <row r="236" spans="1:5" x14ac:dyDescent="0.35">
      <c r="A236" s="35" t="s">
        <v>323</v>
      </c>
      <c r="B236" s="36">
        <v>86</v>
      </c>
      <c r="C236" s="37">
        <v>21</v>
      </c>
      <c r="D236" s="38">
        <v>19</v>
      </c>
      <c r="E236" s="39">
        <v>78</v>
      </c>
    </row>
    <row r="237" spans="1:5" x14ac:dyDescent="0.35">
      <c r="A237" s="35" t="s">
        <v>324</v>
      </c>
      <c r="B237" s="36">
        <v>78</v>
      </c>
      <c r="C237" s="37">
        <v>19</v>
      </c>
      <c r="D237" s="38">
        <v>18</v>
      </c>
      <c r="E237" s="39">
        <v>76</v>
      </c>
    </row>
    <row r="238" spans="1:5" x14ac:dyDescent="0.35">
      <c r="A238" s="35" t="s">
        <v>325</v>
      </c>
      <c r="B238" s="36">
        <v>76</v>
      </c>
      <c r="C238" s="37">
        <v>6</v>
      </c>
      <c r="D238" s="38">
        <v>22</v>
      </c>
      <c r="E238" s="39">
        <v>43</v>
      </c>
    </row>
    <row r="239" spans="1:5" x14ac:dyDescent="0.35">
      <c r="A239" s="35" t="s">
        <v>326</v>
      </c>
      <c r="B239" s="36">
        <v>91</v>
      </c>
      <c r="C239" s="37">
        <v>39</v>
      </c>
      <c r="D239" s="38">
        <v>31</v>
      </c>
      <c r="E239" s="39">
        <v>83</v>
      </c>
    </row>
    <row r="240" spans="1:5" x14ac:dyDescent="0.35">
      <c r="A240" s="35" t="s">
        <v>327</v>
      </c>
      <c r="B240" s="36">
        <v>83</v>
      </c>
      <c r="C240" s="37">
        <v>48</v>
      </c>
      <c r="D240" s="38">
        <v>35</v>
      </c>
      <c r="E240" s="39">
        <v>96</v>
      </c>
    </row>
    <row r="241" spans="1:5" x14ac:dyDescent="0.35">
      <c r="A241" s="35" t="s">
        <v>328</v>
      </c>
      <c r="B241" s="36">
        <v>96</v>
      </c>
      <c r="C241" s="37">
        <v>39</v>
      </c>
      <c r="D241" s="38">
        <v>46</v>
      </c>
      <c r="E241" s="39">
        <v>79</v>
      </c>
    </row>
    <row r="242" spans="1:5" x14ac:dyDescent="0.35">
      <c r="A242" s="35" t="s">
        <v>329</v>
      </c>
      <c r="B242" s="36">
        <v>79</v>
      </c>
      <c r="C242" s="37">
        <v>7</v>
      </c>
      <c r="D242" s="38">
        <v>30</v>
      </c>
      <c r="E242" s="39">
        <v>53</v>
      </c>
    </row>
    <row r="243" spans="1:5" x14ac:dyDescent="0.35">
      <c r="A243" s="35" t="s">
        <v>330</v>
      </c>
      <c r="B243" s="36">
        <v>53</v>
      </c>
      <c r="C243" s="37">
        <v>40</v>
      </c>
      <c r="D243" s="38">
        <v>23</v>
      </c>
      <c r="E243" s="39">
        <v>59</v>
      </c>
    </row>
    <row r="244" spans="1:5" x14ac:dyDescent="0.35">
      <c r="A244" s="35" t="s">
        <v>331</v>
      </c>
      <c r="B244" s="36">
        <v>53</v>
      </c>
      <c r="C244" s="37">
        <v>46</v>
      </c>
      <c r="D244" s="38">
        <v>4</v>
      </c>
      <c r="E244" s="39">
        <v>93</v>
      </c>
    </row>
    <row r="245" spans="1:5" x14ac:dyDescent="0.35">
      <c r="A245" s="35" t="s">
        <v>332</v>
      </c>
      <c r="B245" s="36">
        <v>93</v>
      </c>
      <c r="C245" s="37">
        <v>14</v>
      </c>
      <c r="D245" s="38">
        <v>30</v>
      </c>
      <c r="E245" s="39">
        <v>78</v>
      </c>
    </row>
    <row r="246" spans="1:5" x14ac:dyDescent="0.35">
      <c r="A246" s="35" t="s">
        <v>333</v>
      </c>
      <c r="B246" s="36">
        <v>78</v>
      </c>
      <c r="C246" s="37">
        <v>13</v>
      </c>
      <c r="D246" s="38">
        <v>24</v>
      </c>
      <c r="E246" s="39">
        <v>73</v>
      </c>
    </row>
    <row r="247" spans="1:5" x14ac:dyDescent="0.35">
      <c r="A247" s="35" t="s">
        <v>334</v>
      </c>
      <c r="B247" s="36">
        <v>73</v>
      </c>
      <c r="C247" s="37">
        <v>43</v>
      </c>
      <c r="D247" s="38">
        <v>21</v>
      </c>
      <c r="E247" s="39">
        <v>93</v>
      </c>
    </row>
    <row r="248" spans="1:5" x14ac:dyDescent="0.35">
      <c r="A248" s="35" t="s">
        <v>335</v>
      </c>
      <c r="B248" s="36">
        <v>93</v>
      </c>
      <c r="C248" s="37">
        <v>33</v>
      </c>
      <c r="D248" s="38">
        <v>42</v>
      </c>
      <c r="E248" s="39">
        <v>86</v>
      </c>
    </row>
    <row r="249" spans="1:5" x14ac:dyDescent="0.35">
      <c r="A249" s="35" t="s">
        <v>336</v>
      </c>
      <c r="B249" s="36">
        <v>86</v>
      </c>
      <c r="C249" s="37">
        <v>43</v>
      </c>
      <c r="D249" s="38">
        <v>36</v>
      </c>
      <c r="E249" s="39">
        <v>92</v>
      </c>
    </row>
    <row r="250" spans="1:5" x14ac:dyDescent="0.35">
      <c r="A250" s="35" t="s">
        <v>337</v>
      </c>
      <c r="B250" s="36">
        <v>53</v>
      </c>
      <c r="C250" s="37">
        <v>17</v>
      </c>
      <c r="D250" s="38">
        <v>25</v>
      </c>
      <c r="E250" s="39">
        <v>45</v>
      </c>
    </row>
    <row r="251" spans="1:5" x14ac:dyDescent="0.35">
      <c r="A251" s="35" t="s">
        <v>338</v>
      </c>
      <c r="B251" s="36">
        <v>45</v>
      </c>
      <c r="C251" s="37">
        <v>11</v>
      </c>
      <c r="D251" s="38">
        <v>31</v>
      </c>
      <c r="E251" s="39">
        <v>31</v>
      </c>
    </row>
    <row r="252" spans="1:5" x14ac:dyDescent="0.35">
      <c r="A252" s="35" t="s">
        <v>339</v>
      </c>
      <c r="B252" s="36">
        <v>31</v>
      </c>
      <c r="C252" s="37">
        <v>15</v>
      </c>
      <c r="D252" s="38">
        <v>8</v>
      </c>
      <c r="E252" s="39">
        <v>38</v>
      </c>
    </row>
    <row r="253" spans="1:5" x14ac:dyDescent="0.35">
      <c r="A253" s="35" t="s">
        <v>340</v>
      </c>
      <c r="B253" s="36">
        <v>38</v>
      </c>
      <c r="C253" s="37">
        <v>40</v>
      </c>
      <c r="D253" s="38">
        <v>8</v>
      </c>
      <c r="E253" s="39">
        <v>72</v>
      </c>
    </row>
    <row r="254" spans="1:5" x14ac:dyDescent="0.35">
      <c r="A254" s="35" t="s">
        <v>341</v>
      </c>
      <c r="B254" s="36">
        <v>72</v>
      </c>
      <c r="C254" s="37">
        <v>21</v>
      </c>
      <c r="D254" s="38">
        <v>23</v>
      </c>
      <c r="E254" s="39">
        <v>52</v>
      </c>
    </row>
    <row r="255" spans="1:5" x14ac:dyDescent="0.35">
      <c r="A255" s="35" t="s">
        <v>342</v>
      </c>
      <c r="B255" s="36">
        <v>52</v>
      </c>
      <c r="C255" s="37">
        <v>44</v>
      </c>
      <c r="D255" s="38">
        <v>28</v>
      </c>
      <c r="E255" s="39">
        <v>67</v>
      </c>
    </row>
    <row r="256" spans="1:5" x14ac:dyDescent="0.35">
      <c r="A256" s="35" t="s">
        <v>343</v>
      </c>
      <c r="B256" s="36">
        <v>67</v>
      </c>
      <c r="C256" s="37">
        <v>16</v>
      </c>
      <c r="D256" s="38">
        <v>35</v>
      </c>
      <c r="E256" s="39">
        <v>48</v>
      </c>
    </row>
    <row r="257" spans="1:5" x14ac:dyDescent="0.35">
      <c r="A257" s="35" t="s">
        <v>344</v>
      </c>
      <c r="B257" s="36">
        <v>48</v>
      </c>
      <c r="C257" s="37">
        <v>18</v>
      </c>
      <c r="D257" s="38">
        <v>20</v>
      </c>
      <c r="E257" s="39">
        <v>46</v>
      </c>
    </row>
    <row r="258" spans="1:5" x14ac:dyDescent="0.35">
      <c r="A258" s="35" t="s">
        <v>345</v>
      </c>
      <c r="B258" s="36">
        <v>46</v>
      </c>
      <c r="C258" s="37">
        <v>42</v>
      </c>
      <c r="D258" s="38">
        <v>15</v>
      </c>
      <c r="E258" s="39">
        <v>71</v>
      </c>
    </row>
    <row r="259" spans="1:5" x14ac:dyDescent="0.35">
      <c r="A259" s="35" t="s">
        <v>346</v>
      </c>
      <c r="B259" s="36">
        <v>71</v>
      </c>
      <c r="C259" s="37">
        <v>13</v>
      </c>
      <c r="D259" s="38">
        <v>39</v>
      </c>
      <c r="E259" s="39">
        <v>45</v>
      </c>
    </row>
    <row r="260" spans="1:5" x14ac:dyDescent="0.35">
      <c r="A260" s="35" t="s">
        <v>347</v>
      </c>
      <c r="B260" s="36">
        <v>45</v>
      </c>
      <c r="C260" s="37">
        <v>15</v>
      </c>
      <c r="D260" s="38">
        <v>39</v>
      </c>
      <c r="E260" s="39">
        <v>46</v>
      </c>
    </row>
    <row r="261" spans="1:5" x14ac:dyDescent="0.35">
      <c r="A261" s="35" t="s">
        <v>348</v>
      </c>
      <c r="B261" s="36">
        <v>33</v>
      </c>
      <c r="C261" s="37">
        <v>21</v>
      </c>
      <c r="D261" s="38">
        <v>6</v>
      </c>
      <c r="E261" s="39">
        <v>61</v>
      </c>
    </row>
    <row r="262" spans="1:5" x14ac:dyDescent="0.35">
      <c r="A262" s="35" t="s">
        <v>349</v>
      </c>
      <c r="B262" s="36">
        <v>59</v>
      </c>
      <c r="C262" s="37">
        <v>38</v>
      </c>
      <c r="D262" s="38">
        <v>20</v>
      </c>
      <c r="E262" s="39">
        <v>70</v>
      </c>
    </row>
    <row r="263" spans="1:5" x14ac:dyDescent="0.35">
      <c r="A263" s="35" t="s">
        <v>350</v>
      </c>
      <c r="B263" s="36">
        <v>70</v>
      </c>
      <c r="C263" s="37">
        <v>14</v>
      </c>
      <c r="D263" s="38">
        <v>22</v>
      </c>
      <c r="E263" s="39">
        <v>62</v>
      </c>
    </row>
    <row r="264" spans="1:5" x14ac:dyDescent="0.35">
      <c r="A264" s="35" t="s">
        <v>351</v>
      </c>
      <c r="B264" s="36">
        <v>70</v>
      </c>
      <c r="C264" s="37">
        <v>39</v>
      </c>
      <c r="D264" s="38">
        <v>16</v>
      </c>
      <c r="E264" s="39">
        <v>80</v>
      </c>
    </row>
    <row r="265" spans="1:5" x14ac:dyDescent="0.35">
      <c r="A265" s="35" t="s">
        <v>352</v>
      </c>
      <c r="B265" s="36">
        <v>80</v>
      </c>
      <c r="C265" s="37">
        <v>9</v>
      </c>
      <c r="D265" s="38">
        <v>17</v>
      </c>
      <c r="E265" s="39">
        <v>72</v>
      </c>
    </row>
    <row r="266" spans="1:5" x14ac:dyDescent="0.35">
      <c r="A266" s="35" t="s">
        <v>353</v>
      </c>
      <c r="B266" s="36">
        <v>72</v>
      </c>
      <c r="C266" s="37">
        <v>28</v>
      </c>
      <c r="D266" s="38">
        <v>48</v>
      </c>
      <c r="E266" s="39">
        <v>51</v>
      </c>
    </row>
    <row r="267" spans="1:5" x14ac:dyDescent="0.35">
      <c r="A267" s="35" t="s">
        <v>354</v>
      </c>
      <c r="B267" s="36">
        <v>52</v>
      </c>
      <c r="C267" s="37">
        <v>12</v>
      </c>
      <c r="D267" s="38">
        <v>13</v>
      </c>
      <c r="E267" s="39">
        <v>51</v>
      </c>
    </row>
    <row r="268" spans="1:5" x14ac:dyDescent="0.35">
      <c r="A268" s="35" t="s">
        <v>355</v>
      </c>
      <c r="B268" s="36">
        <v>51</v>
      </c>
      <c r="C268" s="37">
        <v>18</v>
      </c>
      <c r="D268" s="38">
        <v>11</v>
      </c>
      <c r="E268" s="39">
        <v>52</v>
      </c>
    </row>
    <row r="269" spans="1:5" x14ac:dyDescent="0.35">
      <c r="A269" s="35" t="s">
        <v>356</v>
      </c>
      <c r="B269" s="36">
        <v>52</v>
      </c>
      <c r="C269" s="37">
        <v>4</v>
      </c>
      <c r="D269" s="38">
        <v>16</v>
      </c>
      <c r="E269" s="39">
        <v>34</v>
      </c>
    </row>
    <row r="270" spans="1:5" x14ac:dyDescent="0.35">
      <c r="A270" s="35" t="s">
        <v>357</v>
      </c>
      <c r="B270" s="36">
        <v>34</v>
      </c>
      <c r="C270" s="37">
        <v>32</v>
      </c>
      <c r="D270" s="38">
        <v>8</v>
      </c>
      <c r="E270" s="39">
        <v>54</v>
      </c>
    </row>
    <row r="271" spans="1:5" x14ac:dyDescent="0.35">
      <c r="A271" s="35" t="s">
        <v>358</v>
      </c>
      <c r="B271" s="36">
        <v>54</v>
      </c>
      <c r="C271" s="37">
        <v>18</v>
      </c>
      <c r="D271" s="38">
        <v>34</v>
      </c>
      <c r="E271" s="39">
        <v>55</v>
      </c>
    </row>
    <row r="272" spans="1:5" x14ac:dyDescent="0.35">
      <c r="A272" s="35" t="s">
        <v>359</v>
      </c>
      <c r="B272" s="36">
        <v>55</v>
      </c>
      <c r="C272" s="37">
        <v>11</v>
      </c>
      <c r="D272" s="38">
        <v>34</v>
      </c>
      <c r="E272" s="39">
        <v>31</v>
      </c>
    </row>
    <row r="273" spans="1:5" x14ac:dyDescent="0.35">
      <c r="A273" s="35" t="s">
        <v>360</v>
      </c>
      <c r="B273" s="36">
        <v>31</v>
      </c>
      <c r="C273" s="37">
        <v>56</v>
      </c>
      <c r="D273" s="38">
        <v>18</v>
      </c>
      <c r="E273" s="39">
        <v>69</v>
      </c>
    </row>
    <row r="274" spans="1:5" x14ac:dyDescent="0.35">
      <c r="A274" s="35" t="s">
        <v>361</v>
      </c>
      <c r="B274" s="36">
        <v>69</v>
      </c>
      <c r="C274" s="37">
        <v>20</v>
      </c>
      <c r="D274" s="38">
        <v>25</v>
      </c>
      <c r="E274" s="39">
        <v>56</v>
      </c>
    </row>
    <row r="275" spans="1:5" x14ac:dyDescent="0.35">
      <c r="A275" s="35" t="s">
        <v>362</v>
      </c>
      <c r="B275" s="36">
        <v>56</v>
      </c>
      <c r="C275" s="37">
        <v>23</v>
      </c>
      <c r="D275" s="38">
        <v>4</v>
      </c>
      <c r="E275" s="39">
        <v>56</v>
      </c>
    </row>
    <row r="276" spans="1:5" x14ac:dyDescent="0.35">
      <c r="A276" s="35" t="s">
        <v>363</v>
      </c>
      <c r="B276" s="36">
        <v>56</v>
      </c>
      <c r="C276" s="37">
        <v>9</v>
      </c>
      <c r="D276" s="38">
        <v>21</v>
      </c>
      <c r="E276" s="39">
        <v>49</v>
      </c>
    </row>
    <row r="277" spans="1:5" x14ac:dyDescent="0.35">
      <c r="A277" s="35" t="s">
        <v>364</v>
      </c>
      <c r="B277" s="36">
        <v>49</v>
      </c>
      <c r="C277" s="37">
        <v>23</v>
      </c>
      <c r="D277" s="38">
        <v>12</v>
      </c>
      <c r="E277" s="39">
        <v>66</v>
      </c>
    </row>
    <row r="278" spans="1:5" x14ac:dyDescent="0.35">
      <c r="A278" s="35" t="s">
        <v>365</v>
      </c>
      <c r="B278" s="36">
        <v>66</v>
      </c>
      <c r="C278" s="37">
        <v>3</v>
      </c>
      <c r="D278" s="38">
        <v>27</v>
      </c>
      <c r="E278" s="39">
        <v>39</v>
      </c>
    </row>
    <row r="279" spans="1:5" x14ac:dyDescent="0.35">
      <c r="A279" s="35" t="s">
        <v>366</v>
      </c>
      <c r="B279" s="36">
        <v>39</v>
      </c>
      <c r="C279" s="37">
        <v>39</v>
      </c>
      <c r="D279" s="38">
        <v>10</v>
      </c>
      <c r="E279" s="39">
        <v>72</v>
      </c>
    </row>
    <row r="280" spans="1:5" x14ac:dyDescent="0.35">
      <c r="A280" s="35" t="s">
        <v>367</v>
      </c>
      <c r="B280" s="36">
        <v>70</v>
      </c>
      <c r="C280" s="37">
        <v>2</v>
      </c>
      <c r="D280" s="38">
        <v>18</v>
      </c>
      <c r="E280" s="39">
        <v>54</v>
      </c>
    </row>
    <row r="281" spans="1:5" x14ac:dyDescent="0.35">
      <c r="A281" s="35" t="s">
        <v>368</v>
      </c>
      <c r="B281" s="36">
        <v>54</v>
      </c>
      <c r="C281" s="37">
        <v>14</v>
      </c>
      <c r="D281" s="38">
        <v>1</v>
      </c>
      <c r="E281" s="39">
        <v>67</v>
      </c>
    </row>
    <row r="282" spans="1:5" x14ac:dyDescent="0.35">
      <c r="A282" s="35" t="s">
        <v>369</v>
      </c>
      <c r="B282" s="36">
        <v>67</v>
      </c>
      <c r="C282" s="37">
        <v>15</v>
      </c>
      <c r="D282" s="38">
        <v>23</v>
      </c>
      <c r="E282" s="39">
        <v>64</v>
      </c>
    </row>
    <row r="283" spans="1:5" x14ac:dyDescent="0.35">
      <c r="A283" s="35" t="s">
        <v>370</v>
      </c>
      <c r="B283" s="36">
        <v>64</v>
      </c>
      <c r="C283" s="37">
        <v>14</v>
      </c>
      <c r="D283" s="38">
        <v>0</v>
      </c>
      <c r="E283" s="39">
        <v>71</v>
      </c>
    </row>
    <row r="284" spans="1:5" x14ac:dyDescent="0.35">
      <c r="A284" s="35" t="s">
        <v>371</v>
      </c>
      <c r="B284" s="36">
        <v>68</v>
      </c>
      <c r="C284" s="37">
        <v>56</v>
      </c>
      <c r="D284" s="38">
        <v>19</v>
      </c>
      <c r="E284" s="39">
        <v>106</v>
      </c>
    </row>
    <row r="285" spans="1:5" x14ac:dyDescent="0.35">
      <c r="A285" s="35" t="s">
        <v>372</v>
      </c>
      <c r="B285" s="36">
        <v>106</v>
      </c>
      <c r="C285" s="37">
        <v>13</v>
      </c>
      <c r="D285" s="38">
        <v>24</v>
      </c>
      <c r="E285" s="39">
        <v>87</v>
      </c>
    </row>
    <row r="286" spans="1:5" x14ac:dyDescent="0.35">
      <c r="A286" s="35" t="s">
        <v>373</v>
      </c>
      <c r="B286" s="36">
        <v>87</v>
      </c>
      <c r="C286" s="37">
        <v>21</v>
      </c>
      <c r="D286" s="38">
        <v>38</v>
      </c>
      <c r="E286" s="39">
        <v>59</v>
      </c>
    </row>
    <row r="287" spans="1:5" x14ac:dyDescent="0.35">
      <c r="A287" s="35" t="s">
        <v>374</v>
      </c>
      <c r="B287" s="36">
        <v>59</v>
      </c>
      <c r="C287" s="37">
        <v>34</v>
      </c>
      <c r="D287" s="38">
        <v>35</v>
      </c>
      <c r="E287" s="39">
        <v>66</v>
      </c>
    </row>
    <row r="288" spans="1:5" x14ac:dyDescent="0.35">
      <c r="A288" s="35" t="s">
        <v>375</v>
      </c>
      <c r="B288" s="36">
        <v>66</v>
      </c>
      <c r="C288" s="37">
        <v>34</v>
      </c>
      <c r="D288" s="38">
        <v>41</v>
      </c>
      <c r="E288" s="39">
        <v>59</v>
      </c>
    </row>
    <row r="289" spans="1:5" x14ac:dyDescent="0.35">
      <c r="A289" s="35" t="s">
        <v>376</v>
      </c>
      <c r="B289" s="36">
        <v>59</v>
      </c>
      <c r="C289" s="37">
        <v>72</v>
      </c>
      <c r="D289" s="38">
        <v>39</v>
      </c>
      <c r="E289" s="39">
        <v>92</v>
      </c>
    </row>
    <row r="290" spans="1:5" x14ac:dyDescent="0.35">
      <c r="A290" s="35" t="s">
        <v>377</v>
      </c>
      <c r="B290" s="36">
        <v>92</v>
      </c>
      <c r="C290" s="37">
        <v>7</v>
      </c>
      <c r="D290" s="38">
        <v>44</v>
      </c>
      <c r="E290" s="39">
        <v>46</v>
      </c>
    </row>
    <row r="291" spans="1:5" x14ac:dyDescent="0.35">
      <c r="A291" s="35" t="s">
        <v>378</v>
      </c>
      <c r="B291" s="36">
        <v>46</v>
      </c>
      <c r="C291" s="37">
        <v>16</v>
      </c>
      <c r="D291" s="38">
        <v>28</v>
      </c>
      <c r="E291" s="39">
        <v>36</v>
      </c>
    </row>
    <row r="292" spans="1:5" x14ac:dyDescent="0.35">
      <c r="A292" s="35" t="s">
        <v>379</v>
      </c>
      <c r="B292" s="36">
        <v>36</v>
      </c>
      <c r="C292" s="37">
        <v>20</v>
      </c>
      <c r="D292" s="38">
        <v>16</v>
      </c>
      <c r="E292" s="39">
        <v>40</v>
      </c>
    </row>
    <row r="293" spans="1:5" x14ac:dyDescent="0.35">
      <c r="A293" s="35" t="s">
        <v>380</v>
      </c>
      <c r="B293" s="36">
        <v>40</v>
      </c>
      <c r="C293" s="37">
        <v>7</v>
      </c>
      <c r="D293" s="38">
        <v>31</v>
      </c>
      <c r="E293" s="39">
        <v>16</v>
      </c>
    </row>
    <row r="294" spans="1:5" x14ac:dyDescent="0.35">
      <c r="A294" s="35" t="s">
        <v>381</v>
      </c>
      <c r="B294" s="36">
        <v>16</v>
      </c>
      <c r="C294" s="37">
        <v>53</v>
      </c>
      <c r="D294" s="38">
        <v>5</v>
      </c>
      <c r="E294" s="39">
        <v>63</v>
      </c>
    </row>
    <row r="295" spans="1:5" x14ac:dyDescent="0.35">
      <c r="A295" s="35" t="s">
        <v>382</v>
      </c>
      <c r="B295" s="36">
        <v>63</v>
      </c>
      <c r="C295" s="37">
        <v>6</v>
      </c>
      <c r="D295" s="38">
        <v>18</v>
      </c>
      <c r="E295" s="39">
        <v>52</v>
      </c>
    </row>
    <row r="296" spans="1:5" x14ac:dyDescent="0.35">
      <c r="A296" s="35" t="s">
        <v>383</v>
      </c>
      <c r="B296" s="36">
        <v>52</v>
      </c>
      <c r="C296" s="37">
        <v>28</v>
      </c>
      <c r="D296" s="38">
        <v>21</v>
      </c>
      <c r="E296" s="39">
        <v>64</v>
      </c>
    </row>
    <row r="297" spans="1:5" x14ac:dyDescent="0.35">
      <c r="A297" s="35" t="s">
        <v>384</v>
      </c>
      <c r="B297" s="36">
        <v>64</v>
      </c>
      <c r="C297" s="37">
        <v>12</v>
      </c>
      <c r="D297" s="38">
        <v>24</v>
      </c>
      <c r="E297" s="39">
        <v>52</v>
      </c>
    </row>
    <row r="298" spans="1:5" x14ac:dyDescent="0.35">
      <c r="A298" s="35" t="s">
        <v>385</v>
      </c>
      <c r="B298" s="36">
        <v>52</v>
      </c>
      <c r="C298" s="37">
        <v>12</v>
      </c>
      <c r="D298" s="38">
        <v>24</v>
      </c>
      <c r="E298" s="39">
        <v>60</v>
      </c>
    </row>
    <row r="299" spans="1:5" x14ac:dyDescent="0.35">
      <c r="A299" s="35" t="s">
        <v>386</v>
      </c>
      <c r="B299" s="36">
        <v>60</v>
      </c>
      <c r="C299" s="37">
        <v>10</v>
      </c>
      <c r="D299" s="38">
        <v>22</v>
      </c>
      <c r="E299" s="39">
        <v>48</v>
      </c>
    </row>
    <row r="300" spans="1:5" x14ac:dyDescent="0.35">
      <c r="A300" s="35" t="s">
        <v>387</v>
      </c>
      <c r="B300" s="36">
        <v>48</v>
      </c>
      <c r="C300" s="37">
        <v>39</v>
      </c>
      <c r="D300" s="38">
        <v>10</v>
      </c>
      <c r="E300" s="39">
        <v>79</v>
      </c>
    </row>
    <row r="301" spans="1:5" x14ac:dyDescent="0.35">
      <c r="A301" s="35" t="s">
        <v>388</v>
      </c>
      <c r="B301" s="36">
        <v>79</v>
      </c>
      <c r="C301" s="37">
        <v>33</v>
      </c>
      <c r="D301" s="38">
        <v>46</v>
      </c>
      <c r="E301" s="39">
        <v>61</v>
      </c>
    </row>
    <row r="302" spans="1:5" x14ac:dyDescent="0.35">
      <c r="A302" s="35" t="s">
        <v>389</v>
      </c>
      <c r="B302" s="36">
        <v>61</v>
      </c>
      <c r="C302" s="37">
        <v>8</v>
      </c>
      <c r="D302" s="38">
        <v>10</v>
      </c>
      <c r="E302" s="39">
        <v>39</v>
      </c>
    </row>
    <row r="303" spans="1:5" x14ac:dyDescent="0.35">
      <c r="A303" s="35" t="s">
        <v>390</v>
      </c>
      <c r="B303" s="36">
        <v>39</v>
      </c>
      <c r="C303" s="37">
        <v>26</v>
      </c>
      <c r="D303" s="38">
        <v>4</v>
      </c>
      <c r="E303" s="39">
        <v>61</v>
      </c>
    </row>
    <row r="304" spans="1:5" x14ac:dyDescent="0.35">
      <c r="A304" s="35" t="s">
        <v>391</v>
      </c>
      <c r="B304" s="36">
        <v>61</v>
      </c>
      <c r="C304" s="37">
        <v>40</v>
      </c>
      <c r="D304" s="38">
        <v>34</v>
      </c>
      <c r="E304" s="39">
        <v>67</v>
      </c>
    </row>
    <row r="305" spans="1:5" x14ac:dyDescent="0.35">
      <c r="A305" s="35" t="s">
        <v>392</v>
      </c>
      <c r="B305" s="36">
        <v>67</v>
      </c>
      <c r="C305" s="37">
        <v>21</v>
      </c>
      <c r="D305" s="38">
        <v>35</v>
      </c>
      <c r="E305" s="39">
        <v>50</v>
      </c>
    </row>
    <row r="306" spans="1:5" x14ac:dyDescent="0.35">
      <c r="A306" s="35" t="s">
        <v>393</v>
      </c>
      <c r="B306" s="36">
        <v>50</v>
      </c>
      <c r="C306" s="37">
        <v>3</v>
      </c>
      <c r="D306" s="38">
        <v>15</v>
      </c>
      <c r="E306" s="39">
        <v>38</v>
      </c>
    </row>
    <row r="307" spans="1:5" x14ac:dyDescent="0.35">
      <c r="A307" s="35" t="s">
        <v>394</v>
      </c>
      <c r="B307" s="36">
        <v>38</v>
      </c>
      <c r="C307" s="37">
        <v>33</v>
      </c>
      <c r="D307" s="38">
        <v>14</v>
      </c>
      <c r="E307" s="39">
        <v>53</v>
      </c>
    </row>
    <row r="308" spans="1:5" x14ac:dyDescent="0.35">
      <c r="A308" s="35" t="s">
        <v>395</v>
      </c>
      <c r="B308" s="36">
        <v>53</v>
      </c>
      <c r="C308" s="37">
        <v>14</v>
      </c>
      <c r="D308" s="38">
        <v>18</v>
      </c>
      <c r="E308" s="39">
        <v>49</v>
      </c>
    </row>
    <row r="309" spans="1:5" x14ac:dyDescent="0.35">
      <c r="A309" s="35" t="s">
        <v>396</v>
      </c>
      <c r="B309" s="36">
        <v>49</v>
      </c>
      <c r="C309" s="37">
        <v>1</v>
      </c>
      <c r="D309" s="38">
        <v>14</v>
      </c>
      <c r="E309" s="39">
        <v>23</v>
      </c>
    </row>
    <row r="310" spans="1:5" x14ac:dyDescent="0.35">
      <c r="A310" s="35" t="s">
        <v>397</v>
      </c>
      <c r="B310" s="36">
        <v>23</v>
      </c>
      <c r="C310" s="37">
        <v>17</v>
      </c>
      <c r="D310" s="38">
        <v>1</v>
      </c>
      <c r="E310" s="39">
        <v>39</v>
      </c>
    </row>
    <row r="311" spans="1:5" x14ac:dyDescent="0.35">
      <c r="A311" s="35" t="s">
        <v>398</v>
      </c>
      <c r="B311" s="36">
        <v>32</v>
      </c>
      <c r="C311" s="37">
        <v>19</v>
      </c>
      <c r="D311" s="38">
        <v>11</v>
      </c>
      <c r="E311" s="39">
        <v>40</v>
      </c>
    </row>
    <row r="312" spans="1:5" x14ac:dyDescent="0.35">
      <c r="A312" s="35" t="s">
        <v>399</v>
      </c>
      <c r="B312" s="36">
        <v>40</v>
      </c>
      <c r="C312" s="37">
        <v>10</v>
      </c>
      <c r="D312" s="38">
        <v>21</v>
      </c>
      <c r="E312" s="39">
        <v>29</v>
      </c>
    </row>
    <row r="313" spans="1:5" x14ac:dyDescent="0.35">
      <c r="A313" s="35" t="s">
        <v>400</v>
      </c>
      <c r="B313" s="36">
        <v>33</v>
      </c>
      <c r="C313" s="37">
        <v>48</v>
      </c>
      <c r="D313" s="38">
        <v>3</v>
      </c>
      <c r="E313" s="39">
        <v>78</v>
      </c>
    </row>
    <row r="314" spans="1:5" x14ac:dyDescent="0.35">
      <c r="A314" s="35" t="s">
        <v>401</v>
      </c>
      <c r="B314" s="36">
        <v>78</v>
      </c>
      <c r="C314" s="37">
        <v>3</v>
      </c>
      <c r="D314" s="38">
        <v>41</v>
      </c>
      <c r="E314" s="39">
        <v>37</v>
      </c>
    </row>
    <row r="315" spans="1:5" x14ac:dyDescent="0.35">
      <c r="A315" s="35" t="s">
        <v>402</v>
      </c>
      <c r="B315" s="36">
        <v>37</v>
      </c>
      <c r="C315" s="37">
        <v>1</v>
      </c>
      <c r="D315" s="38">
        <v>11</v>
      </c>
      <c r="E315" s="39">
        <v>26</v>
      </c>
    </row>
    <row r="316" spans="1:5" x14ac:dyDescent="0.35">
      <c r="A316" s="35" t="s">
        <v>403</v>
      </c>
      <c r="B316" s="36">
        <v>26</v>
      </c>
      <c r="C316" s="37">
        <v>47</v>
      </c>
      <c r="D316" s="38">
        <v>11</v>
      </c>
      <c r="E316" s="39">
        <v>67</v>
      </c>
    </row>
    <row r="317" spans="1:5" x14ac:dyDescent="0.35">
      <c r="A317" s="35" t="s">
        <v>404</v>
      </c>
      <c r="B317" s="36">
        <v>67</v>
      </c>
      <c r="C317" s="37">
        <v>9</v>
      </c>
      <c r="D317" s="38">
        <v>18</v>
      </c>
      <c r="E317" s="39">
        <v>45</v>
      </c>
    </row>
    <row r="318" spans="1:5" x14ac:dyDescent="0.35">
      <c r="A318" s="35" t="s">
        <v>405</v>
      </c>
      <c r="B318" s="36">
        <v>44</v>
      </c>
      <c r="C318" s="37">
        <v>45</v>
      </c>
      <c r="D318" s="38">
        <v>6</v>
      </c>
      <c r="E318" s="39">
        <v>82</v>
      </c>
    </row>
    <row r="319" spans="1:5" x14ac:dyDescent="0.35">
      <c r="A319" s="35" t="s">
        <v>406</v>
      </c>
      <c r="B319" s="36">
        <v>82</v>
      </c>
      <c r="C319" s="37">
        <v>28</v>
      </c>
      <c r="D319" s="38">
        <v>45</v>
      </c>
      <c r="E319" s="39">
        <v>65</v>
      </c>
    </row>
    <row r="320" spans="1:5" x14ac:dyDescent="0.35">
      <c r="A320" s="35" t="s">
        <v>407</v>
      </c>
      <c r="B320" s="36">
        <v>82</v>
      </c>
      <c r="C320" s="37">
        <v>28</v>
      </c>
      <c r="D320" s="38">
        <v>45</v>
      </c>
      <c r="E320" s="39">
        <v>80</v>
      </c>
    </row>
    <row r="321" spans="1:5" x14ac:dyDescent="0.35">
      <c r="A321" s="35" t="s">
        <v>408</v>
      </c>
      <c r="B321" s="36">
        <v>80</v>
      </c>
      <c r="C321" s="37">
        <v>32</v>
      </c>
      <c r="D321" s="38">
        <v>43</v>
      </c>
      <c r="E321" s="39">
        <v>69</v>
      </c>
    </row>
    <row r="322" spans="1:5" x14ac:dyDescent="0.35">
      <c r="A322" s="35" t="s">
        <v>409</v>
      </c>
      <c r="B322" s="36">
        <v>69</v>
      </c>
      <c r="C322" s="37">
        <v>7</v>
      </c>
      <c r="D322" s="38">
        <v>41</v>
      </c>
      <c r="E322" s="39">
        <v>35</v>
      </c>
    </row>
    <row r="323" spans="1:5" x14ac:dyDescent="0.35">
      <c r="A323" s="35" t="s">
        <v>410</v>
      </c>
      <c r="B323" s="36">
        <v>35</v>
      </c>
      <c r="C323" s="37">
        <v>22</v>
      </c>
      <c r="D323" s="38">
        <v>4</v>
      </c>
      <c r="E323" s="39">
        <v>53</v>
      </c>
    </row>
    <row r="324" spans="1:5" x14ac:dyDescent="0.35">
      <c r="A324" s="35" t="s">
        <v>411</v>
      </c>
      <c r="B324" s="36">
        <v>53</v>
      </c>
      <c r="C324" s="37">
        <v>10</v>
      </c>
      <c r="D324" s="38">
        <v>16</v>
      </c>
      <c r="E324" s="39">
        <v>47</v>
      </c>
    </row>
    <row r="325" spans="1:5" x14ac:dyDescent="0.35">
      <c r="A325" s="35" t="s">
        <v>412</v>
      </c>
      <c r="B325" s="36">
        <v>47</v>
      </c>
      <c r="C325" s="37">
        <v>17</v>
      </c>
      <c r="D325" s="38">
        <v>10</v>
      </c>
      <c r="E325" s="39">
        <v>57</v>
      </c>
    </row>
    <row r="326" spans="1:5" x14ac:dyDescent="0.35">
      <c r="A326" s="35" t="s">
        <v>413</v>
      </c>
      <c r="B326" s="36">
        <v>57</v>
      </c>
      <c r="C326" s="37">
        <v>5</v>
      </c>
      <c r="D326" s="38">
        <v>20</v>
      </c>
      <c r="E326" s="39">
        <v>42</v>
      </c>
    </row>
    <row r="327" spans="1:5" x14ac:dyDescent="0.35">
      <c r="A327" s="35" t="s">
        <v>414</v>
      </c>
      <c r="B327" s="36">
        <v>42</v>
      </c>
      <c r="C327" s="37">
        <v>12</v>
      </c>
      <c r="D327" s="38">
        <v>13</v>
      </c>
      <c r="E327" s="39">
        <v>44</v>
      </c>
    </row>
    <row r="328" spans="1:5" x14ac:dyDescent="0.35">
      <c r="A328" s="35" t="s">
        <v>415</v>
      </c>
      <c r="B328" s="36">
        <v>44</v>
      </c>
      <c r="C328" s="37">
        <v>14</v>
      </c>
      <c r="D328" s="38">
        <v>15</v>
      </c>
      <c r="E328" s="39">
        <v>43</v>
      </c>
    </row>
    <row r="329" spans="1:5" x14ac:dyDescent="0.35">
      <c r="A329" s="35" t="s">
        <v>416</v>
      </c>
      <c r="B329" s="36">
        <v>43</v>
      </c>
      <c r="C329" s="37">
        <v>9</v>
      </c>
      <c r="D329" s="38">
        <v>15</v>
      </c>
      <c r="E329" s="39">
        <v>52</v>
      </c>
    </row>
    <row r="330" spans="1:5" x14ac:dyDescent="0.35">
      <c r="A330" s="35" t="s">
        <v>417</v>
      </c>
      <c r="B330" s="36">
        <v>52</v>
      </c>
      <c r="C330" s="37">
        <v>5</v>
      </c>
      <c r="D330" s="38">
        <v>12</v>
      </c>
      <c r="E330" s="39">
        <v>29</v>
      </c>
    </row>
    <row r="331" spans="1:5" x14ac:dyDescent="0.35">
      <c r="A331" s="35" t="s">
        <v>418</v>
      </c>
      <c r="B331" s="36">
        <v>29</v>
      </c>
      <c r="C331" s="37">
        <v>6</v>
      </c>
      <c r="D331" s="38">
        <v>0</v>
      </c>
      <c r="E331" s="39">
        <v>31</v>
      </c>
    </row>
    <row r="332" spans="1:5" x14ac:dyDescent="0.35">
      <c r="A332" s="35" t="s">
        <v>419</v>
      </c>
      <c r="B332" s="36">
        <v>31</v>
      </c>
      <c r="C332" s="37">
        <v>4</v>
      </c>
      <c r="D332" s="38">
        <v>7</v>
      </c>
      <c r="E332" s="39">
        <v>30</v>
      </c>
    </row>
    <row r="333" spans="1:5" x14ac:dyDescent="0.35">
      <c r="A333" s="35" t="s">
        <v>420</v>
      </c>
      <c r="B333" s="36">
        <v>30</v>
      </c>
      <c r="C333" s="37">
        <v>9</v>
      </c>
      <c r="D333" s="38">
        <v>3</v>
      </c>
      <c r="E333" s="39">
        <v>36</v>
      </c>
    </row>
    <row r="334" spans="1:5" x14ac:dyDescent="0.35">
      <c r="A334" s="35" t="s">
        <v>421</v>
      </c>
      <c r="B334" s="36">
        <v>36</v>
      </c>
      <c r="C334" s="37">
        <v>6</v>
      </c>
      <c r="D334" s="38">
        <v>15</v>
      </c>
      <c r="E334" s="39">
        <v>27</v>
      </c>
    </row>
    <row r="335" spans="1:5" x14ac:dyDescent="0.35">
      <c r="A335" s="35" t="s">
        <v>422</v>
      </c>
      <c r="B335" s="36">
        <v>27</v>
      </c>
      <c r="C335" s="37">
        <v>12</v>
      </c>
      <c r="D335" s="38">
        <v>5</v>
      </c>
      <c r="E335" s="39">
        <v>34</v>
      </c>
    </row>
    <row r="336" spans="1:5" x14ac:dyDescent="0.35">
      <c r="A336" s="35" t="s">
        <v>423</v>
      </c>
      <c r="B336" s="36">
        <v>34</v>
      </c>
      <c r="C336" s="37">
        <v>38</v>
      </c>
      <c r="D336" s="38">
        <v>5</v>
      </c>
      <c r="E336" s="39">
        <v>66</v>
      </c>
    </row>
    <row r="337" spans="1:5" x14ac:dyDescent="0.35">
      <c r="A337" s="35" t="s">
        <v>424</v>
      </c>
      <c r="B337" s="36">
        <v>66</v>
      </c>
      <c r="C337" s="37">
        <v>9</v>
      </c>
      <c r="D337" s="38">
        <v>28</v>
      </c>
      <c r="E337" s="39">
        <v>34</v>
      </c>
    </row>
    <row r="338" spans="1:5" x14ac:dyDescent="0.35">
      <c r="A338" s="35" t="s">
        <v>425</v>
      </c>
      <c r="B338" s="36">
        <v>34</v>
      </c>
      <c r="C338" s="37">
        <v>35</v>
      </c>
      <c r="D338" s="38">
        <v>7</v>
      </c>
      <c r="E338" s="39">
        <v>62</v>
      </c>
    </row>
    <row r="339" spans="1:5" x14ac:dyDescent="0.35">
      <c r="A339" s="35" t="s">
        <v>426</v>
      </c>
      <c r="B339" s="36">
        <v>62</v>
      </c>
      <c r="C339" s="37">
        <v>43</v>
      </c>
      <c r="D339" s="38">
        <v>29</v>
      </c>
      <c r="E339" s="39">
        <v>74</v>
      </c>
    </row>
    <row r="340" spans="1:5" x14ac:dyDescent="0.35">
      <c r="A340" s="35" t="s">
        <v>427</v>
      </c>
      <c r="B340" s="36">
        <v>74</v>
      </c>
      <c r="C340" s="37">
        <v>25</v>
      </c>
      <c r="D340" s="38">
        <v>18</v>
      </c>
      <c r="E340" s="39">
        <v>78</v>
      </c>
    </row>
    <row r="341" spans="1:5" x14ac:dyDescent="0.35">
      <c r="A341" s="35" t="s">
        <v>428</v>
      </c>
      <c r="B341" s="36">
        <v>78</v>
      </c>
      <c r="C341" s="37">
        <v>1</v>
      </c>
      <c r="D341" s="38">
        <v>45</v>
      </c>
      <c r="E341" s="39">
        <v>35</v>
      </c>
    </row>
    <row r="342" spans="1:5" x14ac:dyDescent="0.35">
      <c r="A342" s="35" t="s">
        <v>427</v>
      </c>
      <c r="B342" s="36">
        <v>35</v>
      </c>
      <c r="C342" s="37">
        <v>3</v>
      </c>
      <c r="D342" s="38">
        <v>2</v>
      </c>
      <c r="E342" s="39">
        <v>36</v>
      </c>
    </row>
    <row r="343" spans="1:5" x14ac:dyDescent="0.35">
      <c r="A343" s="35" t="s">
        <v>429</v>
      </c>
      <c r="B343" s="36">
        <v>36</v>
      </c>
      <c r="C343" s="37">
        <v>14</v>
      </c>
      <c r="D343" s="38">
        <v>1</v>
      </c>
      <c r="E343" s="39">
        <v>49</v>
      </c>
    </row>
    <row r="344" spans="1:5" x14ac:dyDescent="0.35">
      <c r="A344" s="35" t="s">
        <v>430</v>
      </c>
      <c r="B344" s="36">
        <v>36</v>
      </c>
      <c r="C344" s="37">
        <v>9</v>
      </c>
      <c r="D344" s="38">
        <v>13</v>
      </c>
      <c r="E344" s="39">
        <v>47</v>
      </c>
    </row>
    <row r="345" spans="1:5" x14ac:dyDescent="0.35">
      <c r="A345" s="35" t="s">
        <v>431</v>
      </c>
      <c r="B345" s="36">
        <v>47</v>
      </c>
      <c r="C345" s="37">
        <v>0</v>
      </c>
      <c r="D345" s="38">
        <v>5</v>
      </c>
      <c r="E345" s="39">
        <v>42</v>
      </c>
    </row>
    <row r="346" spans="1:5" x14ac:dyDescent="0.35">
      <c r="A346" s="35" t="s">
        <v>432</v>
      </c>
      <c r="B346" s="36">
        <v>42</v>
      </c>
      <c r="C346" s="37">
        <v>5</v>
      </c>
      <c r="D346" s="38">
        <v>7</v>
      </c>
      <c r="E346" s="39">
        <v>40</v>
      </c>
    </row>
    <row r="347" spans="1:5" x14ac:dyDescent="0.35">
      <c r="A347" s="35" t="s">
        <v>433</v>
      </c>
      <c r="B347" s="36">
        <v>40</v>
      </c>
      <c r="C347" s="37">
        <v>31</v>
      </c>
      <c r="D347" s="38">
        <v>4</v>
      </c>
      <c r="E347" s="39">
        <v>67</v>
      </c>
    </row>
    <row r="348" spans="1:5" x14ac:dyDescent="0.35">
      <c r="A348" s="35" t="s">
        <v>434</v>
      </c>
      <c r="B348" s="36">
        <v>67</v>
      </c>
      <c r="C348" s="37">
        <v>6</v>
      </c>
      <c r="D348" s="38">
        <v>31</v>
      </c>
      <c r="E348" s="39">
        <v>42</v>
      </c>
    </row>
    <row r="349" spans="1:5" x14ac:dyDescent="0.35">
      <c r="A349" s="35" t="s">
        <v>435</v>
      </c>
      <c r="B349" s="36">
        <v>42</v>
      </c>
      <c r="C349" s="37">
        <v>6</v>
      </c>
      <c r="D349" s="38">
        <v>5</v>
      </c>
      <c r="E349" s="39">
        <v>42</v>
      </c>
    </row>
    <row r="350" spans="1:5" x14ac:dyDescent="0.35">
      <c r="A350" s="35" t="s">
        <v>436</v>
      </c>
      <c r="B350" s="36">
        <v>42</v>
      </c>
      <c r="C350" s="37">
        <v>4</v>
      </c>
      <c r="D350" s="38">
        <v>4</v>
      </c>
      <c r="E350" s="39">
        <v>43</v>
      </c>
    </row>
    <row r="351" spans="1:5" x14ac:dyDescent="0.35">
      <c r="A351" s="35" t="s">
        <v>437</v>
      </c>
      <c r="B351" s="36">
        <v>43</v>
      </c>
      <c r="C351" s="37">
        <v>52</v>
      </c>
      <c r="D351" s="38">
        <v>3</v>
      </c>
      <c r="E351" s="39">
        <v>66</v>
      </c>
    </row>
    <row r="352" spans="1:5" x14ac:dyDescent="0.35">
      <c r="A352" s="35" t="s">
        <v>438</v>
      </c>
      <c r="B352" s="36">
        <v>66</v>
      </c>
      <c r="C352" s="37">
        <v>12</v>
      </c>
      <c r="D352" s="38">
        <v>32</v>
      </c>
      <c r="E352" s="39">
        <v>46</v>
      </c>
    </row>
    <row r="353" spans="1:5" x14ac:dyDescent="0.35">
      <c r="A353" s="35" t="s">
        <v>439</v>
      </c>
      <c r="B353" s="36">
        <v>46</v>
      </c>
      <c r="C353" s="37">
        <v>28</v>
      </c>
      <c r="D353" s="38">
        <v>25</v>
      </c>
      <c r="E353" s="39">
        <v>66</v>
      </c>
    </row>
    <row r="354" spans="1:5" x14ac:dyDescent="0.35">
      <c r="A354" s="35" t="s">
        <v>440</v>
      </c>
      <c r="B354" s="36">
        <v>66</v>
      </c>
      <c r="C354" s="37">
        <v>3</v>
      </c>
      <c r="D354" s="38">
        <v>31</v>
      </c>
      <c r="E354" s="39">
        <v>37</v>
      </c>
    </row>
    <row r="355" spans="1:5" x14ac:dyDescent="0.35">
      <c r="A355" s="35" t="s">
        <v>441</v>
      </c>
      <c r="B355" s="36">
        <v>37</v>
      </c>
      <c r="C355" s="37">
        <v>41</v>
      </c>
      <c r="D355" s="38">
        <v>6</v>
      </c>
      <c r="E355" s="39">
        <v>72</v>
      </c>
    </row>
    <row r="356" spans="1:5" x14ac:dyDescent="0.35">
      <c r="A356" s="35" t="s">
        <v>442</v>
      </c>
      <c r="B356" s="36">
        <v>72</v>
      </c>
      <c r="C356" s="37">
        <v>18</v>
      </c>
      <c r="D356" s="38">
        <v>16</v>
      </c>
      <c r="E356" s="39">
        <v>70</v>
      </c>
    </row>
    <row r="357" spans="1:5" x14ac:dyDescent="0.35">
      <c r="A357" s="35" t="s">
        <v>443</v>
      </c>
      <c r="B357" s="36">
        <v>70</v>
      </c>
      <c r="C357" s="37">
        <v>23</v>
      </c>
      <c r="D357" s="38">
        <v>23</v>
      </c>
      <c r="E357" s="39">
        <v>66</v>
      </c>
    </row>
    <row r="358" spans="1:5" x14ac:dyDescent="0.35">
      <c r="A358" s="35" t="s">
        <v>444</v>
      </c>
      <c r="B358" s="36">
        <v>66</v>
      </c>
      <c r="C358" s="37">
        <v>20</v>
      </c>
      <c r="D358" s="38">
        <v>32</v>
      </c>
      <c r="E358" s="39">
        <v>55</v>
      </c>
    </row>
    <row r="359" spans="1:5" x14ac:dyDescent="0.35">
      <c r="A359" s="35" t="s">
        <v>445</v>
      </c>
      <c r="B359" s="36">
        <v>55</v>
      </c>
      <c r="C359" s="37">
        <v>15</v>
      </c>
      <c r="D359" s="38">
        <v>42</v>
      </c>
      <c r="E359" s="39">
        <v>35</v>
      </c>
    </row>
    <row r="360" spans="1:5" x14ac:dyDescent="0.35">
      <c r="A360" s="35" t="s">
        <v>446</v>
      </c>
      <c r="B360" s="36">
        <v>28</v>
      </c>
      <c r="C360" s="37">
        <v>39</v>
      </c>
      <c r="D360" s="38">
        <v>12</v>
      </c>
      <c r="E360" s="39">
        <v>52</v>
      </c>
    </row>
    <row r="361" spans="1:5" x14ac:dyDescent="0.35">
      <c r="A361" s="35" t="s">
        <v>447</v>
      </c>
      <c r="B361" s="36">
        <v>51</v>
      </c>
      <c r="C361" s="37">
        <v>43</v>
      </c>
      <c r="D361" s="38">
        <v>19</v>
      </c>
      <c r="E361" s="39">
        <v>76</v>
      </c>
    </row>
    <row r="362" spans="1:5" x14ac:dyDescent="0.35">
      <c r="A362" s="35" t="s">
        <v>448</v>
      </c>
      <c r="B362" s="36">
        <v>76</v>
      </c>
      <c r="C362" s="37">
        <v>12</v>
      </c>
      <c r="D362" s="38">
        <v>56</v>
      </c>
      <c r="E362" s="39">
        <v>32</v>
      </c>
    </row>
    <row r="363" spans="1:5" x14ac:dyDescent="0.35">
      <c r="A363" s="35" t="s">
        <v>449</v>
      </c>
      <c r="B363" s="36">
        <v>32</v>
      </c>
      <c r="C363" s="37">
        <v>6</v>
      </c>
      <c r="D363" s="38">
        <v>8</v>
      </c>
      <c r="E363" s="39">
        <v>30</v>
      </c>
    </row>
    <row r="364" spans="1:5" x14ac:dyDescent="0.35">
      <c r="A364" s="35" t="s">
        <v>450</v>
      </c>
      <c r="B364" s="36">
        <v>30</v>
      </c>
      <c r="C364" s="37">
        <v>23</v>
      </c>
      <c r="D364" s="38">
        <v>15</v>
      </c>
      <c r="E364" s="39">
        <v>38</v>
      </c>
    </row>
    <row r="365" spans="1:5" x14ac:dyDescent="0.35">
      <c r="A365" s="35" t="s">
        <v>451</v>
      </c>
      <c r="B365" s="36">
        <v>38</v>
      </c>
      <c r="C365" s="37">
        <v>8</v>
      </c>
      <c r="D365" s="38">
        <v>19</v>
      </c>
      <c r="E365" s="39">
        <v>28</v>
      </c>
    </row>
    <row r="366" spans="1:5" x14ac:dyDescent="0.35">
      <c r="A366" s="35" t="s">
        <v>452</v>
      </c>
      <c r="B366" s="36">
        <v>28</v>
      </c>
      <c r="C366" s="37">
        <v>22</v>
      </c>
      <c r="D366" s="38">
        <v>12</v>
      </c>
      <c r="E366" s="39">
        <v>38</v>
      </c>
    </row>
    <row r="367" spans="1:5" x14ac:dyDescent="0.35">
      <c r="A367" s="35" t="s">
        <v>453</v>
      </c>
      <c r="B367" s="36">
        <v>38</v>
      </c>
      <c r="C367" s="37">
        <v>15</v>
      </c>
      <c r="D367" s="38">
        <v>18</v>
      </c>
      <c r="E367" s="39">
        <v>35</v>
      </c>
    </row>
    <row r="368" spans="1:5" x14ac:dyDescent="0.35">
      <c r="A368" s="35" t="s">
        <v>454</v>
      </c>
      <c r="B368" s="36">
        <v>35</v>
      </c>
      <c r="C368" s="37">
        <v>16</v>
      </c>
      <c r="D368" s="38">
        <v>22</v>
      </c>
      <c r="E368" s="39">
        <v>29</v>
      </c>
    </row>
    <row r="369" spans="1:5" x14ac:dyDescent="0.35">
      <c r="A369" s="35" t="s">
        <v>455</v>
      </c>
      <c r="B369" s="36">
        <v>29</v>
      </c>
      <c r="C369" s="37">
        <v>17</v>
      </c>
      <c r="D369" s="38">
        <v>14</v>
      </c>
      <c r="E369" s="39">
        <v>31</v>
      </c>
    </row>
    <row r="370" spans="1:5" x14ac:dyDescent="0.35">
      <c r="A370" s="35" t="s">
        <v>456</v>
      </c>
      <c r="B370" s="36">
        <v>31</v>
      </c>
      <c r="C370" s="37">
        <v>23</v>
      </c>
      <c r="D370" s="38">
        <v>5</v>
      </c>
      <c r="E370" s="39">
        <v>57</v>
      </c>
    </row>
    <row r="371" spans="1:5" x14ac:dyDescent="0.35">
      <c r="A371" s="35" t="s">
        <v>457</v>
      </c>
      <c r="B371" s="36">
        <v>57</v>
      </c>
      <c r="C371" s="37">
        <v>28</v>
      </c>
      <c r="D371" s="38">
        <v>29</v>
      </c>
      <c r="E371" s="39">
        <v>65</v>
      </c>
    </row>
    <row r="372" spans="1:5" x14ac:dyDescent="0.35">
      <c r="A372" s="35" t="s">
        <v>458</v>
      </c>
      <c r="B372" s="36">
        <v>65</v>
      </c>
      <c r="C372" s="37">
        <v>6</v>
      </c>
      <c r="D372" s="38">
        <v>41</v>
      </c>
      <c r="E372" s="39">
        <v>30</v>
      </c>
    </row>
    <row r="373" spans="1:5" x14ac:dyDescent="0.35">
      <c r="A373" s="35" t="s">
        <v>459</v>
      </c>
      <c r="B373" s="36">
        <v>30</v>
      </c>
      <c r="C373" s="37">
        <v>38</v>
      </c>
      <c r="D373" s="38">
        <v>11</v>
      </c>
      <c r="E373" s="39">
        <v>57</v>
      </c>
    </row>
    <row r="374" spans="1:5" x14ac:dyDescent="0.35">
      <c r="A374" s="35" t="s">
        <v>460</v>
      </c>
      <c r="B374" s="36">
        <v>57</v>
      </c>
      <c r="C374" s="37">
        <v>34</v>
      </c>
      <c r="D374" s="38">
        <v>20</v>
      </c>
      <c r="E374" s="39">
        <v>72</v>
      </c>
    </row>
    <row r="375" spans="1:5" x14ac:dyDescent="0.35">
      <c r="A375" s="35" t="s">
        <v>461</v>
      </c>
      <c r="B375" s="36">
        <v>79</v>
      </c>
      <c r="C375" s="37">
        <v>12</v>
      </c>
      <c r="D375" s="38">
        <v>57</v>
      </c>
      <c r="E375" s="39">
        <v>34</v>
      </c>
    </row>
    <row r="376" spans="1:5" x14ac:dyDescent="0.35">
      <c r="A376" s="35" t="s">
        <v>462</v>
      </c>
      <c r="B376" s="36">
        <v>34</v>
      </c>
      <c r="C376" s="37">
        <v>35</v>
      </c>
      <c r="D376" s="38">
        <v>12</v>
      </c>
      <c r="E376" s="39">
        <v>54</v>
      </c>
    </row>
    <row r="377" spans="1:5" x14ac:dyDescent="0.35">
      <c r="A377" s="35" t="s">
        <v>463</v>
      </c>
      <c r="B377" s="36">
        <v>54</v>
      </c>
      <c r="C377" s="37">
        <v>4</v>
      </c>
      <c r="D377" s="38">
        <v>26</v>
      </c>
      <c r="E377" s="39">
        <v>29</v>
      </c>
    </row>
    <row r="378" spans="1:5" x14ac:dyDescent="0.35">
      <c r="A378" s="35" t="s">
        <v>464</v>
      </c>
      <c r="B378" s="36">
        <v>29</v>
      </c>
      <c r="C378" s="37">
        <v>32</v>
      </c>
      <c r="D378" s="38">
        <v>6</v>
      </c>
      <c r="E378" s="39">
        <v>77</v>
      </c>
    </row>
    <row r="379" spans="1:5" x14ac:dyDescent="0.35">
      <c r="A379" s="35" t="s">
        <v>465</v>
      </c>
      <c r="B379" s="36">
        <v>77</v>
      </c>
      <c r="C379" s="37">
        <v>51</v>
      </c>
      <c r="D379" s="38">
        <v>58</v>
      </c>
      <c r="E379" s="39">
        <v>73</v>
      </c>
    </row>
    <row r="380" spans="1:5" x14ac:dyDescent="0.35">
      <c r="A380" s="35" t="s">
        <v>466</v>
      </c>
      <c r="B380" s="36">
        <v>73</v>
      </c>
      <c r="C380" s="37">
        <v>31</v>
      </c>
      <c r="D380" s="38">
        <v>36</v>
      </c>
      <c r="E380" s="39">
        <v>58</v>
      </c>
    </row>
    <row r="381" spans="1:5" x14ac:dyDescent="0.35">
      <c r="A381" s="35" t="s">
        <v>467</v>
      </c>
      <c r="B381" s="36">
        <v>59</v>
      </c>
      <c r="C381" s="37">
        <v>20</v>
      </c>
      <c r="D381" s="38">
        <v>28</v>
      </c>
      <c r="E381" s="39">
        <v>51</v>
      </c>
    </row>
    <row r="382" spans="1:5" x14ac:dyDescent="0.35">
      <c r="A382" s="35" t="s">
        <v>468</v>
      </c>
      <c r="B382" s="36">
        <v>51</v>
      </c>
      <c r="C382" s="37">
        <v>8</v>
      </c>
      <c r="D382" s="38">
        <v>11</v>
      </c>
      <c r="E382" s="39">
        <v>43</v>
      </c>
    </row>
    <row r="383" spans="1:5" x14ac:dyDescent="0.35">
      <c r="A383" s="35" t="s">
        <v>469</v>
      </c>
      <c r="B383" s="36">
        <v>43</v>
      </c>
      <c r="C383" s="37">
        <v>47</v>
      </c>
      <c r="D383" s="38">
        <v>10</v>
      </c>
      <c r="E383" s="39">
        <v>80</v>
      </c>
    </row>
    <row r="384" spans="1:5" x14ac:dyDescent="0.35">
      <c r="A384" s="35" t="s">
        <v>470</v>
      </c>
      <c r="B384" s="36">
        <v>80</v>
      </c>
      <c r="C384" s="37">
        <v>15</v>
      </c>
      <c r="D384" s="38">
        <v>39</v>
      </c>
      <c r="E384" s="39">
        <v>56</v>
      </c>
    </row>
    <row r="385" spans="1:5" x14ac:dyDescent="0.35">
      <c r="A385" s="35" t="s">
        <v>471</v>
      </c>
      <c r="B385" s="36">
        <v>56</v>
      </c>
      <c r="C385" s="37">
        <v>3</v>
      </c>
      <c r="D385" s="38">
        <v>39</v>
      </c>
      <c r="E385" s="39">
        <v>16</v>
      </c>
    </row>
    <row r="386" spans="1:5" x14ac:dyDescent="0.35">
      <c r="A386" s="35" t="s">
        <v>472</v>
      </c>
      <c r="B386" s="36">
        <v>16</v>
      </c>
      <c r="C386" s="37">
        <v>38</v>
      </c>
      <c r="D386" s="38">
        <v>5</v>
      </c>
      <c r="E386" s="39">
        <v>50</v>
      </c>
    </row>
    <row r="387" spans="1:5" x14ac:dyDescent="0.35">
      <c r="A387" s="35" t="s">
        <v>473</v>
      </c>
      <c r="B387" s="36">
        <v>50</v>
      </c>
      <c r="C387" s="37">
        <v>17</v>
      </c>
      <c r="D387" s="38">
        <v>38</v>
      </c>
      <c r="E387" s="39">
        <v>31</v>
      </c>
    </row>
    <row r="388" spans="1:5" x14ac:dyDescent="0.35">
      <c r="A388" s="35" t="s">
        <v>474</v>
      </c>
      <c r="B388" s="36">
        <v>31</v>
      </c>
      <c r="C388" s="37">
        <v>12</v>
      </c>
      <c r="D388" s="38">
        <v>15</v>
      </c>
      <c r="E388" s="39">
        <v>24</v>
      </c>
    </row>
    <row r="389" spans="1:5" x14ac:dyDescent="0.35">
      <c r="A389" s="35" t="s">
        <v>475</v>
      </c>
      <c r="B389" s="36">
        <v>24</v>
      </c>
      <c r="C389" s="37">
        <v>44</v>
      </c>
      <c r="D389" s="38">
        <v>8</v>
      </c>
      <c r="E389" s="39">
        <v>64</v>
      </c>
    </row>
    <row r="390" spans="1:5" x14ac:dyDescent="0.35">
      <c r="A390" s="35" t="s">
        <v>476</v>
      </c>
      <c r="B390" s="36">
        <v>64</v>
      </c>
      <c r="C390" s="37">
        <v>26</v>
      </c>
      <c r="D390" s="38">
        <v>41</v>
      </c>
      <c r="E390" s="39">
        <v>49</v>
      </c>
    </row>
    <row r="391" spans="1:5" x14ac:dyDescent="0.35">
      <c r="A391" s="35" t="s">
        <v>477</v>
      </c>
      <c r="B391" s="36">
        <v>49</v>
      </c>
      <c r="C391" s="37">
        <v>3</v>
      </c>
      <c r="D391" s="38">
        <v>32</v>
      </c>
      <c r="E391" s="39">
        <v>20</v>
      </c>
    </row>
    <row r="392" spans="1:5" x14ac:dyDescent="0.35">
      <c r="A392" s="35" t="s">
        <v>478</v>
      </c>
      <c r="B392" s="36">
        <v>20</v>
      </c>
      <c r="C392" s="37">
        <v>6</v>
      </c>
      <c r="D392" s="38">
        <v>9</v>
      </c>
      <c r="E392" s="39">
        <v>17</v>
      </c>
    </row>
    <row r="393" spans="1:5" x14ac:dyDescent="0.35">
      <c r="A393" s="35" t="s">
        <v>479</v>
      </c>
      <c r="B393" s="36">
        <v>17</v>
      </c>
      <c r="C393" s="37">
        <v>21</v>
      </c>
      <c r="D393" s="38">
        <v>2</v>
      </c>
      <c r="E393" s="39">
        <v>34</v>
      </c>
    </row>
    <row r="394" spans="1:5" x14ac:dyDescent="0.35">
      <c r="A394" s="35" t="s">
        <v>480</v>
      </c>
      <c r="B394" s="36">
        <v>34</v>
      </c>
      <c r="C394" s="37">
        <v>14</v>
      </c>
      <c r="D394" s="38">
        <v>21</v>
      </c>
      <c r="E394" s="39">
        <v>25</v>
      </c>
    </row>
    <row r="395" spans="1:5" x14ac:dyDescent="0.35">
      <c r="A395" s="35" t="s">
        <v>481</v>
      </c>
      <c r="B395" s="36">
        <v>25</v>
      </c>
      <c r="C395" s="37">
        <v>8</v>
      </c>
      <c r="D395" s="38">
        <v>17</v>
      </c>
      <c r="E395" s="39">
        <v>16</v>
      </c>
    </row>
    <row r="396" spans="1:5" x14ac:dyDescent="0.35">
      <c r="A396" s="35" t="s">
        <v>482</v>
      </c>
      <c r="B396" s="36">
        <v>16</v>
      </c>
      <c r="C396" s="37">
        <v>24</v>
      </c>
      <c r="D396" s="38">
        <v>6</v>
      </c>
      <c r="E396" s="39">
        <v>39</v>
      </c>
    </row>
    <row r="397" spans="1:5" x14ac:dyDescent="0.35">
      <c r="A397" s="35" t="s">
        <v>483</v>
      </c>
      <c r="B397" s="36">
        <v>39</v>
      </c>
      <c r="C397" s="37">
        <v>8</v>
      </c>
      <c r="D397" s="38">
        <v>18</v>
      </c>
      <c r="E397" s="39">
        <v>26</v>
      </c>
    </row>
    <row r="398" spans="1:5" x14ac:dyDescent="0.35">
      <c r="A398" s="35" t="s">
        <v>484</v>
      </c>
      <c r="B398" s="36">
        <v>26</v>
      </c>
      <c r="C398" s="37">
        <v>55</v>
      </c>
      <c r="D398" s="38">
        <v>13</v>
      </c>
      <c r="E398" s="39">
        <v>68</v>
      </c>
    </row>
    <row r="399" spans="1:5" x14ac:dyDescent="0.35">
      <c r="A399" s="35" t="s">
        <v>485</v>
      </c>
      <c r="B399" s="36">
        <v>68</v>
      </c>
      <c r="C399" s="37">
        <v>18</v>
      </c>
      <c r="D399" s="38">
        <v>35</v>
      </c>
      <c r="E399" s="39">
        <v>56</v>
      </c>
    </row>
    <row r="400" spans="1:5" x14ac:dyDescent="0.35">
      <c r="A400" s="35" t="s">
        <v>486</v>
      </c>
      <c r="B400" s="36">
        <v>56</v>
      </c>
      <c r="C400" s="37">
        <v>26</v>
      </c>
      <c r="D400" s="38">
        <v>29</v>
      </c>
      <c r="E400" s="39">
        <v>53</v>
      </c>
    </row>
    <row r="401" spans="1:5" x14ac:dyDescent="0.35">
      <c r="A401" s="35" t="s">
        <v>487</v>
      </c>
      <c r="B401" s="36">
        <v>53</v>
      </c>
      <c r="C401" s="37">
        <v>49</v>
      </c>
      <c r="D401" s="38">
        <v>24</v>
      </c>
      <c r="E401" s="39">
        <v>73</v>
      </c>
    </row>
    <row r="402" spans="1:5" x14ac:dyDescent="0.35">
      <c r="A402" s="35" t="s">
        <v>488</v>
      </c>
      <c r="B402" s="36">
        <v>73</v>
      </c>
      <c r="C402" s="37">
        <v>34</v>
      </c>
      <c r="D402" s="38">
        <v>17</v>
      </c>
      <c r="E402" s="39">
        <v>74</v>
      </c>
    </row>
    <row r="403" spans="1:5" x14ac:dyDescent="0.35">
      <c r="A403" s="35" t="s">
        <v>489</v>
      </c>
      <c r="B403" s="36">
        <v>91</v>
      </c>
      <c r="C403" s="37">
        <v>2</v>
      </c>
      <c r="D403" s="38">
        <v>32</v>
      </c>
      <c r="E403" s="39">
        <v>67</v>
      </c>
    </row>
    <row r="404" spans="1:5" x14ac:dyDescent="0.35">
      <c r="A404" s="35" t="s">
        <v>490</v>
      </c>
      <c r="B404" s="36">
        <v>67</v>
      </c>
      <c r="C404" s="37">
        <v>31</v>
      </c>
      <c r="D404" s="38">
        <v>31</v>
      </c>
      <c r="E404" s="39">
        <v>67</v>
      </c>
    </row>
    <row r="405" spans="1:5" x14ac:dyDescent="0.35">
      <c r="A405" s="35" t="s">
        <v>491</v>
      </c>
      <c r="B405" s="36">
        <v>67</v>
      </c>
      <c r="C405" s="37">
        <v>7</v>
      </c>
      <c r="D405" s="38">
        <v>38</v>
      </c>
      <c r="E405" s="39">
        <v>32</v>
      </c>
    </row>
    <row r="406" spans="1:5" x14ac:dyDescent="0.35">
      <c r="A406" s="35" t="s">
        <v>492</v>
      </c>
      <c r="B406" s="36">
        <v>32</v>
      </c>
      <c r="C406" s="37">
        <v>0</v>
      </c>
      <c r="D406" s="38">
        <v>15</v>
      </c>
      <c r="E406" s="39">
        <v>17</v>
      </c>
    </row>
    <row r="407" spans="1:5" x14ac:dyDescent="0.35">
      <c r="A407" s="35" t="s">
        <v>493</v>
      </c>
      <c r="B407" s="36">
        <v>17</v>
      </c>
      <c r="C407" s="37">
        <v>15</v>
      </c>
      <c r="D407" s="38">
        <v>0</v>
      </c>
      <c r="E407" s="39">
        <v>32</v>
      </c>
    </row>
    <row r="408" spans="1:5" x14ac:dyDescent="0.35">
      <c r="A408" s="35" t="s">
        <v>494</v>
      </c>
      <c r="B408" s="36">
        <v>32</v>
      </c>
      <c r="C408" s="37">
        <v>3</v>
      </c>
      <c r="D408" s="38">
        <v>19</v>
      </c>
      <c r="E408" s="39">
        <v>16</v>
      </c>
    </row>
    <row r="409" spans="1:5" x14ac:dyDescent="0.35">
      <c r="A409" s="35" t="s">
        <v>495</v>
      </c>
      <c r="B409" s="36">
        <v>16</v>
      </c>
      <c r="C409" s="37">
        <v>12</v>
      </c>
      <c r="D409" s="38">
        <v>5</v>
      </c>
      <c r="E409" s="39">
        <v>23</v>
      </c>
    </row>
    <row r="410" spans="1:5" x14ac:dyDescent="0.35">
      <c r="A410" s="35" t="s">
        <v>496</v>
      </c>
      <c r="B410" s="36">
        <v>23</v>
      </c>
      <c r="C410" s="37">
        <v>69</v>
      </c>
      <c r="D410" s="38">
        <v>12</v>
      </c>
      <c r="E410" s="39">
        <v>84</v>
      </c>
    </row>
    <row r="411" spans="1:5" x14ac:dyDescent="0.35">
      <c r="A411" s="35" t="s">
        <v>497</v>
      </c>
      <c r="B411" s="36">
        <v>84</v>
      </c>
      <c r="C411" s="37">
        <v>22</v>
      </c>
      <c r="D411" s="38">
        <v>59</v>
      </c>
      <c r="E411" s="39">
        <v>53</v>
      </c>
    </row>
    <row r="412" spans="1:5" x14ac:dyDescent="0.35">
      <c r="A412" s="35" t="s">
        <v>498</v>
      </c>
      <c r="B412" s="36">
        <v>53</v>
      </c>
      <c r="C412" s="37">
        <v>11</v>
      </c>
      <c r="D412" s="38">
        <v>23</v>
      </c>
      <c r="E412" s="39">
        <v>35</v>
      </c>
    </row>
    <row r="413" spans="1:5" x14ac:dyDescent="0.35">
      <c r="A413" s="35" t="s">
        <v>499</v>
      </c>
      <c r="B413" s="36">
        <v>35</v>
      </c>
      <c r="C413" s="37">
        <v>20</v>
      </c>
      <c r="D413" s="38">
        <v>11</v>
      </c>
      <c r="E413" s="39">
        <v>39</v>
      </c>
    </row>
    <row r="414" spans="1:5" x14ac:dyDescent="0.35">
      <c r="A414" s="35" t="s">
        <v>500</v>
      </c>
      <c r="B414" s="36">
        <v>39</v>
      </c>
      <c r="C414" s="37">
        <v>16</v>
      </c>
      <c r="D414" s="38">
        <v>12</v>
      </c>
      <c r="E414" s="39">
        <v>40</v>
      </c>
    </row>
    <row r="415" spans="1:5" x14ac:dyDescent="0.35">
      <c r="A415" s="35" t="s">
        <v>501</v>
      </c>
      <c r="B415" s="36">
        <v>40</v>
      </c>
      <c r="C415" s="37">
        <v>34</v>
      </c>
      <c r="D415" s="38">
        <v>11</v>
      </c>
      <c r="E415" s="39">
        <v>62</v>
      </c>
    </row>
    <row r="416" spans="1:5" x14ac:dyDescent="0.35">
      <c r="A416" s="35" t="s">
        <v>502</v>
      </c>
      <c r="B416" s="36">
        <v>62</v>
      </c>
      <c r="C416" s="37">
        <v>20</v>
      </c>
      <c r="D416" s="38">
        <v>35</v>
      </c>
      <c r="E416" s="39">
        <v>49</v>
      </c>
    </row>
    <row r="417" spans="1:5" x14ac:dyDescent="0.35">
      <c r="A417" s="35" t="s">
        <v>503</v>
      </c>
      <c r="B417" s="36">
        <v>49</v>
      </c>
      <c r="C417" s="37">
        <v>18</v>
      </c>
      <c r="D417" s="38">
        <v>18</v>
      </c>
      <c r="E417" s="39">
        <v>38</v>
      </c>
    </row>
    <row r="418" spans="1:5" x14ac:dyDescent="0.35">
      <c r="A418" s="35" t="s">
        <v>504</v>
      </c>
      <c r="B418" s="36">
        <v>38</v>
      </c>
      <c r="C418" s="37">
        <v>12</v>
      </c>
      <c r="D418" s="38">
        <v>14</v>
      </c>
      <c r="E418" s="39">
        <v>36</v>
      </c>
    </row>
    <row r="419" spans="1:5" x14ac:dyDescent="0.35">
      <c r="A419" s="35" t="s">
        <v>505</v>
      </c>
      <c r="B419" s="36">
        <v>36</v>
      </c>
      <c r="C419" s="37">
        <v>19</v>
      </c>
      <c r="D419" s="38">
        <v>9</v>
      </c>
      <c r="E419" s="39">
        <v>40</v>
      </c>
    </row>
    <row r="420" spans="1:5" x14ac:dyDescent="0.35">
      <c r="A420" s="35" t="s">
        <v>506</v>
      </c>
      <c r="B420" s="36">
        <v>40</v>
      </c>
      <c r="C420" s="37">
        <v>10</v>
      </c>
      <c r="D420" s="38">
        <v>21</v>
      </c>
      <c r="E420" s="39">
        <v>29</v>
      </c>
    </row>
    <row r="421" spans="1:5" x14ac:dyDescent="0.35">
      <c r="A421" s="35" t="s">
        <v>507</v>
      </c>
      <c r="B421" s="36">
        <v>29</v>
      </c>
      <c r="C421" s="37">
        <v>12</v>
      </c>
      <c r="D421" s="38">
        <v>13</v>
      </c>
      <c r="E421" s="39">
        <v>28</v>
      </c>
    </row>
    <row r="422" spans="1:5" x14ac:dyDescent="0.35">
      <c r="A422" s="35" t="s">
        <v>508</v>
      </c>
      <c r="B422" s="36">
        <v>28</v>
      </c>
      <c r="C422" s="37">
        <v>23</v>
      </c>
      <c r="D422" s="38">
        <v>2</v>
      </c>
      <c r="E422" s="39">
        <v>48</v>
      </c>
    </row>
    <row r="423" spans="1:5" x14ac:dyDescent="0.35">
      <c r="A423" s="35" t="s">
        <v>509</v>
      </c>
      <c r="B423" s="36">
        <v>48</v>
      </c>
      <c r="C423" s="37">
        <v>1</v>
      </c>
      <c r="D423" s="38">
        <v>19</v>
      </c>
      <c r="E423" s="39">
        <v>28</v>
      </c>
    </row>
    <row r="424" spans="1:5" x14ac:dyDescent="0.35">
      <c r="A424" s="35" t="s">
        <v>510</v>
      </c>
      <c r="B424" s="36">
        <v>28</v>
      </c>
      <c r="C424" s="37">
        <v>16</v>
      </c>
      <c r="D424" s="38">
        <v>3</v>
      </c>
      <c r="E424" s="39">
        <v>41</v>
      </c>
    </row>
    <row r="425" spans="1:5" x14ac:dyDescent="0.35">
      <c r="A425" s="35" t="s">
        <v>511</v>
      </c>
      <c r="B425" s="36">
        <v>41</v>
      </c>
      <c r="C425" s="37">
        <v>24</v>
      </c>
      <c r="D425" s="38">
        <v>12</v>
      </c>
      <c r="E425" s="39">
        <v>53</v>
      </c>
    </row>
    <row r="426" spans="1:5" x14ac:dyDescent="0.35">
      <c r="A426" s="35" t="s">
        <v>512</v>
      </c>
      <c r="B426" s="36">
        <v>52</v>
      </c>
      <c r="C426" s="37">
        <v>16</v>
      </c>
      <c r="D426" s="38">
        <v>21</v>
      </c>
      <c r="E426" s="39">
        <v>47</v>
      </c>
    </row>
    <row r="427" spans="1:5" x14ac:dyDescent="0.35">
      <c r="A427" s="35" t="s">
        <v>513</v>
      </c>
      <c r="B427" s="36">
        <v>47</v>
      </c>
      <c r="C427" s="37">
        <v>17</v>
      </c>
      <c r="D427" s="38">
        <v>23</v>
      </c>
      <c r="E427" s="39">
        <v>40</v>
      </c>
    </row>
    <row r="428" spans="1:5" x14ac:dyDescent="0.35">
      <c r="A428" s="35" t="s">
        <v>514</v>
      </c>
      <c r="B428" s="36">
        <v>39</v>
      </c>
      <c r="C428" s="37">
        <v>5</v>
      </c>
      <c r="D428" s="38">
        <v>5</v>
      </c>
      <c r="E428" s="39">
        <v>35</v>
      </c>
    </row>
    <row r="429" spans="1:5" x14ac:dyDescent="0.35">
      <c r="A429" s="35" t="s">
        <v>515</v>
      </c>
      <c r="B429" s="36">
        <v>35</v>
      </c>
      <c r="C429" s="37">
        <v>21</v>
      </c>
      <c r="D429" s="38">
        <v>8</v>
      </c>
      <c r="E429" s="39">
        <v>52</v>
      </c>
    </row>
    <row r="430" spans="1:5" x14ac:dyDescent="0.35">
      <c r="A430" s="35" t="s">
        <v>516</v>
      </c>
      <c r="B430" s="36">
        <v>52</v>
      </c>
      <c r="C430" s="37">
        <v>32</v>
      </c>
      <c r="D430" s="38">
        <v>17</v>
      </c>
      <c r="E430" s="39">
        <v>67</v>
      </c>
    </row>
    <row r="431" spans="1:5" x14ac:dyDescent="0.35">
      <c r="A431" s="35" t="s">
        <v>517</v>
      </c>
      <c r="B431" s="36">
        <v>67</v>
      </c>
      <c r="C431" s="37">
        <v>15</v>
      </c>
      <c r="D431" s="38">
        <v>12</v>
      </c>
      <c r="E431" s="39">
        <v>65</v>
      </c>
    </row>
    <row r="432" spans="1:5" x14ac:dyDescent="0.35">
      <c r="A432" s="35" t="s">
        <v>518</v>
      </c>
      <c r="B432" s="36">
        <v>65</v>
      </c>
      <c r="C432" s="37">
        <v>19</v>
      </c>
      <c r="D432" s="38">
        <v>30</v>
      </c>
      <c r="E432" s="39">
        <v>58</v>
      </c>
    </row>
    <row r="433" spans="1:5" x14ac:dyDescent="0.35">
      <c r="A433" s="35" t="s">
        <v>519</v>
      </c>
      <c r="B433" s="36">
        <v>58</v>
      </c>
      <c r="C433" s="37">
        <v>24</v>
      </c>
      <c r="D433" s="38">
        <v>25</v>
      </c>
      <c r="E433" s="39">
        <v>59</v>
      </c>
    </row>
    <row r="434" spans="1:5" x14ac:dyDescent="0.35">
      <c r="A434" s="35" t="s">
        <v>520</v>
      </c>
      <c r="B434" s="36">
        <v>59</v>
      </c>
      <c r="C434" s="37">
        <v>19</v>
      </c>
      <c r="D434" s="38">
        <v>26</v>
      </c>
      <c r="E434" s="39">
        <v>38</v>
      </c>
    </row>
    <row r="435" spans="1:5" x14ac:dyDescent="0.35">
      <c r="A435" s="35" t="s">
        <v>521</v>
      </c>
      <c r="B435" s="36">
        <v>38</v>
      </c>
      <c r="C435" s="37">
        <v>20</v>
      </c>
      <c r="D435" s="38">
        <v>14</v>
      </c>
      <c r="E435" s="39">
        <v>42</v>
      </c>
    </row>
    <row r="436" spans="1:5" x14ac:dyDescent="0.35">
      <c r="A436" s="35" t="s">
        <v>522</v>
      </c>
      <c r="B436" s="36">
        <v>42</v>
      </c>
      <c r="C436" s="37">
        <v>11</v>
      </c>
      <c r="D436" s="38">
        <v>25</v>
      </c>
      <c r="E436" s="39">
        <v>28</v>
      </c>
    </row>
    <row r="437" spans="1:5" x14ac:dyDescent="0.35">
      <c r="A437" s="35" t="s">
        <v>523</v>
      </c>
      <c r="B437" s="36">
        <v>28</v>
      </c>
      <c r="C437" s="37">
        <v>14</v>
      </c>
      <c r="D437" s="38">
        <v>11</v>
      </c>
      <c r="E437" s="39">
        <v>32</v>
      </c>
    </row>
    <row r="438" spans="1:5" x14ac:dyDescent="0.35">
      <c r="A438" s="35" t="s">
        <v>524</v>
      </c>
      <c r="B438" s="36">
        <v>32</v>
      </c>
      <c r="C438" s="37">
        <v>15</v>
      </c>
      <c r="D438" s="38">
        <v>9</v>
      </c>
      <c r="E438" s="39">
        <v>38</v>
      </c>
    </row>
    <row r="439" spans="1:5" x14ac:dyDescent="0.35">
      <c r="A439" s="35" t="s">
        <v>525</v>
      </c>
      <c r="B439" s="36">
        <v>38</v>
      </c>
      <c r="C439" s="37">
        <v>38</v>
      </c>
      <c r="D439" s="38">
        <v>21</v>
      </c>
      <c r="E439" s="39">
        <v>55</v>
      </c>
    </row>
    <row r="440" spans="1:5" x14ac:dyDescent="0.35">
      <c r="A440" s="35" t="s">
        <v>526</v>
      </c>
      <c r="B440" s="36">
        <v>55</v>
      </c>
      <c r="C440" s="37">
        <v>21</v>
      </c>
      <c r="D440" s="38">
        <v>28</v>
      </c>
      <c r="E440" s="39">
        <v>49</v>
      </c>
    </row>
    <row r="441" spans="1:5" x14ac:dyDescent="0.35">
      <c r="A441" s="35" t="s">
        <v>527</v>
      </c>
      <c r="B441" s="36">
        <v>49</v>
      </c>
      <c r="C441" s="37">
        <v>25</v>
      </c>
      <c r="D441" s="38">
        <v>24</v>
      </c>
      <c r="E441" s="39">
        <v>52</v>
      </c>
    </row>
    <row r="442" spans="1:5" x14ac:dyDescent="0.35">
      <c r="A442" s="35" t="s">
        <v>528</v>
      </c>
      <c r="B442" s="36">
        <v>52</v>
      </c>
      <c r="C442" s="37">
        <v>22</v>
      </c>
      <c r="D442" s="38">
        <v>33</v>
      </c>
      <c r="E442" s="39">
        <v>38</v>
      </c>
    </row>
    <row r="443" spans="1:5" x14ac:dyDescent="0.35">
      <c r="A443" s="35" t="s">
        <v>529</v>
      </c>
      <c r="B443" s="36">
        <v>38</v>
      </c>
      <c r="C443" s="37">
        <v>37</v>
      </c>
      <c r="D443" s="38">
        <v>15</v>
      </c>
      <c r="E443" s="39">
        <v>56</v>
      </c>
    </row>
    <row r="444" spans="1:5" x14ac:dyDescent="0.35">
      <c r="A444" s="35" t="s">
        <v>530</v>
      </c>
      <c r="B444" s="36">
        <v>56</v>
      </c>
      <c r="C444" s="37">
        <v>11</v>
      </c>
      <c r="D444" s="38">
        <v>36</v>
      </c>
      <c r="E444" s="39">
        <v>39</v>
      </c>
    </row>
    <row r="445" spans="1:5" x14ac:dyDescent="0.35">
      <c r="A445" s="35" t="s">
        <v>531</v>
      </c>
      <c r="B445" s="36">
        <v>39</v>
      </c>
      <c r="C445" s="37">
        <v>38</v>
      </c>
      <c r="D445" s="38">
        <v>13</v>
      </c>
      <c r="E445" s="39">
        <v>64</v>
      </c>
    </row>
    <row r="446" spans="1:5" x14ac:dyDescent="0.35">
      <c r="A446" s="35" t="s">
        <v>532</v>
      </c>
      <c r="B446" s="36">
        <v>64</v>
      </c>
      <c r="C446" s="37">
        <v>32</v>
      </c>
      <c r="D446" s="38">
        <v>7</v>
      </c>
      <c r="E446" s="39">
        <v>91</v>
      </c>
    </row>
    <row r="447" spans="1:5" x14ac:dyDescent="0.35">
      <c r="A447" s="35" t="s">
        <v>533</v>
      </c>
      <c r="B447" s="36">
        <v>91</v>
      </c>
      <c r="C447" s="37">
        <v>53</v>
      </c>
      <c r="D447" s="38">
        <v>55</v>
      </c>
      <c r="E447" s="39">
        <v>85</v>
      </c>
    </row>
    <row r="448" spans="1:5" x14ac:dyDescent="0.35">
      <c r="A448" s="35" t="s">
        <v>534</v>
      </c>
      <c r="B448" s="36">
        <v>85</v>
      </c>
      <c r="C448" s="37">
        <v>5</v>
      </c>
      <c r="D448" s="38">
        <v>46</v>
      </c>
      <c r="E448" s="39">
        <v>44</v>
      </c>
    </row>
    <row r="449" spans="1:5" x14ac:dyDescent="0.35">
      <c r="A449" s="35" t="s">
        <v>535</v>
      </c>
      <c r="B449" s="36">
        <v>44</v>
      </c>
      <c r="C449" s="37">
        <v>39</v>
      </c>
      <c r="D449" s="38">
        <v>20</v>
      </c>
      <c r="E449" s="39">
        <v>62</v>
      </c>
    </row>
    <row r="450" spans="1:5" x14ac:dyDescent="0.35">
      <c r="A450" s="35" t="s">
        <v>536</v>
      </c>
      <c r="B450" s="36">
        <v>62</v>
      </c>
      <c r="C450" s="37">
        <v>6</v>
      </c>
      <c r="D450" s="38">
        <v>34</v>
      </c>
      <c r="E450" s="39">
        <v>35</v>
      </c>
    </row>
    <row r="451" spans="1:5" x14ac:dyDescent="0.35">
      <c r="A451" s="35" t="s">
        <v>537</v>
      </c>
      <c r="B451" s="36">
        <v>35</v>
      </c>
      <c r="C451" s="37">
        <v>12</v>
      </c>
      <c r="D451" s="38">
        <v>14</v>
      </c>
      <c r="E451" s="39">
        <v>32</v>
      </c>
    </row>
    <row r="452" spans="1:5" x14ac:dyDescent="0.35">
      <c r="A452" s="35" t="s">
        <v>538</v>
      </c>
      <c r="B452" s="36">
        <v>32</v>
      </c>
      <c r="C452" s="37">
        <v>16</v>
      </c>
      <c r="D452" s="38">
        <v>13</v>
      </c>
      <c r="E452" s="39">
        <v>33</v>
      </c>
    </row>
    <row r="453" spans="1:5" x14ac:dyDescent="0.35">
      <c r="A453" s="35" t="s">
        <v>539</v>
      </c>
      <c r="B453" s="36">
        <v>33</v>
      </c>
      <c r="C453" s="37">
        <v>50</v>
      </c>
      <c r="D453" s="38">
        <v>14</v>
      </c>
      <c r="E453" s="39">
        <v>69</v>
      </c>
    </row>
    <row r="454" spans="1:5" x14ac:dyDescent="0.35">
      <c r="A454" s="35" t="s">
        <v>540</v>
      </c>
      <c r="B454" s="36">
        <v>69</v>
      </c>
      <c r="C454" s="37">
        <v>11</v>
      </c>
      <c r="D454" s="38">
        <v>49</v>
      </c>
      <c r="E454" s="39">
        <v>31</v>
      </c>
    </row>
    <row r="455" spans="1:5" x14ac:dyDescent="0.35">
      <c r="A455" s="35" t="s">
        <v>541</v>
      </c>
      <c r="B455" s="36">
        <v>31</v>
      </c>
      <c r="C455" s="37">
        <v>67</v>
      </c>
      <c r="D455" s="38">
        <v>17</v>
      </c>
      <c r="E455" s="39">
        <v>81</v>
      </c>
    </row>
    <row r="456" spans="1:5" x14ac:dyDescent="0.35">
      <c r="A456" s="35" t="s">
        <v>542</v>
      </c>
      <c r="B456" s="36">
        <v>81</v>
      </c>
      <c r="C456" s="37">
        <v>31</v>
      </c>
      <c r="D456" s="38">
        <v>42</v>
      </c>
      <c r="E456" s="39">
        <v>70</v>
      </c>
    </row>
    <row r="457" spans="1:5" x14ac:dyDescent="0.35">
      <c r="A457" s="35" t="s">
        <v>543</v>
      </c>
      <c r="B457" s="36">
        <v>70</v>
      </c>
      <c r="C457" s="37">
        <v>28</v>
      </c>
      <c r="D457" s="38">
        <v>51</v>
      </c>
      <c r="E457" s="39">
        <v>47</v>
      </c>
    </row>
    <row r="458" spans="1:5" x14ac:dyDescent="0.35">
      <c r="A458" s="35" t="s">
        <v>544</v>
      </c>
      <c r="B458" s="36">
        <v>47</v>
      </c>
      <c r="C458" s="37">
        <v>45</v>
      </c>
      <c r="D458" s="38">
        <v>13</v>
      </c>
      <c r="E458" s="39">
        <v>79</v>
      </c>
    </row>
    <row r="459" spans="1:5" x14ac:dyDescent="0.35">
      <c r="A459" s="35" t="s">
        <v>545</v>
      </c>
      <c r="B459" s="36">
        <v>79</v>
      </c>
      <c r="C459" s="37">
        <v>48</v>
      </c>
      <c r="D459" s="38">
        <v>20</v>
      </c>
      <c r="E459" s="39">
        <v>95</v>
      </c>
    </row>
    <row r="460" spans="1:5" x14ac:dyDescent="0.35">
      <c r="A460" s="35" t="s">
        <v>546</v>
      </c>
      <c r="B460" s="36">
        <v>95</v>
      </c>
      <c r="C460" s="37">
        <v>56</v>
      </c>
      <c r="D460" s="38">
        <v>45</v>
      </c>
      <c r="E460" s="39">
        <v>106</v>
      </c>
    </row>
    <row r="461" spans="1:5" x14ac:dyDescent="0.35">
      <c r="A461" s="35" t="s">
        <v>547</v>
      </c>
      <c r="B461" s="36">
        <v>106</v>
      </c>
      <c r="C461" s="37">
        <v>42</v>
      </c>
      <c r="D461" s="38">
        <v>29</v>
      </c>
      <c r="E461" s="39">
        <v>119</v>
      </c>
    </row>
    <row r="462" spans="1:5" x14ac:dyDescent="0.35">
      <c r="A462" s="35" t="s">
        <v>548</v>
      </c>
      <c r="B462" s="36">
        <v>119</v>
      </c>
      <c r="C462" s="37">
        <v>27</v>
      </c>
      <c r="D462" s="38">
        <v>68</v>
      </c>
      <c r="E462" s="39">
        <v>86</v>
      </c>
    </row>
    <row r="463" spans="1:5" x14ac:dyDescent="0.35">
      <c r="A463" s="35" t="s">
        <v>549</v>
      </c>
      <c r="B463" s="36">
        <v>86</v>
      </c>
      <c r="C463" s="37">
        <v>40</v>
      </c>
      <c r="D463" s="38">
        <v>71</v>
      </c>
      <c r="E463" s="39">
        <v>55</v>
      </c>
    </row>
    <row r="464" spans="1:5" x14ac:dyDescent="0.35">
      <c r="A464" s="35" t="s">
        <v>550</v>
      </c>
      <c r="B464" s="36">
        <v>55</v>
      </c>
      <c r="C464" s="37">
        <v>6</v>
      </c>
      <c r="D464" s="38">
        <v>37</v>
      </c>
      <c r="E464" s="39">
        <v>26</v>
      </c>
    </row>
    <row r="465" spans="1:5" x14ac:dyDescent="0.35">
      <c r="A465" s="35" t="s">
        <v>551</v>
      </c>
      <c r="B465" s="36">
        <v>26</v>
      </c>
      <c r="C465" s="37">
        <v>68</v>
      </c>
      <c r="D465" s="38">
        <v>9</v>
      </c>
      <c r="E465" s="39">
        <v>85</v>
      </c>
    </row>
    <row r="466" spans="1:5" x14ac:dyDescent="0.35">
      <c r="A466" s="35" t="s">
        <v>552</v>
      </c>
      <c r="B466" s="36">
        <v>85</v>
      </c>
      <c r="C466" s="37">
        <v>21</v>
      </c>
      <c r="D466" s="38">
        <v>45</v>
      </c>
      <c r="E466" s="39">
        <v>52</v>
      </c>
    </row>
    <row r="467" spans="1:5" x14ac:dyDescent="0.35">
      <c r="A467" s="35" t="s">
        <v>553</v>
      </c>
      <c r="B467" s="36">
        <v>52</v>
      </c>
      <c r="C467" s="37">
        <v>14</v>
      </c>
      <c r="D467" s="38">
        <v>45</v>
      </c>
      <c r="E467" s="39">
        <v>34</v>
      </c>
    </row>
    <row r="468" spans="1:5" x14ac:dyDescent="0.35">
      <c r="A468" s="35" t="s">
        <v>554</v>
      </c>
      <c r="B468" s="36">
        <v>34</v>
      </c>
      <c r="C468" s="37">
        <v>25</v>
      </c>
      <c r="D468" s="38">
        <v>23</v>
      </c>
      <c r="E468" s="39">
        <v>48</v>
      </c>
    </row>
    <row r="469" spans="1:5" x14ac:dyDescent="0.35">
      <c r="A469" s="35" t="s">
        <v>555</v>
      </c>
      <c r="B469" s="36">
        <v>48</v>
      </c>
      <c r="C469" s="37">
        <v>36</v>
      </c>
      <c r="D469" s="38">
        <v>30</v>
      </c>
      <c r="E469" s="39">
        <v>54</v>
      </c>
    </row>
    <row r="470" spans="1:5" x14ac:dyDescent="0.35">
      <c r="A470" s="35" t="s">
        <v>556</v>
      </c>
      <c r="B470" s="36">
        <v>54</v>
      </c>
      <c r="C470" s="37">
        <v>51</v>
      </c>
      <c r="D470" s="38">
        <v>16</v>
      </c>
      <c r="E470" s="39">
        <v>89</v>
      </c>
    </row>
    <row r="471" spans="1:5" x14ac:dyDescent="0.35">
      <c r="A471" s="35" t="s">
        <v>557</v>
      </c>
      <c r="B471" s="36">
        <v>89</v>
      </c>
      <c r="C471" s="37">
        <v>11</v>
      </c>
      <c r="D471" s="38">
        <v>4</v>
      </c>
      <c r="E471" s="39">
        <v>99</v>
      </c>
    </row>
    <row r="472" spans="1:5" x14ac:dyDescent="0.35">
      <c r="A472" s="35" t="s">
        <v>558</v>
      </c>
      <c r="B472" s="36">
        <v>99</v>
      </c>
      <c r="C472" s="37">
        <v>30</v>
      </c>
      <c r="D472" s="38">
        <v>59</v>
      </c>
      <c r="E472" s="39">
        <v>69</v>
      </c>
    </row>
    <row r="473" spans="1:5" x14ac:dyDescent="0.35">
      <c r="A473" s="35" t="s">
        <v>559</v>
      </c>
      <c r="B473" s="36">
        <v>69</v>
      </c>
      <c r="C473" s="37">
        <v>53</v>
      </c>
      <c r="D473" s="38">
        <v>25</v>
      </c>
      <c r="E473" s="39">
        <v>106</v>
      </c>
    </row>
    <row r="474" spans="1:5" x14ac:dyDescent="0.35">
      <c r="A474" s="35" t="s">
        <v>560</v>
      </c>
      <c r="B474" s="36">
        <v>106</v>
      </c>
      <c r="C474" s="37">
        <v>34</v>
      </c>
      <c r="D474" s="38">
        <v>56</v>
      </c>
      <c r="E474" s="39">
        <v>83</v>
      </c>
    </row>
    <row r="475" spans="1:5" x14ac:dyDescent="0.35">
      <c r="A475" s="35" t="s">
        <v>561</v>
      </c>
      <c r="B475" s="36">
        <v>83</v>
      </c>
      <c r="C475" s="37">
        <v>41</v>
      </c>
      <c r="D475" s="38">
        <v>38</v>
      </c>
      <c r="E475" s="39">
        <v>87</v>
      </c>
    </row>
    <row r="476" spans="1:5" x14ac:dyDescent="0.35">
      <c r="A476" s="35" t="s">
        <v>562</v>
      </c>
      <c r="B476" s="36">
        <v>87</v>
      </c>
      <c r="C476" s="37">
        <v>25</v>
      </c>
      <c r="D476" s="38">
        <v>32</v>
      </c>
      <c r="E476" s="39">
        <v>79</v>
      </c>
    </row>
    <row r="477" spans="1:5" x14ac:dyDescent="0.35">
      <c r="A477" s="35" t="s">
        <v>563</v>
      </c>
      <c r="B477" s="36">
        <v>79</v>
      </c>
      <c r="C477" s="37">
        <v>20</v>
      </c>
      <c r="D477" s="38">
        <v>29</v>
      </c>
      <c r="E477" s="39">
        <v>69</v>
      </c>
    </row>
    <row r="478" spans="1:5" x14ac:dyDescent="0.35">
      <c r="A478" s="35" t="s">
        <v>564</v>
      </c>
      <c r="B478" s="36">
        <v>69</v>
      </c>
      <c r="C478" s="37">
        <v>36</v>
      </c>
      <c r="D478" s="38">
        <v>31</v>
      </c>
      <c r="E478" s="39">
        <v>73</v>
      </c>
    </row>
    <row r="479" spans="1:5" x14ac:dyDescent="0.35">
      <c r="A479" s="35" t="s">
        <v>565</v>
      </c>
      <c r="B479" s="36">
        <v>73</v>
      </c>
      <c r="C479" s="37">
        <v>25</v>
      </c>
      <c r="D479" s="38">
        <v>28</v>
      </c>
      <c r="E479" s="39">
        <v>70</v>
      </c>
    </row>
    <row r="480" spans="1:5" x14ac:dyDescent="0.35">
      <c r="A480" s="35" t="s">
        <v>566</v>
      </c>
      <c r="B480" s="36">
        <v>70</v>
      </c>
      <c r="C480" s="37">
        <v>29</v>
      </c>
      <c r="D480" s="38">
        <v>27</v>
      </c>
      <c r="E480" s="39">
        <v>73</v>
      </c>
    </row>
    <row r="481" spans="1:5" x14ac:dyDescent="0.35">
      <c r="A481" s="35" t="s">
        <v>567</v>
      </c>
      <c r="B481" s="36">
        <v>73</v>
      </c>
      <c r="C481" s="37">
        <v>29</v>
      </c>
      <c r="D481" s="38">
        <v>12</v>
      </c>
      <c r="E481" s="39">
        <v>89</v>
      </c>
    </row>
    <row r="482" spans="1:5" x14ac:dyDescent="0.35">
      <c r="A482" s="35" t="s">
        <v>568</v>
      </c>
      <c r="B482" s="36">
        <v>89</v>
      </c>
      <c r="C482" s="37">
        <v>37</v>
      </c>
      <c r="D482" s="38">
        <v>68</v>
      </c>
      <c r="E482" s="39">
        <v>70</v>
      </c>
    </row>
    <row r="483" spans="1:5" x14ac:dyDescent="0.35">
      <c r="A483" s="35" t="s">
        <v>569</v>
      </c>
      <c r="B483" s="36">
        <v>70</v>
      </c>
      <c r="C483" s="37">
        <v>34</v>
      </c>
      <c r="D483" s="38">
        <v>32</v>
      </c>
      <c r="E483" s="39">
        <v>67</v>
      </c>
    </row>
    <row r="484" spans="1:5" x14ac:dyDescent="0.35">
      <c r="A484" s="35" t="s">
        <v>570</v>
      </c>
      <c r="B484" s="36">
        <v>67</v>
      </c>
      <c r="C484" s="37">
        <v>26</v>
      </c>
      <c r="D484" s="38">
        <v>54</v>
      </c>
      <c r="E484" s="39">
        <v>52</v>
      </c>
    </row>
    <row r="485" spans="1:5" x14ac:dyDescent="0.35">
      <c r="A485" s="35" t="s">
        <v>571</v>
      </c>
      <c r="B485" s="36">
        <v>52</v>
      </c>
      <c r="C485" s="37">
        <v>86</v>
      </c>
      <c r="D485" s="38">
        <v>29</v>
      </c>
      <c r="E485" s="39">
        <v>100</v>
      </c>
    </row>
    <row r="486" spans="1:5" x14ac:dyDescent="0.35">
      <c r="A486" s="35" t="s">
        <v>572</v>
      </c>
      <c r="B486" s="36">
        <v>100</v>
      </c>
      <c r="C486" s="37">
        <v>43</v>
      </c>
      <c r="D486" s="38">
        <v>62</v>
      </c>
      <c r="E486" s="39">
        <v>75</v>
      </c>
    </row>
    <row r="487" spans="1:5" x14ac:dyDescent="0.35">
      <c r="A487" s="35" t="s">
        <v>573</v>
      </c>
      <c r="B487" s="36">
        <v>75</v>
      </c>
      <c r="C487" s="37">
        <v>25</v>
      </c>
      <c r="D487" s="38">
        <v>46</v>
      </c>
      <c r="E487" s="39">
        <v>55</v>
      </c>
    </row>
    <row r="488" spans="1:5" x14ac:dyDescent="0.35">
      <c r="A488" s="35" t="s">
        <v>574</v>
      </c>
      <c r="B488" s="36">
        <v>55</v>
      </c>
      <c r="C488" s="37">
        <v>25</v>
      </c>
      <c r="D488" s="38">
        <v>47</v>
      </c>
      <c r="E488" s="39">
        <v>46</v>
      </c>
    </row>
    <row r="489" spans="1:5" x14ac:dyDescent="0.35">
      <c r="A489" s="35" t="s">
        <v>575</v>
      </c>
      <c r="B489" s="36">
        <v>46</v>
      </c>
      <c r="C489" s="37">
        <v>47</v>
      </c>
      <c r="D489" s="38">
        <v>0</v>
      </c>
      <c r="E489" s="39">
        <v>72</v>
      </c>
    </row>
    <row r="490" spans="1:5" x14ac:dyDescent="0.35">
      <c r="A490" s="35" t="s">
        <v>576</v>
      </c>
      <c r="B490" s="36">
        <v>72</v>
      </c>
      <c r="C490" s="37">
        <v>34</v>
      </c>
      <c r="D490" s="38">
        <v>23</v>
      </c>
      <c r="E490" s="39">
        <v>83</v>
      </c>
    </row>
    <row r="491" spans="1:5" x14ac:dyDescent="0.35">
      <c r="A491" s="35" t="s">
        <v>577</v>
      </c>
      <c r="B491" s="36">
        <v>83</v>
      </c>
      <c r="C491" s="37">
        <v>16</v>
      </c>
      <c r="D491" s="38">
        <v>37</v>
      </c>
      <c r="E491" s="39">
        <v>59</v>
      </c>
    </row>
    <row r="492" spans="1:5" x14ac:dyDescent="0.35">
      <c r="A492" s="35" t="s">
        <v>578</v>
      </c>
      <c r="B492" s="36">
        <v>59</v>
      </c>
      <c r="C492" s="37">
        <v>18</v>
      </c>
      <c r="D492" s="38">
        <v>20</v>
      </c>
      <c r="E492" s="39">
        <v>57</v>
      </c>
    </row>
    <row r="493" spans="1:5" x14ac:dyDescent="0.35">
      <c r="A493" s="35" t="s">
        <v>579</v>
      </c>
      <c r="B493" s="36">
        <v>56</v>
      </c>
      <c r="C493" s="37">
        <v>49</v>
      </c>
      <c r="D493" s="38">
        <v>15</v>
      </c>
      <c r="E493" s="39">
        <v>90</v>
      </c>
    </row>
    <row r="494" spans="1:5" x14ac:dyDescent="0.35">
      <c r="A494" s="35" t="s">
        <v>580</v>
      </c>
      <c r="B494" s="36">
        <v>90</v>
      </c>
      <c r="C494" s="37">
        <v>47</v>
      </c>
      <c r="D494" s="38">
        <v>44</v>
      </c>
      <c r="E494" s="39">
        <v>95</v>
      </c>
    </row>
    <row r="495" spans="1:5" x14ac:dyDescent="0.35">
      <c r="A495" s="35" t="s">
        <v>581</v>
      </c>
      <c r="B495" s="36">
        <v>94</v>
      </c>
      <c r="C495" s="37">
        <v>36</v>
      </c>
      <c r="D495" s="38">
        <v>50</v>
      </c>
      <c r="E495" s="39">
        <v>79</v>
      </c>
    </row>
    <row r="496" spans="1:5" x14ac:dyDescent="0.35">
      <c r="A496" s="35" t="s">
        <v>582</v>
      </c>
      <c r="B496" s="36">
        <v>79</v>
      </c>
      <c r="C496" s="37">
        <v>36</v>
      </c>
      <c r="D496" s="38">
        <v>50</v>
      </c>
      <c r="E496" s="39">
        <v>61</v>
      </c>
    </row>
    <row r="497" spans="1:5" x14ac:dyDescent="0.35">
      <c r="A497" s="35" t="s">
        <v>583</v>
      </c>
      <c r="B497" s="36">
        <v>61</v>
      </c>
      <c r="C497" s="37">
        <v>51</v>
      </c>
      <c r="D497" s="38">
        <v>36</v>
      </c>
      <c r="E497" s="39">
        <v>81</v>
      </c>
    </row>
    <row r="498" spans="1:5" x14ac:dyDescent="0.35">
      <c r="A498" s="35" t="s">
        <v>584</v>
      </c>
      <c r="B498" s="36">
        <v>81</v>
      </c>
      <c r="C498" s="37">
        <v>30</v>
      </c>
      <c r="D498" s="38">
        <v>37</v>
      </c>
      <c r="E498" s="39">
        <v>74</v>
      </c>
    </row>
    <row r="499" spans="1:5" x14ac:dyDescent="0.35">
      <c r="A499" s="35" t="s">
        <v>585</v>
      </c>
      <c r="B499" s="36">
        <v>74</v>
      </c>
      <c r="C499" s="37">
        <v>45</v>
      </c>
      <c r="D499" s="38">
        <v>6</v>
      </c>
      <c r="E499" s="39">
        <v>110</v>
      </c>
    </row>
    <row r="500" spans="1:5" x14ac:dyDescent="0.35">
      <c r="A500" s="35" t="s">
        <v>586</v>
      </c>
      <c r="B500" s="36">
        <v>110</v>
      </c>
      <c r="C500" s="37">
        <v>38</v>
      </c>
      <c r="D500" s="38">
        <v>64</v>
      </c>
      <c r="E500" s="39">
        <v>79</v>
      </c>
    </row>
    <row r="501" spans="1:5" x14ac:dyDescent="0.35">
      <c r="A501" s="35" t="s">
        <v>587</v>
      </c>
      <c r="B501" s="36">
        <v>79</v>
      </c>
      <c r="C501" s="37">
        <v>23</v>
      </c>
      <c r="D501" s="38">
        <v>16</v>
      </c>
      <c r="E501" s="39">
        <v>86</v>
      </c>
    </row>
    <row r="502" spans="1:5" x14ac:dyDescent="0.35">
      <c r="A502" s="35" t="s">
        <v>588</v>
      </c>
      <c r="B502" s="36">
        <v>86</v>
      </c>
      <c r="C502" s="37">
        <v>30</v>
      </c>
      <c r="D502" s="38">
        <v>24</v>
      </c>
      <c r="E502" s="39">
        <v>97</v>
      </c>
    </row>
    <row r="503" spans="1:5" x14ac:dyDescent="0.35">
      <c r="A503" s="35" t="s">
        <v>589</v>
      </c>
      <c r="B503" s="36">
        <v>97</v>
      </c>
      <c r="C503" s="37">
        <v>61</v>
      </c>
      <c r="D503" s="38">
        <v>35</v>
      </c>
      <c r="E503" s="39">
        <v>123</v>
      </c>
    </row>
    <row r="504" spans="1:5" x14ac:dyDescent="0.35">
      <c r="A504" s="35" t="s">
        <v>590</v>
      </c>
      <c r="B504" s="36">
        <v>123</v>
      </c>
      <c r="C504" s="37">
        <v>72</v>
      </c>
      <c r="D504" s="38">
        <v>59</v>
      </c>
      <c r="E504" s="39">
        <v>127</v>
      </c>
    </row>
    <row r="505" spans="1:5" x14ac:dyDescent="0.35">
      <c r="A505" s="35" t="s">
        <v>591</v>
      </c>
      <c r="B505" s="36">
        <v>127</v>
      </c>
      <c r="C505" s="37">
        <v>22</v>
      </c>
      <c r="D505" s="38">
        <v>57</v>
      </c>
      <c r="E505" s="39">
        <v>89</v>
      </c>
    </row>
    <row r="506" spans="1:5" x14ac:dyDescent="0.35">
      <c r="A506" s="35" t="s">
        <v>592</v>
      </c>
      <c r="B506" s="36">
        <v>89</v>
      </c>
      <c r="C506" s="37">
        <v>14</v>
      </c>
      <c r="D506" s="38">
        <v>2</v>
      </c>
      <c r="E506" s="39">
        <v>102</v>
      </c>
    </row>
    <row r="507" spans="1:5" x14ac:dyDescent="0.35">
      <c r="A507" s="35" t="s">
        <v>593</v>
      </c>
      <c r="B507" s="36">
        <v>102</v>
      </c>
      <c r="C507" s="37">
        <v>55</v>
      </c>
      <c r="D507" s="38">
        <v>22</v>
      </c>
      <c r="E507" s="39">
        <v>130</v>
      </c>
    </row>
    <row r="508" spans="1:5" x14ac:dyDescent="0.35">
      <c r="A508" s="35" t="s">
        <v>594</v>
      </c>
      <c r="B508" s="36">
        <v>130</v>
      </c>
      <c r="C508" s="37">
        <v>8</v>
      </c>
      <c r="D508" s="38">
        <v>72</v>
      </c>
      <c r="E508" s="39">
        <v>66</v>
      </c>
    </row>
    <row r="509" spans="1:5" x14ac:dyDescent="0.35">
      <c r="A509" s="35" t="s">
        <v>595</v>
      </c>
      <c r="B509" s="36">
        <v>66</v>
      </c>
      <c r="C509" s="37">
        <v>29</v>
      </c>
      <c r="D509" s="38">
        <v>16</v>
      </c>
      <c r="E509" s="39">
        <v>76</v>
      </c>
    </row>
    <row r="510" spans="1:5" x14ac:dyDescent="0.35">
      <c r="A510" s="35" t="s">
        <v>596</v>
      </c>
      <c r="B510" s="36">
        <v>76</v>
      </c>
      <c r="C510" s="37">
        <v>37</v>
      </c>
      <c r="D510" s="38">
        <v>9</v>
      </c>
      <c r="E510" s="39">
        <v>110</v>
      </c>
    </row>
    <row r="511" spans="1:5" x14ac:dyDescent="0.35">
      <c r="A511" s="35" t="s">
        <v>597</v>
      </c>
      <c r="B511" s="36">
        <v>109</v>
      </c>
      <c r="C511" s="37">
        <v>44</v>
      </c>
      <c r="D511" s="38">
        <v>44</v>
      </c>
      <c r="E511" s="39">
        <v>107</v>
      </c>
    </row>
    <row r="512" spans="1:5" x14ac:dyDescent="0.35">
      <c r="A512" s="35" t="s">
        <v>598</v>
      </c>
      <c r="B512" s="36">
        <v>107</v>
      </c>
      <c r="C512" s="37">
        <v>57</v>
      </c>
      <c r="D512" s="38">
        <v>70</v>
      </c>
      <c r="E512" s="39">
        <v>96</v>
      </c>
    </row>
    <row r="513" spans="1:5" x14ac:dyDescent="0.35">
      <c r="A513" s="35" t="s">
        <v>599</v>
      </c>
      <c r="B513" s="36">
        <v>83</v>
      </c>
      <c r="C513" s="37">
        <v>31</v>
      </c>
      <c r="D513" s="38">
        <v>27</v>
      </c>
      <c r="E513" s="39">
        <v>88</v>
      </c>
    </row>
    <row r="514" spans="1:5" x14ac:dyDescent="0.35">
      <c r="A514" s="35" t="s">
        <v>600</v>
      </c>
      <c r="B514" s="36">
        <v>88</v>
      </c>
      <c r="C514" s="37">
        <v>38</v>
      </c>
      <c r="D514" s="38">
        <v>27</v>
      </c>
      <c r="E514" s="39">
        <v>98</v>
      </c>
    </row>
    <row r="515" spans="1:5" x14ac:dyDescent="0.35">
      <c r="A515" s="35" t="s">
        <v>601</v>
      </c>
      <c r="B515" s="36">
        <v>97</v>
      </c>
      <c r="C515" s="37">
        <v>28</v>
      </c>
      <c r="D515" s="38">
        <v>28</v>
      </c>
      <c r="E515" s="39">
        <v>99</v>
      </c>
    </row>
    <row r="516" spans="1:5" x14ac:dyDescent="0.35">
      <c r="A516" s="35" t="s">
        <v>602</v>
      </c>
      <c r="B516" s="36">
        <v>99</v>
      </c>
      <c r="C516" s="37">
        <v>20</v>
      </c>
      <c r="D516" s="38">
        <v>30</v>
      </c>
      <c r="E516" s="39">
        <v>96</v>
      </c>
    </row>
    <row r="517" spans="1:5" x14ac:dyDescent="0.35">
      <c r="A517" s="35" t="s">
        <v>603</v>
      </c>
      <c r="B517" s="36">
        <v>96</v>
      </c>
      <c r="C517" s="37">
        <v>4</v>
      </c>
      <c r="D517" s="38">
        <v>44</v>
      </c>
      <c r="E517" s="39">
        <v>49</v>
      </c>
    </row>
    <row r="518" spans="1:5" x14ac:dyDescent="0.35">
      <c r="A518" s="35" t="s">
        <v>604</v>
      </c>
      <c r="B518" s="36">
        <v>49</v>
      </c>
      <c r="C518" s="37">
        <v>8</v>
      </c>
      <c r="D518" s="38">
        <v>3</v>
      </c>
      <c r="E518" s="39">
        <v>53</v>
      </c>
    </row>
    <row r="519" spans="1:5" x14ac:dyDescent="0.35">
      <c r="A519" s="35" t="s">
        <v>605</v>
      </c>
      <c r="B519" s="36">
        <v>53</v>
      </c>
      <c r="C519" s="37">
        <v>45</v>
      </c>
      <c r="D519" s="38">
        <v>10</v>
      </c>
      <c r="E519" s="39">
        <v>88</v>
      </c>
    </row>
    <row r="520" spans="1:5" x14ac:dyDescent="0.35">
      <c r="A520" s="35" t="s">
        <v>606</v>
      </c>
      <c r="B520" s="36">
        <v>88</v>
      </c>
      <c r="C520" s="37">
        <v>4</v>
      </c>
      <c r="D520" s="38">
        <v>14</v>
      </c>
      <c r="E520" s="39">
        <v>72</v>
      </c>
    </row>
    <row r="521" spans="1:5" x14ac:dyDescent="0.35">
      <c r="A521" s="35" t="s">
        <v>607</v>
      </c>
      <c r="B521" s="36">
        <v>72</v>
      </c>
      <c r="C521" s="37">
        <v>4</v>
      </c>
      <c r="D521" s="38">
        <v>17</v>
      </c>
      <c r="E521" s="39">
        <v>59</v>
      </c>
    </row>
    <row r="522" spans="1:5" x14ac:dyDescent="0.35">
      <c r="A522" s="35" t="s">
        <v>608</v>
      </c>
      <c r="B522" s="36">
        <v>59</v>
      </c>
      <c r="C522" s="37">
        <v>10</v>
      </c>
      <c r="D522" s="38">
        <v>13</v>
      </c>
      <c r="E522" s="39">
        <v>47</v>
      </c>
    </row>
    <row r="523" spans="1:5" x14ac:dyDescent="0.35">
      <c r="A523" s="35" t="s">
        <v>609</v>
      </c>
      <c r="B523" s="36">
        <v>47</v>
      </c>
      <c r="C523" s="37">
        <v>71</v>
      </c>
      <c r="D523" s="38">
        <v>8</v>
      </c>
      <c r="E523" s="39">
        <v>122</v>
      </c>
    </row>
    <row r="524" spans="1:5" x14ac:dyDescent="0.35">
      <c r="A524" s="35" t="s">
        <v>610</v>
      </c>
      <c r="B524" s="36">
        <v>122</v>
      </c>
      <c r="C524" s="37">
        <v>17</v>
      </c>
      <c r="D524" s="38">
        <v>24</v>
      </c>
      <c r="E524" s="39">
        <v>108</v>
      </c>
    </row>
    <row r="525" spans="1:5" x14ac:dyDescent="0.35">
      <c r="A525" s="35" t="s">
        <v>610</v>
      </c>
      <c r="B525" s="36">
        <v>108</v>
      </c>
      <c r="C525" s="37">
        <v>42</v>
      </c>
      <c r="D525" s="38">
        <v>46</v>
      </c>
      <c r="E525" s="39">
        <v>95</v>
      </c>
    </row>
    <row r="526" spans="1:5" x14ac:dyDescent="0.35">
      <c r="A526" s="35" t="s">
        <v>611</v>
      </c>
      <c r="B526" s="36">
        <v>5</v>
      </c>
      <c r="C526" s="37">
        <v>30</v>
      </c>
      <c r="D526" s="38">
        <v>23</v>
      </c>
      <c r="E526" s="39">
        <v>100</v>
      </c>
    </row>
    <row r="527" spans="1:5" x14ac:dyDescent="0.35">
      <c r="A527" s="35" t="s">
        <v>612</v>
      </c>
      <c r="B527" s="36">
        <v>100</v>
      </c>
      <c r="C527" s="37">
        <v>21</v>
      </c>
      <c r="D527" s="38">
        <v>37</v>
      </c>
      <c r="E527" s="39">
        <v>85</v>
      </c>
    </row>
    <row r="528" spans="1:5" x14ac:dyDescent="0.35">
      <c r="A528" s="35" t="s">
        <v>613</v>
      </c>
      <c r="B528" s="36">
        <v>85</v>
      </c>
      <c r="C528" s="37">
        <v>27</v>
      </c>
      <c r="D528" s="38">
        <v>6</v>
      </c>
      <c r="E528" s="39">
        <v>104</v>
      </c>
    </row>
    <row r="529" spans="1:5" x14ac:dyDescent="0.35">
      <c r="A529" s="35" t="s">
        <v>614</v>
      </c>
      <c r="B529" s="36">
        <v>83</v>
      </c>
      <c r="C529" s="37">
        <v>39</v>
      </c>
      <c r="D529" s="38">
        <v>23</v>
      </c>
      <c r="E529" s="39">
        <v>109</v>
      </c>
    </row>
    <row r="530" spans="1:5" x14ac:dyDescent="0.35">
      <c r="A530" s="35" t="s">
        <v>615</v>
      </c>
      <c r="B530" s="36">
        <v>109</v>
      </c>
      <c r="C530" s="37">
        <v>67</v>
      </c>
      <c r="D530" s="38">
        <v>46</v>
      </c>
      <c r="E530" s="39">
        <v>122</v>
      </c>
    </row>
    <row r="531" spans="1:5" x14ac:dyDescent="0.35">
      <c r="A531" s="35" t="s">
        <v>616</v>
      </c>
      <c r="B531" s="36">
        <v>122</v>
      </c>
      <c r="C531" s="37">
        <v>6</v>
      </c>
      <c r="D531" s="38">
        <v>42</v>
      </c>
      <c r="E531" s="39">
        <v>91</v>
      </c>
    </row>
    <row r="532" spans="1:5" x14ac:dyDescent="0.35">
      <c r="A532" s="35" t="s">
        <v>617</v>
      </c>
      <c r="B532" s="36">
        <v>91</v>
      </c>
      <c r="C532" s="37">
        <v>55</v>
      </c>
      <c r="D532" s="38">
        <v>16</v>
      </c>
      <c r="E532" s="39">
        <v>130</v>
      </c>
    </row>
    <row r="533" spans="1:5" x14ac:dyDescent="0.35">
      <c r="A533" s="35" t="s">
        <v>618</v>
      </c>
      <c r="B533" s="36">
        <v>130</v>
      </c>
      <c r="C533" s="37">
        <v>23</v>
      </c>
      <c r="D533" s="38">
        <v>51</v>
      </c>
      <c r="E533" s="39">
        <v>102</v>
      </c>
    </row>
    <row r="534" spans="1:5" x14ac:dyDescent="0.35">
      <c r="A534" s="35" t="s">
        <v>619</v>
      </c>
      <c r="B534" s="36">
        <v>102</v>
      </c>
      <c r="C534" s="37">
        <v>23</v>
      </c>
      <c r="D534" s="38">
        <v>28</v>
      </c>
      <c r="E534" s="39">
        <v>90</v>
      </c>
    </row>
    <row r="535" spans="1:5" x14ac:dyDescent="0.35">
      <c r="A535" s="35" t="s">
        <v>620</v>
      </c>
      <c r="B535" s="36">
        <v>90</v>
      </c>
      <c r="C535" s="37">
        <v>44</v>
      </c>
      <c r="D535" s="38">
        <v>28</v>
      </c>
      <c r="E535" s="39">
        <v>106</v>
      </c>
    </row>
    <row r="536" spans="1:5" x14ac:dyDescent="0.35">
      <c r="A536" s="35" t="s">
        <v>621</v>
      </c>
      <c r="B536" s="36">
        <v>106</v>
      </c>
      <c r="C536" s="37">
        <v>13</v>
      </c>
      <c r="D536" s="38">
        <v>29</v>
      </c>
      <c r="E536" s="39">
        <v>94</v>
      </c>
    </row>
    <row r="537" spans="1:5" x14ac:dyDescent="0.35">
      <c r="A537" s="35" t="s">
        <v>622</v>
      </c>
      <c r="B537" s="36">
        <v>94</v>
      </c>
      <c r="C537" s="37">
        <v>38</v>
      </c>
      <c r="D537" s="38">
        <v>42</v>
      </c>
      <c r="E537" s="39">
        <v>84</v>
      </c>
    </row>
    <row r="538" spans="1:5" x14ac:dyDescent="0.35">
      <c r="A538" s="35" t="s">
        <v>623</v>
      </c>
      <c r="B538" s="36">
        <v>84</v>
      </c>
      <c r="C538" s="37">
        <v>30</v>
      </c>
      <c r="D538" s="38">
        <v>27</v>
      </c>
      <c r="E538" s="39">
        <v>85</v>
      </c>
    </row>
    <row r="539" spans="1:5" x14ac:dyDescent="0.35">
      <c r="A539" s="35" t="s">
        <v>624</v>
      </c>
      <c r="B539" s="36">
        <v>85</v>
      </c>
      <c r="C539" s="37">
        <v>16</v>
      </c>
      <c r="D539" s="38">
        <v>26</v>
      </c>
      <c r="E539" s="39">
        <v>77</v>
      </c>
    </row>
    <row r="540" spans="1:5" x14ac:dyDescent="0.35">
      <c r="A540" s="35" t="s">
        <v>625</v>
      </c>
      <c r="B540" s="36">
        <v>77</v>
      </c>
      <c r="C540" s="37">
        <v>13</v>
      </c>
      <c r="D540" s="38">
        <v>14</v>
      </c>
      <c r="E540" s="39">
        <v>76</v>
      </c>
    </row>
    <row r="541" spans="1:5" x14ac:dyDescent="0.35">
      <c r="A541" s="35" t="s">
        <v>626</v>
      </c>
      <c r="B541" s="36">
        <v>76</v>
      </c>
      <c r="C541" s="37">
        <v>20</v>
      </c>
      <c r="D541" s="38">
        <v>14</v>
      </c>
      <c r="E541" s="39">
        <v>88</v>
      </c>
    </row>
    <row r="542" spans="1:5" x14ac:dyDescent="0.35">
      <c r="A542" s="35" t="s">
        <v>627</v>
      </c>
      <c r="B542" s="36">
        <v>88</v>
      </c>
      <c r="C542" s="37">
        <v>32</v>
      </c>
      <c r="D542" s="38">
        <v>27</v>
      </c>
      <c r="E542" s="39">
        <v>92</v>
      </c>
    </row>
    <row r="543" spans="1:5" x14ac:dyDescent="0.35">
      <c r="A543" s="35" t="s">
        <v>628</v>
      </c>
      <c r="B543" s="36">
        <v>92</v>
      </c>
      <c r="C543" s="37">
        <v>17</v>
      </c>
      <c r="D543" s="38">
        <v>42</v>
      </c>
      <c r="E543" s="39">
        <v>73</v>
      </c>
    </row>
    <row r="544" spans="1:5" x14ac:dyDescent="0.35">
      <c r="A544" s="35" t="s">
        <v>629</v>
      </c>
      <c r="B544" s="36">
        <v>73</v>
      </c>
      <c r="C544" s="37">
        <v>32</v>
      </c>
      <c r="D544" s="38">
        <v>13</v>
      </c>
      <c r="E544" s="39">
        <v>90</v>
      </c>
    </row>
    <row r="545" spans="1:5" x14ac:dyDescent="0.35">
      <c r="A545" s="35" t="s">
        <v>630</v>
      </c>
      <c r="B545" s="36">
        <v>90</v>
      </c>
      <c r="C545" s="37">
        <v>35</v>
      </c>
      <c r="D545" s="38">
        <v>29</v>
      </c>
      <c r="E545" s="39">
        <v>96</v>
      </c>
    </row>
    <row r="546" spans="1:5" x14ac:dyDescent="0.35">
      <c r="A546" s="35" t="s">
        <v>631</v>
      </c>
      <c r="B546" s="36">
        <v>96</v>
      </c>
      <c r="C546" s="37">
        <v>59</v>
      </c>
      <c r="D546" s="38">
        <v>46</v>
      </c>
      <c r="E546" s="39">
        <v>112</v>
      </c>
    </row>
    <row r="547" spans="1:5" x14ac:dyDescent="0.35">
      <c r="A547" s="35" t="s">
        <v>632</v>
      </c>
      <c r="B547" s="36">
        <v>112</v>
      </c>
      <c r="C547" s="37">
        <v>96</v>
      </c>
      <c r="D547" s="38">
        <v>37</v>
      </c>
      <c r="E547" s="39">
        <v>176</v>
      </c>
    </row>
    <row r="548" spans="1:5" x14ac:dyDescent="0.35">
      <c r="A548" s="35" t="s">
        <v>633</v>
      </c>
      <c r="B548" s="36">
        <v>176</v>
      </c>
      <c r="C548" s="37">
        <v>17</v>
      </c>
      <c r="D548" s="38">
        <v>59</v>
      </c>
      <c r="E548" s="39">
        <v>133</v>
      </c>
    </row>
    <row r="549" spans="1:5" x14ac:dyDescent="0.35">
      <c r="A549" s="35" t="s">
        <v>634</v>
      </c>
      <c r="B549" s="36">
        <v>133</v>
      </c>
      <c r="C549" s="37">
        <v>29</v>
      </c>
      <c r="D549" s="38">
        <v>38</v>
      </c>
      <c r="E549" s="39">
        <v>117</v>
      </c>
    </row>
    <row r="550" spans="1:5" x14ac:dyDescent="0.35">
      <c r="A550" s="35" t="s">
        <v>635</v>
      </c>
      <c r="B550" s="36">
        <v>107</v>
      </c>
      <c r="C550" s="37">
        <v>11</v>
      </c>
      <c r="D550" s="38">
        <v>19</v>
      </c>
      <c r="E550" s="39">
        <v>91</v>
      </c>
    </row>
    <row r="551" spans="1:5" x14ac:dyDescent="0.35">
      <c r="A551" s="35" t="s">
        <v>636</v>
      </c>
      <c r="B551" s="36">
        <v>90</v>
      </c>
      <c r="C551" s="37">
        <v>66</v>
      </c>
      <c r="D551" s="38">
        <v>19</v>
      </c>
      <c r="E551" s="39">
        <v>147</v>
      </c>
    </row>
    <row r="552" spans="1:5" x14ac:dyDescent="0.35">
      <c r="A552" s="35" t="s">
        <v>637</v>
      </c>
      <c r="B552" s="36">
        <v>147</v>
      </c>
      <c r="C552" s="37">
        <v>12</v>
      </c>
      <c r="D552" s="38">
        <v>27</v>
      </c>
      <c r="E552" s="39">
        <v>111</v>
      </c>
    </row>
    <row r="553" spans="1:5" x14ac:dyDescent="0.35">
      <c r="A553" s="35" t="s">
        <v>638</v>
      </c>
      <c r="B553" s="36">
        <v>111</v>
      </c>
      <c r="C553" s="37">
        <v>24</v>
      </c>
      <c r="D553" s="38">
        <v>3</v>
      </c>
      <c r="E553" s="39">
        <v>147</v>
      </c>
    </row>
    <row r="554" spans="1:5" x14ac:dyDescent="0.35">
      <c r="A554" s="35" t="s">
        <v>639</v>
      </c>
      <c r="B554" s="36">
        <v>147</v>
      </c>
      <c r="C554" s="37">
        <v>20</v>
      </c>
      <c r="D554" s="38">
        <v>27</v>
      </c>
      <c r="E554" s="39">
        <v>123</v>
      </c>
    </row>
    <row r="555" spans="1:5" x14ac:dyDescent="0.35">
      <c r="A555" s="35" t="s">
        <v>640</v>
      </c>
      <c r="B555" s="36">
        <v>123</v>
      </c>
      <c r="C555" s="37">
        <v>27</v>
      </c>
      <c r="D555" s="38">
        <v>6</v>
      </c>
      <c r="E555" s="39">
        <v>141</v>
      </c>
    </row>
    <row r="556" spans="1:5" x14ac:dyDescent="0.35">
      <c r="A556" s="35" t="s">
        <v>641</v>
      </c>
      <c r="B556" s="36">
        <v>141</v>
      </c>
      <c r="C556" s="37">
        <v>36</v>
      </c>
      <c r="D556" s="38">
        <v>55</v>
      </c>
      <c r="E556" s="39">
        <v>128</v>
      </c>
    </row>
    <row r="557" spans="1:5" x14ac:dyDescent="0.35">
      <c r="A557" s="35" t="s">
        <v>642</v>
      </c>
      <c r="B557" s="36">
        <v>128</v>
      </c>
      <c r="C557" s="37">
        <v>20</v>
      </c>
      <c r="D557" s="38">
        <v>23</v>
      </c>
      <c r="E557" s="39">
        <v>122</v>
      </c>
    </row>
    <row r="558" spans="1:5" x14ac:dyDescent="0.35">
      <c r="A558" s="35" t="s">
        <v>643</v>
      </c>
      <c r="B558" s="36">
        <v>122</v>
      </c>
      <c r="C558" s="37">
        <v>22</v>
      </c>
      <c r="D558" s="38">
        <v>24</v>
      </c>
      <c r="E558" s="39">
        <v>118</v>
      </c>
    </row>
    <row r="559" spans="1:5" x14ac:dyDescent="0.35">
      <c r="A559" s="35" t="s">
        <v>644</v>
      </c>
      <c r="B559" s="36">
        <v>118</v>
      </c>
      <c r="C559" s="37">
        <v>80</v>
      </c>
      <c r="D559" s="38">
        <v>25</v>
      </c>
      <c r="E559" s="39">
        <v>171</v>
      </c>
    </row>
    <row r="560" spans="1:5" x14ac:dyDescent="0.35">
      <c r="A560" s="35" t="s">
        <v>645</v>
      </c>
      <c r="B560" s="36">
        <v>171</v>
      </c>
      <c r="C560" s="37">
        <v>2</v>
      </c>
      <c r="D560" s="38">
        <v>41</v>
      </c>
      <c r="E560" s="39">
        <v>132</v>
      </c>
    </row>
    <row r="561" spans="1:5" x14ac:dyDescent="0.35">
      <c r="A561" s="35" t="s">
        <v>646</v>
      </c>
      <c r="B561" s="36">
        <v>132</v>
      </c>
      <c r="C561" s="37">
        <v>37</v>
      </c>
      <c r="D561" s="38">
        <v>41</v>
      </c>
      <c r="E561" s="39">
        <v>113</v>
      </c>
    </row>
    <row r="562" spans="1:5" x14ac:dyDescent="0.35">
      <c r="A562" s="35" t="s">
        <v>647</v>
      </c>
      <c r="B562" s="36">
        <v>113</v>
      </c>
      <c r="C562" s="37">
        <v>35</v>
      </c>
      <c r="D562" s="38">
        <v>36</v>
      </c>
      <c r="E562" s="39">
        <v>129</v>
      </c>
    </row>
    <row r="563" spans="1:5" x14ac:dyDescent="0.35">
      <c r="A563" s="35" t="s">
        <v>648</v>
      </c>
      <c r="B563" s="36">
        <v>129</v>
      </c>
      <c r="C563" s="37">
        <v>30</v>
      </c>
      <c r="D563" s="38">
        <v>76</v>
      </c>
      <c r="E563" s="39">
        <v>83</v>
      </c>
    </row>
    <row r="564" spans="1:5" x14ac:dyDescent="0.35">
      <c r="A564" s="35" t="s">
        <v>649</v>
      </c>
      <c r="B564" s="36">
        <v>83</v>
      </c>
      <c r="C564" s="37">
        <v>27</v>
      </c>
      <c r="D564" s="38">
        <v>20</v>
      </c>
      <c r="E564" s="39">
        <v>85</v>
      </c>
    </row>
    <row r="565" spans="1:5" x14ac:dyDescent="0.35">
      <c r="A565" s="35" t="s">
        <v>650</v>
      </c>
      <c r="B565" s="36">
        <v>85</v>
      </c>
      <c r="C565" s="37">
        <v>17</v>
      </c>
      <c r="D565" s="38">
        <v>16</v>
      </c>
      <c r="E565" s="39">
        <v>88</v>
      </c>
    </row>
    <row r="566" spans="1:5" x14ac:dyDescent="0.35">
      <c r="A566" s="35" t="s">
        <v>651</v>
      </c>
      <c r="B566" s="36">
        <v>88</v>
      </c>
      <c r="C566" s="37">
        <v>45</v>
      </c>
      <c r="D566" s="38">
        <v>19</v>
      </c>
      <c r="E566" s="39">
        <v>116</v>
      </c>
    </row>
    <row r="567" spans="1:5" x14ac:dyDescent="0.35">
      <c r="A567" s="35" t="s">
        <v>652</v>
      </c>
      <c r="B567" s="36">
        <v>116</v>
      </c>
      <c r="C567" s="37">
        <v>32</v>
      </c>
      <c r="D567" s="38">
        <v>44</v>
      </c>
      <c r="E567" s="39">
        <v>104</v>
      </c>
    </row>
    <row r="568" spans="1:5" x14ac:dyDescent="0.35">
      <c r="A568" s="35" t="s">
        <v>653</v>
      </c>
      <c r="B568" s="36">
        <v>104</v>
      </c>
      <c r="C568" s="37">
        <v>43</v>
      </c>
      <c r="D568" s="38">
        <v>44</v>
      </c>
      <c r="E568" s="39">
        <v>102</v>
      </c>
    </row>
    <row r="569" spans="1:5" x14ac:dyDescent="0.35">
      <c r="A569" s="35" t="s">
        <v>654</v>
      </c>
      <c r="B569" s="36">
        <v>102</v>
      </c>
      <c r="C569" s="37">
        <v>40</v>
      </c>
      <c r="D569" s="38">
        <v>14</v>
      </c>
      <c r="E569" s="39">
        <v>148</v>
      </c>
    </row>
    <row r="570" spans="1:5" x14ac:dyDescent="0.35">
      <c r="A570" s="35" t="s">
        <v>655</v>
      </c>
      <c r="B570" s="36">
        <v>148</v>
      </c>
      <c r="C570" s="37">
        <v>40</v>
      </c>
      <c r="D570" s="38">
        <v>58</v>
      </c>
      <c r="E570" s="39">
        <v>110</v>
      </c>
    </row>
    <row r="571" spans="1:5" x14ac:dyDescent="0.35">
      <c r="A571" s="35" t="s">
        <v>656</v>
      </c>
      <c r="B571" s="36">
        <v>110</v>
      </c>
      <c r="C571" s="37">
        <v>22</v>
      </c>
      <c r="D571" s="38">
        <v>20</v>
      </c>
      <c r="E571" s="39">
        <v>112</v>
      </c>
    </row>
    <row r="572" spans="1:5" x14ac:dyDescent="0.35">
      <c r="A572" s="35" t="s">
        <v>657</v>
      </c>
      <c r="B572" s="36">
        <v>112</v>
      </c>
      <c r="C572" s="37">
        <v>28</v>
      </c>
      <c r="D572" s="38">
        <v>17</v>
      </c>
      <c r="E572" s="39">
        <v>101</v>
      </c>
    </row>
    <row r="573" spans="1:5" x14ac:dyDescent="0.35">
      <c r="A573" s="35" t="s">
        <v>658</v>
      </c>
      <c r="B573" s="36">
        <v>101</v>
      </c>
      <c r="C573" s="37">
        <v>1</v>
      </c>
      <c r="D573" s="38">
        <v>28</v>
      </c>
      <c r="E573" s="39">
        <v>70</v>
      </c>
    </row>
    <row r="574" spans="1:5" x14ac:dyDescent="0.35">
      <c r="A574" s="35" t="s">
        <v>659</v>
      </c>
      <c r="B574" s="36">
        <v>70</v>
      </c>
      <c r="C574" s="37">
        <v>11</v>
      </c>
      <c r="D574" s="38">
        <v>12</v>
      </c>
      <c r="E574" s="39">
        <v>69</v>
      </c>
    </row>
    <row r="575" spans="1:5" x14ac:dyDescent="0.35">
      <c r="A575" s="35" t="s">
        <v>660</v>
      </c>
      <c r="B575" s="36">
        <v>69</v>
      </c>
      <c r="C575" s="37">
        <v>45</v>
      </c>
      <c r="D575" s="38">
        <v>20</v>
      </c>
      <c r="E575" s="39">
        <v>94</v>
      </c>
    </row>
    <row r="576" spans="1:5" x14ac:dyDescent="0.35">
      <c r="A576" s="35" t="s">
        <v>661</v>
      </c>
      <c r="B576" s="36">
        <v>94</v>
      </c>
      <c r="C576" s="37">
        <v>17</v>
      </c>
      <c r="D576" s="38">
        <v>39</v>
      </c>
      <c r="E576" s="39">
        <v>72</v>
      </c>
    </row>
    <row r="577" spans="1:5" x14ac:dyDescent="0.35">
      <c r="A577" s="35" t="s">
        <v>662</v>
      </c>
      <c r="B577" s="36">
        <v>72</v>
      </c>
      <c r="C577" s="37">
        <v>48</v>
      </c>
      <c r="D577" s="38">
        <v>12</v>
      </c>
      <c r="E577" s="39">
        <v>116</v>
      </c>
    </row>
    <row r="578" spans="1:5" x14ac:dyDescent="0.35">
      <c r="A578" s="35" t="s">
        <v>663</v>
      </c>
      <c r="B578" s="36">
        <v>116</v>
      </c>
      <c r="C578" s="37">
        <v>19</v>
      </c>
      <c r="D578" s="38">
        <v>5</v>
      </c>
      <c r="E578" s="39">
        <v>126</v>
      </c>
    </row>
    <row r="579" spans="1:5" x14ac:dyDescent="0.35">
      <c r="A579" s="35" t="s">
        <v>664</v>
      </c>
      <c r="B579" s="36">
        <v>126</v>
      </c>
      <c r="C579" s="37">
        <v>60</v>
      </c>
      <c r="D579" s="38">
        <v>59</v>
      </c>
      <c r="E579" s="39">
        <v>122</v>
      </c>
    </row>
    <row r="580" spans="1:5" x14ac:dyDescent="0.35">
      <c r="A580" s="35" t="s">
        <v>665</v>
      </c>
      <c r="B580" s="36">
        <v>65</v>
      </c>
      <c r="C580" s="37">
        <v>58</v>
      </c>
      <c r="D580" s="38">
        <v>9</v>
      </c>
      <c r="E580" s="39">
        <v>114</v>
      </c>
    </row>
    <row r="581" spans="1:5" x14ac:dyDescent="0.35">
      <c r="A581" s="35" t="s">
        <v>666</v>
      </c>
      <c r="B581" s="36">
        <v>114</v>
      </c>
      <c r="C581" s="37">
        <v>16</v>
      </c>
      <c r="D581" s="38">
        <v>14</v>
      </c>
      <c r="E581" s="39">
        <v>116</v>
      </c>
    </row>
    <row r="582" spans="1:5" x14ac:dyDescent="0.35">
      <c r="A582" s="35" t="s">
        <v>667</v>
      </c>
      <c r="B582" s="36">
        <v>116</v>
      </c>
      <c r="C582" s="37">
        <v>24</v>
      </c>
      <c r="D582" s="38">
        <v>43</v>
      </c>
      <c r="E582" s="39">
        <v>84</v>
      </c>
    </row>
    <row r="583" spans="1:5" x14ac:dyDescent="0.35">
      <c r="A583" s="35" t="s">
        <v>668</v>
      </c>
      <c r="B583" s="36">
        <v>84</v>
      </c>
      <c r="C583" s="37">
        <v>50</v>
      </c>
      <c r="D583" s="38">
        <v>17</v>
      </c>
      <c r="E583" s="39">
        <v>120</v>
      </c>
    </row>
    <row r="584" spans="1:5" x14ac:dyDescent="0.35">
      <c r="A584" s="35" t="s">
        <v>669</v>
      </c>
      <c r="B584" s="36">
        <v>118</v>
      </c>
      <c r="C584" s="37">
        <v>13</v>
      </c>
      <c r="D584" s="38">
        <v>29</v>
      </c>
      <c r="E584" s="39">
        <v>103</v>
      </c>
    </row>
    <row r="585" spans="1:5" x14ac:dyDescent="0.35">
      <c r="A585" s="35" t="s">
        <v>670</v>
      </c>
      <c r="B585" s="36">
        <v>103</v>
      </c>
      <c r="C585" s="37">
        <v>34</v>
      </c>
      <c r="D585" s="38">
        <v>16</v>
      </c>
      <c r="E585" s="39">
        <v>112</v>
      </c>
    </row>
    <row r="586" spans="1:5" x14ac:dyDescent="0.35">
      <c r="A586" s="35" t="s">
        <v>671</v>
      </c>
      <c r="B586" s="36">
        <v>107</v>
      </c>
      <c r="C586" s="37">
        <v>24</v>
      </c>
      <c r="D586" s="38">
        <v>35</v>
      </c>
      <c r="E586" s="39">
        <v>96</v>
      </c>
    </row>
    <row r="587" spans="1:5" x14ac:dyDescent="0.35">
      <c r="A587" s="35" t="s">
        <v>672</v>
      </c>
      <c r="B587" s="36">
        <v>64</v>
      </c>
      <c r="C587" s="37">
        <v>21</v>
      </c>
      <c r="D587" s="38">
        <v>12</v>
      </c>
      <c r="E587" s="39">
        <v>85</v>
      </c>
    </row>
    <row r="588" spans="1:5" x14ac:dyDescent="0.35">
      <c r="A588" s="35" t="s">
        <v>673</v>
      </c>
      <c r="B588" s="36">
        <v>85</v>
      </c>
      <c r="C588" s="37">
        <v>2</v>
      </c>
      <c r="D588" s="38">
        <v>32</v>
      </c>
      <c r="E588" s="39">
        <v>52</v>
      </c>
    </row>
    <row r="589" spans="1:5" x14ac:dyDescent="0.35">
      <c r="A589" s="35" t="s">
        <v>674</v>
      </c>
      <c r="B589" s="36">
        <v>52</v>
      </c>
      <c r="C589" s="37">
        <v>12</v>
      </c>
      <c r="D589" s="38">
        <v>0</v>
      </c>
      <c r="E589" s="39">
        <v>62</v>
      </c>
    </row>
    <row r="590" spans="1:5" x14ac:dyDescent="0.35">
      <c r="A590" s="35" t="s">
        <v>675</v>
      </c>
      <c r="B590" s="36">
        <v>62</v>
      </c>
      <c r="C590" s="37">
        <v>14</v>
      </c>
      <c r="D590" s="38">
        <v>6</v>
      </c>
      <c r="E590" s="39">
        <v>74</v>
      </c>
    </row>
    <row r="591" spans="1:5" x14ac:dyDescent="0.35">
      <c r="A591" s="35" t="s">
        <v>676</v>
      </c>
      <c r="B591" s="36">
        <v>74</v>
      </c>
      <c r="C591" s="37">
        <v>1</v>
      </c>
      <c r="D591" s="38">
        <v>30</v>
      </c>
      <c r="E591" s="39">
        <v>44</v>
      </c>
    </row>
    <row r="592" spans="1:5" x14ac:dyDescent="0.35">
      <c r="A592" s="35" t="s">
        <v>677</v>
      </c>
      <c r="B592" s="36">
        <v>44</v>
      </c>
      <c r="C592" s="37">
        <v>24</v>
      </c>
      <c r="D592" s="38">
        <v>2</v>
      </c>
      <c r="E592" s="39">
        <v>66</v>
      </c>
    </row>
    <row r="593" spans="1:5" x14ac:dyDescent="0.35">
      <c r="A593" s="35" t="s">
        <v>678</v>
      </c>
      <c r="B593" s="36">
        <v>66</v>
      </c>
      <c r="C593" s="37">
        <v>16</v>
      </c>
      <c r="D593" s="38">
        <v>25</v>
      </c>
      <c r="E593" s="39">
        <v>57</v>
      </c>
    </row>
    <row r="594" spans="1:5" x14ac:dyDescent="0.35">
      <c r="A594" s="35" t="s">
        <v>679</v>
      </c>
      <c r="B594" s="36">
        <v>57</v>
      </c>
      <c r="C594" s="37">
        <v>27</v>
      </c>
      <c r="D594" s="38">
        <v>6</v>
      </c>
      <c r="E594" s="39">
        <v>103</v>
      </c>
    </row>
    <row r="595" spans="1:5" x14ac:dyDescent="0.35">
      <c r="A595" s="35" t="s">
        <v>680</v>
      </c>
      <c r="B595" s="36">
        <v>103</v>
      </c>
      <c r="C595" s="37">
        <v>15</v>
      </c>
      <c r="D595" s="38">
        <v>28</v>
      </c>
      <c r="E595" s="39">
        <v>74</v>
      </c>
    </row>
    <row r="596" spans="1:5" x14ac:dyDescent="0.35">
      <c r="A596" s="35" t="s">
        <v>681</v>
      </c>
      <c r="B596" s="36">
        <v>74</v>
      </c>
      <c r="C596" s="37">
        <v>34</v>
      </c>
      <c r="D596" s="38">
        <v>7</v>
      </c>
      <c r="E596" s="39">
        <v>107</v>
      </c>
    </row>
    <row r="597" spans="1:5" x14ac:dyDescent="0.35">
      <c r="A597" s="35" t="s">
        <v>682</v>
      </c>
      <c r="B597" s="36">
        <v>107</v>
      </c>
      <c r="C597" s="37">
        <v>11</v>
      </c>
      <c r="D597" s="38">
        <v>45</v>
      </c>
      <c r="E597" s="39">
        <v>64</v>
      </c>
    </row>
    <row r="598" spans="1:5" x14ac:dyDescent="0.35">
      <c r="A598" s="35" t="s">
        <v>683</v>
      </c>
      <c r="B598" s="36">
        <v>64</v>
      </c>
      <c r="C598" s="37">
        <v>7</v>
      </c>
      <c r="D598" s="38">
        <v>8</v>
      </c>
      <c r="E598" s="39">
        <v>62</v>
      </c>
    </row>
    <row r="599" spans="1:5" x14ac:dyDescent="0.35">
      <c r="A599" s="35" t="s">
        <v>684</v>
      </c>
      <c r="B599" s="36">
        <v>62</v>
      </c>
      <c r="C599" s="37">
        <v>25</v>
      </c>
      <c r="D599" s="38">
        <v>12</v>
      </c>
      <c r="E599" s="39">
        <v>80</v>
      </c>
    </row>
    <row r="600" spans="1:5" x14ac:dyDescent="0.35">
      <c r="A600" s="35" t="s">
        <v>685</v>
      </c>
      <c r="B600" s="36">
        <v>80</v>
      </c>
      <c r="C600" s="37">
        <v>15</v>
      </c>
      <c r="D600" s="38">
        <v>9</v>
      </c>
      <c r="E600" s="39">
        <v>92</v>
      </c>
    </row>
    <row r="601" spans="1:5" x14ac:dyDescent="0.35">
      <c r="A601" s="35" t="s">
        <v>686</v>
      </c>
      <c r="B601" s="36">
        <v>92</v>
      </c>
      <c r="C601" s="37">
        <v>18</v>
      </c>
      <c r="D601" s="38">
        <v>8</v>
      </c>
      <c r="E601" s="39">
        <v>94</v>
      </c>
    </row>
    <row r="602" spans="1:5" x14ac:dyDescent="0.35">
      <c r="A602" s="35" t="s">
        <v>687</v>
      </c>
      <c r="B602" s="36">
        <v>94</v>
      </c>
      <c r="C602" s="37">
        <v>25</v>
      </c>
      <c r="D602" s="38">
        <v>16</v>
      </c>
      <c r="E602" s="39">
        <v>96</v>
      </c>
    </row>
    <row r="603" spans="1:5" x14ac:dyDescent="0.35">
      <c r="A603" s="35" t="s">
        <v>688</v>
      </c>
      <c r="B603" s="36">
        <v>96</v>
      </c>
      <c r="C603" s="37">
        <v>25</v>
      </c>
      <c r="D603" s="38">
        <v>37</v>
      </c>
      <c r="E603" s="39">
        <v>81</v>
      </c>
    </row>
    <row r="604" spans="1:5" x14ac:dyDescent="0.35">
      <c r="A604" s="35" t="s">
        <v>689</v>
      </c>
      <c r="B604" s="36">
        <v>81</v>
      </c>
      <c r="C604" s="37">
        <v>48</v>
      </c>
      <c r="D604" s="38">
        <v>29</v>
      </c>
      <c r="E604" s="39">
        <v>104</v>
      </c>
    </row>
    <row r="605" spans="1:5" x14ac:dyDescent="0.35">
      <c r="A605" s="35" t="s">
        <v>690</v>
      </c>
      <c r="B605" s="36">
        <v>104</v>
      </c>
      <c r="C605" s="37">
        <v>5</v>
      </c>
      <c r="D605" s="38">
        <v>44</v>
      </c>
      <c r="E605" s="39">
        <v>63</v>
      </c>
    </row>
    <row r="606" spans="1:5" x14ac:dyDescent="0.35">
      <c r="A606" s="35" t="s">
        <v>691</v>
      </c>
      <c r="B606" s="36">
        <v>63</v>
      </c>
      <c r="C606" s="37">
        <v>5</v>
      </c>
      <c r="D606" s="38">
        <v>10</v>
      </c>
      <c r="E606" s="39">
        <v>50</v>
      </c>
    </row>
    <row r="607" spans="1:5" x14ac:dyDescent="0.35">
      <c r="A607" s="35" t="s">
        <v>692</v>
      </c>
      <c r="B607" s="36">
        <v>50</v>
      </c>
      <c r="C607" s="37">
        <v>9</v>
      </c>
      <c r="D607" s="38">
        <v>4</v>
      </c>
      <c r="E607" s="39">
        <v>55</v>
      </c>
    </row>
    <row r="608" spans="1:5" x14ac:dyDescent="0.35">
      <c r="A608" s="35" t="s">
        <v>693</v>
      </c>
      <c r="B608" s="36">
        <v>55</v>
      </c>
      <c r="C608" s="37">
        <v>3</v>
      </c>
      <c r="D608" s="38">
        <v>16</v>
      </c>
      <c r="E608" s="39">
        <v>42</v>
      </c>
    </row>
    <row r="609" spans="1:5" x14ac:dyDescent="0.35">
      <c r="A609" s="35" t="s">
        <v>694</v>
      </c>
      <c r="B609" s="36">
        <v>42</v>
      </c>
      <c r="C609" s="37">
        <v>10</v>
      </c>
      <c r="D609" s="38">
        <v>12</v>
      </c>
      <c r="E609" s="39">
        <v>37</v>
      </c>
    </row>
    <row r="610" spans="1:5" x14ac:dyDescent="0.35">
      <c r="A610" s="35" t="s">
        <v>695</v>
      </c>
      <c r="B610" s="36">
        <v>37</v>
      </c>
      <c r="C610" s="37">
        <v>4</v>
      </c>
      <c r="D610" s="38">
        <v>4</v>
      </c>
      <c r="E610" s="39">
        <v>41</v>
      </c>
    </row>
    <row r="611" spans="1:5" x14ac:dyDescent="0.35">
      <c r="A611" s="35" t="s">
        <v>696</v>
      </c>
      <c r="B611" s="36">
        <v>41</v>
      </c>
      <c r="C611" s="37">
        <v>0</v>
      </c>
      <c r="D611" s="38">
        <v>12</v>
      </c>
      <c r="E611" s="39">
        <v>29</v>
      </c>
    </row>
    <row r="612" spans="1:5" x14ac:dyDescent="0.35">
      <c r="A612" s="35" t="s">
        <v>697</v>
      </c>
      <c r="B612" s="36">
        <v>29</v>
      </c>
      <c r="C612" s="37">
        <v>30</v>
      </c>
      <c r="D612" s="38">
        <v>2</v>
      </c>
      <c r="E612" s="39">
        <v>53</v>
      </c>
    </row>
    <row r="613" spans="1:5" x14ac:dyDescent="0.35">
      <c r="A613" s="35" t="s">
        <v>698</v>
      </c>
      <c r="B613" s="36">
        <v>53</v>
      </c>
      <c r="C613" s="37">
        <v>7</v>
      </c>
      <c r="D613" s="38">
        <v>17</v>
      </c>
      <c r="E613" s="39">
        <v>38</v>
      </c>
    </row>
    <row r="614" spans="1:5" x14ac:dyDescent="0.35">
      <c r="A614" s="35" t="s">
        <v>699</v>
      </c>
      <c r="B614" s="36">
        <v>38</v>
      </c>
      <c r="C614" s="37">
        <v>2</v>
      </c>
      <c r="D614" s="38">
        <v>5</v>
      </c>
      <c r="E614" s="39">
        <v>34</v>
      </c>
    </row>
    <row r="615" spans="1:5" x14ac:dyDescent="0.35">
      <c r="A615" s="35" t="s">
        <v>700</v>
      </c>
      <c r="B615" s="36">
        <v>34</v>
      </c>
      <c r="C615" s="37">
        <v>23</v>
      </c>
      <c r="D615" s="38">
        <v>4</v>
      </c>
      <c r="E615" s="39">
        <v>53</v>
      </c>
    </row>
    <row r="616" spans="1:5" x14ac:dyDescent="0.35">
      <c r="A616" s="35" t="s">
        <v>701</v>
      </c>
      <c r="B616" s="36">
        <v>53</v>
      </c>
      <c r="C616" s="37">
        <v>9</v>
      </c>
      <c r="D616" s="38">
        <v>4</v>
      </c>
      <c r="E616" s="39">
        <v>58</v>
      </c>
    </row>
    <row r="617" spans="1:5" x14ac:dyDescent="0.35">
      <c r="A617" s="35" t="s">
        <v>702</v>
      </c>
      <c r="B617" s="36">
        <v>58</v>
      </c>
      <c r="C617" s="37">
        <v>35</v>
      </c>
      <c r="D617" s="38">
        <v>19</v>
      </c>
      <c r="E617" s="39">
        <v>74</v>
      </c>
    </row>
    <row r="618" spans="1:5" x14ac:dyDescent="0.35">
      <c r="A618" s="35" t="s">
        <v>703</v>
      </c>
      <c r="B618" s="36">
        <v>74</v>
      </c>
      <c r="C618" s="37">
        <v>32</v>
      </c>
      <c r="D618" s="38">
        <v>20</v>
      </c>
      <c r="E618" s="39">
        <v>85</v>
      </c>
    </row>
    <row r="619" spans="1:5" x14ac:dyDescent="0.35">
      <c r="A619" s="35" t="s">
        <v>704</v>
      </c>
      <c r="B619" s="36">
        <v>85</v>
      </c>
      <c r="C619" s="37">
        <v>16</v>
      </c>
      <c r="D619" s="38">
        <v>9</v>
      </c>
      <c r="E619" s="39">
        <v>92</v>
      </c>
    </row>
    <row r="620" spans="1:5" x14ac:dyDescent="0.35">
      <c r="A620" s="35" t="s">
        <v>705</v>
      </c>
      <c r="B620" s="36">
        <v>92</v>
      </c>
      <c r="C620" s="37">
        <v>49</v>
      </c>
      <c r="D620" s="38">
        <v>7</v>
      </c>
      <c r="E620" s="39">
        <v>135</v>
      </c>
    </row>
    <row r="621" spans="1:5" x14ac:dyDescent="0.35">
      <c r="A621" s="35" t="s">
        <v>706</v>
      </c>
      <c r="B621" s="36">
        <v>135</v>
      </c>
      <c r="C621" s="37">
        <v>6</v>
      </c>
      <c r="D621" s="38">
        <v>86</v>
      </c>
      <c r="E621" s="39">
        <v>57</v>
      </c>
    </row>
    <row r="622" spans="1:5" x14ac:dyDescent="0.35">
      <c r="A622" s="35" t="s">
        <v>707</v>
      </c>
      <c r="B622" s="36">
        <v>57</v>
      </c>
      <c r="C622" s="37">
        <v>57</v>
      </c>
      <c r="D622" s="38">
        <v>28</v>
      </c>
      <c r="E622" s="39">
        <v>84</v>
      </c>
    </row>
    <row r="623" spans="1:5" x14ac:dyDescent="0.35">
      <c r="A623" s="35" t="s">
        <v>708</v>
      </c>
      <c r="B623" s="36">
        <v>84</v>
      </c>
      <c r="C623" s="37">
        <v>40</v>
      </c>
      <c r="D623" s="38">
        <v>38</v>
      </c>
      <c r="E623" s="39">
        <v>81</v>
      </c>
    </row>
    <row r="624" spans="1:5" x14ac:dyDescent="0.35">
      <c r="A624" s="35" t="s">
        <v>709</v>
      </c>
      <c r="B624" s="36">
        <v>81</v>
      </c>
      <c r="C624" s="37">
        <v>17</v>
      </c>
      <c r="D624" s="38">
        <v>28</v>
      </c>
      <c r="E624" s="39">
        <v>61</v>
      </c>
    </row>
    <row r="625" spans="1:5" x14ac:dyDescent="0.35">
      <c r="A625" s="35" t="s">
        <v>710</v>
      </c>
      <c r="B625" s="36">
        <v>61</v>
      </c>
      <c r="C625" s="37">
        <v>51</v>
      </c>
      <c r="D625" s="38">
        <v>11</v>
      </c>
      <c r="E625" s="39">
        <v>99</v>
      </c>
    </row>
    <row r="626" spans="1:5" x14ac:dyDescent="0.35">
      <c r="A626" s="35" t="s">
        <v>711</v>
      </c>
      <c r="B626" s="36">
        <v>101</v>
      </c>
      <c r="C626" s="37">
        <v>44</v>
      </c>
      <c r="D626" s="38">
        <v>47</v>
      </c>
      <c r="E626" s="39">
        <v>96</v>
      </c>
    </row>
    <row r="627" spans="1:5" x14ac:dyDescent="0.35">
      <c r="A627" s="35" t="s">
        <v>712</v>
      </c>
      <c r="B627" s="36">
        <v>96</v>
      </c>
      <c r="C627" s="37">
        <v>3</v>
      </c>
      <c r="D627" s="38">
        <v>27</v>
      </c>
      <c r="E627" s="39">
        <v>72</v>
      </c>
    </row>
    <row r="628" spans="1:5" x14ac:dyDescent="0.35">
      <c r="A628" s="35" t="s">
        <v>713</v>
      </c>
      <c r="B628" s="36">
        <v>72</v>
      </c>
      <c r="C628" s="37">
        <v>3</v>
      </c>
      <c r="D628" s="38">
        <v>7</v>
      </c>
      <c r="E628" s="39">
        <v>72</v>
      </c>
    </row>
    <row r="629" spans="1:5" x14ac:dyDescent="0.35">
      <c r="A629" s="35" t="s">
        <v>714</v>
      </c>
      <c r="B629" s="36">
        <v>72</v>
      </c>
      <c r="C629" s="37">
        <v>30</v>
      </c>
      <c r="D629" s="38">
        <v>12</v>
      </c>
      <c r="E629" s="39">
        <v>91</v>
      </c>
    </row>
    <row r="630" spans="1:5" x14ac:dyDescent="0.35">
      <c r="A630" s="35" t="s">
        <v>715</v>
      </c>
      <c r="B630" s="36">
        <v>91</v>
      </c>
      <c r="C630" s="37">
        <v>0</v>
      </c>
      <c r="D630" s="38">
        <v>13</v>
      </c>
      <c r="E630" s="39">
        <v>78</v>
      </c>
    </row>
    <row r="631" spans="1:5" x14ac:dyDescent="0.35">
      <c r="A631" s="35" t="s">
        <v>716</v>
      </c>
      <c r="B631" s="36">
        <v>78</v>
      </c>
      <c r="C631" s="37">
        <v>23</v>
      </c>
      <c r="D631" s="38">
        <v>15</v>
      </c>
      <c r="E631" s="39">
        <v>86</v>
      </c>
    </row>
    <row r="632" spans="1:5" x14ac:dyDescent="0.35">
      <c r="A632" s="35" t="s">
        <v>717</v>
      </c>
      <c r="B632" s="36">
        <v>86</v>
      </c>
      <c r="C632" s="37">
        <v>24</v>
      </c>
      <c r="D632" s="38">
        <v>28</v>
      </c>
      <c r="E632" s="39">
        <v>82</v>
      </c>
    </row>
    <row r="633" spans="1:5" x14ac:dyDescent="0.35">
      <c r="A633" s="35" t="s">
        <v>718</v>
      </c>
      <c r="B633" s="36">
        <v>82</v>
      </c>
      <c r="C633" s="37">
        <v>29</v>
      </c>
      <c r="D633" s="38">
        <v>25</v>
      </c>
      <c r="E633" s="39">
        <v>86</v>
      </c>
    </row>
    <row r="634" spans="1:5" x14ac:dyDescent="0.35">
      <c r="A634" s="35" t="s">
        <v>719</v>
      </c>
      <c r="B634" s="36">
        <v>84</v>
      </c>
      <c r="C634" s="37">
        <v>21</v>
      </c>
      <c r="D634" s="38">
        <v>40</v>
      </c>
      <c r="E634" s="39">
        <v>69</v>
      </c>
    </row>
    <row r="635" spans="1:5" x14ac:dyDescent="0.35">
      <c r="A635" s="35" t="s">
        <v>720</v>
      </c>
      <c r="B635" s="36">
        <v>69</v>
      </c>
      <c r="C635" s="37">
        <v>53</v>
      </c>
      <c r="D635" s="38">
        <v>35</v>
      </c>
      <c r="E635" s="39">
        <v>87</v>
      </c>
    </row>
    <row r="636" spans="1:5" x14ac:dyDescent="0.35">
      <c r="A636" s="35" t="s">
        <v>721</v>
      </c>
      <c r="B636" s="36">
        <v>86</v>
      </c>
      <c r="C636" s="37">
        <v>31</v>
      </c>
      <c r="D636" s="38">
        <v>39</v>
      </c>
      <c r="E636" s="39">
        <v>78</v>
      </c>
    </row>
    <row r="637" spans="1:5" x14ac:dyDescent="0.35">
      <c r="A637" s="35" t="s">
        <v>722</v>
      </c>
      <c r="B637" s="36">
        <v>78</v>
      </c>
      <c r="C637" s="37">
        <v>22</v>
      </c>
      <c r="D637" s="38">
        <v>11</v>
      </c>
      <c r="E637" s="39">
        <v>85</v>
      </c>
    </row>
    <row r="638" spans="1:5" x14ac:dyDescent="0.35">
      <c r="A638" s="35" t="s">
        <v>723</v>
      </c>
      <c r="B638" s="36">
        <v>85</v>
      </c>
      <c r="C638" s="37">
        <v>39</v>
      </c>
      <c r="D638" s="38">
        <v>28</v>
      </c>
      <c r="E638" s="39">
        <v>96</v>
      </c>
    </row>
    <row r="639" spans="1:5" x14ac:dyDescent="0.35">
      <c r="A639" s="35" t="s">
        <v>724</v>
      </c>
      <c r="B639" s="36">
        <v>96</v>
      </c>
      <c r="C639" s="37">
        <v>3</v>
      </c>
      <c r="D639" s="38">
        <v>16</v>
      </c>
      <c r="E639" s="39">
        <v>74</v>
      </c>
    </row>
    <row r="640" spans="1:5" x14ac:dyDescent="0.35">
      <c r="A640" s="35" t="s">
        <v>725</v>
      </c>
      <c r="B640" s="36">
        <v>74</v>
      </c>
      <c r="C640" s="37">
        <v>70</v>
      </c>
      <c r="D640" s="38">
        <v>15</v>
      </c>
      <c r="E640" s="39">
        <v>128</v>
      </c>
    </row>
    <row r="641" spans="1:5" x14ac:dyDescent="0.35">
      <c r="A641" s="35" t="s">
        <v>726</v>
      </c>
      <c r="B641" s="36">
        <v>128</v>
      </c>
      <c r="C641" s="37">
        <v>9</v>
      </c>
      <c r="D641" s="38">
        <v>62</v>
      </c>
      <c r="E641" s="39">
        <v>77</v>
      </c>
    </row>
    <row r="642" spans="1:5" x14ac:dyDescent="0.35">
      <c r="A642" s="35" t="s">
        <v>727</v>
      </c>
      <c r="B642" s="36">
        <v>77</v>
      </c>
      <c r="C642" s="37">
        <v>17</v>
      </c>
      <c r="D642" s="38">
        <v>23</v>
      </c>
      <c r="E642" s="39">
        <v>68</v>
      </c>
    </row>
    <row r="643" spans="1:5" x14ac:dyDescent="0.35">
      <c r="A643" s="35" t="s">
        <v>728</v>
      </c>
      <c r="B643" s="36">
        <v>68</v>
      </c>
      <c r="C643" s="37">
        <v>47</v>
      </c>
      <c r="D643" s="38">
        <v>24</v>
      </c>
      <c r="E643" s="39">
        <v>95</v>
      </c>
    </row>
    <row r="644" spans="1:5" x14ac:dyDescent="0.35">
      <c r="A644" s="35" t="s">
        <v>729</v>
      </c>
      <c r="B644" s="36">
        <v>95</v>
      </c>
      <c r="C644" s="37">
        <v>17</v>
      </c>
      <c r="D644" s="38">
        <v>47</v>
      </c>
      <c r="E644" s="39">
        <v>64</v>
      </c>
    </row>
    <row r="645" spans="1:5" x14ac:dyDescent="0.35">
      <c r="A645" s="35" t="s">
        <v>730</v>
      </c>
      <c r="B645" s="36">
        <v>64</v>
      </c>
      <c r="C645" s="37">
        <v>29</v>
      </c>
      <c r="D645" s="38">
        <v>15</v>
      </c>
      <c r="E645" s="39">
        <v>79</v>
      </c>
    </row>
    <row r="646" spans="1:5" x14ac:dyDescent="0.35">
      <c r="A646" s="35" t="s">
        <v>731</v>
      </c>
      <c r="B646" s="36">
        <v>79</v>
      </c>
      <c r="C646" s="37">
        <v>20</v>
      </c>
      <c r="D646" s="38">
        <v>48</v>
      </c>
      <c r="E646" s="39">
        <v>58</v>
      </c>
    </row>
    <row r="647" spans="1:5" x14ac:dyDescent="0.35">
      <c r="A647" s="35" t="s">
        <v>732</v>
      </c>
      <c r="B647" s="36">
        <v>58</v>
      </c>
      <c r="C647" s="37">
        <v>12</v>
      </c>
      <c r="D647" s="38">
        <v>18</v>
      </c>
      <c r="E647" s="39">
        <v>63</v>
      </c>
    </row>
    <row r="648" spans="1:5" x14ac:dyDescent="0.35">
      <c r="A648" s="35" t="s">
        <v>733</v>
      </c>
      <c r="B648" s="36">
        <v>63</v>
      </c>
      <c r="C648" s="37">
        <v>22</v>
      </c>
      <c r="D648" s="38">
        <v>27</v>
      </c>
      <c r="E648" s="39">
        <v>70</v>
      </c>
    </row>
    <row r="649" spans="1:5" x14ac:dyDescent="0.35">
      <c r="A649" s="35" t="s">
        <v>734</v>
      </c>
      <c r="B649" s="36">
        <v>70</v>
      </c>
      <c r="C649" s="37">
        <v>41</v>
      </c>
      <c r="D649" s="38">
        <v>50</v>
      </c>
      <c r="E649" s="39">
        <v>69</v>
      </c>
    </row>
    <row r="650" spans="1:5" x14ac:dyDescent="0.35">
      <c r="A650" s="35" t="s">
        <v>735</v>
      </c>
      <c r="B650" s="36">
        <v>68</v>
      </c>
      <c r="C650" s="37">
        <v>20</v>
      </c>
      <c r="D650" s="38">
        <v>25</v>
      </c>
      <c r="E650" s="39">
        <v>71</v>
      </c>
    </row>
    <row r="651" spans="1:5" x14ac:dyDescent="0.35">
      <c r="A651" s="35" t="s">
        <v>736</v>
      </c>
      <c r="B651" s="36">
        <v>71</v>
      </c>
      <c r="C651" s="37">
        <v>4</v>
      </c>
      <c r="D651" s="38">
        <v>14</v>
      </c>
      <c r="E651" s="39">
        <v>62</v>
      </c>
    </row>
    <row r="652" spans="1:5" x14ac:dyDescent="0.35">
      <c r="A652" s="35" t="s">
        <v>737</v>
      </c>
      <c r="B652" s="36">
        <v>62</v>
      </c>
      <c r="C652" s="37">
        <v>20</v>
      </c>
      <c r="D652" s="38">
        <v>23</v>
      </c>
      <c r="E652" s="39">
        <v>60</v>
      </c>
    </row>
    <row r="653" spans="1:5" x14ac:dyDescent="0.35">
      <c r="A653" s="35" t="s">
        <v>738</v>
      </c>
      <c r="B653" s="36">
        <v>60</v>
      </c>
      <c r="C653" s="37">
        <v>17</v>
      </c>
      <c r="D653" s="38">
        <v>21</v>
      </c>
      <c r="E653" s="39">
        <v>54</v>
      </c>
    </row>
    <row r="654" spans="1:5" x14ac:dyDescent="0.35">
      <c r="A654" s="35" t="s">
        <v>739</v>
      </c>
      <c r="B654" s="36">
        <v>54</v>
      </c>
      <c r="C654" s="37">
        <v>50</v>
      </c>
      <c r="D654" s="38">
        <v>16</v>
      </c>
      <c r="E654" s="39">
        <v>89</v>
      </c>
    </row>
    <row r="655" spans="1:5" x14ac:dyDescent="0.35">
      <c r="A655" s="35" t="s">
        <v>740</v>
      </c>
      <c r="B655" s="36">
        <v>89</v>
      </c>
      <c r="C655" s="37">
        <v>13</v>
      </c>
      <c r="D655" s="38">
        <v>38</v>
      </c>
      <c r="E655" s="39">
        <v>68</v>
      </c>
    </row>
    <row r="656" spans="1:5" x14ac:dyDescent="0.35">
      <c r="A656" s="35" t="s">
        <v>741</v>
      </c>
      <c r="B656" s="36">
        <v>68</v>
      </c>
      <c r="C656" s="37">
        <v>24</v>
      </c>
      <c r="D656" s="38">
        <v>30</v>
      </c>
      <c r="E656" s="39">
        <v>62</v>
      </c>
    </row>
    <row r="657" spans="1:5" x14ac:dyDescent="0.35">
      <c r="A657" s="35" t="s">
        <v>742</v>
      </c>
      <c r="B657" s="36">
        <v>62</v>
      </c>
      <c r="C657" s="37">
        <v>4</v>
      </c>
      <c r="D657" s="38">
        <v>23</v>
      </c>
      <c r="E657" s="39">
        <v>43</v>
      </c>
    </row>
    <row r="658" spans="1:5" x14ac:dyDescent="0.35">
      <c r="A658" s="35" t="s">
        <v>743</v>
      </c>
      <c r="B658" s="36">
        <v>43</v>
      </c>
      <c r="C658" s="37">
        <v>14</v>
      </c>
      <c r="D658" s="38">
        <v>8</v>
      </c>
      <c r="E658" s="39">
        <v>49</v>
      </c>
    </row>
    <row r="659" spans="1:5" x14ac:dyDescent="0.35">
      <c r="A659" s="35" t="s">
        <v>744</v>
      </c>
      <c r="B659" s="36">
        <v>49</v>
      </c>
      <c r="C659" s="37">
        <v>45</v>
      </c>
      <c r="D659" s="38">
        <v>7</v>
      </c>
      <c r="E659" s="39">
        <v>87</v>
      </c>
    </row>
    <row r="660" spans="1:5" x14ac:dyDescent="0.35">
      <c r="A660" s="35" t="s">
        <v>745</v>
      </c>
      <c r="B660" s="36">
        <v>86</v>
      </c>
      <c r="C660" s="37">
        <v>17</v>
      </c>
      <c r="D660" s="38">
        <v>42</v>
      </c>
      <c r="E660" s="39">
        <v>66</v>
      </c>
    </row>
    <row r="661" spans="1:5" x14ac:dyDescent="0.35">
      <c r="A661" s="35" t="s">
        <v>746</v>
      </c>
      <c r="B661" s="36">
        <v>66</v>
      </c>
      <c r="C661" s="37">
        <v>17</v>
      </c>
      <c r="D661" s="38">
        <v>42</v>
      </c>
      <c r="E661" s="39">
        <v>68</v>
      </c>
    </row>
    <row r="662" spans="1:5" x14ac:dyDescent="0.35">
      <c r="A662" s="35" t="s">
        <v>747</v>
      </c>
      <c r="B662" s="36">
        <v>68</v>
      </c>
      <c r="C662" s="37">
        <v>24</v>
      </c>
      <c r="D662" s="38">
        <v>16</v>
      </c>
      <c r="E662" s="39">
        <v>76</v>
      </c>
    </row>
    <row r="663" spans="1:5" x14ac:dyDescent="0.35">
      <c r="A663" s="35" t="s">
        <v>748</v>
      </c>
      <c r="B663" s="36">
        <v>76</v>
      </c>
      <c r="C663" s="37">
        <v>7</v>
      </c>
      <c r="D663" s="38">
        <v>20</v>
      </c>
      <c r="E663" s="39">
        <v>64</v>
      </c>
    </row>
    <row r="664" spans="1:5" x14ac:dyDescent="0.35">
      <c r="A664" s="35" t="s">
        <v>749</v>
      </c>
      <c r="B664" s="36">
        <v>64</v>
      </c>
      <c r="C664" s="37">
        <v>10</v>
      </c>
      <c r="D664" s="38">
        <v>15</v>
      </c>
      <c r="E664" s="39">
        <v>59</v>
      </c>
    </row>
    <row r="665" spans="1:5" x14ac:dyDescent="0.35">
      <c r="A665" s="35" t="s">
        <v>750</v>
      </c>
      <c r="B665" s="36">
        <v>59</v>
      </c>
      <c r="C665" s="37">
        <v>47</v>
      </c>
      <c r="D665" s="38">
        <v>10</v>
      </c>
      <c r="E665" s="39">
        <v>96</v>
      </c>
    </row>
    <row r="666" spans="1:5" x14ac:dyDescent="0.35">
      <c r="A666" s="35" t="s">
        <v>751</v>
      </c>
      <c r="B666" s="36">
        <v>96</v>
      </c>
      <c r="C666" s="37">
        <v>17</v>
      </c>
      <c r="D666" s="38">
        <v>25</v>
      </c>
      <c r="E666" s="39">
        <v>88</v>
      </c>
    </row>
    <row r="667" spans="1:5" x14ac:dyDescent="0.35">
      <c r="A667" s="35" t="s">
        <v>752</v>
      </c>
      <c r="B667" s="36">
        <v>88</v>
      </c>
      <c r="C667" s="37">
        <v>13</v>
      </c>
      <c r="D667" s="38">
        <v>7</v>
      </c>
      <c r="E667" s="39">
        <v>82</v>
      </c>
    </row>
    <row r="668" spans="1:5" x14ac:dyDescent="0.35">
      <c r="A668" s="35" t="s">
        <v>753</v>
      </c>
      <c r="B668" s="36">
        <v>82</v>
      </c>
      <c r="C668" s="37">
        <v>12</v>
      </c>
      <c r="D668" s="38">
        <v>8</v>
      </c>
      <c r="E668" s="39">
        <v>90</v>
      </c>
    </row>
    <row r="669" spans="1:5" x14ac:dyDescent="0.35">
      <c r="A669" s="35" t="s">
        <v>754</v>
      </c>
      <c r="B669" s="36">
        <v>90</v>
      </c>
      <c r="C669" s="37">
        <v>35</v>
      </c>
      <c r="D669" s="38">
        <v>32</v>
      </c>
      <c r="E669" s="39">
        <v>93</v>
      </c>
    </row>
    <row r="670" spans="1:5" x14ac:dyDescent="0.35">
      <c r="A670" s="35" t="s">
        <v>755</v>
      </c>
      <c r="B670" s="36">
        <v>93</v>
      </c>
      <c r="C670" s="37">
        <v>8</v>
      </c>
      <c r="D670" s="38">
        <v>24</v>
      </c>
      <c r="E670" s="39">
        <v>79</v>
      </c>
    </row>
    <row r="671" spans="1:5" x14ac:dyDescent="0.35">
      <c r="A671" s="35" t="s">
        <v>756</v>
      </c>
      <c r="B671" s="36">
        <v>79</v>
      </c>
      <c r="C671" s="37">
        <v>66</v>
      </c>
      <c r="D671" s="38">
        <v>31</v>
      </c>
      <c r="E671" s="39">
        <v>105</v>
      </c>
    </row>
    <row r="672" spans="1:5" x14ac:dyDescent="0.35">
      <c r="A672" s="35" t="s">
        <v>757</v>
      </c>
      <c r="B672" s="36">
        <v>105</v>
      </c>
      <c r="C672" s="37">
        <v>32</v>
      </c>
      <c r="D672" s="38">
        <v>40</v>
      </c>
      <c r="E672" s="39">
        <v>95</v>
      </c>
    </row>
    <row r="673" spans="1:5" x14ac:dyDescent="0.35">
      <c r="A673" s="35" t="s">
        <v>758</v>
      </c>
      <c r="B673" s="36">
        <v>95</v>
      </c>
      <c r="C673" s="37">
        <v>17</v>
      </c>
      <c r="D673" s="38">
        <v>44</v>
      </c>
      <c r="E673" s="39">
        <v>78</v>
      </c>
    </row>
    <row r="674" spans="1:5" x14ac:dyDescent="0.35">
      <c r="A674" s="35" t="s">
        <v>759</v>
      </c>
      <c r="B674" s="36">
        <v>77</v>
      </c>
      <c r="C674" s="37">
        <v>6</v>
      </c>
      <c r="D674" s="38">
        <v>25</v>
      </c>
      <c r="E674" s="39">
        <v>60</v>
      </c>
    </row>
    <row r="675" spans="1:5" x14ac:dyDescent="0.35">
      <c r="A675" s="35" t="s">
        <v>760</v>
      </c>
      <c r="B675" s="36">
        <v>60</v>
      </c>
      <c r="C675" s="37">
        <v>12</v>
      </c>
      <c r="D675" s="38">
        <v>23</v>
      </c>
      <c r="E675" s="39">
        <v>51</v>
      </c>
    </row>
    <row r="676" spans="1:5" x14ac:dyDescent="0.35">
      <c r="A676" s="35" t="s">
        <v>761</v>
      </c>
      <c r="B676" s="36">
        <v>51</v>
      </c>
      <c r="C676" s="37">
        <v>12</v>
      </c>
      <c r="D676" s="38">
        <v>23</v>
      </c>
      <c r="E676" s="39">
        <v>70</v>
      </c>
    </row>
    <row r="677" spans="1:5" x14ac:dyDescent="0.35">
      <c r="A677" s="35" t="s">
        <v>762</v>
      </c>
      <c r="B677" s="36">
        <v>70</v>
      </c>
      <c r="C677" s="37">
        <v>55</v>
      </c>
      <c r="D677" s="38">
        <v>9</v>
      </c>
      <c r="E677" s="39">
        <v>108</v>
      </c>
    </row>
    <row r="678" spans="1:5" x14ac:dyDescent="0.35">
      <c r="A678" s="35" t="s">
        <v>763</v>
      </c>
      <c r="B678" s="36">
        <v>107</v>
      </c>
      <c r="C678" s="37">
        <v>65</v>
      </c>
      <c r="D678" s="38">
        <v>18</v>
      </c>
      <c r="E678" s="39">
        <v>151</v>
      </c>
    </row>
    <row r="679" spans="1:5" x14ac:dyDescent="0.35">
      <c r="A679" s="35" t="s">
        <v>764</v>
      </c>
      <c r="B679" s="36">
        <v>151</v>
      </c>
      <c r="C679" s="37">
        <v>20</v>
      </c>
      <c r="D679" s="38">
        <v>74</v>
      </c>
      <c r="E679" s="39">
        <v>109</v>
      </c>
    </row>
    <row r="680" spans="1:5" x14ac:dyDescent="0.35">
      <c r="A680" s="35" t="s">
        <v>765</v>
      </c>
      <c r="B680" s="36">
        <v>125</v>
      </c>
      <c r="C680" s="37">
        <v>18</v>
      </c>
      <c r="D680" s="38">
        <v>45</v>
      </c>
      <c r="E680" s="39">
        <v>91</v>
      </c>
    </row>
    <row r="681" spans="1:5" x14ac:dyDescent="0.35">
      <c r="A681" s="35" t="s">
        <v>766</v>
      </c>
      <c r="B681" s="36">
        <v>91</v>
      </c>
      <c r="C681" s="37">
        <v>47</v>
      </c>
      <c r="D681" s="38">
        <v>22</v>
      </c>
      <c r="E681" s="39">
        <v>117</v>
      </c>
    </row>
    <row r="682" spans="1:5" x14ac:dyDescent="0.35">
      <c r="A682" s="35" t="s">
        <v>767</v>
      </c>
      <c r="B682" s="36">
        <v>120</v>
      </c>
      <c r="C682" s="37">
        <v>14</v>
      </c>
      <c r="D682" s="38">
        <v>48</v>
      </c>
      <c r="E682" s="39">
        <v>98</v>
      </c>
    </row>
    <row r="683" spans="1:5" x14ac:dyDescent="0.35">
      <c r="A683" s="35" t="s">
        <v>768</v>
      </c>
      <c r="B683" s="36">
        <v>98</v>
      </c>
      <c r="C683" s="37">
        <v>56</v>
      </c>
      <c r="D683" s="38">
        <v>25</v>
      </c>
      <c r="E683" s="39">
        <v>126</v>
      </c>
    </row>
    <row r="684" spans="1:5" x14ac:dyDescent="0.35">
      <c r="A684" s="35" t="s">
        <v>769</v>
      </c>
      <c r="B684" s="36">
        <v>125</v>
      </c>
      <c r="C684" s="37">
        <v>21</v>
      </c>
      <c r="D684" s="38">
        <v>39</v>
      </c>
      <c r="E684" s="39">
        <v>108</v>
      </c>
    </row>
    <row r="685" spans="1:5" x14ac:dyDescent="0.35">
      <c r="A685" s="35" t="s">
        <v>770</v>
      </c>
      <c r="B685" s="36">
        <v>108</v>
      </c>
      <c r="C685" s="37">
        <v>12</v>
      </c>
      <c r="D685" s="38">
        <v>43</v>
      </c>
      <c r="E685" s="39">
        <v>75</v>
      </c>
    </row>
    <row r="686" spans="1:5" x14ac:dyDescent="0.35">
      <c r="A686" s="35" t="s">
        <v>771</v>
      </c>
      <c r="B686" s="36">
        <v>75</v>
      </c>
      <c r="C686" s="37">
        <v>26</v>
      </c>
      <c r="D686" s="38">
        <v>7</v>
      </c>
      <c r="E686" s="39">
        <v>98</v>
      </c>
    </row>
    <row r="687" spans="1:5" x14ac:dyDescent="0.35">
      <c r="A687" s="35" t="s">
        <v>772</v>
      </c>
      <c r="B687" s="36">
        <v>98</v>
      </c>
      <c r="C687" s="37">
        <v>8</v>
      </c>
      <c r="D687" s="38">
        <v>29</v>
      </c>
      <c r="E687" s="39">
        <v>73</v>
      </c>
    </row>
    <row r="688" spans="1:5" x14ac:dyDescent="0.35">
      <c r="A688" s="35" t="s">
        <v>773</v>
      </c>
      <c r="B688" s="36">
        <v>73</v>
      </c>
      <c r="C688" s="37">
        <v>31</v>
      </c>
      <c r="D688" s="38">
        <v>24</v>
      </c>
      <c r="E688" s="39">
        <v>84</v>
      </c>
    </row>
    <row r="689" spans="1:5" x14ac:dyDescent="0.35">
      <c r="A689" s="35" t="s">
        <v>774</v>
      </c>
      <c r="B689" s="36">
        <v>84</v>
      </c>
      <c r="C689" s="37">
        <v>58</v>
      </c>
      <c r="D689" s="38">
        <v>10</v>
      </c>
      <c r="E689" s="39">
        <v>136</v>
      </c>
    </row>
    <row r="690" spans="1:5" x14ac:dyDescent="0.35">
      <c r="A690" s="35" t="s">
        <v>775</v>
      </c>
      <c r="B690" s="36">
        <v>135</v>
      </c>
      <c r="C690" s="37">
        <v>37</v>
      </c>
      <c r="D690" s="38">
        <v>53</v>
      </c>
      <c r="E690" s="39">
        <v>98</v>
      </c>
    </row>
    <row r="691" spans="1:5" x14ac:dyDescent="0.35">
      <c r="A691" s="35" t="s">
        <v>776</v>
      </c>
      <c r="B691" s="36">
        <v>98</v>
      </c>
      <c r="C691" s="37">
        <v>24</v>
      </c>
      <c r="D691" s="38">
        <v>46</v>
      </c>
      <c r="E691" s="39">
        <v>76</v>
      </c>
    </row>
    <row r="692" spans="1:5" x14ac:dyDescent="0.35">
      <c r="A692" s="35" t="s">
        <v>777</v>
      </c>
      <c r="B692" s="36">
        <v>76</v>
      </c>
      <c r="C692" s="37">
        <v>26</v>
      </c>
      <c r="D692" s="38">
        <v>25</v>
      </c>
      <c r="E692" s="39">
        <v>78</v>
      </c>
    </row>
    <row r="693" spans="1:5" x14ac:dyDescent="0.35">
      <c r="A693" s="35" t="s">
        <v>778</v>
      </c>
      <c r="B693" s="36">
        <v>78</v>
      </c>
      <c r="C693" s="37">
        <v>3</v>
      </c>
      <c r="D693" s="38">
        <v>31</v>
      </c>
      <c r="E693" s="39">
        <v>53</v>
      </c>
    </row>
    <row r="694" spans="1:5" x14ac:dyDescent="0.35">
      <c r="A694" s="35" t="s">
        <v>779</v>
      </c>
      <c r="B694" s="36">
        <v>53</v>
      </c>
      <c r="C694" s="37">
        <v>9</v>
      </c>
      <c r="D694" s="38">
        <v>9</v>
      </c>
      <c r="E694" s="39">
        <v>57</v>
      </c>
    </row>
    <row r="695" spans="1:5" x14ac:dyDescent="0.35">
      <c r="A695" s="35" t="s">
        <v>780</v>
      </c>
      <c r="B695" s="36">
        <v>57</v>
      </c>
      <c r="C695" s="37">
        <v>33</v>
      </c>
      <c r="D695" s="38">
        <v>21</v>
      </c>
      <c r="E695" s="39">
        <v>69</v>
      </c>
    </row>
    <row r="696" spans="1:5" x14ac:dyDescent="0.35">
      <c r="A696" s="35" t="s">
        <v>781</v>
      </c>
      <c r="B696" s="36">
        <v>69</v>
      </c>
      <c r="C696" s="37">
        <v>1</v>
      </c>
      <c r="D696" s="38">
        <v>33</v>
      </c>
      <c r="E696" s="39">
        <v>33</v>
      </c>
    </row>
    <row r="697" spans="1:5" x14ac:dyDescent="0.35">
      <c r="A697" s="35" t="s">
        <v>782</v>
      </c>
      <c r="B697" s="36">
        <v>33</v>
      </c>
      <c r="C697" s="37">
        <v>23</v>
      </c>
      <c r="D697" s="38">
        <v>5</v>
      </c>
      <c r="E697" s="39">
        <v>52</v>
      </c>
    </row>
    <row r="698" spans="1:5" x14ac:dyDescent="0.35">
      <c r="A698" s="35" t="s">
        <v>783</v>
      </c>
      <c r="B698" s="36">
        <v>52</v>
      </c>
      <c r="C698" s="37">
        <v>56</v>
      </c>
      <c r="D698" s="38">
        <v>22</v>
      </c>
      <c r="E698" s="39">
        <v>94</v>
      </c>
    </row>
    <row r="699" spans="1:5" x14ac:dyDescent="0.35">
      <c r="A699" s="35" t="s">
        <v>784</v>
      </c>
      <c r="B699" s="36">
        <v>94</v>
      </c>
      <c r="C699" s="37">
        <v>19</v>
      </c>
      <c r="D699" s="38">
        <v>40</v>
      </c>
      <c r="E699" s="39">
        <v>73</v>
      </c>
    </row>
    <row r="700" spans="1:5" x14ac:dyDescent="0.35">
      <c r="A700" s="35" t="s">
        <v>785</v>
      </c>
      <c r="B700" s="36">
        <v>73</v>
      </c>
      <c r="C700" s="37">
        <v>22</v>
      </c>
      <c r="D700" s="38">
        <v>13</v>
      </c>
      <c r="E700" s="39">
        <v>72</v>
      </c>
    </row>
    <row r="701" spans="1:5" x14ac:dyDescent="0.35">
      <c r="A701" s="35" t="s">
        <v>786</v>
      </c>
      <c r="B701" s="36">
        <v>72</v>
      </c>
      <c r="C701" s="37">
        <v>12</v>
      </c>
      <c r="D701" s="38">
        <v>38</v>
      </c>
      <c r="E701" s="39">
        <v>44</v>
      </c>
    </row>
    <row r="702" spans="1:5" x14ac:dyDescent="0.35">
      <c r="A702" s="35" t="s">
        <v>787</v>
      </c>
      <c r="B702" s="36">
        <v>44</v>
      </c>
      <c r="C702" s="37">
        <v>4</v>
      </c>
      <c r="D702" s="38">
        <v>9</v>
      </c>
      <c r="E702" s="39">
        <v>39</v>
      </c>
    </row>
    <row r="703" spans="1:5" x14ac:dyDescent="0.35">
      <c r="A703" s="35" t="s">
        <v>788</v>
      </c>
      <c r="B703" s="36">
        <v>39</v>
      </c>
      <c r="C703" s="37">
        <v>28</v>
      </c>
      <c r="D703" s="38">
        <v>14</v>
      </c>
      <c r="E703" s="39">
        <v>53</v>
      </c>
    </row>
    <row r="704" spans="1:5" x14ac:dyDescent="0.35">
      <c r="A704" s="35" t="s">
        <v>789</v>
      </c>
      <c r="B704" s="36">
        <v>53</v>
      </c>
      <c r="C704" s="37">
        <v>41</v>
      </c>
      <c r="D704" s="38">
        <v>14</v>
      </c>
      <c r="E704" s="39">
        <v>75</v>
      </c>
    </row>
    <row r="705" spans="1:5" x14ac:dyDescent="0.35">
      <c r="A705" s="35" t="s">
        <v>790</v>
      </c>
      <c r="B705" s="36">
        <v>75</v>
      </c>
      <c r="C705" s="37">
        <v>8</v>
      </c>
      <c r="D705" s="38">
        <v>36</v>
      </c>
      <c r="E705" s="39">
        <v>57</v>
      </c>
    </row>
    <row r="706" spans="1:5" x14ac:dyDescent="0.35">
      <c r="A706" s="35" t="s">
        <v>791</v>
      </c>
      <c r="B706" s="36">
        <v>57</v>
      </c>
      <c r="C706" s="37">
        <v>9</v>
      </c>
      <c r="D706" s="38">
        <v>10</v>
      </c>
      <c r="E706" s="39">
        <v>46</v>
      </c>
    </row>
    <row r="707" spans="1:5" x14ac:dyDescent="0.35">
      <c r="A707" s="35" t="s">
        <v>792</v>
      </c>
      <c r="B707" s="36">
        <v>46</v>
      </c>
      <c r="C707" s="37">
        <v>7</v>
      </c>
      <c r="D707" s="38">
        <v>3</v>
      </c>
      <c r="E707" s="39">
        <v>50</v>
      </c>
    </row>
    <row r="708" spans="1:5" x14ac:dyDescent="0.35">
      <c r="A708" s="35" t="s">
        <v>793</v>
      </c>
      <c r="B708" s="36">
        <v>50</v>
      </c>
      <c r="C708" s="37">
        <v>44</v>
      </c>
      <c r="D708" s="38">
        <v>16</v>
      </c>
      <c r="E708" s="39">
        <v>78</v>
      </c>
    </row>
    <row r="709" spans="1:5" x14ac:dyDescent="0.35">
      <c r="A709" s="35" t="s">
        <v>794</v>
      </c>
      <c r="B709" s="36">
        <v>78</v>
      </c>
      <c r="C709" s="37">
        <v>20</v>
      </c>
      <c r="D709" s="38">
        <v>39</v>
      </c>
      <c r="E709" s="39">
        <v>61</v>
      </c>
    </row>
    <row r="710" spans="1:5" x14ac:dyDescent="0.35">
      <c r="A710" s="35" t="s">
        <v>795</v>
      </c>
      <c r="B710" s="36">
        <v>61</v>
      </c>
      <c r="C710" s="37">
        <v>33</v>
      </c>
      <c r="D710" s="38">
        <v>24</v>
      </c>
      <c r="E710" s="39">
        <v>74</v>
      </c>
    </row>
    <row r="711" spans="1:5" x14ac:dyDescent="0.35">
      <c r="A711" s="35" t="s">
        <v>796</v>
      </c>
      <c r="B711" s="36">
        <v>66</v>
      </c>
      <c r="C711" s="37">
        <v>32</v>
      </c>
      <c r="D711" s="38">
        <v>6</v>
      </c>
      <c r="E711" s="39">
        <v>83</v>
      </c>
    </row>
    <row r="712" spans="1:5" x14ac:dyDescent="0.35">
      <c r="A712" s="35" t="s">
        <v>797</v>
      </c>
      <c r="B712" s="36">
        <v>80</v>
      </c>
      <c r="C712" s="37">
        <v>31</v>
      </c>
      <c r="D712" s="38">
        <v>32</v>
      </c>
      <c r="E712" s="39">
        <v>79</v>
      </c>
    </row>
    <row r="713" spans="1:5" x14ac:dyDescent="0.35">
      <c r="A713" s="35" t="s">
        <v>798</v>
      </c>
      <c r="B713" s="36">
        <v>79</v>
      </c>
      <c r="C713" s="37">
        <v>31</v>
      </c>
      <c r="D713" s="38">
        <v>37</v>
      </c>
      <c r="E713" s="39">
        <v>70</v>
      </c>
    </row>
    <row r="714" spans="1:5" x14ac:dyDescent="0.35">
      <c r="A714" s="35" t="s">
        <v>799</v>
      </c>
      <c r="B714" s="36">
        <v>62</v>
      </c>
      <c r="C714" s="37">
        <v>28</v>
      </c>
      <c r="D714" s="38">
        <v>11</v>
      </c>
      <c r="E714" s="39">
        <v>83</v>
      </c>
    </row>
    <row r="715" spans="1:5" x14ac:dyDescent="0.35">
      <c r="A715" s="35" t="s">
        <v>800</v>
      </c>
      <c r="B715" s="36">
        <v>83</v>
      </c>
      <c r="C715" s="37">
        <v>21</v>
      </c>
      <c r="D715" s="38">
        <v>34</v>
      </c>
      <c r="E715" s="39">
        <v>71</v>
      </c>
    </row>
    <row r="716" spans="1:5" x14ac:dyDescent="0.35">
      <c r="A716" s="35" t="s">
        <v>801</v>
      </c>
      <c r="B716" s="36">
        <v>71</v>
      </c>
      <c r="C716" s="37">
        <v>30</v>
      </c>
      <c r="D716" s="38">
        <v>26</v>
      </c>
      <c r="E716" s="39">
        <v>73</v>
      </c>
    </row>
    <row r="717" spans="1:5" x14ac:dyDescent="0.35">
      <c r="A717" s="35" t="s">
        <v>802</v>
      </c>
      <c r="B717" s="36">
        <v>73</v>
      </c>
      <c r="C717" s="37">
        <v>45</v>
      </c>
      <c r="D717" s="38">
        <v>24</v>
      </c>
      <c r="E717" s="39">
        <v>94</v>
      </c>
    </row>
    <row r="718" spans="1:5" x14ac:dyDescent="0.35">
      <c r="A718" s="35" t="s">
        <v>803</v>
      </c>
      <c r="B718" s="36">
        <v>94</v>
      </c>
      <c r="C718" s="37">
        <v>14</v>
      </c>
      <c r="D718" s="38">
        <v>34</v>
      </c>
      <c r="E718" s="39">
        <v>75</v>
      </c>
    </row>
    <row r="719" spans="1:5" x14ac:dyDescent="0.35">
      <c r="A719" s="35" t="s">
        <v>804</v>
      </c>
      <c r="B719" s="36">
        <v>94</v>
      </c>
      <c r="C719" s="37">
        <v>8</v>
      </c>
      <c r="D719" s="38">
        <v>25</v>
      </c>
      <c r="E719" s="39">
        <v>58</v>
      </c>
    </row>
    <row r="720" spans="1:5" x14ac:dyDescent="0.35">
      <c r="A720" s="35" t="s">
        <v>805</v>
      </c>
      <c r="B720" s="36">
        <v>58</v>
      </c>
      <c r="C720" s="37">
        <v>17</v>
      </c>
      <c r="D720" s="38">
        <v>17</v>
      </c>
      <c r="E720" s="39">
        <v>58</v>
      </c>
    </row>
    <row r="721" spans="1:5" x14ac:dyDescent="0.35">
      <c r="A721" s="35" t="s">
        <v>806</v>
      </c>
      <c r="B721" s="36">
        <v>58</v>
      </c>
      <c r="C721" s="37">
        <v>17</v>
      </c>
      <c r="D721" s="38">
        <v>16</v>
      </c>
      <c r="E721" s="39">
        <v>59</v>
      </c>
    </row>
    <row r="722" spans="1:5" x14ac:dyDescent="0.35">
      <c r="A722" s="35" t="s">
        <v>807</v>
      </c>
      <c r="B722" s="36">
        <v>58</v>
      </c>
      <c r="C722" s="37">
        <v>9</v>
      </c>
      <c r="D722" s="38">
        <v>14</v>
      </c>
      <c r="E722" s="39">
        <v>56</v>
      </c>
    </row>
    <row r="723" spans="1:5" x14ac:dyDescent="0.35">
      <c r="A723" s="35" t="s">
        <v>808</v>
      </c>
      <c r="B723" s="36">
        <v>58</v>
      </c>
      <c r="C723" s="37">
        <v>19</v>
      </c>
      <c r="D723" s="38">
        <v>13</v>
      </c>
      <c r="E723" s="39">
        <v>73</v>
      </c>
    </row>
    <row r="724" spans="1:5" x14ac:dyDescent="0.35">
      <c r="A724" s="35" t="s">
        <v>809</v>
      </c>
      <c r="B724" s="36">
        <v>73</v>
      </c>
      <c r="C724" s="37">
        <v>19</v>
      </c>
      <c r="D724" s="38">
        <v>20</v>
      </c>
      <c r="E724" s="39">
        <v>77</v>
      </c>
    </row>
    <row r="725" spans="1:5" x14ac:dyDescent="0.35">
      <c r="A725" s="35" t="s">
        <v>810</v>
      </c>
      <c r="B725" s="36">
        <v>77</v>
      </c>
      <c r="C725" s="37">
        <v>14</v>
      </c>
      <c r="D725" s="38">
        <v>39</v>
      </c>
      <c r="E725" s="39">
        <v>69</v>
      </c>
    </row>
    <row r="726" spans="1:5" x14ac:dyDescent="0.35">
      <c r="A726" s="35" t="s">
        <v>811</v>
      </c>
      <c r="B726" s="36">
        <v>69</v>
      </c>
      <c r="C726" s="37">
        <v>41</v>
      </c>
      <c r="D726" s="38">
        <v>47</v>
      </c>
      <c r="E726" s="39">
        <v>73</v>
      </c>
    </row>
    <row r="727" spans="1:5" x14ac:dyDescent="0.35">
      <c r="A727" s="35" t="s">
        <v>812</v>
      </c>
      <c r="B727" s="36">
        <v>69</v>
      </c>
      <c r="C727" s="37">
        <v>10</v>
      </c>
      <c r="D727" s="38">
        <v>31</v>
      </c>
      <c r="E727" s="39">
        <v>53</v>
      </c>
    </row>
    <row r="728" spans="1:5" x14ac:dyDescent="0.35">
      <c r="A728" s="35" t="s">
        <v>813</v>
      </c>
      <c r="B728" s="36">
        <v>53</v>
      </c>
      <c r="C728" s="37">
        <v>18</v>
      </c>
      <c r="D728" s="38">
        <v>13</v>
      </c>
      <c r="E728" s="39">
        <v>48</v>
      </c>
    </row>
    <row r="729" spans="1:5" x14ac:dyDescent="0.35">
      <c r="A729" s="35" t="s">
        <v>814</v>
      </c>
      <c r="B729" s="36">
        <v>48</v>
      </c>
      <c r="C729" s="37">
        <v>45</v>
      </c>
      <c r="D729" s="38">
        <v>3</v>
      </c>
      <c r="E729" s="39">
        <v>88</v>
      </c>
    </row>
    <row r="730" spans="1:5" x14ac:dyDescent="0.35">
      <c r="A730" s="35" t="s">
        <v>815</v>
      </c>
      <c r="B730" s="36">
        <v>88</v>
      </c>
      <c r="C730" s="37">
        <v>33</v>
      </c>
      <c r="D730" s="38">
        <v>43</v>
      </c>
      <c r="E730" s="39">
        <v>76</v>
      </c>
    </row>
    <row r="731" spans="1:5" x14ac:dyDescent="0.35">
      <c r="A731" s="35" t="s">
        <v>816</v>
      </c>
      <c r="B731" s="36">
        <v>76</v>
      </c>
      <c r="C731" s="37">
        <v>18</v>
      </c>
      <c r="D731" s="38">
        <v>31</v>
      </c>
      <c r="E731" s="39">
        <v>64</v>
      </c>
    </row>
    <row r="732" spans="1:5" x14ac:dyDescent="0.35">
      <c r="A732" s="35" t="s">
        <v>817</v>
      </c>
      <c r="B732" s="36">
        <v>58</v>
      </c>
      <c r="C732" s="37">
        <v>27</v>
      </c>
      <c r="D732" s="38">
        <v>18</v>
      </c>
      <c r="E732" s="39">
        <v>68</v>
      </c>
    </row>
    <row r="733" spans="1:5" x14ac:dyDescent="0.35">
      <c r="A733" s="35" t="s">
        <v>818</v>
      </c>
      <c r="B733" s="36">
        <v>68</v>
      </c>
      <c r="C733" s="37">
        <v>16</v>
      </c>
      <c r="D733" s="38">
        <v>29</v>
      </c>
      <c r="E733" s="39">
        <v>56</v>
      </c>
    </row>
    <row r="734" spans="1:5" x14ac:dyDescent="0.35">
      <c r="A734" s="35" t="s">
        <v>819</v>
      </c>
      <c r="B734" s="36">
        <v>56</v>
      </c>
      <c r="C734" s="37">
        <v>24</v>
      </c>
      <c r="D734" s="38">
        <v>16</v>
      </c>
      <c r="E734" s="39">
        <v>63</v>
      </c>
    </row>
    <row r="735" spans="1:5" x14ac:dyDescent="0.35">
      <c r="A735" s="35" t="s">
        <v>820</v>
      </c>
      <c r="B735" s="36">
        <v>63</v>
      </c>
      <c r="C735" s="37">
        <v>50</v>
      </c>
      <c r="D735" s="38">
        <v>32</v>
      </c>
      <c r="E735" s="39">
        <v>87</v>
      </c>
    </row>
    <row r="736" spans="1:5" x14ac:dyDescent="0.35">
      <c r="A736" s="35" t="s">
        <v>821</v>
      </c>
      <c r="B736" s="36">
        <v>63</v>
      </c>
      <c r="C736" s="37">
        <v>18</v>
      </c>
      <c r="D736" s="38">
        <v>51</v>
      </c>
      <c r="E736" s="39">
        <v>53</v>
      </c>
    </row>
    <row r="737" spans="1:5" x14ac:dyDescent="0.35">
      <c r="A737" s="35" t="s">
        <v>822</v>
      </c>
      <c r="B737" s="36">
        <v>53</v>
      </c>
      <c r="C737" s="37">
        <v>60</v>
      </c>
      <c r="D737" s="38">
        <v>7</v>
      </c>
      <c r="E737" s="39">
        <v>106</v>
      </c>
    </row>
    <row r="738" spans="1:5" x14ac:dyDescent="0.35">
      <c r="A738" s="35" t="s">
        <v>823</v>
      </c>
      <c r="B738" s="36">
        <v>106</v>
      </c>
      <c r="C738" s="37">
        <v>36</v>
      </c>
      <c r="D738" s="38">
        <v>64</v>
      </c>
      <c r="E738" s="39">
        <v>81</v>
      </c>
    </row>
    <row r="739" spans="1:5" x14ac:dyDescent="0.35">
      <c r="A739" s="35" t="s">
        <v>824</v>
      </c>
      <c r="B739" s="36">
        <v>81</v>
      </c>
      <c r="C739" s="37">
        <v>32</v>
      </c>
      <c r="D739" s="38">
        <v>25</v>
      </c>
      <c r="E739" s="39">
        <v>88</v>
      </c>
    </row>
    <row r="740" spans="1:5" x14ac:dyDescent="0.35">
      <c r="A740" s="35" t="s">
        <v>825</v>
      </c>
      <c r="B740" s="36">
        <v>88</v>
      </c>
      <c r="C740" s="37">
        <v>44</v>
      </c>
      <c r="D740" s="38">
        <v>40</v>
      </c>
      <c r="E740" s="39">
        <v>91</v>
      </c>
    </row>
    <row r="741" spans="1:5" x14ac:dyDescent="0.35">
      <c r="A741" s="35" t="s">
        <v>826</v>
      </c>
      <c r="B741" s="36">
        <v>91</v>
      </c>
      <c r="C741" s="37">
        <v>14</v>
      </c>
      <c r="D741" s="38">
        <v>45</v>
      </c>
      <c r="E741" s="39">
        <v>63</v>
      </c>
    </row>
    <row r="742" spans="1:5" x14ac:dyDescent="0.35">
      <c r="A742" s="35" t="s">
        <v>827</v>
      </c>
      <c r="B742" s="36">
        <v>58</v>
      </c>
      <c r="C742" s="37">
        <v>18</v>
      </c>
      <c r="D742" s="38">
        <v>20</v>
      </c>
      <c r="E742" s="39">
        <v>57</v>
      </c>
    </row>
    <row r="743" spans="1:5" x14ac:dyDescent="0.35">
      <c r="A743" s="35" t="s">
        <v>828</v>
      </c>
      <c r="B743" s="36">
        <v>57</v>
      </c>
      <c r="C743" s="37">
        <v>21</v>
      </c>
      <c r="D743" s="38">
        <v>23</v>
      </c>
      <c r="E743" s="39">
        <v>51</v>
      </c>
    </row>
    <row r="744" spans="1:5" x14ac:dyDescent="0.35">
      <c r="A744" s="35" t="s">
        <v>829</v>
      </c>
      <c r="B744" s="36">
        <v>51</v>
      </c>
      <c r="C744" s="37">
        <v>40</v>
      </c>
      <c r="D744" s="38">
        <v>12</v>
      </c>
      <c r="E744" s="39">
        <v>73</v>
      </c>
    </row>
    <row r="745" spans="1:5" x14ac:dyDescent="0.35">
      <c r="A745" s="35" t="s">
        <v>830</v>
      </c>
      <c r="B745" s="36">
        <v>73</v>
      </c>
      <c r="C745" s="37">
        <v>4</v>
      </c>
      <c r="D745" s="38">
        <v>24</v>
      </c>
      <c r="E745" s="39">
        <v>80</v>
      </c>
    </row>
    <row r="746" spans="1:5" x14ac:dyDescent="0.35">
      <c r="A746" s="35" t="s">
        <v>831</v>
      </c>
      <c r="B746" s="36">
        <v>80</v>
      </c>
      <c r="C746" s="37">
        <v>35</v>
      </c>
      <c r="D746" s="38">
        <v>38</v>
      </c>
      <c r="E746" s="39">
        <v>72</v>
      </c>
    </row>
    <row r="747" spans="1:5" x14ac:dyDescent="0.35">
      <c r="A747" s="35" t="s">
        <v>832</v>
      </c>
      <c r="B747" s="36">
        <v>71</v>
      </c>
      <c r="C747" s="37">
        <v>6</v>
      </c>
      <c r="D747" s="38">
        <v>30</v>
      </c>
      <c r="E747" s="39">
        <v>56</v>
      </c>
    </row>
    <row r="748" spans="1:5" x14ac:dyDescent="0.35">
      <c r="A748" s="35" t="s">
        <v>833</v>
      </c>
      <c r="B748" s="36">
        <v>56</v>
      </c>
      <c r="C748" s="37">
        <v>27</v>
      </c>
      <c r="D748" s="38">
        <v>21</v>
      </c>
      <c r="E748" s="39">
        <v>60</v>
      </c>
    </row>
    <row r="749" spans="1:5" x14ac:dyDescent="0.35">
      <c r="A749" s="35" t="s">
        <v>834</v>
      </c>
      <c r="B749" s="36">
        <v>60</v>
      </c>
      <c r="C749" s="37">
        <v>33</v>
      </c>
      <c r="D749" s="38">
        <v>26</v>
      </c>
      <c r="E749" s="39">
        <v>68</v>
      </c>
    </row>
    <row r="750" spans="1:5" x14ac:dyDescent="0.35">
      <c r="A750" s="35" t="s">
        <v>835</v>
      </c>
      <c r="B750" s="36">
        <v>68</v>
      </c>
      <c r="C750" s="37">
        <v>21</v>
      </c>
      <c r="D750" s="38">
        <v>17</v>
      </c>
      <c r="E750" s="39">
        <v>71</v>
      </c>
    </row>
    <row r="751" spans="1:5" x14ac:dyDescent="0.35">
      <c r="A751" s="35" t="s">
        <v>836</v>
      </c>
      <c r="B751" s="36">
        <v>71</v>
      </c>
      <c r="C751" s="37">
        <v>4</v>
      </c>
      <c r="D751" s="38">
        <v>22</v>
      </c>
      <c r="E751" s="39">
        <v>53</v>
      </c>
    </row>
    <row r="752" spans="1:5" x14ac:dyDescent="0.35">
      <c r="A752" s="35" t="s">
        <v>837</v>
      </c>
      <c r="B752" s="36">
        <v>53</v>
      </c>
      <c r="C752" s="37">
        <v>24</v>
      </c>
      <c r="D752" s="38">
        <v>7</v>
      </c>
      <c r="E752" s="39">
        <v>70</v>
      </c>
    </row>
    <row r="753" spans="1:5" x14ac:dyDescent="0.35">
      <c r="A753" s="40" t="s">
        <v>838</v>
      </c>
      <c r="B753" s="36">
        <v>70</v>
      </c>
      <c r="C753" s="37">
        <v>62</v>
      </c>
      <c r="D753" s="38">
        <v>24</v>
      </c>
      <c r="E753" s="39">
        <v>106</v>
      </c>
    </row>
    <row r="754" spans="1:5" x14ac:dyDescent="0.35">
      <c r="A754" s="40" t="s">
        <v>839</v>
      </c>
      <c r="B754" s="36">
        <v>106</v>
      </c>
      <c r="C754" s="37">
        <v>21</v>
      </c>
      <c r="D754" s="38">
        <v>30</v>
      </c>
      <c r="E754" s="39">
        <v>100</v>
      </c>
    </row>
    <row r="755" spans="1:5" x14ac:dyDescent="0.35">
      <c r="A755" s="40" t="s">
        <v>840</v>
      </c>
      <c r="B755" s="36">
        <v>100</v>
      </c>
      <c r="C755" s="37">
        <v>45</v>
      </c>
      <c r="D755" s="38">
        <v>64</v>
      </c>
      <c r="E755" s="39">
        <v>84</v>
      </c>
    </row>
    <row r="756" spans="1:5" x14ac:dyDescent="0.35">
      <c r="A756" s="40" t="s">
        <v>841</v>
      </c>
      <c r="B756" s="36">
        <v>82</v>
      </c>
      <c r="C756" s="37">
        <v>47</v>
      </c>
      <c r="D756" s="38">
        <v>41</v>
      </c>
      <c r="E756" s="39">
        <v>86</v>
      </c>
    </row>
    <row r="757" spans="1:5" x14ac:dyDescent="0.35">
      <c r="A757" s="35" t="s">
        <v>842</v>
      </c>
      <c r="B757" s="36">
        <v>87</v>
      </c>
      <c r="C757" s="37">
        <v>30</v>
      </c>
      <c r="D757" s="38">
        <v>38</v>
      </c>
      <c r="E757" s="39">
        <v>79</v>
      </c>
    </row>
    <row r="758" spans="1:5" x14ac:dyDescent="0.35">
      <c r="A758" s="35" t="s">
        <v>843</v>
      </c>
      <c r="B758" s="36">
        <v>63</v>
      </c>
      <c r="C758" s="37">
        <v>16</v>
      </c>
      <c r="D758" s="38">
        <v>28</v>
      </c>
      <c r="E758" s="39">
        <v>51</v>
      </c>
    </row>
    <row r="759" spans="1:5" x14ac:dyDescent="0.35">
      <c r="A759" s="35" t="s">
        <v>844</v>
      </c>
      <c r="B759" s="36">
        <v>51</v>
      </c>
      <c r="C759" s="37">
        <v>50</v>
      </c>
      <c r="D759" s="38">
        <v>15</v>
      </c>
      <c r="E759" s="39">
        <v>84</v>
      </c>
    </row>
    <row r="760" spans="1:5" x14ac:dyDescent="0.35">
      <c r="A760" s="35" t="s">
        <v>845</v>
      </c>
      <c r="B760" s="36">
        <v>84</v>
      </c>
      <c r="C760" s="37">
        <v>23</v>
      </c>
      <c r="D760" s="38">
        <v>39</v>
      </c>
      <c r="E760" s="39">
        <v>70</v>
      </c>
    </row>
    <row r="761" spans="1:5" x14ac:dyDescent="0.35">
      <c r="A761" s="35" t="s">
        <v>846</v>
      </c>
      <c r="B761" s="36">
        <v>70</v>
      </c>
      <c r="C761" s="37">
        <v>9</v>
      </c>
      <c r="D761" s="38">
        <v>26</v>
      </c>
      <c r="E761" s="39">
        <v>59</v>
      </c>
    </row>
    <row r="762" spans="1:5" x14ac:dyDescent="0.35">
      <c r="A762" s="35" t="s">
        <v>847</v>
      </c>
      <c r="B762" s="36">
        <v>55</v>
      </c>
      <c r="C762" s="37">
        <v>22</v>
      </c>
      <c r="D762" s="38">
        <v>10</v>
      </c>
      <c r="E762" s="39">
        <v>65</v>
      </c>
    </row>
    <row r="763" spans="1:5" x14ac:dyDescent="0.35">
      <c r="A763" s="35" t="s">
        <v>848</v>
      </c>
      <c r="B763" s="36">
        <v>65</v>
      </c>
      <c r="C763" s="37">
        <v>25</v>
      </c>
      <c r="D763" s="38">
        <v>25</v>
      </c>
      <c r="E763" s="39">
        <v>63</v>
      </c>
    </row>
    <row r="764" spans="1:5" x14ac:dyDescent="0.35">
      <c r="A764" s="35" t="s">
        <v>849</v>
      </c>
      <c r="B764" s="36">
        <v>62</v>
      </c>
      <c r="C764" s="37">
        <v>19</v>
      </c>
      <c r="D764" s="38">
        <v>21</v>
      </c>
      <c r="E764" s="39">
        <v>64</v>
      </c>
    </row>
    <row r="765" spans="1:5" x14ac:dyDescent="0.35">
      <c r="A765" s="35" t="s">
        <v>850</v>
      </c>
      <c r="B765" s="36">
        <v>64</v>
      </c>
      <c r="C765" s="37">
        <v>28</v>
      </c>
      <c r="D765" s="38">
        <v>22</v>
      </c>
      <c r="E765" s="39">
        <v>67</v>
      </c>
    </row>
    <row r="766" spans="1:5" x14ac:dyDescent="0.35">
      <c r="A766" s="35" t="s">
        <v>851</v>
      </c>
      <c r="B766" s="36">
        <v>67</v>
      </c>
      <c r="C766" s="37">
        <v>44</v>
      </c>
      <c r="D766" s="38">
        <v>23</v>
      </c>
      <c r="E766" s="39">
        <v>90</v>
      </c>
    </row>
    <row r="767" spans="1:5" x14ac:dyDescent="0.35">
      <c r="A767" s="41" t="s">
        <v>852</v>
      </c>
      <c r="B767" s="42">
        <v>90</v>
      </c>
      <c r="C767" s="43">
        <v>41</v>
      </c>
      <c r="D767" s="44">
        <v>54</v>
      </c>
      <c r="E767" s="45">
        <v>78</v>
      </c>
    </row>
    <row r="768" spans="1:5" x14ac:dyDescent="0.35">
      <c r="A768" s="41" t="s">
        <v>853</v>
      </c>
      <c r="B768" s="42">
        <v>73</v>
      </c>
      <c r="C768" s="43">
        <v>19</v>
      </c>
      <c r="D768" s="44">
        <v>35</v>
      </c>
      <c r="E768" s="45">
        <v>65</v>
      </c>
    </row>
    <row r="769" spans="1:5" x14ac:dyDescent="0.35">
      <c r="A769" s="41" t="s">
        <v>854</v>
      </c>
      <c r="B769" s="42">
        <v>65</v>
      </c>
      <c r="C769" s="43">
        <v>44</v>
      </c>
      <c r="D769" s="44">
        <v>25</v>
      </c>
      <c r="E769" s="45">
        <v>83</v>
      </c>
    </row>
    <row r="770" spans="1:5" x14ac:dyDescent="0.35">
      <c r="A770" s="41" t="s">
        <v>855</v>
      </c>
      <c r="B770" s="42">
        <v>82</v>
      </c>
      <c r="C770" s="43">
        <v>32</v>
      </c>
      <c r="D770" s="44">
        <v>23</v>
      </c>
      <c r="E770" s="45">
        <v>82</v>
      </c>
    </row>
    <row r="771" spans="1:5" x14ac:dyDescent="0.35">
      <c r="A771" s="41" t="s">
        <v>856</v>
      </c>
      <c r="B771" s="42">
        <v>94</v>
      </c>
      <c r="C771" s="43">
        <v>30</v>
      </c>
      <c r="D771" s="44">
        <v>40</v>
      </c>
      <c r="E771" s="45">
        <v>84</v>
      </c>
    </row>
    <row r="772" spans="1:5" x14ac:dyDescent="0.35">
      <c r="A772" s="41" t="s">
        <v>857</v>
      </c>
      <c r="B772" s="42">
        <v>84</v>
      </c>
      <c r="C772" s="43">
        <v>33</v>
      </c>
      <c r="D772" s="44">
        <v>38</v>
      </c>
      <c r="E772" s="45">
        <v>79</v>
      </c>
    </row>
    <row r="773" spans="1:5" x14ac:dyDescent="0.35">
      <c r="A773" s="41" t="s">
        <v>858</v>
      </c>
      <c r="B773" s="42">
        <v>79</v>
      </c>
      <c r="C773" s="43">
        <v>39</v>
      </c>
      <c r="D773" s="44">
        <v>4</v>
      </c>
      <c r="E773" s="45">
        <v>98</v>
      </c>
    </row>
    <row r="774" spans="1:5" x14ac:dyDescent="0.35">
      <c r="A774" s="41" t="s">
        <v>859</v>
      </c>
      <c r="B774" s="42">
        <v>101</v>
      </c>
      <c r="C774" s="43">
        <v>16</v>
      </c>
      <c r="D774" s="44">
        <v>54</v>
      </c>
      <c r="E774" s="45">
        <v>56</v>
      </c>
    </row>
    <row r="775" spans="1:5" x14ac:dyDescent="0.35">
      <c r="A775" s="41" t="s">
        <v>860</v>
      </c>
      <c r="B775" s="42">
        <v>61</v>
      </c>
      <c r="C775" s="43">
        <v>32</v>
      </c>
      <c r="D775" s="44">
        <v>21</v>
      </c>
      <c r="E775" s="45">
        <v>72</v>
      </c>
    </row>
    <row r="776" spans="1:5" x14ac:dyDescent="0.35">
      <c r="A776" s="41" t="s">
        <v>861</v>
      </c>
      <c r="B776" s="42">
        <v>72</v>
      </c>
      <c r="C776" s="43">
        <v>5</v>
      </c>
      <c r="D776" s="44">
        <v>20</v>
      </c>
      <c r="E776" s="45">
        <v>69</v>
      </c>
    </row>
    <row r="777" spans="1:5" x14ac:dyDescent="0.35">
      <c r="A777" s="41" t="s">
        <v>862</v>
      </c>
      <c r="B777" s="42">
        <v>69</v>
      </c>
      <c r="C777" s="43">
        <v>38</v>
      </c>
      <c r="D777" s="44">
        <v>27</v>
      </c>
      <c r="E777" s="45">
        <v>73</v>
      </c>
    </row>
    <row r="778" spans="1:5" x14ac:dyDescent="0.35">
      <c r="A778" s="41" t="s">
        <v>863</v>
      </c>
      <c r="B778" s="42">
        <v>71</v>
      </c>
      <c r="C778" s="43">
        <v>24</v>
      </c>
      <c r="D778" s="44">
        <v>37</v>
      </c>
      <c r="E778" s="45">
        <v>70</v>
      </c>
    </row>
    <row r="779" spans="1:5" x14ac:dyDescent="0.35">
      <c r="A779" s="41" t="s">
        <v>864</v>
      </c>
      <c r="B779" s="42">
        <v>70</v>
      </c>
      <c r="C779" s="43">
        <v>14</v>
      </c>
      <c r="D779" s="44">
        <v>27</v>
      </c>
      <c r="E779" s="45">
        <v>57</v>
      </c>
    </row>
    <row r="780" spans="1:5" x14ac:dyDescent="0.35">
      <c r="A780" s="41" t="s">
        <v>865</v>
      </c>
      <c r="B780" s="42">
        <v>47</v>
      </c>
      <c r="C780" s="43">
        <v>31</v>
      </c>
      <c r="D780" s="44">
        <v>3</v>
      </c>
      <c r="E780" s="45">
        <v>52</v>
      </c>
    </row>
    <row r="781" spans="1:5" x14ac:dyDescent="0.35">
      <c r="A781" s="41" t="s">
        <v>866</v>
      </c>
      <c r="B781" s="42">
        <v>52</v>
      </c>
      <c r="C781" s="43">
        <v>21</v>
      </c>
      <c r="D781" s="44">
        <v>10</v>
      </c>
      <c r="E781" s="45">
        <v>75</v>
      </c>
    </row>
    <row r="782" spans="1:5" x14ac:dyDescent="0.35">
      <c r="A782" s="41" t="s">
        <v>867</v>
      </c>
      <c r="B782" s="42">
        <v>75</v>
      </c>
      <c r="C782" s="43">
        <v>29</v>
      </c>
      <c r="D782" s="44">
        <v>46</v>
      </c>
      <c r="E782" s="45">
        <v>58</v>
      </c>
    </row>
    <row r="783" spans="1:5" x14ac:dyDescent="0.35">
      <c r="A783" s="41" t="s">
        <v>868</v>
      </c>
      <c r="B783" s="42">
        <v>75</v>
      </c>
      <c r="C783" s="43">
        <v>21</v>
      </c>
      <c r="D783" s="44">
        <v>20</v>
      </c>
      <c r="E783" s="45">
        <v>59</v>
      </c>
    </row>
    <row r="784" spans="1:5" x14ac:dyDescent="0.35">
      <c r="A784" s="41" t="s">
        <v>869</v>
      </c>
      <c r="B784" s="42">
        <v>59</v>
      </c>
      <c r="C784" s="43">
        <v>29</v>
      </c>
      <c r="D784" s="44">
        <v>33</v>
      </c>
      <c r="E784" s="45">
        <v>55</v>
      </c>
    </row>
    <row r="785" spans="1:5" x14ac:dyDescent="0.35">
      <c r="A785" s="41" t="s">
        <v>870</v>
      </c>
      <c r="B785" s="42">
        <v>55</v>
      </c>
      <c r="C785" s="43">
        <v>19</v>
      </c>
      <c r="D785" s="44">
        <v>26</v>
      </c>
      <c r="E785" s="45">
        <v>50</v>
      </c>
    </row>
    <row r="786" spans="1:5" x14ac:dyDescent="0.35">
      <c r="A786" s="41" t="s">
        <v>871</v>
      </c>
      <c r="B786" s="42">
        <v>50</v>
      </c>
      <c r="C786" s="43">
        <v>36</v>
      </c>
      <c r="D786" s="44">
        <v>5</v>
      </c>
      <c r="E786" s="45">
        <v>93</v>
      </c>
    </row>
    <row r="787" spans="1:5" x14ac:dyDescent="0.35">
      <c r="A787" s="41" t="s">
        <v>872</v>
      </c>
      <c r="B787" s="42">
        <v>93</v>
      </c>
      <c r="C787" s="43">
        <v>11</v>
      </c>
      <c r="D787" s="44">
        <v>34</v>
      </c>
      <c r="E787" s="45">
        <v>49</v>
      </c>
    </row>
    <row r="788" spans="1:5" x14ac:dyDescent="0.35">
      <c r="A788" s="41" t="s">
        <v>873</v>
      </c>
      <c r="B788" s="42">
        <v>49</v>
      </c>
      <c r="C788" s="43">
        <v>65</v>
      </c>
      <c r="D788" s="44">
        <v>12</v>
      </c>
      <c r="E788" s="45">
        <v>102</v>
      </c>
    </row>
    <row r="789" spans="1:5" x14ac:dyDescent="0.35">
      <c r="A789" s="41" t="s">
        <v>874</v>
      </c>
      <c r="B789" s="42">
        <v>101</v>
      </c>
      <c r="C789" s="43">
        <v>15</v>
      </c>
      <c r="D789" s="44">
        <v>59</v>
      </c>
      <c r="E789" s="45">
        <v>57</v>
      </c>
    </row>
    <row r="790" spans="1:5" x14ac:dyDescent="0.35">
      <c r="A790" s="41" t="s">
        <v>875</v>
      </c>
      <c r="B790" s="42">
        <v>57</v>
      </c>
      <c r="C790" s="43">
        <v>36</v>
      </c>
      <c r="D790" s="44">
        <v>13</v>
      </c>
      <c r="E790" s="45">
        <v>75</v>
      </c>
    </row>
    <row r="791" spans="1:5" x14ac:dyDescent="0.35">
      <c r="A791" s="41" t="s">
        <v>876</v>
      </c>
      <c r="B791" s="42">
        <v>75</v>
      </c>
      <c r="C791" s="43">
        <v>34</v>
      </c>
      <c r="D791" s="44">
        <v>37</v>
      </c>
      <c r="E791" s="45">
        <v>72</v>
      </c>
    </row>
    <row r="792" spans="1:5" x14ac:dyDescent="0.35">
      <c r="A792" s="41" t="s">
        <v>877</v>
      </c>
      <c r="B792" s="42">
        <v>72</v>
      </c>
      <c r="C792" s="43">
        <v>42</v>
      </c>
      <c r="D792" s="44">
        <v>28</v>
      </c>
      <c r="E792" s="45">
        <v>84</v>
      </c>
    </row>
    <row r="793" spans="1:5" x14ac:dyDescent="0.35">
      <c r="A793" s="41" t="s">
        <v>878</v>
      </c>
      <c r="B793" s="42">
        <v>83</v>
      </c>
      <c r="C793" s="43">
        <v>4</v>
      </c>
      <c r="D793" s="44">
        <v>46</v>
      </c>
      <c r="E793" s="45">
        <v>41</v>
      </c>
    </row>
    <row r="794" spans="1:5" x14ac:dyDescent="0.35">
      <c r="A794" s="41" t="s">
        <v>879</v>
      </c>
      <c r="B794" s="42">
        <v>41</v>
      </c>
      <c r="C794" s="43">
        <v>35</v>
      </c>
      <c r="D794" s="44">
        <v>19</v>
      </c>
      <c r="E794" s="45">
        <v>57</v>
      </c>
    </row>
    <row r="795" spans="1:5" x14ac:dyDescent="0.35">
      <c r="A795" s="41" t="s">
        <v>880</v>
      </c>
      <c r="B795" s="42">
        <v>57</v>
      </c>
      <c r="C795" s="43">
        <v>37</v>
      </c>
      <c r="D795" s="44">
        <v>12</v>
      </c>
      <c r="E795" s="45">
        <v>79</v>
      </c>
    </row>
    <row r="796" spans="1:5" x14ac:dyDescent="0.35">
      <c r="A796" s="41" t="s">
        <v>881</v>
      </c>
      <c r="B796" s="42">
        <v>79</v>
      </c>
      <c r="C796" s="43">
        <v>19</v>
      </c>
      <c r="D796" s="44">
        <v>26</v>
      </c>
      <c r="E796" s="45">
        <v>68</v>
      </c>
    </row>
    <row r="797" spans="1:5" x14ac:dyDescent="0.35">
      <c r="A797" s="41" t="s">
        <v>882</v>
      </c>
      <c r="B797" s="42">
        <v>68</v>
      </c>
      <c r="C797" s="43">
        <v>10</v>
      </c>
      <c r="D797" s="44">
        <v>18</v>
      </c>
      <c r="E797" s="45">
        <v>49</v>
      </c>
    </row>
    <row r="798" spans="1:5" x14ac:dyDescent="0.35">
      <c r="A798" s="41" t="s">
        <v>883</v>
      </c>
      <c r="B798" s="42">
        <v>49</v>
      </c>
      <c r="C798" s="43">
        <v>5</v>
      </c>
      <c r="D798" s="44">
        <v>22</v>
      </c>
      <c r="E798" s="45">
        <v>32</v>
      </c>
    </row>
    <row r="799" spans="1:5" x14ac:dyDescent="0.35">
      <c r="A799" s="41" t="s">
        <v>884</v>
      </c>
      <c r="B799" s="42">
        <v>32</v>
      </c>
      <c r="C799" s="43">
        <v>13</v>
      </c>
      <c r="D799" s="44">
        <v>18</v>
      </c>
      <c r="E799" s="45">
        <v>42</v>
      </c>
    </row>
    <row r="800" spans="1:5" x14ac:dyDescent="0.35">
      <c r="A800" s="41" t="s">
        <v>885</v>
      </c>
      <c r="B800" s="42">
        <v>40</v>
      </c>
      <c r="C800" s="43">
        <v>15</v>
      </c>
      <c r="D800" s="44">
        <v>17</v>
      </c>
      <c r="E800" s="45">
        <v>38</v>
      </c>
    </row>
    <row r="801" spans="1:5" x14ac:dyDescent="0.35">
      <c r="A801" s="41" t="s">
        <v>886</v>
      </c>
      <c r="B801" s="42">
        <v>38</v>
      </c>
      <c r="C801" s="43">
        <v>47</v>
      </c>
      <c r="D801" s="44">
        <v>11</v>
      </c>
      <c r="E801" s="45">
        <v>74</v>
      </c>
    </row>
    <row r="802" spans="1:5" x14ac:dyDescent="0.35">
      <c r="A802" s="41" t="s">
        <v>887</v>
      </c>
      <c r="B802" s="42">
        <v>73</v>
      </c>
      <c r="C802" s="43">
        <v>24</v>
      </c>
      <c r="D802" s="44">
        <v>19</v>
      </c>
      <c r="E802" s="45">
        <v>76</v>
      </c>
    </row>
    <row r="803" spans="1:5" x14ac:dyDescent="0.35">
      <c r="A803" s="41" t="s">
        <v>888</v>
      </c>
      <c r="B803" s="42">
        <v>76</v>
      </c>
      <c r="C803" s="43">
        <v>35</v>
      </c>
      <c r="D803" s="44">
        <v>28</v>
      </c>
      <c r="E803" s="45">
        <v>87</v>
      </c>
    </row>
    <row r="804" spans="1:5" x14ac:dyDescent="0.35">
      <c r="A804" s="41" t="s">
        <v>889</v>
      </c>
      <c r="B804" s="42">
        <v>87</v>
      </c>
      <c r="C804" s="43">
        <v>55</v>
      </c>
      <c r="D804" s="44">
        <v>40</v>
      </c>
      <c r="E804" s="45">
        <v>98</v>
      </c>
    </row>
    <row r="805" spans="1:5" x14ac:dyDescent="0.35">
      <c r="A805" s="41" t="s">
        <v>890</v>
      </c>
      <c r="B805" s="42">
        <v>61</v>
      </c>
      <c r="C805" s="43">
        <v>60</v>
      </c>
      <c r="D805" s="44">
        <v>16</v>
      </c>
      <c r="E805" s="45">
        <v>100</v>
      </c>
    </row>
    <row r="806" spans="1:5" x14ac:dyDescent="0.35">
      <c r="A806" s="41" t="s">
        <v>891</v>
      </c>
      <c r="B806" s="42">
        <v>100</v>
      </c>
      <c r="C806" s="43">
        <v>38</v>
      </c>
      <c r="D806" s="44">
        <v>24</v>
      </c>
      <c r="E806" s="45">
        <v>98</v>
      </c>
    </row>
    <row r="807" spans="1:5" x14ac:dyDescent="0.35">
      <c r="A807" s="41" t="s">
        <v>892</v>
      </c>
      <c r="B807" s="42">
        <v>97</v>
      </c>
      <c r="C807" s="43">
        <v>25</v>
      </c>
      <c r="D807" s="44">
        <v>25</v>
      </c>
      <c r="E807" s="45">
        <v>93</v>
      </c>
    </row>
    <row r="808" spans="1:5" x14ac:dyDescent="0.35">
      <c r="A808" s="41" t="s">
        <v>893</v>
      </c>
      <c r="B808" s="42">
        <v>93</v>
      </c>
      <c r="C808" s="43">
        <v>45</v>
      </c>
      <c r="D808" s="44">
        <v>15</v>
      </c>
      <c r="E808" s="45">
        <v>117</v>
      </c>
    </row>
    <row r="809" spans="1:5" x14ac:dyDescent="0.35">
      <c r="A809" s="41" t="s">
        <v>894</v>
      </c>
      <c r="B809" s="42">
        <v>117</v>
      </c>
      <c r="C809" s="43">
        <v>7</v>
      </c>
      <c r="D809" s="44">
        <v>35</v>
      </c>
      <c r="E809" s="45">
        <v>86</v>
      </c>
    </row>
    <row r="810" spans="1:5" x14ac:dyDescent="0.35">
      <c r="A810" s="41" t="s">
        <v>895</v>
      </c>
      <c r="B810" s="42">
        <v>117</v>
      </c>
      <c r="C810" s="43">
        <v>6</v>
      </c>
      <c r="D810" s="44">
        <v>28</v>
      </c>
      <c r="E810" s="45">
        <v>63</v>
      </c>
    </row>
    <row r="811" spans="1:5" x14ac:dyDescent="0.35">
      <c r="A811" s="41" t="s">
        <v>896</v>
      </c>
      <c r="B811" s="42">
        <v>63</v>
      </c>
      <c r="C811" s="43">
        <v>42</v>
      </c>
      <c r="D811" s="44">
        <v>11</v>
      </c>
      <c r="E811" s="45">
        <v>80</v>
      </c>
    </row>
    <row r="812" spans="1:5" x14ac:dyDescent="0.35">
      <c r="A812" s="41" t="s">
        <v>897</v>
      </c>
      <c r="B812" s="42">
        <v>80</v>
      </c>
      <c r="C812" s="43">
        <v>31</v>
      </c>
      <c r="D812" s="44">
        <v>32</v>
      </c>
      <c r="E812" s="45">
        <v>96</v>
      </c>
    </row>
    <row r="813" spans="1:5" x14ac:dyDescent="0.35">
      <c r="A813" s="41" t="s">
        <v>898</v>
      </c>
      <c r="B813" s="42">
        <v>81</v>
      </c>
      <c r="C813" s="43">
        <v>37</v>
      </c>
      <c r="D813" s="44">
        <v>27</v>
      </c>
      <c r="E813" s="45">
        <v>79</v>
      </c>
    </row>
    <row r="814" spans="1:5" x14ac:dyDescent="0.35">
      <c r="A814" s="41" t="s">
        <v>899</v>
      </c>
      <c r="B814" s="42">
        <v>79</v>
      </c>
      <c r="C814" s="43">
        <v>37</v>
      </c>
      <c r="D814" s="44">
        <v>26</v>
      </c>
      <c r="E814" s="45">
        <v>97</v>
      </c>
    </row>
    <row r="815" spans="1:5" x14ac:dyDescent="0.35">
      <c r="A815" s="41" t="s">
        <v>900</v>
      </c>
      <c r="B815" s="42">
        <v>68</v>
      </c>
      <c r="C815" s="43">
        <v>17</v>
      </c>
      <c r="D815" s="44">
        <v>23</v>
      </c>
      <c r="E815" s="45">
        <v>62</v>
      </c>
    </row>
    <row r="816" spans="1:5" x14ac:dyDescent="0.35">
      <c r="A816" s="41" t="s">
        <v>901</v>
      </c>
      <c r="B816" s="42">
        <v>60</v>
      </c>
      <c r="C816" s="43">
        <v>17</v>
      </c>
      <c r="D816" s="44">
        <v>20</v>
      </c>
      <c r="E816" s="45">
        <v>56</v>
      </c>
    </row>
    <row r="817" spans="1:5" x14ac:dyDescent="0.35">
      <c r="A817" s="41" t="s">
        <v>902</v>
      </c>
      <c r="B817" s="42">
        <v>56</v>
      </c>
      <c r="C817" s="43">
        <v>7</v>
      </c>
      <c r="D817" s="44">
        <v>11</v>
      </c>
      <c r="E817" s="45">
        <v>54</v>
      </c>
    </row>
    <row r="818" spans="1:5" x14ac:dyDescent="0.35">
      <c r="A818" s="41" t="s">
        <v>903</v>
      </c>
      <c r="B818" s="42">
        <v>54</v>
      </c>
      <c r="C818" s="43">
        <v>18</v>
      </c>
      <c r="D818" s="44">
        <v>12</v>
      </c>
      <c r="E818" s="45">
        <v>61</v>
      </c>
    </row>
    <row r="819" spans="1:5" x14ac:dyDescent="0.35">
      <c r="A819" s="41" t="s">
        <v>904</v>
      </c>
      <c r="B819" s="42">
        <v>61</v>
      </c>
      <c r="C819" s="43">
        <v>41</v>
      </c>
      <c r="D819" s="44">
        <v>21</v>
      </c>
      <c r="E819" s="45">
        <v>65</v>
      </c>
    </row>
    <row r="820" spans="1:5" x14ac:dyDescent="0.35">
      <c r="A820" s="41" t="s">
        <v>905</v>
      </c>
      <c r="B820" s="42">
        <v>65</v>
      </c>
      <c r="C820" s="43">
        <v>28</v>
      </c>
      <c r="D820" s="44">
        <v>5</v>
      </c>
      <c r="E820" s="45">
        <v>88</v>
      </c>
    </row>
    <row r="821" spans="1:5" x14ac:dyDescent="0.35">
      <c r="A821" s="41" t="s">
        <v>906</v>
      </c>
      <c r="B821" s="42">
        <v>88</v>
      </c>
      <c r="C821" s="43">
        <v>32</v>
      </c>
      <c r="D821" s="44">
        <v>52</v>
      </c>
      <c r="E821" s="45">
        <v>62</v>
      </c>
    </row>
    <row r="822" spans="1:5" x14ac:dyDescent="0.35">
      <c r="A822" s="41" t="s">
        <v>907</v>
      </c>
      <c r="B822" s="42">
        <v>62</v>
      </c>
      <c r="C822" s="43">
        <v>32</v>
      </c>
      <c r="D822" s="44">
        <v>16</v>
      </c>
      <c r="E822" s="45">
        <v>78</v>
      </c>
    </row>
    <row r="823" spans="1:5" x14ac:dyDescent="0.35">
      <c r="A823" s="41" t="s">
        <v>908</v>
      </c>
      <c r="B823" s="42">
        <v>75</v>
      </c>
      <c r="C823" s="43">
        <v>8</v>
      </c>
      <c r="D823" s="44">
        <v>29</v>
      </c>
      <c r="E823" s="45">
        <v>56</v>
      </c>
    </row>
    <row r="824" spans="1:5" x14ac:dyDescent="0.35">
      <c r="A824" s="41" t="s">
        <v>909</v>
      </c>
      <c r="B824" s="42">
        <v>56</v>
      </c>
      <c r="C824" s="43">
        <v>9</v>
      </c>
      <c r="D824" s="44">
        <v>7</v>
      </c>
      <c r="E824" s="45">
        <v>53</v>
      </c>
    </row>
    <row r="825" spans="1:5" x14ac:dyDescent="0.35">
      <c r="A825" s="41" t="s">
        <v>910</v>
      </c>
      <c r="B825" s="42">
        <v>53</v>
      </c>
      <c r="C825" s="43">
        <v>24</v>
      </c>
      <c r="D825" s="44">
        <v>7</v>
      </c>
      <c r="E825" s="45">
        <v>76</v>
      </c>
    </row>
    <row r="826" spans="1:5" x14ac:dyDescent="0.35">
      <c r="A826" s="41" t="s">
        <v>911</v>
      </c>
      <c r="B826" s="42">
        <v>72</v>
      </c>
      <c r="C826" s="43">
        <v>12</v>
      </c>
      <c r="D826" s="44">
        <v>28</v>
      </c>
      <c r="E826" s="45">
        <v>41</v>
      </c>
    </row>
    <row r="827" spans="1:5" x14ac:dyDescent="0.35">
      <c r="A827" s="41" t="s">
        <v>912</v>
      </c>
      <c r="B827" s="42">
        <v>41</v>
      </c>
      <c r="C827" s="43">
        <v>82</v>
      </c>
      <c r="D827" s="44">
        <v>18</v>
      </c>
      <c r="E827" s="45">
        <v>103</v>
      </c>
    </row>
    <row r="828" spans="1:5" x14ac:dyDescent="0.35">
      <c r="A828" s="41" t="s">
        <v>913</v>
      </c>
      <c r="B828" s="42">
        <v>81</v>
      </c>
      <c r="C828" s="43">
        <v>15</v>
      </c>
      <c r="D828" s="44">
        <v>41</v>
      </c>
      <c r="E828" s="45">
        <v>55</v>
      </c>
    </row>
    <row r="829" spans="1:5" x14ac:dyDescent="0.35">
      <c r="A829" s="41" t="s">
        <v>914</v>
      </c>
      <c r="B829" s="42">
        <v>43</v>
      </c>
      <c r="C829" s="43">
        <v>17</v>
      </c>
      <c r="D829" s="44">
        <v>26</v>
      </c>
      <c r="E829" s="45">
        <v>33</v>
      </c>
    </row>
    <row r="830" spans="1:5" x14ac:dyDescent="0.35">
      <c r="A830" s="35"/>
      <c r="B830" s="36"/>
      <c r="C830" s="37"/>
      <c r="D830" s="38"/>
      <c r="E830" s="39"/>
    </row>
    <row r="831" spans="1:5" x14ac:dyDescent="0.35">
      <c r="A831" s="35" t="s">
        <v>915</v>
      </c>
      <c r="B831" s="36">
        <v>91</v>
      </c>
      <c r="C831" s="37">
        <v>26</v>
      </c>
      <c r="D831" s="38">
        <v>21</v>
      </c>
      <c r="E831" s="39">
        <v>84</v>
      </c>
    </row>
    <row r="832" spans="1:5" x14ac:dyDescent="0.35">
      <c r="A832" s="35" t="s">
        <v>916</v>
      </c>
      <c r="B832" s="36">
        <v>91</v>
      </c>
      <c r="C832" s="37">
        <v>15</v>
      </c>
      <c r="D832" s="38">
        <v>25</v>
      </c>
      <c r="E832" s="39">
        <v>81</v>
      </c>
    </row>
    <row r="833" spans="1:5" x14ac:dyDescent="0.35">
      <c r="A833" s="35" t="s">
        <v>917</v>
      </c>
      <c r="B833" s="36">
        <v>81</v>
      </c>
      <c r="C833" s="37">
        <v>50</v>
      </c>
      <c r="D833" s="38">
        <v>17</v>
      </c>
      <c r="E833" s="39">
        <v>116</v>
      </c>
    </row>
    <row r="834" spans="1:5" x14ac:dyDescent="0.35">
      <c r="A834" s="35" t="s">
        <v>918</v>
      </c>
      <c r="B834" s="36">
        <v>116</v>
      </c>
      <c r="C834" s="37">
        <v>31</v>
      </c>
      <c r="D834" s="38">
        <v>69</v>
      </c>
      <c r="E834" s="39">
        <v>74</v>
      </c>
    </row>
    <row r="835" spans="1:5" x14ac:dyDescent="0.35">
      <c r="A835" s="35" t="s">
        <v>919</v>
      </c>
      <c r="B835" s="36">
        <v>71</v>
      </c>
      <c r="C835" s="37">
        <v>24</v>
      </c>
      <c r="D835" s="38">
        <v>24</v>
      </c>
      <c r="E835" s="39">
        <v>71</v>
      </c>
    </row>
    <row r="836" spans="1:5" x14ac:dyDescent="0.35">
      <c r="A836" s="35" t="s">
        <v>920</v>
      </c>
      <c r="B836" s="36">
        <v>71</v>
      </c>
      <c r="C836" s="37">
        <v>35</v>
      </c>
      <c r="D836" s="38">
        <v>17</v>
      </c>
      <c r="E836" s="39">
        <v>83</v>
      </c>
    </row>
    <row r="837" spans="1:5" x14ac:dyDescent="0.35">
      <c r="A837" s="35" t="s">
        <v>921</v>
      </c>
      <c r="B837" s="36">
        <v>83</v>
      </c>
      <c r="C837" s="37">
        <v>6</v>
      </c>
      <c r="D837" s="38">
        <v>38</v>
      </c>
      <c r="E837" s="39">
        <v>51</v>
      </c>
    </row>
    <row r="838" spans="1:5" x14ac:dyDescent="0.35">
      <c r="A838" s="35" t="s">
        <v>855</v>
      </c>
      <c r="B838" s="36">
        <v>51</v>
      </c>
      <c r="C838" s="37">
        <v>7</v>
      </c>
      <c r="D838" s="38">
        <v>16</v>
      </c>
      <c r="E838" s="39">
        <v>42</v>
      </c>
    </row>
    <row r="839" spans="1:5" x14ac:dyDescent="0.35">
      <c r="A839" s="35" t="s">
        <v>922</v>
      </c>
      <c r="B839" s="36">
        <v>41</v>
      </c>
      <c r="C839" s="37">
        <v>10</v>
      </c>
      <c r="D839" s="38">
        <v>9</v>
      </c>
      <c r="E839" s="39">
        <v>39</v>
      </c>
    </row>
    <row r="840" spans="1:5" x14ac:dyDescent="0.35">
      <c r="A840" s="35" t="s">
        <v>923</v>
      </c>
      <c r="B840" s="36">
        <v>39</v>
      </c>
      <c r="C840" s="37">
        <v>26</v>
      </c>
      <c r="D840" s="38">
        <v>6</v>
      </c>
      <c r="E840" s="39">
        <v>62</v>
      </c>
    </row>
    <row r="841" spans="1:5" x14ac:dyDescent="0.35">
      <c r="A841" s="35" t="s">
        <v>924</v>
      </c>
      <c r="B841" s="36">
        <v>62</v>
      </c>
      <c r="C841" s="37">
        <v>14</v>
      </c>
      <c r="D841" s="38">
        <v>29</v>
      </c>
      <c r="E841" s="39">
        <v>50</v>
      </c>
    </row>
    <row r="842" spans="1:5" x14ac:dyDescent="0.35">
      <c r="A842" s="35" t="s">
        <v>925</v>
      </c>
      <c r="B842" s="36">
        <v>50</v>
      </c>
      <c r="C842" s="37">
        <v>22</v>
      </c>
      <c r="D842" s="38">
        <v>13</v>
      </c>
      <c r="E842" s="39">
        <v>50</v>
      </c>
    </row>
    <row r="843" spans="1:5" x14ac:dyDescent="0.35">
      <c r="A843" s="35" t="s">
        <v>926</v>
      </c>
      <c r="B843" s="36">
        <v>50</v>
      </c>
      <c r="C843" s="37">
        <v>64</v>
      </c>
      <c r="D843" s="38">
        <v>7</v>
      </c>
      <c r="E843" s="39">
        <v>105</v>
      </c>
    </row>
    <row r="844" spans="1:5" x14ac:dyDescent="0.35">
      <c r="A844" s="35" t="s">
        <v>927</v>
      </c>
      <c r="B844" s="36">
        <v>105</v>
      </c>
      <c r="C844" s="37">
        <v>8</v>
      </c>
      <c r="D844" s="38">
        <v>29</v>
      </c>
      <c r="E844" s="39">
        <v>84</v>
      </c>
    </row>
    <row r="845" spans="1:5" x14ac:dyDescent="0.35">
      <c r="A845" s="35" t="s">
        <v>928</v>
      </c>
      <c r="B845" s="36">
        <v>84</v>
      </c>
      <c r="C845" s="37">
        <v>23</v>
      </c>
      <c r="D845" s="38">
        <v>35</v>
      </c>
      <c r="E845" s="39">
        <v>60</v>
      </c>
    </row>
    <row r="846" spans="1:5" x14ac:dyDescent="0.35">
      <c r="A846" s="35" t="s">
        <v>929</v>
      </c>
      <c r="B846" s="36">
        <v>60</v>
      </c>
      <c r="C846" s="37">
        <v>49</v>
      </c>
      <c r="D846" s="38">
        <v>22</v>
      </c>
      <c r="E846" s="39">
        <v>87</v>
      </c>
    </row>
    <row r="847" spans="1:5" x14ac:dyDescent="0.35">
      <c r="A847" s="35" t="s">
        <v>930</v>
      </c>
      <c r="B847" s="36">
        <v>87</v>
      </c>
      <c r="C847" s="37">
        <v>29</v>
      </c>
      <c r="D847" s="38">
        <v>15</v>
      </c>
      <c r="E847" s="39">
        <v>119</v>
      </c>
    </row>
    <row r="848" spans="1:5" x14ac:dyDescent="0.35">
      <c r="A848" s="35" t="s">
        <v>931</v>
      </c>
      <c r="B848" s="36">
        <v>119</v>
      </c>
      <c r="C848" s="37">
        <v>37</v>
      </c>
      <c r="D848" s="38">
        <v>69</v>
      </c>
      <c r="E848" s="39">
        <v>83</v>
      </c>
    </row>
    <row r="849" spans="1:5" x14ac:dyDescent="0.35">
      <c r="A849" s="35" t="s">
        <v>932</v>
      </c>
      <c r="B849" s="36">
        <v>83</v>
      </c>
      <c r="C849" s="37">
        <v>8</v>
      </c>
      <c r="D849" s="38">
        <v>13</v>
      </c>
      <c r="E849" s="39">
        <v>73</v>
      </c>
    </row>
    <row r="850" spans="1:5" x14ac:dyDescent="0.35">
      <c r="A850" s="35" t="s">
        <v>933</v>
      </c>
      <c r="B850" s="36">
        <v>80</v>
      </c>
      <c r="C850" s="37">
        <v>28</v>
      </c>
      <c r="D850" s="38">
        <v>26</v>
      </c>
      <c r="E850" s="39">
        <v>73</v>
      </c>
    </row>
    <row r="851" spans="1:5" x14ac:dyDescent="0.35">
      <c r="A851" s="35" t="s">
        <v>934</v>
      </c>
      <c r="B851" s="36">
        <v>73</v>
      </c>
      <c r="C851" s="37">
        <v>12</v>
      </c>
      <c r="D851" s="38">
        <v>26</v>
      </c>
      <c r="E851" s="39">
        <v>48</v>
      </c>
    </row>
    <row r="852" spans="1:5" x14ac:dyDescent="0.35">
      <c r="A852" s="35" t="s">
        <v>935</v>
      </c>
      <c r="B852" s="36">
        <v>48</v>
      </c>
      <c r="C852" s="37">
        <v>39</v>
      </c>
      <c r="D852" s="38">
        <v>13</v>
      </c>
      <c r="E852" s="39">
        <v>70</v>
      </c>
    </row>
    <row r="853" spans="1:5" x14ac:dyDescent="0.35">
      <c r="A853" s="35" t="s">
        <v>936</v>
      </c>
      <c r="B853" s="36">
        <v>70</v>
      </c>
      <c r="C853" s="37">
        <v>42</v>
      </c>
      <c r="D853" s="38">
        <v>30</v>
      </c>
      <c r="E853" s="39">
        <v>85</v>
      </c>
    </row>
    <row r="854" spans="1:5" x14ac:dyDescent="0.35">
      <c r="A854" s="35" t="s">
        <v>937</v>
      </c>
      <c r="B854" s="36">
        <v>90</v>
      </c>
      <c r="C854" s="37">
        <v>4</v>
      </c>
      <c r="D854" s="38">
        <v>29</v>
      </c>
      <c r="E854" s="39">
        <v>68</v>
      </c>
    </row>
    <row r="855" spans="1:5" x14ac:dyDescent="0.35">
      <c r="A855" s="35" t="s">
        <v>938</v>
      </c>
      <c r="B855" s="36">
        <v>67</v>
      </c>
      <c r="C855" s="37">
        <v>3</v>
      </c>
      <c r="D855" s="38">
        <v>23</v>
      </c>
      <c r="E855" s="39">
        <v>40</v>
      </c>
    </row>
    <row r="856" spans="1:5" x14ac:dyDescent="0.35">
      <c r="A856" s="35" t="s">
        <v>939</v>
      </c>
      <c r="B856" s="36">
        <v>40</v>
      </c>
      <c r="C856" s="37">
        <v>45</v>
      </c>
      <c r="D856" s="38">
        <v>5</v>
      </c>
      <c r="E856" s="39">
        <v>81</v>
      </c>
    </row>
    <row r="857" spans="1:5" x14ac:dyDescent="0.35">
      <c r="A857" s="35" t="s">
        <v>940</v>
      </c>
      <c r="B857" s="36">
        <v>81</v>
      </c>
      <c r="C857" s="37">
        <v>6</v>
      </c>
      <c r="D857" s="38">
        <v>49</v>
      </c>
      <c r="E857" s="39">
        <v>38</v>
      </c>
    </row>
    <row r="858" spans="1:5" x14ac:dyDescent="0.35">
      <c r="A858" s="35" t="s">
        <v>941</v>
      </c>
      <c r="B858" s="36">
        <v>38</v>
      </c>
      <c r="C858" s="37">
        <v>15</v>
      </c>
      <c r="D858" s="38">
        <v>8</v>
      </c>
      <c r="E858" s="39">
        <v>45</v>
      </c>
    </row>
    <row r="859" spans="1:5" x14ac:dyDescent="0.35">
      <c r="A859" s="35" t="s">
        <v>942</v>
      </c>
      <c r="B859" s="36">
        <v>44</v>
      </c>
      <c r="C859" s="37">
        <v>9</v>
      </c>
      <c r="D859" s="38">
        <v>17</v>
      </c>
      <c r="E859" s="39">
        <v>41</v>
      </c>
    </row>
    <row r="860" spans="1:5" x14ac:dyDescent="0.35">
      <c r="A860" s="35" t="s">
        <v>943</v>
      </c>
      <c r="B860" s="36">
        <v>41</v>
      </c>
      <c r="C860" s="37">
        <v>24</v>
      </c>
      <c r="D860" s="38">
        <v>5</v>
      </c>
      <c r="E860" s="39">
        <v>50</v>
      </c>
    </row>
    <row r="861" spans="1:5" x14ac:dyDescent="0.35">
      <c r="A861" s="35" t="s">
        <v>944</v>
      </c>
      <c r="B861" s="36">
        <v>49</v>
      </c>
      <c r="C861" s="37">
        <v>3</v>
      </c>
      <c r="D861" s="38">
        <v>6</v>
      </c>
      <c r="E861" s="39">
        <v>44</v>
      </c>
    </row>
    <row r="862" spans="1:5" x14ac:dyDescent="0.35">
      <c r="A862" s="35" t="s">
        <v>945</v>
      </c>
      <c r="B862" s="36">
        <v>38</v>
      </c>
      <c r="C862" s="37">
        <v>25</v>
      </c>
      <c r="D862" s="38">
        <v>5</v>
      </c>
      <c r="E862" s="39">
        <v>55</v>
      </c>
    </row>
    <row r="863" spans="1:5" x14ac:dyDescent="0.35">
      <c r="A863" s="35" t="s">
        <v>946</v>
      </c>
      <c r="B863" s="36">
        <v>53</v>
      </c>
      <c r="C863" s="37">
        <v>12</v>
      </c>
      <c r="D863" s="38">
        <v>12</v>
      </c>
      <c r="E863" s="39">
        <v>49</v>
      </c>
    </row>
    <row r="864" spans="1:5" x14ac:dyDescent="0.35">
      <c r="A864" s="35" t="s">
        <v>947</v>
      </c>
      <c r="B864" s="36">
        <v>49</v>
      </c>
      <c r="C864" s="37">
        <v>13</v>
      </c>
      <c r="D864" s="38">
        <v>10</v>
      </c>
      <c r="E864" s="39">
        <v>51</v>
      </c>
    </row>
    <row r="865" spans="1:5" x14ac:dyDescent="0.35">
      <c r="A865" s="35" t="s">
        <v>948</v>
      </c>
      <c r="B865" s="36">
        <v>51</v>
      </c>
      <c r="C865" s="37">
        <v>31</v>
      </c>
      <c r="D865" s="38">
        <v>7</v>
      </c>
      <c r="E865" s="39">
        <v>72</v>
      </c>
    </row>
    <row r="866" spans="1:5" x14ac:dyDescent="0.35">
      <c r="A866" s="35" t="s">
        <v>949</v>
      </c>
      <c r="B866" s="36">
        <v>71</v>
      </c>
      <c r="C866" s="37">
        <v>25</v>
      </c>
      <c r="D866" s="38">
        <v>37</v>
      </c>
      <c r="E866" s="39">
        <v>59</v>
      </c>
    </row>
    <row r="867" spans="1:5" x14ac:dyDescent="0.35">
      <c r="A867" s="35" t="s">
        <v>950</v>
      </c>
      <c r="B867" s="36">
        <v>57</v>
      </c>
      <c r="C867" s="37">
        <v>17</v>
      </c>
      <c r="D867" s="38">
        <v>19</v>
      </c>
      <c r="E867" s="39">
        <v>58</v>
      </c>
    </row>
    <row r="868" spans="1:5" x14ac:dyDescent="0.35">
      <c r="A868" s="35" t="s">
        <v>951</v>
      </c>
      <c r="B868" s="36">
        <v>58</v>
      </c>
      <c r="C868" s="37">
        <v>48</v>
      </c>
      <c r="D868" s="38">
        <v>16</v>
      </c>
      <c r="E868" s="39">
        <v>101</v>
      </c>
    </row>
    <row r="869" spans="1:5" x14ac:dyDescent="0.35">
      <c r="A869" s="35" t="s">
        <v>952</v>
      </c>
      <c r="B869" s="36">
        <v>101</v>
      </c>
      <c r="C869" s="37">
        <v>31</v>
      </c>
      <c r="D869" s="38">
        <v>51</v>
      </c>
      <c r="E869" s="39">
        <v>70</v>
      </c>
    </row>
    <row r="870" spans="1:5" x14ac:dyDescent="0.35">
      <c r="A870" s="35" t="s">
        <v>953</v>
      </c>
      <c r="B870" s="36">
        <v>70</v>
      </c>
      <c r="C870" s="37">
        <v>12</v>
      </c>
      <c r="D870" s="38">
        <v>28</v>
      </c>
      <c r="E870" s="39">
        <v>56</v>
      </c>
    </row>
    <row r="871" spans="1:5" x14ac:dyDescent="0.35">
      <c r="A871" s="35" t="s">
        <v>954</v>
      </c>
      <c r="B871" s="36">
        <v>56</v>
      </c>
      <c r="C871" s="37">
        <v>14</v>
      </c>
      <c r="D871" s="38">
        <v>20</v>
      </c>
      <c r="E871" s="39">
        <v>50</v>
      </c>
    </row>
    <row r="872" spans="1:5" x14ac:dyDescent="0.35">
      <c r="A872" s="35" t="s">
        <v>955</v>
      </c>
      <c r="B872" s="36">
        <v>50</v>
      </c>
      <c r="C872" s="37">
        <v>3</v>
      </c>
      <c r="D872" s="38">
        <v>14</v>
      </c>
      <c r="E872" s="39">
        <v>44</v>
      </c>
    </row>
    <row r="873" spans="1:5" x14ac:dyDescent="0.35">
      <c r="A873" s="35" t="s">
        <v>956</v>
      </c>
      <c r="B873" s="36">
        <v>44</v>
      </c>
      <c r="C873" s="37">
        <v>14</v>
      </c>
      <c r="D873" s="38">
        <v>18</v>
      </c>
      <c r="E873" s="39">
        <v>40</v>
      </c>
    </row>
    <row r="874" spans="1:5" x14ac:dyDescent="0.35">
      <c r="A874" s="35" t="s">
        <v>957</v>
      </c>
      <c r="B874" s="36">
        <v>38</v>
      </c>
      <c r="C874" s="37">
        <v>10</v>
      </c>
      <c r="D874" s="38">
        <v>16</v>
      </c>
      <c r="E874" s="39">
        <v>41</v>
      </c>
    </row>
    <row r="875" spans="1:5" x14ac:dyDescent="0.35">
      <c r="A875" s="35" t="s">
        <v>958</v>
      </c>
      <c r="B875" s="36">
        <v>41</v>
      </c>
      <c r="C875" s="37">
        <v>24</v>
      </c>
      <c r="D875" s="38">
        <v>29</v>
      </c>
      <c r="E875" s="39">
        <v>36</v>
      </c>
    </row>
    <row r="876" spans="1:5" x14ac:dyDescent="0.35">
      <c r="A876" s="35" t="s">
        <v>959</v>
      </c>
      <c r="B876" s="36">
        <v>36</v>
      </c>
      <c r="C876" s="37">
        <v>22</v>
      </c>
      <c r="D876" s="38">
        <v>19</v>
      </c>
      <c r="E876" s="39">
        <v>39</v>
      </c>
    </row>
    <row r="877" spans="1:5" x14ac:dyDescent="0.35">
      <c r="A877" s="35" t="s">
        <v>960</v>
      </c>
      <c r="B877" s="36">
        <v>39</v>
      </c>
      <c r="C877" s="37">
        <v>35</v>
      </c>
      <c r="D877" s="38">
        <v>20</v>
      </c>
      <c r="E877" s="39">
        <v>54</v>
      </c>
    </row>
    <row r="878" spans="1:5" x14ac:dyDescent="0.35">
      <c r="A878" s="35" t="s">
        <v>961</v>
      </c>
      <c r="B878" s="36">
        <v>45</v>
      </c>
      <c r="C878" s="37">
        <v>8</v>
      </c>
      <c r="D878" s="38">
        <v>10</v>
      </c>
      <c r="E878" s="39">
        <v>49</v>
      </c>
    </row>
    <row r="879" spans="1:5" x14ac:dyDescent="0.35">
      <c r="A879" s="35" t="s">
        <v>962</v>
      </c>
      <c r="B879" s="36">
        <v>49</v>
      </c>
      <c r="C879" s="37">
        <v>14</v>
      </c>
      <c r="D879" s="38">
        <v>18</v>
      </c>
      <c r="E879" s="39">
        <v>53</v>
      </c>
    </row>
    <row r="880" spans="1:5" x14ac:dyDescent="0.35">
      <c r="A880" s="35" t="s">
        <v>963</v>
      </c>
      <c r="B880" s="36">
        <v>47</v>
      </c>
      <c r="C880" s="37">
        <v>21</v>
      </c>
      <c r="D880" s="38">
        <v>22</v>
      </c>
      <c r="E880" s="39">
        <v>47</v>
      </c>
    </row>
    <row r="881" spans="1:5" x14ac:dyDescent="0.35">
      <c r="A881" s="35" t="s">
        <v>964</v>
      </c>
      <c r="B881" s="36">
        <v>39</v>
      </c>
      <c r="C881" s="37">
        <v>33</v>
      </c>
      <c r="D881" s="38">
        <v>18</v>
      </c>
      <c r="E881" s="39">
        <v>57</v>
      </c>
    </row>
    <row r="882" spans="1:5" x14ac:dyDescent="0.35">
      <c r="A882" s="35" t="s">
        <v>965</v>
      </c>
      <c r="B882" s="36">
        <v>57</v>
      </c>
      <c r="C882" s="37">
        <v>13</v>
      </c>
      <c r="D882" s="38">
        <v>26</v>
      </c>
      <c r="E882" s="39">
        <v>45</v>
      </c>
    </row>
    <row r="883" spans="1:5" x14ac:dyDescent="0.35">
      <c r="A883" s="35" t="s">
        <v>966</v>
      </c>
      <c r="B883" s="36">
        <v>45</v>
      </c>
      <c r="C883" s="37">
        <v>13</v>
      </c>
      <c r="D883" s="38">
        <v>21</v>
      </c>
      <c r="E883" s="39">
        <v>37</v>
      </c>
    </row>
    <row r="884" spans="1:5" x14ac:dyDescent="0.35">
      <c r="A884" s="35" t="s">
        <v>967</v>
      </c>
      <c r="B884" s="36">
        <v>35</v>
      </c>
      <c r="C884" s="37">
        <v>29</v>
      </c>
      <c r="D884" s="38">
        <v>11</v>
      </c>
      <c r="E884" s="39">
        <v>53</v>
      </c>
    </row>
    <row r="885" spans="1:5" x14ac:dyDescent="0.35">
      <c r="A885" s="35" t="s">
        <v>968</v>
      </c>
      <c r="B885" s="36">
        <v>53</v>
      </c>
      <c r="C885" s="37">
        <v>9</v>
      </c>
      <c r="D885" s="38">
        <v>35</v>
      </c>
      <c r="E885" s="39">
        <v>27</v>
      </c>
    </row>
    <row r="886" spans="1:5" x14ac:dyDescent="0.35">
      <c r="A886" s="35" t="s">
        <v>969</v>
      </c>
      <c r="B886" s="36">
        <v>27</v>
      </c>
      <c r="C886" s="37">
        <v>18</v>
      </c>
      <c r="D886" s="38">
        <v>3</v>
      </c>
      <c r="E886" s="39">
        <v>40</v>
      </c>
    </row>
    <row r="887" spans="1:5" x14ac:dyDescent="0.35">
      <c r="A887" s="35" t="s">
        <v>970</v>
      </c>
      <c r="B887" s="36">
        <v>37</v>
      </c>
      <c r="C887" s="37">
        <v>32</v>
      </c>
      <c r="D887" s="38">
        <v>6</v>
      </c>
      <c r="E887" s="39">
        <v>57</v>
      </c>
    </row>
    <row r="888" spans="1:5" x14ac:dyDescent="0.35">
      <c r="A888" s="35" t="s">
        <v>971</v>
      </c>
      <c r="B888" s="36">
        <v>57</v>
      </c>
      <c r="C888" s="37">
        <v>12</v>
      </c>
      <c r="D888" s="38">
        <v>2</v>
      </c>
      <c r="E888" s="39">
        <v>74</v>
      </c>
    </row>
    <row r="889" spans="1:5" x14ac:dyDescent="0.35">
      <c r="A889" s="35" t="s">
        <v>972</v>
      </c>
      <c r="B889" s="36">
        <v>74</v>
      </c>
      <c r="C889" s="37">
        <v>16</v>
      </c>
      <c r="D889" s="38">
        <v>29</v>
      </c>
      <c r="E889" s="39">
        <v>72</v>
      </c>
    </row>
    <row r="890" spans="1:5" x14ac:dyDescent="0.35">
      <c r="A890" s="35" t="s">
        <v>973</v>
      </c>
      <c r="B890" s="36">
        <v>72</v>
      </c>
      <c r="C890" s="37">
        <v>29</v>
      </c>
      <c r="D890" s="38">
        <v>28</v>
      </c>
      <c r="E890" s="39">
        <v>75</v>
      </c>
    </row>
    <row r="891" spans="1:5" x14ac:dyDescent="0.35">
      <c r="A891" s="35" t="s">
        <v>974</v>
      </c>
      <c r="B891" s="36">
        <v>75</v>
      </c>
      <c r="C891" s="37">
        <v>34</v>
      </c>
      <c r="D891" s="38">
        <v>29</v>
      </c>
      <c r="E891" s="39">
        <v>79</v>
      </c>
    </row>
    <row r="892" spans="1:5" x14ac:dyDescent="0.35">
      <c r="A892" s="35" t="s">
        <v>975</v>
      </c>
      <c r="B892" s="36">
        <v>79</v>
      </c>
      <c r="C892" s="37">
        <v>18</v>
      </c>
      <c r="D892" s="38">
        <v>41</v>
      </c>
      <c r="E892" s="39">
        <v>54</v>
      </c>
    </row>
    <row r="893" spans="1:5" x14ac:dyDescent="0.35">
      <c r="A893" s="35" t="s">
        <v>976</v>
      </c>
      <c r="B893" s="36">
        <v>54</v>
      </c>
      <c r="C893" s="37">
        <v>15</v>
      </c>
      <c r="D893" s="38">
        <v>8</v>
      </c>
      <c r="E893" s="39">
        <v>63</v>
      </c>
    </row>
    <row r="894" spans="1:5" x14ac:dyDescent="0.35">
      <c r="A894" s="35" t="s">
        <v>977</v>
      </c>
      <c r="B894" s="36">
        <v>88</v>
      </c>
      <c r="C894" s="37">
        <v>70</v>
      </c>
      <c r="D894" s="38">
        <v>27</v>
      </c>
      <c r="E894" s="39">
        <v>131</v>
      </c>
    </row>
    <row r="895" spans="1:5" x14ac:dyDescent="0.35">
      <c r="A895" s="35" t="s">
        <v>978</v>
      </c>
      <c r="B895" s="36">
        <v>131</v>
      </c>
      <c r="C895" s="37">
        <v>19</v>
      </c>
      <c r="D895" s="38">
        <v>62</v>
      </c>
      <c r="E895" s="39">
        <v>92</v>
      </c>
    </row>
    <row r="896" spans="1:5" x14ac:dyDescent="0.35">
      <c r="A896" s="35" t="s">
        <v>979</v>
      </c>
      <c r="B896" s="36">
        <v>92</v>
      </c>
      <c r="C896" s="37">
        <v>22</v>
      </c>
      <c r="D896" s="38">
        <v>32</v>
      </c>
      <c r="E896" s="39">
        <v>78</v>
      </c>
    </row>
    <row r="897" spans="1:5" x14ac:dyDescent="0.35">
      <c r="A897" s="35" t="s">
        <v>980</v>
      </c>
      <c r="B897" s="36">
        <v>77</v>
      </c>
      <c r="C897" s="37">
        <v>27</v>
      </c>
      <c r="D897" s="38">
        <v>19</v>
      </c>
      <c r="E897" s="39">
        <v>85</v>
      </c>
    </row>
    <row r="898" spans="1:5" x14ac:dyDescent="0.35">
      <c r="A898" s="35" t="s">
        <v>981</v>
      </c>
      <c r="B898" s="36">
        <v>85</v>
      </c>
      <c r="C898" s="37">
        <v>7</v>
      </c>
      <c r="D898" s="38">
        <v>20</v>
      </c>
      <c r="E898" s="39">
        <v>63</v>
      </c>
    </row>
    <row r="899" spans="1:5" x14ac:dyDescent="0.35">
      <c r="A899" s="35" t="s">
        <v>982</v>
      </c>
      <c r="B899" s="36">
        <v>63</v>
      </c>
      <c r="C899" s="37">
        <v>0</v>
      </c>
      <c r="D899" s="38">
        <v>9</v>
      </c>
      <c r="E899" s="39">
        <v>52</v>
      </c>
    </row>
    <row r="900" spans="1:5" x14ac:dyDescent="0.35">
      <c r="A900" s="35" t="s">
        <v>983</v>
      </c>
      <c r="B900" s="36">
        <v>52</v>
      </c>
      <c r="C900" s="37">
        <v>24</v>
      </c>
      <c r="D900" s="38">
        <v>15</v>
      </c>
      <c r="E900" s="39">
        <v>61</v>
      </c>
    </row>
    <row r="901" spans="1:5" x14ac:dyDescent="0.35">
      <c r="A901" s="35" t="s">
        <v>984</v>
      </c>
      <c r="B901" s="36">
        <v>55</v>
      </c>
      <c r="C901" s="37">
        <v>36</v>
      </c>
      <c r="D901" s="38">
        <v>16</v>
      </c>
      <c r="E901" s="39">
        <v>75</v>
      </c>
    </row>
    <row r="902" spans="1:5" x14ac:dyDescent="0.35">
      <c r="A902" s="35" t="s">
        <v>985</v>
      </c>
      <c r="B902" s="36">
        <v>75</v>
      </c>
      <c r="C902" s="37">
        <v>13</v>
      </c>
      <c r="D902" s="38">
        <v>15</v>
      </c>
      <c r="E902" s="39">
        <v>75</v>
      </c>
    </row>
    <row r="903" spans="1:5" x14ac:dyDescent="0.35">
      <c r="A903" s="35" t="s">
        <v>986</v>
      </c>
      <c r="B903" s="36">
        <v>73</v>
      </c>
      <c r="C903" s="37">
        <v>32</v>
      </c>
      <c r="D903" s="38">
        <v>4</v>
      </c>
      <c r="E903" s="39">
        <v>95</v>
      </c>
    </row>
    <row r="904" spans="1:5" x14ac:dyDescent="0.35">
      <c r="A904" s="35" t="s">
        <v>987</v>
      </c>
      <c r="B904" s="36">
        <v>95</v>
      </c>
      <c r="C904" s="37">
        <v>6</v>
      </c>
      <c r="D904" s="38">
        <v>29</v>
      </c>
      <c r="E904" s="39">
        <v>67</v>
      </c>
    </row>
    <row r="905" spans="1:5" x14ac:dyDescent="0.35">
      <c r="A905" s="35" t="s">
        <v>988</v>
      </c>
      <c r="B905" s="36">
        <v>65</v>
      </c>
      <c r="C905" s="37">
        <v>4</v>
      </c>
      <c r="D905" s="38">
        <v>3</v>
      </c>
      <c r="E905" s="39">
        <v>66</v>
      </c>
    </row>
    <row r="906" spans="1:5" x14ac:dyDescent="0.35">
      <c r="A906" s="35" t="s">
        <v>989</v>
      </c>
      <c r="B906" s="36">
        <v>66</v>
      </c>
      <c r="C906" s="37">
        <v>5</v>
      </c>
      <c r="D906" s="38">
        <v>33</v>
      </c>
      <c r="E906" s="39">
        <v>36</v>
      </c>
    </row>
    <row r="907" spans="1:5" x14ac:dyDescent="0.35">
      <c r="A907" s="35" t="s">
        <v>990</v>
      </c>
      <c r="B907" s="36">
        <v>37</v>
      </c>
      <c r="C907" s="37">
        <v>20</v>
      </c>
      <c r="D907" s="38">
        <v>12</v>
      </c>
      <c r="E907" s="39">
        <v>46</v>
      </c>
    </row>
    <row r="908" spans="1:5" x14ac:dyDescent="0.35">
      <c r="A908" s="35" t="s">
        <v>991</v>
      </c>
      <c r="B908" s="36">
        <v>46</v>
      </c>
      <c r="C908" s="37">
        <v>12</v>
      </c>
      <c r="D908" s="38">
        <v>12</v>
      </c>
      <c r="E908" s="39">
        <v>44</v>
      </c>
    </row>
    <row r="909" spans="1:5" x14ac:dyDescent="0.35">
      <c r="A909" s="35" t="s">
        <v>992</v>
      </c>
      <c r="B909" s="36">
        <v>39</v>
      </c>
      <c r="C909" s="37">
        <v>10</v>
      </c>
      <c r="D909" s="38">
        <v>13</v>
      </c>
      <c r="E909" s="39">
        <v>38</v>
      </c>
    </row>
    <row r="910" spans="1:5" x14ac:dyDescent="0.35">
      <c r="A910" s="35" t="s">
        <v>993</v>
      </c>
      <c r="B910" s="36">
        <v>36</v>
      </c>
      <c r="C910" s="37">
        <v>11</v>
      </c>
      <c r="D910" s="38">
        <v>16</v>
      </c>
      <c r="E910" s="39">
        <v>36</v>
      </c>
    </row>
    <row r="911" spans="1:5" x14ac:dyDescent="0.35">
      <c r="A911" s="35" t="s">
        <v>994</v>
      </c>
      <c r="B911" s="36">
        <v>30</v>
      </c>
      <c r="C911" s="37">
        <v>22</v>
      </c>
      <c r="D911" s="38">
        <v>6</v>
      </c>
      <c r="E911" s="39">
        <v>46</v>
      </c>
    </row>
    <row r="912" spans="1:5" x14ac:dyDescent="0.35">
      <c r="A912" s="35" t="s">
        <v>995</v>
      </c>
      <c r="B912" s="36">
        <v>42</v>
      </c>
      <c r="C912" s="37">
        <v>22</v>
      </c>
      <c r="D912" s="38">
        <v>15</v>
      </c>
      <c r="E912" s="39">
        <v>49</v>
      </c>
    </row>
    <row r="913" spans="1:5" x14ac:dyDescent="0.35">
      <c r="A913" s="35" t="s">
        <v>996</v>
      </c>
      <c r="B913" s="36">
        <v>49</v>
      </c>
      <c r="C913" s="37">
        <v>8</v>
      </c>
      <c r="D913" s="38">
        <v>16</v>
      </c>
      <c r="E913" s="39">
        <v>40</v>
      </c>
    </row>
    <row r="914" spans="1:5" x14ac:dyDescent="0.35">
      <c r="A914" s="35" t="s">
        <v>997</v>
      </c>
      <c r="B914" s="36">
        <v>40</v>
      </c>
      <c r="C914" s="37">
        <v>3</v>
      </c>
      <c r="D914" s="38">
        <v>12</v>
      </c>
      <c r="E914" s="39">
        <v>31</v>
      </c>
    </row>
    <row r="915" spans="1:5" x14ac:dyDescent="0.35">
      <c r="A915" s="35" t="s">
        <v>998</v>
      </c>
      <c r="B915" s="36">
        <v>31</v>
      </c>
      <c r="C915" s="37">
        <v>24</v>
      </c>
      <c r="D915" s="38">
        <v>1</v>
      </c>
      <c r="E915" s="39">
        <v>54</v>
      </c>
    </row>
    <row r="916" spans="1:5" x14ac:dyDescent="0.35">
      <c r="A916" s="35" t="s">
        <v>999</v>
      </c>
      <c r="B916" s="36">
        <v>54</v>
      </c>
      <c r="C916" s="37">
        <v>15</v>
      </c>
      <c r="D916" s="38">
        <v>33</v>
      </c>
      <c r="E916" s="39">
        <v>36</v>
      </c>
    </row>
    <row r="917" spans="1:5" x14ac:dyDescent="0.35">
      <c r="A917" s="35" t="s">
        <v>1000</v>
      </c>
      <c r="B917" s="36">
        <v>27</v>
      </c>
      <c r="C917" s="37">
        <v>6</v>
      </c>
      <c r="D917" s="38">
        <v>0</v>
      </c>
      <c r="E917" s="39">
        <v>28</v>
      </c>
    </row>
    <row r="918" spans="1:5" x14ac:dyDescent="0.35">
      <c r="A918" s="35" t="s">
        <v>1001</v>
      </c>
      <c r="B918" s="36">
        <v>28</v>
      </c>
      <c r="C918" s="37">
        <v>7</v>
      </c>
      <c r="D918" s="38">
        <v>4</v>
      </c>
      <c r="E918" s="39">
        <v>34</v>
      </c>
    </row>
    <row r="919" spans="1:5" x14ac:dyDescent="0.35">
      <c r="A919" s="35" t="s">
        <v>1002</v>
      </c>
      <c r="B919" s="36">
        <v>29</v>
      </c>
      <c r="C919" s="37">
        <v>38</v>
      </c>
      <c r="D919" s="38">
        <v>6</v>
      </c>
      <c r="E919" s="39">
        <v>61</v>
      </c>
    </row>
    <row r="920" spans="1:5" x14ac:dyDescent="0.35">
      <c r="A920" s="35" t="s">
        <v>1003</v>
      </c>
      <c r="B920" s="36">
        <v>61</v>
      </c>
      <c r="C920" s="37">
        <v>29</v>
      </c>
      <c r="D920" s="38">
        <v>31</v>
      </c>
      <c r="E920" s="39">
        <v>63</v>
      </c>
    </row>
    <row r="921" spans="1:5" x14ac:dyDescent="0.35">
      <c r="A921" s="35" t="s">
        <v>1004</v>
      </c>
      <c r="B921" s="36">
        <v>63</v>
      </c>
      <c r="C921" s="37">
        <v>31</v>
      </c>
      <c r="D921" s="38">
        <v>13</v>
      </c>
      <c r="E921" s="39">
        <v>85</v>
      </c>
    </row>
    <row r="922" spans="1:5" x14ac:dyDescent="0.35">
      <c r="A922" s="35" t="s">
        <v>1005</v>
      </c>
      <c r="B922" s="36">
        <v>85</v>
      </c>
      <c r="C922" s="37">
        <v>38</v>
      </c>
      <c r="D922" s="38">
        <v>15</v>
      </c>
      <c r="E922" s="39">
        <v>108</v>
      </c>
    </row>
    <row r="923" spans="1:5" x14ac:dyDescent="0.35">
      <c r="A923" s="35" t="s">
        <v>1006</v>
      </c>
      <c r="B923" s="36">
        <v>106</v>
      </c>
      <c r="C923" s="37">
        <v>17</v>
      </c>
      <c r="D923" s="38">
        <v>12</v>
      </c>
      <c r="E923" s="39">
        <v>112</v>
      </c>
    </row>
    <row r="924" spans="1:5" x14ac:dyDescent="0.35">
      <c r="A924" s="35" t="s">
        <v>1007</v>
      </c>
      <c r="B924" s="36">
        <v>112</v>
      </c>
      <c r="C924" s="37">
        <v>30</v>
      </c>
      <c r="D924" s="38">
        <v>55</v>
      </c>
      <c r="E924" s="39">
        <v>86</v>
      </c>
    </row>
    <row r="925" spans="1:5" x14ac:dyDescent="0.35">
      <c r="A925" s="35" t="s">
        <v>1008</v>
      </c>
      <c r="B925" s="36">
        <v>86</v>
      </c>
      <c r="C925" s="37">
        <v>22</v>
      </c>
      <c r="D925" s="38">
        <v>37</v>
      </c>
      <c r="E925" s="39">
        <v>73</v>
      </c>
    </row>
    <row r="926" spans="1:5" x14ac:dyDescent="0.35">
      <c r="A926" s="35" t="s">
        <v>1009</v>
      </c>
      <c r="B926" s="36">
        <v>73</v>
      </c>
      <c r="C926" s="37">
        <v>10</v>
      </c>
      <c r="D926" s="38">
        <v>41</v>
      </c>
      <c r="E926" s="39">
        <v>42</v>
      </c>
    </row>
    <row r="927" spans="1:5" x14ac:dyDescent="0.35">
      <c r="A927" s="35" t="s">
        <v>1010</v>
      </c>
      <c r="B927" s="36">
        <v>42</v>
      </c>
      <c r="C927" s="37">
        <v>19</v>
      </c>
      <c r="D927" s="38">
        <v>11</v>
      </c>
      <c r="E927" s="39">
        <v>53</v>
      </c>
    </row>
    <row r="928" spans="1:5" x14ac:dyDescent="0.35">
      <c r="A928" s="35" t="s">
        <v>1011</v>
      </c>
      <c r="B928" s="36">
        <v>53</v>
      </c>
      <c r="C928" s="37">
        <v>21</v>
      </c>
      <c r="D928" s="38">
        <v>4</v>
      </c>
      <c r="E928" s="39">
        <v>64</v>
      </c>
    </row>
    <row r="929" spans="1:5" x14ac:dyDescent="0.35">
      <c r="A929" s="35" t="s">
        <v>1012</v>
      </c>
      <c r="B929" s="36">
        <v>64</v>
      </c>
      <c r="C929" s="37">
        <v>18</v>
      </c>
      <c r="D929" s="38">
        <v>21</v>
      </c>
      <c r="E929" s="39">
        <v>60</v>
      </c>
    </row>
    <row r="930" spans="1:5" x14ac:dyDescent="0.35">
      <c r="A930" s="35" t="s">
        <v>1013</v>
      </c>
      <c r="B930" s="36">
        <v>53</v>
      </c>
      <c r="C930" s="37">
        <v>18</v>
      </c>
      <c r="D930" s="38">
        <v>22</v>
      </c>
      <c r="E930" s="39">
        <v>52</v>
      </c>
    </row>
    <row r="931" spans="1:5" x14ac:dyDescent="0.35">
      <c r="A931" s="35" t="s">
        <v>1014</v>
      </c>
      <c r="B931" s="36">
        <v>49</v>
      </c>
      <c r="C931" s="37">
        <v>8</v>
      </c>
      <c r="D931" s="38">
        <v>27</v>
      </c>
      <c r="E931" s="39">
        <v>28</v>
      </c>
    </row>
    <row r="932" spans="1:5" x14ac:dyDescent="0.35">
      <c r="A932" s="35" t="s">
        <v>1015</v>
      </c>
      <c r="B932" s="36">
        <v>28</v>
      </c>
      <c r="C932" s="37">
        <v>21</v>
      </c>
      <c r="D932" s="38">
        <v>6</v>
      </c>
      <c r="E932" s="39">
        <v>41</v>
      </c>
    </row>
    <row r="933" spans="1:5" x14ac:dyDescent="0.35">
      <c r="A933" s="35" t="s">
        <v>1016</v>
      </c>
      <c r="B933" s="36">
        <v>41</v>
      </c>
      <c r="C933" s="37">
        <v>7</v>
      </c>
      <c r="D933" s="38">
        <v>16</v>
      </c>
      <c r="E933" s="39">
        <v>37</v>
      </c>
    </row>
    <row r="934" spans="1:5" x14ac:dyDescent="0.35">
      <c r="A934" s="35" t="s">
        <v>1017</v>
      </c>
      <c r="B934" s="36">
        <v>37</v>
      </c>
      <c r="C934" s="37">
        <v>26</v>
      </c>
      <c r="D934" s="38">
        <v>15</v>
      </c>
      <c r="E934" s="39">
        <v>46</v>
      </c>
    </row>
    <row r="935" spans="1:5" x14ac:dyDescent="0.35">
      <c r="A935" s="35" t="s">
        <v>1018</v>
      </c>
      <c r="B935" s="36">
        <v>46</v>
      </c>
      <c r="C935" s="37">
        <v>35</v>
      </c>
      <c r="D935" s="38">
        <v>28</v>
      </c>
      <c r="E935" s="39">
        <v>52</v>
      </c>
    </row>
    <row r="936" spans="1:5" x14ac:dyDescent="0.35">
      <c r="A936" s="35" t="s">
        <v>1019</v>
      </c>
      <c r="B936" s="36">
        <v>52</v>
      </c>
      <c r="C936" s="37">
        <v>2</v>
      </c>
      <c r="D936" s="38">
        <v>32</v>
      </c>
      <c r="E936" s="39">
        <v>22</v>
      </c>
    </row>
    <row r="937" spans="1:5" x14ac:dyDescent="0.35">
      <c r="A937" s="35" t="s">
        <v>1020</v>
      </c>
      <c r="B937" s="36">
        <v>22</v>
      </c>
      <c r="C937" s="37">
        <v>21</v>
      </c>
      <c r="D937" s="38">
        <v>8</v>
      </c>
      <c r="E937" s="39">
        <v>35</v>
      </c>
    </row>
    <row r="938" spans="1:5" x14ac:dyDescent="0.35">
      <c r="A938" s="35" t="s">
        <v>1021</v>
      </c>
      <c r="B938" s="36">
        <v>35</v>
      </c>
      <c r="C938" s="37">
        <v>29</v>
      </c>
      <c r="D938" s="38">
        <v>21</v>
      </c>
      <c r="E938" s="39">
        <v>44</v>
      </c>
    </row>
    <row r="939" spans="1:5" x14ac:dyDescent="0.35">
      <c r="A939" s="35" t="s">
        <v>1022</v>
      </c>
      <c r="B939" s="36">
        <v>44</v>
      </c>
      <c r="C939" s="37">
        <v>2</v>
      </c>
      <c r="D939" s="38">
        <v>31</v>
      </c>
      <c r="E939" s="39">
        <v>15</v>
      </c>
    </row>
    <row r="940" spans="1:5" x14ac:dyDescent="0.35">
      <c r="A940" s="35" t="s">
        <v>1023</v>
      </c>
      <c r="B940" s="36">
        <v>15</v>
      </c>
      <c r="C940" s="37">
        <v>11</v>
      </c>
      <c r="D940" s="38">
        <v>4</v>
      </c>
      <c r="E940" s="39">
        <v>22</v>
      </c>
    </row>
    <row r="941" spans="1:5" x14ac:dyDescent="0.35">
      <c r="A941" s="35" t="s">
        <v>1024</v>
      </c>
      <c r="B941" s="36">
        <v>22</v>
      </c>
      <c r="C941" s="37">
        <v>5</v>
      </c>
      <c r="D941" s="38">
        <v>1</v>
      </c>
      <c r="E941" s="39">
        <v>26</v>
      </c>
    </row>
    <row r="942" spans="1:5" x14ac:dyDescent="0.35">
      <c r="A942" s="35" t="s">
        <v>1025</v>
      </c>
      <c r="B942" s="36">
        <v>40</v>
      </c>
      <c r="C942" s="37">
        <v>26</v>
      </c>
      <c r="D942" s="38">
        <v>2</v>
      </c>
      <c r="E942" s="39">
        <v>60</v>
      </c>
    </row>
    <row r="943" spans="1:5" x14ac:dyDescent="0.35">
      <c r="A943" s="35" t="s">
        <v>1026</v>
      </c>
      <c r="B943" s="36">
        <v>60</v>
      </c>
      <c r="C943" s="37">
        <v>4</v>
      </c>
      <c r="D943" s="38">
        <v>40</v>
      </c>
      <c r="E943" s="39">
        <v>23</v>
      </c>
    </row>
    <row r="944" spans="1:5" x14ac:dyDescent="0.35">
      <c r="A944" s="35" t="s">
        <v>1027</v>
      </c>
      <c r="B944" s="36">
        <v>23</v>
      </c>
      <c r="C944" s="37">
        <v>30</v>
      </c>
      <c r="D944" s="38">
        <v>4</v>
      </c>
      <c r="E944" s="39">
        <v>60</v>
      </c>
    </row>
    <row r="945" spans="1:5" x14ac:dyDescent="0.35">
      <c r="A945" s="35" t="s">
        <v>1028</v>
      </c>
      <c r="B945" s="36">
        <v>41</v>
      </c>
      <c r="C945" s="37">
        <v>10</v>
      </c>
      <c r="D945" s="38">
        <v>12</v>
      </c>
      <c r="E945" s="39">
        <v>39</v>
      </c>
    </row>
    <row r="946" spans="1:5" x14ac:dyDescent="0.35">
      <c r="A946" s="35" t="s">
        <v>1029</v>
      </c>
      <c r="B946" s="36">
        <v>36</v>
      </c>
      <c r="C946" s="37">
        <v>34</v>
      </c>
      <c r="D946" s="38">
        <v>11</v>
      </c>
      <c r="E946" s="39">
        <v>51</v>
      </c>
    </row>
    <row r="947" spans="1:5" x14ac:dyDescent="0.35">
      <c r="A947" s="35" t="s">
        <v>1030</v>
      </c>
      <c r="B947" s="36">
        <v>51</v>
      </c>
      <c r="C947" s="37">
        <v>14</v>
      </c>
      <c r="D947" s="38">
        <v>17</v>
      </c>
      <c r="E947" s="39">
        <v>53</v>
      </c>
    </row>
    <row r="948" spans="1:5" x14ac:dyDescent="0.35">
      <c r="A948" s="35" t="s">
        <v>1031</v>
      </c>
      <c r="B948" s="36">
        <v>48</v>
      </c>
      <c r="C948" s="37">
        <v>6</v>
      </c>
      <c r="D948" s="38">
        <v>7</v>
      </c>
      <c r="E948" s="39">
        <v>29</v>
      </c>
    </row>
    <row r="949" spans="1:5" x14ac:dyDescent="0.35">
      <c r="A949" s="35" t="s">
        <v>1032</v>
      </c>
      <c r="B949" s="36">
        <v>29</v>
      </c>
      <c r="C949" s="37">
        <v>9</v>
      </c>
      <c r="D949" s="38">
        <v>2</v>
      </c>
      <c r="E949" s="39">
        <v>39</v>
      </c>
    </row>
    <row r="950" spans="1:5" x14ac:dyDescent="0.35">
      <c r="A950" s="35" t="s">
        <v>1033</v>
      </c>
      <c r="B950" s="36">
        <v>39</v>
      </c>
      <c r="C950" s="37">
        <v>5</v>
      </c>
      <c r="D950" s="38">
        <v>12</v>
      </c>
      <c r="E950" s="39">
        <v>35</v>
      </c>
    </row>
    <row r="951" spans="1:5" x14ac:dyDescent="0.35">
      <c r="A951" s="35" t="s">
        <v>1034</v>
      </c>
      <c r="B951" s="36">
        <v>34</v>
      </c>
      <c r="C951" s="37">
        <v>41</v>
      </c>
      <c r="D951" s="38">
        <v>0</v>
      </c>
      <c r="E951" s="39">
        <v>80</v>
      </c>
    </row>
    <row r="952" spans="1:5" x14ac:dyDescent="0.35">
      <c r="A952" s="35" t="s">
        <v>1035</v>
      </c>
      <c r="B952" s="36">
        <v>80</v>
      </c>
      <c r="C952" s="37">
        <v>9</v>
      </c>
      <c r="D952" s="38">
        <v>23</v>
      </c>
      <c r="E952" s="39">
        <v>53</v>
      </c>
    </row>
    <row r="953" spans="1:5" x14ac:dyDescent="0.35">
      <c r="A953" s="35" t="s">
        <v>1036</v>
      </c>
      <c r="B953" s="36">
        <v>53</v>
      </c>
      <c r="C953" s="37">
        <v>12</v>
      </c>
      <c r="D953" s="38">
        <v>9</v>
      </c>
      <c r="E953" s="39">
        <v>65</v>
      </c>
    </row>
    <row r="954" spans="1:5" x14ac:dyDescent="0.35">
      <c r="A954" s="35" t="s">
        <v>1037</v>
      </c>
      <c r="B954" s="36">
        <v>65</v>
      </c>
      <c r="C954" s="37">
        <v>17</v>
      </c>
      <c r="D954" s="38">
        <v>15</v>
      </c>
      <c r="E954" s="39">
        <v>57</v>
      </c>
    </row>
    <row r="955" spans="1:5" x14ac:dyDescent="0.35">
      <c r="A955" s="35" t="s">
        <v>1038</v>
      </c>
      <c r="B955" s="36">
        <v>57</v>
      </c>
      <c r="C955" s="37">
        <v>15</v>
      </c>
      <c r="D955" s="38">
        <v>9</v>
      </c>
      <c r="E955" s="39">
        <v>65</v>
      </c>
    </row>
    <row r="956" spans="1:5" x14ac:dyDescent="0.35">
      <c r="A956" s="35" t="s">
        <v>1039</v>
      </c>
      <c r="B956" s="36">
        <v>65</v>
      </c>
      <c r="C956" s="37">
        <v>29</v>
      </c>
      <c r="D956" s="38">
        <v>30</v>
      </c>
      <c r="E956" s="39">
        <v>52</v>
      </c>
    </row>
    <row r="957" spans="1:5" x14ac:dyDescent="0.35">
      <c r="A957" s="35" t="s">
        <v>1040</v>
      </c>
      <c r="B957" s="36">
        <v>35</v>
      </c>
      <c r="C957" s="37">
        <v>43</v>
      </c>
      <c r="D957" s="38">
        <v>15</v>
      </c>
      <c r="E957" s="39">
        <v>63</v>
      </c>
    </row>
    <row r="958" spans="1:5" x14ac:dyDescent="0.35">
      <c r="A958" s="35" t="s">
        <v>1041</v>
      </c>
      <c r="B958" s="36">
        <v>63</v>
      </c>
      <c r="C958" s="37">
        <v>55</v>
      </c>
      <c r="D958" s="38">
        <v>42</v>
      </c>
      <c r="E958" s="39">
        <v>76</v>
      </c>
    </row>
    <row r="959" spans="1:5" x14ac:dyDescent="0.35">
      <c r="A959" s="35" t="s">
        <v>1042</v>
      </c>
      <c r="B959" s="36">
        <v>76</v>
      </c>
      <c r="C959" s="37">
        <v>1</v>
      </c>
      <c r="D959" s="38">
        <v>45</v>
      </c>
      <c r="E959" s="39">
        <v>46</v>
      </c>
    </row>
    <row r="960" spans="1:5" x14ac:dyDescent="0.35">
      <c r="A960" s="35" t="s">
        <v>1043</v>
      </c>
      <c r="B960" s="36">
        <v>46</v>
      </c>
      <c r="C960" s="37">
        <v>6</v>
      </c>
      <c r="D960" s="38">
        <v>17</v>
      </c>
      <c r="E960" s="39">
        <v>31</v>
      </c>
    </row>
    <row r="961" spans="1:5" x14ac:dyDescent="0.35">
      <c r="A961" s="35" t="s">
        <v>1044</v>
      </c>
      <c r="B961" s="36">
        <v>31</v>
      </c>
      <c r="C961" s="37">
        <v>8</v>
      </c>
      <c r="D961" s="38">
        <v>5</v>
      </c>
      <c r="E961" s="39">
        <v>34</v>
      </c>
    </row>
    <row r="962" spans="1:5" x14ac:dyDescent="0.35">
      <c r="A962" s="35" t="s">
        <v>1045</v>
      </c>
      <c r="B962" s="36">
        <v>34</v>
      </c>
      <c r="C962" s="37">
        <v>10</v>
      </c>
      <c r="D962" s="38">
        <v>6</v>
      </c>
      <c r="E962" s="39">
        <v>39</v>
      </c>
    </row>
    <row r="963" spans="1:5" x14ac:dyDescent="0.35">
      <c r="A963" s="35" t="s">
        <v>1046</v>
      </c>
      <c r="B963" s="36">
        <v>39</v>
      </c>
      <c r="C963" s="37">
        <v>28</v>
      </c>
      <c r="D963" s="38">
        <v>5</v>
      </c>
      <c r="E963" s="39">
        <v>61</v>
      </c>
    </row>
    <row r="964" spans="1:5" x14ac:dyDescent="0.35">
      <c r="A964" s="35" t="s">
        <v>1047</v>
      </c>
      <c r="B964" s="36">
        <v>61</v>
      </c>
      <c r="C964" s="37">
        <v>13</v>
      </c>
      <c r="D964" s="38">
        <v>16</v>
      </c>
      <c r="E964" s="39">
        <v>61</v>
      </c>
    </row>
    <row r="965" spans="1:5" x14ac:dyDescent="0.35">
      <c r="A965" s="35" t="s">
        <v>1048</v>
      </c>
      <c r="B965" s="36">
        <v>61</v>
      </c>
      <c r="C965" s="37">
        <v>48</v>
      </c>
      <c r="D965" s="38">
        <v>13</v>
      </c>
      <c r="E965" s="39">
        <v>95</v>
      </c>
    </row>
    <row r="966" spans="1:5" x14ac:dyDescent="0.35">
      <c r="A966" s="35" t="s">
        <v>1049</v>
      </c>
      <c r="B966" s="36">
        <v>95</v>
      </c>
      <c r="C966" s="37">
        <v>45</v>
      </c>
      <c r="D966" s="38">
        <v>40</v>
      </c>
      <c r="E966" s="39">
        <v>90</v>
      </c>
    </row>
    <row r="967" spans="1:5" x14ac:dyDescent="0.35">
      <c r="A967" s="35" t="s">
        <v>1050</v>
      </c>
      <c r="B967" s="36">
        <v>90</v>
      </c>
      <c r="C967" s="37">
        <v>27</v>
      </c>
      <c r="D967" s="38">
        <v>61</v>
      </c>
      <c r="E967" s="39">
        <v>52</v>
      </c>
    </row>
    <row r="968" spans="1:5" x14ac:dyDescent="0.35">
      <c r="A968" s="35" t="s">
        <v>1051</v>
      </c>
      <c r="B968" s="36">
        <v>52</v>
      </c>
      <c r="C968" s="37">
        <v>6</v>
      </c>
      <c r="D968" s="38">
        <v>25</v>
      </c>
      <c r="E968" s="39">
        <v>33</v>
      </c>
    </row>
    <row r="969" spans="1:5" x14ac:dyDescent="0.35">
      <c r="A969" s="35" t="s">
        <v>1052</v>
      </c>
      <c r="B969" s="36">
        <v>33</v>
      </c>
      <c r="C969" s="37">
        <v>11</v>
      </c>
      <c r="D969" s="38">
        <v>13</v>
      </c>
      <c r="E969" s="39">
        <v>25</v>
      </c>
    </row>
    <row r="970" spans="1:5" x14ac:dyDescent="0.35">
      <c r="A970" s="35" t="s">
        <v>1053</v>
      </c>
      <c r="B970" s="36">
        <v>25</v>
      </c>
      <c r="C970" s="37">
        <v>11</v>
      </c>
      <c r="D970" s="38">
        <v>13</v>
      </c>
      <c r="E970" s="39">
        <v>30</v>
      </c>
    </row>
    <row r="971" spans="1:5" x14ac:dyDescent="0.35">
      <c r="A971" s="35" t="s">
        <v>1054</v>
      </c>
      <c r="B971" s="36">
        <v>30</v>
      </c>
      <c r="C971" s="37">
        <v>28</v>
      </c>
      <c r="D971" s="38">
        <v>14</v>
      </c>
      <c r="E971" s="39">
        <v>44</v>
      </c>
    </row>
    <row r="972" spans="1:5" x14ac:dyDescent="0.35">
      <c r="A972" s="35" t="s">
        <v>1055</v>
      </c>
      <c r="B972" s="36">
        <v>43</v>
      </c>
      <c r="C972" s="37">
        <v>14</v>
      </c>
      <c r="D972" s="38">
        <v>29</v>
      </c>
      <c r="E972" s="39">
        <v>32</v>
      </c>
    </row>
    <row r="973" spans="1:5" x14ac:dyDescent="0.35">
      <c r="A973" s="35" t="s">
        <v>1056</v>
      </c>
      <c r="B973" s="36">
        <v>32</v>
      </c>
      <c r="C973" s="37">
        <v>19</v>
      </c>
      <c r="D973" s="38">
        <v>21</v>
      </c>
      <c r="E973" s="39">
        <v>28</v>
      </c>
    </row>
    <row r="974" spans="1:5" x14ac:dyDescent="0.35">
      <c r="A974" s="35" t="s">
        <v>1057</v>
      </c>
      <c r="B974" s="36">
        <v>37</v>
      </c>
      <c r="C974" s="37">
        <v>8</v>
      </c>
      <c r="D974" s="38">
        <v>18</v>
      </c>
      <c r="E974" s="39">
        <v>31</v>
      </c>
    </row>
    <row r="975" spans="1:5" x14ac:dyDescent="0.35">
      <c r="A975" s="35" t="s">
        <v>1058</v>
      </c>
      <c r="B975" s="36">
        <v>31</v>
      </c>
      <c r="C975" s="37">
        <v>11</v>
      </c>
      <c r="D975" s="38">
        <v>13</v>
      </c>
      <c r="E975" s="39">
        <v>21</v>
      </c>
    </row>
    <row r="976" spans="1:5" x14ac:dyDescent="0.35">
      <c r="A976" s="35" t="s">
        <v>1059</v>
      </c>
      <c r="B976" s="36">
        <v>21</v>
      </c>
      <c r="C976" s="37">
        <v>23</v>
      </c>
      <c r="D976" s="38">
        <v>13</v>
      </c>
      <c r="E976" s="39">
        <v>30</v>
      </c>
    </row>
    <row r="977" spans="1:5" x14ac:dyDescent="0.35">
      <c r="A977" s="35" t="s">
        <v>1060</v>
      </c>
      <c r="B977" s="36">
        <v>30</v>
      </c>
      <c r="C977" s="37">
        <v>2</v>
      </c>
      <c r="D977" s="38">
        <v>16</v>
      </c>
      <c r="E977" s="39">
        <v>19</v>
      </c>
    </row>
    <row r="978" spans="1:5" x14ac:dyDescent="0.35">
      <c r="A978" s="35" t="s">
        <v>1061</v>
      </c>
      <c r="B978" s="36">
        <v>19</v>
      </c>
      <c r="C978" s="37">
        <v>17</v>
      </c>
      <c r="D978" s="38">
        <v>0</v>
      </c>
      <c r="E978" s="39">
        <v>34</v>
      </c>
    </row>
    <row r="979" spans="1:5" x14ac:dyDescent="0.35">
      <c r="A979" s="35" t="s">
        <v>1062</v>
      </c>
      <c r="B979" s="36">
        <v>32</v>
      </c>
      <c r="C979" s="37">
        <v>25</v>
      </c>
      <c r="D979" s="38">
        <v>17</v>
      </c>
      <c r="E979" s="39">
        <v>42</v>
      </c>
    </row>
    <row r="980" spans="1:5" x14ac:dyDescent="0.35">
      <c r="A980" s="35" t="s">
        <v>1063</v>
      </c>
      <c r="B980" s="36">
        <v>42</v>
      </c>
      <c r="C980" s="37">
        <v>34</v>
      </c>
      <c r="D980" s="38">
        <v>14</v>
      </c>
      <c r="E980" s="39">
        <v>66</v>
      </c>
    </row>
    <row r="981" spans="1:5" x14ac:dyDescent="0.35">
      <c r="A981" s="35" t="s">
        <v>1064</v>
      </c>
      <c r="B981" s="36">
        <v>66</v>
      </c>
      <c r="C981" s="37">
        <v>23</v>
      </c>
      <c r="D981" s="38">
        <v>21</v>
      </c>
      <c r="E981" s="39">
        <v>50</v>
      </c>
    </row>
    <row r="982" spans="1:5" x14ac:dyDescent="0.35">
      <c r="A982" s="35" t="s">
        <v>1065</v>
      </c>
      <c r="B982" s="36">
        <v>50</v>
      </c>
      <c r="C982" s="37">
        <v>29</v>
      </c>
      <c r="D982" s="38">
        <v>24</v>
      </c>
      <c r="E982" s="39">
        <v>56</v>
      </c>
    </row>
    <row r="983" spans="1:5" x14ac:dyDescent="0.35">
      <c r="A983" s="35" t="s">
        <v>1066</v>
      </c>
      <c r="B983" s="36">
        <v>59</v>
      </c>
      <c r="C983" s="37">
        <v>33</v>
      </c>
      <c r="D983" s="38">
        <v>29</v>
      </c>
      <c r="E983" s="39">
        <v>66</v>
      </c>
    </row>
    <row r="984" spans="1:5" x14ac:dyDescent="0.35">
      <c r="A984" s="35" t="s">
        <v>1067</v>
      </c>
      <c r="B984" s="36">
        <v>66</v>
      </c>
      <c r="C984" s="37">
        <v>42</v>
      </c>
      <c r="D984" s="38">
        <v>40</v>
      </c>
      <c r="E984" s="39">
        <v>67</v>
      </c>
    </row>
    <row r="985" spans="1:5" x14ac:dyDescent="0.35">
      <c r="A985" s="35" t="s">
        <v>1068</v>
      </c>
      <c r="B985" s="36">
        <v>67</v>
      </c>
      <c r="C985" s="37">
        <v>10</v>
      </c>
      <c r="D985" s="38">
        <v>40</v>
      </c>
      <c r="E985" s="39">
        <v>54</v>
      </c>
    </row>
    <row r="986" spans="1:5" x14ac:dyDescent="0.35">
      <c r="A986" s="35" t="s">
        <v>1069</v>
      </c>
      <c r="B986" s="36">
        <v>54</v>
      </c>
      <c r="C986" s="37">
        <v>16</v>
      </c>
      <c r="D986" s="38">
        <v>10</v>
      </c>
      <c r="E986" s="39">
        <v>39</v>
      </c>
    </row>
    <row r="987" spans="1:5" x14ac:dyDescent="0.35">
      <c r="A987" s="35" t="s">
        <v>1070</v>
      </c>
      <c r="B987" s="36">
        <v>39</v>
      </c>
      <c r="C987" s="37">
        <v>46</v>
      </c>
      <c r="D987" s="38">
        <v>8</v>
      </c>
      <c r="E987" s="39">
        <v>75</v>
      </c>
    </row>
    <row r="988" spans="1:5" x14ac:dyDescent="0.35">
      <c r="A988" s="35" t="s">
        <v>1071</v>
      </c>
      <c r="B988" s="36">
        <v>69</v>
      </c>
      <c r="C988" s="37">
        <v>48</v>
      </c>
      <c r="D988" s="38">
        <v>14</v>
      </c>
      <c r="E988" s="39">
        <v>98</v>
      </c>
    </row>
    <row r="989" spans="1:5" x14ac:dyDescent="0.35">
      <c r="A989" s="35" t="s">
        <v>1072</v>
      </c>
      <c r="B989" s="36">
        <v>98</v>
      </c>
      <c r="C989" s="37">
        <v>44</v>
      </c>
      <c r="D989" s="38">
        <v>3</v>
      </c>
      <c r="E989" s="39">
        <v>138</v>
      </c>
    </row>
    <row r="990" spans="1:5" x14ac:dyDescent="0.35">
      <c r="A990" s="35" t="s">
        <v>1073</v>
      </c>
      <c r="B990" s="36">
        <v>138</v>
      </c>
      <c r="C990" s="37">
        <v>63</v>
      </c>
      <c r="D990" s="38">
        <v>57</v>
      </c>
      <c r="E990" s="39">
        <v>147</v>
      </c>
    </row>
    <row r="991" spans="1:5" x14ac:dyDescent="0.35">
      <c r="A991" s="35" t="s">
        <v>1074</v>
      </c>
      <c r="B991" s="36">
        <v>136</v>
      </c>
      <c r="C991" s="37">
        <v>6</v>
      </c>
      <c r="D991" s="38">
        <v>48</v>
      </c>
      <c r="E991" s="39">
        <v>82</v>
      </c>
    </row>
    <row r="992" spans="1:5" x14ac:dyDescent="0.35">
      <c r="A992" s="35" t="s">
        <v>1075</v>
      </c>
      <c r="B992" s="36">
        <v>82</v>
      </c>
      <c r="C992" s="37">
        <v>26</v>
      </c>
      <c r="D992" s="38">
        <v>43</v>
      </c>
      <c r="E992" s="39">
        <v>53</v>
      </c>
    </row>
    <row r="993" spans="1:5" x14ac:dyDescent="0.35">
      <c r="A993" s="35" t="s">
        <v>1076</v>
      </c>
      <c r="B993" s="36">
        <v>53</v>
      </c>
      <c r="C993" s="37">
        <v>27</v>
      </c>
      <c r="D993" s="38">
        <v>26</v>
      </c>
      <c r="E993" s="39">
        <v>64</v>
      </c>
    </row>
    <row r="994" spans="1:5" x14ac:dyDescent="0.35">
      <c r="A994" s="35" t="s">
        <v>1077</v>
      </c>
      <c r="B994" s="36">
        <v>62</v>
      </c>
      <c r="C994" s="37">
        <v>7</v>
      </c>
      <c r="D994" s="38">
        <v>15</v>
      </c>
      <c r="E994" s="39">
        <v>52</v>
      </c>
    </row>
    <row r="995" spans="1:5" x14ac:dyDescent="0.35">
      <c r="A995" s="35" t="s">
        <v>1078</v>
      </c>
      <c r="B995" s="36">
        <v>52</v>
      </c>
      <c r="C995" s="37">
        <v>57</v>
      </c>
      <c r="D995" s="38">
        <v>28</v>
      </c>
      <c r="E995" s="39">
        <v>81</v>
      </c>
    </row>
    <row r="996" spans="1:5" x14ac:dyDescent="0.35">
      <c r="A996" s="35" t="s">
        <v>1079</v>
      </c>
      <c r="B996" s="36">
        <v>73</v>
      </c>
      <c r="C996" s="37">
        <v>5</v>
      </c>
      <c r="D996" s="38">
        <v>44</v>
      </c>
      <c r="E996" s="39">
        <v>37</v>
      </c>
    </row>
    <row r="997" spans="1:5" x14ac:dyDescent="0.35">
      <c r="A997" s="35" t="s">
        <v>1080</v>
      </c>
      <c r="B997" s="36">
        <v>37</v>
      </c>
      <c r="C997" s="37">
        <v>5</v>
      </c>
      <c r="D997" s="38">
        <v>15</v>
      </c>
      <c r="E997" s="39">
        <v>26</v>
      </c>
    </row>
    <row r="998" spans="1:5" x14ac:dyDescent="0.35">
      <c r="A998" s="35" t="s">
        <v>1081</v>
      </c>
      <c r="B998" s="36">
        <v>26</v>
      </c>
      <c r="C998" s="37">
        <v>26</v>
      </c>
      <c r="D998" s="38">
        <v>5</v>
      </c>
      <c r="E998" s="39">
        <v>42</v>
      </c>
    </row>
    <row r="999" spans="1:5" x14ac:dyDescent="0.35">
      <c r="A999" s="35" t="s">
        <v>1082</v>
      </c>
      <c r="B999" s="36">
        <v>42</v>
      </c>
      <c r="C999" s="37">
        <v>10</v>
      </c>
      <c r="D999" s="38">
        <v>3</v>
      </c>
      <c r="E999" s="39">
        <v>49</v>
      </c>
    </row>
    <row r="1000" spans="1:5" x14ac:dyDescent="0.35">
      <c r="A1000" s="35" t="s">
        <v>1083</v>
      </c>
      <c r="B1000" s="36">
        <v>49</v>
      </c>
      <c r="C1000" s="37">
        <v>17</v>
      </c>
      <c r="D1000" s="38">
        <v>28</v>
      </c>
      <c r="E1000" s="39">
        <v>36</v>
      </c>
    </row>
    <row r="1001" spans="1:5" x14ac:dyDescent="0.35">
      <c r="A1001" s="35" t="s">
        <v>1084</v>
      </c>
      <c r="B1001" s="36">
        <v>36</v>
      </c>
      <c r="C1001" s="37">
        <v>11</v>
      </c>
      <c r="D1001" s="38">
        <v>11</v>
      </c>
      <c r="E1001" s="39">
        <v>33</v>
      </c>
    </row>
    <row r="1002" spans="1:5" x14ac:dyDescent="0.35">
      <c r="A1002" s="35" t="s">
        <v>1085</v>
      </c>
      <c r="B1002" s="36">
        <v>33</v>
      </c>
      <c r="C1002" s="37">
        <v>41</v>
      </c>
      <c r="D1002" s="38">
        <v>21</v>
      </c>
      <c r="E1002" s="39">
        <v>41</v>
      </c>
    </row>
    <row r="1003" spans="1:5" x14ac:dyDescent="0.35">
      <c r="A1003" s="35" t="s">
        <v>1086</v>
      </c>
      <c r="B1003" s="36">
        <v>36</v>
      </c>
      <c r="C1003" s="37">
        <v>30</v>
      </c>
      <c r="D1003" s="38">
        <v>24</v>
      </c>
      <c r="E1003" s="39">
        <v>45</v>
      </c>
    </row>
    <row r="1004" spans="1:5" x14ac:dyDescent="0.35">
      <c r="A1004" s="35" t="s">
        <v>1087</v>
      </c>
      <c r="B1004" s="36">
        <v>45</v>
      </c>
      <c r="C1004" s="37">
        <v>4</v>
      </c>
      <c r="D1004" s="38">
        <v>2</v>
      </c>
      <c r="E1004" s="39">
        <v>43</v>
      </c>
    </row>
    <row r="1005" spans="1:5" x14ac:dyDescent="0.35">
      <c r="A1005" s="35" t="s">
        <v>1088</v>
      </c>
      <c r="B1005" s="36">
        <v>43</v>
      </c>
      <c r="C1005" s="37">
        <v>19</v>
      </c>
      <c r="D1005" s="38">
        <v>6</v>
      </c>
      <c r="E1005" s="39">
        <v>56</v>
      </c>
    </row>
    <row r="1006" spans="1:5" x14ac:dyDescent="0.35">
      <c r="A1006" s="35" t="s">
        <v>1089</v>
      </c>
      <c r="B1006" s="36">
        <v>56</v>
      </c>
      <c r="C1006" s="37">
        <v>12</v>
      </c>
      <c r="D1006" s="38">
        <v>25</v>
      </c>
      <c r="E1006" s="39">
        <v>43</v>
      </c>
    </row>
    <row r="1007" spans="1:5" x14ac:dyDescent="0.35">
      <c r="A1007" s="35" t="s">
        <v>1090</v>
      </c>
      <c r="B1007" s="36">
        <v>42</v>
      </c>
      <c r="C1007" s="37">
        <v>30</v>
      </c>
      <c r="D1007" s="38">
        <v>3</v>
      </c>
      <c r="E1007" s="39">
        <v>67</v>
      </c>
    </row>
    <row r="1008" spans="1:5" x14ac:dyDescent="0.35">
      <c r="A1008" s="35" t="s">
        <v>1091</v>
      </c>
      <c r="B1008" s="36">
        <v>67</v>
      </c>
      <c r="C1008" s="37">
        <v>32</v>
      </c>
      <c r="D1008" s="38">
        <v>46</v>
      </c>
      <c r="E1008" s="39">
        <v>55</v>
      </c>
    </row>
    <row r="1009" spans="1:5" x14ac:dyDescent="0.35">
      <c r="A1009" s="35" t="s">
        <v>1092</v>
      </c>
      <c r="B1009" s="36">
        <v>55</v>
      </c>
      <c r="C1009" s="37">
        <v>48</v>
      </c>
      <c r="D1009" s="38">
        <v>10</v>
      </c>
      <c r="E1009" s="39">
        <v>91</v>
      </c>
    </row>
    <row r="1010" spans="1:5" x14ac:dyDescent="0.35">
      <c r="A1010" s="35" t="s">
        <v>1093</v>
      </c>
      <c r="B1010" s="36">
        <v>91</v>
      </c>
      <c r="C1010" s="37">
        <v>1</v>
      </c>
      <c r="D1010" s="38">
        <v>58</v>
      </c>
      <c r="E1010" s="39">
        <v>36</v>
      </c>
    </row>
    <row r="1011" spans="1:5" x14ac:dyDescent="0.35">
      <c r="A1011" s="35" t="s">
        <v>1094</v>
      </c>
      <c r="B1011" s="36">
        <v>36</v>
      </c>
      <c r="C1011" s="37">
        <v>15</v>
      </c>
      <c r="D1011" s="38">
        <v>5</v>
      </c>
      <c r="E1011" s="39">
        <v>44</v>
      </c>
    </row>
    <row r="1012" spans="1:5" x14ac:dyDescent="0.35">
      <c r="A1012" s="35" t="s">
        <v>1095</v>
      </c>
      <c r="B1012" s="36">
        <v>44</v>
      </c>
      <c r="C1012" s="37">
        <v>11</v>
      </c>
      <c r="D1012" s="38">
        <v>15</v>
      </c>
      <c r="E1012" s="39">
        <v>40</v>
      </c>
    </row>
    <row r="1013" spans="1:5" x14ac:dyDescent="0.35">
      <c r="A1013" s="35" t="s">
        <v>1096</v>
      </c>
      <c r="B1013" s="36">
        <v>40</v>
      </c>
      <c r="C1013" s="37">
        <v>21</v>
      </c>
      <c r="D1013" s="38">
        <v>18</v>
      </c>
      <c r="E1013" s="39">
        <v>35</v>
      </c>
    </row>
    <row r="1014" spans="1:5" x14ac:dyDescent="0.35">
      <c r="A1014" s="35" t="s">
        <v>1097</v>
      </c>
      <c r="B1014" s="36">
        <v>35</v>
      </c>
      <c r="C1014" s="37">
        <v>13</v>
      </c>
      <c r="D1014" s="38">
        <v>12</v>
      </c>
      <c r="E1014" s="39">
        <v>36</v>
      </c>
    </row>
    <row r="1015" spans="1:5" x14ac:dyDescent="0.35">
      <c r="A1015" s="35" t="s">
        <v>1098</v>
      </c>
      <c r="B1015" s="36">
        <v>36</v>
      </c>
      <c r="C1015" s="37">
        <v>49</v>
      </c>
      <c r="D1015" s="38">
        <v>8</v>
      </c>
      <c r="E1015" s="39">
        <v>77</v>
      </c>
    </row>
    <row r="1016" spans="1:5" x14ac:dyDescent="0.35">
      <c r="A1016" s="35" t="s">
        <v>1099</v>
      </c>
      <c r="B1016" s="36">
        <v>77</v>
      </c>
      <c r="C1016" s="37">
        <v>36</v>
      </c>
      <c r="D1016" s="38">
        <v>25</v>
      </c>
      <c r="E1016" s="39">
        <v>86</v>
      </c>
    </row>
    <row r="1017" spans="1:5" x14ac:dyDescent="0.35">
      <c r="A1017" s="35" t="s">
        <v>1100</v>
      </c>
      <c r="B1017" s="36">
        <v>85</v>
      </c>
      <c r="C1017" s="37">
        <v>18</v>
      </c>
      <c r="D1017" s="38">
        <v>31</v>
      </c>
      <c r="E1017" s="39">
        <v>60</v>
      </c>
    </row>
    <row r="1018" spans="1:5" x14ac:dyDescent="0.35">
      <c r="A1018" s="35" t="s">
        <v>1101</v>
      </c>
      <c r="B1018" s="36">
        <v>60</v>
      </c>
      <c r="C1018" s="37">
        <v>27</v>
      </c>
      <c r="D1018" s="38">
        <v>30</v>
      </c>
      <c r="E1018" s="39">
        <v>49</v>
      </c>
    </row>
    <row r="1019" spans="1:5" x14ac:dyDescent="0.35">
      <c r="A1019" s="35" t="s">
        <v>1102</v>
      </c>
      <c r="B1019" s="36">
        <v>49</v>
      </c>
      <c r="C1019" s="37">
        <v>26</v>
      </c>
      <c r="D1019" s="38">
        <v>41</v>
      </c>
      <c r="E1019" s="39">
        <v>34</v>
      </c>
    </row>
    <row r="1020" spans="1:5" x14ac:dyDescent="0.35">
      <c r="A1020" s="35" t="s">
        <v>1103</v>
      </c>
      <c r="B1020" s="36">
        <v>35</v>
      </c>
      <c r="C1020" s="37">
        <v>25</v>
      </c>
      <c r="D1020" s="38">
        <v>7</v>
      </c>
      <c r="E1020" s="39">
        <v>66</v>
      </c>
    </row>
    <row r="1021" spans="1:5" x14ac:dyDescent="0.35">
      <c r="A1021" s="35" t="s">
        <v>1104</v>
      </c>
      <c r="B1021" s="36">
        <v>66</v>
      </c>
      <c r="C1021" s="37">
        <v>39</v>
      </c>
      <c r="D1021" s="38">
        <v>32</v>
      </c>
      <c r="E1021" s="39">
        <v>66</v>
      </c>
    </row>
    <row r="1022" spans="1:5" x14ac:dyDescent="0.35">
      <c r="A1022" s="35" t="s">
        <v>1105</v>
      </c>
      <c r="B1022" s="36">
        <v>66</v>
      </c>
      <c r="C1022" s="37">
        <v>30</v>
      </c>
      <c r="D1022" s="38">
        <v>21</v>
      </c>
      <c r="E1022" s="39">
        <v>65</v>
      </c>
    </row>
    <row r="1023" spans="1:5" x14ac:dyDescent="0.35">
      <c r="A1023" s="35" t="s">
        <v>1106</v>
      </c>
      <c r="B1023" s="36">
        <v>65</v>
      </c>
      <c r="C1023" s="37">
        <v>14</v>
      </c>
      <c r="D1023" s="38">
        <v>32</v>
      </c>
      <c r="E1023" s="39">
        <v>52</v>
      </c>
    </row>
    <row r="1024" spans="1:5" x14ac:dyDescent="0.35">
      <c r="A1024" s="35" t="s">
        <v>1107</v>
      </c>
      <c r="B1024" s="36">
        <v>51</v>
      </c>
      <c r="C1024" s="37">
        <v>29</v>
      </c>
      <c r="D1024" s="38">
        <v>32</v>
      </c>
      <c r="E1024" s="39">
        <v>39</v>
      </c>
    </row>
    <row r="1025" spans="1:5" x14ac:dyDescent="0.35">
      <c r="A1025" s="35" t="s">
        <v>1108</v>
      </c>
      <c r="B1025" s="36">
        <v>39</v>
      </c>
      <c r="C1025" s="37">
        <v>30</v>
      </c>
      <c r="D1025" s="38">
        <v>7</v>
      </c>
      <c r="E1025" s="39">
        <v>59</v>
      </c>
    </row>
    <row r="1026" spans="1:5" x14ac:dyDescent="0.35">
      <c r="A1026" s="35" t="s">
        <v>1109</v>
      </c>
      <c r="B1026" s="36">
        <v>65</v>
      </c>
      <c r="C1026" s="37">
        <v>26</v>
      </c>
      <c r="D1026" s="38">
        <v>21</v>
      </c>
      <c r="E1026" s="39">
        <v>68</v>
      </c>
    </row>
    <row r="1027" spans="1:5" x14ac:dyDescent="0.35">
      <c r="A1027" s="35" t="s">
        <v>1110</v>
      </c>
      <c r="B1027" s="36">
        <v>61</v>
      </c>
      <c r="C1027" s="37">
        <v>40</v>
      </c>
      <c r="D1027" s="38">
        <v>34</v>
      </c>
      <c r="E1027" s="39">
        <v>67</v>
      </c>
    </row>
    <row r="1028" spans="1:5" x14ac:dyDescent="0.35">
      <c r="A1028" s="35" t="s">
        <v>1111</v>
      </c>
      <c r="B1028" s="36">
        <v>64</v>
      </c>
      <c r="C1028" s="37">
        <v>4</v>
      </c>
      <c r="D1028" s="38">
        <v>44</v>
      </c>
      <c r="E1028" s="39">
        <v>25</v>
      </c>
    </row>
    <row r="1029" spans="1:5" x14ac:dyDescent="0.35">
      <c r="A1029" s="35" t="s">
        <v>1112</v>
      </c>
      <c r="B1029" s="36">
        <v>25</v>
      </c>
      <c r="C1029" s="37">
        <v>8</v>
      </c>
      <c r="D1029" s="38">
        <v>4</v>
      </c>
      <c r="E1029" s="39">
        <v>29</v>
      </c>
    </row>
    <row r="1030" spans="1:5" x14ac:dyDescent="0.35">
      <c r="A1030" s="35" t="s">
        <v>1113</v>
      </c>
      <c r="B1030" s="36">
        <v>29</v>
      </c>
      <c r="C1030" s="37">
        <v>19</v>
      </c>
      <c r="D1030" s="38">
        <v>9</v>
      </c>
      <c r="E1030" s="39">
        <v>38</v>
      </c>
    </row>
    <row r="1031" spans="1:5" x14ac:dyDescent="0.35">
      <c r="A1031" s="35" t="s">
        <v>1114</v>
      </c>
      <c r="B1031" s="36">
        <v>60</v>
      </c>
      <c r="C1031" s="37">
        <v>9</v>
      </c>
      <c r="D1031" s="38">
        <v>33</v>
      </c>
      <c r="E1031" s="39">
        <v>36</v>
      </c>
    </row>
    <row r="1032" spans="1:5" x14ac:dyDescent="0.35">
      <c r="A1032" s="35" t="s">
        <v>1115</v>
      </c>
      <c r="B1032" s="36">
        <v>36</v>
      </c>
      <c r="C1032" s="37">
        <v>61</v>
      </c>
      <c r="D1032" s="38">
        <v>6</v>
      </c>
      <c r="E1032" s="39">
        <v>89</v>
      </c>
    </row>
    <row r="1033" spans="1:5" x14ac:dyDescent="0.35">
      <c r="A1033" s="35" t="s">
        <v>1116</v>
      </c>
      <c r="B1033" s="36">
        <v>89</v>
      </c>
      <c r="C1033" s="37">
        <v>10</v>
      </c>
      <c r="D1033" s="38">
        <v>20</v>
      </c>
      <c r="E1033" s="39">
        <v>59</v>
      </c>
    </row>
    <row r="1034" spans="1:5" x14ac:dyDescent="0.35">
      <c r="A1034" s="35" t="s">
        <v>1117</v>
      </c>
      <c r="B1034" s="36">
        <v>59</v>
      </c>
      <c r="C1034" s="37">
        <v>71</v>
      </c>
      <c r="D1034" s="38">
        <v>17</v>
      </c>
      <c r="E1034" s="39">
        <v>106</v>
      </c>
    </row>
    <row r="1035" spans="1:5" x14ac:dyDescent="0.35">
      <c r="A1035" s="35" t="s">
        <v>1118</v>
      </c>
      <c r="B1035" s="36">
        <v>106</v>
      </c>
      <c r="C1035" s="37">
        <v>8</v>
      </c>
      <c r="D1035" s="38">
        <v>47</v>
      </c>
      <c r="E1035" s="39">
        <v>73</v>
      </c>
    </row>
    <row r="1036" spans="1:5" x14ac:dyDescent="0.35">
      <c r="A1036" s="35" t="s">
        <v>1119</v>
      </c>
      <c r="B1036" s="36">
        <v>73</v>
      </c>
      <c r="C1036" s="37">
        <v>8</v>
      </c>
      <c r="D1036" s="38">
        <v>47</v>
      </c>
      <c r="E1036" s="39">
        <v>34</v>
      </c>
    </row>
    <row r="1037" spans="1:5" x14ac:dyDescent="0.35">
      <c r="A1037" s="35" t="s">
        <v>1120</v>
      </c>
      <c r="B1037" s="36">
        <v>34</v>
      </c>
      <c r="C1037" s="37">
        <v>26</v>
      </c>
      <c r="D1037" s="38">
        <v>3</v>
      </c>
      <c r="E1037" s="39">
        <v>55</v>
      </c>
    </row>
    <row r="1038" spans="1:5" x14ac:dyDescent="0.35">
      <c r="A1038" s="35" t="s">
        <v>1121</v>
      </c>
      <c r="B1038" s="36">
        <v>55</v>
      </c>
      <c r="C1038" s="37">
        <v>27</v>
      </c>
      <c r="D1038" s="38">
        <v>8</v>
      </c>
      <c r="E1038" s="39">
        <v>74</v>
      </c>
    </row>
    <row r="1039" spans="1:5" ht="15.5" customHeight="1" x14ac:dyDescent="0.35">
      <c r="A1039" s="35" t="s">
        <v>1122</v>
      </c>
      <c r="B1039" s="36">
        <v>74</v>
      </c>
      <c r="C1039" s="37">
        <v>19</v>
      </c>
      <c r="D1039" s="38">
        <v>32</v>
      </c>
      <c r="E1039" s="39">
        <v>60</v>
      </c>
    </row>
    <row r="1040" spans="1:5" x14ac:dyDescent="0.35">
      <c r="A1040" s="35" t="s">
        <v>1123</v>
      </c>
      <c r="B1040" s="36">
        <v>60</v>
      </c>
      <c r="C1040" s="37">
        <v>15</v>
      </c>
      <c r="D1040" s="38">
        <v>16</v>
      </c>
      <c r="E1040" s="39">
        <v>57</v>
      </c>
    </row>
    <row r="1041" spans="1:5" x14ac:dyDescent="0.35">
      <c r="A1041" s="35" t="s">
        <v>1124</v>
      </c>
      <c r="B1041" s="36">
        <v>57</v>
      </c>
      <c r="C1041" s="37">
        <v>43</v>
      </c>
      <c r="D1041" s="38">
        <v>33</v>
      </c>
      <c r="E1041" s="39">
        <v>65</v>
      </c>
    </row>
    <row r="1042" spans="1:5" x14ac:dyDescent="0.35">
      <c r="A1042" s="35" t="s">
        <v>1125</v>
      </c>
      <c r="B1042" s="36">
        <v>65</v>
      </c>
      <c r="C1042" s="37">
        <v>20</v>
      </c>
      <c r="D1042" s="38">
        <v>14</v>
      </c>
      <c r="E1042" s="39">
        <v>71</v>
      </c>
    </row>
    <row r="1043" spans="1:5" x14ac:dyDescent="0.35">
      <c r="A1043" s="35" t="s">
        <v>1126</v>
      </c>
      <c r="B1043" s="36">
        <v>71</v>
      </c>
      <c r="C1043" s="37">
        <v>38</v>
      </c>
      <c r="D1043" s="38">
        <v>23</v>
      </c>
      <c r="E1043" s="39">
        <v>86</v>
      </c>
    </row>
    <row r="1044" spans="1:5" x14ac:dyDescent="0.35">
      <c r="A1044" s="35" t="s">
        <v>1127</v>
      </c>
      <c r="B1044" s="36">
        <v>86</v>
      </c>
      <c r="C1044" s="37">
        <v>15</v>
      </c>
      <c r="D1044" s="38">
        <v>42</v>
      </c>
      <c r="E1044" s="39">
        <v>53</v>
      </c>
    </row>
    <row r="1045" spans="1:5" x14ac:dyDescent="0.35">
      <c r="A1045" s="35" t="s">
        <v>1128</v>
      </c>
      <c r="B1045" s="36">
        <v>53</v>
      </c>
      <c r="C1045" s="37">
        <v>35</v>
      </c>
      <c r="D1045" s="38">
        <v>7</v>
      </c>
      <c r="E1045" s="39">
        <v>85</v>
      </c>
    </row>
    <row r="1046" spans="1:5" x14ac:dyDescent="0.35">
      <c r="A1046" s="35" t="s">
        <v>1129</v>
      </c>
      <c r="B1046" s="36">
        <v>85</v>
      </c>
      <c r="C1046" s="37">
        <v>31</v>
      </c>
      <c r="D1046" s="38">
        <v>18</v>
      </c>
      <c r="E1046" s="39">
        <v>99</v>
      </c>
    </row>
    <row r="1047" spans="1:5" x14ac:dyDescent="0.35">
      <c r="A1047" s="35" t="s">
        <v>1130</v>
      </c>
      <c r="B1047" s="36">
        <v>99</v>
      </c>
      <c r="C1047" s="37">
        <v>35</v>
      </c>
      <c r="D1047" s="38">
        <v>42</v>
      </c>
      <c r="E1047" s="39">
        <v>91</v>
      </c>
    </row>
    <row r="1048" spans="1:5" x14ac:dyDescent="0.35">
      <c r="A1048" s="35" t="s">
        <v>1131</v>
      </c>
      <c r="B1048" s="36">
        <v>91</v>
      </c>
      <c r="C1048" s="37">
        <v>9</v>
      </c>
      <c r="D1048" s="38">
        <v>16</v>
      </c>
      <c r="E1048" s="39">
        <v>62</v>
      </c>
    </row>
    <row r="1049" spans="1:5" x14ac:dyDescent="0.35">
      <c r="A1049" s="35" t="s">
        <v>1132</v>
      </c>
      <c r="B1049" s="36">
        <v>61</v>
      </c>
      <c r="C1049" s="37">
        <v>37</v>
      </c>
      <c r="D1049" s="38">
        <v>13</v>
      </c>
      <c r="E1049" s="39">
        <v>66</v>
      </c>
    </row>
    <row r="1050" spans="1:5" x14ac:dyDescent="0.35">
      <c r="A1050" s="35" t="s">
        <v>1133</v>
      </c>
      <c r="B1050" s="36">
        <v>78</v>
      </c>
      <c r="C1050" s="37">
        <v>13</v>
      </c>
      <c r="D1050" s="38">
        <v>10</v>
      </c>
      <c r="E1050" s="39">
        <v>78</v>
      </c>
    </row>
    <row r="1051" spans="1:5" x14ac:dyDescent="0.35">
      <c r="A1051" s="35" t="s">
        <v>1134</v>
      </c>
      <c r="B1051" s="36">
        <v>78</v>
      </c>
      <c r="C1051" s="37">
        <v>26</v>
      </c>
      <c r="D1051" s="38">
        <v>46</v>
      </c>
      <c r="E1051" s="39">
        <v>60</v>
      </c>
    </row>
    <row r="1052" spans="1:5" x14ac:dyDescent="0.35">
      <c r="A1052" s="35" t="s">
        <v>1135</v>
      </c>
      <c r="B1052" s="36">
        <v>60</v>
      </c>
      <c r="C1052" s="37">
        <v>44</v>
      </c>
      <c r="D1052" s="38">
        <v>18</v>
      </c>
      <c r="E1052" s="39">
        <v>80</v>
      </c>
    </row>
    <row r="1053" spans="1:5" x14ac:dyDescent="0.35">
      <c r="A1053" s="35" t="s">
        <v>1136</v>
      </c>
      <c r="B1053" s="36">
        <v>80</v>
      </c>
      <c r="C1053" s="37">
        <v>2</v>
      </c>
      <c r="D1053" s="38">
        <v>37</v>
      </c>
      <c r="E1053" s="39">
        <v>57</v>
      </c>
    </row>
    <row r="1054" spans="1:5" x14ac:dyDescent="0.35">
      <c r="A1054" s="35" t="s">
        <v>1137</v>
      </c>
      <c r="B1054" s="36">
        <v>57</v>
      </c>
      <c r="C1054" s="37">
        <v>16</v>
      </c>
      <c r="D1054" s="38">
        <v>7</v>
      </c>
      <c r="E1054" s="39">
        <v>67</v>
      </c>
    </row>
    <row r="1055" spans="1:5" x14ac:dyDescent="0.35">
      <c r="A1055" s="35" t="s">
        <v>1138</v>
      </c>
      <c r="B1055" s="36">
        <v>67</v>
      </c>
      <c r="C1055" s="37">
        <v>7</v>
      </c>
      <c r="D1055" s="38">
        <v>26</v>
      </c>
      <c r="E1055" s="39">
        <v>48</v>
      </c>
    </row>
    <row r="1056" spans="1:5" x14ac:dyDescent="0.35">
      <c r="A1056" s="35" t="s">
        <v>1139</v>
      </c>
      <c r="B1056" s="36">
        <v>48</v>
      </c>
      <c r="C1056" s="37">
        <v>7</v>
      </c>
      <c r="D1056" s="38">
        <v>26</v>
      </c>
      <c r="E1056" s="39">
        <v>46</v>
      </c>
    </row>
    <row r="1057" spans="1:5" x14ac:dyDescent="0.35">
      <c r="A1057" s="35" t="s">
        <v>1140</v>
      </c>
      <c r="B1057" s="36">
        <v>46</v>
      </c>
      <c r="C1057" s="37">
        <v>25</v>
      </c>
      <c r="D1057" s="38">
        <v>6</v>
      </c>
      <c r="E1057" s="39">
        <v>63</v>
      </c>
    </row>
    <row r="1058" spans="1:5" x14ac:dyDescent="0.35">
      <c r="A1058" s="35" t="s">
        <v>1141</v>
      </c>
      <c r="B1058" s="36">
        <v>63</v>
      </c>
      <c r="C1058" s="37">
        <v>22</v>
      </c>
      <c r="D1058" s="38">
        <v>17</v>
      </c>
      <c r="E1058" s="39">
        <v>63</v>
      </c>
    </row>
    <row r="1059" spans="1:5" x14ac:dyDescent="0.35">
      <c r="A1059" s="35" t="s">
        <v>1142</v>
      </c>
      <c r="B1059" s="36">
        <v>63</v>
      </c>
      <c r="C1059" s="37">
        <v>11</v>
      </c>
      <c r="D1059" s="38">
        <v>4</v>
      </c>
      <c r="E1059" s="39">
        <v>70</v>
      </c>
    </row>
    <row r="1060" spans="1:5" x14ac:dyDescent="0.35">
      <c r="A1060" s="35" t="s">
        <v>1143</v>
      </c>
      <c r="B1060" s="36">
        <v>70</v>
      </c>
      <c r="C1060" s="37">
        <v>17</v>
      </c>
      <c r="D1060" s="38">
        <v>23</v>
      </c>
      <c r="E1060" s="39">
        <v>67</v>
      </c>
    </row>
    <row r="1061" spans="1:5" x14ac:dyDescent="0.35">
      <c r="A1061" s="35" t="s">
        <v>1144</v>
      </c>
      <c r="B1061" s="36">
        <v>56</v>
      </c>
      <c r="C1061" s="37">
        <v>37</v>
      </c>
      <c r="D1061" s="38">
        <v>21</v>
      </c>
      <c r="E1061" s="39">
        <v>74</v>
      </c>
    </row>
    <row r="1062" spans="1:5" x14ac:dyDescent="0.35">
      <c r="A1062" s="35" t="s">
        <v>1145</v>
      </c>
      <c r="B1062" s="36">
        <v>69</v>
      </c>
      <c r="C1062" s="37">
        <v>10</v>
      </c>
      <c r="D1062" s="38">
        <v>26</v>
      </c>
      <c r="E1062" s="39">
        <v>54</v>
      </c>
    </row>
    <row r="1063" spans="1:5" x14ac:dyDescent="0.35">
      <c r="A1063" s="35" t="s">
        <v>1146</v>
      </c>
      <c r="B1063" s="36">
        <v>45</v>
      </c>
      <c r="C1063" s="37">
        <v>22</v>
      </c>
      <c r="D1063" s="38">
        <v>6</v>
      </c>
      <c r="E1063" s="39">
        <v>62</v>
      </c>
    </row>
    <row r="1064" spans="1:5" x14ac:dyDescent="0.35">
      <c r="A1064" s="35" t="s">
        <v>1147</v>
      </c>
      <c r="B1064" s="36">
        <v>62</v>
      </c>
      <c r="C1064" s="37">
        <v>11</v>
      </c>
      <c r="D1064" s="38">
        <v>23</v>
      </c>
      <c r="E1064" s="39">
        <v>47</v>
      </c>
    </row>
    <row r="1065" spans="1:5" x14ac:dyDescent="0.35">
      <c r="A1065" s="35" t="s">
        <v>1148</v>
      </c>
      <c r="B1065" s="36">
        <v>47</v>
      </c>
      <c r="C1065" s="37">
        <v>5</v>
      </c>
      <c r="D1065" s="38">
        <v>10</v>
      </c>
      <c r="E1065" s="39">
        <v>44</v>
      </c>
    </row>
    <row r="1066" spans="1:5" x14ac:dyDescent="0.35">
      <c r="A1066" s="35" t="s">
        <v>1149</v>
      </c>
      <c r="B1066" s="36">
        <v>44</v>
      </c>
      <c r="C1066" s="37">
        <v>31</v>
      </c>
      <c r="D1066" s="38">
        <v>18</v>
      </c>
      <c r="E1066" s="39">
        <v>54</v>
      </c>
    </row>
    <row r="1067" spans="1:5" x14ac:dyDescent="0.35">
      <c r="A1067" s="35" t="s">
        <v>1150</v>
      </c>
      <c r="B1067" s="36">
        <v>54</v>
      </c>
      <c r="C1067" s="37">
        <v>27</v>
      </c>
      <c r="D1067" s="38">
        <v>14</v>
      </c>
      <c r="E1067" s="39">
        <v>66</v>
      </c>
    </row>
    <row r="1068" spans="1:5" x14ac:dyDescent="0.35">
      <c r="A1068" s="35" t="s">
        <v>1151</v>
      </c>
      <c r="B1068" s="36">
        <v>64</v>
      </c>
      <c r="C1068" s="37">
        <v>9</v>
      </c>
      <c r="D1068" s="38">
        <v>30</v>
      </c>
      <c r="E1068" s="39">
        <v>48</v>
      </c>
    </row>
    <row r="1069" spans="1:5" x14ac:dyDescent="0.35">
      <c r="A1069" s="35" t="s">
        <v>1152</v>
      </c>
      <c r="B1069" s="36">
        <v>48</v>
      </c>
      <c r="C1069" s="37">
        <v>15</v>
      </c>
      <c r="D1069" s="38">
        <v>2</v>
      </c>
      <c r="E1069" s="39">
        <v>59</v>
      </c>
    </row>
    <row r="1070" spans="1:5" x14ac:dyDescent="0.35">
      <c r="A1070" s="35" t="s">
        <v>1153</v>
      </c>
      <c r="B1070" s="36">
        <v>59</v>
      </c>
      <c r="C1070" s="37">
        <v>7</v>
      </c>
      <c r="D1070" s="38">
        <v>21</v>
      </c>
      <c r="E1070" s="39">
        <v>47</v>
      </c>
    </row>
    <row r="1071" spans="1:5" x14ac:dyDescent="0.35">
      <c r="A1071" s="35" t="s">
        <v>1154</v>
      </c>
      <c r="B1071" s="36">
        <v>47</v>
      </c>
      <c r="C1071" s="37">
        <v>41</v>
      </c>
      <c r="D1071" s="38">
        <v>6</v>
      </c>
      <c r="E1071" s="39">
        <v>77</v>
      </c>
    </row>
    <row r="1072" spans="1:5" x14ac:dyDescent="0.35">
      <c r="A1072" s="35" t="s">
        <v>1155</v>
      </c>
      <c r="B1072" s="36">
        <v>77</v>
      </c>
      <c r="C1072" s="37">
        <v>15</v>
      </c>
      <c r="D1072" s="38">
        <v>19</v>
      </c>
      <c r="E1072" s="39">
        <v>71</v>
      </c>
    </row>
    <row r="1073" spans="1:5" x14ac:dyDescent="0.35">
      <c r="A1073" s="35" t="s">
        <v>1156</v>
      </c>
      <c r="B1073" s="36">
        <v>71</v>
      </c>
      <c r="C1073" s="37">
        <v>33</v>
      </c>
      <c r="D1073" s="38">
        <v>40</v>
      </c>
      <c r="E1073" s="39">
        <v>62</v>
      </c>
    </row>
    <row r="1074" spans="1:5" x14ac:dyDescent="0.35">
      <c r="A1074" s="35" t="s">
        <v>1157</v>
      </c>
      <c r="B1074" s="36">
        <v>62</v>
      </c>
      <c r="C1074" s="37">
        <v>46</v>
      </c>
      <c r="D1074" s="38">
        <v>17</v>
      </c>
      <c r="E1074" s="39">
        <v>107</v>
      </c>
    </row>
    <row r="1075" spans="1:5" x14ac:dyDescent="0.35">
      <c r="A1075" s="35" t="s">
        <v>1158</v>
      </c>
      <c r="B1075" s="36">
        <v>101</v>
      </c>
      <c r="C1075" s="37">
        <v>14</v>
      </c>
      <c r="D1075" s="38">
        <v>39</v>
      </c>
      <c r="E1075" s="39">
        <v>67</v>
      </c>
    </row>
    <row r="1076" spans="1:5" x14ac:dyDescent="0.35">
      <c r="A1076" s="35" t="s">
        <v>1159</v>
      </c>
      <c r="B1076" s="36">
        <v>67</v>
      </c>
      <c r="C1076" s="37">
        <v>51</v>
      </c>
      <c r="D1076" s="38">
        <v>40</v>
      </c>
      <c r="E1076" s="39">
        <v>78</v>
      </c>
    </row>
    <row r="1077" spans="1:5" x14ac:dyDescent="0.35">
      <c r="A1077" s="35" t="s">
        <v>1160</v>
      </c>
      <c r="B1077" s="36">
        <v>78</v>
      </c>
      <c r="C1077" s="37">
        <v>20</v>
      </c>
      <c r="D1077" s="38">
        <v>20</v>
      </c>
      <c r="E1077" s="39">
        <v>70</v>
      </c>
    </row>
    <row r="1078" spans="1:5" x14ac:dyDescent="0.35">
      <c r="A1078" s="35" t="s">
        <v>1161</v>
      </c>
      <c r="B1078" s="36">
        <v>70</v>
      </c>
      <c r="C1078" s="37">
        <v>43</v>
      </c>
      <c r="D1078" s="38">
        <v>27</v>
      </c>
      <c r="E1078" s="39">
        <v>89</v>
      </c>
    </row>
    <row r="1079" spans="1:5" x14ac:dyDescent="0.35">
      <c r="A1079" s="35" t="s">
        <v>1162</v>
      </c>
      <c r="B1079" s="36">
        <v>89</v>
      </c>
      <c r="C1079" s="37">
        <v>50</v>
      </c>
      <c r="D1079" s="38">
        <v>38</v>
      </c>
      <c r="E1079" s="39">
        <v>73</v>
      </c>
    </row>
    <row r="1080" spans="1:5" x14ac:dyDescent="0.35">
      <c r="A1080" s="35" t="s">
        <v>1163</v>
      </c>
      <c r="B1080" s="36">
        <v>73</v>
      </c>
      <c r="C1080" s="37">
        <v>30</v>
      </c>
      <c r="D1080" s="38">
        <v>36</v>
      </c>
      <c r="E1080" s="39">
        <v>76</v>
      </c>
    </row>
    <row r="1081" spans="1:5" x14ac:dyDescent="0.35">
      <c r="A1081" s="35" t="s">
        <v>1164</v>
      </c>
      <c r="B1081" s="36">
        <v>75</v>
      </c>
      <c r="C1081" s="37">
        <v>22</v>
      </c>
      <c r="D1081" s="38">
        <v>16</v>
      </c>
      <c r="E1081" s="39">
        <v>80</v>
      </c>
    </row>
    <row r="1082" spans="1:5" x14ac:dyDescent="0.35">
      <c r="A1082" s="35" t="s">
        <v>1165</v>
      </c>
      <c r="B1082" s="36">
        <v>77</v>
      </c>
      <c r="C1082" s="37">
        <v>14</v>
      </c>
      <c r="D1082" s="38">
        <v>24</v>
      </c>
      <c r="E1082" s="39">
        <v>67</v>
      </c>
    </row>
    <row r="1083" spans="1:5" x14ac:dyDescent="0.35">
      <c r="A1083" s="35" t="s">
        <v>1166</v>
      </c>
      <c r="B1083" s="36">
        <v>67</v>
      </c>
      <c r="C1083" s="37">
        <v>47</v>
      </c>
      <c r="D1083" s="38">
        <v>16</v>
      </c>
      <c r="E1083" s="39">
        <v>92</v>
      </c>
    </row>
    <row r="1084" spans="1:5" x14ac:dyDescent="0.35">
      <c r="A1084" s="35" t="s">
        <v>1167</v>
      </c>
      <c r="B1084" s="36">
        <v>92</v>
      </c>
      <c r="C1084" s="37">
        <v>47</v>
      </c>
      <c r="D1084" s="38">
        <v>55</v>
      </c>
      <c r="E1084" s="39">
        <v>108</v>
      </c>
    </row>
    <row r="1085" spans="1:5" x14ac:dyDescent="0.35">
      <c r="A1085" s="35" t="s">
        <v>1168</v>
      </c>
      <c r="B1085" s="36">
        <v>108</v>
      </c>
      <c r="C1085" s="37">
        <v>35</v>
      </c>
      <c r="D1085" s="38">
        <v>19</v>
      </c>
      <c r="E1085" s="39">
        <v>117</v>
      </c>
    </row>
    <row r="1086" spans="1:5" x14ac:dyDescent="0.35">
      <c r="A1086" s="35" t="s">
        <v>1169</v>
      </c>
      <c r="B1086" s="36">
        <v>117</v>
      </c>
      <c r="C1086" s="37">
        <v>2</v>
      </c>
      <c r="D1086" s="38">
        <v>34</v>
      </c>
      <c r="E1086" s="39">
        <v>82</v>
      </c>
    </row>
    <row r="1087" spans="1:5" x14ac:dyDescent="0.35">
      <c r="A1087" s="35" t="s">
        <v>1170</v>
      </c>
      <c r="B1087" s="36">
        <v>82</v>
      </c>
      <c r="C1087" s="37">
        <v>30</v>
      </c>
      <c r="D1087" s="38">
        <v>11</v>
      </c>
      <c r="E1087" s="39">
        <v>113</v>
      </c>
    </row>
    <row r="1088" spans="1:5" x14ac:dyDescent="0.35">
      <c r="A1088" s="35" t="s">
        <v>1171</v>
      </c>
      <c r="B1088" s="36">
        <v>113</v>
      </c>
      <c r="C1088" s="37">
        <v>34</v>
      </c>
      <c r="D1088" s="38">
        <v>15</v>
      </c>
      <c r="E1088" s="39">
        <v>113</v>
      </c>
    </row>
    <row r="1089" spans="1:5" x14ac:dyDescent="0.35">
      <c r="A1089" s="35" t="s">
        <v>1172</v>
      </c>
      <c r="B1089" s="36">
        <v>113</v>
      </c>
      <c r="C1089" s="37">
        <v>9</v>
      </c>
      <c r="D1089" s="38">
        <v>35</v>
      </c>
      <c r="E1089" s="39">
        <v>86</v>
      </c>
    </row>
    <row r="1090" spans="1:5" x14ac:dyDescent="0.35">
      <c r="A1090" s="35" t="s">
        <v>1173</v>
      </c>
      <c r="B1090" s="36">
        <v>86</v>
      </c>
      <c r="C1090" s="37">
        <v>3</v>
      </c>
      <c r="D1090" s="38">
        <v>40</v>
      </c>
      <c r="E1090" s="39">
        <v>180</v>
      </c>
    </row>
    <row r="1091" spans="1:5" x14ac:dyDescent="0.35">
      <c r="A1091" s="35" t="s">
        <v>1174</v>
      </c>
      <c r="B1091" s="36">
        <v>180</v>
      </c>
      <c r="C1091" s="37">
        <v>12</v>
      </c>
      <c r="D1091" s="38">
        <v>43</v>
      </c>
      <c r="E1091" s="39">
        <v>119</v>
      </c>
    </row>
    <row r="1092" spans="1:5" x14ac:dyDescent="0.35">
      <c r="A1092" s="35" t="s">
        <v>1175</v>
      </c>
      <c r="B1092" s="36">
        <v>119</v>
      </c>
      <c r="C1092" s="37">
        <v>11</v>
      </c>
      <c r="D1092" s="38">
        <v>29</v>
      </c>
      <c r="E1092" s="39">
        <v>110</v>
      </c>
    </row>
    <row r="1093" spans="1:5" x14ac:dyDescent="0.35">
      <c r="A1093" s="35" t="s">
        <v>1176</v>
      </c>
      <c r="B1093" s="36">
        <v>110</v>
      </c>
      <c r="C1093" s="37">
        <v>9</v>
      </c>
      <c r="D1093" s="38">
        <v>15</v>
      </c>
      <c r="E1093" s="39">
        <v>104</v>
      </c>
    </row>
    <row r="1094" spans="1:5" x14ac:dyDescent="0.35">
      <c r="A1094" s="35" t="s">
        <v>1177</v>
      </c>
      <c r="B1094" s="36">
        <v>104</v>
      </c>
      <c r="C1094" s="37">
        <v>3</v>
      </c>
      <c r="D1094" s="38">
        <v>9</v>
      </c>
      <c r="E1094" s="39">
        <v>92</v>
      </c>
    </row>
    <row r="1095" spans="1:5" x14ac:dyDescent="0.35">
      <c r="A1095" s="35" t="s">
        <v>1178</v>
      </c>
      <c r="B1095" s="36">
        <v>92</v>
      </c>
      <c r="C1095" s="37">
        <v>39</v>
      </c>
      <c r="D1095" s="38">
        <v>8</v>
      </c>
      <c r="E1095" s="39">
        <v>118</v>
      </c>
    </row>
    <row r="1096" spans="1:5" x14ac:dyDescent="0.35">
      <c r="A1096" s="35" t="s">
        <v>1179</v>
      </c>
      <c r="B1096" s="36">
        <v>118</v>
      </c>
      <c r="C1096" s="37">
        <v>6</v>
      </c>
      <c r="D1096" s="38">
        <v>58</v>
      </c>
      <c r="E1096" s="39">
        <v>92</v>
      </c>
    </row>
    <row r="1097" spans="1:5" x14ac:dyDescent="0.35">
      <c r="A1097" s="35" t="s">
        <v>1180</v>
      </c>
      <c r="B1097" s="36">
        <v>92</v>
      </c>
      <c r="C1097" s="37">
        <v>25</v>
      </c>
      <c r="D1097" s="38">
        <v>19</v>
      </c>
      <c r="E1097" s="39">
        <v>101</v>
      </c>
    </row>
    <row r="1098" spans="1:5" x14ac:dyDescent="0.35">
      <c r="A1098" s="35" t="s">
        <v>1181</v>
      </c>
      <c r="B1098" s="36">
        <v>99</v>
      </c>
      <c r="C1098" s="37">
        <v>35</v>
      </c>
      <c r="D1098" s="38">
        <v>31</v>
      </c>
      <c r="E1098" s="39">
        <v>110</v>
      </c>
    </row>
    <row r="1099" spans="1:5" x14ac:dyDescent="0.35">
      <c r="A1099" s="35" t="s">
        <v>1182</v>
      </c>
      <c r="B1099" s="36">
        <v>110</v>
      </c>
      <c r="C1099" s="37">
        <v>45</v>
      </c>
      <c r="D1099" s="38">
        <v>41</v>
      </c>
      <c r="E1099" s="39">
        <v>111</v>
      </c>
    </row>
    <row r="1100" spans="1:5" x14ac:dyDescent="0.35">
      <c r="A1100" s="35" t="s">
        <v>1183</v>
      </c>
      <c r="B1100" s="36">
        <v>111</v>
      </c>
      <c r="C1100" s="37">
        <v>6</v>
      </c>
      <c r="D1100" s="38">
        <v>13</v>
      </c>
      <c r="E1100" s="39">
        <v>74</v>
      </c>
    </row>
    <row r="1101" spans="1:5" x14ac:dyDescent="0.35">
      <c r="A1101" s="35" t="s">
        <v>1184</v>
      </c>
      <c r="B1101" s="36">
        <v>74</v>
      </c>
      <c r="C1101" s="37">
        <v>38</v>
      </c>
      <c r="D1101" s="38">
        <v>18</v>
      </c>
      <c r="E1101" s="39">
        <v>95</v>
      </c>
    </row>
    <row r="1102" spans="1:5" x14ac:dyDescent="0.35">
      <c r="A1102" s="35" t="s">
        <v>1185</v>
      </c>
      <c r="B1102" s="36">
        <v>95</v>
      </c>
      <c r="C1102" s="37">
        <v>6</v>
      </c>
      <c r="D1102" s="38">
        <v>33</v>
      </c>
      <c r="E1102" s="39">
        <v>68</v>
      </c>
    </row>
    <row r="1103" spans="1:5" x14ac:dyDescent="0.35">
      <c r="A1103" s="35" t="s">
        <v>1186</v>
      </c>
      <c r="B1103" s="36">
        <v>68</v>
      </c>
      <c r="C1103" s="37">
        <v>12</v>
      </c>
      <c r="D1103" s="38">
        <v>9</v>
      </c>
      <c r="E1103" s="39">
        <v>73</v>
      </c>
    </row>
    <row r="1104" spans="1:5" x14ac:dyDescent="0.35">
      <c r="A1104" s="35" t="s">
        <v>1187</v>
      </c>
      <c r="B1104" s="36">
        <v>73</v>
      </c>
      <c r="C1104" s="37">
        <v>20</v>
      </c>
      <c r="D1104" s="38">
        <v>3</v>
      </c>
      <c r="E1104" s="39">
        <v>88</v>
      </c>
    </row>
    <row r="1105" spans="1:5" x14ac:dyDescent="0.35">
      <c r="A1105" s="35" t="s">
        <v>1188</v>
      </c>
      <c r="B1105" s="36">
        <v>88</v>
      </c>
      <c r="C1105" s="37">
        <v>20</v>
      </c>
      <c r="D1105" s="38">
        <v>19</v>
      </c>
      <c r="E1105" s="39">
        <v>96</v>
      </c>
    </row>
    <row r="1106" spans="1:5" x14ac:dyDescent="0.35">
      <c r="A1106" s="35" t="s">
        <v>1189</v>
      </c>
      <c r="B1106" s="36">
        <v>95</v>
      </c>
      <c r="C1106" s="37">
        <v>24</v>
      </c>
      <c r="D1106" s="38">
        <v>22</v>
      </c>
      <c r="E1106" s="39">
        <v>97</v>
      </c>
    </row>
    <row r="1107" spans="1:5" x14ac:dyDescent="0.35">
      <c r="A1107" s="35" t="s">
        <v>1190</v>
      </c>
      <c r="B1107" s="36">
        <v>97</v>
      </c>
      <c r="C1107" s="37">
        <v>35</v>
      </c>
      <c r="D1107" s="38">
        <v>28</v>
      </c>
      <c r="E1107" s="39">
        <v>104</v>
      </c>
    </row>
    <row r="1108" spans="1:5" x14ac:dyDescent="0.35">
      <c r="A1108" s="35" t="s">
        <v>1191</v>
      </c>
      <c r="B1108" s="36">
        <v>104</v>
      </c>
      <c r="C1108" s="37">
        <v>16</v>
      </c>
      <c r="D1108" s="38">
        <v>51</v>
      </c>
      <c r="E1108" s="39">
        <v>70</v>
      </c>
    </row>
    <row r="1109" spans="1:5" x14ac:dyDescent="0.35">
      <c r="A1109" s="35" t="s">
        <v>1192</v>
      </c>
      <c r="B1109" s="36">
        <v>69</v>
      </c>
      <c r="C1109" s="37">
        <v>16</v>
      </c>
      <c r="D1109" s="38">
        <v>20</v>
      </c>
      <c r="E1109" s="39">
        <v>71</v>
      </c>
    </row>
    <row r="1110" spans="1:5" x14ac:dyDescent="0.35">
      <c r="A1110" s="35" t="s">
        <v>1193</v>
      </c>
      <c r="B1110" s="36">
        <v>71</v>
      </c>
      <c r="C1110" s="37">
        <v>18</v>
      </c>
      <c r="D1110" s="38">
        <v>26</v>
      </c>
      <c r="E1110" s="39">
        <v>59</v>
      </c>
    </row>
    <row r="1111" spans="1:5" x14ac:dyDescent="0.35">
      <c r="A1111" s="35" t="s">
        <v>1194</v>
      </c>
      <c r="B1111" s="36">
        <v>59</v>
      </c>
      <c r="C1111" s="37">
        <v>24</v>
      </c>
      <c r="D1111" s="38">
        <v>5</v>
      </c>
      <c r="E1111" s="39">
        <v>78</v>
      </c>
    </row>
    <row r="1112" spans="1:5" x14ac:dyDescent="0.35">
      <c r="A1112" s="35" t="s">
        <v>1195</v>
      </c>
      <c r="B1112" s="36">
        <v>78</v>
      </c>
      <c r="C1112" s="37">
        <v>5</v>
      </c>
      <c r="D1112" s="38">
        <v>17</v>
      </c>
      <c r="E1112" s="39">
        <v>65</v>
      </c>
    </row>
    <row r="1113" spans="1:5" x14ac:dyDescent="0.35">
      <c r="A1113" s="35" t="s">
        <v>1196</v>
      </c>
      <c r="B1113" s="36">
        <v>80</v>
      </c>
      <c r="C1113" s="37">
        <v>26</v>
      </c>
      <c r="D1113" s="38">
        <v>31</v>
      </c>
      <c r="E1113" s="39">
        <v>75</v>
      </c>
    </row>
    <row r="1114" spans="1:5" x14ac:dyDescent="0.35">
      <c r="A1114" s="35" t="s">
        <v>1197</v>
      </c>
      <c r="B1114" s="36">
        <v>75</v>
      </c>
      <c r="C1114" s="37">
        <v>30</v>
      </c>
      <c r="D1114" s="38">
        <v>24</v>
      </c>
      <c r="E1114" s="39">
        <v>82</v>
      </c>
    </row>
    <row r="1115" spans="1:5" x14ac:dyDescent="0.35">
      <c r="A1115" s="35" t="s">
        <v>1198</v>
      </c>
      <c r="B1115" s="36">
        <v>82</v>
      </c>
      <c r="C1115" s="37">
        <v>21</v>
      </c>
      <c r="D1115" s="38">
        <v>30</v>
      </c>
      <c r="E1115" s="39">
        <v>59</v>
      </c>
    </row>
    <row r="1116" spans="1:5" x14ac:dyDescent="0.35">
      <c r="A1116" s="35" t="s">
        <v>1199</v>
      </c>
      <c r="B1116" s="36">
        <v>59</v>
      </c>
      <c r="C1116" s="37">
        <v>57</v>
      </c>
      <c r="D1116" s="38">
        <v>27</v>
      </c>
      <c r="E1116" s="39">
        <v>89</v>
      </c>
    </row>
    <row r="1117" spans="1:5" x14ac:dyDescent="0.35">
      <c r="A1117" s="35" t="s">
        <v>1200</v>
      </c>
      <c r="B1117" s="36">
        <v>89</v>
      </c>
      <c r="C1117" s="37">
        <v>35</v>
      </c>
      <c r="D1117" s="38">
        <v>43</v>
      </c>
      <c r="E1117" s="39">
        <v>79</v>
      </c>
    </row>
    <row r="1118" spans="1:5" x14ac:dyDescent="0.35">
      <c r="A1118" s="35" t="s">
        <v>1201</v>
      </c>
      <c r="B1118" s="36">
        <v>79</v>
      </c>
      <c r="C1118" s="37">
        <v>37</v>
      </c>
      <c r="D1118" s="38">
        <v>17</v>
      </c>
      <c r="E1118" s="39">
        <v>100</v>
      </c>
    </row>
    <row r="1119" spans="1:5" x14ac:dyDescent="0.35">
      <c r="A1119" s="35" t="s">
        <v>1202</v>
      </c>
      <c r="B1119" s="36">
        <v>94</v>
      </c>
      <c r="C1119" s="37">
        <v>46</v>
      </c>
      <c r="D1119" s="38">
        <v>38</v>
      </c>
      <c r="E1119" s="39">
        <v>72</v>
      </c>
    </row>
    <row r="1120" spans="1:5" x14ac:dyDescent="0.35">
      <c r="A1120" s="35" t="s">
        <v>1203</v>
      </c>
      <c r="B1120" s="36">
        <v>81</v>
      </c>
      <c r="C1120" s="37">
        <v>18</v>
      </c>
      <c r="D1120" s="38">
        <v>4</v>
      </c>
      <c r="E1120" s="39">
        <v>98</v>
      </c>
    </row>
    <row r="1121" spans="1:5" x14ac:dyDescent="0.35">
      <c r="A1121" s="35" t="s">
        <v>1204</v>
      </c>
      <c r="B1121" s="36">
        <v>98</v>
      </c>
      <c r="C1121" s="37">
        <v>14</v>
      </c>
      <c r="D1121" s="38">
        <v>50</v>
      </c>
      <c r="E1121" s="39">
        <v>63</v>
      </c>
    </row>
    <row r="1122" spans="1:5" x14ac:dyDescent="0.35">
      <c r="A1122" s="35" t="s">
        <v>1205</v>
      </c>
      <c r="B1122" s="36">
        <v>63</v>
      </c>
      <c r="C1122" s="37">
        <v>27</v>
      </c>
      <c r="D1122" s="38">
        <v>14</v>
      </c>
      <c r="E1122" s="39">
        <v>76</v>
      </c>
    </row>
    <row r="1123" spans="1:5" x14ac:dyDescent="0.35">
      <c r="A1123" s="35" t="s">
        <v>1206</v>
      </c>
      <c r="B1123" s="36">
        <v>76</v>
      </c>
      <c r="C1123" s="37">
        <v>12</v>
      </c>
      <c r="D1123" s="38">
        <v>22</v>
      </c>
      <c r="E1123" s="39">
        <v>65</v>
      </c>
    </row>
    <row r="1124" spans="1:5" x14ac:dyDescent="0.35">
      <c r="A1124" s="35" t="s">
        <v>1207</v>
      </c>
      <c r="B1124" s="36">
        <v>65</v>
      </c>
      <c r="C1124" s="37">
        <v>53</v>
      </c>
      <c r="D1124" s="38">
        <v>9</v>
      </c>
      <c r="E1124" s="39">
        <v>101</v>
      </c>
    </row>
    <row r="1125" spans="1:5" x14ac:dyDescent="0.35">
      <c r="A1125" s="35" t="s">
        <v>1208</v>
      </c>
      <c r="B1125" s="36">
        <v>101</v>
      </c>
      <c r="C1125" s="37">
        <v>11</v>
      </c>
      <c r="D1125" s="38">
        <v>10</v>
      </c>
      <c r="E1125" s="39">
        <v>94</v>
      </c>
    </row>
    <row r="1126" spans="1:5" x14ac:dyDescent="0.35">
      <c r="A1126" s="35" t="s">
        <v>1209</v>
      </c>
      <c r="B1126" s="36">
        <v>94</v>
      </c>
      <c r="C1126" s="37">
        <v>3</v>
      </c>
      <c r="D1126" s="38">
        <v>52</v>
      </c>
      <c r="E1126" s="39">
        <v>39</v>
      </c>
    </row>
    <row r="1127" spans="1:5" x14ac:dyDescent="0.35">
      <c r="A1127" s="35" t="s">
        <v>1210</v>
      </c>
      <c r="B1127" s="36">
        <v>39</v>
      </c>
      <c r="C1127" s="37">
        <v>46</v>
      </c>
      <c r="D1127" s="38">
        <v>10</v>
      </c>
      <c r="E1127" s="39">
        <v>75</v>
      </c>
    </row>
    <row r="1128" spans="1:5" x14ac:dyDescent="0.35">
      <c r="A1128" s="35" t="s">
        <v>1211</v>
      </c>
      <c r="B1128" s="36">
        <v>75</v>
      </c>
      <c r="C1128" s="37">
        <v>18</v>
      </c>
      <c r="D1128" s="38">
        <v>40</v>
      </c>
      <c r="E1128" s="39">
        <v>44</v>
      </c>
    </row>
    <row r="1129" spans="1:5" x14ac:dyDescent="0.35">
      <c r="A1129" s="35" t="s">
        <v>1212</v>
      </c>
      <c r="B1129" s="36">
        <v>44</v>
      </c>
      <c r="C1129" s="37">
        <v>64</v>
      </c>
      <c r="D1129" s="38">
        <v>17</v>
      </c>
      <c r="E1129" s="39">
        <v>87</v>
      </c>
    </row>
    <row r="1130" spans="1:5" x14ac:dyDescent="0.35">
      <c r="A1130" s="35" t="s">
        <v>1213</v>
      </c>
      <c r="B1130" s="36">
        <v>87</v>
      </c>
      <c r="C1130" s="37">
        <v>9</v>
      </c>
      <c r="D1130" s="38">
        <v>43</v>
      </c>
      <c r="E1130" s="39">
        <v>40</v>
      </c>
    </row>
    <row r="1131" spans="1:5" x14ac:dyDescent="0.35">
      <c r="A1131" s="35" t="s">
        <v>1214</v>
      </c>
      <c r="B1131" s="36">
        <v>40</v>
      </c>
      <c r="C1131" s="37">
        <v>23</v>
      </c>
      <c r="D1131" s="38">
        <v>18</v>
      </c>
      <c r="E1131" s="39">
        <v>45</v>
      </c>
    </row>
    <row r="1132" spans="1:5" x14ac:dyDescent="0.35">
      <c r="A1132" s="35" t="s">
        <v>1215</v>
      </c>
      <c r="B1132" s="36">
        <v>45</v>
      </c>
      <c r="C1132" s="37">
        <v>46</v>
      </c>
      <c r="D1132" s="38">
        <v>9</v>
      </c>
      <c r="E1132" s="39">
        <v>82</v>
      </c>
    </row>
    <row r="1133" spans="1:5" x14ac:dyDescent="0.35">
      <c r="A1133" s="35" t="s">
        <v>1216</v>
      </c>
      <c r="B1133" s="36">
        <v>82</v>
      </c>
      <c r="C1133" s="37">
        <v>10</v>
      </c>
      <c r="D1133" s="38">
        <v>29</v>
      </c>
      <c r="E1133" s="39">
        <v>53</v>
      </c>
    </row>
    <row r="1134" spans="1:5" x14ac:dyDescent="0.35">
      <c r="A1134" s="35" t="s">
        <v>1217</v>
      </c>
      <c r="B1134" s="36">
        <v>53</v>
      </c>
      <c r="C1134" s="37">
        <v>19</v>
      </c>
      <c r="D1134" s="38">
        <v>12</v>
      </c>
      <c r="E1134" s="39">
        <v>57</v>
      </c>
    </row>
    <row r="1135" spans="1:5" x14ac:dyDescent="0.35">
      <c r="A1135" s="35" t="s">
        <v>1218</v>
      </c>
      <c r="B1135" s="36">
        <v>56</v>
      </c>
      <c r="C1135" s="37">
        <v>19</v>
      </c>
      <c r="D1135" s="38">
        <v>12</v>
      </c>
      <c r="E1135" s="39">
        <v>64</v>
      </c>
    </row>
    <row r="1136" spans="1:5" x14ac:dyDescent="0.35">
      <c r="A1136" s="35" t="s">
        <v>1219</v>
      </c>
      <c r="B1136" s="36">
        <v>64</v>
      </c>
      <c r="C1136" s="37">
        <v>50</v>
      </c>
      <c r="D1136" s="38">
        <v>32</v>
      </c>
      <c r="E1136" s="39">
        <v>82</v>
      </c>
    </row>
    <row r="1137" spans="1:5" x14ac:dyDescent="0.35">
      <c r="A1137" s="35" t="s">
        <v>1220</v>
      </c>
      <c r="B1137" s="36">
        <v>82</v>
      </c>
      <c r="C1137" s="37">
        <v>15</v>
      </c>
      <c r="D1137" s="38">
        <v>34</v>
      </c>
      <c r="E1137" s="39">
        <v>66</v>
      </c>
    </row>
    <row r="1138" spans="1:5" x14ac:dyDescent="0.35">
      <c r="A1138" s="35" t="s">
        <v>1221</v>
      </c>
      <c r="B1138" s="36">
        <v>66</v>
      </c>
      <c r="C1138" s="37">
        <v>13</v>
      </c>
      <c r="D1138" s="38">
        <v>14</v>
      </c>
      <c r="E1138" s="39">
        <v>70</v>
      </c>
    </row>
    <row r="1139" spans="1:5" x14ac:dyDescent="0.35">
      <c r="A1139" s="35" t="s">
        <v>1222</v>
      </c>
      <c r="B1139" s="36">
        <v>70</v>
      </c>
      <c r="C1139" s="37">
        <v>37</v>
      </c>
      <c r="D1139" s="38">
        <v>17</v>
      </c>
      <c r="E1139" s="39">
        <v>97</v>
      </c>
    </row>
    <row r="1140" spans="1:5" x14ac:dyDescent="0.35">
      <c r="A1140" s="35" t="s">
        <v>1223</v>
      </c>
      <c r="B1140" s="36">
        <v>97</v>
      </c>
      <c r="C1140" s="37">
        <v>3</v>
      </c>
      <c r="D1140" s="38">
        <v>10</v>
      </c>
      <c r="E1140" s="39">
        <v>88</v>
      </c>
    </row>
    <row r="1141" spans="1:5" x14ac:dyDescent="0.35">
      <c r="A1141" s="35" t="s">
        <v>1224</v>
      </c>
      <c r="B1141" s="36">
        <v>88</v>
      </c>
      <c r="C1141" s="37">
        <v>23</v>
      </c>
      <c r="D1141" s="38">
        <v>54</v>
      </c>
      <c r="E1141" s="39">
        <v>59</v>
      </c>
    </row>
    <row r="1142" spans="1:5" x14ac:dyDescent="0.35">
      <c r="A1142" s="35" t="s">
        <v>1225</v>
      </c>
      <c r="B1142" s="36">
        <v>70</v>
      </c>
      <c r="C1142" s="37">
        <v>35</v>
      </c>
      <c r="D1142" s="38">
        <v>34</v>
      </c>
      <c r="E1142" s="39">
        <v>71</v>
      </c>
    </row>
    <row r="1143" spans="1:5" x14ac:dyDescent="0.35">
      <c r="A1143" s="35" t="s">
        <v>1226</v>
      </c>
      <c r="B1143" s="36">
        <v>64</v>
      </c>
      <c r="C1143" s="37">
        <v>26</v>
      </c>
      <c r="D1143" s="38">
        <v>28</v>
      </c>
      <c r="E1143" s="39">
        <v>62</v>
      </c>
    </row>
    <row r="1144" spans="1:5" x14ac:dyDescent="0.35">
      <c r="A1144" s="35" t="s">
        <v>1227</v>
      </c>
      <c r="B1144" s="36">
        <v>62</v>
      </c>
      <c r="C1144" s="37">
        <v>8</v>
      </c>
      <c r="D1144" s="38">
        <v>6</v>
      </c>
      <c r="E1144" s="39">
        <v>44</v>
      </c>
    </row>
    <row r="1145" spans="1:5" x14ac:dyDescent="0.35">
      <c r="A1145" s="35" t="s">
        <v>1228</v>
      </c>
      <c r="B1145" s="36">
        <v>44</v>
      </c>
      <c r="C1145" s="37">
        <v>9</v>
      </c>
      <c r="D1145" s="38">
        <v>8</v>
      </c>
      <c r="E1145" s="39">
        <v>49</v>
      </c>
    </row>
    <row r="1146" spans="1:5" x14ac:dyDescent="0.35">
      <c r="A1146" s="35" t="s">
        <v>1229</v>
      </c>
      <c r="B1146" s="36">
        <v>49</v>
      </c>
      <c r="C1146" s="37">
        <v>21</v>
      </c>
      <c r="D1146" s="38">
        <v>6</v>
      </c>
      <c r="E1146" s="39">
        <v>72</v>
      </c>
    </row>
    <row r="1147" spans="1:5" x14ac:dyDescent="0.35">
      <c r="A1147" s="35" t="s">
        <v>1230</v>
      </c>
      <c r="B1147" s="36">
        <v>72</v>
      </c>
      <c r="C1147" s="37">
        <v>24</v>
      </c>
      <c r="D1147" s="38">
        <v>39</v>
      </c>
      <c r="E1147" s="39">
        <v>58</v>
      </c>
    </row>
    <row r="1148" spans="1:5" x14ac:dyDescent="0.35">
      <c r="A1148" s="35" t="s">
        <v>1231</v>
      </c>
      <c r="B1148" s="36">
        <v>58</v>
      </c>
      <c r="C1148" s="37">
        <v>88</v>
      </c>
      <c r="D1148" s="38">
        <v>17</v>
      </c>
      <c r="E1148" s="39">
        <v>126</v>
      </c>
    </row>
    <row r="1149" spans="1:5" x14ac:dyDescent="0.35">
      <c r="A1149" s="35" t="s">
        <v>1232</v>
      </c>
      <c r="B1149" s="36">
        <v>126</v>
      </c>
      <c r="C1149" s="37">
        <v>4</v>
      </c>
      <c r="D1149" s="38">
        <v>84</v>
      </c>
      <c r="E1149" s="39">
        <v>62</v>
      </c>
    </row>
    <row r="1150" spans="1:5" x14ac:dyDescent="0.35">
      <c r="A1150" s="35" t="s">
        <v>1233</v>
      </c>
      <c r="B1150" s="36">
        <v>62</v>
      </c>
      <c r="C1150" s="37">
        <v>21</v>
      </c>
      <c r="D1150" s="38">
        <v>24</v>
      </c>
      <c r="E1150" s="39">
        <v>60</v>
      </c>
    </row>
    <row r="1151" spans="1:5" x14ac:dyDescent="0.35">
      <c r="A1151" s="35" t="s">
        <v>1234</v>
      </c>
      <c r="B1151" s="36">
        <v>60</v>
      </c>
      <c r="C1151" s="37">
        <v>21</v>
      </c>
      <c r="D1151" s="38">
        <v>8</v>
      </c>
      <c r="E1151" s="39">
        <v>73</v>
      </c>
    </row>
    <row r="1152" spans="1:5" x14ac:dyDescent="0.35">
      <c r="A1152" s="35" t="s">
        <v>1235</v>
      </c>
      <c r="B1152" s="36">
        <v>70</v>
      </c>
      <c r="C1152" s="37">
        <v>5</v>
      </c>
      <c r="D1152" s="38">
        <v>20</v>
      </c>
      <c r="E1152" s="39">
        <v>67</v>
      </c>
    </row>
    <row r="1153" spans="1:5" x14ac:dyDescent="0.35">
      <c r="A1153" s="35" t="s">
        <v>1236</v>
      </c>
      <c r="B1153" s="36">
        <v>67</v>
      </c>
      <c r="C1153" s="37">
        <v>45</v>
      </c>
      <c r="D1153" s="38">
        <v>43</v>
      </c>
      <c r="E1153" s="39">
        <v>69</v>
      </c>
    </row>
    <row r="1154" spans="1:5" x14ac:dyDescent="0.35">
      <c r="A1154" s="35" t="s">
        <v>1237</v>
      </c>
      <c r="B1154" s="36">
        <v>49</v>
      </c>
      <c r="C1154" s="37">
        <v>26</v>
      </c>
      <c r="D1154" s="38">
        <v>26</v>
      </c>
      <c r="E1154" s="39">
        <v>49</v>
      </c>
    </row>
    <row r="1155" spans="1:5" x14ac:dyDescent="0.35">
      <c r="A1155" s="35" t="s">
        <v>1238</v>
      </c>
      <c r="B1155" s="36">
        <v>49</v>
      </c>
      <c r="C1155" s="37">
        <v>33</v>
      </c>
      <c r="D1155" s="38">
        <v>6</v>
      </c>
      <c r="E1155" s="39">
        <v>77</v>
      </c>
    </row>
    <row r="1156" spans="1:5" x14ac:dyDescent="0.35">
      <c r="A1156" s="35" t="s">
        <v>1239</v>
      </c>
      <c r="B1156" s="36">
        <v>75</v>
      </c>
      <c r="C1156" s="37">
        <v>10</v>
      </c>
      <c r="D1156" s="38">
        <v>46</v>
      </c>
      <c r="E1156" s="39">
        <v>39</v>
      </c>
    </row>
    <row r="1157" spans="1:5" x14ac:dyDescent="0.35">
      <c r="A1157" s="35" t="s">
        <v>1240</v>
      </c>
      <c r="B1157" s="36">
        <v>39</v>
      </c>
      <c r="C1157" s="37">
        <v>8</v>
      </c>
      <c r="D1157" s="38">
        <v>13</v>
      </c>
      <c r="E1157" s="39">
        <v>37</v>
      </c>
    </row>
    <row r="1158" spans="1:5" x14ac:dyDescent="0.35">
      <c r="A1158" s="35" t="s">
        <v>1241</v>
      </c>
      <c r="B1158" s="36">
        <v>37</v>
      </c>
      <c r="C1158" s="37">
        <v>50</v>
      </c>
      <c r="D1158" s="38">
        <v>4</v>
      </c>
      <c r="E1158" s="39">
        <v>87</v>
      </c>
    </row>
    <row r="1159" spans="1:5" x14ac:dyDescent="0.35">
      <c r="A1159" s="35" t="s">
        <v>1242</v>
      </c>
      <c r="B1159" s="36">
        <v>87</v>
      </c>
      <c r="C1159" s="37">
        <v>21</v>
      </c>
      <c r="D1159" s="38">
        <v>31</v>
      </c>
      <c r="E1159" s="39">
        <v>61</v>
      </c>
    </row>
    <row r="1160" spans="1:5" x14ac:dyDescent="0.35">
      <c r="A1160" s="35" t="s">
        <v>1243</v>
      </c>
      <c r="B1160" s="36">
        <v>61</v>
      </c>
      <c r="C1160" s="37">
        <v>46</v>
      </c>
      <c r="D1160" s="38">
        <v>20</v>
      </c>
      <c r="E1160" s="39">
        <v>101</v>
      </c>
    </row>
    <row r="1161" spans="1:5" x14ac:dyDescent="0.35">
      <c r="A1161" s="35" t="s">
        <v>1244</v>
      </c>
      <c r="B1161" s="36">
        <v>101</v>
      </c>
      <c r="C1161" s="37">
        <v>49</v>
      </c>
      <c r="D1161" s="38">
        <v>52</v>
      </c>
      <c r="E1161" s="39">
        <v>97</v>
      </c>
    </row>
    <row r="1162" spans="1:5" x14ac:dyDescent="0.35">
      <c r="A1162" s="35" t="s">
        <v>1245</v>
      </c>
      <c r="B1162" s="36">
        <v>97</v>
      </c>
      <c r="C1162" s="37">
        <v>32</v>
      </c>
      <c r="D1162" s="38">
        <v>42</v>
      </c>
      <c r="E1162" s="39">
        <v>78</v>
      </c>
    </row>
    <row r="1163" spans="1:5" x14ac:dyDescent="0.35">
      <c r="A1163" s="35" t="s">
        <v>1246</v>
      </c>
      <c r="B1163" s="36">
        <v>78</v>
      </c>
      <c r="C1163" s="37">
        <v>14</v>
      </c>
      <c r="D1163" s="38">
        <v>25</v>
      </c>
      <c r="E1163" s="39">
        <v>81</v>
      </c>
    </row>
    <row r="1164" spans="1:5" x14ac:dyDescent="0.35">
      <c r="A1164" s="35" t="s">
        <v>1247</v>
      </c>
      <c r="B1164" s="36">
        <v>81</v>
      </c>
      <c r="C1164" s="37">
        <v>47</v>
      </c>
      <c r="D1164" s="38">
        <v>22</v>
      </c>
      <c r="E1164" s="39">
        <v>94</v>
      </c>
    </row>
    <row r="1165" spans="1:5" x14ac:dyDescent="0.35">
      <c r="A1165" s="35" t="s">
        <v>1248</v>
      </c>
      <c r="B1165" s="36">
        <v>94</v>
      </c>
      <c r="C1165" s="37">
        <v>47</v>
      </c>
      <c r="D1165" s="38">
        <v>22</v>
      </c>
      <c r="E1165" s="39">
        <v>46</v>
      </c>
    </row>
    <row r="1166" spans="1:5" x14ac:dyDescent="0.35">
      <c r="A1166" s="35" t="s">
        <v>1249</v>
      </c>
      <c r="B1166" s="36">
        <v>46</v>
      </c>
      <c r="C1166" s="37">
        <v>18</v>
      </c>
      <c r="D1166" s="38">
        <v>8</v>
      </c>
      <c r="E1166" s="39">
        <v>57</v>
      </c>
    </row>
    <row r="1167" spans="1:5" x14ac:dyDescent="0.35">
      <c r="A1167" s="35" t="s">
        <v>1250</v>
      </c>
      <c r="B1167" s="36">
        <v>57</v>
      </c>
      <c r="C1167" s="37">
        <v>23</v>
      </c>
      <c r="D1167" s="38">
        <v>34</v>
      </c>
      <c r="E1167" s="39">
        <v>43</v>
      </c>
    </row>
    <row r="1168" spans="1:5" x14ac:dyDescent="0.35">
      <c r="A1168" s="35" t="s">
        <v>1251</v>
      </c>
      <c r="B1168" s="36">
        <v>57</v>
      </c>
      <c r="C1168" s="37">
        <v>36</v>
      </c>
      <c r="D1168" s="38">
        <v>21</v>
      </c>
      <c r="E1168" s="39">
        <v>59</v>
      </c>
    </row>
    <row r="1169" spans="1:5" x14ac:dyDescent="0.35">
      <c r="A1169" s="35" t="s">
        <v>1252</v>
      </c>
      <c r="B1169" s="36">
        <v>93</v>
      </c>
      <c r="C1169" s="37">
        <v>10</v>
      </c>
      <c r="D1169" s="38">
        <v>45</v>
      </c>
      <c r="E1169" s="39">
        <v>58</v>
      </c>
    </row>
    <row r="1170" spans="1:5" x14ac:dyDescent="0.35">
      <c r="A1170" s="35" t="s">
        <v>1253</v>
      </c>
      <c r="B1170" s="36">
        <v>58</v>
      </c>
      <c r="C1170" s="37">
        <v>18</v>
      </c>
      <c r="D1170" s="38">
        <v>26</v>
      </c>
      <c r="E1170" s="39">
        <v>55</v>
      </c>
    </row>
    <row r="1171" spans="1:5" x14ac:dyDescent="0.35">
      <c r="A1171" s="35" t="s">
        <v>1254</v>
      </c>
      <c r="B1171" s="36">
        <v>73</v>
      </c>
      <c r="C1171" s="37">
        <v>51</v>
      </c>
      <c r="D1171" s="38">
        <v>36</v>
      </c>
      <c r="E1171" s="39">
        <v>91</v>
      </c>
    </row>
    <row r="1172" spans="1:5" x14ac:dyDescent="0.35">
      <c r="A1172" s="35" t="s">
        <v>1255</v>
      </c>
      <c r="B1172" s="36">
        <v>91</v>
      </c>
      <c r="C1172" s="37">
        <v>4</v>
      </c>
      <c r="D1172" s="38">
        <v>41</v>
      </c>
      <c r="E1172" s="39">
        <v>50</v>
      </c>
    </row>
    <row r="1173" spans="1:5" x14ac:dyDescent="0.35">
      <c r="A1173" s="35" t="s">
        <v>1256</v>
      </c>
      <c r="B1173" s="36">
        <v>50</v>
      </c>
      <c r="C1173" s="37">
        <v>43</v>
      </c>
      <c r="D1173" s="38">
        <v>18</v>
      </c>
      <c r="E1173" s="39">
        <v>79</v>
      </c>
    </row>
    <row r="1174" spans="1:5" x14ac:dyDescent="0.35">
      <c r="A1174" s="35" t="s">
        <v>1257</v>
      </c>
      <c r="B1174" s="36">
        <v>79</v>
      </c>
      <c r="C1174" s="37">
        <v>5</v>
      </c>
      <c r="D1174" s="38">
        <v>18</v>
      </c>
      <c r="E1174" s="39">
        <v>59</v>
      </c>
    </row>
    <row r="1175" spans="1:5" x14ac:dyDescent="0.35">
      <c r="A1175" s="35" t="s">
        <v>1258</v>
      </c>
      <c r="B1175" s="36">
        <v>59</v>
      </c>
      <c r="C1175" s="37">
        <v>44</v>
      </c>
      <c r="D1175" s="38">
        <v>13</v>
      </c>
      <c r="E1175" s="39">
        <v>90</v>
      </c>
    </row>
    <row r="1176" spans="1:5" x14ac:dyDescent="0.35">
      <c r="A1176" s="35" t="s">
        <v>1259</v>
      </c>
      <c r="B1176" s="36">
        <v>90</v>
      </c>
      <c r="C1176" s="37">
        <v>12</v>
      </c>
      <c r="D1176" s="38">
        <v>29</v>
      </c>
      <c r="E1176" s="39">
        <v>63</v>
      </c>
    </row>
    <row r="1177" spans="1:5" x14ac:dyDescent="0.35">
      <c r="A1177" s="35" t="s">
        <v>1260</v>
      </c>
      <c r="B1177" s="36">
        <v>63</v>
      </c>
      <c r="C1177" s="37">
        <v>59</v>
      </c>
      <c r="D1177" s="38">
        <v>8</v>
      </c>
      <c r="E1177" s="39">
        <v>114</v>
      </c>
    </row>
    <row r="1178" spans="1:5" x14ac:dyDescent="0.35">
      <c r="A1178" s="35" t="s">
        <v>1261</v>
      </c>
      <c r="B1178" s="36">
        <v>104</v>
      </c>
      <c r="C1178" s="37">
        <v>21</v>
      </c>
      <c r="D1178" s="38">
        <v>37</v>
      </c>
      <c r="E1178" s="39">
        <v>76</v>
      </c>
    </row>
    <row r="1179" spans="1:5" x14ac:dyDescent="0.35">
      <c r="A1179" s="35" t="s">
        <v>1262</v>
      </c>
      <c r="B1179" s="36">
        <v>76</v>
      </c>
      <c r="C1179" s="37">
        <v>49</v>
      </c>
      <c r="D1179" s="38">
        <v>15</v>
      </c>
      <c r="E1179" s="39">
        <v>122</v>
      </c>
    </row>
    <row r="1180" spans="1:5" x14ac:dyDescent="0.35">
      <c r="A1180" s="35" t="s">
        <v>1263</v>
      </c>
      <c r="B1180" s="36">
        <v>122</v>
      </c>
      <c r="C1180" s="37">
        <v>60</v>
      </c>
      <c r="D1180" s="38">
        <v>75</v>
      </c>
      <c r="E1180" s="39">
        <v>107</v>
      </c>
    </row>
    <row r="1181" spans="1:5" x14ac:dyDescent="0.35">
      <c r="A1181" s="35" t="s">
        <v>1264</v>
      </c>
      <c r="B1181" s="36">
        <v>107</v>
      </c>
      <c r="C1181" s="37">
        <v>17</v>
      </c>
      <c r="D1181" s="38">
        <v>42</v>
      </c>
      <c r="E1181" s="39">
        <v>88</v>
      </c>
    </row>
    <row r="1182" spans="1:5" x14ac:dyDescent="0.35">
      <c r="A1182" s="35" t="s">
        <v>1265</v>
      </c>
      <c r="B1182" s="36">
        <v>88</v>
      </c>
      <c r="C1182" s="37">
        <v>56</v>
      </c>
      <c r="D1182" s="38">
        <v>41</v>
      </c>
      <c r="E1182" s="39">
        <v>105</v>
      </c>
    </row>
    <row r="1183" spans="1:5" x14ac:dyDescent="0.35">
      <c r="A1183" s="35" t="s">
        <v>1266</v>
      </c>
      <c r="B1183" s="36">
        <v>105</v>
      </c>
      <c r="C1183" s="37">
        <v>26</v>
      </c>
      <c r="D1183" s="38">
        <v>22</v>
      </c>
      <c r="E1183" s="39">
        <v>98</v>
      </c>
    </row>
    <row r="1184" spans="1:5" x14ac:dyDescent="0.35">
      <c r="A1184" s="35" t="s">
        <v>1267</v>
      </c>
      <c r="B1184" s="36">
        <v>98</v>
      </c>
      <c r="C1184" s="37">
        <v>28</v>
      </c>
      <c r="D1184" s="38">
        <v>28</v>
      </c>
      <c r="E1184" s="39">
        <v>102</v>
      </c>
    </row>
    <row r="1185" spans="1:5" x14ac:dyDescent="0.35">
      <c r="A1185" s="35" t="s">
        <v>1268</v>
      </c>
      <c r="B1185" s="36">
        <v>102</v>
      </c>
      <c r="C1185" s="37">
        <v>43</v>
      </c>
      <c r="D1185" s="38">
        <v>29</v>
      </c>
      <c r="E1185" s="39">
        <v>122</v>
      </c>
    </row>
    <row r="1186" spans="1:5" x14ac:dyDescent="0.35">
      <c r="A1186" s="35" t="s">
        <v>1269</v>
      </c>
      <c r="B1186" s="36">
        <v>122</v>
      </c>
      <c r="C1186" s="37">
        <v>13</v>
      </c>
      <c r="D1186" s="38">
        <v>82</v>
      </c>
      <c r="E1186" s="39">
        <v>43</v>
      </c>
    </row>
    <row r="1187" spans="1:5" x14ac:dyDescent="0.35">
      <c r="A1187" s="35" t="s">
        <v>1270</v>
      </c>
      <c r="B1187" s="36">
        <v>43</v>
      </c>
      <c r="C1187" s="37">
        <v>24</v>
      </c>
      <c r="D1187" s="38">
        <v>3</v>
      </c>
      <c r="E1187" s="39">
        <v>69</v>
      </c>
    </row>
    <row r="1188" spans="1:5" x14ac:dyDescent="0.35">
      <c r="A1188" s="35" t="s">
        <v>1271</v>
      </c>
      <c r="B1188" s="36">
        <v>69</v>
      </c>
      <c r="C1188" s="37">
        <v>26</v>
      </c>
      <c r="D1188" s="38">
        <v>28</v>
      </c>
      <c r="E1188" s="39">
        <v>70</v>
      </c>
    </row>
    <row r="1189" spans="1:5" x14ac:dyDescent="0.35">
      <c r="A1189" s="35" t="s">
        <v>1272</v>
      </c>
      <c r="B1189" s="36">
        <v>70</v>
      </c>
      <c r="C1189" s="37">
        <v>36</v>
      </c>
      <c r="D1189" s="38">
        <v>18</v>
      </c>
      <c r="E1189" s="39">
        <v>78</v>
      </c>
    </row>
    <row r="1190" spans="1:5" x14ac:dyDescent="0.35">
      <c r="A1190" s="35" t="s">
        <v>1273</v>
      </c>
      <c r="B1190" s="36">
        <v>78</v>
      </c>
      <c r="C1190" s="37">
        <v>18</v>
      </c>
      <c r="D1190" s="38">
        <v>35</v>
      </c>
      <c r="E1190" s="39">
        <v>70</v>
      </c>
    </row>
    <row r="1191" spans="1:5" x14ac:dyDescent="0.35">
      <c r="A1191" s="35" t="s">
        <v>1274</v>
      </c>
      <c r="B1191" s="36">
        <v>70</v>
      </c>
      <c r="C1191" s="37">
        <v>15</v>
      </c>
      <c r="D1191" s="38">
        <v>27</v>
      </c>
      <c r="E1191" s="39">
        <v>57</v>
      </c>
    </row>
    <row r="1192" spans="1:5" x14ac:dyDescent="0.35">
      <c r="A1192" s="35" t="s">
        <v>1275</v>
      </c>
      <c r="B1192" s="36">
        <v>57</v>
      </c>
      <c r="C1192" s="37">
        <v>35</v>
      </c>
      <c r="D1192" s="38">
        <v>29</v>
      </c>
      <c r="E1192" s="39">
        <v>61</v>
      </c>
    </row>
    <row r="1193" spans="1:5" x14ac:dyDescent="0.35">
      <c r="A1193" s="35" t="s">
        <v>1276</v>
      </c>
      <c r="B1193" s="36">
        <v>61</v>
      </c>
      <c r="C1193" s="37">
        <v>25</v>
      </c>
      <c r="D1193" s="38">
        <v>4</v>
      </c>
      <c r="E1193" s="39">
        <v>76</v>
      </c>
    </row>
    <row r="1194" spans="1:5" x14ac:dyDescent="0.35">
      <c r="A1194" s="35" t="s">
        <v>1277</v>
      </c>
      <c r="B1194" s="36">
        <v>76</v>
      </c>
      <c r="C1194" s="37">
        <v>37</v>
      </c>
      <c r="D1194" s="38">
        <v>15</v>
      </c>
      <c r="E1194" s="39">
        <v>90</v>
      </c>
    </row>
    <row r="1195" spans="1:5" x14ac:dyDescent="0.35">
      <c r="A1195" s="35" t="s">
        <v>1278</v>
      </c>
      <c r="B1195" s="36">
        <v>90</v>
      </c>
      <c r="C1195" s="37">
        <v>40</v>
      </c>
      <c r="D1195" s="38">
        <v>26</v>
      </c>
      <c r="E1195" s="39">
        <v>101</v>
      </c>
    </row>
    <row r="1196" spans="1:5" x14ac:dyDescent="0.35">
      <c r="A1196" s="35" t="s">
        <v>1279</v>
      </c>
      <c r="B1196" s="36">
        <v>101</v>
      </c>
      <c r="C1196" s="37">
        <v>14</v>
      </c>
      <c r="D1196" s="38">
        <v>34</v>
      </c>
      <c r="E1196" s="39">
        <v>81</v>
      </c>
    </row>
    <row r="1197" spans="1:5" x14ac:dyDescent="0.35">
      <c r="A1197" s="35" t="s">
        <v>1280</v>
      </c>
      <c r="B1197" s="36">
        <v>81</v>
      </c>
      <c r="C1197" s="37">
        <v>9</v>
      </c>
      <c r="D1197" s="38">
        <v>6</v>
      </c>
      <c r="E1197" s="39">
        <v>64</v>
      </c>
    </row>
    <row r="1198" spans="1:5" x14ac:dyDescent="0.35">
      <c r="A1198" s="35" t="s">
        <v>1281</v>
      </c>
      <c r="B1198" s="36">
        <v>64</v>
      </c>
      <c r="C1198" s="37">
        <v>35</v>
      </c>
      <c r="D1198" s="38">
        <v>28</v>
      </c>
      <c r="E1198" s="39">
        <v>79</v>
      </c>
    </row>
    <row r="1199" spans="1:5" x14ac:dyDescent="0.35">
      <c r="A1199" s="35" t="s">
        <v>1282</v>
      </c>
      <c r="B1199" s="36">
        <v>79</v>
      </c>
      <c r="C1199" s="37">
        <v>36</v>
      </c>
      <c r="D1199" s="38">
        <v>39</v>
      </c>
      <c r="E1199" s="39">
        <v>70</v>
      </c>
    </row>
    <row r="1200" spans="1:5" x14ac:dyDescent="0.35">
      <c r="A1200" s="35" t="s">
        <v>1283</v>
      </c>
      <c r="B1200" s="36">
        <v>79</v>
      </c>
      <c r="C1200" s="37">
        <v>37</v>
      </c>
      <c r="D1200" s="38">
        <v>38</v>
      </c>
      <c r="E1200" s="39">
        <v>69</v>
      </c>
    </row>
    <row r="1201" spans="1:5" x14ac:dyDescent="0.35">
      <c r="A1201" s="35" t="s">
        <v>1284</v>
      </c>
      <c r="B1201" s="36">
        <v>69</v>
      </c>
      <c r="C1201" s="37">
        <v>27</v>
      </c>
      <c r="D1201" s="38">
        <v>17</v>
      </c>
      <c r="E1201" s="39">
        <v>81</v>
      </c>
    </row>
    <row r="1202" spans="1:5" x14ac:dyDescent="0.35">
      <c r="A1202" s="35" t="s">
        <v>1285</v>
      </c>
      <c r="B1202" s="36">
        <v>81</v>
      </c>
      <c r="C1202" s="37">
        <v>56</v>
      </c>
      <c r="D1202" s="38">
        <v>32</v>
      </c>
      <c r="E1202" s="39">
        <v>111</v>
      </c>
    </row>
    <row r="1203" spans="1:5" x14ac:dyDescent="0.35">
      <c r="A1203" s="35" t="s">
        <v>1286</v>
      </c>
      <c r="B1203" s="36">
        <v>111</v>
      </c>
      <c r="C1203" s="37">
        <v>9</v>
      </c>
      <c r="D1203" s="38">
        <v>41</v>
      </c>
      <c r="E1203" s="39">
        <v>84</v>
      </c>
    </row>
    <row r="1204" spans="1:5" x14ac:dyDescent="0.35">
      <c r="A1204" s="35" t="s">
        <v>1287</v>
      </c>
      <c r="B1204" s="36">
        <v>84</v>
      </c>
      <c r="C1204" s="37">
        <v>19</v>
      </c>
      <c r="D1204" s="38">
        <v>12</v>
      </c>
      <c r="E1204" s="39">
        <v>86</v>
      </c>
    </row>
    <row r="1205" spans="1:5" x14ac:dyDescent="0.35">
      <c r="A1205" s="35" t="s">
        <v>1288</v>
      </c>
      <c r="B1205" s="36">
        <v>86</v>
      </c>
      <c r="C1205" s="37">
        <v>5</v>
      </c>
      <c r="D1205" s="38">
        <v>5</v>
      </c>
      <c r="E1205" s="39">
        <v>86</v>
      </c>
    </row>
    <row r="1206" spans="1:5" x14ac:dyDescent="0.35">
      <c r="A1206" s="35" t="s">
        <v>1289</v>
      </c>
      <c r="B1206" s="36">
        <v>86</v>
      </c>
      <c r="C1206" s="37">
        <v>2</v>
      </c>
      <c r="D1206" s="38">
        <v>18</v>
      </c>
      <c r="E1206" s="39">
        <v>79</v>
      </c>
    </row>
    <row r="1207" spans="1:5" x14ac:dyDescent="0.35">
      <c r="A1207" s="35" t="s">
        <v>1290</v>
      </c>
      <c r="B1207" s="36">
        <v>79</v>
      </c>
      <c r="C1207" s="37">
        <v>11</v>
      </c>
      <c r="D1207" s="38">
        <v>5</v>
      </c>
      <c r="E1207" s="39">
        <v>86</v>
      </c>
    </row>
    <row r="1208" spans="1:5" x14ac:dyDescent="0.35">
      <c r="A1208" s="35" t="s">
        <v>1291</v>
      </c>
      <c r="B1208" s="36">
        <v>86</v>
      </c>
      <c r="C1208" s="37">
        <v>22</v>
      </c>
      <c r="D1208" s="38">
        <v>17</v>
      </c>
      <c r="E1208" s="39">
        <v>94</v>
      </c>
    </row>
    <row r="1209" spans="1:5" x14ac:dyDescent="0.35">
      <c r="A1209" s="35" t="s">
        <v>1292</v>
      </c>
      <c r="B1209" s="36">
        <v>94</v>
      </c>
      <c r="C1209" s="37">
        <v>49</v>
      </c>
      <c r="D1209" s="38">
        <v>5</v>
      </c>
      <c r="E1209" s="39">
        <v>112</v>
      </c>
    </row>
    <row r="1210" spans="1:5" x14ac:dyDescent="0.35">
      <c r="A1210" s="35" t="s">
        <v>1293</v>
      </c>
      <c r="B1210" s="36">
        <v>112</v>
      </c>
      <c r="C1210" s="37">
        <v>65</v>
      </c>
      <c r="D1210" s="38">
        <v>65</v>
      </c>
      <c r="E1210" s="39">
        <v>99</v>
      </c>
    </row>
    <row r="1211" spans="1:5" x14ac:dyDescent="0.35">
      <c r="A1211" s="35" t="s">
        <v>1294</v>
      </c>
      <c r="B1211" s="36">
        <v>99</v>
      </c>
      <c r="C1211" s="37">
        <v>19</v>
      </c>
      <c r="D1211" s="38">
        <v>43</v>
      </c>
      <c r="E1211" s="39">
        <v>77</v>
      </c>
    </row>
    <row r="1212" spans="1:5" x14ac:dyDescent="0.35">
      <c r="A1212" s="35" t="s">
        <v>1295</v>
      </c>
      <c r="B1212" s="36">
        <v>77</v>
      </c>
      <c r="C1212" s="37">
        <v>59</v>
      </c>
      <c r="D1212" s="38">
        <v>27</v>
      </c>
      <c r="E1212" s="39">
        <v>108</v>
      </c>
    </row>
    <row r="1213" spans="1:5" x14ac:dyDescent="0.35">
      <c r="A1213" s="35" t="s">
        <v>1296</v>
      </c>
      <c r="B1213" s="36">
        <v>108</v>
      </c>
      <c r="C1213" s="37">
        <v>17</v>
      </c>
      <c r="D1213" s="38">
        <v>44</v>
      </c>
      <c r="E1213" s="39">
        <v>87</v>
      </c>
    </row>
    <row r="1214" spans="1:5" x14ac:dyDescent="0.35">
      <c r="A1214" s="35" t="s">
        <v>1297</v>
      </c>
      <c r="B1214" s="36">
        <v>87</v>
      </c>
      <c r="C1214" s="37">
        <v>28</v>
      </c>
      <c r="D1214" s="38">
        <v>20</v>
      </c>
      <c r="E1214" s="39">
        <v>112</v>
      </c>
    </row>
    <row r="1215" spans="1:5" x14ac:dyDescent="0.35">
      <c r="A1215" s="35" t="s">
        <v>1298</v>
      </c>
      <c r="B1215" s="36">
        <v>112</v>
      </c>
      <c r="C1215" s="37">
        <v>49</v>
      </c>
      <c r="D1215" s="38">
        <v>12</v>
      </c>
      <c r="E1215" s="39">
        <v>139</v>
      </c>
    </row>
    <row r="1216" spans="1:5" x14ac:dyDescent="0.35">
      <c r="A1216" s="35" t="s">
        <v>1299</v>
      </c>
      <c r="B1216" s="36">
        <v>139</v>
      </c>
      <c r="C1216" s="37">
        <v>19</v>
      </c>
      <c r="D1216" s="38">
        <v>15</v>
      </c>
      <c r="E1216" s="39">
        <v>150</v>
      </c>
    </row>
    <row r="1217" spans="1:5" x14ac:dyDescent="0.35">
      <c r="A1217" s="35" t="s">
        <v>1300</v>
      </c>
      <c r="B1217" s="36">
        <v>150</v>
      </c>
      <c r="C1217" s="37">
        <v>45</v>
      </c>
      <c r="D1217" s="38">
        <v>45</v>
      </c>
      <c r="E1217" s="39">
        <v>164</v>
      </c>
    </row>
    <row r="1218" spans="1:5" x14ac:dyDescent="0.35">
      <c r="A1218" s="35" t="s">
        <v>1301</v>
      </c>
      <c r="B1218" s="36">
        <v>164</v>
      </c>
      <c r="C1218" s="37">
        <v>34</v>
      </c>
      <c r="D1218" s="38">
        <v>73</v>
      </c>
      <c r="E1218" s="39">
        <v>87</v>
      </c>
    </row>
    <row r="1219" spans="1:5" x14ac:dyDescent="0.35">
      <c r="A1219" s="35" t="s">
        <v>1302</v>
      </c>
      <c r="B1219" s="36">
        <v>87</v>
      </c>
      <c r="C1219" s="37">
        <v>30</v>
      </c>
      <c r="D1219" s="38">
        <v>39</v>
      </c>
      <c r="E1219" s="39">
        <v>74</v>
      </c>
    </row>
    <row r="1220" spans="1:5" x14ac:dyDescent="0.35">
      <c r="A1220" s="35" t="s">
        <v>1303</v>
      </c>
      <c r="B1220" s="36">
        <v>74</v>
      </c>
      <c r="C1220" s="37">
        <v>73</v>
      </c>
      <c r="D1220" s="38">
        <v>29</v>
      </c>
      <c r="E1220" s="39">
        <v>121</v>
      </c>
    </row>
    <row r="1221" spans="1:5" x14ac:dyDescent="0.35">
      <c r="A1221" s="35" t="s">
        <v>1304</v>
      </c>
      <c r="B1221" s="36">
        <v>121</v>
      </c>
      <c r="C1221" s="37">
        <v>96</v>
      </c>
      <c r="D1221" s="38">
        <v>38</v>
      </c>
      <c r="E1221" s="39">
        <v>158</v>
      </c>
    </row>
    <row r="1222" spans="1:5" x14ac:dyDescent="0.35">
      <c r="A1222" s="35" t="s">
        <v>1305</v>
      </c>
      <c r="B1222" s="36">
        <v>158</v>
      </c>
      <c r="C1222" s="37">
        <v>30</v>
      </c>
      <c r="D1222" s="38">
        <v>76</v>
      </c>
      <c r="E1222" s="39">
        <v>123</v>
      </c>
    </row>
    <row r="1223" spans="1:5" x14ac:dyDescent="0.35">
      <c r="A1223" s="35" t="s">
        <v>1306</v>
      </c>
      <c r="B1223" s="36">
        <v>123</v>
      </c>
      <c r="C1223" s="37">
        <v>67</v>
      </c>
      <c r="D1223" s="38">
        <v>62</v>
      </c>
      <c r="E1223" s="39">
        <v>93</v>
      </c>
    </row>
    <row r="1224" spans="1:5" x14ac:dyDescent="0.35">
      <c r="A1224" s="35" t="s">
        <v>1307</v>
      </c>
      <c r="B1224" s="36">
        <v>93</v>
      </c>
      <c r="C1224" s="37">
        <v>33</v>
      </c>
      <c r="D1224" s="38">
        <v>70</v>
      </c>
      <c r="E1224" s="39">
        <v>56</v>
      </c>
    </row>
    <row r="1225" spans="1:5" x14ac:dyDescent="0.35">
      <c r="A1225" s="35" t="s">
        <v>1308</v>
      </c>
      <c r="B1225" s="36">
        <v>56</v>
      </c>
      <c r="C1225" s="37">
        <v>18</v>
      </c>
      <c r="D1225" s="38">
        <v>18</v>
      </c>
      <c r="E1225" s="39">
        <v>54</v>
      </c>
    </row>
    <row r="1226" spans="1:5" x14ac:dyDescent="0.35">
      <c r="A1226" s="35" t="s">
        <v>1309</v>
      </c>
      <c r="B1226" s="36">
        <v>54</v>
      </c>
      <c r="C1226" s="37">
        <v>23</v>
      </c>
      <c r="D1226" s="38">
        <v>14</v>
      </c>
      <c r="E1226" s="39">
        <v>60</v>
      </c>
    </row>
    <row r="1227" spans="1:5" x14ac:dyDescent="0.35">
      <c r="A1227" s="35" t="s">
        <v>1310</v>
      </c>
      <c r="B1227" s="36">
        <v>60</v>
      </c>
      <c r="C1227" s="37">
        <v>18</v>
      </c>
      <c r="D1227" s="38">
        <v>5</v>
      </c>
      <c r="E1227" s="39">
        <v>82</v>
      </c>
    </row>
    <row r="1228" spans="1:5" x14ac:dyDescent="0.35">
      <c r="A1228" s="35" t="s">
        <v>1311</v>
      </c>
      <c r="B1228" s="36">
        <v>82</v>
      </c>
      <c r="C1228" s="37">
        <v>52</v>
      </c>
      <c r="D1228" s="38">
        <v>30</v>
      </c>
      <c r="E1228" s="39">
        <v>104</v>
      </c>
    </row>
    <row r="1229" spans="1:5" x14ac:dyDescent="0.35">
      <c r="A1229" s="35" t="s">
        <v>1312</v>
      </c>
      <c r="B1229" s="36">
        <v>104</v>
      </c>
      <c r="C1229" s="37">
        <v>45</v>
      </c>
      <c r="D1229" s="38">
        <v>61</v>
      </c>
      <c r="E1229" s="39">
        <v>88</v>
      </c>
    </row>
    <row r="1230" spans="1:5" x14ac:dyDescent="0.35">
      <c r="A1230" s="35" t="s">
        <v>1313</v>
      </c>
      <c r="B1230" s="36">
        <v>88</v>
      </c>
      <c r="C1230" s="37">
        <v>32</v>
      </c>
      <c r="D1230" s="38">
        <v>29</v>
      </c>
      <c r="E1230" s="39">
        <v>89</v>
      </c>
    </row>
    <row r="1231" spans="1:5" x14ac:dyDescent="0.35">
      <c r="A1231" s="35" t="s">
        <v>1314</v>
      </c>
      <c r="B1231" s="36">
        <v>89</v>
      </c>
      <c r="C1231" s="37">
        <v>15</v>
      </c>
      <c r="D1231" s="38">
        <v>6</v>
      </c>
      <c r="E1231" s="39">
        <v>100</v>
      </c>
    </row>
    <row r="1232" spans="1:5" x14ac:dyDescent="0.35">
      <c r="A1232" s="35" t="s">
        <v>1315</v>
      </c>
      <c r="B1232" s="36">
        <v>100</v>
      </c>
      <c r="C1232" s="37">
        <v>60</v>
      </c>
      <c r="D1232" s="38">
        <v>56</v>
      </c>
      <c r="E1232" s="39">
        <v>82</v>
      </c>
    </row>
    <row r="1233" spans="1:5" x14ac:dyDescent="0.35">
      <c r="A1233" s="35" t="s">
        <v>1316</v>
      </c>
      <c r="B1233" s="36">
        <v>82</v>
      </c>
      <c r="C1233" s="37">
        <v>44</v>
      </c>
      <c r="D1233" s="38">
        <v>5</v>
      </c>
      <c r="E1233" s="39">
        <v>90</v>
      </c>
    </row>
    <row r="1234" spans="1:5" x14ac:dyDescent="0.35">
      <c r="A1234" s="35" t="s">
        <v>1317</v>
      </c>
      <c r="B1234" s="36">
        <v>90</v>
      </c>
      <c r="C1234" s="37">
        <v>35</v>
      </c>
      <c r="D1234" s="38">
        <v>65</v>
      </c>
      <c r="E1234" s="39">
        <v>65</v>
      </c>
    </row>
    <row r="1235" spans="1:5" x14ac:dyDescent="0.35">
      <c r="A1235" s="35" t="s">
        <v>1318</v>
      </c>
      <c r="B1235" s="36">
        <v>65</v>
      </c>
      <c r="C1235" s="37">
        <v>21</v>
      </c>
      <c r="D1235" s="38">
        <v>23</v>
      </c>
      <c r="E1235" s="39">
        <v>68</v>
      </c>
    </row>
    <row r="1236" spans="1:5" x14ac:dyDescent="0.35">
      <c r="A1236" s="35" t="s">
        <v>1319</v>
      </c>
      <c r="B1236" s="36">
        <v>68</v>
      </c>
      <c r="C1236" s="37">
        <v>103</v>
      </c>
      <c r="D1236" s="38">
        <v>31</v>
      </c>
      <c r="E1236" s="39">
        <v>148</v>
      </c>
    </row>
    <row r="1237" spans="1:5" x14ac:dyDescent="0.35">
      <c r="A1237" s="35" t="s">
        <v>1320</v>
      </c>
      <c r="B1237" s="36">
        <v>148</v>
      </c>
      <c r="C1237" s="37">
        <v>16</v>
      </c>
      <c r="D1237" s="38">
        <v>7</v>
      </c>
      <c r="E1237" s="39">
        <v>134</v>
      </c>
    </row>
    <row r="1238" spans="1:5" x14ac:dyDescent="0.35">
      <c r="A1238" s="35" t="s">
        <v>1321</v>
      </c>
      <c r="B1238" s="36">
        <v>134</v>
      </c>
      <c r="C1238" s="37">
        <v>21</v>
      </c>
      <c r="D1238" s="38">
        <v>108</v>
      </c>
      <c r="E1238" s="39">
        <v>68</v>
      </c>
    </row>
    <row r="1239" spans="1:5" x14ac:dyDescent="0.35">
      <c r="A1239" s="35" t="s">
        <v>1322</v>
      </c>
      <c r="B1239" s="36">
        <v>68</v>
      </c>
      <c r="C1239" s="37">
        <v>92</v>
      </c>
      <c r="D1239" s="38">
        <v>27</v>
      </c>
      <c r="E1239" s="39">
        <v>136</v>
      </c>
    </row>
    <row r="1240" spans="1:5" x14ac:dyDescent="0.35">
      <c r="A1240" s="35" t="s">
        <v>1323</v>
      </c>
      <c r="B1240" s="36">
        <v>136</v>
      </c>
      <c r="C1240" s="37">
        <v>30</v>
      </c>
      <c r="D1240" s="38">
        <v>29</v>
      </c>
      <c r="E1240" s="39">
        <v>127</v>
      </c>
    </row>
    <row r="1241" spans="1:5" x14ac:dyDescent="0.35">
      <c r="A1241" s="35" t="s">
        <v>1324</v>
      </c>
      <c r="B1241" s="36">
        <v>127</v>
      </c>
      <c r="C1241" s="37">
        <v>0</v>
      </c>
      <c r="D1241" s="38">
        <v>55</v>
      </c>
      <c r="E1241" s="39">
        <v>96</v>
      </c>
    </row>
    <row r="1242" spans="1:5" x14ac:dyDescent="0.35">
      <c r="A1242" s="35" t="s">
        <v>1325</v>
      </c>
      <c r="B1242" s="36">
        <v>96</v>
      </c>
      <c r="C1242" s="37">
        <v>127</v>
      </c>
      <c r="D1242" s="38">
        <v>35</v>
      </c>
      <c r="E1242" s="39">
        <v>188</v>
      </c>
    </row>
    <row r="1243" spans="1:5" x14ac:dyDescent="0.35">
      <c r="A1243" s="35" t="s">
        <v>1326</v>
      </c>
      <c r="B1243" s="36">
        <v>188</v>
      </c>
      <c r="C1243" s="37">
        <v>34</v>
      </c>
      <c r="D1243" s="38">
        <v>106</v>
      </c>
      <c r="E1243" s="39">
        <v>132</v>
      </c>
    </row>
    <row r="1244" spans="1:5" x14ac:dyDescent="0.35">
      <c r="A1244" s="35" t="s">
        <v>1327</v>
      </c>
      <c r="B1244" s="36">
        <v>132</v>
      </c>
      <c r="C1244" s="37">
        <v>70</v>
      </c>
      <c r="D1244" s="38">
        <v>68</v>
      </c>
      <c r="E1244" s="39">
        <v>124</v>
      </c>
    </row>
    <row r="1245" spans="1:5" x14ac:dyDescent="0.35">
      <c r="A1245" s="35" t="s">
        <v>1328</v>
      </c>
      <c r="B1245" s="36">
        <v>124</v>
      </c>
      <c r="C1245" s="37">
        <v>105</v>
      </c>
      <c r="D1245" s="38">
        <v>55</v>
      </c>
      <c r="E1245" s="39">
        <v>178</v>
      </c>
    </row>
    <row r="1246" spans="1:5" x14ac:dyDescent="0.35">
      <c r="A1246" s="35" t="s">
        <v>1329</v>
      </c>
      <c r="B1246" s="36">
        <v>178</v>
      </c>
      <c r="C1246" s="37">
        <v>47</v>
      </c>
      <c r="D1246" s="38">
        <v>55</v>
      </c>
      <c r="E1246" s="39">
        <v>164</v>
      </c>
    </row>
    <row r="1247" spans="1:5" x14ac:dyDescent="0.35">
      <c r="A1247" s="35" t="s">
        <v>1330</v>
      </c>
      <c r="B1247" s="36">
        <v>164</v>
      </c>
      <c r="C1247" s="37">
        <v>24</v>
      </c>
      <c r="D1247" s="38">
        <v>37</v>
      </c>
      <c r="E1247" s="39">
        <v>161</v>
      </c>
    </row>
    <row r="1248" spans="1:5" x14ac:dyDescent="0.35">
      <c r="A1248" s="35" t="s">
        <v>1331</v>
      </c>
      <c r="B1248" s="36">
        <v>161</v>
      </c>
      <c r="C1248" s="37">
        <v>62</v>
      </c>
      <c r="D1248" s="38">
        <v>32</v>
      </c>
      <c r="E1248" s="39">
        <v>186</v>
      </c>
    </row>
    <row r="1249" spans="1:5" x14ac:dyDescent="0.35">
      <c r="A1249" s="35" t="s">
        <v>1332</v>
      </c>
      <c r="B1249" s="36">
        <v>186</v>
      </c>
      <c r="C1249" s="37">
        <v>58</v>
      </c>
      <c r="D1249" s="38">
        <v>59</v>
      </c>
      <c r="E1249" s="39">
        <v>185</v>
      </c>
    </row>
    <row r="1250" spans="1:5" x14ac:dyDescent="0.35">
      <c r="A1250" s="35" t="s">
        <v>1333</v>
      </c>
      <c r="B1250" s="36">
        <v>185</v>
      </c>
      <c r="C1250" s="37">
        <v>88</v>
      </c>
      <c r="D1250" s="38">
        <v>47</v>
      </c>
      <c r="E1250" s="39">
        <v>207</v>
      </c>
    </row>
    <row r="1251" spans="1:5" x14ac:dyDescent="0.35">
      <c r="A1251" s="35" t="s">
        <v>1334</v>
      </c>
      <c r="B1251" s="36">
        <v>207</v>
      </c>
      <c r="C1251" s="37">
        <v>11</v>
      </c>
      <c r="D1251" s="38">
        <v>46</v>
      </c>
      <c r="E1251" s="39">
        <v>146</v>
      </c>
    </row>
    <row r="1252" spans="1:5" x14ac:dyDescent="0.35">
      <c r="A1252" s="35" t="s">
        <v>1335</v>
      </c>
      <c r="B1252" s="36">
        <v>146</v>
      </c>
      <c r="C1252" s="37">
        <v>92</v>
      </c>
      <c r="D1252" s="38">
        <v>81</v>
      </c>
      <c r="E1252" s="39">
        <v>160</v>
      </c>
    </row>
    <row r="1253" spans="1:5" x14ac:dyDescent="0.35">
      <c r="A1253" s="35" t="s">
        <v>1336</v>
      </c>
      <c r="B1253" s="36">
        <v>160</v>
      </c>
      <c r="C1253" s="37">
        <v>67</v>
      </c>
      <c r="D1253" s="38">
        <v>81</v>
      </c>
      <c r="E1253" s="39">
        <v>139</v>
      </c>
    </row>
    <row r="1254" spans="1:5" x14ac:dyDescent="0.35">
      <c r="A1254" s="35" t="s">
        <v>1337</v>
      </c>
      <c r="B1254" s="36">
        <v>139</v>
      </c>
      <c r="C1254" s="37">
        <v>25</v>
      </c>
      <c r="D1254" s="38">
        <v>49</v>
      </c>
      <c r="E1254" s="39">
        <v>124</v>
      </c>
    </row>
    <row r="1255" spans="1:5" x14ac:dyDescent="0.35">
      <c r="A1255" s="35" t="s">
        <v>1338</v>
      </c>
      <c r="B1255" s="36">
        <v>124</v>
      </c>
      <c r="C1255" s="37">
        <v>80</v>
      </c>
      <c r="D1255" s="38">
        <v>14</v>
      </c>
      <c r="E1255" s="39">
        <v>194</v>
      </c>
    </row>
    <row r="1256" spans="1:5" x14ac:dyDescent="0.35">
      <c r="A1256" s="35" t="s">
        <v>1339</v>
      </c>
      <c r="B1256" s="36">
        <v>194</v>
      </c>
      <c r="C1256" s="37">
        <v>114</v>
      </c>
      <c r="D1256" s="38">
        <v>53</v>
      </c>
      <c r="E1256" s="39">
        <v>255</v>
      </c>
    </row>
    <row r="1257" spans="1:5" x14ac:dyDescent="0.35">
      <c r="A1257" s="35" t="s">
        <v>1340</v>
      </c>
      <c r="B1257" s="36">
        <v>255</v>
      </c>
      <c r="C1257" s="37">
        <v>24</v>
      </c>
      <c r="D1257" s="38">
        <v>34</v>
      </c>
      <c r="E1257" s="39">
        <v>235</v>
      </c>
    </row>
    <row r="1258" spans="1:5" x14ac:dyDescent="0.35">
      <c r="A1258" s="35" t="s">
        <v>1341</v>
      </c>
      <c r="B1258" s="36">
        <v>235</v>
      </c>
      <c r="C1258" s="37">
        <v>40</v>
      </c>
      <c r="D1258" s="38">
        <v>95</v>
      </c>
      <c r="E1258" s="39">
        <v>172</v>
      </c>
    </row>
    <row r="1259" spans="1:5" x14ac:dyDescent="0.35">
      <c r="A1259" s="35" t="s">
        <v>1342</v>
      </c>
      <c r="B1259" s="36">
        <v>172</v>
      </c>
      <c r="C1259" s="37">
        <v>56</v>
      </c>
      <c r="D1259" s="38">
        <v>60</v>
      </c>
      <c r="E1259" s="39">
        <v>172</v>
      </c>
    </row>
    <row r="1260" spans="1:5" x14ac:dyDescent="0.35">
      <c r="A1260" s="35" t="s">
        <v>1343</v>
      </c>
      <c r="B1260" s="36">
        <v>172</v>
      </c>
      <c r="C1260" s="37">
        <v>36</v>
      </c>
      <c r="D1260" s="38">
        <v>33</v>
      </c>
      <c r="E1260" s="39">
        <v>176</v>
      </c>
    </row>
    <row r="1261" spans="1:5" x14ac:dyDescent="0.35">
      <c r="A1261" s="35" t="s">
        <v>1344</v>
      </c>
      <c r="B1261" s="36">
        <v>176</v>
      </c>
      <c r="C1261" s="37">
        <v>71</v>
      </c>
      <c r="D1261" s="38">
        <v>49</v>
      </c>
      <c r="E1261" s="39">
        <v>198</v>
      </c>
    </row>
    <row r="1262" spans="1:5" x14ac:dyDescent="0.35">
      <c r="A1262" s="35" t="s">
        <v>1345</v>
      </c>
      <c r="B1262" s="36">
        <v>198</v>
      </c>
      <c r="C1262" s="37">
        <v>89</v>
      </c>
      <c r="D1262" s="38">
        <v>44</v>
      </c>
      <c r="E1262" s="39">
        <v>255</v>
      </c>
    </row>
    <row r="1263" spans="1:5" x14ac:dyDescent="0.35">
      <c r="A1263" s="35" t="s">
        <v>1346</v>
      </c>
      <c r="B1263" s="36">
        <v>255</v>
      </c>
      <c r="C1263" s="37">
        <v>37</v>
      </c>
      <c r="D1263" s="38">
        <v>80</v>
      </c>
      <c r="E1263" s="39">
        <v>212</v>
      </c>
    </row>
    <row r="1264" spans="1:5" x14ac:dyDescent="0.35">
      <c r="A1264" s="35" t="s">
        <v>1347</v>
      </c>
      <c r="B1264" s="36">
        <v>212</v>
      </c>
      <c r="C1264" s="37">
        <v>62</v>
      </c>
      <c r="D1264" s="38">
        <v>47</v>
      </c>
      <c r="E1264" s="39">
        <v>225</v>
      </c>
    </row>
    <row r="1265" spans="1:5" x14ac:dyDescent="0.35">
      <c r="A1265" s="35" t="s">
        <v>1348</v>
      </c>
      <c r="B1265" s="36">
        <v>225</v>
      </c>
      <c r="C1265" s="37">
        <v>40</v>
      </c>
      <c r="D1265" s="38">
        <v>45</v>
      </c>
      <c r="E1265" s="39">
        <v>186</v>
      </c>
    </row>
    <row r="1266" spans="1:5" x14ac:dyDescent="0.35">
      <c r="A1266" s="35" t="s">
        <v>1349</v>
      </c>
      <c r="B1266" s="36">
        <v>186</v>
      </c>
      <c r="C1266" s="37">
        <v>50</v>
      </c>
      <c r="D1266" s="38">
        <v>52</v>
      </c>
      <c r="E1266" s="39">
        <v>191</v>
      </c>
    </row>
    <row r="1267" spans="1:5" x14ac:dyDescent="0.35">
      <c r="A1267" s="35" t="s">
        <v>1350</v>
      </c>
      <c r="B1267" s="36">
        <v>191</v>
      </c>
      <c r="C1267" s="37">
        <v>56</v>
      </c>
      <c r="D1267" s="38">
        <v>66</v>
      </c>
      <c r="E1267" s="39">
        <v>175</v>
      </c>
    </row>
    <row r="1268" spans="1:5" x14ac:dyDescent="0.35">
      <c r="A1268" s="35" t="s">
        <v>1351</v>
      </c>
      <c r="B1268" s="36">
        <v>175</v>
      </c>
      <c r="C1268" s="37">
        <v>18</v>
      </c>
      <c r="D1268" s="38">
        <v>12</v>
      </c>
      <c r="E1268" s="39">
        <v>177</v>
      </c>
    </row>
    <row r="1269" spans="1:5" x14ac:dyDescent="0.35">
      <c r="A1269" s="35" t="s">
        <v>1352</v>
      </c>
      <c r="B1269" s="36">
        <v>177</v>
      </c>
      <c r="C1269" s="37">
        <v>20</v>
      </c>
      <c r="D1269" s="38">
        <v>61</v>
      </c>
      <c r="E1269" s="39">
        <v>133</v>
      </c>
    </row>
    <row r="1270" spans="1:5" x14ac:dyDescent="0.35">
      <c r="A1270" s="35" t="s">
        <v>1353</v>
      </c>
      <c r="B1270" s="36">
        <v>133</v>
      </c>
      <c r="C1270" s="37">
        <v>44</v>
      </c>
      <c r="D1270" s="38">
        <v>37</v>
      </c>
      <c r="E1270" s="39">
        <v>131</v>
      </c>
    </row>
    <row r="1271" spans="1:5" x14ac:dyDescent="0.35">
      <c r="A1271" s="35" t="s">
        <v>1354</v>
      </c>
      <c r="B1271" s="36">
        <v>131</v>
      </c>
      <c r="C1271" s="37">
        <v>54</v>
      </c>
      <c r="D1271" s="38">
        <v>13</v>
      </c>
      <c r="E1271" s="39">
        <v>171</v>
      </c>
    </row>
    <row r="1272" spans="1:5" x14ac:dyDescent="0.35">
      <c r="A1272" s="35" t="s">
        <v>1355</v>
      </c>
      <c r="B1272" s="36">
        <v>171</v>
      </c>
      <c r="C1272" s="37">
        <v>35</v>
      </c>
      <c r="D1272" s="38">
        <v>33</v>
      </c>
      <c r="E1272" s="39">
        <v>167</v>
      </c>
    </row>
    <row r="1273" spans="1:5" x14ac:dyDescent="0.35">
      <c r="A1273" s="35" t="s">
        <v>1356</v>
      </c>
      <c r="B1273" s="36">
        <v>167</v>
      </c>
      <c r="C1273" s="37">
        <v>40</v>
      </c>
      <c r="D1273" s="38">
        <v>95</v>
      </c>
      <c r="E1273" s="39">
        <v>116</v>
      </c>
    </row>
    <row r="1274" spans="1:5" x14ac:dyDescent="0.35">
      <c r="A1274" s="35" t="s">
        <v>1357</v>
      </c>
      <c r="B1274" s="36">
        <v>116</v>
      </c>
      <c r="C1274" s="37">
        <v>46</v>
      </c>
      <c r="D1274" s="38">
        <v>30</v>
      </c>
      <c r="E1274" s="39">
        <v>130</v>
      </c>
    </row>
    <row r="1275" spans="1:5" x14ac:dyDescent="0.35">
      <c r="A1275" s="35" t="s">
        <v>1358</v>
      </c>
      <c r="B1275" s="36">
        <v>130</v>
      </c>
      <c r="C1275" s="37">
        <v>11</v>
      </c>
      <c r="D1275" s="38">
        <v>41</v>
      </c>
      <c r="E1275" s="39">
        <v>100</v>
      </c>
    </row>
    <row r="1276" spans="1:5" x14ac:dyDescent="0.35">
      <c r="A1276" s="35" t="s">
        <v>1359</v>
      </c>
      <c r="B1276" s="36">
        <v>100</v>
      </c>
      <c r="C1276" s="37">
        <v>54</v>
      </c>
      <c r="D1276" s="38">
        <v>53</v>
      </c>
      <c r="E1276" s="39">
        <v>103</v>
      </c>
    </row>
    <row r="1277" spans="1:5" x14ac:dyDescent="0.35">
      <c r="A1277" s="35" t="s">
        <v>1360</v>
      </c>
      <c r="B1277" s="36">
        <v>103</v>
      </c>
      <c r="C1277" s="37">
        <v>47</v>
      </c>
      <c r="D1277" s="38">
        <v>45</v>
      </c>
      <c r="E1277" s="39">
        <v>108</v>
      </c>
    </row>
    <row r="1278" spans="1:5" x14ac:dyDescent="0.35">
      <c r="A1278" s="35" t="s">
        <v>1361</v>
      </c>
      <c r="B1278" s="36">
        <v>108</v>
      </c>
      <c r="C1278" s="37">
        <v>5</v>
      </c>
      <c r="D1278" s="38">
        <v>26</v>
      </c>
      <c r="E1278" s="39">
        <v>91</v>
      </c>
    </row>
    <row r="1279" spans="1:5" x14ac:dyDescent="0.35">
      <c r="A1279" s="35" t="s">
        <v>1362</v>
      </c>
      <c r="B1279" s="36">
        <v>91</v>
      </c>
      <c r="C1279" s="37">
        <v>30</v>
      </c>
      <c r="D1279" s="38">
        <v>24</v>
      </c>
      <c r="E1279" s="39">
        <v>99</v>
      </c>
    </row>
    <row r="1280" spans="1:5" x14ac:dyDescent="0.35">
      <c r="A1280" s="35" t="s">
        <v>1363</v>
      </c>
      <c r="B1280" s="36">
        <v>99</v>
      </c>
      <c r="C1280" s="37">
        <v>99</v>
      </c>
      <c r="D1280" s="38">
        <v>43</v>
      </c>
      <c r="E1280" s="39">
        <v>153</v>
      </c>
    </row>
    <row r="1281" spans="1:5" x14ac:dyDescent="0.35">
      <c r="A1281" s="35" t="s">
        <v>1364</v>
      </c>
      <c r="B1281" s="36">
        <v>153</v>
      </c>
      <c r="C1281" s="37">
        <v>40</v>
      </c>
      <c r="D1281" s="38">
        <v>18</v>
      </c>
      <c r="E1281" s="39">
        <v>174</v>
      </c>
    </row>
    <row r="1282" spans="1:5" x14ac:dyDescent="0.35">
      <c r="A1282" s="35" t="s">
        <v>1365</v>
      </c>
      <c r="B1282" s="36">
        <v>174</v>
      </c>
      <c r="C1282" s="37">
        <v>46</v>
      </c>
      <c r="D1282" s="38">
        <v>77</v>
      </c>
      <c r="E1282" s="39">
        <v>142</v>
      </c>
    </row>
    <row r="1283" spans="1:5" x14ac:dyDescent="0.35">
      <c r="A1283" s="35" t="s">
        <v>1366</v>
      </c>
      <c r="B1283" s="36">
        <v>142</v>
      </c>
      <c r="C1283" s="37">
        <v>27</v>
      </c>
      <c r="D1283" s="38">
        <v>44</v>
      </c>
      <c r="E1283" s="39">
        <v>130</v>
      </c>
    </row>
    <row r="1284" spans="1:5" x14ac:dyDescent="0.35">
      <c r="A1284" s="35" t="s">
        <v>1367</v>
      </c>
      <c r="B1284" s="36">
        <v>130</v>
      </c>
      <c r="C1284" s="37">
        <v>36</v>
      </c>
      <c r="D1284" s="38">
        <v>44</v>
      </c>
      <c r="E1284" s="39">
        <v>115</v>
      </c>
    </row>
    <row r="1285" spans="1:5" x14ac:dyDescent="0.35">
      <c r="A1285" s="35" t="s">
        <v>1368</v>
      </c>
      <c r="B1285" s="36">
        <v>115</v>
      </c>
      <c r="C1285" s="37">
        <v>71</v>
      </c>
      <c r="D1285" s="38">
        <v>5</v>
      </c>
      <c r="E1285" s="39">
        <v>112</v>
      </c>
    </row>
    <row r="1286" spans="1:5" x14ac:dyDescent="0.35">
      <c r="A1286" s="35" t="s">
        <v>1369</v>
      </c>
      <c r="B1286" s="36">
        <v>112</v>
      </c>
      <c r="C1286" s="37">
        <v>12</v>
      </c>
      <c r="D1286" s="38">
        <v>56</v>
      </c>
      <c r="E1286" s="39">
        <v>138</v>
      </c>
    </row>
    <row r="1287" spans="1:5" x14ac:dyDescent="0.35">
      <c r="A1287" s="35" t="s">
        <v>1370</v>
      </c>
      <c r="B1287" s="36">
        <v>138</v>
      </c>
      <c r="C1287" s="37">
        <v>59</v>
      </c>
      <c r="D1287" s="38">
        <v>25</v>
      </c>
      <c r="E1287" s="39">
        <v>185</v>
      </c>
    </row>
    <row r="1288" spans="1:5" x14ac:dyDescent="0.35">
      <c r="A1288" s="35" t="s">
        <v>1371</v>
      </c>
      <c r="B1288" s="36">
        <v>185</v>
      </c>
      <c r="C1288" s="37">
        <v>39</v>
      </c>
      <c r="D1288" s="38">
        <v>105</v>
      </c>
      <c r="E1288" s="39">
        <v>116</v>
      </c>
    </row>
    <row r="1289" spans="1:5" x14ac:dyDescent="0.35">
      <c r="A1289" s="35" t="s">
        <v>1372</v>
      </c>
      <c r="B1289" s="36">
        <v>116</v>
      </c>
      <c r="C1289" s="37">
        <v>19</v>
      </c>
      <c r="D1289" s="38">
        <v>28</v>
      </c>
      <c r="E1289" s="39">
        <v>104</v>
      </c>
    </row>
    <row r="1290" spans="1:5" x14ac:dyDescent="0.35">
      <c r="A1290" s="35" t="s">
        <v>1373</v>
      </c>
      <c r="B1290" s="36">
        <v>104</v>
      </c>
      <c r="C1290" s="37">
        <v>40</v>
      </c>
      <c r="D1290" s="38">
        <v>9</v>
      </c>
      <c r="E1290" s="39">
        <v>134</v>
      </c>
    </row>
    <row r="1291" spans="1:5" x14ac:dyDescent="0.35">
      <c r="A1291" s="35" t="s">
        <v>1374</v>
      </c>
      <c r="B1291" s="36">
        <v>134</v>
      </c>
      <c r="C1291" s="37">
        <v>37</v>
      </c>
      <c r="D1291" s="38">
        <v>59</v>
      </c>
      <c r="E1291" s="39">
        <v>113</v>
      </c>
    </row>
    <row r="1292" spans="1:5" x14ac:dyDescent="0.35">
      <c r="A1292" s="35" t="s">
        <v>1375</v>
      </c>
      <c r="B1292" s="36">
        <v>113</v>
      </c>
      <c r="C1292" s="37">
        <v>26</v>
      </c>
      <c r="D1292" s="38">
        <v>22</v>
      </c>
      <c r="E1292" s="39">
        <v>116</v>
      </c>
    </row>
    <row r="1293" spans="1:5" x14ac:dyDescent="0.35">
      <c r="A1293" s="35" t="s">
        <v>1376</v>
      </c>
      <c r="B1293" s="36">
        <v>116</v>
      </c>
      <c r="C1293" s="37">
        <v>31</v>
      </c>
      <c r="D1293" s="38">
        <v>30</v>
      </c>
      <c r="E1293" s="39">
        <v>118</v>
      </c>
    </row>
    <row r="1294" spans="1:5" x14ac:dyDescent="0.35">
      <c r="A1294" s="35" t="s">
        <v>1377</v>
      </c>
      <c r="B1294" s="36">
        <v>118</v>
      </c>
      <c r="C1294" s="37">
        <v>14</v>
      </c>
      <c r="D1294" s="38">
        <v>29</v>
      </c>
      <c r="E1294" s="39">
        <v>86</v>
      </c>
    </row>
    <row r="1295" spans="1:5" x14ac:dyDescent="0.35">
      <c r="A1295" s="35" t="s">
        <v>1378</v>
      </c>
      <c r="B1295" s="36">
        <v>86</v>
      </c>
      <c r="C1295" s="37">
        <v>19</v>
      </c>
      <c r="D1295" s="38">
        <v>11</v>
      </c>
      <c r="E1295" s="39">
        <v>101</v>
      </c>
    </row>
    <row r="1296" spans="1:5" x14ac:dyDescent="0.35">
      <c r="A1296" s="35" t="s">
        <v>1379</v>
      </c>
      <c r="B1296" s="36">
        <v>101</v>
      </c>
      <c r="C1296" s="37">
        <v>50</v>
      </c>
      <c r="D1296" s="38">
        <v>0</v>
      </c>
      <c r="E1296" s="39">
        <v>148</v>
      </c>
    </row>
    <row r="1297" spans="1:5" x14ac:dyDescent="0.35">
      <c r="A1297" s="35" t="s">
        <v>1380</v>
      </c>
      <c r="B1297" s="36">
        <v>148</v>
      </c>
      <c r="C1297" s="37">
        <v>18</v>
      </c>
      <c r="D1297" s="38">
        <v>61</v>
      </c>
      <c r="E1297" s="39">
        <v>109</v>
      </c>
    </row>
    <row r="1298" spans="1:5" x14ac:dyDescent="0.35">
      <c r="A1298" s="35" t="s">
        <v>1381</v>
      </c>
      <c r="B1298" s="36">
        <v>109</v>
      </c>
      <c r="C1298" s="37">
        <v>24</v>
      </c>
      <c r="D1298" s="38">
        <v>23</v>
      </c>
      <c r="E1298" s="39">
        <v>110</v>
      </c>
    </row>
    <row r="1299" spans="1:5" x14ac:dyDescent="0.35">
      <c r="A1299" s="35" t="s">
        <v>1382</v>
      </c>
      <c r="B1299" s="36">
        <v>110</v>
      </c>
      <c r="C1299" s="37">
        <v>48</v>
      </c>
      <c r="D1299" s="38">
        <v>16</v>
      </c>
      <c r="E1299" s="39">
        <v>150</v>
      </c>
    </row>
    <row r="1300" spans="1:5" x14ac:dyDescent="0.35">
      <c r="A1300" s="35" t="s">
        <v>1383</v>
      </c>
      <c r="B1300" s="36">
        <v>150</v>
      </c>
      <c r="C1300" s="37">
        <v>80</v>
      </c>
      <c r="D1300" s="38">
        <v>40</v>
      </c>
      <c r="E1300" s="39">
        <v>195</v>
      </c>
    </row>
    <row r="1301" spans="1:5" x14ac:dyDescent="0.35">
      <c r="A1301" s="35" t="s">
        <v>1384</v>
      </c>
      <c r="B1301" s="36">
        <v>195</v>
      </c>
      <c r="C1301" s="37">
        <v>0</v>
      </c>
      <c r="D1301" s="38">
        <v>79</v>
      </c>
      <c r="E1301" s="39">
        <v>112</v>
      </c>
    </row>
    <row r="1302" spans="1:5" x14ac:dyDescent="0.35">
      <c r="A1302" s="35" t="s">
        <v>1385</v>
      </c>
      <c r="B1302" s="36">
        <v>112</v>
      </c>
      <c r="C1302" s="37">
        <v>100</v>
      </c>
      <c r="D1302" s="38">
        <v>32</v>
      </c>
      <c r="E1302" s="39">
        <v>209</v>
      </c>
    </row>
    <row r="1303" spans="1:5" x14ac:dyDescent="0.35">
      <c r="A1303" s="35" t="s">
        <v>1386</v>
      </c>
      <c r="B1303" s="36">
        <v>209</v>
      </c>
      <c r="C1303" s="37">
        <v>20</v>
      </c>
      <c r="D1303" s="38">
        <v>58</v>
      </c>
      <c r="E1303" s="39">
        <v>174</v>
      </c>
    </row>
    <row r="1304" spans="1:5" x14ac:dyDescent="0.35">
      <c r="A1304" s="35" t="s">
        <v>1387</v>
      </c>
      <c r="B1304" s="36">
        <v>174</v>
      </c>
      <c r="C1304" s="37">
        <v>29</v>
      </c>
      <c r="D1304" s="38">
        <v>21</v>
      </c>
      <c r="E1304" s="39">
        <v>186</v>
      </c>
    </row>
    <row r="1305" spans="1:5" x14ac:dyDescent="0.35">
      <c r="A1305" s="35" t="s">
        <v>1388</v>
      </c>
      <c r="B1305" s="36">
        <v>186</v>
      </c>
      <c r="C1305" s="37">
        <v>27</v>
      </c>
      <c r="D1305" s="38">
        <v>76</v>
      </c>
      <c r="E1305" s="39">
        <v>129</v>
      </c>
    </row>
    <row r="1306" spans="1:5" x14ac:dyDescent="0.35">
      <c r="A1306" s="35" t="s">
        <v>1389</v>
      </c>
      <c r="B1306" s="36">
        <v>129</v>
      </c>
      <c r="C1306" s="37">
        <v>25</v>
      </c>
      <c r="D1306" s="38">
        <v>29</v>
      </c>
      <c r="E1306" s="39">
        <v>133</v>
      </c>
    </row>
    <row r="1307" spans="1:5" x14ac:dyDescent="0.35">
      <c r="A1307" s="35" t="s">
        <v>1390</v>
      </c>
      <c r="B1307" s="36">
        <v>133</v>
      </c>
      <c r="C1307" s="37">
        <v>35</v>
      </c>
      <c r="D1307" s="38">
        <v>25</v>
      </c>
      <c r="E1307" s="39">
        <v>143</v>
      </c>
    </row>
    <row r="1308" spans="1:5" x14ac:dyDescent="0.35">
      <c r="A1308" s="35" t="s">
        <v>1391</v>
      </c>
      <c r="B1308" s="36">
        <v>143</v>
      </c>
      <c r="C1308" s="37">
        <v>36</v>
      </c>
      <c r="D1308" s="38">
        <v>40</v>
      </c>
      <c r="E1308" s="39">
        <v>132</v>
      </c>
    </row>
    <row r="1309" spans="1:5" x14ac:dyDescent="0.35">
      <c r="A1309" s="35" t="s">
        <v>1392</v>
      </c>
      <c r="B1309" s="36">
        <v>125</v>
      </c>
      <c r="C1309" s="37">
        <v>37</v>
      </c>
      <c r="D1309" s="38">
        <v>12</v>
      </c>
      <c r="E1309" s="39">
        <v>151</v>
      </c>
    </row>
    <row r="1310" spans="1:5" x14ac:dyDescent="0.35">
      <c r="A1310" s="35" t="s">
        <v>1393</v>
      </c>
      <c r="B1310" s="36">
        <v>151</v>
      </c>
      <c r="C1310" s="37">
        <v>39</v>
      </c>
      <c r="D1310" s="38">
        <v>58</v>
      </c>
      <c r="E1310" s="39">
        <v>139</v>
      </c>
    </row>
    <row r="1311" spans="1:5" x14ac:dyDescent="0.35">
      <c r="A1311" s="35" t="s">
        <v>1394</v>
      </c>
      <c r="B1311" s="36">
        <v>139</v>
      </c>
      <c r="C1311" s="37">
        <v>62</v>
      </c>
      <c r="D1311" s="38">
        <v>13</v>
      </c>
      <c r="E1311" s="39">
        <v>188</v>
      </c>
    </row>
    <row r="1312" spans="1:5" x14ac:dyDescent="0.35">
      <c r="A1312" s="35" t="s">
        <v>1395</v>
      </c>
      <c r="B1312" s="36">
        <v>188</v>
      </c>
      <c r="C1312" s="37">
        <v>37</v>
      </c>
      <c r="D1312" s="38">
        <v>37</v>
      </c>
      <c r="E1312" s="39">
        <v>175</v>
      </c>
    </row>
    <row r="1313" spans="1:5" x14ac:dyDescent="0.35">
      <c r="A1313" s="35" t="s">
        <v>1396</v>
      </c>
      <c r="B1313" s="36">
        <v>175</v>
      </c>
      <c r="C1313" s="37">
        <v>64</v>
      </c>
      <c r="D1313" s="38">
        <v>33</v>
      </c>
      <c r="E1313" s="39">
        <v>201</v>
      </c>
    </row>
    <row r="1314" spans="1:5" x14ac:dyDescent="0.35">
      <c r="A1314" s="35" t="s">
        <v>1397</v>
      </c>
      <c r="B1314" s="36">
        <v>201</v>
      </c>
      <c r="C1314" s="37">
        <v>91</v>
      </c>
      <c r="D1314" s="38">
        <v>65</v>
      </c>
      <c r="E1314" s="39">
        <v>220</v>
      </c>
    </row>
    <row r="1315" spans="1:5" x14ac:dyDescent="0.35">
      <c r="A1315" s="35" t="s">
        <v>1398</v>
      </c>
      <c r="B1315" s="36">
        <v>220</v>
      </c>
      <c r="C1315" s="37">
        <v>24</v>
      </c>
      <c r="D1315" s="38">
        <v>27</v>
      </c>
      <c r="E1315" s="39">
        <v>205</v>
      </c>
    </row>
    <row r="1316" spans="1:5" x14ac:dyDescent="0.35">
      <c r="A1316" s="35" t="s">
        <v>1399</v>
      </c>
      <c r="B1316" s="36">
        <v>204</v>
      </c>
      <c r="C1316" s="37">
        <v>51</v>
      </c>
      <c r="D1316" s="38">
        <v>29</v>
      </c>
      <c r="E1316" s="39">
        <v>235</v>
      </c>
    </row>
    <row r="1317" spans="1:5" x14ac:dyDescent="0.35">
      <c r="A1317" s="35" t="s">
        <v>1400</v>
      </c>
      <c r="B1317" s="36">
        <v>235</v>
      </c>
      <c r="C1317" s="37">
        <v>34</v>
      </c>
      <c r="D1317" s="38">
        <v>34</v>
      </c>
      <c r="E1317" s="39">
        <v>196</v>
      </c>
    </row>
    <row r="1318" spans="1:5" x14ac:dyDescent="0.35">
      <c r="A1318" s="35" t="s">
        <v>1401</v>
      </c>
      <c r="B1318" s="36">
        <v>196</v>
      </c>
      <c r="C1318" s="37">
        <v>16</v>
      </c>
      <c r="D1318" s="38">
        <v>37</v>
      </c>
      <c r="E1318" s="39">
        <v>168</v>
      </c>
    </row>
    <row r="1319" spans="1:5" x14ac:dyDescent="0.35">
      <c r="A1319" s="35" t="s">
        <v>1402</v>
      </c>
      <c r="B1319" s="36">
        <v>168</v>
      </c>
      <c r="C1319" s="37">
        <v>9</v>
      </c>
      <c r="D1319" s="38">
        <v>45</v>
      </c>
      <c r="E1319" s="39">
        <v>133</v>
      </c>
    </row>
    <row r="1320" spans="1:5" x14ac:dyDescent="0.35">
      <c r="A1320" s="35" t="s">
        <v>1403</v>
      </c>
      <c r="B1320" s="36">
        <v>133</v>
      </c>
      <c r="C1320" s="37">
        <v>97</v>
      </c>
      <c r="D1320" s="38">
        <v>22</v>
      </c>
      <c r="E1320" s="39">
        <v>214</v>
      </c>
    </row>
    <row r="1321" spans="1:5" x14ac:dyDescent="0.35">
      <c r="A1321" s="35" t="s">
        <v>1404</v>
      </c>
      <c r="B1321" s="36">
        <v>214</v>
      </c>
      <c r="C1321" s="37">
        <v>9</v>
      </c>
      <c r="D1321" s="38">
        <v>57</v>
      </c>
      <c r="E1321" s="39">
        <v>157</v>
      </c>
    </row>
    <row r="1322" spans="1:5" x14ac:dyDescent="0.35">
      <c r="A1322" s="35" t="s">
        <v>1405</v>
      </c>
      <c r="B1322" s="36">
        <v>157</v>
      </c>
      <c r="C1322" s="37">
        <v>70</v>
      </c>
      <c r="D1322" s="38">
        <v>65</v>
      </c>
      <c r="E1322" s="39">
        <v>154</v>
      </c>
    </row>
    <row r="1323" spans="1:5" x14ac:dyDescent="0.35">
      <c r="A1323" s="35" t="s">
        <v>1406</v>
      </c>
      <c r="B1323" s="36">
        <v>154</v>
      </c>
      <c r="C1323" s="37">
        <v>27</v>
      </c>
      <c r="D1323" s="38">
        <v>24</v>
      </c>
      <c r="E1323" s="39">
        <v>153</v>
      </c>
    </row>
    <row r="1324" spans="1:5" x14ac:dyDescent="0.35">
      <c r="A1324" s="35" t="s">
        <v>1407</v>
      </c>
      <c r="B1324" s="36">
        <v>153</v>
      </c>
      <c r="C1324" s="37">
        <v>44</v>
      </c>
      <c r="D1324" s="38">
        <v>61</v>
      </c>
      <c r="E1324" s="39">
        <v>128</v>
      </c>
    </row>
    <row r="1325" spans="1:5" x14ac:dyDescent="0.35">
      <c r="A1325" s="35" t="s">
        <v>1408</v>
      </c>
      <c r="B1325" s="36">
        <v>128</v>
      </c>
      <c r="C1325" s="37">
        <v>66</v>
      </c>
      <c r="D1325" s="38">
        <v>34</v>
      </c>
      <c r="E1325" s="39">
        <v>162</v>
      </c>
    </row>
    <row r="1326" spans="1:5" x14ac:dyDescent="0.35">
      <c r="A1326" s="35" t="s">
        <v>1409</v>
      </c>
      <c r="B1326" s="36">
        <v>162</v>
      </c>
      <c r="C1326" s="37">
        <v>39</v>
      </c>
      <c r="D1326" s="38">
        <v>52</v>
      </c>
      <c r="E1326" s="39">
        <v>142</v>
      </c>
    </row>
    <row r="1327" spans="1:5" x14ac:dyDescent="0.35">
      <c r="A1327" s="35" t="s">
        <v>1410</v>
      </c>
      <c r="B1327" s="36">
        <v>142</v>
      </c>
      <c r="C1327" s="37">
        <v>100</v>
      </c>
      <c r="D1327" s="38">
        <v>27</v>
      </c>
      <c r="E1327" s="39">
        <v>237</v>
      </c>
    </row>
    <row r="1328" spans="1:5" x14ac:dyDescent="0.35">
      <c r="A1328" s="35" t="s">
        <v>1411</v>
      </c>
      <c r="B1328" s="36">
        <v>237</v>
      </c>
      <c r="C1328" s="37">
        <v>53</v>
      </c>
      <c r="D1328" s="38">
        <v>92</v>
      </c>
      <c r="E1328" s="39">
        <v>191</v>
      </c>
    </row>
    <row r="1329" spans="1:5" x14ac:dyDescent="0.35">
      <c r="A1329" s="35" t="s">
        <v>1412</v>
      </c>
      <c r="B1329" s="36">
        <v>191</v>
      </c>
      <c r="C1329" s="37">
        <v>11</v>
      </c>
      <c r="D1329" s="38">
        <v>17</v>
      </c>
      <c r="E1329" s="39">
        <v>185</v>
      </c>
    </row>
    <row r="1330" spans="1:5" x14ac:dyDescent="0.35">
      <c r="A1330" s="35" t="s">
        <v>1413</v>
      </c>
      <c r="B1330" s="36">
        <v>185</v>
      </c>
      <c r="C1330" s="37">
        <v>31</v>
      </c>
      <c r="D1330" s="38">
        <v>26</v>
      </c>
      <c r="E1330" s="39">
        <v>191</v>
      </c>
    </row>
    <row r="1331" spans="1:5" x14ac:dyDescent="0.35">
      <c r="A1331" s="35" t="s">
        <v>1414</v>
      </c>
      <c r="B1331" s="46">
        <v>191</v>
      </c>
      <c r="C1331" s="47">
        <v>88</v>
      </c>
      <c r="D1331" s="48">
        <v>37</v>
      </c>
      <c r="E1331" s="49">
        <v>239</v>
      </c>
    </row>
    <row r="1332" spans="1:5" x14ac:dyDescent="0.35">
      <c r="A1332" s="35" t="s">
        <v>1415</v>
      </c>
      <c r="B1332" s="36">
        <v>239</v>
      </c>
      <c r="C1332" s="37">
        <v>4</v>
      </c>
      <c r="D1332" s="38">
        <v>35</v>
      </c>
      <c r="E1332" s="39">
        <v>208</v>
      </c>
    </row>
    <row r="1333" spans="1:5" x14ac:dyDescent="0.35">
      <c r="A1333" s="35" t="s">
        <v>1416</v>
      </c>
      <c r="B1333" s="36">
        <v>208</v>
      </c>
      <c r="C1333" s="37">
        <v>48</v>
      </c>
      <c r="D1333" s="38">
        <v>40</v>
      </c>
      <c r="E1333" s="39">
        <v>222</v>
      </c>
    </row>
    <row r="1334" spans="1:5" x14ac:dyDescent="0.35">
      <c r="A1334" s="35" t="s">
        <v>1417</v>
      </c>
      <c r="B1334" s="36">
        <v>222</v>
      </c>
      <c r="C1334" s="37">
        <v>32</v>
      </c>
      <c r="D1334" s="38">
        <v>47</v>
      </c>
      <c r="E1334" s="39">
        <v>184</v>
      </c>
    </row>
    <row r="1335" spans="1:5" x14ac:dyDescent="0.35">
      <c r="A1335" s="35" t="s">
        <v>1418</v>
      </c>
      <c r="B1335" s="36">
        <v>184</v>
      </c>
      <c r="C1335" s="37">
        <v>26</v>
      </c>
      <c r="D1335" s="38">
        <v>49</v>
      </c>
      <c r="E1335" s="39">
        <v>162</v>
      </c>
    </row>
    <row r="1336" spans="1:5" x14ac:dyDescent="0.35">
      <c r="A1336" s="35" t="s">
        <v>1419</v>
      </c>
      <c r="B1336" s="36">
        <v>162</v>
      </c>
      <c r="C1336" s="37">
        <v>35</v>
      </c>
      <c r="D1336" s="38">
        <v>44</v>
      </c>
      <c r="E1336" s="39">
        <v>163</v>
      </c>
    </row>
    <row r="1337" spans="1:5" x14ac:dyDescent="0.35">
      <c r="A1337" s="35" t="s">
        <v>1420</v>
      </c>
      <c r="B1337" s="36">
        <v>163</v>
      </c>
      <c r="C1337" s="37">
        <v>71</v>
      </c>
      <c r="D1337" s="38">
        <v>26</v>
      </c>
      <c r="E1337" s="39">
        <v>208</v>
      </c>
    </row>
    <row r="1338" spans="1:5" x14ac:dyDescent="0.35">
      <c r="A1338" s="35" t="s">
        <v>1421</v>
      </c>
      <c r="B1338" s="36">
        <v>208</v>
      </c>
      <c r="C1338" s="37">
        <v>22</v>
      </c>
      <c r="D1338" s="38">
        <v>48</v>
      </c>
      <c r="E1338" s="39">
        <v>188</v>
      </c>
    </row>
    <row r="1339" spans="1:5" x14ac:dyDescent="0.35">
      <c r="A1339" s="35" t="s">
        <v>1422</v>
      </c>
      <c r="B1339" s="36">
        <v>188</v>
      </c>
      <c r="C1339" s="37">
        <v>49</v>
      </c>
      <c r="D1339" s="38">
        <v>89</v>
      </c>
      <c r="E1339" s="39">
        <v>148</v>
      </c>
    </row>
    <row r="1340" spans="1:5" x14ac:dyDescent="0.35">
      <c r="A1340" s="35" t="s">
        <v>1423</v>
      </c>
      <c r="B1340" s="36">
        <v>148</v>
      </c>
      <c r="C1340" s="37">
        <v>50</v>
      </c>
      <c r="D1340" s="38">
        <v>32</v>
      </c>
      <c r="E1340" s="39">
        <v>164</v>
      </c>
    </row>
    <row r="1341" spans="1:5" x14ac:dyDescent="0.35">
      <c r="A1341" s="35" t="s">
        <v>1424</v>
      </c>
      <c r="B1341" s="36">
        <v>164</v>
      </c>
      <c r="C1341" s="37">
        <v>9</v>
      </c>
      <c r="D1341" s="38">
        <v>19</v>
      </c>
      <c r="E1341" s="39">
        <v>160</v>
      </c>
    </row>
    <row r="1342" spans="1:5" x14ac:dyDescent="0.35">
      <c r="A1342" s="35" t="s">
        <v>1425</v>
      </c>
      <c r="B1342" s="36">
        <v>160</v>
      </c>
      <c r="C1342" s="37">
        <v>45</v>
      </c>
      <c r="D1342" s="38">
        <v>34</v>
      </c>
      <c r="E1342" s="39">
        <v>173</v>
      </c>
    </row>
    <row r="1343" spans="1:5" x14ac:dyDescent="0.35">
      <c r="A1343" s="35" t="s">
        <v>1426</v>
      </c>
      <c r="B1343" s="36">
        <v>190</v>
      </c>
      <c r="C1343" s="37">
        <v>10</v>
      </c>
      <c r="D1343" s="38">
        <v>5</v>
      </c>
      <c r="E1343" s="39">
        <v>195</v>
      </c>
    </row>
    <row r="1344" spans="1:5" x14ac:dyDescent="0.35">
      <c r="A1344" s="35" t="s">
        <v>1427</v>
      </c>
      <c r="B1344" s="36">
        <v>195</v>
      </c>
      <c r="C1344" s="37">
        <v>58</v>
      </c>
      <c r="D1344" s="38">
        <v>50</v>
      </c>
      <c r="E1344" s="39">
        <v>205</v>
      </c>
    </row>
    <row r="1345" spans="1:5" x14ac:dyDescent="0.35">
      <c r="A1345" s="35" t="s">
        <v>1428</v>
      </c>
      <c r="B1345" s="36">
        <v>205</v>
      </c>
      <c r="C1345" s="37">
        <v>61</v>
      </c>
      <c r="D1345" s="38">
        <v>76</v>
      </c>
      <c r="E1345" s="39">
        <v>191</v>
      </c>
    </row>
    <row r="1346" spans="1:5" x14ac:dyDescent="0.35">
      <c r="A1346" s="35" t="s">
        <v>1429</v>
      </c>
      <c r="B1346" s="36">
        <v>191</v>
      </c>
      <c r="C1346" s="37">
        <v>46</v>
      </c>
      <c r="D1346" s="38">
        <v>35</v>
      </c>
      <c r="E1346" s="39">
        <v>199</v>
      </c>
    </row>
    <row r="1347" spans="1:5" x14ac:dyDescent="0.35">
      <c r="A1347" s="35" t="s">
        <v>1430</v>
      </c>
      <c r="B1347" s="36">
        <v>199</v>
      </c>
      <c r="C1347" s="37">
        <v>51</v>
      </c>
      <c r="D1347" s="38">
        <v>56</v>
      </c>
      <c r="E1347" s="39">
        <v>214</v>
      </c>
    </row>
    <row r="1348" spans="1:5" x14ac:dyDescent="0.35">
      <c r="A1348" s="35" t="s">
        <v>1431</v>
      </c>
      <c r="B1348" s="36">
        <v>214</v>
      </c>
      <c r="C1348" s="37">
        <v>63</v>
      </c>
      <c r="D1348" s="38">
        <v>49</v>
      </c>
      <c r="E1348" s="39">
        <v>224</v>
      </c>
    </row>
    <row r="1349" spans="1:5" x14ac:dyDescent="0.35">
      <c r="A1349" s="35" t="s">
        <v>1432</v>
      </c>
      <c r="B1349" s="36">
        <v>224</v>
      </c>
      <c r="C1349" s="37">
        <v>27</v>
      </c>
      <c r="D1349" s="38">
        <v>27</v>
      </c>
      <c r="E1349" s="39">
        <v>218</v>
      </c>
    </row>
    <row r="1350" spans="1:5" x14ac:dyDescent="0.35">
      <c r="A1350" s="35" t="s">
        <v>1433</v>
      </c>
      <c r="B1350" s="36">
        <v>218</v>
      </c>
      <c r="C1350" s="37">
        <v>41</v>
      </c>
      <c r="D1350" s="38">
        <v>70</v>
      </c>
      <c r="E1350" s="39">
        <v>195</v>
      </c>
    </row>
    <row r="1351" spans="1:5" x14ac:dyDescent="0.35">
      <c r="A1351" s="35" t="s">
        <v>1434</v>
      </c>
      <c r="B1351" s="36">
        <v>195</v>
      </c>
      <c r="C1351" s="37">
        <v>60</v>
      </c>
      <c r="D1351" s="38">
        <v>46</v>
      </c>
      <c r="E1351" s="39">
        <v>219</v>
      </c>
    </row>
    <row r="1352" spans="1:5" x14ac:dyDescent="0.35">
      <c r="A1352" s="35" t="s">
        <v>1435</v>
      </c>
      <c r="B1352" s="36">
        <v>219</v>
      </c>
      <c r="C1352" s="37">
        <v>19</v>
      </c>
      <c r="D1352" s="38">
        <v>90</v>
      </c>
      <c r="E1352" s="39">
        <v>148</v>
      </c>
    </row>
    <row r="1353" spans="1:5" x14ac:dyDescent="0.35">
      <c r="A1353" s="35" t="s">
        <v>1436</v>
      </c>
      <c r="B1353" s="36">
        <v>148</v>
      </c>
      <c r="C1353" s="37">
        <v>50</v>
      </c>
      <c r="D1353" s="38">
        <v>34</v>
      </c>
      <c r="E1353" s="39">
        <v>162</v>
      </c>
    </row>
    <row r="1354" spans="1:5" x14ac:dyDescent="0.35">
      <c r="A1354" s="35" t="s">
        <v>1437</v>
      </c>
      <c r="B1354" s="36">
        <v>162</v>
      </c>
      <c r="C1354" s="37">
        <v>97</v>
      </c>
      <c r="D1354" s="38">
        <v>35</v>
      </c>
      <c r="E1354" s="39">
        <v>222</v>
      </c>
    </row>
    <row r="1355" spans="1:5" x14ac:dyDescent="0.35">
      <c r="A1355" s="35" t="s">
        <v>1438</v>
      </c>
      <c r="B1355" s="36">
        <v>222</v>
      </c>
      <c r="C1355" s="37">
        <v>17</v>
      </c>
      <c r="D1355" s="38">
        <v>73</v>
      </c>
      <c r="E1355" s="39">
        <v>164</v>
      </c>
    </row>
    <row r="1356" spans="1:5" x14ac:dyDescent="0.35">
      <c r="A1356" s="35" t="s">
        <v>1439</v>
      </c>
      <c r="B1356" s="36">
        <v>164</v>
      </c>
      <c r="C1356" s="37">
        <v>9</v>
      </c>
      <c r="D1356" s="38">
        <v>35</v>
      </c>
      <c r="E1356" s="39">
        <v>139</v>
      </c>
    </row>
    <row r="1357" spans="1:5" x14ac:dyDescent="0.35">
      <c r="A1357" s="35" t="s">
        <v>1440</v>
      </c>
      <c r="B1357" s="36">
        <v>139</v>
      </c>
      <c r="C1357" s="37">
        <v>69</v>
      </c>
      <c r="D1357" s="38">
        <v>8</v>
      </c>
      <c r="E1357" s="39">
        <v>196</v>
      </c>
    </row>
    <row r="1358" spans="1:5" x14ac:dyDescent="0.35">
      <c r="A1358" s="35" t="s">
        <v>1441</v>
      </c>
      <c r="B1358" s="36">
        <v>196</v>
      </c>
      <c r="C1358" s="37">
        <v>28</v>
      </c>
      <c r="D1358" s="38">
        <v>44</v>
      </c>
      <c r="E1358" s="39">
        <v>176</v>
      </c>
    </row>
    <row r="1359" spans="1:5" x14ac:dyDescent="0.35">
      <c r="A1359" s="35" t="s">
        <v>1442</v>
      </c>
      <c r="B1359" s="36">
        <v>176</v>
      </c>
      <c r="C1359" s="37">
        <v>30</v>
      </c>
      <c r="D1359" s="38">
        <v>63</v>
      </c>
      <c r="E1359" s="39">
        <v>161</v>
      </c>
    </row>
    <row r="1360" spans="1:5" x14ac:dyDescent="0.35">
      <c r="A1360" s="35" t="s">
        <v>1443</v>
      </c>
      <c r="B1360" s="36">
        <v>161</v>
      </c>
      <c r="C1360" s="37">
        <v>81</v>
      </c>
      <c r="D1360" s="38">
        <v>31</v>
      </c>
      <c r="E1360" s="39">
        <v>207</v>
      </c>
    </row>
    <row r="1361" spans="1:5" x14ac:dyDescent="0.35">
      <c r="A1361" s="35" t="s">
        <v>1444</v>
      </c>
      <c r="B1361" s="36">
        <v>207</v>
      </c>
      <c r="C1361" s="37">
        <v>31</v>
      </c>
      <c r="D1361" s="38">
        <v>61</v>
      </c>
      <c r="E1361" s="39">
        <v>175</v>
      </c>
    </row>
    <row r="1362" spans="1:5" x14ac:dyDescent="0.35">
      <c r="A1362" s="35" t="s">
        <v>1445</v>
      </c>
      <c r="B1362" s="36">
        <v>175</v>
      </c>
      <c r="C1362" s="37">
        <v>42</v>
      </c>
      <c r="D1362" s="38">
        <v>76</v>
      </c>
      <c r="E1362" s="39">
        <v>133</v>
      </c>
    </row>
    <row r="1363" spans="1:5" x14ac:dyDescent="0.35">
      <c r="A1363" s="35" t="s">
        <v>1446</v>
      </c>
      <c r="B1363" s="36">
        <v>133</v>
      </c>
      <c r="C1363" s="37">
        <v>56</v>
      </c>
      <c r="D1363" s="38">
        <v>10</v>
      </c>
      <c r="E1363" s="39">
        <v>185</v>
      </c>
    </row>
    <row r="1364" spans="1:5" x14ac:dyDescent="0.35">
      <c r="A1364" s="35" t="s">
        <v>1447</v>
      </c>
      <c r="B1364" s="36">
        <v>185</v>
      </c>
      <c r="C1364" s="37">
        <v>36</v>
      </c>
      <c r="D1364" s="38">
        <v>74</v>
      </c>
      <c r="E1364" s="39">
        <v>130</v>
      </c>
    </row>
    <row r="1365" spans="1:5" x14ac:dyDescent="0.35">
      <c r="A1365" s="35" t="s">
        <v>1448</v>
      </c>
      <c r="B1365" s="36">
        <v>130</v>
      </c>
      <c r="C1365" s="37">
        <v>60</v>
      </c>
      <c r="D1365" s="38">
        <v>10</v>
      </c>
      <c r="E1365" s="39">
        <v>172</v>
      </c>
    </row>
    <row r="1366" spans="1:5" x14ac:dyDescent="0.35">
      <c r="A1366" s="35" t="s">
        <v>1449</v>
      </c>
      <c r="B1366" s="36">
        <v>172</v>
      </c>
      <c r="C1366" s="37">
        <v>25</v>
      </c>
      <c r="D1366" s="38">
        <v>57</v>
      </c>
      <c r="E1366" s="39">
        <v>132</v>
      </c>
    </row>
    <row r="1367" spans="1:5" x14ac:dyDescent="0.35">
      <c r="A1367" s="35" t="s">
        <v>1450</v>
      </c>
      <c r="B1367" s="36">
        <v>132</v>
      </c>
      <c r="C1367" s="37">
        <v>120</v>
      </c>
      <c r="D1367" s="38">
        <v>56</v>
      </c>
      <c r="E1367" s="39">
        <v>187</v>
      </c>
    </row>
    <row r="1368" spans="1:5" x14ac:dyDescent="0.35">
      <c r="A1368" s="35" t="s">
        <v>1451</v>
      </c>
      <c r="B1368" s="36">
        <v>187</v>
      </c>
      <c r="C1368" s="37">
        <v>4</v>
      </c>
      <c r="D1368" s="38">
        <v>51</v>
      </c>
      <c r="E1368" s="39">
        <v>141</v>
      </c>
    </row>
    <row r="1369" spans="1:5" x14ac:dyDescent="0.35">
      <c r="A1369" s="35" t="s">
        <v>1452</v>
      </c>
      <c r="B1369" s="36">
        <v>141</v>
      </c>
      <c r="C1369" s="37">
        <v>6</v>
      </c>
      <c r="D1369" s="38">
        <v>32</v>
      </c>
      <c r="E1369" s="39">
        <v>101</v>
      </c>
    </row>
    <row r="1370" spans="1:5" x14ac:dyDescent="0.35">
      <c r="A1370" s="35" t="s">
        <v>1453</v>
      </c>
      <c r="B1370" s="36">
        <v>101</v>
      </c>
      <c r="C1370" s="37">
        <v>37</v>
      </c>
      <c r="D1370" s="38">
        <v>23</v>
      </c>
      <c r="E1370" s="39">
        <v>112</v>
      </c>
    </row>
    <row r="1371" spans="1:5" x14ac:dyDescent="0.35">
      <c r="A1371" s="35" t="s">
        <v>1454</v>
      </c>
      <c r="B1371" s="36">
        <v>112</v>
      </c>
      <c r="C1371" s="37">
        <v>10</v>
      </c>
      <c r="D1371" s="38">
        <v>11</v>
      </c>
      <c r="E1371" s="39">
        <v>111</v>
      </c>
    </row>
    <row r="1372" spans="1:5" x14ac:dyDescent="0.35">
      <c r="A1372" s="35" t="s">
        <v>1455</v>
      </c>
      <c r="B1372" s="36">
        <v>111</v>
      </c>
      <c r="C1372" s="37">
        <v>63</v>
      </c>
      <c r="D1372" s="38">
        <v>12</v>
      </c>
      <c r="E1372" s="39">
        <v>158</v>
      </c>
    </row>
    <row r="1373" spans="1:5" x14ac:dyDescent="0.35">
      <c r="A1373" s="35" t="s">
        <v>1456</v>
      </c>
      <c r="B1373" s="36">
        <v>158</v>
      </c>
      <c r="C1373" s="37">
        <v>16</v>
      </c>
      <c r="D1373" s="38">
        <v>67</v>
      </c>
      <c r="E1373" s="39">
        <v>107</v>
      </c>
    </row>
    <row r="1374" spans="1:5" x14ac:dyDescent="0.35">
      <c r="A1374" s="35" t="s">
        <v>1457</v>
      </c>
      <c r="B1374" s="36">
        <v>107</v>
      </c>
      <c r="C1374" s="37">
        <v>48</v>
      </c>
      <c r="D1374" s="38">
        <v>43</v>
      </c>
      <c r="E1374" s="39">
        <v>113</v>
      </c>
    </row>
    <row r="1375" spans="1:5" x14ac:dyDescent="0.35">
      <c r="A1375" s="35" t="s">
        <v>1458</v>
      </c>
      <c r="B1375" s="36">
        <v>113</v>
      </c>
      <c r="C1375" s="37">
        <v>23</v>
      </c>
      <c r="D1375" s="38">
        <v>46</v>
      </c>
      <c r="E1375" s="39">
        <v>89</v>
      </c>
    </row>
    <row r="1376" spans="1:5" x14ac:dyDescent="0.35">
      <c r="A1376" s="35" t="s">
        <v>1459</v>
      </c>
      <c r="B1376" s="36">
        <v>89</v>
      </c>
      <c r="C1376" s="37">
        <v>63</v>
      </c>
      <c r="D1376" s="38">
        <v>30</v>
      </c>
      <c r="E1376" s="39">
        <v>120</v>
      </c>
    </row>
    <row r="1377" spans="1:5" x14ac:dyDescent="0.35">
      <c r="A1377" s="35" t="s">
        <v>1460</v>
      </c>
      <c r="B1377" s="36">
        <v>120</v>
      </c>
      <c r="C1377" s="37">
        <v>27</v>
      </c>
      <c r="D1377" s="38">
        <v>11</v>
      </c>
      <c r="E1377" s="39">
        <v>136</v>
      </c>
    </row>
    <row r="1378" spans="1:5" x14ac:dyDescent="0.35">
      <c r="A1378" s="35" t="s">
        <v>1461</v>
      </c>
      <c r="B1378" s="36">
        <v>136</v>
      </c>
      <c r="C1378" s="37">
        <v>11</v>
      </c>
      <c r="D1378" s="38">
        <v>12</v>
      </c>
      <c r="E1378" s="39">
        <v>135</v>
      </c>
    </row>
    <row r="1379" spans="1:5" x14ac:dyDescent="0.35">
      <c r="A1379" s="35" t="s">
        <v>1462</v>
      </c>
      <c r="B1379" s="36">
        <v>135</v>
      </c>
      <c r="C1379" s="37">
        <v>16</v>
      </c>
      <c r="D1379" s="38">
        <v>24</v>
      </c>
      <c r="E1379" s="39">
        <v>127</v>
      </c>
    </row>
    <row r="1380" spans="1:5" x14ac:dyDescent="0.35">
      <c r="A1380" s="35" t="s">
        <v>1463</v>
      </c>
      <c r="B1380" s="36">
        <v>127</v>
      </c>
      <c r="C1380" s="37">
        <v>9</v>
      </c>
      <c r="D1380" s="38">
        <v>30</v>
      </c>
      <c r="E1380" s="39">
        <v>106</v>
      </c>
    </row>
    <row r="1381" spans="1:5" x14ac:dyDescent="0.35">
      <c r="A1381" s="35" t="s">
        <v>1464</v>
      </c>
      <c r="B1381" s="36">
        <v>106</v>
      </c>
      <c r="C1381" s="37">
        <v>151</v>
      </c>
      <c r="D1381" s="38">
        <v>6</v>
      </c>
      <c r="E1381" s="39">
        <v>242</v>
      </c>
    </row>
    <row r="1382" spans="1:5" x14ac:dyDescent="0.35">
      <c r="A1382" s="35" t="s">
        <v>1465</v>
      </c>
      <c r="B1382" s="36">
        <v>242</v>
      </c>
      <c r="C1382" s="37">
        <v>14</v>
      </c>
      <c r="D1382" s="38">
        <v>69</v>
      </c>
      <c r="E1382" s="39">
        <v>191</v>
      </c>
    </row>
    <row r="1383" spans="1:5" x14ac:dyDescent="0.35">
      <c r="A1383" s="35" t="s">
        <v>1466</v>
      </c>
      <c r="B1383" s="36">
        <v>191</v>
      </c>
      <c r="C1383" s="37">
        <v>43</v>
      </c>
      <c r="D1383" s="38">
        <v>69</v>
      </c>
      <c r="E1383" s="39">
        <v>164</v>
      </c>
    </row>
    <row r="1384" spans="1:5" x14ac:dyDescent="0.35">
      <c r="A1384" s="35" t="s">
        <v>1467</v>
      </c>
      <c r="B1384" s="36">
        <v>164</v>
      </c>
      <c r="C1384" s="37">
        <v>47</v>
      </c>
      <c r="D1384" s="38">
        <v>58</v>
      </c>
      <c r="E1384" s="39">
        <v>150</v>
      </c>
    </row>
    <row r="1385" spans="1:5" x14ac:dyDescent="0.35">
      <c r="A1385" s="35" t="s">
        <v>1468</v>
      </c>
      <c r="B1385" s="36">
        <v>150</v>
      </c>
      <c r="C1385" s="37">
        <v>9</v>
      </c>
      <c r="D1385" s="38">
        <v>15</v>
      </c>
      <c r="E1385" s="39">
        <v>155</v>
      </c>
    </row>
    <row r="1386" spans="1:5" x14ac:dyDescent="0.35">
      <c r="A1386" s="35" t="s">
        <v>1469</v>
      </c>
      <c r="B1386" s="36">
        <v>155</v>
      </c>
      <c r="C1386" s="37">
        <v>44</v>
      </c>
      <c r="D1386" s="38">
        <v>7</v>
      </c>
      <c r="E1386" s="39">
        <v>188</v>
      </c>
    </row>
    <row r="1387" spans="1:5" x14ac:dyDescent="0.35">
      <c r="A1387" s="35" t="s">
        <v>1470</v>
      </c>
      <c r="B1387" s="36">
        <v>188</v>
      </c>
      <c r="C1387" s="37">
        <v>56</v>
      </c>
      <c r="D1387" s="38">
        <v>45</v>
      </c>
      <c r="E1387" s="39">
        <v>209</v>
      </c>
    </row>
    <row r="1388" spans="1:5" x14ac:dyDescent="0.35">
      <c r="A1388" s="35" t="s">
        <v>1471</v>
      </c>
      <c r="B1388" s="36">
        <v>209</v>
      </c>
      <c r="C1388" s="37">
        <v>3</v>
      </c>
      <c r="D1388" s="38">
        <v>6</v>
      </c>
      <c r="E1388" s="39">
        <v>208</v>
      </c>
    </row>
    <row r="1389" spans="1:5" x14ac:dyDescent="0.35">
      <c r="A1389" s="35" t="s">
        <v>1472</v>
      </c>
      <c r="B1389" s="36">
        <v>205</v>
      </c>
      <c r="C1389" s="37">
        <v>11</v>
      </c>
      <c r="D1389" s="38">
        <v>0</v>
      </c>
      <c r="E1389" s="39">
        <v>211</v>
      </c>
    </row>
    <row r="1390" spans="1:5" x14ac:dyDescent="0.35">
      <c r="A1390" s="35" t="s">
        <v>1473</v>
      </c>
      <c r="B1390" s="36">
        <v>211</v>
      </c>
      <c r="C1390" s="37">
        <v>25</v>
      </c>
      <c r="D1390" s="38">
        <v>25</v>
      </c>
      <c r="E1390" s="39">
        <v>190</v>
      </c>
    </row>
    <row r="1391" spans="1:5" x14ac:dyDescent="0.35">
      <c r="A1391" s="35" t="s">
        <v>1474</v>
      </c>
      <c r="B1391" s="36">
        <v>190</v>
      </c>
      <c r="C1391" s="37">
        <v>0</v>
      </c>
      <c r="D1391" s="38">
        <v>79</v>
      </c>
      <c r="E1391" s="39">
        <v>120</v>
      </c>
    </row>
    <row r="1392" spans="1:5" x14ac:dyDescent="0.35">
      <c r="A1392" s="35" t="s">
        <v>1475</v>
      </c>
      <c r="B1392" s="36">
        <v>120</v>
      </c>
      <c r="C1392" s="37">
        <v>76</v>
      </c>
      <c r="D1392" s="38">
        <v>17</v>
      </c>
      <c r="E1392" s="39">
        <v>186</v>
      </c>
    </row>
    <row r="1393" spans="1:5" x14ac:dyDescent="0.35">
      <c r="A1393" s="35" t="s">
        <v>1476</v>
      </c>
      <c r="B1393" s="36">
        <v>186</v>
      </c>
      <c r="C1393" s="37">
        <v>9</v>
      </c>
      <c r="D1393" s="38">
        <v>21</v>
      </c>
      <c r="E1393" s="39">
        <v>167</v>
      </c>
    </row>
    <row r="1394" spans="1:5" x14ac:dyDescent="0.35">
      <c r="A1394" s="35" t="s">
        <v>1477</v>
      </c>
      <c r="B1394" s="36">
        <v>167</v>
      </c>
      <c r="C1394" s="37">
        <v>6</v>
      </c>
      <c r="D1394" s="38">
        <v>16</v>
      </c>
      <c r="E1394" s="39">
        <v>178</v>
      </c>
    </row>
    <row r="1395" spans="1:5" x14ac:dyDescent="0.35">
      <c r="A1395" s="35" t="s">
        <v>1478</v>
      </c>
      <c r="B1395" s="36">
        <v>178</v>
      </c>
      <c r="C1395" s="37">
        <v>11</v>
      </c>
      <c r="D1395" s="38">
        <v>10</v>
      </c>
      <c r="E1395" s="39">
        <v>181</v>
      </c>
    </row>
    <row r="1396" spans="1:5" x14ac:dyDescent="0.35">
      <c r="A1396" s="35" t="s">
        <v>1479</v>
      </c>
      <c r="B1396" s="36">
        <v>181</v>
      </c>
      <c r="C1396" s="37">
        <v>28</v>
      </c>
      <c r="D1396" s="38">
        <v>90</v>
      </c>
      <c r="E1396" s="39">
        <v>184</v>
      </c>
    </row>
    <row r="1397" spans="1:5" x14ac:dyDescent="0.35">
      <c r="A1397" s="35" t="s">
        <v>1480</v>
      </c>
      <c r="B1397" s="36">
        <v>184</v>
      </c>
      <c r="C1397" s="37">
        <v>64</v>
      </c>
      <c r="D1397" s="38">
        <v>81</v>
      </c>
      <c r="E1397" s="39">
        <v>166</v>
      </c>
    </row>
    <row r="1398" spans="1:5" x14ac:dyDescent="0.35">
      <c r="A1398" s="35" t="s">
        <v>1481</v>
      </c>
      <c r="B1398" s="36">
        <v>166</v>
      </c>
      <c r="C1398" s="37">
        <v>39</v>
      </c>
      <c r="D1398" s="38">
        <v>54</v>
      </c>
      <c r="E1398" s="39">
        <v>156</v>
      </c>
    </row>
    <row r="1399" spans="1:5" x14ac:dyDescent="0.35">
      <c r="A1399" s="35" t="s">
        <v>1482</v>
      </c>
      <c r="B1399" s="36">
        <v>161</v>
      </c>
      <c r="C1399" s="37">
        <v>48</v>
      </c>
      <c r="D1399" s="38">
        <v>36</v>
      </c>
      <c r="E1399" s="39">
        <v>165</v>
      </c>
    </row>
    <row r="1400" spans="1:5" x14ac:dyDescent="0.35">
      <c r="A1400" s="35" t="s">
        <v>1483</v>
      </c>
      <c r="B1400" s="36">
        <v>165</v>
      </c>
      <c r="C1400" s="37">
        <v>12</v>
      </c>
      <c r="D1400" s="38">
        <v>16</v>
      </c>
      <c r="E1400" s="39">
        <v>156</v>
      </c>
    </row>
    <row r="1401" spans="1:5" x14ac:dyDescent="0.35">
      <c r="A1401" s="35" t="s">
        <v>1484</v>
      </c>
      <c r="B1401" s="36">
        <v>156</v>
      </c>
      <c r="C1401" s="37">
        <v>50</v>
      </c>
      <c r="D1401" s="38">
        <v>58</v>
      </c>
      <c r="E1401" s="39">
        <v>143</v>
      </c>
    </row>
    <row r="1402" spans="1:5" x14ac:dyDescent="0.35">
      <c r="A1402" s="35" t="s">
        <v>1485</v>
      </c>
      <c r="B1402" s="36">
        <v>143</v>
      </c>
      <c r="C1402" s="37">
        <v>9</v>
      </c>
      <c r="D1402" s="38">
        <v>23</v>
      </c>
      <c r="E1402" s="39">
        <v>128</v>
      </c>
    </row>
    <row r="1403" spans="1:5" x14ac:dyDescent="0.35">
      <c r="A1403" s="35" t="s">
        <v>1486</v>
      </c>
      <c r="B1403" s="36">
        <v>128</v>
      </c>
      <c r="C1403" s="37">
        <v>11</v>
      </c>
      <c r="D1403" s="38">
        <v>22</v>
      </c>
      <c r="E1403" s="39">
        <v>114</v>
      </c>
    </row>
    <row r="1404" spans="1:5" x14ac:dyDescent="0.35">
      <c r="A1404" s="35" t="s">
        <v>1487</v>
      </c>
      <c r="B1404" s="36">
        <v>114</v>
      </c>
      <c r="C1404" s="37">
        <v>52</v>
      </c>
      <c r="D1404" s="38">
        <v>14</v>
      </c>
      <c r="E1404" s="39">
        <v>157</v>
      </c>
    </row>
    <row r="1405" spans="1:5" x14ac:dyDescent="0.35">
      <c r="A1405" s="35" t="s">
        <v>1488</v>
      </c>
      <c r="B1405" s="36">
        <v>157</v>
      </c>
      <c r="C1405" s="37">
        <v>18</v>
      </c>
      <c r="D1405" s="38">
        <v>21</v>
      </c>
      <c r="E1405" s="39">
        <v>149</v>
      </c>
    </row>
    <row r="1406" spans="1:5" x14ac:dyDescent="0.35">
      <c r="A1406" s="35" t="s">
        <v>1489</v>
      </c>
      <c r="B1406" s="36">
        <v>149</v>
      </c>
      <c r="C1406" s="37">
        <v>38</v>
      </c>
      <c r="D1406" s="38">
        <v>20</v>
      </c>
      <c r="E1406" s="39">
        <v>154</v>
      </c>
    </row>
    <row r="1407" spans="1:5" x14ac:dyDescent="0.35">
      <c r="A1407" s="35" t="s">
        <v>1490</v>
      </c>
      <c r="B1407" s="36">
        <v>154</v>
      </c>
      <c r="C1407" s="37">
        <v>43</v>
      </c>
      <c r="D1407" s="38">
        <v>66</v>
      </c>
      <c r="E1407" s="39">
        <v>142</v>
      </c>
    </row>
    <row r="1408" spans="1:5" x14ac:dyDescent="0.35">
      <c r="A1408" s="35" t="s">
        <v>1491</v>
      </c>
      <c r="B1408" s="36">
        <v>142</v>
      </c>
      <c r="C1408" s="37">
        <v>11</v>
      </c>
      <c r="D1408" s="38">
        <v>26</v>
      </c>
      <c r="E1408" s="39">
        <v>127</v>
      </c>
    </row>
    <row r="1409" spans="1:5" x14ac:dyDescent="0.35">
      <c r="A1409" s="35" t="s">
        <v>1492</v>
      </c>
      <c r="B1409" s="36">
        <v>127</v>
      </c>
      <c r="C1409" s="37">
        <v>11</v>
      </c>
      <c r="D1409" s="38">
        <v>15</v>
      </c>
      <c r="E1409" s="39">
        <v>106</v>
      </c>
    </row>
    <row r="1410" spans="1:5" x14ac:dyDescent="0.35">
      <c r="A1410" s="35" t="s">
        <v>1493</v>
      </c>
      <c r="B1410" s="36">
        <v>106</v>
      </c>
      <c r="C1410" s="37">
        <v>37</v>
      </c>
      <c r="D1410" s="38">
        <v>25</v>
      </c>
      <c r="E1410" s="39">
        <v>111</v>
      </c>
    </row>
    <row r="1411" spans="1:5" x14ac:dyDescent="0.35">
      <c r="A1411" s="35" t="s">
        <v>1494</v>
      </c>
      <c r="B1411" s="36">
        <v>102</v>
      </c>
      <c r="C1411" s="37">
        <v>30</v>
      </c>
      <c r="D1411" s="38">
        <v>5</v>
      </c>
      <c r="E1411" s="39">
        <v>127</v>
      </c>
    </row>
    <row r="1412" spans="1:5" x14ac:dyDescent="0.35">
      <c r="A1412" s="35" t="s">
        <v>1495</v>
      </c>
      <c r="B1412" s="36">
        <v>127</v>
      </c>
      <c r="C1412" s="37">
        <v>18</v>
      </c>
      <c r="D1412" s="38">
        <v>16</v>
      </c>
      <c r="E1412" s="39">
        <v>132</v>
      </c>
    </row>
    <row r="1413" spans="1:5" x14ac:dyDescent="0.35">
      <c r="A1413" s="35" t="s">
        <v>1496</v>
      </c>
      <c r="B1413" s="36">
        <v>132</v>
      </c>
      <c r="C1413" s="37">
        <v>71</v>
      </c>
      <c r="D1413" s="38">
        <v>51</v>
      </c>
      <c r="E1413" s="39">
        <v>152</v>
      </c>
    </row>
    <row r="1414" spans="1:5" x14ac:dyDescent="0.35">
      <c r="A1414" s="35" t="s">
        <v>1497</v>
      </c>
      <c r="B1414" s="36">
        <v>151</v>
      </c>
      <c r="C1414" s="37">
        <v>34</v>
      </c>
      <c r="D1414" s="38">
        <v>62</v>
      </c>
      <c r="E1414" s="39">
        <v>121</v>
      </c>
    </row>
    <row r="1415" spans="1:5" x14ac:dyDescent="0.35">
      <c r="A1415" s="35" t="s">
        <v>1498</v>
      </c>
      <c r="B1415" s="36">
        <v>121</v>
      </c>
      <c r="C1415" s="37">
        <v>20</v>
      </c>
      <c r="D1415" s="38">
        <v>44</v>
      </c>
      <c r="E1415" s="39">
        <v>96</v>
      </c>
    </row>
    <row r="1416" spans="1:5" x14ac:dyDescent="0.35">
      <c r="A1416" s="35" t="s">
        <v>1499</v>
      </c>
      <c r="B1416" s="36">
        <v>96</v>
      </c>
      <c r="C1416" s="37">
        <v>37</v>
      </c>
      <c r="D1416" s="38">
        <v>33</v>
      </c>
      <c r="E1416" s="39">
        <v>103</v>
      </c>
    </row>
    <row r="1417" spans="1:5" x14ac:dyDescent="0.35">
      <c r="A1417" s="35" t="s">
        <v>1500</v>
      </c>
      <c r="B1417" s="36">
        <v>103</v>
      </c>
      <c r="C1417" s="37">
        <v>23</v>
      </c>
      <c r="D1417" s="38">
        <v>29</v>
      </c>
      <c r="E1417" s="39">
        <v>84</v>
      </c>
    </row>
    <row r="1418" spans="1:5" x14ac:dyDescent="0.35">
      <c r="A1418" s="35" t="s">
        <v>1501</v>
      </c>
      <c r="B1418" s="36">
        <v>84</v>
      </c>
      <c r="C1418" s="37">
        <v>19</v>
      </c>
      <c r="D1418" s="38">
        <v>4</v>
      </c>
      <c r="E1418" s="39">
        <v>100</v>
      </c>
    </row>
    <row r="1419" spans="1:5" x14ac:dyDescent="0.35">
      <c r="A1419" s="35" t="s">
        <v>1502</v>
      </c>
      <c r="B1419" s="36">
        <v>100</v>
      </c>
      <c r="C1419" s="37">
        <v>48</v>
      </c>
      <c r="D1419" s="38">
        <v>27</v>
      </c>
      <c r="E1419" s="39">
        <v>125</v>
      </c>
    </row>
    <row r="1420" spans="1:5" x14ac:dyDescent="0.35">
      <c r="A1420" s="35" t="s">
        <v>1503</v>
      </c>
      <c r="B1420" s="36">
        <v>125</v>
      </c>
      <c r="C1420" s="37">
        <v>9</v>
      </c>
      <c r="D1420" s="38">
        <v>51</v>
      </c>
      <c r="E1420" s="39">
        <v>83</v>
      </c>
    </row>
    <row r="1421" spans="1:5" x14ac:dyDescent="0.35">
      <c r="A1421" s="35" t="s">
        <v>1504</v>
      </c>
      <c r="B1421" s="36">
        <v>83</v>
      </c>
      <c r="C1421" s="37">
        <v>40</v>
      </c>
      <c r="D1421" s="38">
        <v>9</v>
      </c>
      <c r="E1421" s="39">
        <v>109</v>
      </c>
    </row>
    <row r="1422" spans="1:5" x14ac:dyDescent="0.35">
      <c r="A1422" s="35" t="s">
        <v>1505</v>
      </c>
      <c r="B1422" s="36">
        <v>109</v>
      </c>
      <c r="C1422" s="37">
        <v>4</v>
      </c>
      <c r="D1422" s="38">
        <v>5</v>
      </c>
      <c r="E1422" s="39">
        <v>130</v>
      </c>
    </row>
    <row r="1423" spans="1:5" x14ac:dyDescent="0.35">
      <c r="A1423" s="35" t="s">
        <v>1506</v>
      </c>
      <c r="B1423" s="36">
        <v>130</v>
      </c>
      <c r="C1423" s="37">
        <v>26</v>
      </c>
      <c r="D1423" s="38">
        <v>25</v>
      </c>
      <c r="E1423" s="39">
        <v>130</v>
      </c>
    </row>
    <row r="1424" spans="1:5" x14ac:dyDescent="0.35">
      <c r="A1424" s="35" t="s">
        <v>1507</v>
      </c>
      <c r="B1424" s="36">
        <v>130</v>
      </c>
      <c r="C1424" s="37">
        <v>15</v>
      </c>
      <c r="D1424" s="38">
        <v>49</v>
      </c>
      <c r="E1424" s="39">
        <v>96</v>
      </c>
    </row>
    <row r="1425" spans="1:5" x14ac:dyDescent="0.35">
      <c r="A1425" s="35" t="s">
        <v>1508</v>
      </c>
      <c r="B1425" s="36">
        <v>96</v>
      </c>
      <c r="C1425" s="37">
        <v>3</v>
      </c>
      <c r="D1425" s="38">
        <v>20</v>
      </c>
      <c r="E1425" s="39">
        <v>88</v>
      </c>
    </row>
    <row r="1426" spans="1:5" x14ac:dyDescent="0.35">
      <c r="A1426" s="35" t="s">
        <v>1509</v>
      </c>
      <c r="B1426" s="36">
        <v>88</v>
      </c>
      <c r="C1426" s="37">
        <v>40</v>
      </c>
      <c r="D1426" s="38">
        <v>20</v>
      </c>
      <c r="E1426" s="39">
        <v>107</v>
      </c>
    </row>
    <row r="1427" spans="1:5" x14ac:dyDescent="0.35">
      <c r="A1427" s="35" t="s">
        <v>1510</v>
      </c>
      <c r="B1427" s="36">
        <v>107</v>
      </c>
      <c r="C1427" s="37">
        <v>14</v>
      </c>
      <c r="D1427" s="38">
        <v>14</v>
      </c>
      <c r="E1427" s="39">
        <v>143</v>
      </c>
    </row>
    <row r="1428" spans="1:5" x14ac:dyDescent="0.35">
      <c r="A1428" s="35" t="s">
        <v>1511</v>
      </c>
      <c r="B1428" s="36">
        <v>143</v>
      </c>
      <c r="C1428" s="37">
        <v>12</v>
      </c>
      <c r="D1428" s="38">
        <v>27</v>
      </c>
      <c r="E1428" s="39">
        <v>109</v>
      </c>
    </row>
    <row r="1429" spans="1:5" x14ac:dyDescent="0.35">
      <c r="A1429" s="35" t="s">
        <v>1512</v>
      </c>
      <c r="B1429" s="36">
        <v>109</v>
      </c>
      <c r="C1429" s="37">
        <v>16</v>
      </c>
      <c r="D1429" s="38">
        <v>27</v>
      </c>
      <c r="E1429" s="39">
        <v>91</v>
      </c>
    </row>
    <row r="1430" spans="1:5" x14ac:dyDescent="0.35">
      <c r="A1430" s="35" t="s">
        <v>1513</v>
      </c>
      <c r="B1430" s="36">
        <v>91</v>
      </c>
      <c r="C1430" s="37">
        <v>18</v>
      </c>
      <c r="D1430" s="38">
        <v>18</v>
      </c>
      <c r="E1430" s="39">
        <v>103</v>
      </c>
    </row>
    <row r="1431" spans="1:5" x14ac:dyDescent="0.35">
      <c r="A1431" s="35" t="s">
        <v>1514</v>
      </c>
      <c r="B1431" s="36">
        <v>103</v>
      </c>
      <c r="C1431" s="37">
        <v>0</v>
      </c>
      <c r="D1431" s="38">
        <v>14</v>
      </c>
      <c r="E1431" s="39">
        <v>71</v>
      </c>
    </row>
    <row r="1432" spans="1:5" x14ac:dyDescent="0.35">
      <c r="A1432" s="35" t="s">
        <v>1515</v>
      </c>
      <c r="B1432" s="36">
        <v>71</v>
      </c>
      <c r="C1432" s="37">
        <v>58</v>
      </c>
      <c r="D1432" s="38">
        <v>5</v>
      </c>
      <c r="E1432" s="39">
        <v>128</v>
      </c>
    </row>
    <row r="1433" spans="1:5" x14ac:dyDescent="0.35">
      <c r="A1433" s="35" t="s">
        <v>1516</v>
      </c>
      <c r="B1433" s="36">
        <v>128</v>
      </c>
      <c r="C1433" s="37">
        <v>5</v>
      </c>
      <c r="D1433" s="38">
        <v>44</v>
      </c>
      <c r="E1433" s="39">
        <v>52</v>
      </c>
    </row>
    <row r="1434" spans="1:5" x14ac:dyDescent="0.35">
      <c r="A1434" s="35" t="s">
        <v>1517</v>
      </c>
      <c r="B1434" s="36">
        <v>52</v>
      </c>
      <c r="C1434" s="37">
        <v>12</v>
      </c>
      <c r="D1434" s="38">
        <v>21</v>
      </c>
      <c r="E1434" s="39">
        <v>52</v>
      </c>
    </row>
    <row r="1435" spans="1:5" x14ac:dyDescent="0.35">
      <c r="A1435" s="35" t="s">
        <v>1518</v>
      </c>
      <c r="B1435" s="36">
        <v>52</v>
      </c>
      <c r="C1435" s="37">
        <v>56</v>
      </c>
      <c r="D1435" s="38">
        <v>6</v>
      </c>
      <c r="E1435" s="39">
        <v>110</v>
      </c>
    </row>
    <row r="1436" spans="1:5" x14ac:dyDescent="0.35">
      <c r="A1436" s="35" t="s">
        <v>1519</v>
      </c>
      <c r="B1436" s="36">
        <v>110</v>
      </c>
      <c r="C1436" s="37">
        <v>45</v>
      </c>
      <c r="D1436" s="38">
        <v>17</v>
      </c>
      <c r="E1436" s="39">
        <v>149</v>
      </c>
    </row>
    <row r="1437" spans="1:5" x14ac:dyDescent="0.35">
      <c r="A1437" s="35" t="s">
        <v>1520</v>
      </c>
      <c r="B1437" s="36">
        <v>149</v>
      </c>
      <c r="C1437" s="37">
        <v>5</v>
      </c>
      <c r="D1437" s="38">
        <v>27</v>
      </c>
      <c r="E1437" s="39">
        <v>112</v>
      </c>
    </row>
    <row r="1438" spans="1:5" x14ac:dyDescent="0.35">
      <c r="A1438" s="35" t="s">
        <v>1521</v>
      </c>
      <c r="B1438" s="36">
        <v>112</v>
      </c>
      <c r="C1438" s="37">
        <v>4</v>
      </c>
      <c r="D1438" s="38">
        <v>15</v>
      </c>
      <c r="E1438" s="39">
        <v>110</v>
      </c>
    </row>
    <row r="1439" spans="1:5" x14ac:dyDescent="0.35">
      <c r="A1439" s="35" t="s">
        <v>1522</v>
      </c>
      <c r="B1439" s="36">
        <v>110</v>
      </c>
      <c r="C1439" s="37">
        <v>79</v>
      </c>
      <c r="D1439" s="38">
        <v>43</v>
      </c>
      <c r="E1439" s="39">
        <v>123</v>
      </c>
    </row>
    <row r="1440" spans="1:5" x14ac:dyDescent="0.35">
      <c r="A1440" s="35" t="s">
        <v>1523</v>
      </c>
      <c r="B1440" s="36">
        <v>123</v>
      </c>
      <c r="C1440" s="37">
        <v>12</v>
      </c>
      <c r="D1440" s="38">
        <v>17</v>
      </c>
      <c r="E1440" s="39">
        <v>140</v>
      </c>
    </row>
    <row r="1441" spans="1:5" x14ac:dyDescent="0.35">
      <c r="A1441" s="35" t="s">
        <v>1524</v>
      </c>
      <c r="B1441" s="36">
        <v>85</v>
      </c>
      <c r="C1441" s="37">
        <v>12</v>
      </c>
      <c r="D1441" s="38">
        <v>34</v>
      </c>
      <c r="E1441" s="39">
        <v>82</v>
      </c>
    </row>
    <row r="1442" spans="1:5" x14ac:dyDescent="0.35">
      <c r="A1442" s="35" t="s">
        <v>1525</v>
      </c>
      <c r="B1442" s="36">
        <v>82</v>
      </c>
      <c r="C1442" s="37">
        <v>27</v>
      </c>
      <c r="D1442" s="38">
        <v>11</v>
      </c>
      <c r="E1442" s="39">
        <v>92</v>
      </c>
    </row>
    <row r="1443" spans="1:5" x14ac:dyDescent="0.35">
      <c r="A1443" s="35" t="s">
        <v>1526</v>
      </c>
      <c r="B1443" s="36">
        <v>92</v>
      </c>
      <c r="C1443" s="37">
        <v>28</v>
      </c>
      <c r="D1443" s="38">
        <v>42</v>
      </c>
      <c r="E1443" s="39">
        <v>85</v>
      </c>
    </row>
    <row r="1444" spans="1:5" x14ac:dyDescent="0.35">
      <c r="A1444" s="35" t="s">
        <v>1527</v>
      </c>
      <c r="B1444" s="36">
        <v>70</v>
      </c>
      <c r="C1444" s="37">
        <v>18</v>
      </c>
      <c r="D1444" s="38">
        <v>21</v>
      </c>
      <c r="E1444" s="39">
        <v>73</v>
      </c>
    </row>
    <row r="1445" spans="1:5" x14ac:dyDescent="0.35">
      <c r="A1445" s="35" t="s">
        <v>1528</v>
      </c>
      <c r="B1445" s="36">
        <v>63</v>
      </c>
      <c r="C1445" s="37">
        <v>18</v>
      </c>
      <c r="D1445" s="38">
        <v>21</v>
      </c>
      <c r="E1445" s="39">
        <v>66</v>
      </c>
    </row>
    <row r="1446" spans="1:5" x14ac:dyDescent="0.35">
      <c r="A1446" s="35" t="s">
        <v>1529</v>
      </c>
      <c r="B1446" s="36">
        <v>64</v>
      </c>
      <c r="C1446" s="37">
        <v>51</v>
      </c>
      <c r="D1446" s="38">
        <v>9</v>
      </c>
      <c r="E1446" s="39">
        <v>104</v>
      </c>
    </row>
    <row r="1447" spans="1:5" x14ac:dyDescent="0.35">
      <c r="A1447" s="35" t="s">
        <v>1530</v>
      </c>
      <c r="B1447" s="36">
        <v>103</v>
      </c>
      <c r="C1447" s="37">
        <v>20</v>
      </c>
      <c r="D1447" s="38">
        <v>59</v>
      </c>
      <c r="E1447" s="39">
        <v>64</v>
      </c>
    </row>
    <row r="1448" spans="1:5" x14ac:dyDescent="0.35">
      <c r="A1448" s="35" t="s">
        <v>1531</v>
      </c>
      <c r="B1448" s="36">
        <v>64</v>
      </c>
      <c r="C1448" s="37">
        <v>9</v>
      </c>
      <c r="D1448" s="38">
        <v>0</v>
      </c>
      <c r="E1448" s="39">
        <v>71</v>
      </c>
    </row>
    <row r="1449" spans="1:5" x14ac:dyDescent="0.35">
      <c r="A1449" s="35" t="s">
        <v>1532</v>
      </c>
      <c r="B1449" s="36">
        <v>71</v>
      </c>
      <c r="C1449" s="37">
        <v>37</v>
      </c>
      <c r="D1449" s="38">
        <v>8</v>
      </c>
      <c r="E1449" s="39">
        <v>102</v>
      </c>
    </row>
    <row r="1450" spans="1:5" x14ac:dyDescent="0.35">
      <c r="A1450" s="35" t="s">
        <v>1533</v>
      </c>
      <c r="B1450" s="36">
        <v>102</v>
      </c>
      <c r="C1450" s="37">
        <v>14</v>
      </c>
      <c r="D1450" s="38">
        <v>32</v>
      </c>
      <c r="E1450" s="39">
        <v>94</v>
      </c>
    </row>
    <row r="1451" spans="1:5" x14ac:dyDescent="0.35">
      <c r="A1451" s="35" t="s">
        <v>1534</v>
      </c>
      <c r="B1451" s="36">
        <v>94</v>
      </c>
      <c r="C1451" s="37">
        <v>7</v>
      </c>
      <c r="D1451" s="38">
        <v>8</v>
      </c>
      <c r="E1451" s="39">
        <v>111</v>
      </c>
    </row>
    <row r="1452" spans="1:5" x14ac:dyDescent="0.35">
      <c r="A1452" s="35" t="s">
        <v>1535</v>
      </c>
      <c r="B1452" s="36">
        <v>111</v>
      </c>
      <c r="C1452" s="37">
        <v>10</v>
      </c>
      <c r="D1452" s="38">
        <v>33</v>
      </c>
      <c r="E1452" s="39">
        <v>100</v>
      </c>
    </row>
    <row r="1453" spans="1:5" x14ac:dyDescent="0.35">
      <c r="A1453" s="35" t="s">
        <v>1536</v>
      </c>
      <c r="B1453" s="36">
        <v>100</v>
      </c>
      <c r="C1453" s="37">
        <v>39</v>
      </c>
      <c r="D1453" s="38">
        <v>28</v>
      </c>
      <c r="E1453" s="39">
        <v>112</v>
      </c>
    </row>
    <row r="1454" spans="1:5" x14ac:dyDescent="0.35">
      <c r="A1454" s="35" t="s">
        <v>1537</v>
      </c>
      <c r="B1454" s="36">
        <v>112</v>
      </c>
      <c r="C1454" s="37">
        <v>51</v>
      </c>
      <c r="D1454" s="38">
        <v>20</v>
      </c>
      <c r="E1454" s="39">
        <v>156</v>
      </c>
    </row>
    <row r="1455" spans="1:5" x14ac:dyDescent="0.35">
      <c r="A1455" s="35" t="s">
        <v>1538</v>
      </c>
      <c r="B1455" s="36">
        <v>156</v>
      </c>
      <c r="C1455" s="37">
        <v>25</v>
      </c>
      <c r="D1455" s="38">
        <v>44</v>
      </c>
      <c r="E1455" s="39">
        <v>99</v>
      </c>
    </row>
    <row r="1456" spans="1:5" x14ac:dyDescent="0.35">
      <c r="A1456" s="35" t="s">
        <v>1539</v>
      </c>
      <c r="B1456" s="36">
        <v>99</v>
      </c>
      <c r="C1456" s="37">
        <v>30</v>
      </c>
      <c r="D1456" s="38">
        <v>9</v>
      </c>
      <c r="E1456" s="39">
        <v>112</v>
      </c>
    </row>
    <row r="1457" spans="1:5" x14ac:dyDescent="0.35">
      <c r="A1457" s="35" t="s">
        <v>1540</v>
      </c>
      <c r="B1457" s="36">
        <v>112</v>
      </c>
      <c r="C1457" s="37">
        <v>7</v>
      </c>
      <c r="D1457" s="38">
        <v>6</v>
      </c>
      <c r="E1457" s="39">
        <v>101</v>
      </c>
    </row>
    <row r="1458" spans="1:5" x14ac:dyDescent="0.35">
      <c r="A1458" s="35" t="s">
        <v>1541</v>
      </c>
      <c r="B1458" s="36">
        <v>101</v>
      </c>
      <c r="C1458" s="37">
        <v>28</v>
      </c>
      <c r="D1458" s="38">
        <v>7</v>
      </c>
      <c r="E1458" s="39">
        <v>118</v>
      </c>
    </row>
    <row r="1459" spans="1:5" x14ac:dyDescent="0.35">
      <c r="A1459" s="35" t="s">
        <v>1542</v>
      </c>
      <c r="B1459" s="36">
        <v>118</v>
      </c>
      <c r="C1459" s="37">
        <v>46</v>
      </c>
      <c r="D1459" s="38">
        <v>52</v>
      </c>
      <c r="E1459" s="39">
        <v>133</v>
      </c>
    </row>
    <row r="1460" spans="1:5" x14ac:dyDescent="0.35">
      <c r="A1460" s="35" t="s">
        <v>1543</v>
      </c>
      <c r="B1460" s="36">
        <v>133</v>
      </c>
      <c r="C1460" s="37">
        <v>29</v>
      </c>
      <c r="D1460" s="38">
        <v>43</v>
      </c>
      <c r="E1460" s="39">
        <v>123</v>
      </c>
    </row>
    <row r="1461" spans="1:5" x14ac:dyDescent="0.35">
      <c r="A1461" s="35" t="s">
        <v>1544</v>
      </c>
      <c r="B1461" s="36">
        <v>123</v>
      </c>
      <c r="C1461" s="37">
        <v>56</v>
      </c>
      <c r="D1461" s="38">
        <v>43</v>
      </c>
      <c r="E1461" s="39">
        <v>130</v>
      </c>
    </row>
    <row r="1462" spans="1:5" x14ac:dyDescent="0.35">
      <c r="A1462" s="35" t="s">
        <v>1545</v>
      </c>
      <c r="B1462" s="36">
        <v>130</v>
      </c>
      <c r="C1462" s="37">
        <v>29</v>
      </c>
      <c r="D1462" s="38">
        <v>48</v>
      </c>
      <c r="E1462" s="39">
        <v>96</v>
      </c>
    </row>
    <row r="1463" spans="1:5" x14ac:dyDescent="0.35">
      <c r="A1463" s="35" t="s">
        <v>1546</v>
      </c>
      <c r="B1463" s="36">
        <v>96</v>
      </c>
      <c r="C1463" s="37">
        <v>48</v>
      </c>
      <c r="D1463" s="38">
        <v>39</v>
      </c>
      <c r="E1463" s="39">
        <v>105</v>
      </c>
    </row>
    <row r="1464" spans="1:5" x14ac:dyDescent="0.35">
      <c r="A1464" s="35" t="s">
        <v>1547</v>
      </c>
      <c r="B1464" s="36">
        <v>105</v>
      </c>
      <c r="C1464" s="37">
        <v>26</v>
      </c>
      <c r="D1464" s="38">
        <v>45</v>
      </c>
      <c r="E1464" s="39">
        <v>99</v>
      </c>
    </row>
    <row r="1465" spans="1:5" x14ac:dyDescent="0.35">
      <c r="A1465" s="35" t="s">
        <v>1548</v>
      </c>
      <c r="B1465" s="36">
        <v>99</v>
      </c>
      <c r="C1465" s="37">
        <v>21</v>
      </c>
      <c r="D1465" s="38">
        <v>32</v>
      </c>
      <c r="E1465" s="39">
        <v>70</v>
      </c>
    </row>
    <row r="1466" spans="1:5" x14ac:dyDescent="0.35">
      <c r="A1466" s="35" t="s">
        <v>1549</v>
      </c>
      <c r="B1466" s="36">
        <v>70</v>
      </c>
      <c r="C1466" s="37">
        <v>32</v>
      </c>
      <c r="D1466" s="38">
        <v>13</v>
      </c>
      <c r="E1466" s="39">
        <v>87</v>
      </c>
    </row>
    <row r="1467" spans="1:5" x14ac:dyDescent="0.35">
      <c r="A1467" s="35" t="s">
        <v>1550</v>
      </c>
      <c r="B1467" s="36">
        <v>87</v>
      </c>
      <c r="C1467" s="37">
        <v>34</v>
      </c>
      <c r="D1467" s="38">
        <v>16</v>
      </c>
      <c r="E1467" s="39">
        <v>106</v>
      </c>
    </row>
    <row r="1468" spans="1:5" x14ac:dyDescent="0.35">
      <c r="A1468" s="35" t="s">
        <v>1551</v>
      </c>
      <c r="B1468" s="36">
        <v>106</v>
      </c>
      <c r="C1468" s="37">
        <v>15</v>
      </c>
      <c r="D1468" s="38">
        <v>22</v>
      </c>
      <c r="E1468" s="39">
        <v>84</v>
      </c>
    </row>
    <row r="1469" spans="1:5" x14ac:dyDescent="0.35">
      <c r="A1469" s="35" t="s">
        <v>1552</v>
      </c>
      <c r="B1469" s="36">
        <v>98</v>
      </c>
      <c r="C1469" s="37">
        <v>36</v>
      </c>
      <c r="D1469" s="38">
        <v>6</v>
      </c>
      <c r="E1469" s="39">
        <v>135</v>
      </c>
    </row>
    <row r="1470" spans="1:5" x14ac:dyDescent="0.35">
      <c r="A1470" s="35" t="s">
        <v>1553</v>
      </c>
      <c r="B1470" s="36">
        <v>135</v>
      </c>
      <c r="C1470" s="37">
        <v>21</v>
      </c>
      <c r="D1470" s="38">
        <v>26</v>
      </c>
      <c r="E1470" s="39">
        <v>130</v>
      </c>
    </row>
    <row r="1471" spans="1:5" x14ac:dyDescent="0.35">
      <c r="A1471" s="35" t="s">
        <v>1559</v>
      </c>
      <c r="B1471" s="36">
        <v>130</v>
      </c>
      <c r="C1471" s="37">
        <v>10</v>
      </c>
      <c r="D1471" s="38">
        <v>25</v>
      </c>
      <c r="E1471" s="39">
        <v>110</v>
      </c>
    </row>
    <row r="1472" spans="1:5" x14ac:dyDescent="0.35">
      <c r="A1472" s="35" t="s">
        <v>1560</v>
      </c>
      <c r="B1472" s="36">
        <v>110</v>
      </c>
      <c r="C1472" s="37">
        <v>30</v>
      </c>
      <c r="D1472" s="38">
        <v>16</v>
      </c>
      <c r="E1472" s="39">
        <v>124</v>
      </c>
    </row>
    <row r="1473" spans="1:5" x14ac:dyDescent="0.35">
      <c r="A1473" s="35" t="s">
        <v>1561</v>
      </c>
      <c r="B1473" s="36">
        <v>124</v>
      </c>
      <c r="C1473" s="37">
        <v>30</v>
      </c>
      <c r="D1473" s="38">
        <v>43</v>
      </c>
      <c r="E1473" s="39">
        <v>79</v>
      </c>
    </row>
    <row r="1474" spans="1:5" x14ac:dyDescent="0.35">
      <c r="A1474" s="35" t="s">
        <v>1562</v>
      </c>
      <c r="B1474" s="36">
        <v>79</v>
      </c>
      <c r="C1474" s="37">
        <v>14</v>
      </c>
      <c r="D1474" s="38">
        <v>37</v>
      </c>
      <c r="E1474" s="39">
        <v>60</v>
      </c>
    </row>
    <row r="1475" spans="1:5" x14ac:dyDescent="0.35">
      <c r="A1475" s="35" t="s">
        <v>1563</v>
      </c>
      <c r="B1475" s="36">
        <v>60</v>
      </c>
      <c r="C1475" s="37">
        <v>77</v>
      </c>
      <c r="D1475" s="38">
        <v>8</v>
      </c>
      <c r="E1475" s="39">
        <v>126</v>
      </c>
    </row>
    <row r="1476" spans="1:5" x14ac:dyDescent="0.35">
      <c r="A1476" s="35" t="s">
        <v>1564</v>
      </c>
      <c r="B1476" s="36">
        <v>126</v>
      </c>
      <c r="C1476" s="37">
        <v>14</v>
      </c>
      <c r="D1476" s="38">
        <v>37</v>
      </c>
      <c r="E1476" s="39">
        <v>114</v>
      </c>
    </row>
    <row r="1477" spans="1:5" x14ac:dyDescent="0.35">
      <c r="A1477" s="35" t="s">
        <v>1565</v>
      </c>
      <c r="B1477" s="36">
        <v>114</v>
      </c>
      <c r="C1477" s="37">
        <v>14</v>
      </c>
      <c r="D1477" s="38">
        <v>0</v>
      </c>
      <c r="E1477" s="39">
        <v>111</v>
      </c>
    </row>
    <row r="1478" spans="1:5" x14ac:dyDescent="0.35">
      <c r="A1478" s="35" t="s">
        <v>1556</v>
      </c>
      <c r="B1478" s="36">
        <v>111</v>
      </c>
      <c r="C1478" s="37">
        <v>18</v>
      </c>
      <c r="D1478" s="38">
        <v>15</v>
      </c>
      <c r="E1478" s="39">
        <v>126</v>
      </c>
    </row>
    <row r="1479" spans="1:5" x14ac:dyDescent="0.35">
      <c r="A1479" s="35" t="s">
        <v>1557</v>
      </c>
      <c r="B1479" s="36">
        <v>126</v>
      </c>
      <c r="C1479" s="37">
        <v>11</v>
      </c>
      <c r="D1479" s="38">
        <v>28</v>
      </c>
      <c r="E1479" s="39">
        <v>107</v>
      </c>
    </row>
    <row r="1480" spans="1:5" x14ac:dyDescent="0.35">
      <c r="A1480" s="35" t="s">
        <v>1558</v>
      </c>
      <c r="B1480" s="36">
        <v>107</v>
      </c>
      <c r="C1480" s="37">
        <v>6</v>
      </c>
      <c r="D1480" s="38">
        <v>29</v>
      </c>
      <c r="E1480" s="39">
        <v>86</v>
      </c>
    </row>
    <row r="1481" spans="1:5" x14ac:dyDescent="0.35">
      <c r="A1481" s="40" t="s">
        <v>1567</v>
      </c>
      <c r="B1481" s="36">
        <v>86</v>
      </c>
      <c r="C1481" s="37">
        <v>59</v>
      </c>
      <c r="D1481" s="38">
        <v>15</v>
      </c>
      <c r="E1481" s="39">
        <v>128</v>
      </c>
    </row>
    <row r="1482" spans="1:5" x14ac:dyDescent="0.35">
      <c r="A1482" s="40" t="s">
        <v>1568</v>
      </c>
      <c r="B1482" s="36">
        <v>128</v>
      </c>
      <c r="C1482" s="37">
        <v>10</v>
      </c>
      <c r="D1482" s="38">
        <v>13</v>
      </c>
      <c r="E1482" s="39">
        <v>95</v>
      </c>
    </row>
    <row r="1483" spans="1:5" x14ac:dyDescent="0.35">
      <c r="A1483" s="40" t="s">
        <v>1569</v>
      </c>
      <c r="B1483" s="36">
        <v>95</v>
      </c>
      <c r="C1483" s="37">
        <v>11</v>
      </c>
      <c r="D1483" s="38">
        <v>22</v>
      </c>
      <c r="E1483" s="39">
        <v>129</v>
      </c>
    </row>
    <row r="1484" spans="1:5" x14ac:dyDescent="0.35">
      <c r="A1484" s="40" t="s">
        <v>1570</v>
      </c>
      <c r="B1484" s="36">
        <v>129</v>
      </c>
      <c r="C1484" s="37">
        <v>21</v>
      </c>
      <c r="D1484" s="38">
        <v>16</v>
      </c>
      <c r="E1484" s="39">
        <v>152</v>
      </c>
    </row>
    <row r="1485" spans="1:5" x14ac:dyDescent="0.35">
      <c r="A1485" s="40" t="s">
        <v>1571</v>
      </c>
      <c r="B1485" s="36">
        <v>152</v>
      </c>
      <c r="C1485" s="37">
        <v>36</v>
      </c>
      <c r="D1485" s="38">
        <v>37</v>
      </c>
      <c r="E1485" s="39">
        <v>123</v>
      </c>
    </row>
    <row r="1486" spans="1:5" x14ac:dyDescent="0.35">
      <c r="A1486" s="40" t="s">
        <v>1572</v>
      </c>
      <c r="B1486" s="36">
        <v>123</v>
      </c>
      <c r="C1486" s="37">
        <v>25</v>
      </c>
      <c r="D1486" s="38">
        <v>8</v>
      </c>
      <c r="E1486" s="39">
        <v>158</v>
      </c>
    </row>
    <row r="1487" spans="1:5" x14ac:dyDescent="0.35">
      <c r="A1487" s="40" t="s">
        <v>1573</v>
      </c>
      <c r="B1487" s="36">
        <v>158</v>
      </c>
      <c r="C1487" s="37">
        <v>23</v>
      </c>
      <c r="D1487" s="38">
        <v>31</v>
      </c>
      <c r="E1487" s="39">
        <v>129</v>
      </c>
    </row>
    <row r="1488" spans="1:5" x14ac:dyDescent="0.35">
      <c r="A1488" s="40" t="s">
        <v>1574</v>
      </c>
      <c r="B1488" s="36">
        <v>129</v>
      </c>
      <c r="C1488" s="37">
        <v>14</v>
      </c>
      <c r="D1488" s="38">
        <v>42</v>
      </c>
      <c r="E1488" s="39">
        <v>126</v>
      </c>
    </row>
    <row r="1489" spans="1:5" x14ac:dyDescent="0.35">
      <c r="A1489" s="40" t="s">
        <v>1575</v>
      </c>
      <c r="B1489" s="36">
        <v>126</v>
      </c>
      <c r="C1489" s="37">
        <v>30</v>
      </c>
      <c r="D1489" s="38">
        <v>38</v>
      </c>
      <c r="E1489" s="39">
        <v>115</v>
      </c>
    </row>
    <row r="1490" spans="1:5" x14ac:dyDescent="0.35">
      <c r="A1490" s="40" t="s">
        <v>1576</v>
      </c>
      <c r="B1490" s="36">
        <v>115</v>
      </c>
      <c r="C1490" s="37">
        <v>47</v>
      </c>
      <c r="D1490" s="38">
        <v>17</v>
      </c>
      <c r="E1490" s="39">
        <v>147</v>
      </c>
    </row>
    <row r="1491" spans="1:5" x14ac:dyDescent="0.35">
      <c r="A1491" s="40" t="s">
        <v>1577</v>
      </c>
      <c r="B1491" s="36">
        <v>147</v>
      </c>
      <c r="C1491" s="37">
        <v>9</v>
      </c>
      <c r="D1491" s="38">
        <v>15</v>
      </c>
      <c r="E1491" s="39">
        <v>121</v>
      </c>
    </row>
    <row r="1492" spans="1:5" x14ac:dyDescent="0.35">
      <c r="A1492" s="40" t="s">
        <v>1578</v>
      </c>
      <c r="B1492" s="36">
        <v>121</v>
      </c>
      <c r="C1492" s="37">
        <v>36</v>
      </c>
      <c r="D1492" s="38">
        <v>15</v>
      </c>
      <c r="E1492" s="39">
        <v>127</v>
      </c>
    </row>
    <row r="1493" spans="1:5" x14ac:dyDescent="0.35">
      <c r="A1493" s="40" t="s">
        <v>1579</v>
      </c>
      <c r="B1493" s="36">
        <v>127</v>
      </c>
      <c r="C1493" s="37">
        <v>9</v>
      </c>
      <c r="D1493" s="38">
        <v>28</v>
      </c>
      <c r="E1493" s="39">
        <v>113</v>
      </c>
    </row>
    <row r="1494" spans="1:5" x14ac:dyDescent="0.35">
      <c r="A1494" s="40" t="s">
        <v>1580</v>
      </c>
      <c r="B1494" s="36">
        <v>113</v>
      </c>
      <c r="C1494" s="37">
        <v>19</v>
      </c>
      <c r="D1494" s="38">
        <v>16</v>
      </c>
      <c r="E1494" s="39">
        <v>135</v>
      </c>
    </row>
    <row r="1495" spans="1:5" x14ac:dyDescent="0.35">
      <c r="A1495" s="40" t="s">
        <v>1584</v>
      </c>
      <c r="B1495" s="36">
        <v>135</v>
      </c>
      <c r="C1495" s="37">
        <v>14</v>
      </c>
      <c r="D1495" s="38">
        <v>10</v>
      </c>
      <c r="E1495" s="39">
        <v>122</v>
      </c>
    </row>
    <row r="1496" spans="1:5" x14ac:dyDescent="0.35">
      <c r="A1496" s="40" t="s">
        <v>1585</v>
      </c>
      <c r="B1496" s="36">
        <v>122</v>
      </c>
      <c r="C1496" s="37">
        <v>7</v>
      </c>
      <c r="D1496" s="38">
        <v>16</v>
      </c>
      <c r="E1496" s="39">
        <v>113</v>
      </c>
    </row>
    <row r="1497" spans="1:5" x14ac:dyDescent="0.35">
      <c r="A1497" s="40" t="s">
        <v>1586</v>
      </c>
      <c r="B1497" s="36">
        <v>113</v>
      </c>
      <c r="C1497" s="37">
        <v>10</v>
      </c>
      <c r="D1497" s="38">
        <v>36</v>
      </c>
      <c r="E1497" s="39">
        <v>97</v>
      </c>
    </row>
    <row r="1498" spans="1:5" x14ac:dyDescent="0.35">
      <c r="A1498" s="40" t="s">
        <v>1587</v>
      </c>
      <c r="B1498" s="36">
        <v>97</v>
      </c>
      <c r="C1498" s="37">
        <v>30</v>
      </c>
      <c r="D1498" s="38">
        <v>5</v>
      </c>
      <c r="E1498" s="39">
        <v>115</v>
      </c>
    </row>
    <row r="1499" spans="1:5" x14ac:dyDescent="0.35">
      <c r="A1499" s="40" t="s">
        <v>1588</v>
      </c>
      <c r="B1499" s="36">
        <v>115</v>
      </c>
      <c r="C1499" s="37">
        <v>20</v>
      </c>
      <c r="D1499" s="38">
        <v>15</v>
      </c>
      <c r="E1499" s="39">
        <v>143</v>
      </c>
    </row>
    <row r="1500" spans="1:5" x14ac:dyDescent="0.35">
      <c r="A1500" s="40" t="s">
        <v>1589</v>
      </c>
      <c r="B1500" s="36">
        <v>141</v>
      </c>
      <c r="C1500" s="37">
        <v>57</v>
      </c>
      <c r="D1500" s="38">
        <v>42</v>
      </c>
      <c r="E1500" s="39">
        <v>175</v>
      </c>
    </row>
    <row r="1501" spans="1:5" x14ac:dyDescent="0.35">
      <c r="A1501" s="40" t="s">
        <v>1591</v>
      </c>
      <c r="B1501" s="36">
        <v>175</v>
      </c>
      <c r="C1501" s="37">
        <v>15</v>
      </c>
      <c r="D1501" s="38">
        <v>31</v>
      </c>
      <c r="E1501" s="39">
        <v>161</v>
      </c>
    </row>
    <row r="1502" spans="1:5" x14ac:dyDescent="0.35">
      <c r="A1502" s="40" t="s">
        <v>1590</v>
      </c>
      <c r="B1502" s="36">
        <v>161</v>
      </c>
      <c r="C1502" s="37">
        <v>27</v>
      </c>
      <c r="D1502" s="38">
        <v>16</v>
      </c>
      <c r="E1502" s="39">
        <v>160</v>
      </c>
    </row>
    <row r="1503" spans="1:5" x14ac:dyDescent="0.35">
      <c r="A1503" s="40" t="s">
        <v>1592</v>
      </c>
      <c r="B1503" s="36">
        <v>159</v>
      </c>
      <c r="C1503" s="37">
        <v>28</v>
      </c>
      <c r="D1503" s="38">
        <v>30</v>
      </c>
      <c r="E1503" s="39">
        <v>146</v>
      </c>
    </row>
    <row r="1504" spans="1:5" x14ac:dyDescent="0.35">
      <c r="A1504" s="40" t="s">
        <v>1594</v>
      </c>
      <c r="B1504" s="36">
        <v>146</v>
      </c>
      <c r="C1504" s="37">
        <v>13</v>
      </c>
      <c r="D1504" s="38">
        <v>11</v>
      </c>
      <c r="E1504" s="39">
        <v>169</v>
      </c>
    </row>
    <row r="1505" spans="1:5" x14ac:dyDescent="0.35">
      <c r="A1505" s="40" t="s">
        <v>1593</v>
      </c>
      <c r="B1505" s="36">
        <v>169</v>
      </c>
      <c r="C1505" s="37">
        <v>8</v>
      </c>
      <c r="D1505" s="38">
        <v>29</v>
      </c>
      <c r="E1505" s="39">
        <v>148</v>
      </c>
    </row>
    <row r="1506" spans="1:5" x14ac:dyDescent="0.35">
      <c r="A1506" s="40" t="s">
        <v>1596</v>
      </c>
      <c r="B1506" s="36">
        <v>148</v>
      </c>
      <c r="C1506" s="37">
        <v>75</v>
      </c>
      <c r="D1506" s="38">
        <v>42</v>
      </c>
      <c r="E1506" s="39">
        <v>182</v>
      </c>
    </row>
    <row r="1507" spans="1:5" x14ac:dyDescent="0.35">
      <c r="A1507" s="40" t="s">
        <v>1595</v>
      </c>
      <c r="B1507" s="36">
        <v>182</v>
      </c>
      <c r="C1507" s="37">
        <v>48</v>
      </c>
      <c r="D1507" s="38">
        <v>39</v>
      </c>
      <c r="E1507" s="39">
        <v>185</v>
      </c>
    </row>
    <row r="1508" spans="1:5" x14ac:dyDescent="0.35">
      <c r="A1508" s="40" t="s">
        <v>1597</v>
      </c>
      <c r="B1508" s="36">
        <v>185</v>
      </c>
      <c r="C1508" s="37">
        <v>4</v>
      </c>
      <c r="D1508" s="38">
        <v>24</v>
      </c>
      <c r="E1508" s="39">
        <v>156</v>
      </c>
    </row>
    <row r="1509" spans="1:5" x14ac:dyDescent="0.35">
      <c r="A1509" s="40" t="s">
        <v>1598</v>
      </c>
      <c r="B1509" s="36">
        <v>156</v>
      </c>
      <c r="C1509" s="37">
        <v>28</v>
      </c>
      <c r="D1509" s="38">
        <v>26</v>
      </c>
      <c r="E1509" s="39">
        <v>145</v>
      </c>
    </row>
    <row r="1510" spans="1:5" x14ac:dyDescent="0.35">
      <c r="A1510" s="40" t="s">
        <v>1599</v>
      </c>
      <c r="B1510" s="36">
        <v>145</v>
      </c>
      <c r="C1510" s="37">
        <v>19</v>
      </c>
      <c r="D1510" s="38">
        <v>26</v>
      </c>
      <c r="E1510" s="39">
        <v>154</v>
      </c>
    </row>
    <row r="1511" spans="1:5" x14ac:dyDescent="0.35">
      <c r="A1511" s="40" t="s">
        <v>1600</v>
      </c>
      <c r="B1511" s="36">
        <v>154</v>
      </c>
      <c r="C1511" s="37">
        <v>31</v>
      </c>
      <c r="D1511" s="38">
        <v>34</v>
      </c>
      <c r="E1511" s="39">
        <v>148</v>
      </c>
    </row>
    <row r="1512" spans="1:5" x14ac:dyDescent="0.35">
      <c r="A1512" s="40" t="s">
        <v>1601</v>
      </c>
      <c r="B1512" s="36">
        <v>148</v>
      </c>
      <c r="C1512" s="37">
        <v>12</v>
      </c>
      <c r="D1512" s="38">
        <v>21</v>
      </c>
      <c r="E1512" s="39">
        <v>135</v>
      </c>
    </row>
    <row r="1513" spans="1:5" x14ac:dyDescent="0.35">
      <c r="A1513" s="40" t="s">
        <v>1602</v>
      </c>
      <c r="B1513" s="36">
        <v>135</v>
      </c>
      <c r="C1513" s="37">
        <v>6</v>
      </c>
      <c r="D1513" s="38">
        <v>17</v>
      </c>
      <c r="E1513" s="39">
        <v>129</v>
      </c>
    </row>
    <row r="1514" spans="1:5" x14ac:dyDescent="0.35">
      <c r="A1514" s="40" t="s">
        <v>1604</v>
      </c>
      <c r="B1514" s="36">
        <v>129</v>
      </c>
      <c r="C1514" s="37">
        <v>18</v>
      </c>
      <c r="D1514" s="38">
        <v>43</v>
      </c>
      <c r="E1514" s="39">
        <v>103</v>
      </c>
    </row>
    <row r="1515" spans="1:5" x14ac:dyDescent="0.35">
      <c r="A1515" s="40" t="s">
        <v>1603</v>
      </c>
      <c r="B1515" s="36">
        <v>103</v>
      </c>
      <c r="C1515" s="37">
        <v>29</v>
      </c>
      <c r="D1515" s="38">
        <v>20</v>
      </c>
      <c r="E1515" s="39">
        <v>114</v>
      </c>
    </row>
    <row r="1516" spans="1:5" x14ac:dyDescent="0.35">
      <c r="A1516" s="40" t="s">
        <v>1606</v>
      </c>
      <c r="B1516" s="36">
        <v>114</v>
      </c>
      <c r="C1516" s="37">
        <v>15</v>
      </c>
      <c r="D1516" s="38">
        <v>11</v>
      </c>
      <c r="E1516" s="39">
        <v>120</v>
      </c>
    </row>
    <row r="1517" spans="1:5" x14ac:dyDescent="0.35">
      <c r="A1517" s="40" t="s">
        <v>1607</v>
      </c>
      <c r="B1517" s="36">
        <v>120</v>
      </c>
      <c r="C1517" s="37">
        <v>21</v>
      </c>
      <c r="D1517" s="38">
        <v>15</v>
      </c>
      <c r="E1517" s="39">
        <v>126</v>
      </c>
    </row>
    <row r="1518" spans="1:5" x14ac:dyDescent="0.35">
      <c r="A1518" s="40" t="s">
        <v>1608</v>
      </c>
      <c r="B1518" s="36">
        <v>120</v>
      </c>
      <c r="C1518" s="37">
        <v>18</v>
      </c>
      <c r="D1518" s="38">
        <v>22</v>
      </c>
      <c r="E1518" s="39">
        <v>148</v>
      </c>
    </row>
    <row r="1519" spans="1:5" x14ac:dyDescent="0.35">
      <c r="A1519" s="40" t="s">
        <v>1609</v>
      </c>
      <c r="B1519" s="36">
        <v>120</v>
      </c>
      <c r="C1519" s="37">
        <v>24</v>
      </c>
      <c r="D1519" s="38">
        <v>27</v>
      </c>
      <c r="E1519" s="39">
        <v>141</v>
      </c>
    </row>
    <row r="1520" spans="1:5" x14ac:dyDescent="0.35">
      <c r="A1520" s="40" t="s">
        <v>1618</v>
      </c>
      <c r="B1520" s="36">
        <v>141</v>
      </c>
      <c r="C1520" s="37">
        <v>23</v>
      </c>
      <c r="D1520" s="38">
        <v>22</v>
      </c>
      <c r="E1520" s="39">
        <v>139</v>
      </c>
    </row>
    <row r="1521" spans="1:5" x14ac:dyDescent="0.35">
      <c r="A1521" s="40" t="s">
        <v>1619</v>
      </c>
      <c r="B1521" s="36">
        <v>139</v>
      </c>
      <c r="C1521" s="37">
        <v>30</v>
      </c>
      <c r="D1521" s="38">
        <v>39</v>
      </c>
      <c r="E1521" s="39">
        <v>136</v>
      </c>
    </row>
    <row r="1522" spans="1:5" x14ac:dyDescent="0.35">
      <c r="A1522" s="40" t="s">
        <v>1621</v>
      </c>
      <c r="B1522" s="36">
        <v>136</v>
      </c>
      <c r="C1522" s="37">
        <v>40</v>
      </c>
      <c r="D1522" s="38">
        <v>39</v>
      </c>
      <c r="E1522" s="39">
        <v>129</v>
      </c>
    </row>
    <row r="1523" spans="1:5" x14ac:dyDescent="0.35">
      <c r="A1523" s="40" t="s">
        <v>1623</v>
      </c>
      <c r="B1523" s="36">
        <v>129</v>
      </c>
      <c r="C1523" s="37">
        <v>19</v>
      </c>
      <c r="D1523" s="38">
        <v>26</v>
      </c>
      <c r="E1523" s="39">
        <v>123</v>
      </c>
    </row>
    <row r="1524" spans="1:5" x14ac:dyDescent="0.35">
      <c r="A1524" s="40" t="s">
        <v>1622</v>
      </c>
      <c r="B1524" s="36">
        <v>123</v>
      </c>
      <c r="C1524" s="37">
        <v>19</v>
      </c>
      <c r="D1524" s="38">
        <v>25</v>
      </c>
      <c r="E1524" s="39">
        <v>120</v>
      </c>
    </row>
    <row r="1525" spans="1:5" x14ac:dyDescent="0.35">
      <c r="A1525" s="40" t="s">
        <v>1628</v>
      </c>
      <c r="B1525" s="36">
        <v>120</v>
      </c>
      <c r="C1525" s="37">
        <v>56</v>
      </c>
      <c r="D1525" s="38">
        <v>17</v>
      </c>
      <c r="E1525" s="39">
        <v>171</v>
      </c>
    </row>
    <row r="1526" spans="1:5" x14ac:dyDescent="0.35">
      <c r="A1526" s="40" t="s">
        <v>1629</v>
      </c>
      <c r="B1526" s="36">
        <v>171</v>
      </c>
      <c r="C1526" s="37">
        <v>28</v>
      </c>
      <c r="D1526" s="38">
        <v>86</v>
      </c>
      <c r="E1526" s="39">
        <v>90</v>
      </c>
    </row>
    <row r="1527" spans="1:5" x14ac:dyDescent="0.35">
      <c r="A1527" s="40" t="s">
        <v>1630</v>
      </c>
      <c r="B1527" s="36">
        <v>90</v>
      </c>
      <c r="C1527" s="37">
        <v>23</v>
      </c>
      <c r="D1527" s="38">
        <v>16</v>
      </c>
      <c r="E1527" s="39">
        <v>115</v>
      </c>
    </row>
    <row r="1528" spans="1:5" x14ac:dyDescent="0.35">
      <c r="A1528" s="40" t="s">
        <v>1631</v>
      </c>
      <c r="B1528" s="36">
        <v>115</v>
      </c>
      <c r="C1528" s="37">
        <v>33</v>
      </c>
      <c r="D1528" s="38">
        <v>28</v>
      </c>
      <c r="E1528" s="39">
        <v>120</v>
      </c>
    </row>
    <row r="1529" spans="1:5" x14ac:dyDescent="0.35">
      <c r="A1529" s="35" t="s">
        <v>1634</v>
      </c>
      <c r="B1529" s="36">
        <v>120</v>
      </c>
      <c r="C1529" s="37">
        <v>14</v>
      </c>
      <c r="D1529" s="38">
        <v>6</v>
      </c>
      <c r="E1529" s="39">
        <v>142</v>
      </c>
    </row>
    <row r="1530" spans="1:5" x14ac:dyDescent="0.35">
      <c r="A1530" s="35" t="s">
        <v>1638</v>
      </c>
      <c r="B1530" s="36">
        <v>142</v>
      </c>
      <c r="C1530" s="37">
        <v>20</v>
      </c>
      <c r="D1530" s="38">
        <v>33</v>
      </c>
      <c r="E1530" s="39">
        <v>110</v>
      </c>
    </row>
    <row r="1531" spans="1:5" x14ac:dyDescent="0.35">
      <c r="A1531" s="35" t="s">
        <v>1637</v>
      </c>
      <c r="B1531" s="36">
        <v>110</v>
      </c>
      <c r="C1531" s="37">
        <v>9</v>
      </c>
      <c r="D1531" s="38">
        <v>16</v>
      </c>
      <c r="E1531" s="39">
        <v>119</v>
      </c>
    </row>
    <row r="1532" spans="1:5" x14ac:dyDescent="0.35">
      <c r="A1532" s="35" t="s">
        <v>1639</v>
      </c>
      <c r="B1532" s="36">
        <v>119</v>
      </c>
      <c r="C1532" s="37">
        <v>23</v>
      </c>
      <c r="D1532" s="38">
        <v>12</v>
      </c>
      <c r="E1532" s="39">
        <v>129</v>
      </c>
    </row>
    <row r="1533" spans="1:5" x14ac:dyDescent="0.35">
      <c r="A1533" s="35" t="s">
        <v>1640</v>
      </c>
      <c r="B1533" s="36">
        <v>129</v>
      </c>
      <c r="C1533" s="37">
        <v>15</v>
      </c>
      <c r="D1533" s="38">
        <v>14</v>
      </c>
      <c r="E1533" s="39">
        <v>108</v>
      </c>
    </row>
    <row r="1534" spans="1:5" x14ac:dyDescent="0.35">
      <c r="A1534" s="35" t="s">
        <v>1651</v>
      </c>
      <c r="B1534" s="36">
        <v>108</v>
      </c>
      <c r="C1534" s="37">
        <v>29</v>
      </c>
      <c r="D1534" s="38">
        <v>15</v>
      </c>
      <c r="E1534" s="39">
        <v>140</v>
      </c>
    </row>
    <row r="1535" spans="1:5" x14ac:dyDescent="0.35">
      <c r="A1535" s="35" t="s">
        <v>1654</v>
      </c>
      <c r="B1535" s="36">
        <v>140</v>
      </c>
      <c r="C1535" s="37">
        <v>41</v>
      </c>
      <c r="D1535" s="38">
        <v>9</v>
      </c>
      <c r="E1535" s="39">
        <v>147</v>
      </c>
    </row>
    <row r="1536" spans="1:5" x14ac:dyDescent="0.35">
      <c r="A1536" s="35" t="s">
        <v>1655</v>
      </c>
      <c r="B1536" s="36">
        <v>147</v>
      </c>
      <c r="C1536" s="37">
        <v>45</v>
      </c>
      <c r="D1536" s="38">
        <v>43</v>
      </c>
      <c r="E1536" s="39">
        <v>149</v>
      </c>
    </row>
    <row r="1537" spans="1:5" x14ac:dyDescent="0.35">
      <c r="A1537" s="35" t="s">
        <v>1656</v>
      </c>
      <c r="B1537" s="36">
        <v>149</v>
      </c>
      <c r="C1537" s="37">
        <v>45</v>
      </c>
      <c r="D1537" s="38">
        <v>59</v>
      </c>
      <c r="E1537" s="39">
        <v>138</v>
      </c>
    </row>
    <row r="1538" spans="1:5" x14ac:dyDescent="0.35">
      <c r="A1538" s="35" t="s">
        <v>1657</v>
      </c>
      <c r="B1538" s="36">
        <v>138</v>
      </c>
      <c r="C1538" s="37">
        <v>55</v>
      </c>
      <c r="D1538" s="38">
        <v>64</v>
      </c>
      <c r="E1538" s="39">
        <v>137</v>
      </c>
    </row>
    <row r="1539" spans="1:5" x14ac:dyDescent="0.35">
      <c r="A1539" s="35" t="s">
        <v>1659</v>
      </c>
      <c r="B1539" s="36">
        <v>137</v>
      </c>
      <c r="C1539" s="37">
        <v>55</v>
      </c>
      <c r="D1539" s="38">
        <v>14</v>
      </c>
      <c r="E1539" s="39">
        <v>161</v>
      </c>
    </row>
    <row r="1540" spans="1:5" x14ac:dyDescent="0.35">
      <c r="A1540" s="35" t="s">
        <v>1658</v>
      </c>
      <c r="B1540" s="36">
        <v>161</v>
      </c>
      <c r="C1540" s="37">
        <v>17</v>
      </c>
      <c r="D1540" s="38">
        <v>50</v>
      </c>
      <c r="E1540" s="39">
        <v>115</v>
      </c>
    </row>
    <row r="1541" spans="1:5" x14ac:dyDescent="0.35">
      <c r="A1541" s="35" t="s">
        <v>1661</v>
      </c>
      <c r="B1541" s="36">
        <v>115</v>
      </c>
      <c r="C1541" s="37">
        <v>24</v>
      </c>
      <c r="D1541" s="38">
        <v>16</v>
      </c>
      <c r="E1541" s="39">
        <v>132</v>
      </c>
    </row>
    <row r="1542" spans="1:5" x14ac:dyDescent="0.35">
      <c r="A1542" s="35" t="s">
        <v>1660</v>
      </c>
      <c r="B1542" s="36">
        <v>132</v>
      </c>
      <c r="C1542" s="37">
        <v>70</v>
      </c>
      <c r="D1542" s="38">
        <v>9</v>
      </c>
      <c r="E1542" s="39">
        <v>194</v>
      </c>
    </row>
    <row r="1543" spans="1:5" x14ac:dyDescent="0.35">
      <c r="A1543" s="35" t="s">
        <v>1662</v>
      </c>
      <c r="B1543" s="36">
        <v>194</v>
      </c>
      <c r="C1543" s="37">
        <v>40</v>
      </c>
      <c r="D1543" s="38">
        <v>67</v>
      </c>
      <c r="E1543" s="39">
        <v>167</v>
      </c>
    </row>
    <row r="1544" spans="1:5" x14ac:dyDescent="0.35">
      <c r="A1544" s="35" t="s">
        <v>1664</v>
      </c>
      <c r="B1544" s="36">
        <v>167</v>
      </c>
      <c r="C1544" s="37">
        <v>19</v>
      </c>
      <c r="D1544" s="38">
        <v>25</v>
      </c>
      <c r="E1544" s="39">
        <v>177</v>
      </c>
    </row>
    <row r="1545" spans="1:5" x14ac:dyDescent="0.35">
      <c r="A1545" s="35" t="s">
        <v>1665</v>
      </c>
      <c r="B1545" s="36">
        <v>177</v>
      </c>
      <c r="C1545" s="37">
        <v>19</v>
      </c>
      <c r="D1545" s="38">
        <v>25</v>
      </c>
      <c r="E1545" s="39">
        <v>177</v>
      </c>
    </row>
    <row r="1546" spans="1:5" x14ac:dyDescent="0.35">
      <c r="A1546" s="35" t="s">
        <v>1666</v>
      </c>
      <c r="B1546" s="36">
        <v>177</v>
      </c>
      <c r="C1546" s="37">
        <v>56</v>
      </c>
      <c r="D1546" s="38">
        <v>32</v>
      </c>
      <c r="E1546" s="39">
        <v>175</v>
      </c>
    </row>
    <row r="1547" spans="1:5" x14ac:dyDescent="0.35">
      <c r="A1547" s="35" t="s">
        <v>1667</v>
      </c>
      <c r="B1547" s="36">
        <v>175</v>
      </c>
      <c r="C1547" s="37">
        <v>4</v>
      </c>
      <c r="D1547" s="38">
        <v>36</v>
      </c>
      <c r="E1547" s="39">
        <v>158</v>
      </c>
    </row>
    <row r="1548" spans="1:5" x14ac:dyDescent="0.35">
      <c r="A1548" s="35" t="s">
        <v>1668</v>
      </c>
      <c r="B1548" s="36">
        <v>158</v>
      </c>
      <c r="C1548" s="37">
        <v>15</v>
      </c>
      <c r="D1548" s="38">
        <v>25</v>
      </c>
      <c r="E1548" s="39">
        <v>154</v>
      </c>
    </row>
    <row r="1549" spans="1:5" x14ac:dyDescent="0.35">
      <c r="A1549" s="35" t="s">
        <v>1669</v>
      </c>
      <c r="B1549" s="36">
        <v>154</v>
      </c>
      <c r="C1549" s="37">
        <v>34</v>
      </c>
      <c r="D1549" s="38">
        <v>40</v>
      </c>
      <c r="E1549" s="39">
        <v>142</v>
      </c>
    </row>
    <row r="1550" spans="1:5" x14ac:dyDescent="0.35">
      <c r="A1550" s="35" t="s">
        <v>1671</v>
      </c>
      <c r="B1550" s="36">
        <v>142</v>
      </c>
      <c r="C1550" s="37">
        <v>22</v>
      </c>
      <c r="D1550" s="38">
        <v>9</v>
      </c>
      <c r="E1550" s="39">
        <v>154</v>
      </c>
    </row>
    <row r="1551" spans="1:5" x14ac:dyDescent="0.35">
      <c r="A1551" s="35" t="s">
        <v>1670</v>
      </c>
      <c r="B1551" s="36">
        <v>154</v>
      </c>
      <c r="C1551" s="37">
        <v>43</v>
      </c>
      <c r="D1551" s="38">
        <v>24</v>
      </c>
      <c r="E1551" s="39">
        <v>173</v>
      </c>
    </row>
    <row r="1552" spans="1:5" x14ac:dyDescent="0.35">
      <c r="A1552" s="35" t="s">
        <v>1672</v>
      </c>
      <c r="B1552" s="36">
        <v>173</v>
      </c>
      <c r="C1552" s="37">
        <v>2</v>
      </c>
      <c r="D1552" s="38">
        <v>41</v>
      </c>
      <c r="E1552" s="39">
        <v>142</v>
      </c>
    </row>
    <row r="1553" spans="1:5" x14ac:dyDescent="0.35">
      <c r="A1553" s="35" t="s">
        <v>1673</v>
      </c>
      <c r="B1553" s="36">
        <v>142</v>
      </c>
      <c r="C1553" s="37">
        <v>19</v>
      </c>
      <c r="D1553" s="38">
        <v>4</v>
      </c>
      <c r="E1553" s="39">
        <v>172</v>
      </c>
    </row>
    <row r="1554" spans="1:5" x14ac:dyDescent="0.35">
      <c r="A1554" s="35" t="s">
        <v>1674</v>
      </c>
      <c r="B1554" s="36">
        <v>172</v>
      </c>
      <c r="C1554" s="37"/>
      <c r="D1554" s="38">
        <v>18</v>
      </c>
      <c r="E1554" s="39">
        <v>183</v>
      </c>
    </row>
    <row r="1555" spans="1:5" x14ac:dyDescent="0.35">
      <c r="A1555" s="35" t="s">
        <v>1675</v>
      </c>
      <c r="B1555" s="36">
        <v>183</v>
      </c>
      <c r="C1555" s="37">
        <v>11</v>
      </c>
      <c r="D1555" s="38">
        <v>29</v>
      </c>
      <c r="E1555" s="39">
        <v>172</v>
      </c>
    </row>
    <row r="1556" spans="1:5" x14ac:dyDescent="0.35">
      <c r="A1556" s="35" t="s">
        <v>1676</v>
      </c>
      <c r="B1556" s="36">
        <v>172</v>
      </c>
      <c r="C1556" s="37">
        <v>15</v>
      </c>
      <c r="D1556" s="38">
        <v>50</v>
      </c>
      <c r="E1556" s="39">
        <v>128</v>
      </c>
    </row>
    <row r="1557" spans="1:5" x14ac:dyDescent="0.35">
      <c r="A1557" s="35" t="s">
        <v>1677</v>
      </c>
      <c r="B1557" s="36">
        <v>128</v>
      </c>
      <c r="C1557" s="37">
        <v>41</v>
      </c>
      <c r="D1557" s="38">
        <v>47</v>
      </c>
      <c r="E1557" s="39">
        <v>125</v>
      </c>
    </row>
    <row r="1558" spans="1:5" x14ac:dyDescent="0.35">
      <c r="A1558" s="35" t="s">
        <v>1681</v>
      </c>
      <c r="B1558" s="36">
        <v>125</v>
      </c>
      <c r="C1558" s="37">
        <v>19</v>
      </c>
      <c r="D1558" s="38">
        <v>29</v>
      </c>
      <c r="E1558" s="39">
        <v>120</v>
      </c>
    </row>
    <row r="1559" spans="1:5" x14ac:dyDescent="0.35">
      <c r="A1559" s="35" t="s">
        <v>1682</v>
      </c>
      <c r="B1559" s="36">
        <v>120</v>
      </c>
      <c r="C1559" s="37">
        <v>22</v>
      </c>
      <c r="D1559" s="38">
        <v>24</v>
      </c>
      <c r="E1559" s="39">
        <v>96</v>
      </c>
    </row>
    <row r="1560" spans="1:5" x14ac:dyDescent="0.35">
      <c r="A1560" s="35" t="s">
        <v>1683</v>
      </c>
      <c r="B1560" s="36">
        <v>96</v>
      </c>
      <c r="C1560" s="37">
        <v>32</v>
      </c>
      <c r="D1560" s="38">
        <v>3</v>
      </c>
      <c r="E1560" s="39">
        <v>126</v>
      </c>
    </row>
    <row r="1561" spans="1:5" x14ac:dyDescent="0.35">
      <c r="A1561" s="35" t="s">
        <v>1685</v>
      </c>
      <c r="B1561" s="36">
        <v>126</v>
      </c>
      <c r="C1561" s="37">
        <v>23</v>
      </c>
      <c r="D1561" s="38">
        <v>1</v>
      </c>
      <c r="E1561" s="39">
        <v>150</v>
      </c>
    </row>
    <row r="1562" spans="1:5" x14ac:dyDescent="0.35">
      <c r="A1562" s="35" t="s">
        <v>1687</v>
      </c>
      <c r="B1562" s="36">
        <v>150</v>
      </c>
      <c r="C1562" s="37">
        <v>5</v>
      </c>
      <c r="D1562" s="38">
        <v>34</v>
      </c>
      <c r="E1562" s="39">
        <v>121</v>
      </c>
    </row>
    <row r="1563" spans="1:5" x14ac:dyDescent="0.35">
      <c r="A1563" s="35" t="s">
        <v>1689</v>
      </c>
      <c r="B1563" s="36">
        <v>121</v>
      </c>
      <c r="C1563" s="37">
        <v>29</v>
      </c>
      <c r="D1563" s="38">
        <v>2</v>
      </c>
      <c r="E1563" s="39">
        <v>160</v>
      </c>
    </row>
    <row r="1564" spans="1:5" x14ac:dyDescent="0.35">
      <c r="A1564" s="35" t="s">
        <v>1690</v>
      </c>
      <c r="B1564" s="36">
        <v>160</v>
      </c>
      <c r="C1564" s="37">
        <v>2</v>
      </c>
      <c r="D1564" s="38">
        <v>49</v>
      </c>
      <c r="E1564" s="39">
        <v>131</v>
      </c>
    </row>
    <row r="1565" spans="1:5" x14ac:dyDescent="0.35">
      <c r="A1565" s="35" t="s">
        <v>1692</v>
      </c>
      <c r="B1565" s="36">
        <v>131</v>
      </c>
      <c r="C1565" s="37">
        <v>13</v>
      </c>
      <c r="D1565" s="38">
        <v>2</v>
      </c>
      <c r="E1565" s="39">
        <v>149</v>
      </c>
    </row>
    <row r="1566" spans="1:5" x14ac:dyDescent="0.35">
      <c r="A1566" s="35" t="s">
        <v>1693</v>
      </c>
      <c r="B1566" s="36">
        <v>149</v>
      </c>
      <c r="C1566" s="37">
        <v>12</v>
      </c>
      <c r="D1566" s="38">
        <v>28</v>
      </c>
      <c r="E1566" s="39">
        <v>124</v>
      </c>
    </row>
    <row r="1567" spans="1:5" x14ac:dyDescent="0.35">
      <c r="A1567" s="40" t="s">
        <v>1694</v>
      </c>
      <c r="B1567" s="36">
        <v>124</v>
      </c>
      <c r="C1567" s="37">
        <v>17</v>
      </c>
      <c r="D1567" s="38">
        <v>12</v>
      </c>
      <c r="E1567" s="39">
        <v>139</v>
      </c>
    </row>
    <row r="1568" spans="1:5" x14ac:dyDescent="0.35">
      <c r="A1568" s="40" t="s">
        <v>1695</v>
      </c>
      <c r="B1568" s="36">
        <v>139</v>
      </c>
      <c r="C1568" s="37">
        <v>37</v>
      </c>
      <c r="D1568" s="38">
        <v>12</v>
      </c>
      <c r="E1568" s="39">
        <v>154</v>
      </c>
    </row>
    <row r="1569" spans="1:5" x14ac:dyDescent="0.35">
      <c r="A1569" s="40" t="s">
        <v>1696</v>
      </c>
      <c r="B1569" s="36">
        <v>154</v>
      </c>
      <c r="C1569" s="37">
        <v>21</v>
      </c>
      <c r="D1569" s="38">
        <v>5</v>
      </c>
      <c r="E1569" s="39">
        <v>178</v>
      </c>
    </row>
    <row r="1570" spans="1:5" x14ac:dyDescent="0.35">
      <c r="A1570" s="40" t="s">
        <v>1697</v>
      </c>
      <c r="B1570" s="36">
        <v>178</v>
      </c>
      <c r="C1570" s="37">
        <v>27</v>
      </c>
      <c r="D1570" s="38">
        <v>45</v>
      </c>
      <c r="E1570" s="39">
        <v>121</v>
      </c>
    </row>
    <row r="1571" spans="1:5" x14ac:dyDescent="0.35">
      <c r="A1571" s="40" t="s">
        <v>1698</v>
      </c>
      <c r="B1571" s="36">
        <v>121</v>
      </c>
      <c r="C1571" s="37">
        <v>45</v>
      </c>
      <c r="D1571" s="38">
        <v>7</v>
      </c>
      <c r="E1571" s="39">
        <v>143</v>
      </c>
    </row>
    <row r="1572" spans="1:5" x14ac:dyDescent="0.35">
      <c r="A1572" s="40" t="s">
        <v>1699</v>
      </c>
      <c r="B1572" s="36">
        <v>143</v>
      </c>
      <c r="C1572" s="37">
        <v>20</v>
      </c>
      <c r="D1572" s="38">
        <v>33</v>
      </c>
      <c r="E1572" s="39">
        <v>138</v>
      </c>
    </row>
    <row r="1573" spans="1:5" x14ac:dyDescent="0.35">
      <c r="A1573" s="40" t="s">
        <v>1700</v>
      </c>
      <c r="B1573" s="36">
        <v>138</v>
      </c>
      <c r="C1573" s="37">
        <v>27</v>
      </c>
      <c r="D1573" s="38">
        <v>39</v>
      </c>
      <c r="E1573" s="39">
        <v>126</v>
      </c>
    </row>
    <row r="1574" spans="1:5" x14ac:dyDescent="0.35">
      <c r="A1574" s="40" t="s">
        <v>1701</v>
      </c>
      <c r="B1574" s="36">
        <v>126</v>
      </c>
      <c r="C1574" s="37">
        <v>59</v>
      </c>
      <c r="D1574" s="38">
        <v>21</v>
      </c>
      <c r="E1574" s="39">
        <v>166</v>
      </c>
    </row>
    <row r="1575" spans="1:5" x14ac:dyDescent="0.35">
      <c r="A1575" s="40" t="s">
        <v>1702</v>
      </c>
      <c r="B1575" s="36">
        <v>166</v>
      </c>
      <c r="C1575" s="37">
        <v>24</v>
      </c>
      <c r="D1575" s="38">
        <v>43</v>
      </c>
      <c r="E1575" s="39">
        <v>146</v>
      </c>
    </row>
    <row r="1576" spans="1:5" x14ac:dyDescent="0.35">
      <c r="A1576" s="40" t="s">
        <v>1703</v>
      </c>
      <c r="B1576" s="36">
        <v>146</v>
      </c>
      <c r="C1576" s="37">
        <v>11</v>
      </c>
      <c r="D1576" s="38">
        <v>33</v>
      </c>
      <c r="E1576" s="39">
        <v>109</v>
      </c>
    </row>
    <row r="1577" spans="1:5" x14ac:dyDescent="0.35">
      <c r="A1577" s="40" t="s">
        <v>1715</v>
      </c>
      <c r="B1577" s="36">
        <v>109</v>
      </c>
      <c r="C1577" s="37">
        <v>2</v>
      </c>
      <c r="D1577" s="38">
        <v>32</v>
      </c>
      <c r="E1577" s="39">
        <v>112</v>
      </c>
    </row>
    <row r="1578" spans="1:5" x14ac:dyDescent="0.35">
      <c r="A1578" s="40" t="s">
        <v>1716</v>
      </c>
      <c r="B1578" s="36">
        <v>112</v>
      </c>
      <c r="C1578" s="37">
        <v>19</v>
      </c>
      <c r="D1578" s="38">
        <v>10</v>
      </c>
      <c r="E1578" s="39">
        <v>89</v>
      </c>
    </row>
    <row r="1579" spans="1:5" x14ac:dyDescent="0.35">
      <c r="A1579" s="40" t="s">
        <v>1717</v>
      </c>
      <c r="B1579" s="36">
        <v>89</v>
      </c>
      <c r="C1579" s="37">
        <v>20</v>
      </c>
      <c r="D1579" s="38">
        <v>14</v>
      </c>
      <c r="E1579" s="39">
        <v>101</v>
      </c>
    </row>
    <row r="1580" spans="1:5" x14ac:dyDescent="0.35">
      <c r="A1580" s="40" t="s">
        <v>1718</v>
      </c>
      <c r="B1580" s="36">
        <v>101</v>
      </c>
      <c r="C1580" s="37">
        <v>43</v>
      </c>
      <c r="D1580" s="38">
        <v>27</v>
      </c>
      <c r="E1580" s="39">
        <v>120</v>
      </c>
    </row>
    <row r="1581" spans="1:5" x14ac:dyDescent="0.35">
      <c r="A1581" s="40" t="s">
        <v>1719</v>
      </c>
      <c r="B1581" s="36">
        <v>120</v>
      </c>
      <c r="C1581" s="37">
        <v>19</v>
      </c>
      <c r="D1581" s="38">
        <v>4</v>
      </c>
      <c r="E1581" s="39">
        <v>99</v>
      </c>
    </row>
    <row r="1582" spans="1:5" x14ac:dyDescent="0.35">
      <c r="A1582" s="40" t="s">
        <v>1720</v>
      </c>
      <c r="B1582" s="36">
        <v>99</v>
      </c>
      <c r="C1582" s="37">
        <v>11</v>
      </c>
      <c r="D1582" s="38">
        <v>36</v>
      </c>
      <c r="E1582" s="39">
        <v>86</v>
      </c>
    </row>
    <row r="1583" spans="1:5" x14ac:dyDescent="0.35">
      <c r="A1583" s="40" t="s">
        <v>1721</v>
      </c>
      <c r="B1583" s="36">
        <v>86</v>
      </c>
      <c r="C1583" s="37">
        <v>27</v>
      </c>
      <c r="D1583" s="38">
        <v>35</v>
      </c>
      <c r="E1583" s="39">
        <v>78</v>
      </c>
    </row>
    <row r="1584" spans="1:5" x14ac:dyDescent="0.35">
      <c r="A1584" s="40" t="s">
        <v>1722</v>
      </c>
      <c r="B1584" s="36">
        <v>78</v>
      </c>
      <c r="C1584" s="37">
        <v>7</v>
      </c>
      <c r="D1584" s="38">
        <v>23</v>
      </c>
      <c r="E1584" s="39">
        <v>60</v>
      </c>
    </row>
    <row r="1585" spans="1:5" x14ac:dyDescent="0.35">
      <c r="A1585" s="40" t="s">
        <v>1723</v>
      </c>
      <c r="B1585" s="36">
        <v>60</v>
      </c>
      <c r="C1585" s="37">
        <v>28</v>
      </c>
      <c r="D1585" s="38">
        <v>11</v>
      </c>
      <c r="E1585" s="39">
        <v>79</v>
      </c>
    </row>
    <row r="1586" spans="1:5" x14ac:dyDescent="0.35">
      <c r="A1586" s="40" t="s">
        <v>1735</v>
      </c>
      <c r="B1586" s="36">
        <v>79</v>
      </c>
      <c r="C1586" s="37">
        <v>9</v>
      </c>
      <c r="D1586" s="38">
        <v>35</v>
      </c>
      <c r="E1586" s="39">
        <v>47</v>
      </c>
    </row>
    <row r="1587" spans="1:5" x14ac:dyDescent="0.35">
      <c r="A1587" s="40" t="s">
        <v>1737</v>
      </c>
      <c r="B1587" s="36">
        <v>47</v>
      </c>
      <c r="C1587" s="37">
        <v>44</v>
      </c>
      <c r="D1587" s="38">
        <v>0</v>
      </c>
      <c r="E1587" s="39">
        <v>135</v>
      </c>
    </row>
    <row r="1588" spans="1:5" x14ac:dyDescent="0.35">
      <c r="A1588" s="40" t="s">
        <v>1736</v>
      </c>
      <c r="B1588" s="36">
        <v>135</v>
      </c>
      <c r="C1588" s="37">
        <v>4</v>
      </c>
      <c r="D1588" s="38">
        <v>25</v>
      </c>
      <c r="E1588" s="39">
        <v>108</v>
      </c>
    </row>
    <row r="1589" spans="1:5" x14ac:dyDescent="0.35">
      <c r="A1589" s="40" t="s">
        <v>1738</v>
      </c>
      <c r="B1589" s="36">
        <v>108</v>
      </c>
      <c r="C1589" s="37">
        <v>5</v>
      </c>
      <c r="D1589" s="38">
        <v>21</v>
      </c>
      <c r="E1589" s="39">
        <v>89</v>
      </c>
    </row>
    <row r="1590" spans="1:5" x14ac:dyDescent="0.35">
      <c r="A1590" s="40" t="s">
        <v>1755</v>
      </c>
      <c r="B1590" s="36">
        <v>89</v>
      </c>
      <c r="C1590" s="37">
        <v>22</v>
      </c>
      <c r="D1590" s="38">
        <v>13</v>
      </c>
      <c r="E1590" s="39">
        <v>103</v>
      </c>
    </row>
    <row r="1591" spans="1:5" x14ac:dyDescent="0.35">
      <c r="A1591" s="40" t="s">
        <v>1756</v>
      </c>
      <c r="B1591" s="36">
        <v>103</v>
      </c>
      <c r="C1591" s="37">
        <v>31</v>
      </c>
      <c r="D1591" s="38">
        <v>2</v>
      </c>
      <c r="E1591" s="39">
        <v>119</v>
      </c>
    </row>
    <row r="1592" spans="1:5" x14ac:dyDescent="0.35">
      <c r="A1592" s="40" t="s">
        <v>1757</v>
      </c>
      <c r="B1592" s="36">
        <v>119</v>
      </c>
      <c r="C1592" s="37">
        <v>12</v>
      </c>
      <c r="D1592" s="38">
        <v>16</v>
      </c>
      <c r="E1592" s="39">
        <v>123</v>
      </c>
    </row>
    <row r="1593" spans="1:5" x14ac:dyDescent="0.35">
      <c r="A1593" s="40" t="s">
        <v>1758</v>
      </c>
      <c r="B1593" s="36">
        <v>123</v>
      </c>
      <c r="C1593" s="37">
        <v>42</v>
      </c>
      <c r="D1593" s="38">
        <v>44</v>
      </c>
      <c r="E1593" s="39">
        <v>100</v>
      </c>
    </row>
    <row r="1594" spans="1:5" x14ac:dyDescent="0.35">
      <c r="A1594" s="40" t="s">
        <v>1759</v>
      </c>
      <c r="B1594" s="36">
        <v>100</v>
      </c>
      <c r="C1594" s="37">
        <v>3</v>
      </c>
      <c r="D1594" s="38">
        <v>0</v>
      </c>
      <c r="E1594" s="39">
        <v>103</v>
      </c>
    </row>
    <row r="1595" spans="1:5" x14ac:dyDescent="0.35">
      <c r="A1595" s="40" t="s">
        <v>1760</v>
      </c>
      <c r="B1595" s="36">
        <v>103</v>
      </c>
      <c r="C1595" s="37">
        <v>14</v>
      </c>
      <c r="D1595" s="38">
        <v>8</v>
      </c>
      <c r="E1595" s="39">
        <v>109</v>
      </c>
    </row>
    <row r="1596" spans="1:5" x14ac:dyDescent="0.35">
      <c r="A1596" s="40" t="s">
        <v>1761</v>
      </c>
      <c r="B1596" s="36">
        <v>109</v>
      </c>
      <c r="C1596" s="37">
        <v>23</v>
      </c>
      <c r="D1596" s="38">
        <v>23</v>
      </c>
      <c r="E1596" s="39">
        <v>96</v>
      </c>
    </row>
    <row r="1597" spans="1:5" x14ac:dyDescent="0.35">
      <c r="A1597" s="40" t="s">
        <v>1762</v>
      </c>
      <c r="B1597" s="36">
        <v>96</v>
      </c>
      <c r="C1597" s="37">
        <v>5</v>
      </c>
      <c r="D1597" s="38">
        <v>21</v>
      </c>
      <c r="E1597" s="39">
        <v>82</v>
      </c>
    </row>
    <row r="1598" spans="1:5" x14ac:dyDescent="0.35">
      <c r="A1598" s="40" t="s">
        <v>1766</v>
      </c>
      <c r="B1598" s="36">
        <v>82</v>
      </c>
      <c r="C1598" s="37">
        <v>9</v>
      </c>
      <c r="D1598" s="38">
        <v>24</v>
      </c>
      <c r="E1598" s="39">
        <v>58</v>
      </c>
    </row>
    <row r="1599" spans="1:5" x14ac:dyDescent="0.35">
      <c r="A1599" s="40" t="s">
        <v>1767</v>
      </c>
      <c r="B1599" s="36">
        <v>58</v>
      </c>
      <c r="C1599" s="37">
        <v>22</v>
      </c>
      <c r="D1599" s="38">
        <v>7</v>
      </c>
      <c r="E1599" s="39">
        <v>73</v>
      </c>
    </row>
    <row r="1600" spans="1:5" x14ac:dyDescent="0.35">
      <c r="A1600" s="40" t="s">
        <v>1771</v>
      </c>
      <c r="B1600" s="36">
        <v>73</v>
      </c>
      <c r="C1600" s="37">
        <v>25</v>
      </c>
      <c r="D1600" s="38">
        <v>5</v>
      </c>
      <c r="E1600" s="39">
        <v>93</v>
      </c>
    </row>
    <row r="1601" spans="1:5" x14ac:dyDescent="0.35">
      <c r="A1601" s="40" t="s">
        <v>1772</v>
      </c>
      <c r="B1601" s="36">
        <v>93</v>
      </c>
      <c r="C1601" s="37">
        <v>22</v>
      </c>
      <c r="D1601" s="38">
        <v>7</v>
      </c>
      <c r="E1601" s="39">
        <v>98</v>
      </c>
    </row>
    <row r="1602" spans="1:5" x14ac:dyDescent="0.35">
      <c r="A1602" s="40" t="s">
        <v>1790</v>
      </c>
      <c r="B1602" s="36">
        <v>98</v>
      </c>
      <c r="C1602" s="37">
        <v>21</v>
      </c>
      <c r="D1602" s="38">
        <v>12</v>
      </c>
      <c r="E1602" s="39">
        <v>104</v>
      </c>
    </row>
    <row r="1603" spans="1:5" x14ac:dyDescent="0.35">
      <c r="A1603" s="40" t="s">
        <v>1791</v>
      </c>
      <c r="B1603" s="36">
        <v>104</v>
      </c>
      <c r="C1603" s="37">
        <v>11</v>
      </c>
      <c r="D1603" s="38">
        <v>18</v>
      </c>
      <c r="E1603" s="39">
        <v>96</v>
      </c>
    </row>
    <row r="1604" spans="1:5" x14ac:dyDescent="0.35">
      <c r="A1604" s="40" t="s">
        <v>1792</v>
      </c>
      <c r="B1604" s="36">
        <v>96</v>
      </c>
      <c r="C1604" s="37">
        <v>145</v>
      </c>
      <c r="D1604" s="38">
        <v>33</v>
      </c>
      <c r="E1604" s="39">
        <v>224</v>
      </c>
    </row>
    <row r="1605" spans="1:5" x14ac:dyDescent="0.35">
      <c r="A1605" s="40" t="s">
        <v>1789</v>
      </c>
      <c r="B1605" s="36">
        <v>224</v>
      </c>
      <c r="C1605" s="37">
        <v>53</v>
      </c>
      <c r="D1605" s="38">
        <v>142</v>
      </c>
      <c r="E1605" s="39">
        <v>146</v>
      </c>
    </row>
    <row r="1606" spans="1:5" x14ac:dyDescent="0.35">
      <c r="A1606" s="40" t="s">
        <v>1801</v>
      </c>
      <c r="B1606" s="36">
        <v>146</v>
      </c>
      <c r="C1606" s="37">
        <v>17</v>
      </c>
      <c r="D1606" s="38">
        <v>16</v>
      </c>
      <c r="E1606" s="39">
        <v>145</v>
      </c>
    </row>
    <row r="1607" spans="1:5" x14ac:dyDescent="0.35">
      <c r="A1607" s="40" t="s">
        <v>1802</v>
      </c>
      <c r="B1607" s="36">
        <v>145</v>
      </c>
      <c r="C1607" s="37">
        <v>21</v>
      </c>
      <c r="D1607" s="38">
        <v>25</v>
      </c>
      <c r="E1607" s="39">
        <v>131</v>
      </c>
    </row>
    <row r="1608" spans="1:5" x14ac:dyDescent="0.35">
      <c r="A1608" s="40" t="s">
        <v>1819</v>
      </c>
      <c r="B1608" s="36">
        <v>129</v>
      </c>
      <c r="C1608" s="37">
        <v>102</v>
      </c>
      <c r="D1608" s="38">
        <v>35</v>
      </c>
      <c r="E1608" s="39">
        <v>190</v>
      </c>
    </row>
    <row r="1609" spans="1:5" x14ac:dyDescent="0.35">
      <c r="A1609" s="40" t="s">
        <v>1827</v>
      </c>
      <c r="B1609" s="36">
        <v>190</v>
      </c>
      <c r="C1609" s="37">
        <v>16</v>
      </c>
      <c r="D1609" s="38">
        <v>80</v>
      </c>
      <c r="E1609" s="39">
        <v>107</v>
      </c>
    </row>
    <row r="1610" spans="1:5" x14ac:dyDescent="0.35">
      <c r="A1610" s="40" t="s">
        <v>1846</v>
      </c>
      <c r="B1610" s="36">
        <v>107</v>
      </c>
      <c r="C1610" s="37">
        <v>33</v>
      </c>
      <c r="D1610" s="38">
        <v>26</v>
      </c>
      <c r="E1610" s="39">
        <v>113</v>
      </c>
    </row>
    <row r="1611" spans="1:5" x14ac:dyDescent="0.35">
      <c r="A1611" s="40" t="s">
        <v>1847</v>
      </c>
      <c r="B1611" s="36">
        <v>113</v>
      </c>
      <c r="C1611" s="37">
        <v>40</v>
      </c>
      <c r="D1611" s="38">
        <v>23</v>
      </c>
      <c r="E1611" s="39">
        <v>132</v>
      </c>
    </row>
    <row r="1612" spans="1:5" x14ac:dyDescent="0.35">
      <c r="A1612" s="40" t="s">
        <v>1887</v>
      </c>
      <c r="B1612" s="36">
        <v>132</v>
      </c>
      <c r="C1612" s="37">
        <v>15</v>
      </c>
      <c r="D1612" s="38">
        <v>13</v>
      </c>
      <c r="E1612" s="39">
        <v>156</v>
      </c>
    </row>
    <row r="1613" spans="1:5" x14ac:dyDescent="0.35">
      <c r="A1613" s="40" t="s">
        <v>1886</v>
      </c>
      <c r="B1613" s="36">
        <v>156</v>
      </c>
      <c r="C1613" s="37">
        <v>8</v>
      </c>
      <c r="D1613" s="38">
        <v>6</v>
      </c>
      <c r="E1613" s="39">
        <v>150</v>
      </c>
    </row>
    <row r="1614" spans="1:5" x14ac:dyDescent="0.35">
      <c r="A1614" s="40" t="s">
        <v>1926</v>
      </c>
      <c r="B1614" s="36">
        <v>150</v>
      </c>
      <c r="C1614" s="37">
        <v>2</v>
      </c>
      <c r="D1614" s="38">
        <v>37</v>
      </c>
      <c r="E1614" s="39">
        <v>98</v>
      </c>
    </row>
    <row r="1615" spans="1:5" x14ac:dyDescent="0.35">
      <c r="A1615" s="40" t="s">
        <v>1927</v>
      </c>
      <c r="B1615" s="36">
        <v>98</v>
      </c>
      <c r="C1615" s="37">
        <v>9</v>
      </c>
      <c r="D1615" s="38">
        <v>5</v>
      </c>
      <c r="E1615" s="39">
        <v>116</v>
      </c>
    </row>
    <row r="1616" spans="1:5" x14ac:dyDescent="0.35">
      <c r="A1616" s="40" t="s">
        <v>1928</v>
      </c>
      <c r="B1616" s="36">
        <v>156</v>
      </c>
      <c r="C1616" s="37">
        <v>22</v>
      </c>
      <c r="D1616" s="38">
        <v>31</v>
      </c>
      <c r="E1616" s="39">
        <v>150</v>
      </c>
    </row>
    <row r="1617" spans="1:5" x14ac:dyDescent="0.35">
      <c r="A1617" s="40" t="s">
        <v>1949</v>
      </c>
      <c r="B1617" s="36">
        <v>150</v>
      </c>
      <c r="C1617" s="37">
        <v>22</v>
      </c>
      <c r="D1617" s="38">
        <v>22</v>
      </c>
      <c r="E1617" s="39">
        <v>127</v>
      </c>
    </row>
    <row r="1618" spans="1:5" x14ac:dyDescent="0.35">
      <c r="A1618" s="40" t="s">
        <v>1950</v>
      </c>
      <c r="B1618" s="36">
        <v>127</v>
      </c>
      <c r="C1618" s="37">
        <v>21</v>
      </c>
      <c r="D1618" s="38">
        <v>13</v>
      </c>
      <c r="E1618" s="39">
        <v>113</v>
      </c>
    </row>
    <row r="1619" spans="1:5" x14ac:dyDescent="0.35">
      <c r="A1619" s="40" t="s">
        <v>1951</v>
      </c>
      <c r="B1619" s="36">
        <v>113</v>
      </c>
      <c r="C1619" s="37">
        <v>21</v>
      </c>
      <c r="D1619" s="38">
        <v>25</v>
      </c>
      <c r="E1619" s="39">
        <v>100</v>
      </c>
    </row>
    <row r="1620" spans="1:5" x14ac:dyDescent="0.35">
      <c r="A1620" s="40" t="s">
        <v>1965</v>
      </c>
      <c r="B1620" s="36">
        <v>100</v>
      </c>
      <c r="C1620" s="37">
        <v>17</v>
      </c>
      <c r="D1620" s="38">
        <v>30</v>
      </c>
      <c r="E1620" s="39">
        <v>81</v>
      </c>
    </row>
    <row r="1621" spans="1:5" x14ac:dyDescent="0.35">
      <c r="A1621" s="40" t="s">
        <v>2044</v>
      </c>
      <c r="B1621" s="36">
        <v>81</v>
      </c>
      <c r="C1621" s="37">
        <v>37</v>
      </c>
      <c r="D1621" s="38">
        <v>26</v>
      </c>
      <c r="E1621" s="39">
        <v>90</v>
      </c>
    </row>
    <row r="1622" spans="1:5" x14ac:dyDescent="0.35">
      <c r="A1622" s="40" t="s">
        <v>2045</v>
      </c>
      <c r="B1622" s="36">
        <v>90</v>
      </c>
      <c r="C1622" s="37">
        <v>7</v>
      </c>
      <c r="D1622" s="38">
        <v>20</v>
      </c>
      <c r="E1622" s="39">
        <v>84</v>
      </c>
    </row>
    <row r="1623" spans="1:5" x14ac:dyDescent="0.35">
      <c r="A1623" s="40" t="s">
        <v>2046</v>
      </c>
      <c r="B1623" s="36">
        <v>84</v>
      </c>
      <c r="C1623" s="37">
        <v>0</v>
      </c>
      <c r="D1623" s="38">
        <v>4</v>
      </c>
      <c r="E1623" s="39">
        <v>80</v>
      </c>
    </row>
    <row r="1624" spans="1:5" x14ac:dyDescent="0.35">
      <c r="A1624" s="40" t="s">
        <v>2097</v>
      </c>
      <c r="B1624" s="36">
        <v>80</v>
      </c>
      <c r="C1624" s="37">
        <v>31</v>
      </c>
      <c r="D1624" s="38">
        <v>31</v>
      </c>
      <c r="E1624" s="39">
        <v>80</v>
      </c>
    </row>
    <row r="1625" spans="1:5" x14ac:dyDescent="0.35">
      <c r="A1625" s="35" t="s">
        <v>2189</v>
      </c>
      <c r="B1625" s="36">
        <v>80</v>
      </c>
      <c r="C1625" s="37">
        <v>48</v>
      </c>
      <c r="D1625" s="38">
        <v>17</v>
      </c>
      <c r="E1625" s="39">
        <v>111</v>
      </c>
    </row>
    <row r="1626" spans="1:5" x14ac:dyDescent="0.35">
      <c r="A1626" s="35" t="s">
        <v>2188</v>
      </c>
      <c r="B1626" s="36">
        <v>111</v>
      </c>
      <c r="C1626" s="37">
        <v>80</v>
      </c>
      <c r="D1626" s="38">
        <v>15</v>
      </c>
      <c r="E1626" s="39">
        <v>151</v>
      </c>
    </row>
    <row r="1627" spans="1:5" x14ac:dyDescent="0.35">
      <c r="A1627" s="35" t="s">
        <v>2254</v>
      </c>
      <c r="B1627" s="36">
        <v>151</v>
      </c>
      <c r="C1627" s="37">
        <v>80</v>
      </c>
      <c r="D1627" s="38">
        <v>15</v>
      </c>
      <c r="E1627" s="39">
        <v>117</v>
      </c>
    </row>
    <row r="1628" spans="1:5" x14ac:dyDescent="0.35">
      <c r="A1628" s="35" t="s">
        <v>2341</v>
      </c>
      <c r="B1628" s="36">
        <v>117</v>
      </c>
      <c r="C1628" s="37">
        <v>39</v>
      </c>
      <c r="D1628" s="38">
        <v>22</v>
      </c>
      <c r="E1628" s="39">
        <v>149</v>
      </c>
    </row>
    <row r="1629" spans="1:5" x14ac:dyDescent="0.35">
      <c r="A1629" s="35" t="s">
        <v>2342</v>
      </c>
      <c r="B1629" s="36">
        <v>149</v>
      </c>
      <c r="C1629" s="37">
        <v>80</v>
      </c>
      <c r="D1629" s="38">
        <v>41</v>
      </c>
      <c r="E1629" s="39">
        <v>132</v>
      </c>
    </row>
    <row r="1630" spans="1:5" x14ac:dyDescent="0.35">
      <c r="A1630" s="35" t="s">
        <v>2388</v>
      </c>
      <c r="B1630" s="36">
        <v>132</v>
      </c>
      <c r="C1630" s="37">
        <v>80</v>
      </c>
      <c r="D1630" s="38">
        <v>5</v>
      </c>
      <c r="E1630" s="39">
        <v>134</v>
      </c>
    </row>
    <row r="1631" spans="1:5" x14ac:dyDescent="0.35">
      <c r="A1631" s="35" t="s">
        <v>2453</v>
      </c>
      <c r="B1631" s="36">
        <v>134</v>
      </c>
      <c r="C1631" s="37">
        <v>4</v>
      </c>
      <c r="D1631" s="38">
        <v>7</v>
      </c>
      <c r="E1631" s="39">
        <v>131</v>
      </c>
    </row>
    <row r="1632" spans="1:5" x14ac:dyDescent="0.35">
      <c r="A1632" s="35" t="s">
        <v>2454</v>
      </c>
      <c r="B1632" s="36">
        <v>131</v>
      </c>
      <c r="C1632" s="37">
        <v>8</v>
      </c>
      <c r="D1632" s="38">
        <v>3</v>
      </c>
      <c r="E1632" s="39">
        <v>134</v>
      </c>
    </row>
    <row r="1633" spans="1:5" x14ac:dyDescent="0.35">
      <c r="A1633" s="35" t="s">
        <v>2508</v>
      </c>
      <c r="B1633" s="36">
        <v>134</v>
      </c>
      <c r="C1633" s="37">
        <v>8</v>
      </c>
      <c r="D1633" s="38">
        <v>3</v>
      </c>
      <c r="E1633" s="39">
        <v>124</v>
      </c>
    </row>
    <row r="1634" spans="1:5" x14ac:dyDescent="0.35">
      <c r="A1634" s="35" t="s">
        <v>2546</v>
      </c>
      <c r="B1634" s="36">
        <v>124</v>
      </c>
      <c r="C1634" s="37">
        <v>14</v>
      </c>
      <c r="D1634" s="38">
        <v>13</v>
      </c>
      <c r="E1634" s="39">
        <v>147</v>
      </c>
    </row>
    <row r="1635" spans="1:5" x14ac:dyDescent="0.35">
      <c r="A1635" s="35" t="s">
        <v>2599</v>
      </c>
      <c r="B1635" s="36">
        <v>147</v>
      </c>
      <c r="C1635" s="37">
        <v>14</v>
      </c>
      <c r="D1635" s="38">
        <v>13</v>
      </c>
      <c r="E1635" s="39">
        <v>127</v>
      </c>
    </row>
    <row r="1636" spans="1:5" x14ac:dyDescent="0.35">
      <c r="A1636" s="35" t="s">
        <v>2692</v>
      </c>
      <c r="B1636" s="36">
        <v>127</v>
      </c>
      <c r="C1636" s="37">
        <v>31</v>
      </c>
      <c r="D1636" s="38">
        <v>5</v>
      </c>
      <c r="E1636" s="39">
        <v>119</v>
      </c>
    </row>
    <row r="1637" spans="1:5" x14ac:dyDescent="0.35">
      <c r="A1637" s="35" t="s">
        <v>2693</v>
      </c>
      <c r="B1637" s="36">
        <v>119</v>
      </c>
      <c r="C1637" s="37">
        <v>31</v>
      </c>
      <c r="D1637" s="38">
        <v>5</v>
      </c>
      <c r="E1637" s="39">
        <v>105</v>
      </c>
    </row>
    <row r="1638" spans="1:5" x14ac:dyDescent="0.35">
      <c r="A1638" s="35" t="s">
        <v>2689</v>
      </c>
      <c r="B1638" s="36">
        <v>105</v>
      </c>
      <c r="C1638" s="37">
        <v>27</v>
      </c>
      <c r="D1638" s="38">
        <v>47</v>
      </c>
      <c r="E1638" s="39">
        <v>131</v>
      </c>
    </row>
    <row r="1639" spans="1:5" x14ac:dyDescent="0.35">
      <c r="A1639" s="35" t="s">
        <v>2740</v>
      </c>
      <c r="B1639" s="36">
        <v>131</v>
      </c>
      <c r="C1639" s="37">
        <v>31</v>
      </c>
      <c r="D1639" s="38">
        <v>5</v>
      </c>
      <c r="E1639" s="39">
        <v>111</v>
      </c>
    </row>
    <row r="1640" spans="1:5" x14ac:dyDescent="0.35">
      <c r="A1640" s="35" t="s">
        <v>2741</v>
      </c>
      <c r="B1640" s="36">
        <v>111</v>
      </c>
      <c r="C1640" s="37">
        <v>31</v>
      </c>
      <c r="D1640" s="38">
        <v>5</v>
      </c>
      <c r="E1640" s="39">
        <v>130</v>
      </c>
    </row>
  </sheetData>
  <phoneticPr fontId="18" type="noConversion"/>
  <pageMargins left="0.7" right="0.7" top="0.75" bottom="0.75" header="0.3" footer="0.3"/>
  <pageSetup orientation="portrait" horizontalDpi="180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6119-3CD1-4959-84BB-D1FCB61C608B}">
  <sheetPr codeName="Sheet51" filterMode="1"/>
  <dimension ref="A1:AE92"/>
  <sheetViews>
    <sheetView zoomScale="69" zoomScaleNormal="69" workbookViewId="0">
      <pane xSplit="6" topLeftCell="R1" activePane="topRight" state="frozen"/>
      <selection activeCell="AB4" sqref="AB4"/>
      <selection pane="topRight" activeCell="Z1" sqref="Z1:Z1048576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3" t="s">
        <v>1691</v>
      </c>
      <c r="T1" s="98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72.5" x14ac:dyDescent="0.35">
      <c r="A2" s="61" t="s">
        <v>1820</v>
      </c>
      <c r="B2" s="61" t="s">
        <v>1821</v>
      </c>
      <c r="C2" s="65"/>
      <c r="D2" s="61"/>
      <c r="E2" s="61" t="s">
        <v>30</v>
      </c>
      <c r="F2" s="70" t="s">
        <v>53</v>
      </c>
      <c r="G2" s="70" t="s">
        <v>2121</v>
      </c>
      <c r="H2" s="67">
        <v>46142.294664351852</v>
      </c>
      <c r="I2" s="75">
        <v>37.403561111110321</v>
      </c>
      <c r="J2" s="61"/>
      <c r="K2" s="61"/>
      <c r="L2" s="61"/>
      <c r="M2" s="61" t="s">
        <v>31</v>
      </c>
      <c r="N2" s="61" t="s">
        <v>1822</v>
      </c>
      <c r="O2" s="61"/>
      <c r="P2" s="61"/>
      <c r="Q2" s="61"/>
      <c r="R2" s="61" t="s">
        <v>1924</v>
      </c>
      <c r="S2" s="61" t="s">
        <v>1924</v>
      </c>
      <c r="T2" s="61" t="s">
        <v>1898</v>
      </c>
      <c r="U2" s="61" t="s">
        <v>1898</v>
      </c>
      <c r="V2" s="101" t="str">
        <f>VLOOKUP(B2,[2]Overall!$A:$D,4,0)</f>
        <v>TELEINFRA NORD</v>
      </c>
      <c r="W2" s="101" t="str">
        <f>VLOOKUP(B2,[3]Sheet1!$A:$B,2,0)</f>
        <v>Nganha</v>
      </c>
      <c r="X2" s="88" t="str">
        <f t="shared" ref="X2:X65" si="0">LEFT(B2,3)</f>
        <v>ADM</v>
      </c>
      <c r="Y2" s="88" t="str">
        <f t="shared" ref="Y2:Y65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65" si="2">IF(OR(E2="", E2="affected_cells=unknown"), "", LEN(E2)-LEN(SUBSTITUTE(E2, ",", "")) + LEN(E2)-LEN(SUBSTITUTE(E2, ";", "")) + 1)</f>
        <v>1</v>
      </c>
      <c r="AA2" s="61"/>
      <c r="AB2" s="84" t="s">
        <v>1554</v>
      </c>
      <c r="AC2" s="105" t="s">
        <v>2680</v>
      </c>
      <c r="AD2" s="106" t="s">
        <v>1994</v>
      </c>
      <c r="AE2" s="61"/>
    </row>
    <row r="3" spans="1:31" ht="391.5" hidden="1" x14ac:dyDescent="0.35">
      <c r="A3" s="61" t="s">
        <v>1710</v>
      </c>
      <c r="B3" s="61" t="s">
        <v>1711</v>
      </c>
      <c r="C3" s="65"/>
      <c r="D3" s="61"/>
      <c r="E3" s="61" t="s">
        <v>49</v>
      </c>
      <c r="F3" s="70" t="s">
        <v>53</v>
      </c>
      <c r="G3" s="70" t="s">
        <v>2121</v>
      </c>
      <c r="H3" s="67">
        <v>46163.500115740739</v>
      </c>
      <c r="I3" s="75">
        <v>16.198109722223307</v>
      </c>
      <c r="J3" s="61"/>
      <c r="K3" s="61"/>
      <c r="L3" s="61"/>
      <c r="M3" s="61" t="s">
        <v>38</v>
      </c>
      <c r="N3" s="61" t="s">
        <v>1714</v>
      </c>
      <c r="O3" s="61"/>
      <c r="P3" s="61"/>
      <c r="Q3" s="61"/>
      <c r="R3" s="61" t="s">
        <v>2383</v>
      </c>
      <c r="S3" s="61" t="s">
        <v>75</v>
      </c>
      <c r="T3" s="61" t="s">
        <v>1688</v>
      </c>
      <c r="U3" s="61" t="s">
        <v>1688</v>
      </c>
      <c r="V3" s="101" t="str">
        <f>VLOOKUP(B3,[2]Overall!$A:$D,4,0)</f>
        <v>TELEINFRA NORD</v>
      </c>
      <c r="W3" s="101" t="str">
        <f>VLOOKUP(B3,[3]Sheet1!$A:$B,2,0)</f>
        <v>Martap</v>
      </c>
      <c r="X3" s="88" t="str">
        <f t="shared" si="0"/>
        <v>ADM</v>
      </c>
      <c r="Y3" s="88" t="str">
        <f t="shared" si="1"/>
        <v>T&gt;72H</v>
      </c>
      <c r="Z3" s="101">
        <f t="shared" si="2"/>
        <v>1</v>
      </c>
      <c r="AA3" s="61"/>
      <c r="AB3" s="84" t="s">
        <v>1554</v>
      </c>
      <c r="AC3" s="105" t="s">
        <v>2680</v>
      </c>
      <c r="AD3" s="106" t="s">
        <v>1994</v>
      </c>
      <c r="AE3" s="61"/>
    </row>
    <row r="4" spans="1:31" ht="58" x14ac:dyDescent="0.35">
      <c r="A4" s="61" t="s">
        <v>1873</v>
      </c>
      <c r="B4" s="61" t="s">
        <v>1872</v>
      </c>
      <c r="C4" s="65"/>
      <c r="D4" s="61"/>
      <c r="E4" s="61" t="s">
        <v>49</v>
      </c>
      <c r="F4" s="70" t="s">
        <v>53</v>
      </c>
      <c r="G4" s="70" t="s">
        <v>2121</v>
      </c>
      <c r="H4" s="67">
        <v>46163.635960648149</v>
      </c>
      <c r="I4" s="75">
        <v>16.062264814812806</v>
      </c>
      <c r="J4" s="61"/>
      <c r="K4" s="61"/>
      <c r="L4" s="61"/>
      <c r="M4" s="61" t="s">
        <v>33</v>
      </c>
      <c r="N4" s="61" t="s">
        <v>2424</v>
      </c>
      <c r="O4" s="61"/>
      <c r="P4" s="61"/>
      <c r="Q4" s="61"/>
      <c r="R4" s="61" t="s">
        <v>1909</v>
      </c>
      <c r="S4" s="61" t="s">
        <v>1908</v>
      </c>
      <c r="T4" s="61" t="s">
        <v>1865</v>
      </c>
      <c r="U4" s="61" t="s">
        <v>1865</v>
      </c>
      <c r="V4" s="101" t="e">
        <f>VLOOKUP(B4,[2]Overall!$A:$D,4,0)</f>
        <v>#N/A</v>
      </c>
      <c r="W4" s="101" t="e">
        <f>VLOOKUP(B4,[3]Sheet1!$A:$B,2,0)</f>
        <v>#N/A</v>
      </c>
      <c r="X4" s="88" t="str">
        <f t="shared" si="0"/>
        <v>EST</v>
      </c>
      <c r="Y4" s="88" t="str">
        <f t="shared" si="1"/>
        <v>T&gt;72H</v>
      </c>
      <c r="Z4" s="101">
        <f t="shared" si="2"/>
        <v>1</v>
      </c>
      <c r="AA4" s="61"/>
      <c r="AB4" s="84" t="s">
        <v>1554</v>
      </c>
      <c r="AC4" s="105" t="s">
        <v>2680</v>
      </c>
      <c r="AD4" s="106" t="s">
        <v>1994</v>
      </c>
      <c r="AE4" s="61"/>
    </row>
    <row r="5" spans="1:31" ht="58" x14ac:dyDescent="0.35">
      <c r="A5" s="61" t="s">
        <v>1873</v>
      </c>
      <c r="B5" s="61" t="s">
        <v>1872</v>
      </c>
      <c r="C5" s="65"/>
      <c r="D5" s="61"/>
      <c r="E5" s="61" t="s">
        <v>2425</v>
      </c>
      <c r="F5" s="70" t="s">
        <v>53</v>
      </c>
      <c r="G5" s="70" t="s">
        <v>2121</v>
      </c>
      <c r="H5" s="67">
        <v>46163.635925925926</v>
      </c>
      <c r="I5" s="75">
        <v>16.062299537035869</v>
      </c>
      <c r="J5" s="61"/>
      <c r="K5" s="61"/>
      <c r="L5" s="61"/>
      <c r="M5" s="61" t="s">
        <v>33</v>
      </c>
      <c r="N5" s="61" t="s">
        <v>1856</v>
      </c>
      <c r="O5" s="61"/>
      <c r="P5" s="61"/>
      <c r="Q5" s="61"/>
      <c r="R5" s="61" t="s">
        <v>1909</v>
      </c>
      <c r="S5" s="61" t="s">
        <v>1908</v>
      </c>
      <c r="T5" s="61" t="s">
        <v>1865</v>
      </c>
      <c r="U5" s="61" t="s">
        <v>1865</v>
      </c>
      <c r="V5" s="101" t="e">
        <f>VLOOKUP(B5,[2]Overall!$A:$D,4,0)</f>
        <v>#N/A</v>
      </c>
      <c r="W5" s="101" t="e">
        <f>VLOOKUP(B5,[3]Sheet1!$A:$B,2,0)</f>
        <v>#N/A</v>
      </c>
      <c r="X5" s="88" t="str">
        <f t="shared" si="0"/>
        <v>EST</v>
      </c>
      <c r="Y5" s="88" t="str">
        <f t="shared" si="1"/>
        <v>T&gt;72H</v>
      </c>
      <c r="Z5" s="101">
        <f t="shared" si="2"/>
        <v>2</v>
      </c>
      <c r="AA5" s="61"/>
      <c r="AB5" s="84" t="s">
        <v>1554</v>
      </c>
      <c r="AC5" s="105" t="s">
        <v>2680</v>
      </c>
      <c r="AD5" s="106" t="s">
        <v>1994</v>
      </c>
      <c r="AE5" s="61"/>
    </row>
    <row r="6" spans="1:31" ht="58" x14ac:dyDescent="0.35">
      <c r="A6" s="61" t="s">
        <v>1873</v>
      </c>
      <c r="B6" s="61" t="s">
        <v>1872</v>
      </c>
      <c r="C6" s="65"/>
      <c r="D6" s="61"/>
      <c r="E6" s="61" t="s">
        <v>2426</v>
      </c>
      <c r="F6" s="70" t="s">
        <v>53</v>
      </c>
      <c r="G6" s="70" t="s">
        <v>2121</v>
      </c>
      <c r="H6" s="67">
        <v>46163.63616898148</v>
      </c>
      <c r="I6" s="75">
        <v>16.062056481481704</v>
      </c>
      <c r="J6" s="61"/>
      <c r="K6" s="61"/>
      <c r="L6" s="61"/>
      <c r="M6" s="61" t="s">
        <v>33</v>
      </c>
      <c r="N6" s="61" t="s">
        <v>2427</v>
      </c>
      <c r="O6" s="61"/>
      <c r="P6" s="61"/>
      <c r="Q6" s="61"/>
      <c r="R6" s="61" t="s">
        <v>1909</v>
      </c>
      <c r="S6" s="61" t="s">
        <v>1908</v>
      </c>
      <c r="T6" s="61" t="s">
        <v>1865</v>
      </c>
      <c r="U6" s="61" t="s">
        <v>1865</v>
      </c>
      <c r="V6" s="101" t="e">
        <f>VLOOKUP(B6,[2]Overall!$A:$D,4,0)</f>
        <v>#N/A</v>
      </c>
      <c r="W6" s="101" t="e">
        <f>VLOOKUP(B6,[3]Sheet1!$A:$B,2,0)</f>
        <v>#N/A</v>
      </c>
      <c r="X6" s="88" t="str">
        <f t="shared" si="0"/>
        <v>EST</v>
      </c>
      <c r="Y6" s="88" t="str">
        <f t="shared" si="1"/>
        <v>T&gt;72H</v>
      </c>
      <c r="Z6" s="101">
        <f t="shared" si="2"/>
        <v>2</v>
      </c>
      <c r="AA6" s="61"/>
      <c r="AB6" s="84" t="s">
        <v>1554</v>
      </c>
      <c r="AC6" s="105" t="s">
        <v>2680</v>
      </c>
      <c r="AD6" s="106" t="s">
        <v>1994</v>
      </c>
      <c r="AE6" s="61"/>
    </row>
    <row r="7" spans="1:31" ht="58" x14ac:dyDescent="0.35">
      <c r="A7" s="61" t="s">
        <v>1873</v>
      </c>
      <c r="B7" s="61" t="s">
        <v>1872</v>
      </c>
      <c r="C7" s="65"/>
      <c r="D7" s="61"/>
      <c r="E7" s="61" t="s">
        <v>2428</v>
      </c>
      <c r="F7" s="70" t="s">
        <v>53</v>
      </c>
      <c r="G7" s="70" t="s">
        <v>2121</v>
      </c>
      <c r="H7" s="67">
        <v>46163.636145833334</v>
      </c>
      <c r="I7" s="75">
        <v>16.062079629627988</v>
      </c>
      <c r="J7" s="61"/>
      <c r="K7" s="61"/>
      <c r="L7" s="61"/>
      <c r="M7" s="61" t="s">
        <v>33</v>
      </c>
      <c r="N7" s="61" t="s">
        <v>2429</v>
      </c>
      <c r="O7" s="61"/>
      <c r="P7" s="61"/>
      <c r="Q7" s="61"/>
      <c r="R7" s="61" t="s">
        <v>1909</v>
      </c>
      <c r="S7" s="61" t="s">
        <v>1908</v>
      </c>
      <c r="T7" s="61" t="s">
        <v>1865</v>
      </c>
      <c r="U7" s="61" t="s">
        <v>1865</v>
      </c>
      <c r="V7" s="101" t="e">
        <f>VLOOKUP(B7,[2]Overall!$A:$D,4,0)</f>
        <v>#N/A</v>
      </c>
      <c r="W7" s="101" t="e">
        <f>VLOOKUP(B7,[3]Sheet1!$A:$B,2,0)</f>
        <v>#N/A</v>
      </c>
      <c r="X7" s="88" t="str">
        <f t="shared" si="0"/>
        <v>EST</v>
      </c>
      <c r="Y7" s="88" t="str">
        <f t="shared" si="1"/>
        <v>T&gt;72H</v>
      </c>
      <c r="Z7" s="101">
        <f t="shared" si="2"/>
        <v>2</v>
      </c>
      <c r="AA7" s="61"/>
      <c r="AB7" s="84" t="s">
        <v>1554</v>
      </c>
      <c r="AC7" s="105" t="s">
        <v>2680</v>
      </c>
      <c r="AD7" s="106" t="s">
        <v>1994</v>
      </c>
      <c r="AE7" s="61"/>
    </row>
    <row r="8" spans="1:31" ht="58" x14ac:dyDescent="0.35">
      <c r="A8" s="61" t="s">
        <v>1873</v>
      </c>
      <c r="B8" s="61" t="s">
        <v>1872</v>
      </c>
      <c r="C8" s="65"/>
      <c r="D8" s="61"/>
      <c r="E8" s="61" t="s">
        <v>1641</v>
      </c>
      <c r="F8" s="70" t="s">
        <v>53</v>
      </c>
      <c r="G8" s="70" t="s">
        <v>2121</v>
      </c>
      <c r="H8" s="67">
        <v>46163.636331018519</v>
      </c>
      <c r="I8" s="75">
        <v>16.061894444443169</v>
      </c>
      <c r="J8" s="61"/>
      <c r="K8" s="61"/>
      <c r="L8" s="61"/>
      <c r="M8" s="61" t="s">
        <v>33</v>
      </c>
      <c r="N8" s="61" t="s">
        <v>2430</v>
      </c>
      <c r="O8" s="61"/>
      <c r="P8" s="61"/>
      <c r="Q8" s="61"/>
      <c r="R8" s="61" t="s">
        <v>1909</v>
      </c>
      <c r="S8" s="61" t="s">
        <v>1908</v>
      </c>
      <c r="T8" s="61" t="s">
        <v>1865</v>
      </c>
      <c r="U8" s="61" t="s">
        <v>1865</v>
      </c>
      <c r="V8" s="101" t="e">
        <f>VLOOKUP(B8,[2]Overall!$A:$D,4,0)</f>
        <v>#N/A</v>
      </c>
      <c r="W8" s="101" t="e">
        <f>VLOOKUP(B8,[3]Sheet1!$A:$B,2,0)</f>
        <v>#N/A</v>
      </c>
      <c r="X8" s="88" t="str">
        <f t="shared" si="0"/>
        <v>EST</v>
      </c>
      <c r="Y8" s="88" t="str">
        <f t="shared" si="1"/>
        <v>T&gt;72H</v>
      </c>
      <c r="Z8" s="101">
        <f t="shared" si="2"/>
        <v>1</v>
      </c>
      <c r="AA8" s="61"/>
      <c r="AB8" s="84" t="s">
        <v>1554</v>
      </c>
      <c r="AC8" s="105" t="s">
        <v>2680</v>
      </c>
      <c r="AD8" s="106" t="s">
        <v>1994</v>
      </c>
      <c r="AE8" s="61"/>
    </row>
    <row r="9" spans="1:31" ht="58" x14ac:dyDescent="0.35">
      <c r="A9" s="61" t="s">
        <v>1869</v>
      </c>
      <c r="B9" s="61" t="s">
        <v>1912</v>
      </c>
      <c r="C9" s="65"/>
      <c r="D9" s="61"/>
      <c r="E9" s="61" t="s">
        <v>1871</v>
      </c>
      <c r="F9" s="70" t="s">
        <v>53</v>
      </c>
      <c r="G9" s="70" t="s">
        <v>2121</v>
      </c>
      <c r="H9" s="67">
        <v>46163.714907407404</v>
      </c>
      <c r="I9" s="75">
        <v>15.983318055557902</v>
      </c>
      <c r="J9" s="61"/>
      <c r="K9" s="61"/>
      <c r="L9" s="61"/>
      <c r="M9" s="61" t="s">
        <v>33</v>
      </c>
      <c r="N9" s="61" t="s">
        <v>1870</v>
      </c>
      <c r="O9" s="61"/>
      <c r="P9" s="61"/>
      <c r="Q9" s="61"/>
      <c r="R9" s="61" t="s">
        <v>1909</v>
      </c>
      <c r="S9" s="61" t="s">
        <v>1908</v>
      </c>
      <c r="T9" s="61" t="s">
        <v>1865</v>
      </c>
      <c r="U9" s="61" t="s">
        <v>1865</v>
      </c>
      <c r="V9" s="101" t="e">
        <f>VLOOKUP(B9,[2]Overall!$A:$D,4,0)</f>
        <v>#N/A</v>
      </c>
      <c r="W9" s="101" t="e">
        <f>VLOOKUP(B9,[3]Sheet1!$A:$B,2,0)</f>
        <v>#N/A</v>
      </c>
      <c r="X9" s="88" t="str">
        <f t="shared" si="0"/>
        <v>TR_</v>
      </c>
      <c r="Y9" s="88" t="str">
        <f t="shared" si="1"/>
        <v>T&gt;72H</v>
      </c>
      <c r="Z9" s="101">
        <f t="shared" si="2"/>
        <v>2</v>
      </c>
      <c r="AA9" s="61"/>
      <c r="AB9" s="84" t="s">
        <v>1554</v>
      </c>
      <c r="AC9" s="105" t="s">
        <v>2680</v>
      </c>
      <c r="AD9" s="106" t="s">
        <v>1994</v>
      </c>
      <c r="AE9" s="61"/>
    </row>
    <row r="10" spans="1:31" ht="72.5" x14ac:dyDescent="0.35">
      <c r="A10" s="61" t="s">
        <v>1863</v>
      </c>
      <c r="B10" s="61" t="s">
        <v>1862</v>
      </c>
      <c r="C10" s="65"/>
      <c r="D10" s="61"/>
      <c r="E10" s="61" t="s">
        <v>1864</v>
      </c>
      <c r="F10" s="70" t="s">
        <v>53</v>
      </c>
      <c r="G10" s="70" t="s">
        <v>2121</v>
      </c>
      <c r="H10" s="67">
        <v>46164.926620370374</v>
      </c>
      <c r="I10" s="75">
        <v>14.771605092588288</v>
      </c>
      <c r="J10" s="61"/>
      <c r="K10" s="61"/>
      <c r="L10" s="61"/>
      <c r="M10" s="61" t="s">
        <v>1769</v>
      </c>
      <c r="N10" s="61" t="s">
        <v>1770</v>
      </c>
      <c r="O10" s="61"/>
      <c r="P10" s="61"/>
      <c r="Q10" s="61"/>
      <c r="R10" s="61" t="s">
        <v>1909</v>
      </c>
      <c r="S10" s="61" t="s">
        <v>1903</v>
      </c>
      <c r="T10" s="61" t="s">
        <v>1865</v>
      </c>
      <c r="U10" s="61" t="s">
        <v>1865</v>
      </c>
      <c r="V10" s="101" t="e">
        <f>VLOOKUP(B10,[2]Overall!$A:$D,4,0)</f>
        <v>#N/A</v>
      </c>
      <c r="W10" s="101" t="e">
        <f>VLOOKUP(B10,[3]Sheet1!$A:$B,2,0)</f>
        <v>#N/A</v>
      </c>
      <c r="X10" s="88" t="str">
        <f t="shared" si="0"/>
        <v>ADM</v>
      </c>
      <c r="Y10" s="88" t="str">
        <f t="shared" si="1"/>
        <v>T&gt;72H</v>
      </c>
      <c r="Z10" s="101">
        <f t="shared" si="2"/>
        <v>1</v>
      </c>
      <c r="AA10" s="61"/>
      <c r="AB10" s="84" t="s">
        <v>1554</v>
      </c>
      <c r="AC10" s="105" t="s">
        <v>2680</v>
      </c>
      <c r="AD10" s="106" t="s">
        <v>1994</v>
      </c>
      <c r="AE10" s="61"/>
    </row>
    <row r="11" spans="1:31" ht="58" x14ac:dyDescent="0.35">
      <c r="A11" s="61" t="s">
        <v>1859</v>
      </c>
      <c r="B11" s="61" t="s">
        <v>1858</v>
      </c>
      <c r="C11" s="65"/>
      <c r="D11" s="61"/>
      <c r="E11" s="61" t="s">
        <v>1857</v>
      </c>
      <c r="F11" s="70" t="s">
        <v>53</v>
      </c>
      <c r="G11" s="70" t="s">
        <v>2121</v>
      </c>
      <c r="H11" s="67">
        <v>46166.377986111111</v>
      </c>
      <c r="I11" s="75">
        <v>13.320239351851342</v>
      </c>
      <c r="J11" s="61"/>
      <c r="K11" s="61"/>
      <c r="L11" s="61"/>
      <c r="M11" s="61" t="s">
        <v>33</v>
      </c>
      <c r="N11" s="61" t="s">
        <v>1856</v>
      </c>
      <c r="O11" s="61"/>
      <c r="P11" s="61"/>
      <c r="Q11" s="61"/>
      <c r="R11" s="61" t="s">
        <v>1909</v>
      </c>
      <c r="S11" s="61" t="s">
        <v>1903</v>
      </c>
      <c r="T11" s="61" t="s">
        <v>1865</v>
      </c>
      <c r="U11" s="61" t="s">
        <v>1865</v>
      </c>
      <c r="V11" s="101" t="e">
        <f>VLOOKUP(B11,[2]Overall!$A:$D,4,0)</f>
        <v>#N/A</v>
      </c>
      <c r="W11" s="101" t="e">
        <f>VLOOKUP(B11,[3]Sheet1!$A:$B,2,0)</f>
        <v>#N/A</v>
      </c>
      <c r="X11" s="88" t="str">
        <f t="shared" si="0"/>
        <v>SUD</v>
      </c>
      <c r="Y11" s="88" t="str">
        <f t="shared" si="1"/>
        <v>T&gt;72H</v>
      </c>
      <c r="Z11" s="101">
        <f t="shared" si="2"/>
        <v>2</v>
      </c>
      <c r="AA11" s="61"/>
      <c r="AB11" s="84" t="s">
        <v>1554</v>
      </c>
      <c r="AC11" s="105" t="s">
        <v>2680</v>
      </c>
      <c r="AD11" s="106" t="s">
        <v>1994</v>
      </c>
      <c r="AE11" s="61"/>
    </row>
    <row r="12" spans="1:31" ht="391.5" hidden="1" x14ac:dyDescent="0.35">
      <c r="A12" s="61" t="s">
        <v>1913</v>
      </c>
      <c r="B12" s="61" t="s">
        <v>1914</v>
      </c>
      <c r="C12" s="65"/>
      <c r="D12" s="61"/>
      <c r="E12" s="61" t="s">
        <v>43</v>
      </c>
      <c r="F12" s="70" t="s">
        <v>53</v>
      </c>
      <c r="G12" s="70" t="s">
        <v>2121</v>
      </c>
      <c r="H12" s="67">
        <v>46168.171053240738</v>
      </c>
      <c r="I12" s="75">
        <v>11.527172222224181</v>
      </c>
      <c r="J12" s="61"/>
      <c r="K12" s="61"/>
      <c r="L12" s="61"/>
      <c r="M12" s="61" t="s">
        <v>31</v>
      </c>
      <c r="N12" s="61" t="s">
        <v>1915</v>
      </c>
      <c r="O12" s="61"/>
      <c r="P12" s="61"/>
      <c r="Q12" s="61"/>
      <c r="R12" s="84" t="s">
        <v>2683</v>
      </c>
      <c r="S12" s="61" t="s">
        <v>40</v>
      </c>
      <c r="T12" s="61" t="s">
        <v>2129</v>
      </c>
      <c r="U12" s="61" t="s">
        <v>2129</v>
      </c>
      <c r="V12" s="101" t="str">
        <f>VLOOKUP(B12,[2]Overall!$A:$D,4,0)</f>
        <v>TELEINFRA NORD</v>
      </c>
      <c r="W12" s="101" t="str">
        <f>VLOOKUP(B12,[3]Sheet1!$A:$B,2,0)</f>
        <v>Dogba</v>
      </c>
      <c r="X12" s="88" t="str">
        <f t="shared" si="0"/>
        <v>EXN</v>
      </c>
      <c r="Y12" s="88" t="str">
        <f t="shared" si="1"/>
        <v>T&gt;72H</v>
      </c>
      <c r="Z12" s="101">
        <f t="shared" si="2"/>
        <v>4</v>
      </c>
      <c r="AA12" s="61"/>
      <c r="AB12" s="84" t="s">
        <v>1554</v>
      </c>
      <c r="AC12" s="105" t="s">
        <v>2680</v>
      </c>
      <c r="AD12" s="106" t="s">
        <v>1994</v>
      </c>
      <c r="AE12" s="61"/>
    </row>
    <row r="13" spans="1:31" ht="391.5" hidden="1" x14ac:dyDescent="0.35">
      <c r="A13" s="61" t="s">
        <v>1913</v>
      </c>
      <c r="B13" s="61" t="s">
        <v>1914</v>
      </c>
      <c r="C13" s="65"/>
      <c r="D13" s="61"/>
      <c r="E13" s="61" t="s">
        <v>35</v>
      </c>
      <c r="F13" s="70" t="s">
        <v>53</v>
      </c>
      <c r="G13" s="70" t="s">
        <v>2121</v>
      </c>
      <c r="H13" s="67">
        <v>46168.171064814815</v>
      </c>
      <c r="I13" s="75">
        <v>11.527160648147401</v>
      </c>
      <c r="J13" s="61"/>
      <c r="K13" s="61"/>
      <c r="L13" s="61"/>
      <c r="M13" s="61" t="s">
        <v>31</v>
      </c>
      <c r="N13" s="61" t="s">
        <v>1916</v>
      </c>
      <c r="O13" s="61"/>
      <c r="P13" s="61"/>
      <c r="Q13" s="61"/>
      <c r="R13" s="61" t="s">
        <v>2628</v>
      </c>
      <c r="S13" s="61" t="s">
        <v>40</v>
      </c>
      <c r="T13" s="61" t="s">
        <v>2129</v>
      </c>
      <c r="U13" s="61" t="s">
        <v>2129</v>
      </c>
      <c r="V13" s="101" t="str">
        <f>VLOOKUP(B13,[2]Overall!$A:$D,4,0)</f>
        <v>TELEINFRA NORD</v>
      </c>
      <c r="W13" s="101" t="str">
        <f>VLOOKUP(B13,[3]Sheet1!$A:$B,2,0)</f>
        <v>Dogba</v>
      </c>
      <c r="X13" s="88" t="str">
        <f t="shared" si="0"/>
        <v>EXN</v>
      </c>
      <c r="Y13" s="88" t="str">
        <f t="shared" si="1"/>
        <v>T&gt;72H</v>
      </c>
      <c r="Z13" s="101">
        <f t="shared" si="2"/>
        <v>3</v>
      </c>
      <c r="AA13" s="61"/>
      <c r="AB13" s="84" t="s">
        <v>1554</v>
      </c>
      <c r="AC13" s="105" t="s">
        <v>2680</v>
      </c>
      <c r="AD13" s="106" t="s">
        <v>1994</v>
      </c>
      <c r="AE13" s="61"/>
    </row>
    <row r="14" spans="1:31" ht="203" hidden="1" x14ac:dyDescent="0.35">
      <c r="A14" s="63" t="s">
        <v>1828</v>
      </c>
      <c r="B14" s="63" t="s">
        <v>1829</v>
      </c>
      <c r="C14" s="68"/>
      <c r="D14" s="63"/>
      <c r="E14" s="63" t="s">
        <v>39</v>
      </c>
      <c r="F14" s="71" t="s">
        <v>53</v>
      </c>
      <c r="G14" s="71" t="s">
        <v>2121</v>
      </c>
      <c r="H14" s="69">
        <v>46168.536261574074</v>
      </c>
      <c r="I14" s="77">
        <v>11.16196388888784</v>
      </c>
      <c r="J14" s="63"/>
      <c r="K14" s="63"/>
      <c r="L14" s="63"/>
      <c r="M14" s="63" t="s">
        <v>1712</v>
      </c>
      <c r="N14" s="63" t="s">
        <v>1830</v>
      </c>
      <c r="O14" s="63"/>
      <c r="P14" s="63" t="s">
        <v>2687</v>
      </c>
      <c r="Q14" s="108">
        <v>46179</v>
      </c>
      <c r="R14" s="85" t="s">
        <v>2686</v>
      </c>
      <c r="S14" s="63" t="s">
        <v>40</v>
      </c>
      <c r="T14" s="63" t="s">
        <v>1898</v>
      </c>
      <c r="U14" s="63" t="s">
        <v>1898</v>
      </c>
      <c r="V14" s="107" t="str">
        <f>VLOOKUP(B14,[2]Overall!$A:$D,4,0)</f>
        <v>TELEINFRA NORD</v>
      </c>
      <c r="W14" s="107" t="str">
        <f>VLOOKUP(B14,[3]Sheet1!$A:$B,2,0)</f>
        <v>Zigague</v>
      </c>
      <c r="X14" s="89" t="str">
        <f t="shared" si="0"/>
        <v>EXN</v>
      </c>
      <c r="Y14" s="89" t="str">
        <f t="shared" si="1"/>
        <v>T&gt;72H</v>
      </c>
      <c r="Z14" s="107">
        <f t="shared" si="2"/>
        <v>1</v>
      </c>
      <c r="AA14" s="63"/>
      <c r="AB14" s="85" t="s">
        <v>1554</v>
      </c>
      <c r="AC14" s="108" t="s">
        <v>2680</v>
      </c>
      <c r="AD14" s="109" t="s">
        <v>1994</v>
      </c>
      <c r="AE14" s="63"/>
    </row>
    <row r="15" spans="1:31" ht="203" x14ac:dyDescent="0.35">
      <c r="A15" s="61" t="s">
        <v>1855</v>
      </c>
      <c r="B15" s="61" t="s">
        <v>1851</v>
      </c>
      <c r="C15" s="65"/>
      <c r="D15" s="61"/>
      <c r="E15" s="61" t="s">
        <v>1854</v>
      </c>
      <c r="F15" s="70" t="s">
        <v>53</v>
      </c>
      <c r="G15" s="70" t="s">
        <v>2121</v>
      </c>
      <c r="H15" s="67">
        <v>46169.479988425926</v>
      </c>
      <c r="I15" s="75">
        <v>10.218237037035578</v>
      </c>
      <c r="J15" s="61"/>
      <c r="K15" s="61"/>
      <c r="L15" s="61"/>
      <c r="M15" s="61" t="s">
        <v>38</v>
      </c>
      <c r="N15" s="61" t="s">
        <v>1853</v>
      </c>
      <c r="O15" s="61"/>
      <c r="P15" s="61"/>
      <c r="Q15" s="61"/>
      <c r="R15" s="61" t="s">
        <v>2337</v>
      </c>
      <c r="S15" s="61" t="s">
        <v>1903</v>
      </c>
      <c r="T15" s="61" t="s">
        <v>1907</v>
      </c>
      <c r="U15" s="61" t="s">
        <v>1907</v>
      </c>
      <c r="V15" s="101" t="str">
        <f>VLOOKUP(B15,[2]Overall!$A:$D,4,0)</f>
        <v xml:space="preserve">I-ENG </v>
      </c>
      <c r="W15" s="101" t="str">
        <f>VLOOKUP(B15,[3]Sheet1!$A:$B,2,0)</f>
        <v>Mendji</v>
      </c>
      <c r="X15" s="88" t="str">
        <f t="shared" si="0"/>
        <v>NRO</v>
      </c>
      <c r="Y15" s="88" t="str">
        <f t="shared" si="1"/>
        <v>T&gt;72H</v>
      </c>
      <c r="Z15" s="101">
        <f t="shared" si="2"/>
        <v>5</v>
      </c>
      <c r="AA15" s="61"/>
      <c r="AB15" s="84" t="s">
        <v>1554</v>
      </c>
      <c r="AC15" s="105" t="s">
        <v>2680</v>
      </c>
      <c r="AD15" s="106" t="s">
        <v>1994</v>
      </c>
      <c r="AE15" s="61"/>
    </row>
    <row r="16" spans="1:31" ht="203" x14ac:dyDescent="0.35">
      <c r="A16" s="61" t="s">
        <v>1852</v>
      </c>
      <c r="B16" s="61" t="s">
        <v>1851</v>
      </c>
      <c r="C16" s="65"/>
      <c r="D16" s="61"/>
      <c r="E16" s="61" t="s">
        <v>30</v>
      </c>
      <c r="F16" s="70" t="s">
        <v>53</v>
      </c>
      <c r="G16" s="70" t="s">
        <v>2121</v>
      </c>
      <c r="H16" s="67">
        <v>46169.484270833331</v>
      </c>
      <c r="I16" s="75">
        <v>10.213954629631189</v>
      </c>
      <c r="J16" s="61"/>
      <c r="K16" s="61"/>
      <c r="L16" s="61"/>
      <c r="M16" s="61" t="s">
        <v>31</v>
      </c>
      <c r="N16" s="61" t="s">
        <v>1850</v>
      </c>
      <c r="O16" s="61"/>
      <c r="P16" s="61"/>
      <c r="Q16" s="61"/>
      <c r="R16" s="61" t="s">
        <v>2337</v>
      </c>
      <c r="S16" s="61" t="s">
        <v>1903</v>
      </c>
      <c r="T16" s="61" t="s">
        <v>1907</v>
      </c>
      <c r="U16" s="61" t="s">
        <v>1907</v>
      </c>
      <c r="V16" s="101" t="str">
        <f>VLOOKUP(B16,[2]Overall!$A:$D,4,0)</f>
        <v xml:space="preserve">I-ENG </v>
      </c>
      <c r="W16" s="101" t="str">
        <f>VLOOKUP(B16,[3]Sheet1!$A:$B,2,0)</f>
        <v>Mendji</v>
      </c>
      <c r="X16" s="88" t="str">
        <f t="shared" si="0"/>
        <v>NRO</v>
      </c>
      <c r="Y16" s="88" t="str">
        <f t="shared" si="1"/>
        <v>T&gt;72H</v>
      </c>
      <c r="Z16" s="101">
        <f t="shared" si="2"/>
        <v>1</v>
      </c>
      <c r="AA16" s="61"/>
      <c r="AB16" s="84" t="s">
        <v>1554</v>
      </c>
      <c r="AC16" s="105" t="s">
        <v>2680</v>
      </c>
      <c r="AD16" s="106" t="s">
        <v>1994</v>
      </c>
      <c r="AE16" s="61"/>
    </row>
    <row r="17" spans="1:31" ht="58" x14ac:dyDescent="0.35">
      <c r="A17" s="61" t="s">
        <v>1888</v>
      </c>
      <c r="B17" s="61" t="s">
        <v>1889</v>
      </c>
      <c r="C17" s="65"/>
      <c r="D17" s="61"/>
      <c r="E17" s="61" t="s">
        <v>1890</v>
      </c>
      <c r="F17" s="70" t="s">
        <v>53</v>
      </c>
      <c r="G17" s="70" t="s">
        <v>2121</v>
      </c>
      <c r="H17" s="67">
        <v>46170.793344907404</v>
      </c>
      <c r="I17" s="75">
        <v>8.9048805555576109</v>
      </c>
      <c r="J17" s="61"/>
      <c r="K17" s="61"/>
      <c r="L17" s="61"/>
      <c r="M17" s="61" t="s">
        <v>33</v>
      </c>
      <c r="N17" s="61" t="s">
        <v>1891</v>
      </c>
      <c r="O17" s="61"/>
      <c r="P17" s="61"/>
      <c r="Q17" s="61"/>
      <c r="R17" s="61" t="s">
        <v>1910</v>
      </c>
      <c r="S17" s="61" t="s">
        <v>1908</v>
      </c>
      <c r="T17" s="61" t="s">
        <v>1907</v>
      </c>
      <c r="U17" s="61" t="s">
        <v>1907</v>
      </c>
      <c r="V17" s="101" t="str">
        <f>VLOOKUP(B17,[2]Overall!$A:$D,4,0)</f>
        <v>H-TELI</v>
      </c>
      <c r="W17" s="101" t="str">
        <f>VLOOKUP(B17,[3]Sheet1!$A:$B,2,0)</f>
        <v>Muyengue</v>
      </c>
      <c r="X17" s="88" t="str">
        <f t="shared" si="0"/>
        <v>LIT</v>
      </c>
      <c r="Y17" s="88" t="str">
        <f t="shared" si="1"/>
        <v>T&gt;72H</v>
      </c>
      <c r="Z17" s="101">
        <f t="shared" si="2"/>
        <v>2</v>
      </c>
      <c r="AA17" s="61"/>
      <c r="AB17" s="84" t="s">
        <v>1554</v>
      </c>
      <c r="AC17" s="105" t="s">
        <v>2680</v>
      </c>
      <c r="AD17" s="106" t="s">
        <v>1994</v>
      </c>
      <c r="AE17" s="61"/>
    </row>
    <row r="18" spans="1:31" ht="188.5" hidden="1" x14ac:dyDescent="0.35">
      <c r="A18" s="61" t="s">
        <v>1930</v>
      </c>
      <c r="B18" s="61" t="s">
        <v>1931</v>
      </c>
      <c r="C18" s="65"/>
      <c r="D18" s="61"/>
      <c r="E18" s="61" t="s">
        <v>34</v>
      </c>
      <c r="F18" s="70" t="s">
        <v>53</v>
      </c>
      <c r="G18" s="70" t="s">
        <v>2121</v>
      </c>
      <c r="H18" s="67">
        <v>46172.534074074072</v>
      </c>
      <c r="I18" s="75">
        <v>7.1641513888898771</v>
      </c>
      <c r="J18" s="61"/>
      <c r="K18" s="61"/>
      <c r="L18" s="61"/>
      <c r="M18" s="61" t="s">
        <v>1929</v>
      </c>
      <c r="N18" s="61" t="s">
        <v>1932</v>
      </c>
      <c r="O18" s="61"/>
      <c r="P18" s="61"/>
      <c r="Q18" s="61"/>
      <c r="R18" s="84" t="s">
        <v>2684</v>
      </c>
      <c r="S18" s="61" t="s">
        <v>40</v>
      </c>
      <c r="T18" s="61" t="s">
        <v>1898</v>
      </c>
      <c r="U18" s="61" t="s">
        <v>1898</v>
      </c>
      <c r="V18" s="101" t="str">
        <f>VLOOKUP(B18,[2]Overall!$A:$D,4,0)</f>
        <v>TELEINFRA NORD</v>
      </c>
      <c r="W18" s="101" t="str">
        <f>VLOOKUP(B18,[3]Sheet1!$A:$B,2,0)</f>
        <v>Mazera</v>
      </c>
      <c r="X18" s="88" t="str">
        <f t="shared" si="0"/>
        <v>EXN</v>
      </c>
      <c r="Y18" s="88" t="str">
        <f t="shared" si="1"/>
        <v>T&gt;72H</v>
      </c>
      <c r="Z18" s="101">
        <f t="shared" si="2"/>
        <v>1</v>
      </c>
      <c r="AA18" s="61"/>
      <c r="AB18" s="84" t="s">
        <v>1554</v>
      </c>
      <c r="AC18" s="105" t="s">
        <v>2680</v>
      </c>
      <c r="AD18" s="106" t="s">
        <v>1994</v>
      </c>
      <c r="AE18" s="61"/>
    </row>
    <row r="19" spans="1:31" ht="409.5" hidden="1" x14ac:dyDescent="0.35">
      <c r="A19" s="61" t="s">
        <v>1773</v>
      </c>
      <c r="B19" s="61" t="s">
        <v>1774</v>
      </c>
      <c r="C19" s="65"/>
      <c r="D19" s="61"/>
      <c r="E19" s="61" t="s">
        <v>1956</v>
      </c>
      <c r="F19" s="70" t="s">
        <v>53</v>
      </c>
      <c r="G19" s="70" t="s">
        <v>2121</v>
      </c>
      <c r="H19" s="67">
        <v>46172.719837962963</v>
      </c>
      <c r="I19" s="75">
        <v>6.9783874999993714</v>
      </c>
      <c r="J19" s="61"/>
      <c r="K19" s="61"/>
      <c r="L19" s="61"/>
      <c r="M19" s="61" t="s">
        <v>31</v>
      </c>
      <c r="N19" s="61" t="s">
        <v>1957</v>
      </c>
      <c r="O19" s="61"/>
      <c r="P19" s="61"/>
      <c r="Q19" s="61"/>
      <c r="R19" s="61" t="s">
        <v>2492</v>
      </c>
      <c r="S19" s="61" t="s">
        <v>40</v>
      </c>
      <c r="T19" s="61" t="s">
        <v>1898</v>
      </c>
      <c r="U19" s="61" t="s">
        <v>1898</v>
      </c>
      <c r="V19" s="101" t="str">
        <f>VLOOKUP(B19,[2]Overall!$A:$D,4,0)</f>
        <v>TELEINFRA NORD</v>
      </c>
      <c r="W19" s="101" t="str">
        <f>VLOOKUP(B19,[3]Sheet1!$A:$B,2,0)</f>
        <v>Hamalade</v>
      </c>
      <c r="X19" s="88" t="str">
        <f t="shared" si="0"/>
        <v>NRD</v>
      </c>
      <c r="Y19" s="88" t="str">
        <f t="shared" si="1"/>
        <v>T&gt;72H</v>
      </c>
      <c r="Z19" s="101">
        <f t="shared" si="2"/>
        <v>3</v>
      </c>
      <c r="AA19" s="61"/>
      <c r="AB19" s="84" t="s">
        <v>1554</v>
      </c>
      <c r="AC19" s="105" t="s">
        <v>2680</v>
      </c>
      <c r="AD19" s="106" t="s">
        <v>1994</v>
      </c>
      <c r="AE19" s="61"/>
    </row>
    <row r="20" spans="1:31" ht="409.5" hidden="1" x14ac:dyDescent="0.35">
      <c r="A20" s="61" t="s">
        <v>1773</v>
      </c>
      <c r="B20" s="61" t="s">
        <v>1774</v>
      </c>
      <c r="C20" s="65"/>
      <c r="D20" s="61"/>
      <c r="E20" s="61" t="s">
        <v>35</v>
      </c>
      <c r="F20" s="70" t="s">
        <v>53</v>
      </c>
      <c r="G20" s="70" t="s">
        <v>2121</v>
      </c>
      <c r="H20" s="67">
        <v>46172.719837962963</v>
      </c>
      <c r="I20" s="75">
        <v>6.9783874999993714</v>
      </c>
      <c r="J20" s="61"/>
      <c r="K20" s="61"/>
      <c r="L20" s="61"/>
      <c r="M20" s="61" t="s">
        <v>31</v>
      </c>
      <c r="N20" s="61" t="s">
        <v>1775</v>
      </c>
      <c r="O20" s="61"/>
      <c r="P20" s="61"/>
      <c r="Q20" s="61"/>
      <c r="R20" s="61" t="s">
        <v>2492</v>
      </c>
      <c r="S20" s="61" t="s">
        <v>40</v>
      </c>
      <c r="T20" s="61" t="s">
        <v>1898</v>
      </c>
      <c r="U20" s="61" t="s">
        <v>1898</v>
      </c>
      <c r="V20" s="101" t="str">
        <f>VLOOKUP(B20,[2]Overall!$A:$D,4,0)</f>
        <v>TELEINFRA NORD</v>
      </c>
      <c r="W20" s="101" t="str">
        <f>VLOOKUP(B20,[3]Sheet1!$A:$B,2,0)</f>
        <v>Hamalade</v>
      </c>
      <c r="X20" s="88" t="str">
        <f t="shared" si="0"/>
        <v>NRD</v>
      </c>
      <c r="Y20" s="88" t="str">
        <f t="shared" si="1"/>
        <v>T&gt;72H</v>
      </c>
      <c r="Z20" s="101">
        <f t="shared" si="2"/>
        <v>3</v>
      </c>
      <c r="AA20" s="61"/>
      <c r="AB20" s="84" t="s">
        <v>1554</v>
      </c>
      <c r="AC20" s="105" t="s">
        <v>2680</v>
      </c>
      <c r="AD20" s="106" t="s">
        <v>1994</v>
      </c>
      <c r="AE20" s="61"/>
    </row>
    <row r="21" spans="1:31" ht="409.5" hidden="1" x14ac:dyDescent="0.35">
      <c r="A21" s="61" t="s">
        <v>1773</v>
      </c>
      <c r="B21" s="61" t="s">
        <v>1774</v>
      </c>
      <c r="C21" s="65"/>
      <c r="D21" s="61"/>
      <c r="E21" s="61" t="s">
        <v>1954</v>
      </c>
      <c r="F21" s="70" t="s">
        <v>53</v>
      </c>
      <c r="G21" s="70" t="s">
        <v>2121</v>
      </c>
      <c r="H21" s="67">
        <v>46172.724965277775</v>
      </c>
      <c r="I21" s="75">
        <v>6.9732601851865184</v>
      </c>
      <c r="J21" s="61"/>
      <c r="K21" s="61"/>
      <c r="L21" s="61"/>
      <c r="M21" s="61" t="s">
        <v>1750</v>
      </c>
      <c r="N21" s="61" t="s">
        <v>1751</v>
      </c>
      <c r="O21" s="61"/>
      <c r="P21" s="61"/>
      <c r="Q21" s="61"/>
      <c r="R21" s="61" t="s">
        <v>2492</v>
      </c>
      <c r="S21" s="61" t="s">
        <v>40</v>
      </c>
      <c r="T21" s="61" t="s">
        <v>1898</v>
      </c>
      <c r="U21" s="61" t="s">
        <v>1898</v>
      </c>
      <c r="V21" s="101" t="str">
        <f>VLOOKUP(B21,[2]Overall!$A:$D,4,0)</f>
        <v>TELEINFRA NORD</v>
      </c>
      <c r="W21" s="101" t="str">
        <f>VLOOKUP(B21,[3]Sheet1!$A:$B,2,0)</f>
        <v>Hamalade</v>
      </c>
      <c r="X21" s="88" t="str">
        <f t="shared" si="0"/>
        <v>NRD</v>
      </c>
      <c r="Y21" s="88" t="str">
        <f t="shared" si="1"/>
        <v>T&gt;72H</v>
      </c>
      <c r="Z21" s="101">
        <f t="shared" si="2"/>
        <v>1</v>
      </c>
      <c r="AA21" s="61"/>
      <c r="AB21" s="84" t="s">
        <v>1554</v>
      </c>
      <c r="AC21" s="105" t="s">
        <v>2680</v>
      </c>
      <c r="AD21" s="106" t="s">
        <v>1994</v>
      </c>
      <c r="AE21" s="61"/>
    </row>
    <row r="22" spans="1:31" ht="409.5" hidden="1" x14ac:dyDescent="0.35">
      <c r="A22" s="61" t="s">
        <v>1773</v>
      </c>
      <c r="B22" s="61" t="s">
        <v>1774</v>
      </c>
      <c r="C22" s="65"/>
      <c r="D22" s="61"/>
      <c r="E22" s="61" t="s">
        <v>1955</v>
      </c>
      <c r="F22" s="70" t="s">
        <v>53</v>
      </c>
      <c r="G22" s="70" t="s">
        <v>2121</v>
      </c>
      <c r="H22" s="67">
        <v>46172.724965277775</v>
      </c>
      <c r="I22" s="75">
        <v>6.9732601851865184</v>
      </c>
      <c r="J22" s="61"/>
      <c r="K22" s="61"/>
      <c r="L22" s="61"/>
      <c r="M22" s="61" t="s">
        <v>1750</v>
      </c>
      <c r="N22" s="61" t="s">
        <v>1751</v>
      </c>
      <c r="O22" s="61"/>
      <c r="P22" s="61"/>
      <c r="Q22" s="61"/>
      <c r="R22" s="61" t="s">
        <v>2492</v>
      </c>
      <c r="S22" s="61" t="s">
        <v>40</v>
      </c>
      <c r="T22" s="61" t="s">
        <v>1898</v>
      </c>
      <c r="U22" s="61" t="s">
        <v>1898</v>
      </c>
      <c r="V22" s="101" t="str">
        <f>VLOOKUP(B22,[2]Overall!$A:$D,4,0)</f>
        <v>TELEINFRA NORD</v>
      </c>
      <c r="W22" s="101" t="str">
        <f>VLOOKUP(B22,[3]Sheet1!$A:$B,2,0)</f>
        <v>Hamalade</v>
      </c>
      <c r="X22" s="88" t="str">
        <f t="shared" si="0"/>
        <v>NRD</v>
      </c>
      <c r="Y22" s="88" t="str">
        <f t="shared" si="1"/>
        <v>T&gt;72H</v>
      </c>
      <c r="Z22" s="101">
        <f t="shared" si="2"/>
        <v>1</v>
      </c>
      <c r="AA22" s="61"/>
      <c r="AB22" s="84" t="s">
        <v>1554</v>
      </c>
      <c r="AC22" s="105" t="s">
        <v>2680</v>
      </c>
      <c r="AD22" s="106" t="s">
        <v>1994</v>
      </c>
      <c r="AE22" s="61"/>
    </row>
    <row r="23" spans="1:31" ht="409.5" hidden="1" x14ac:dyDescent="0.35">
      <c r="A23" s="61" t="s">
        <v>1773</v>
      </c>
      <c r="B23" s="61" t="s">
        <v>1774</v>
      </c>
      <c r="C23" s="65"/>
      <c r="D23" s="61"/>
      <c r="E23" s="61" t="s">
        <v>1953</v>
      </c>
      <c r="F23" s="70" t="s">
        <v>53</v>
      </c>
      <c r="G23" s="70" t="s">
        <v>2121</v>
      </c>
      <c r="H23" s="67">
        <v>46172.724965277775</v>
      </c>
      <c r="I23" s="75">
        <v>6.9732601851865184</v>
      </c>
      <c r="J23" s="61"/>
      <c r="K23" s="61"/>
      <c r="L23" s="61"/>
      <c r="M23" s="61" t="s">
        <v>1750</v>
      </c>
      <c r="N23" s="61" t="s">
        <v>1751</v>
      </c>
      <c r="O23" s="61"/>
      <c r="P23" s="61"/>
      <c r="Q23" s="61"/>
      <c r="R23" s="61" t="s">
        <v>2492</v>
      </c>
      <c r="S23" s="61" t="s">
        <v>40</v>
      </c>
      <c r="T23" s="61" t="s">
        <v>1898</v>
      </c>
      <c r="U23" s="61" t="s">
        <v>1898</v>
      </c>
      <c r="V23" s="101" t="str">
        <f>VLOOKUP(B23,[2]Overall!$A:$D,4,0)</f>
        <v>TELEINFRA NORD</v>
      </c>
      <c r="W23" s="101" t="str">
        <f>VLOOKUP(B23,[3]Sheet1!$A:$B,2,0)</f>
        <v>Hamalade</v>
      </c>
      <c r="X23" s="88" t="str">
        <f t="shared" si="0"/>
        <v>NRD</v>
      </c>
      <c r="Y23" s="88" t="str">
        <f t="shared" si="1"/>
        <v>T&gt;72H</v>
      </c>
      <c r="Z23" s="101">
        <f t="shared" si="2"/>
        <v>1</v>
      </c>
      <c r="AA23" s="61"/>
      <c r="AB23" s="84" t="s">
        <v>1554</v>
      </c>
      <c r="AC23" s="105" t="s">
        <v>2680</v>
      </c>
      <c r="AD23" s="106" t="s">
        <v>1994</v>
      </c>
      <c r="AE23" s="61"/>
    </row>
    <row r="24" spans="1:31" ht="409.5" hidden="1" x14ac:dyDescent="0.35">
      <c r="A24" s="61" t="s">
        <v>1724</v>
      </c>
      <c r="B24" s="61" t="s">
        <v>1725</v>
      </c>
      <c r="C24" s="65"/>
      <c r="D24" s="61"/>
      <c r="E24" s="61" t="s">
        <v>1726</v>
      </c>
      <c r="F24" s="70" t="s">
        <v>53</v>
      </c>
      <c r="G24" s="70" t="s">
        <v>2121</v>
      </c>
      <c r="H24" s="67">
        <v>46172.76761574074</v>
      </c>
      <c r="I24" s="75">
        <v>6.9306097222215612</v>
      </c>
      <c r="J24" s="61"/>
      <c r="K24" s="61"/>
      <c r="L24" s="61"/>
      <c r="M24" s="61" t="s">
        <v>33</v>
      </c>
      <c r="N24" s="61" t="s">
        <v>1635</v>
      </c>
      <c r="O24" s="61"/>
      <c r="P24" s="61"/>
      <c r="Q24" s="61"/>
      <c r="R24" s="61" t="s">
        <v>2626</v>
      </c>
      <c r="S24" s="61" t="s">
        <v>32</v>
      </c>
      <c r="T24" s="61" t="s">
        <v>1898</v>
      </c>
      <c r="U24" s="61" t="s">
        <v>1898</v>
      </c>
      <c r="V24" s="101" t="str">
        <f>VLOOKUP(B24,[2]Overall!$A:$D,4,0)</f>
        <v xml:space="preserve">I-ENG </v>
      </c>
      <c r="W24" s="101" t="str">
        <f>VLOOKUP(B24,[3]Sheet1!$A:$B,2,0)</f>
        <v>Mbakong</v>
      </c>
      <c r="X24" s="88" t="str">
        <f t="shared" si="0"/>
        <v>NRO</v>
      </c>
      <c r="Y24" s="88" t="str">
        <f t="shared" si="1"/>
        <v>T&gt;72H</v>
      </c>
      <c r="Z24" s="101">
        <f t="shared" si="2"/>
        <v>2</v>
      </c>
      <c r="AA24" s="61"/>
      <c r="AB24" s="84" t="s">
        <v>1554</v>
      </c>
      <c r="AC24" s="105" t="s">
        <v>2680</v>
      </c>
      <c r="AD24" s="106" t="s">
        <v>1994</v>
      </c>
      <c r="AE24" s="61"/>
    </row>
    <row r="25" spans="1:31" ht="72.5" x14ac:dyDescent="0.35">
      <c r="A25" s="61" t="s">
        <v>1944</v>
      </c>
      <c r="B25" s="61" t="s">
        <v>1945</v>
      </c>
      <c r="C25" s="65"/>
      <c r="D25" s="61"/>
      <c r="E25" s="61" t="s">
        <v>1946</v>
      </c>
      <c r="F25" s="70" t="s">
        <v>53</v>
      </c>
      <c r="G25" s="70" t="s">
        <v>2121</v>
      </c>
      <c r="H25" s="67">
        <v>46174.445416666669</v>
      </c>
      <c r="I25" s="75">
        <v>5.2528087962928112</v>
      </c>
      <c r="J25" s="61"/>
      <c r="K25" s="61"/>
      <c r="L25" s="61"/>
      <c r="M25" s="61" t="s">
        <v>31</v>
      </c>
      <c r="N25" s="61" t="s">
        <v>1947</v>
      </c>
      <c r="O25" s="61"/>
      <c r="P25" s="61"/>
      <c r="Q25" s="61"/>
      <c r="R25" s="61" t="s">
        <v>1910</v>
      </c>
      <c r="S25" s="61" t="s">
        <v>1903</v>
      </c>
      <c r="T25" s="61" t="s">
        <v>1907</v>
      </c>
      <c r="U25" s="61" t="s">
        <v>1907</v>
      </c>
      <c r="V25" s="101" t="str">
        <f>VLOOKUP(B25,[2]Overall!$A:$D,4,0)</f>
        <v>H-TELI</v>
      </c>
      <c r="W25" s="101" t="str">
        <f>VLOOKUP(B25,[3]Sheet1!$A:$B,2,0)</f>
        <v>Ebodje</v>
      </c>
      <c r="X25" s="88" t="str">
        <f t="shared" si="0"/>
        <v>LIT</v>
      </c>
      <c r="Y25" s="88" t="str">
        <f t="shared" si="1"/>
        <v>T&gt;72H</v>
      </c>
      <c r="Z25" s="101">
        <f t="shared" si="2"/>
        <v>6</v>
      </c>
      <c r="AA25" s="61"/>
      <c r="AB25" s="84" t="s">
        <v>1554</v>
      </c>
      <c r="AC25" s="105" t="s">
        <v>2680</v>
      </c>
      <c r="AD25" s="106" t="s">
        <v>1994</v>
      </c>
      <c r="AE25" s="61"/>
    </row>
    <row r="26" spans="1:31" ht="130.5" hidden="1" x14ac:dyDescent="0.35">
      <c r="A26" s="61" t="s">
        <v>1843</v>
      </c>
      <c r="B26" s="61" t="s">
        <v>1844</v>
      </c>
      <c r="C26" s="65"/>
      <c r="D26" s="61"/>
      <c r="E26" s="61" t="s">
        <v>1879</v>
      </c>
      <c r="F26" s="70" t="s">
        <v>53</v>
      </c>
      <c r="G26" s="70" t="s">
        <v>2121</v>
      </c>
      <c r="H26" s="67">
        <v>46175.448993055557</v>
      </c>
      <c r="I26" s="75">
        <v>4.2492324074046337</v>
      </c>
      <c r="J26" s="61"/>
      <c r="K26" s="61"/>
      <c r="L26" s="61"/>
      <c r="M26" s="61" t="s">
        <v>38</v>
      </c>
      <c r="N26" s="61" t="s">
        <v>1845</v>
      </c>
      <c r="O26" s="61"/>
      <c r="P26" s="61"/>
      <c r="Q26" s="61"/>
      <c r="R26" s="61" t="s">
        <v>2380</v>
      </c>
      <c r="S26" s="61" t="s">
        <v>75</v>
      </c>
      <c r="T26" s="61" t="s">
        <v>1901</v>
      </c>
      <c r="U26" s="61" t="s">
        <v>1901</v>
      </c>
      <c r="V26" s="101" t="str">
        <f>VLOOKUP(B26,[2]Overall!$A:$D,4,0)</f>
        <v>TELEINFRA NORD</v>
      </c>
      <c r="W26" s="101" t="str">
        <f>VLOOKUP(B26,[3]Sheet1!$A:$B,2,0)</f>
        <v>Mayo-Nonde</v>
      </c>
      <c r="X26" s="88" t="str">
        <f t="shared" si="0"/>
        <v>NRD</v>
      </c>
      <c r="Y26" s="88" t="str">
        <f t="shared" si="1"/>
        <v>T&gt;72H</v>
      </c>
      <c r="Z26" s="101">
        <f t="shared" si="2"/>
        <v>3</v>
      </c>
      <c r="AA26" s="61"/>
      <c r="AB26" s="84" t="s">
        <v>1554</v>
      </c>
      <c r="AC26" s="105" t="s">
        <v>2680</v>
      </c>
      <c r="AD26" s="106" t="s">
        <v>1994</v>
      </c>
      <c r="AE26" s="61"/>
    </row>
    <row r="27" spans="1:31" ht="116" hidden="1" x14ac:dyDescent="0.35">
      <c r="A27" s="61" t="s">
        <v>1892</v>
      </c>
      <c r="B27" s="61" t="s">
        <v>1893</v>
      </c>
      <c r="C27" s="65"/>
      <c r="D27" s="61"/>
      <c r="E27" s="61" t="s">
        <v>2199</v>
      </c>
      <c r="F27" s="70" t="s">
        <v>53</v>
      </c>
      <c r="G27" s="70" t="s">
        <v>2121</v>
      </c>
      <c r="H27" s="67">
        <v>46175.837418981479</v>
      </c>
      <c r="I27" s="75">
        <v>3.8608064814834506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2378</v>
      </c>
      <c r="S27" s="61" t="s">
        <v>75</v>
      </c>
      <c r="T27" s="61" t="s">
        <v>1688</v>
      </c>
      <c r="U27" s="6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0"/>
        <v>OST</v>
      </c>
      <c r="Y27" s="88" t="str">
        <f t="shared" si="1"/>
        <v>T&gt;72H</v>
      </c>
      <c r="Z27" s="101">
        <f t="shared" si="2"/>
        <v>1</v>
      </c>
      <c r="AA27" s="61"/>
      <c r="AB27" s="84" t="s">
        <v>1554</v>
      </c>
      <c r="AC27" s="105" t="s">
        <v>2680</v>
      </c>
      <c r="AD27" s="106" t="s">
        <v>1994</v>
      </c>
      <c r="AE27" s="61"/>
    </row>
    <row r="28" spans="1:31" ht="116" hidden="1" x14ac:dyDescent="0.35">
      <c r="A28" s="61" t="s">
        <v>1892</v>
      </c>
      <c r="B28" s="61" t="s">
        <v>1893</v>
      </c>
      <c r="C28" s="65"/>
      <c r="D28" s="61"/>
      <c r="E28" s="61" t="s">
        <v>2200</v>
      </c>
      <c r="F28" s="70" t="s">
        <v>53</v>
      </c>
      <c r="G28" s="70" t="s">
        <v>2121</v>
      </c>
      <c r="H28" s="67">
        <v>46175.837430555555</v>
      </c>
      <c r="I28" s="75">
        <v>3.860794907406671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2378</v>
      </c>
      <c r="S28" s="61" t="s">
        <v>75</v>
      </c>
      <c r="T28" s="61" t="s">
        <v>1688</v>
      </c>
      <c r="U28" s="6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0"/>
        <v>OST</v>
      </c>
      <c r="Y28" s="88" t="str">
        <f t="shared" si="1"/>
        <v>T&gt;72H</v>
      </c>
      <c r="Z28" s="101">
        <f t="shared" si="2"/>
        <v>1</v>
      </c>
      <c r="AA28" s="61"/>
      <c r="AB28" s="84" t="s">
        <v>1554</v>
      </c>
      <c r="AC28" s="105" t="s">
        <v>2680</v>
      </c>
      <c r="AD28" s="106" t="s">
        <v>1994</v>
      </c>
      <c r="AE28" s="61"/>
    </row>
    <row r="29" spans="1:31" ht="116" hidden="1" x14ac:dyDescent="0.35">
      <c r="A29" s="61" t="s">
        <v>1892</v>
      </c>
      <c r="B29" s="61" t="s">
        <v>1893</v>
      </c>
      <c r="C29" s="65"/>
      <c r="D29" s="61"/>
      <c r="E29" s="61" t="s">
        <v>2201</v>
      </c>
      <c r="F29" s="70" t="s">
        <v>53</v>
      </c>
      <c r="G29" s="70" t="s">
        <v>2121</v>
      </c>
      <c r="H29" s="67">
        <v>46175.837407407409</v>
      </c>
      <c r="I29" s="75">
        <v>3.8608180555529543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2378</v>
      </c>
      <c r="S29" s="61" t="s">
        <v>75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0"/>
        <v>OST</v>
      </c>
      <c r="Y29" s="88" t="str">
        <f t="shared" si="1"/>
        <v>T&gt;72H</v>
      </c>
      <c r="Z29" s="101">
        <f t="shared" si="2"/>
        <v>1</v>
      </c>
      <c r="AA29" s="61"/>
      <c r="AB29" s="84" t="s">
        <v>1554</v>
      </c>
      <c r="AC29" s="105" t="s">
        <v>2680</v>
      </c>
      <c r="AD29" s="106" t="s">
        <v>1994</v>
      </c>
      <c r="AE29" s="61"/>
    </row>
    <row r="30" spans="1:31" ht="116" hidden="1" x14ac:dyDescent="0.35">
      <c r="A30" s="61" t="s">
        <v>1892</v>
      </c>
      <c r="B30" s="61" t="s">
        <v>1893</v>
      </c>
      <c r="C30" s="65"/>
      <c r="D30" s="61"/>
      <c r="E30" s="61" t="s">
        <v>2202</v>
      </c>
      <c r="F30" s="70" t="s">
        <v>53</v>
      </c>
      <c r="G30" s="70" t="s">
        <v>2121</v>
      </c>
      <c r="H30" s="67">
        <v>46175.837430555555</v>
      </c>
      <c r="I30" s="75">
        <v>3.860794907406671</v>
      </c>
      <c r="J30" s="61"/>
      <c r="K30" s="61"/>
      <c r="L30" s="61"/>
      <c r="M30" s="61" t="s">
        <v>41</v>
      </c>
      <c r="N30" s="61" t="s">
        <v>42</v>
      </c>
      <c r="O30" s="61"/>
      <c r="P30" s="61"/>
      <c r="Q30" s="61"/>
      <c r="R30" s="61" t="s">
        <v>2378</v>
      </c>
      <c r="S30" s="61" t="s">
        <v>75</v>
      </c>
      <c r="T30" s="61" t="s">
        <v>1688</v>
      </c>
      <c r="U30" s="61" t="s">
        <v>1688</v>
      </c>
      <c r="V30" s="101" t="str">
        <f>VLOOKUP(B30,[2]Overall!$A:$D,4,0)</f>
        <v>H-TELI</v>
      </c>
      <c r="W30" s="101" t="str">
        <f>VLOOKUP(B30,[3]Sheet1!$A:$B,2,0)</f>
        <v>Santchou</v>
      </c>
      <c r="X30" s="88" t="str">
        <f t="shared" si="0"/>
        <v>OST</v>
      </c>
      <c r="Y30" s="88" t="str">
        <f t="shared" si="1"/>
        <v>T&gt;72H</v>
      </c>
      <c r="Z30" s="101">
        <f t="shared" si="2"/>
        <v>1</v>
      </c>
      <c r="AA30" s="61"/>
      <c r="AB30" s="84" t="s">
        <v>1554</v>
      </c>
      <c r="AC30" s="105" t="s">
        <v>2680</v>
      </c>
      <c r="AD30" s="106" t="s">
        <v>1994</v>
      </c>
      <c r="AE30" s="61"/>
    </row>
    <row r="31" spans="1:31" ht="116" hidden="1" x14ac:dyDescent="0.35">
      <c r="A31" s="61" t="s">
        <v>1892</v>
      </c>
      <c r="B31" s="61" t="s">
        <v>1893</v>
      </c>
      <c r="C31" s="65"/>
      <c r="D31" s="61"/>
      <c r="E31" s="61" t="s">
        <v>2203</v>
      </c>
      <c r="F31" s="70" t="s">
        <v>53</v>
      </c>
      <c r="G31" s="70" t="s">
        <v>2121</v>
      </c>
      <c r="H31" s="67">
        <v>46175.837430555555</v>
      </c>
      <c r="I31" s="75">
        <v>3.860794907406671</v>
      </c>
      <c r="J31" s="61"/>
      <c r="K31" s="61"/>
      <c r="L31" s="61"/>
      <c r="M31" s="61" t="s">
        <v>41</v>
      </c>
      <c r="N31" s="61" t="s">
        <v>42</v>
      </c>
      <c r="O31" s="61"/>
      <c r="P31" s="61"/>
      <c r="Q31" s="61"/>
      <c r="R31" s="61" t="s">
        <v>2378</v>
      </c>
      <c r="S31" s="61" t="s">
        <v>75</v>
      </c>
      <c r="T31" s="61" t="s">
        <v>1688</v>
      </c>
      <c r="U31" s="61" t="s">
        <v>1688</v>
      </c>
      <c r="V31" s="101" t="str">
        <f>VLOOKUP(B31,[2]Overall!$A:$D,4,0)</f>
        <v>H-TELI</v>
      </c>
      <c r="W31" s="101" t="str">
        <f>VLOOKUP(B31,[3]Sheet1!$A:$B,2,0)</f>
        <v>Santchou</v>
      </c>
      <c r="X31" s="88" t="str">
        <f t="shared" si="0"/>
        <v>OST</v>
      </c>
      <c r="Y31" s="88" t="str">
        <f t="shared" si="1"/>
        <v>T&gt;72H</v>
      </c>
      <c r="Z31" s="101">
        <f t="shared" si="2"/>
        <v>1</v>
      </c>
      <c r="AA31" s="61"/>
      <c r="AB31" s="84" t="s">
        <v>1554</v>
      </c>
      <c r="AC31" s="105" t="s">
        <v>2680</v>
      </c>
      <c r="AD31" s="106" t="s">
        <v>1994</v>
      </c>
      <c r="AE31" s="61"/>
    </row>
    <row r="32" spans="1:31" ht="116" hidden="1" x14ac:dyDescent="0.35">
      <c r="A32" s="61" t="s">
        <v>1892</v>
      </c>
      <c r="B32" s="61" t="s">
        <v>1893</v>
      </c>
      <c r="C32" s="65"/>
      <c r="D32" s="61"/>
      <c r="E32" s="61" t="s">
        <v>2204</v>
      </c>
      <c r="F32" s="70" t="s">
        <v>53</v>
      </c>
      <c r="G32" s="70" t="s">
        <v>2121</v>
      </c>
      <c r="H32" s="67">
        <v>46175.837430555555</v>
      </c>
      <c r="I32" s="75">
        <v>3.860794907406671</v>
      </c>
      <c r="J32" s="61"/>
      <c r="K32" s="61"/>
      <c r="L32" s="61"/>
      <c r="M32" s="61" t="s">
        <v>41</v>
      </c>
      <c r="N32" s="61" t="s">
        <v>42</v>
      </c>
      <c r="O32" s="61"/>
      <c r="P32" s="61"/>
      <c r="Q32" s="61"/>
      <c r="R32" s="61" t="s">
        <v>2378</v>
      </c>
      <c r="S32" s="61" t="s">
        <v>75</v>
      </c>
      <c r="T32" s="61" t="s">
        <v>1688</v>
      </c>
      <c r="U32" s="61" t="s">
        <v>1688</v>
      </c>
      <c r="V32" s="101" t="str">
        <f>VLOOKUP(B32,[2]Overall!$A:$D,4,0)</f>
        <v>H-TELI</v>
      </c>
      <c r="W32" s="101" t="str">
        <f>VLOOKUP(B32,[3]Sheet1!$A:$B,2,0)</f>
        <v>Santchou</v>
      </c>
      <c r="X32" s="88" t="str">
        <f t="shared" si="0"/>
        <v>OST</v>
      </c>
      <c r="Y32" s="88" t="str">
        <f t="shared" si="1"/>
        <v>T&gt;72H</v>
      </c>
      <c r="Z32" s="101">
        <f t="shared" si="2"/>
        <v>1</v>
      </c>
      <c r="AA32" s="61"/>
      <c r="AB32" s="84" t="s">
        <v>1554</v>
      </c>
      <c r="AC32" s="105" t="s">
        <v>2680</v>
      </c>
      <c r="AD32" s="106" t="s">
        <v>1994</v>
      </c>
      <c r="AE32" s="61"/>
    </row>
    <row r="33" spans="1:31" ht="188.5" hidden="1" x14ac:dyDescent="0.35">
      <c r="A33" s="61" t="s">
        <v>2262</v>
      </c>
      <c r="B33" s="61" t="s">
        <v>2263</v>
      </c>
      <c r="C33" s="65"/>
      <c r="D33" s="61"/>
      <c r="E33" s="61" t="s">
        <v>2264</v>
      </c>
      <c r="F33" s="70" t="s">
        <v>53</v>
      </c>
      <c r="G33" s="70" t="s">
        <v>2121</v>
      </c>
      <c r="H33" s="67">
        <v>46176.41369212963</v>
      </c>
      <c r="I33" s="75">
        <v>3.2845333333316376</v>
      </c>
      <c r="J33" s="61"/>
      <c r="K33" s="61"/>
      <c r="L33" s="61"/>
      <c r="M33" s="61" t="s">
        <v>31</v>
      </c>
      <c r="N33" s="61" t="s">
        <v>2265</v>
      </c>
      <c r="O33" s="61"/>
      <c r="P33" s="61"/>
      <c r="Q33" s="61"/>
      <c r="R33" s="61" t="s">
        <v>2636</v>
      </c>
      <c r="S33" s="61" t="s">
        <v>40</v>
      </c>
      <c r="T33" s="61" t="s">
        <v>1898</v>
      </c>
      <c r="U33" s="61" t="s">
        <v>1898</v>
      </c>
      <c r="V33" s="101" t="str">
        <f>VLOOKUP(B33,[2]Overall!$A:$D,4,0)</f>
        <v>TELEINFRA NORD</v>
      </c>
      <c r="W33" s="101" t="str">
        <f>VLOOKUP(B33,[3]Sheet1!$A:$B,2,0)</f>
        <v>Ndiam-badji</v>
      </c>
      <c r="X33" s="88" t="str">
        <f t="shared" si="0"/>
        <v>NRD</v>
      </c>
      <c r="Y33" s="88" t="str">
        <f t="shared" si="1"/>
        <v>T&gt;72H</v>
      </c>
      <c r="Z33" s="101">
        <f t="shared" si="2"/>
        <v>6</v>
      </c>
      <c r="AA33" s="61"/>
      <c r="AB33" s="84" t="s">
        <v>1554</v>
      </c>
      <c r="AC33" s="105" t="s">
        <v>2680</v>
      </c>
      <c r="AD33" s="106" t="s">
        <v>1994</v>
      </c>
      <c r="AE33" s="61"/>
    </row>
    <row r="34" spans="1:31" ht="188.5" hidden="1" x14ac:dyDescent="0.35">
      <c r="A34" s="61" t="s">
        <v>2262</v>
      </c>
      <c r="B34" s="61" t="s">
        <v>2263</v>
      </c>
      <c r="C34" s="65"/>
      <c r="D34" s="61"/>
      <c r="E34" s="61" t="s">
        <v>2264</v>
      </c>
      <c r="F34" s="70" t="s">
        <v>53</v>
      </c>
      <c r="G34" s="70" t="s">
        <v>2121</v>
      </c>
      <c r="H34" s="67">
        <v>46176.450185185182</v>
      </c>
      <c r="I34" s="75">
        <v>3.2480402777800919</v>
      </c>
      <c r="J34" s="61"/>
      <c r="K34" s="61"/>
      <c r="L34" s="61"/>
      <c r="M34" s="61" t="s">
        <v>1713</v>
      </c>
      <c r="N34" s="61" t="s">
        <v>2266</v>
      </c>
      <c r="O34" s="61"/>
      <c r="P34" s="61"/>
      <c r="Q34" s="61"/>
      <c r="R34" s="61" t="s">
        <v>2636</v>
      </c>
      <c r="S34" s="61" t="s">
        <v>40</v>
      </c>
      <c r="T34" s="61" t="s">
        <v>1898</v>
      </c>
      <c r="U34" s="61" t="s">
        <v>1898</v>
      </c>
      <c r="V34" s="101" t="str">
        <f>VLOOKUP(B34,[2]Overall!$A:$D,4,0)</f>
        <v>TELEINFRA NORD</v>
      </c>
      <c r="W34" s="101" t="str">
        <f>VLOOKUP(B34,[3]Sheet1!$A:$B,2,0)</f>
        <v>Ndiam-badji</v>
      </c>
      <c r="X34" s="88" t="str">
        <f t="shared" si="0"/>
        <v>NRD</v>
      </c>
      <c r="Y34" s="88" t="str">
        <f t="shared" si="1"/>
        <v>T&gt;72H</v>
      </c>
      <c r="Z34" s="101">
        <f t="shared" si="2"/>
        <v>6</v>
      </c>
      <c r="AA34" s="61"/>
      <c r="AB34" s="84" t="s">
        <v>1554</v>
      </c>
      <c r="AC34" s="105" t="s">
        <v>2680</v>
      </c>
      <c r="AD34" s="106" t="s">
        <v>1994</v>
      </c>
      <c r="AE34" s="61"/>
    </row>
    <row r="35" spans="1:31" ht="188.5" hidden="1" x14ac:dyDescent="0.35">
      <c r="A35" s="61" t="s">
        <v>1877</v>
      </c>
      <c r="B35" s="61" t="s">
        <v>1878</v>
      </c>
      <c r="C35" s="65"/>
      <c r="D35" s="61"/>
      <c r="E35" s="61" t="s">
        <v>49</v>
      </c>
      <c r="F35" s="70" t="s">
        <v>53</v>
      </c>
      <c r="G35" s="70" t="s">
        <v>2121</v>
      </c>
      <c r="H35" s="67">
        <v>46176.68891203704</v>
      </c>
      <c r="I35" s="75">
        <v>3.0093134259223007</v>
      </c>
      <c r="J35" s="61"/>
      <c r="K35" s="61"/>
      <c r="L35" s="61"/>
      <c r="M35" s="61" t="s">
        <v>38</v>
      </c>
      <c r="N35" s="61" t="s">
        <v>1943</v>
      </c>
      <c r="O35" s="61"/>
      <c r="P35" s="61"/>
      <c r="Q35" s="61"/>
      <c r="R35" s="61" t="s">
        <v>2627</v>
      </c>
      <c r="S35" s="61" t="s">
        <v>85</v>
      </c>
      <c r="T35" s="61" t="s">
        <v>1688</v>
      </c>
      <c r="U35" s="61" t="s">
        <v>1688</v>
      </c>
      <c r="V35" s="101" t="str">
        <f>VLOOKUP(B35,[2]Overall!$A:$D,4,0)</f>
        <v>H-TELI</v>
      </c>
      <c r="W35" s="101" t="str">
        <f>VLOOKUP(B35,[3]Sheet1!$A:$B,2,0)</f>
        <v>Massock-Songloulou</v>
      </c>
      <c r="X35" s="88" t="str">
        <f t="shared" si="0"/>
        <v>LIT</v>
      </c>
      <c r="Y35" s="88" t="str">
        <f t="shared" si="1"/>
        <v>T&gt;72H</v>
      </c>
      <c r="Z35" s="101">
        <f t="shared" si="2"/>
        <v>1</v>
      </c>
      <c r="AA35" s="61"/>
      <c r="AB35" s="84" t="s">
        <v>1554</v>
      </c>
      <c r="AC35" s="105" t="s">
        <v>2680</v>
      </c>
      <c r="AD35" s="106" t="s">
        <v>1994</v>
      </c>
      <c r="AE35" s="61"/>
    </row>
    <row r="36" spans="1:31" ht="58" x14ac:dyDescent="0.35">
      <c r="A36" s="61" t="s">
        <v>1820</v>
      </c>
      <c r="B36" s="61" t="s">
        <v>1821</v>
      </c>
      <c r="C36" s="65"/>
      <c r="D36" s="61"/>
      <c r="E36" s="61" t="s">
        <v>2358</v>
      </c>
      <c r="F36" s="70" t="s">
        <v>53</v>
      </c>
      <c r="G36" s="70" t="s">
        <v>2121</v>
      </c>
      <c r="H36" s="67">
        <v>46176.940011574072</v>
      </c>
      <c r="I36" s="75">
        <v>2.7582138888901682</v>
      </c>
      <c r="J36" s="61"/>
      <c r="K36" s="61"/>
      <c r="L36" s="61"/>
      <c r="M36" s="61" t="s">
        <v>33</v>
      </c>
      <c r="N36" s="61" t="s">
        <v>2359</v>
      </c>
      <c r="O36" s="61"/>
      <c r="P36" s="61"/>
      <c r="Q36" s="61"/>
      <c r="R36" s="61" t="s">
        <v>1924</v>
      </c>
      <c r="S36" s="61" t="s">
        <v>1924</v>
      </c>
      <c r="T36" s="61" t="s">
        <v>1898</v>
      </c>
      <c r="U36" s="61" t="s">
        <v>1898</v>
      </c>
      <c r="V36" s="101" t="str">
        <f>VLOOKUP(B36,[2]Overall!$A:$D,4,0)</f>
        <v>TELEINFRA NORD</v>
      </c>
      <c r="W36" s="101" t="str">
        <f>VLOOKUP(B36,[3]Sheet1!$A:$B,2,0)</f>
        <v>Nganha</v>
      </c>
      <c r="X36" s="88" t="str">
        <f t="shared" si="0"/>
        <v>ADM</v>
      </c>
      <c r="Y36" s="88" t="str">
        <f t="shared" si="1"/>
        <v>48H&lt;T&lt;72H</v>
      </c>
      <c r="Z36" s="101">
        <f t="shared" si="2"/>
        <v>2</v>
      </c>
      <c r="AA36" s="61"/>
      <c r="AB36" s="84" t="s">
        <v>1554</v>
      </c>
      <c r="AC36" s="105" t="s">
        <v>2680</v>
      </c>
      <c r="AD36" s="106" t="s">
        <v>1994</v>
      </c>
      <c r="AE36" s="61"/>
    </row>
    <row r="37" spans="1:31" ht="87" hidden="1" x14ac:dyDescent="0.35">
      <c r="A37" s="61" t="s">
        <v>1705</v>
      </c>
      <c r="B37" s="61" t="s">
        <v>1706</v>
      </c>
      <c r="C37" s="65"/>
      <c r="D37" s="61"/>
      <c r="E37" s="61" t="s">
        <v>48</v>
      </c>
      <c r="F37" s="70" t="s">
        <v>53</v>
      </c>
      <c r="G37" s="70" t="s">
        <v>2121</v>
      </c>
      <c r="H37" s="67">
        <v>46177.386990740742</v>
      </c>
      <c r="I37" s="75">
        <v>2.311234722219524</v>
      </c>
      <c r="J37" s="61"/>
      <c r="K37" s="61"/>
      <c r="L37" s="61"/>
      <c r="M37" s="61" t="s">
        <v>1707</v>
      </c>
      <c r="N37" s="61" t="s">
        <v>1708</v>
      </c>
      <c r="O37" s="61"/>
      <c r="P37" s="61"/>
      <c r="Q37" s="61"/>
      <c r="R37" s="61" t="s">
        <v>2414</v>
      </c>
      <c r="S37" s="61" t="s">
        <v>71</v>
      </c>
      <c r="T37" s="61" t="s">
        <v>1902</v>
      </c>
      <c r="U37" s="61" t="s">
        <v>1896</v>
      </c>
      <c r="V37" s="101" t="str">
        <f>VLOOKUP(B37,[2]Overall!$A:$D,4,0)</f>
        <v xml:space="preserve">I-ENG </v>
      </c>
      <c r="W37" s="101" t="str">
        <f>VLOOKUP(B37,[3]Sheet1!$A:$B,2,0)</f>
        <v>Laising</v>
      </c>
      <c r="X37" s="88" t="str">
        <f t="shared" si="0"/>
        <v>NRO</v>
      </c>
      <c r="Y37" s="88" t="str">
        <f t="shared" si="1"/>
        <v>48H&lt;T&lt;72H</v>
      </c>
      <c r="Z37" s="101">
        <f t="shared" si="2"/>
        <v>1</v>
      </c>
      <c r="AA37" s="61"/>
      <c r="AB37" s="84" t="s">
        <v>1554</v>
      </c>
      <c r="AC37" s="105" t="s">
        <v>2680</v>
      </c>
      <c r="AD37" s="106" t="s">
        <v>1994</v>
      </c>
      <c r="AE37" s="61"/>
    </row>
    <row r="38" spans="1:31" ht="72.5" x14ac:dyDescent="0.35">
      <c r="A38" s="61" t="s">
        <v>1849</v>
      </c>
      <c r="B38" s="61" t="s">
        <v>1848</v>
      </c>
      <c r="C38" s="65"/>
      <c r="D38" s="61"/>
      <c r="E38" s="61" t="s">
        <v>2255</v>
      </c>
      <c r="F38" s="70" t="s">
        <v>53</v>
      </c>
      <c r="G38" s="70" t="s">
        <v>2121</v>
      </c>
      <c r="H38" s="67">
        <v>46177.491493055553</v>
      </c>
      <c r="I38" s="75">
        <v>2.2067324074087082</v>
      </c>
      <c r="J38" s="61"/>
      <c r="K38" s="61"/>
      <c r="L38" s="61"/>
      <c r="M38" s="61" t="s">
        <v>46</v>
      </c>
      <c r="N38" s="61" t="s">
        <v>2256</v>
      </c>
      <c r="O38" s="61"/>
      <c r="P38" s="61"/>
      <c r="Q38" s="61"/>
      <c r="R38" s="61" t="s">
        <v>1910</v>
      </c>
      <c r="S38" s="61" t="s">
        <v>1903</v>
      </c>
      <c r="T38" s="61" t="s">
        <v>1907</v>
      </c>
      <c r="U38" s="61" t="s">
        <v>1907</v>
      </c>
      <c r="V38" s="101" t="str">
        <f>VLOOKUP(B38,[2]Overall!$A:$D,4,0)</f>
        <v>TELEINFRA NORD</v>
      </c>
      <c r="W38" s="101" t="str">
        <f>VLOOKUP(B38,[3]Sheet1!$A:$B,2,0)</f>
        <v>Dir</v>
      </c>
      <c r="X38" s="88" t="str">
        <f t="shared" si="0"/>
        <v>ADM</v>
      </c>
      <c r="Y38" s="88" t="str">
        <f t="shared" si="1"/>
        <v>48H&lt;T&lt;72H</v>
      </c>
      <c r="Z38" s="101">
        <f t="shared" si="2"/>
        <v>1</v>
      </c>
      <c r="AA38" s="61"/>
      <c r="AB38" s="84" t="s">
        <v>1554</v>
      </c>
      <c r="AC38" s="105" t="s">
        <v>2680</v>
      </c>
      <c r="AD38" s="106" t="s">
        <v>1994</v>
      </c>
      <c r="AE38" s="61"/>
    </row>
    <row r="39" spans="1:31" ht="174" hidden="1" x14ac:dyDescent="0.35">
      <c r="A39" s="61" t="s">
        <v>2257</v>
      </c>
      <c r="B39" s="61" t="s">
        <v>1796</v>
      </c>
      <c r="C39" s="65"/>
      <c r="D39" s="61"/>
      <c r="E39" s="61" t="s">
        <v>35</v>
      </c>
      <c r="F39" s="70" t="s">
        <v>53</v>
      </c>
      <c r="G39" s="70" t="s">
        <v>2121</v>
      </c>
      <c r="H39" s="67">
        <v>46177.521458333336</v>
      </c>
      <c r="I39" s="75">
        <v>2.1767671296256594</v>
      </c>
      <c r="J39" s="61"/>
      <c r="K39" s="61"/>
      <c r="L39" s="61"/>
      <c r="M39" s="61" t="s">
        <v>31</v>
      </c>
      <c r="N39" s="61" t="s">
        <v>2400</v>
      </c>
      <c r="O39" s="61"/>
      <c r="P39" s="61"/>
      <c r="Q39" s="61"/>
      <c r="R39" s="61" t="s">
        <v>2655</v>
      </c>
      <c r="S39" s="61" t="s">
        <v>40</v>
      </c>
      <c r="T39" s="61" t="s">
        <v>1899</v>
      </c>
      <c r="U39" s="61" t="s">
        <v>1899</v>
      </c>
      <c r="V39" s="101" t="str">
        <f>VLOOKUP(B39,[2]Overall!$A:$D,4,0)</f>
        <v>TELEINFRA NORD</v>
      </c>
      <c r="W39" s="101" t="str">
        <f>VLOOKUP(B39,[3]Sheet1!$A:$B,2,0)</f>
        <v>Bagarao</v>
      </c>
      <c r="X39" s="88" t="str">
        <f t="shared" si="0"/>
        <v>EXN</v>
      </c>
      <c r="Y39" s="88" t="str">
        <f t="shared" si="1"/>
        <v>48H&lt;T&lt;72H</v>
      </c>
      <c r="Z39" s="101">
        <f t="shared" si="2"/>
        <v>3</v>
      </c>
      <c r="AA39" s="61"/>
      <c r="AB39" s="84" t="s">
        <v>1554</v>
      </c>
      <c r="AC39" s="105" t="s">
        <v>2680</v>
      </c>
      <c r="AD39" s="106" t="s">
        <v>1994</v>
      </c>
      <c r="AE39" s="61"/>
    </row>
    <row r="40" spans="1:31" ht="116" hidden="1" x14ac:dyDescent="0.35">
      <c r="A40" s="61" t="s">
        <v>2316</v>
      </c>
      <c r="B40" s="61" t="s">
        <v>2317</v>
      </c>
      <c r="C40" s="65"/>
      <c r="D40" s="61"/>
      <c r="E40" s="61" t="s">
        <v>2439</v>
      </c>
      <c r="F40" s="70" t="s">
        <v>53</v>
      </c>
      <c r="G40" s="70" t="s">
        <v>2121</v>
      </c>
      <c r="H40" s="67">
        <v>46177.589004629626</v>
      </c>
      <c r="I40" s="75">
        <v>2.1092208333357121</v>
      </c>
      <c r="J40" s="61"/>
      <c r="K40" s="61"/>
      <c r="L40" s="61"/>
      <c r="M40" s="61" t="s">
        <v>38</v>
      </c>
      <c r="N40" s="61" t="s">
        <v>2319</v>
      </c>
      <c r="O40" s="61"/>
      <c r="P40" s="61"/>
      <c r="Q40" s="61"/>
      <c r="R40" s="61" t="s">
        <v>2621</v>
      </c>
      <c r="S40" s="61" t="s">
        <v>85</v>
      </c>
      <c r="T40" s="61" t="s">
        <v>1898</v>
      </c>
      <c r="U40" s="61" t="s">
        <v>1898</v>
      </c>
      <c r="V40" s="101" t="str">
        <f>VLOOKUP(B40,[2]Overall!$A:$D,4,0)</f>
        <v>H-TELI</v>
      </c>
      <c r="W40" s="101" t="str">
        <f>VLOOKUP(B40,[3]Sheet1!$A:$B,2,0)</f>
        <v>Logbong</v>
      </c>
      <c r="X40" s="88" t="str">
        <f t="shared" si="0"/>
        <v>LIT</v>
      </c>
      <c r="Y40" s="88" t="str">
        <f t="shared" si="1"/>
        <v>48H&lt;T&lt;72H</v>
      </c>
      <c r="Z40" s="101">
        <f t="shared" si="2"/>
        <v>6</v>
      </c>
      <c r="AA40" s="61"/>
      <c r="AB40" s="84" t="s">
        <v>1554</v>
      </c>
      <c r="AC40" s="105" t="s">
        <v>2680</v>
      </c>
      <c r="AD40" s="106" t="s">
        <v>1994</v>
      </c>
      <c r="AE40" s="61"/>
    </row>
    <row r="41" spans="1:31" ht="116" hidden="1" x14ac:dyDescent="0.35">
      <c r="A41" s="61" t="s">
        <v>2320</v>
      </c>
      <c r="B41" s="61" t="s">
        <v>2317</v>
      </c>
      <c r="C41" s="65"/>
      <c r="D41" s="61"/>
      <c r="E41" s="61" t="s">
        <v>1787</v>
      </c>
      <c r="F41" s="70" t="s">
        <v>53</v>
      </c>
      <c r="G41" s="70" t="s">
        <v>2121</v>
      </c>
      <c r="H41" s="67">
        <v>46177.589270833334</v>
      </c>
      <c r="I41" s="75">
        <v>2.1089546296279877</v>
      </c>
      <c r="J41" s="61"/>
      <c r="K41" s="61"/>
      <c r="L41" s="61"/>
      <c r="M41" s="61" t="s">
        <v>38</v>
      </c>
      <c r="N41" s="61" t="s">
        <v>2321</v>
      </c>
      <c r="O41" s="61"/>
      <c r="P41" s="61"/>
      <c r="Q41" s="61"/>
      <c r="R41" s="61" t="s">
        <v>2621</v>
      </c>
      <c r="S41" s="61" t="s">
        <v>85</v>
      </c>
      <c r="T41" s="61" t="s">
        <v>1898</v>
      </c>
      <c r="U41" s="61" t="s">
        <v>1898</v>
      </c>
      <c r="V41" s="101" t="str">
        <f>VLOOKUP(B41,[2]Overall!$A:$D,4,0)</f>
        <v>H-TELI</v>
      </c>
      <c r="W41" s="101" t="str">
        <f>VLOOKUP(B41,[3]Sheet1!$A:$B,2,0)</f>
        <v>Logbong</v>
      </c>
      <c r="X41" s="88" t="str">
        <f t="shared" si="0"/>
        <v>LIT</v>
      </c>
      <c r="Y41" s="88" t="str">
        <f t="shared" si="1"/>
        <v>48H&lt;T&lt;72H</v>
      </c>
      <c r="Z41" s="101">
        <f t="shared" si="2"/>
        <v>2</v>
      </c>
      <c r="AA41" s="61"/>
      <c r="AB41" s="84" t="s">
        <v>1554</v>
      </c>
      <c r="AC41" s="105" t="s">
        <v>2680</v>
      </c>
      <c r="AD41" s="106" t="s">
        <v>1994</v>
      </c>
      <c r="AE41" s="61"/>
    </row>
    <row r="42" spans="1:31" ht="87" hidden="1" x14ac:dyDescent="0.35">
      <c r="A42" s="61" t="s">
        <v>2276</v>
      </c>
      <c r="B42" s="61" t="s">
        <v>2277</v>
      </c>
      <c r="C42" s="65"/>
      <c r="D42" s="61"/>
      <c r="E42" s="61" t="s">
        <v>2278</v>
      </c>
      <c r="F42" s="70" t="s">
        <v>53</v>
      </c>
      <c r="G42" s="70" t="s">
        <v>2121</v>
      </c>
      <c r="H42" s="67">
        <v>46177.591168981482</v>
      </c>
      <c r="I42" s="75">
        <v>2.1070564814799582</v>
      </c>
      <c r="J42" s="61"/>
      <c r="K42" s="61"/>
      <c r="L42" s="61"/>
      <c r="M42" s="61" t="s">
        <v>38</v>
      </c>
      <c r="N42" s="61" t="s">
        <v>2279</v>
      </c>
      <c r="O42" s="61"/>
      <c r="P42" s="61"/>
      <c r="Q42" s="61"/>
      <c r="R42" s="61" t="s">
        <v>2624</v>
      </c>
      <c r="S42" s="61" t="s">
        <v>32</v>
      </c>
      <c r="T42" s="61" t="s">
        <v>1898</v>
      </c>
      <c r="U42" s="61" t="s">
        <v>1898</v>
      </c>
      <c r="V42" s="101" t="str">
        <f>VLOOKUP(B42,[2]Overall!$A:$D,4,0)</f>
        <v xml:space="preserve">I-ENG </v>
      </c>
      <c r="W42" s="101" t="str">
        <f>VLOOKUP(B42,[3]Sheet1!$A:$B,2,0)</f>
        <v>Babanki</v>
      </c>
      <c r="X42" s="88" t="str">
        <f t="shared" si="0"/>
        <v>NRO</v>
      </c>
      <c r="Y42" s="88" t="str">
        <f t="shared" si="1"/>
        <v>48H&lt;T&lt;72H</v>
      </c>
      <c r="Z42" s="101">
        <f t="shared" si="2"/>
        <v>2</v>
      </c>
      <c r="AA42" s="61"/>
      <c r="AB42" s="84" t="s">
        <v>1554</v>
      </c>
      <c r="AC42" s="105" t="s">
        <v>2680</v>
      </c>
      <c r="AD42" s="106" t="s">
        <v>1994</v>
      </c>
      <c r="AE42" s="61"/>
    </row>
    <row r="43" spans="1:31" ht="87" hidden="1" x14ac:dyDescent="0.35">
      <c r="A43" s="61" t="s">
        <v>1684</v>
      </c>
      <c r="B43" s="61" t="s">
        <v>1620</v>
      </c>
      <c r="C43" s="65"/>
      <c r="D43" s="61"/>
      <c r="E43" s="61" t="s">
        <v>1793</v>
      </c>
      <c r="F43" s="70" t="s">
        <v>53</v>
      </c>
      <c r="G43" s="70" t="s">
        <v>2121</v>
      </c>
      <c r="H43" s="67">
        <v>46177.706493055557</v>
      </c>
      <c r="I43" s="75">
        <v>1.9917324074049247</v>
      </c>
      <c r="J43" s="61"/>
      <c r="K43" s="61"/>
      <c r="L43" s="61"/>
      <c r="M43" s="61" t="s">
        <v>33</v>
      </c>
      <c r="N43" s="61" t="s">
        <v>1653</v>
      </c>
      <c r="O43" s="61"/>
      <c r="P43" s="61"/>
      <c r="Q43" s="61"/>
      <c r="R43" s="61" t="s">
        <v>2497</v>
      </c>
      <c r="S43" s="61" t="s">
        <v>75</v>
      </c>
      <c r="T43" s="61" t="s">
        <v>1898</v>
      </c>
      <c r="U43" s="61" t="s">
        <v>1898</v>
      </c>
      <c r="V43" s="101" t="str">
        <f>VLOOKUP(B43,[2]Overall!$A:$D,4,0)</f>
        <v>TELEINFRA NORD</v>
      </c>
      <c r="W43" s="101" t="str">
        <f>VLOOKUP(B43,[3]Sheet1!$A:$B,2,0)</f>
        <v>Batoua-Godole</v>
      </c>
      <c r="X43" s="88" t="str">
        <f t="shared" si="0"/>
        <v>ADM</v>
      </c>
      <c r="Y43" s="88" t="str">
        <f t="shared" si="1"/>
        <v>24H&lt;T&lt;48H</v>
      </c>
      <c r="Z43" s="101">
        <f t="shared" si="2"/>
        <v>2</v>
      </c>
      <c r="AA43" s="61"/>
      <c r="AB43" s="84" t="s">
        <v>1554</v>
      </c>
      <c r="AC43" s="105" t="s">
        <v>2680</v>
      </c>
      <c r="AD43" s="106" t="s">
        <v>1994</v>
      </c>
      <c r="AE43" s="61"/>
    </row>
    <row r="44" spans="1:31" ht="145" hidden="1" x14ac:dyDescent="0.35">
      <c r="A44" s="61" t="s">
        <v>1807</v>
      </c>
      <c r="B44" s="61" t="s">
        <v>1808</v>
      </c>
      <c r="C44" s="65"/>
      <c r="D44" s="61"/>
      <c r="E44" s="61" t="s">
        <v>1810</v>
      </c>
      <c r="F44" s="70" t="s">
        <v>53</v>
      </c>
      <c r="G44" s="70" t="s">
        <v>2121</v>
      </c>
      <c r="H44" s="67">
        <v>46177.733206018522</v>
      </c>
      <c r="I44" s="75">
        <v>1.9650194444402587</v>
      </c>
      <c r="J44" s="61"/>
      <c r="K44" s="61"/>
      <c r="L44" s="61"/>
      <c r="M44" s="61" t="s">
        <v>2053</v>
      </c>
      <c r="N44" s="61" t="s">
        <v>2054</v>
      </c>
      <c r="O44" s="61"/>
      <c r="P44" s="61"/>
      <c r="Q44" s="61"/>
      <c r="R44" s="61" t="s">
        <v>2622</v>
      </c>
      <c r="S44" s="61" t="s">
        <v>85</v>
      </c>
      <c r="T44" s="61" t="s">
        <v>1898</v>
      </c>
      <c r="U44" s="61" t="s">
        <v>1898</v>
      </c>
      <c r="V44" s="101" t="str">
        <f>VLOOKUP(B44,[2]Overall!$A:$D,4,0)</f>
        <v>H-TELI</v>
      </c>
      <c r="W44" s="101" t="str">
        <f>VLOOKUP(B44,[3]Sheet1!$A:$B,2,0)</f>
        <v>Songloulou</v>
      </c>
      <c r="X44" s="88" t="str">
        <f t="shared" si="0"/>
        <v>LIT</v>
      </c>
      <c r="Y44" s="88" t="str">
        <f t="shared" si="1"/>
        <v>24H&lt;T&lt;48H</v>
      </c>
      <c r="Z44" s="101">
        <f t="shared" si="2"/>
        <v>1</v>
      </c>
      <c r="AA44" s="61"/>
      <c r="AB44" s="84" t="s">
        <v>1554</v>
      </c>
      <c r="AC44" s="105" t="s">
        <v>2680</v>
      </c>
      <c r="AD44" s="106" t="s">
        <v>1994</v>
      </c>
      <c r="AE44" s="61"/>
    </row>
    <row r="45" spans="1:31" ht="145" hidden="1" x14ac:dyDescent="0.35">
      <c r="A45" s="61" t="s">
        <v>1807</v>
      </c>
      <c r="B45" s="61" t="s">
        <v>1808</v>
      </c>
      <c r="C45" s="65"/>
      <c r="D45" s="61"/>
      <c r="E45" s="61" t="s">
        <v>2446</v>
      </c>
      <c r="F45" s="70" t="s">
        <v>53</v>
      </c>
      <c r="G45" s="70" t="s">
        <v>2121</v>
      </c>
      <c r="H45" s="67">
        <v>46177.734120370369</v>
      </c>
      <c r="I45" s="75">
        <v>1.9641050925929449</v>
      </c>
      <c r="J45" s="61"/>
      <c r="K45" s="61"/>
      <c r="L45" s="61"/>
      <c r="M45" s="61" t="s">
        <v>2053</v>
      </c>
      <c r="N45" s="61" t="s">
        <v>2054</v>
      </c>
      <c r="O45" s="61"/>
      <c r="P45" s="61"/>
      <c r="Q45" s="61"/>
      <c r="R45" s="61" t="s">
        <v>2622</v>
      </c>
      <c r="S45" s="61" t="s">
        <v>85</v>
      </c>
      <c r="T45" s="61" t="s">
        <v>1898</v>
      </c>
      <c r="U45" s="61" t="s">
        <v>1898</v>
      </c>
      <c r="V45" s="101" t="str">
        <f>VLOOKUP(B45,[2]Overall!$A:$D,4,0)</f>
        <v>H-TELI</v>
      </c>
      <c r="W45" s="101" t="str">
        <f>VLOOKUP(B45,[3]Sheet1!$A:$B,2,0)</f>
        <v>Songloulou</v>
      </c>
      <c r="X45" s="88" t="str">
        <f t="shared" si="0"/>
        <v>LIT</v>
      </c>
      <c r="Y45" s="88" t="str">
        <f t="shared" si="1"/>
        <v>24H&lt;T&lt;48H</v>
      </c>
      <c r="Z45" s="101">
        <f t="shared" si="2"/>
        <v>1</v>
      </c>
      <c r="AA45" s="61"/>
      <c r="AB45" s="84" t="s">
        <v>1554</v>
      </c>
      <c r="AC45" s="105" t="s">
        <v>2680</v>
      </c>
      <c r="AD45" s="106" t="s">
        <v>1994</v>
      </c>
      <c r="AE45" s="61"/>
    </row>
    <row r="46" spans="1:31" ht="72.5" x14ac:dyDescent="0.35">
      <c r="A46" s="61" t="s">
        <v>1869</v>
      </c>
      <c r="B46" s="61" t="s">
        <v>1912</v>
      </c>
      <c r="C46" s="65"/>
      <c r="D46" s="61"/>
      <c r="E46" s="61" t="s">
        <v>1868</v>
      </c>
      <c r="F46" s="70" t="s">
        <v>53</v>
      </c>
      <c r="G46" s="70" t="s">
        <v>2121</v>
      </c>
      <c r="H46" s="67">
        <v>46177.734270833331</v>
      </c>
      <c r="I46" s="75">
        <v>1.9639546296311892</v>
      </c>
      <c r="J46" s="61"/>
      <c r="K46" s="61"/>
      <c r="L46" s="61"/>
      <c r="M46" s="61" t="s">
        <v>31</v>
      </c>
      <c r="N46" s="61" t="s">
        <v>1867</v>
      </c>
      <c r="O46" s="61"/>
      <c r="P46" s="61"/>
      <c r="Q46" s="61"/>
      <c r="R46" s="61" t="s">
        <v>1909</v>
      </c>
      <c r="S46" s="61" t="s">
        <v>1908</v>
      </c>
      <c r="T46" s="61" t="s">
        <v>1865</v>
      </c>
      <c r="U46" s="61" t="s">
        <v>1865</v>
      </c>
      <c r="V46" s="101" t="e">
        <f>VLOOKUP(B46,[2]Overall!$A:$D,4,0)</f>
        <v>#N/A</v>
      </c>
      <c r="W46" s="101" t="e">
        <f>VLOOKUP(B46,[3]Sheet1!$A:$B,2,0)</f>
        <v>#N/A</v>
      </c>
      <c r="X46" s="88" t="str">
        <f t="shared" si="0"/>
        <v>TR_</v>
      </c>
      <c r="Y46" s="88" t="str">
        <f t="shared" si="1"/>
        <v>24H&lt;T&lt;48H</v>
      </c>
      <c r="Z46" s="101">
        <f t="shared" si="2"/>
        <v>4</v>
      </c>
      <c r="AA46" s="61"/>
      <c r="AB46" s="84" t="s">
        <v>1554</v>
      </c>
      <c r="AC46" s="105" t="s">
        <v>2680</v>
      </c>
      <c r="AD46" s="106" t="s">
        <v>1994</v>
      </c>
      <c r="AE46" s="61"/>
    </row>
    <row r="47" spans="1:31" ht="145" hidden="1" x14ac:dyDescent="0.35">
      <c r="A47" s="61" t="s">
        <v>1807</v>
      </c>
      <c r="B47" s="61" t="s">
        <v>1808</v>
      </c>
      <c r="C47" s="65"/>
      <c r="D47" s="61"/>
      <c r="E47" s="61" t="s">
        <v>1813</v>
      </c>
      <c r="F47" s="70" t="s">
        <v>53</v>
      </c>
      <c r="G47" s="70" t="s">
        <v>2121</v>
      </c>
      <c r="H47" s="67">
        <v>46177.741377314815</v>
      </c>
      <c r="I47" s="75">
        <v>1.9568481481474009</v>
      </c>
      <c r="J47" s="61"/>
      <c r="K47" s="61"/>
      <c r="L47" s="61"/>
      <c r="M47" s="61" t="s">
        <v>41</v>
      </c>
      <c r="N47" s="61" t="s">
        <v>42</v>
      </c>
      <c r="O47" s="61"/>
      <c r="P47" s="61"/>
      <c r="Q47" s="61"/>
      <c r="R47" s="61" t="s">
        <v>2622</v>
      </c>
      <c r="S47" s="61" t="s">
        <v>85</v>
      </c>
      <c r="T47" s="61" t="s">
        <v>1898</v>
      </c>
      <c r="U47" s="61" t="s">
        <v>1898</v>
      </c>
      <c r="V47" s="101" t="str">
        <f>VLOOKUP(B47,[2]Overall!$A:$D,4,0)</f>
        <v>H-TELI</v>
      </c>
      <c r="W47" s="101" t="str">
        <f>VLOOKUP(B47,[3]Sheet1!$A:$B,2,0)</f>
        <v>Songloulou</v>
      </c>
      <c r="X47" s="88" t="str">
        <f t="shared" si="0"/>
        <v>LIT</v>
      </c>
      <c r="Y47" s="88" t="str">
        <f t="shared" si="1"/>
        <v>24H&lt;T&lt;48H</v>
      </c>
      <c r="Z47" s="101">
        <f t="shared" si="2"/>
        <v>1</v>
      </c>
      <c r="AA47" s="61"/>
      <c r="AB47" s="84" t="s">
        <v>1554</v>
      </c>
      <c r="AC47" s="105" t="s">
        <v>2680</v>
      </c>
      <c r="AD47" s="106" t="s">
        <v>1994</v>
      </c>
      <c r="AE47" s="61"/>
    </row>
    <row r="48" spans="1:31" ht="145" hidden="1" x14ac:dyDescent="0.35">
      <c r="A48" s="61" t="s">
        <v>1807</v>
      </c>
      <c r="B48" s="61" t="s">
        <v>1808</v>
      </c>
      <c r="C48" s="65"/>
      <c r="D48" s="61"/>
      <c r="E48" s="61" t="s">
        <v>1812</v>
      </c>
      <c r="F48" s="70" t="s">
        <v>53</v>
      </c>
      <c r="G48" s="70" t="s">
        <v>2121</v>
      </c>
      <c r="H48" s="67">
        <v>46177.742442129631</v>
      </c>
      <c r="I48" s="75">
        <v>1.9557833333310555</v>
      </c>
      <c r="J48" s="61"/>
      <c r="K48" s="61"/>
      <c r="L48" s="61"/>
      <c r="M48" s="61" t="s">
        <v>41</v>
      </c>
      <c r="N48" s="61" t="s">
        <v>42</v>
      </c>
      <c r="O48" s="61"/>
      <c r="P48" s="61"/>
      <c r="Q48" s="61"/>
      <c r="R48" s="61" t="s">
        <v>2622</v>
      </c>
      <c r="S48" s="61" t="s">
        <v>85</v>
      </c>
      <c r="T48" s="61" t="s">
        <v>1898</v>
      </c>
      <c r="U48" s="61" t="s">
        <v>1898</v>
      </c>
      <c r="V48" s="101" t="str">
        <f>VLOOKUP(B48,[2]Overall!$A:$D,4,0)</f>
        <v>H-TELI</v>
      </c>
      <c r="W48" s="101" t="str">
        <f>VLOOKUP(B48,[3]Sheet1!$A:$B,2,0)</f>
        <v>Songloulou</v>
      </c>
      <c r="X48" s="88" t="str">
        <f t="shared" si="0"/>
        <v>LIT</v>
      </c>
      <c r="Y48" s="88" t="str">
        <f t="shared" si="1"/>
        <v>24H&lt;T&lt;48H</v>
      </c>
      <c r="Z48" s="101">
        <f t="shared" si="2"/>
        <v>1</v>
      </c>
      <c r="AA48" s="61"/>
      <c r="AB48" s="84" t="s">
        <v>1554</v>
      </c>
      <c r="AC48" s="105" t="s">
        <v>2680</v>
      </c>
      <c r="AD48" s="106" t="s">
        <v>1994</v>
      </c>
      <c r="AE48" s="61"/>
    </row>
    <row r="49" spans="1:31" ht="217.5" hidden="1" x14ac:dyDescent="0.35">
      <c r="A49" s="61" t="s">
        <v>2147</v>
      </c>
      <c r="B49" s="61" t="s">
        <v>2148</v>
      </c>
      <c r="C49" s="65"/>
      <c r="D49" s="61"/>
      <c r="E49" s="61" t="s">
        <v>2149</v>
      </c>
      <c r="F49" s="70" t="s">
        <v>53</v>
      </c>
      <c r="G49" s="70" t="s">
        <v>2121</v>
      </c>
      <c r="H49" s="67">
        <v>46177.806562500002</v>
      </c>
      <c r="I49" s="75">
        <v>1.8916629629602539</v>
      </c>
      <c r="J49" s="61"/>
      <c r="K49" s="61"/>
      <c r="L49" s="61"/>
      <c r="M49" s="61" t="s">
        <v>33</v>
      </c>
      <c r="N49" s="61" t="s">
        <v>1626</v>
      </c>
      <c r="O49" s="61"/>
      <c r="P49" s="61"/>
      <c r="Q49" s="61"/>
      <c r="R49" s="84" t="s">
        <v>2685</v>
      </c>
      <c r="S49" s="61" t="s">
        <v>40</v>
      </c>
      <c r="T49" s="61" t="s">
        <v>1898</v>
      </c>
      <c r="U49" s="61" t="s">
        <v>1898</v>
      </c>
      <c r="V49" s="101" t="str">
        <f>VLOOKUP(B49,[2]Overall!$A:$D,4,0)</f>
        <v>TELEINFRA NORD</v>
      </c>
      <c r="W49" s="101" t="str">
        <f>VLOOKUP(B49,[3]Sheet1!$A:$B,2,0)</f>
        <v>Mboulai</v>
      </c>
      <c r="X49" s="88" t="str">
        <f t="shared" si="0"/>
        <v>ADM</v>
      </c>
      <c r="Y49" s="88" t="str">
        <f t="shared" si="1"/>
        <v>24H&lt;T&lt;48H</v>
      </c>
      <c r="Z49" s="101">
        <f t="shared" si="2"/>
        <v>1</v>
      </c>
      <c r="AA49" s="61"/>
      <c r="AB49" s="84" t="s">
        <v>1554</v>
      </c>
      <c r="AC49" s="105" t="s">
        <v>2680</v>
      </c>
      <c r="AD49" s="106" t="s">
        <v>1994</v>
      </c>
      <c r="AE49" s="61"/>
    </row>
    <row r="50" spans="1:31" ht="72.5" hidden="1" x14ac:dyDescent="0.35">
      <c r="A50" s="61" t="s">
        <v>2350</v>
      </c>
      <c r="B50" s="61" t="s">
        <v>2351</v>
      </c>
      <c r="C50" s="65"/>
      <c r="D50" s="61"/>
      <c r="E50" s="61" t="s">
        <v>2352</v>
      </c>
      <c r="F50" s="70" t="s">
        <v>53</v>
      </c>
      <c r="G50" s="70" t="s">
        <v>2121</v>
      </c>
      <c r="H50" s="67">
        <v>46177.830648148149</v>
      </c>
      <c r="I50" s="75">
        <v>1.8675773148133885</v>
      </c>
      <c r="J50" s="61"/>
      <c r="K50" s="61"/>
      <c r="L50" s="61"/>
      <c r="M50" s="61" t="s">
        <v>38</v>
      </c>
      <c r="N50" s="61" t="s">
        <v>2353</v>
      </c>
      <c r="O50" s="61"/>
      <c r="P50" s="61"/>
      <c r="Q50" s="61"/>
      <c r="R50" s="61" t="s">
        <v>2590</v>
      </c>
      <c r="S50" s="61" t="s">
        <v>75</v>
      </c>
      <c r="T50" s="61" t="s">
        <v>1754</v>
      </c>
      <c r="U50" s="61" t="s">
        <v>1754</v>
      </c>
      <c r="V50" s="101" t="str">
        <f>VLOOKUP(B50,[2]Overall!$A:$D,4,0)</f>
        <v>TELEINFRA NORD</v>
      </c>
      <c r="W50" s="101" t="str">
        <f>VLOOKUP(B50,[3]Sheet1!$A:$B,2,0)</f>
        <v>Guidjiba</v>
      </c>
      <c r="X50" s="88" t="str">
        <f t="shared" si="0"/>
        <v>NRD</v>
      </c>
      <c r="Y50" s="88" t="str">
        <f t="shared" si="1"/>
        <v>24H&lt;T&lt;48H</v>
      </c>
      <c r="Z50" s="101">
        <f t="shared" si="2"/>
        <v>2</v>
      </c>
      <c r="AA50" s="61"/>
      <c r="AB50" s="84" t="s">
        <v>1554</v>
      </c>
      <c r="AC50" s="105" t="s">
        <v>2680</v>
      </c>
      <c r="AD50" s="106" t="s">
        <v>1994</v>
      </c>
      <c r="AE50" s="61"/>
    </row>
    <row r="51" spans="1:31" ht="159.5" x14ac:dyDescent="0.35">
      <c r="A51" s="61" t="s">
        <v>1733</v>
      </c>
      <c r="B51" s="61" t="s">
        <v>1734</v>
      </c>
      <c r="C51" s="65"/>
      <c r="D51" s="61"/>
      <c r="E51" s="61" t="s">
        <v>2472</v>
      </c>
      <c r="F51" s="70" t="s">
        <v>53</v>
      </c>
      <c r="G51" s="70" t="s">
        <v>2121</v>
      </c>
      <c r="H51" s="67">
        <v>46177.893877314818</v>
      </c>
      <c r="I51" s="75">
        <v>1.8043481481436174</v>
      </c>
      <c r="J51" s="61"/>
      <c r="K51" s="61"/>
      <c r="L51" s="61"/>
      <c r="M51" s="61" t="s">
        <v>31</v>
      </c>
      <c r="N51" s="61" t="s">
        <v>2473</v>
      </c>
      <c r="O51" s="61"/>
      <c r="P51" s="61"/>
      <c r="Q51" s="61"/>
      <c r="R51" s="61" t="s">
        <v>2092</v>
      </c>
      <c r="S51" s="61" t="s">
        <v>1903</v>
      </c>
      <c r="T51" s="61" t="s">
        <v>1898</v>
      </c>
      <c r="U51" s="61" t="s">
        <v>1898</v>
      </c>
      <c r="V51" s="101" t="str">
        <f>VLOOKUP(B51,[2]Overall!$A:$D,4,0)</f>
        <v>TELEINFRA CENTRE</v>
      </c>
      <c r="W51" s="101" t="str">
        <f>VLOOKUP(B51,[3]Sheet1!$A:$B,2,0)</f>
        <v>Batchenga</v>
      </c>
      <c r="X51" s="88" t="str">
        <f t="shared" si="0"/>
        <v>CTR</v>
      </c>
      <c r="Y51" s="88" t="str">
        <f t="shared" si="1"/>
        <v>24H&lt;T&lt;48H</v>
      </c>
      <c r="Z51" s="101">
        <f t="shared" si="2"/>
        <v>9</v>
      </c>
      <c r="AA51" s="61"/>
      <c r="AB51" s="84" t="s">
        <v>1554</v>
      </c>
      <c r="AC51" s="105" t="s">
        <v>2680</v>
      </c>
      <c r="AD51" s="106" t="s">
        <v>1994</v>
      </c>
      <c r="AE51" s="61"/>
    </row>
    <row r="52" spans="1:31" ht="159.5" x14ac:dyDescent="0.35">
      <c r="A52" s="61" t="s">
        <v>1733</v>
      </c>
      <c r="B52" s="61" t="s">
        <v>1734</v>
      </c>
      <c r="C52" s="65"/>
      <c r="D52" s="61"/>
      <c r="E52" s="61" t="s">
        <v>2474</v>
      </c>
      <c r="F52" s="70" t="s">
        <v>53</v>
      </c>
      <c r="G52" s="70" t="s">
        <v>2121</v>
      </c>
      <c r="H52" s="67">
        <v>46177.905034722222</v>
      </c>
      <c r="I52" s="75">
        <v>1.7931907407401013</v>
      </c>
      <c r="J52" s="61"/>
      <c r="K52" s="61"/>
      <c r="L52" s="61"/>
      <c r="M52" s="61" t="s">
        <v>1750</v>
      </c>
      <c r="N52" s="61" t="s">
        <v>1751</v>
      </c>
      <c r="O52" s="61"/>
      <c r="P52" s="61"/>
      <c r="Q52" s="61"/>
      <c r="R52" s="61" t="s">
        <v>2092</v>
      </c>
      <c r="S52" s="61" t="s">
        <v>1903</v>
      </c>
      <c r="T52" s="61" t="s">
        <v>1898</v>
      </c>
      <c r="U52" s="61" t="s">
        <v>1898</v>
      </c>
      <c r="V52" s="101" t="str">
        <f>VLOOKUP(B52,[2]Overall!$A:$D,4,0)</f>
        <v>TELEINFRA CENTRE</v>
      </c>
      <c r="W52" s="101" t="str">
        <f>VLOOKUP(B52,[3]Sheet1!$A:$B,2,0)</f>
        <v>Batchenga</v>
      </c>
      <c r="X52" s="88" t="str">
        <f t="shared" si="0"/>
        <v>CTR</v>
      </c>
      <c r="Y52" s="88" t="str">
        <f t="shared" si="1"/>
        <v>24H&lt;T&lt;48H</v>
      </c>
      <c r="Z52" s="101">
        <f t="shared" si="2"/>
        <v>1</v>
      </c>
      <c r="AA52" s="61"/>
      <c r="AB52" s="84" t="s">
        <v>1554</v>
      </c>
      <c r="AC52" s="105" t="s">
        <v>2680</v>
      </c>
      <c r="AD52" s="106" t="s">
        <v>1994</v>
      </c>
      <c r="AE52" s="61"/>
    </row>
    <row r="53" spans="1:31" ht="159.5" x14ac:dyDescent="0.35">
      <c r="A53" s="61" t="s">
        <v>1733</v>
      </c>
      <c r="B53" s="61" t="s">
        <v>1734</v>
      </c>
      <c r="C53" s="65"/>
      <c r="D53" s="61"/>
      <c r="E53" s="61" t="s">
        <v>2475</v>
      </c>
      <c r="F53" s="70" t="s">
        <v>53</v>
      </c>
      <c r="G53" s="70" t="s">
        <v>2121</v>
      </c>
      <c r="H53" s="67">
        <v>46177.905034722222</v>
      </c>
      <c r="I53" s="75">
        <v>1.7931907407401013</v>
      </c>
      <c r="J53" s="61"/>
      <c r="K53" s="61"/>
      <c r="L53" s="61"/>
      <c r="M53" s="61" t="s">
        <v>1750</v>
      </c>
      <c r="N53" s="61" t="s">
        <v>1751</v>
      </c>
      <c r="O53" s="61"/>
      <c r="P53" s="61"/>
      <c r="Q53" s="61"/>
      <c r="R53" s="61" t="s">
        <v>2092</v>
      </c>
      <c r="S53" s="61" t="s">
        <v>1903</v>
      </c>
      <c r="T53" s="61" t="s">
        <v>1898</v>
      </c>
      <c r="U53" s="61" t="s">
        <v>1898</v>
      </c>
      <c r="V53" s="101" t="str">
        <f>VLOOKUP(B53,[2]Overall!$A:$D,4,0)</f>
        <v>TELEINFRA CENTRE</v>
      </c>
      <c r="W53" s="101" t="str">
        <f>VLOOKUP(B53,[3]Sheet1!$A:$B,2,0)</f>
        <v>Batchenga</v>
      </c>
      <c r="X53" s="88" t="str">
        <f t="shared" si="0"/>
        <v>CTR</v>
      </c>
      <c r="Y53" s="88" t="str">
        <f t="shared" si="1"/>
        <v>24H&lt;T&lt;48H</v>
      </c>
      <c r="Z53" s="101">
        <f t="shared" si="2"/>
        <v>1</v>
      </c>
      <c r="AA53" s="61"/>
      <c r="AB53" s="84" t="s">
        <v>1554</v>
      </c>
      <c r="AC53" s="105" t="s">
        <v>2680</v>
      </c>
      <c r="AD53" s="106" t="s">
        <v>1994</v>
      </c>
      <c r="AE53" s="61"/>
    </row>
    <row r="54" spans="1:31" ht="159.5" x14ac:dyDescent="0.35">
      <c r="A54" s="61" t="s">
        <v>1733</v>
      </c>
      <c r="B54" s="61" t="s">
        <v>1734</v>
      </c>
      <c r="C54" s="65"/>
      <c r="D54" s="61"/>
      <c r="E54" s="61" t="s">
        <v>2476</v>
      </c>
      <c r="F54" s="70" t="s">
        <v>53</v>
      </c>
      <c r="G54" s="70" t="s">
        <v>2121</v>
      </c>
      <c r="H54" s="67">
        <v>46177.905034722222</v>
      </c>
      <c r="I54" s="75">
        <v>1.7931907407401013</v>
      </c>
      <c r="J54" s="61"/>
      <c r="K54" s="61"/>
      <c r="L54" s="61"/>
      <c r="M54" s="61" t="s">
        <v>1750</v>
      </c>
      <c r="N54" s="61" t="s">
        <v>1751</v>
      </c>
      <c r="O54" s="61"/>
      <c r="P54" s="61"/>
      <c r="Q54" s="61"/>
      <c r="R54" s="61" t="s">
        <v>2092</v>
      </c>
      <c r="S54" s="61" t="s">
        <v>1903</v>
      </c>
      <c r="T54" s="61" t="s">
        <v>1898</v>
      </c>
      <c r="U54" s="61" t="s">
        <v>1898</v>
      </c>
      <c r="V54" s="101" t="str">
        <f>VLOOKUP(B54,[2]Overall!$A:$D,4,0)</f>
        <v>TELEINFRA CENTRE</v>
      </c>
      <c r="W54" s="101" t="str">
        <f>VLOOKUP(B54,[3]Sheet1!$A:$B,2,0)</f>
        <v>Batchenga</v>
      </c>
      <c r="X54" s="88" t="str">
        <f t="shared" si="0"/>
        <v>CTR</v>
      </c>
      <c r="Y54" s="88" t="str">
        <f t="shared" si="1"/>
        <v>24H&lt;T&lt;48H</v>
      </c>
      <c r="Z54" s="101">
        <f t="shared" si="2"/>
        <v>1</v>
      </c>
      <c r="AA54" s="61"/>
      <c r="AB54" s="84" t="s">
        <v>1554</v>
      </c>
      <c r="AC54" s="105" t="s">
        <v>2680</v>
      </c>
      <c r="AD54" s="106" t="s">
        <v>1994</v>
      </c>
      <c r="AE54" s="61"/>
    </row>
    <row r="55" spans="1:31" ht="101.5" x14ac:dyDescent="0.35">
      <c r="A55" s="61" t="s">
        <v>1863</v>
      </c>
      <c r="B55" s="61" t="s">
        <v>1862</v>
      </c>
      <c r="C55" s="65"/>
      <c r="D55" s="61"/>
      <c r="E55" s="61" t="s">
        <v>1636</v>
      </c>
      <c r="F55" s="70" t="s">
        <v>53</v>
      </c>
      <c r="G55" s="70" t="s">
        <v>2121</v>
      </c>
      <c r="H55" s="67">
        <v>46178.136064814818</v>
      </c>
      <c r="I55" s="75">
        <v>1.5621606481436174</v>
      </c>
      <c r="J55" s="61"/>
      <c r="K55" s="61"/>
      <c r="L55" s="61"/>
      <c r="M55" s="61" t="s">
        <v>41</v>
      </c>
      <c r="N55" s="61" t="s">
        <v>1652</v>
      </c>
      <c r="O55" s="61"/>
      <c r="P55" s="61"/>
      <c r="Q55" s="61"/>
      <c r="R55" s="61" t="s">
        <v>1909</v>
      </c>
      <c r="S55" s="61" t="s">
        <v>1903</v>
      </c>
      <c r="T55" s="61" t="s">
        <v>1865</v>
      </c>
      <c r="U55" s="61" t="s">
        <v>1865</v>
      </c>
      <c r="V55" s="101" t="e">
        <f>VLOOKUP(B55,[2]Overall!$A:$D,4,0)</f>
        <v>#N/A</v>
      </c>
      <c r="W55" s="101" t="e">
        <f>VLOOKUP(B55,[3]Sheet1!$A:$B,2,0)</f>
        <v>#N/A</v>
      </c>
      <c r="X55" s="88" t="str">
        <f t="shared" si="0"/>
        <v>ADM</v>
      </c>
      <c r="Y55" s="88" t="str">
        <f t="shared" si="1"/>
        <v>24H&lt;T&lt;48H</v>
      </c>
      <c r="Z55" s="101">
        <f t="shared" si="2"/>
        <v>1</v>
      </c>
      <c r="AA55" s="61"/>
      <c r="AB55" s="84" t="s">
        <v>1554</v>
      </c>
      <c r="AC55" s="105" t="s">
        <v>2680</v>
      </c>
      <c r="AD55" s="106" t="s">
        <v>1994</v>
      </c>
      <c r="AE55" s="61"/>
    </row>
    <row r="56" spans="1:31" ht="232" hidden="1" x14ac:dyDescent="0.35">
      <c r="A56" s="61" t="s">
        <v>1776</v>
      </c>
      <c r="B56" s="61" t="s">
        <v>1777</v>
      </c>
      <c r="C56" s="65"/>
      <c r="D56" s="61"/>
      <c r="E56" s="61" t="s">
        <v>35</v>
      </c>
      <c r="F56" s="70" t="s">
        <v>53</v>
      </c>
      <c r="G56" s="70" t="s">
        <v>2121</v>
      </c>
      <c r="H56" s="67">
        <v>46178.43041666667</v>
      </c>
      <c r="I56" s="75">
        <v>1.2678087962922291</v>
      </c>
      <c r="J56" s="61"/>
      <c r="K56" s="61"/>
      <c r="L56" s="61"/>
      <c r="M56" s="61" t="s">
        <v>31</v>
      </c>
      <c r="N56" s="61" t="s">
        <v>1778</v>
      </c>
      <c r="O56" s="61"/>
      <c r="P56" s="61"/>
      <c r="Q56" s="61"/>
      <c r="R56" s="61" t="s">
        <v>2538</v>
      </c>
      <c r="S56" s="61" t="s">
        <v>32</v>
      </c>
      <c r="T56" s="61" t="s">
        <v>1898</v>
      </c>
      <c r="U56" s="61" t="s">
        <v>1898</v>
      </c>
      <c r="V56" s="101" t="str">
        <f>VLOOKUP(B56,[2]Overall!$A:$D,4,0)</f>
        <v xml:space="preserve">I-ENG </v>
      </c>
      <c r="W56" s="101" t="str">
        <f>VLOOKUP(B56,[3]Sheet1!$A:$B,2,0)</f>
        <v>Bafmeng</v>
      </c>
      <c r="X56" s="88" t="str">
        <f t="shared" si="0"/>
        <v>NRO</v>
      </c>
      <c r="Y56" s="88" t="str">
        <f t="shared" si="1"/>
        <v>24H&lt;T&lt;48H</v>
      </c>
      <c r="Z56" s="101">
        <f t="shared" si="2"/>
        <v>3</v>
      </c>
      <c r="AA56" s="61"/>
      <c r="AB56" s="84" t="s">
        <v>1554</v>
      </c>
      <c r="AC56" s="105" t="s">
        <v>2680</v>
      </c>
      <c r="AD56" s="106" t="s">
        <v>1994</v>
      </c>
      <c r="AE56" s="61"/>
    </row>
    <row r="57" spans="1:31" ht="87" hidden="1" x14ac:dyDescent="0.35">
      <c r="A57" s="61" t="s">
        <v>2441</v>
      </c>
      <c r="B57" s="61" t="s">
        <v>2442</v>
      </c>
      <c r="C57" s="65"/>
      <c r="D57" s="61"/>
      <c r="E57" s="61" t="s">
        <v>2471</v>
      </c>
      <c r="F57" s="70" t="s">
        <v>53</v>
      </c>
      <c r="G57" s="70" t="s">
        <v>2121</v>
      </c>
      <c r="H57" s="67">
        <v>46178.441736111112</v>
      </c>
      <c r="I57" s="75">
        <v>1.2564893518501776</v>
      </c>
      <c r="J57" s="61"/>
      <c r="K57" s="61"/>
      <c r="L57" s="61"/>
      <c r="M57" s="61" t="s">
        <v>33</v>
      </c>
      <c r="N57" s="61" t="s">
        <v>2444</v>
      </c>
      <c r="O57" s="61"/>
      <c r="P57" s="61"/>
      <c r="Q57" s="61"/>
      <c r="R57" s="61" t="s">
        <v>2652</v>
      </c>
      <c r="S57" s="61" t="s">
        <v>45</v>
      </c>
      <c r="T57" s="61" t="s">
        <v>1898</v>
      </c>
      <c r="U57" s="61" t="s">
        <v>1898</v>
      </c>
      <c r="V57" s="101" t="str">
        <f>VLOOKUP(B57,[2]Overall!$A:$D,4,0)</f>
        <v>TELEINFRA CENTRE</v>
      </c>
      <c r="W57" s="101" t="str">
        <f>VLOOKUP(B57,[3]Sheet1!$A:$B,2,0)</f>
        <v>Yola</v>
      </c>
      <c r="X57" s="88" t="str">
        <f t="shared" si="0"/>
        <v>EST</v>
      </c>
      <c r="Y57" s="88" t="str">
        <f t="shared" si="1"/>
        <v>24H&lt;T&lt;48H</v>
      </c>
      <c r="Z57" s="101">
        <f t="shared" si="2"/>
        <v>2</v>
      </c>
      <c r="AA57" s="61"/>
      <c r="AB57" s="84" t="s">
        <v>1554</v>
      </c>
      <c r="AC57" s="105" t="s">
        <v>2680</v>
      </c>
      <c r="AD57" s="106" t="s">
        <v>1994</v>
      </c>
      <c r="AE57" s="61"/>
    </row>
    <row r="58" spans="1:31" ht="101.5" hidden="1" x14ac:dyDescent="0.35">
      <c r="A58" s="61" t="s">
        <v>2481</v>
      </c>
      <c r="B58" s="61" t="s">
        <v>2482</v>
      </c>
      <c r="C58" s="65"/>
      <c r="D58" s="61"/>
      <c r="E58" s="61" t="s">
        <v>2483</v>
      </c>
      <c r="F58" s="70" t="s">
        <v>53</v>
      </c>
      <c r="G58" s="70" t="s">
        <v>2121</v>
      </c>
      <c r="H58" s="67">
        <v>46178.506608796299</v>
      </c>
      <c r="I58" s="75">
        <v>1.1916166666633217</v>
      </c>
      <c r="J58" s="61"/>
      <c r="K58" s="61"/>
      <c r="L58" s="61"/>
      <c r="M58" s="61" t="s">
        <v>46</v>
      </c>
      <c r="N58" s="61" t="s">
        <v>2484</v>
      </c>
      <c r="O58" s="61"/>
      <c r="P58" s="61"/>
      <c r="Q58" s="61"/>
      <c r="R58" s="61" t="s">
        <v>2623</v>
      </c>
      <c r="S58" s="61" t="s">
        <v>85</v>
      </c>
      <c r="T58" s="61" t="s">
        <v>1898</v>
      </c>
      <c r="U58" s="61" t="s">
        <v>1898</v>
      </c>
      <c r="V58" s="101" t="str">
        <f>VLOOKUP(B58,[2]Overall!$A:$D,4,0)</f>
        <v>H-TELI</v>
      </c>
      <c r="W58" s="101" t="str">
        <f>VLOOKUP(B58,[3]Sheet1!$A:$B,2,0)</f>
        <v>Banguem</v>
      </c>
      <c r="X58" s="88" t="str">
        <f t="shared" si="0"/>
        <v>SUO</v>
      </c>
      <c r="Y58" s="88" t="str">
        <f t="shared" si="1"/>
        <v>24H&lt;T&lt;48H</v>
      </c>
      <c r="Z58" s="101">
        <f t="shared" si="2"/>
        <v>1</v>
      </c>
      <c r="AA58" s="61"/>
      <c r="AB58" s="84" t="s">
        <v>1554</v>
      </c>
      <c r="AC58" s="105" t="s">
        <v>2680</v>
      </c>
      <c r="AD58" s="106" t="s">
        <v>1994</v>
      </c>
      <c r="AE58" s="61"/>
    </row>
    <row r="59" spans="1:31" ht="87" hidden="1" x14ac:dyDescent="0.35">
      <c r="A59" s="61" t="s">
        <v>2520</v>
      </c>
      <c r="B59" s="61" t="s">
        <v>2521</v>
      </c>
      <c r="C59" s="65"/>
      <c r="D59" s="61"/>
      <c r="E59" s="61" t="s">
        <v>2522</v>
      </c>
      <c r="F59" s="70" t="s">
        <v>53</v>
      </c>
      <c r="G59" s="70" t="s">
        <v>2121</v>
      </c>
      <c r="H59" s="67">
        <v>46178.632245370369</v>
      </c>
      <c r="I59" s="75">
        <v>1.0659800925932359</v>
      </c>
      <c r="J59" s="61"/>
      <c r="K59" s="61"/>
      <c r="L59" s="61"/>
      <c r="M59" s="61" t="s">
        <v>33</v>
      </c>
      <c r="N59" s="61" t="s">
        <v>2523</v>
      </c>
      <c r="O59" s="61"/>
      <c r="P59" s="61"/>
      <c r="Q59" s="61"/>
      <c r="R59" s="61" t="s">
        <v>2660</v>
      </c>
      <c r="S59" s="61" t="s">
        <v>32</v>
      </c>
      <c r="T59" s="61" t="s">
        <v>1898</v>
      </c>
      <c r="U59" s="61" t="s">
        <v>1898</v>
      </c>
      <c r="V59" s="101" t="str">
        <f>VLOOKUP(B59,[2]Overall!$A:$D,4,0)</f>
        <v xml:space="preserve">I-ENG </v>
      </c>
      <c r="W59" s="101" t="str">
        <f>VLOOKUP(B59,[3]Sheet1!$A:$B,2,0)</f>
        <v>Nyanon</v>
      </c>
      <c r="X59" s="88" t="str">
        <f t="shared" si="0"/>
        <v>LIT</v>
      </c>
      <c r="Y59" s="88" t="str">
        <f t="shared" si="1"/>
        <v>24H&lt;T&lt;48H</v>
      </c>
      <c r="Z59" s="101">
        <f t="shared" si="2"/>
        <v>2</v>
      </c>
      <c r="AA59" s="61"/>
      <c r="AB59" s="84" t="s">
        <v>1554</v>
      </c>
      <c r="AC59" s="105" t="s">
        <v>2680</v>
      </c>
      <c r="AD59" s="106" t="s">
        <v>1994</v>
      </c>
      <c r="AE59" s="61"/>
    </row>
    <row r="60" spans="1:31" ht="409.5" hidden="1" x14ac:dyDescent="0.35">
      <c r="A60" s="61" t="s">
        <v>1624</v>
      </c>
      <c r="B60" s="61" t="s">
        <v>1625</v>
      </c>
      <c r="C60" s="65"/>
      <c r="D60" s="61"/>
      <c r="E60" s="61" t="s">
        <v>2582</v>
      </c>
      <c r="F60" s="70" t="s">
        <v>53</v>
      </c>
      <c r="G60" s="70" t="s">
        <v>2121</v>
      </c>
      <c r="H60" s="67">
        <v>46178.691365740742</v>
      </c>
      <c r="I60" s="75">
        <v>1.006859722219815</v>
      </c>
      <c r="J60" s="61"/>
      <c r="K60" s="61"/>
      <c r="L60" s="61"/>
      <c r="M60" s="61" t="s">
        <v>33</v>
      </c>
      <c r="N60" s="61" t="s">
        <v>2470</v>
      </c>
      <c r="O60" s="61"/>
      <c r="P60" s="61"/>
      <c r="Q60" s="61"/>
      <c r="R60" s="86" t="s">
        <v>2681</v>
      </c>
      <c r="S60" s="82" t="s">
        <v>32</v>
      </c>
      <c r="T60" s="82" t="s">
        <v>1900</v>
      </c>
      <c r="U60" s="86" t="s">
        <v>1900</v>
      </c>
      <c r="V60" s="101" t="str">
        <f>VLOOKUP(B60,[2]Overall!$A:$D,4,0)</f>
        <v xml:space="preserve">I-ENG </v>
      </c>
      <c r="W60" s="101" t="str">
        <f>VLOOKUP(B60,[3]Sheet1!$A:$B,2,0)</f>
        <v>Kembong</v>
      </c>
      <c r="X60" s="88" t="str">
        <f t="shared" si="0"/>
        <v>NRO</v>
      </c>
      <c r="Y60" s="88" t="str">
        <f t="shared" si="1"/>
        <v>24H&lt;T&lt;48H</v>
      </c>
      <c r="Z60" s="101">
        <f t="shared" si="2"/>
        <v>2</v>
      </c>
      <c r="AA60" s="61"/>
      <c r="AB60" s="84" t="s">
        <v>1555</v>
      </c>
      <c r="AC60" s="105" t="s">
        <v>2680</v>
      </c>
      <c r="AD60" s="106" t="s">
        <v>1994</v>
      </c>
      <c r="AE60" s="61"/>
    </row>
    <row r="61" spans="1:31" ht="72.5" hidden="1" x14ac:dyDescent="0.35">
      <c r="A61" s="61" t="s">
        <v>1803</v>
      </c>
      <c r="B61" s="61" t="s">
        <v>1804</v>
      </c>
      <c r="C61" s="65"/>
      <c r="D61" s="61"/>
      <c r="E61" s="61" t="s">
        <v>2602</v>
      </c>
      <c r="F61" s="70" t="s">
        <v>53</v>
      </c>
      <c r="G61" s="70" t="s">
        <v>2121</v>
      </c>
      <c r="H61" s="67">
        <v>46178.741863425923</v>
      </c>
      <c r="I61" s="75">
        <v>0.95636203703907086</v>
      </c>
      <c r="J61" s="61"/>
      <c r="K61" s="61"/>
      <c r="L61" s="61"/>
      <c r="M61" s="61" t="s">
        <v>1627</v>
      </c>
      <c r="N61" s="61" t="s">
        <v>2603</v>
      </c>
      <c r="O61" s="61"/>
      <c r="P61" s="61"/>
      <c r="Q61" s="61"/>
      <c r="R61" s="61" t="s">
        <v>2618</v>
      </c>
      <c r="S61" s="61" t="s">
        <v>51</v>
      </c>
      <c r="T61" s="61" t="s">
        <v>1754</v>
      </c>
      <c r="U61" s="61" t="s">
        <v>1754</v>
      </c>
      <c r="V61" s="101" t="str">
        <f>VLOOKUP(B61,[2]Overall!$A:$D,4,0)</f>
        <v>TELEINFRA CENTRE</v>
      </c>
      <c r="W61" s="101" t="str">
        <f>VLOOKUP(B61,[3]Sheet1!$A:$B,2,0)</f>
        <v>SALAPOUMBE</v>
      </c>
      <c r="X61" s="88" t="str">
        <f t="shared" si="0"/>
        <v>EST</v>
      </c>
      <c r="Y61" s="88" t="str">
        <f t="shared" si="1"/>
        <v>16H&lt;T&lt;24H</v>
      </c>
      <c r="Z61" s="101">
        <f t="shared" si="2"/>
        <v>1</v>
      </c>
      <c r="AA61" s="61"/>
      <c r="AB61" s="84" t="s">
        <v>1554</v>
      </c>
      <c r="AC61" s="105" t="s">
        <v>2680</v>
      </c>
      <c r="AD61" s="106" t="s">
        <v>1994</v>
      </c>
      <c r="AE61" s="61"/>
    </row>
    <row r="62" spans="1:31" ht="87" hidden="1" x14ac:dyDescent="0.35">
      <c r="A62" s="61" t="s">
        <v>2554</v>
      </c>
      <c r="B62" s="61" t="s">
        <v>2555</v>
      </c>
      <c r="C62" s="65"/>
      <c r="D62" s="61"/>
      <c r="E62" s="61" t="s">
        <v>2564</v>
      </c>
      <c r="F62" s="70" t="s">
        <v>53</v>
      </c>
      <c r="G62" s="70" t="s">
        <v>2121</v>
      </c>
      <c r="H62" s="67">
        <v>46178.890717592592</v>
      </c>
      <c r="I62" s="75">
        <v>0.80750787036959082</v>
      </c>
      <c r="J62" s="61"/>
      <c r="K62" s="61"/>
      <c r="L62" s="61"/>
      <c r="M62" s="61" t="s">
        <v>41</v>
      </c>
      <c r="N62" s="61" t="s">
        <v>42</v>
      </c>
      <c r="O62" s="61"/>
      <c r="P62" s="61"/>
      <c r="Q62" s="61"/>
      <c r="R62" s="61" t="s">
        <v>2654</v>
      </c>
      <c r="S62" s="61" t="s">
        <v>71</v>
      </c>
      <c r="T62" s="61" t="s">
        <v>1902</v>
      </c>
      <c r="U62" s="61" t="s">
        <v>1896</v>
      </c>
      <c r="V62" s="101" t="str">
        <f>VLOOKUP(B62,[2]Overall!$A:$D,4,0)</f>
        <v xml:space="preserve">I-ENG </v>
      </c>
      <c r="W62" s="101" t="str">
        <f>VLOOKUP(B62,[3]Sheet1!$A:$B,2,0)</f>
        <v>Bangambi</v>
      </c>
      <c r="X62" s="88" t="str">
        <f t="shared" si="0"/>
        <v>OST</v>
      </c>
      <c r="Y62" s="88" t="str">
        <f t="shared" si="1"/>
        <v>16H&lt;T&lt;24H</v>
      </c>
      <c r="Z62" s="101">
        <f t="shared" si="2"/>
        <v>1</v>
      </c>
      <c r="AA62" s="61"/>
      <c r="AB62" s="84" t="s">
        <v>1554</v>
      </c>
      <c r="AC62" s="105" t="s">
        <v>2680</v>
      </c>
      <c r="AD62" s="106" t="s">
        <v>1994</v>
      </c>
      <c r="AE62" s="61"/>
    </row>
    <row r="63" spans="1:31" ht="87" hidden="1" x14ac:dyDescent="0.35">
      <c r="A63" s="61" t="s">
        <v>2554</v>
      </c>
      <c r="B63" s="61" t="s">
        <v>2555</v>
      </c>
      <c r="C63" s="65"/>
      <c r="D63" s="61"/>
      <c r="E63" s="61" t="s">
        <v>2558</v>
      </c>
      <c r="F63" s="70" t="s">
        <v>53</v>
      </c>
      <c r="G63" s="70" t="s">
        <v>2121</v>
      </c>
      <c r="H63" s="67">
        <v>46178.890717592592</v>
      </c>
      <c r="I63" s="75">
        <v>0.80750787036959082</v>
      </c>
      <c r="J63" s="61"/>
      <c r="K63" s="61"/>
      <c r="L63" s="61"/>
      <c r="M63" s="61" t="s">
        <v>41</v>
      </c>
      <c r="N63" s="61" t="s">
        <v>42</v>
      </c>
      <c r="O63" s="61"/>
      <c r="P63" s="61"/>
      <c r="Q63" s="61"/>
      <c r="R63" s="61" t="s">
        <v>2654</v>
      </c>
      <c r="S63" s="61" t="s">
        <v>71</v>
      </c>
      <c r="T63" s="61" t="s">
        <v>1902</v>
      </c>
      <c r="U63" s="61" t="s">
        <v>1896</v>
      </c>
      <c r="V63" s="101" t="str">
        <f>VLOOKUP(B63,[2]Overall!$A:$D,4,0)</f>
        <v xml:space="preserve">I-ENG </v>
      </c>
      <c r="W63" s="101" t="str">
        <f>VLOOKUP(B63,[3]Sheet1!$A:$B,2,0)</f>
        <v>Bangambi</v>
      </c>
      <c r="X63" s="88" t="str">
        <f t="shared" si="0"/>
        <v>OST</v>
      </c>
      <c r="Y63" s="88" t="str">
        <f t="shared" si="1"/>
        <v>16H&lt;T&lt;24H</v>
      </c>
      <c r="Z63" s="101">
        <f t="shared" si="2"/>
        <v>1</v>
      </c>
      <c r="AA63" s="61"/>
      <c r="AB63" s="84" t="s">
        <v>1554</v>
      </c>
      <c r="AC63" s="105" t="s">
        <v>2680</v>
      </c>
      <c r="AD63" s="106" t="s">
        <v>1994</v>
      </c>
      <c r="AE63" s="61"/>
    </row>
    <row r="64" spans="1:31" ht="87" hidden="1" x14ac:dyDescent="0.35">
      <c r="A64" s="61" t="s">
        <v>2554</v>
      </c>
      <c r="B64" s="61" t="s">
        <v>2555</v>
      </c>
      <c r="C64" s="65"/>
      <c r="D64" s="61"/>
      <c r="E64" s="61" t="s">
        <v>2560</v>
      </c>
      <c r="F64" s="70" t="s">
        <v>53</v>
      </c>
      <c r="G64" s="70" t="s">
        <v>2121</v>
      </c>
      <c r="H64" s="67">
        <v>46178.890717592592</v>
      </c>
      <c r="I64" s="75">
        <v>0.80750787036959082</v>
      </c>
      <c r="J64" s="61"/>
      <c r="K64" s="61"/>
      <c r="L64" s="61"/>
      <c r="M64" s="61" t="s">
        <v>41</v>
      </c>
      <c r="N64" s="61" t="s">
        <v>42</v>
      </c>
      <c r="O64" s="61"/>
      <c r="P64" s="61"/>
      <c r="Q64" s="61"/>
      <c r="R64" s="61" t="s">
        <v>2654</v>
      </c>
      <c r="S64" s="61" t="s">
        <v>71</v>
      </c>
      <c r="T64" s="61" t="s">
        <v>1902</v>
      </c>
      <c r="U64" s="61" t="s">
        <v>1896</v>
      </c>
      <c r="V64" s="101" t="str">
        <f>VLOOKUP(B64,[2]Overall!$A:$D,4,0)</f>
        <v xml:space="preserve">I-ENG </v>
      </c>
      <c r="W64" s="101" t="str">
        <f>VLOOKUP(B64,[3]Sheet1!$A:$B,2,0)</f>
        <v>Bangambi</v>
      </c>
      <c r="X64" s="88" t="str">
        <f t="shared" si="0"/>
        <v>OST</v>
      </c>
      <c r="Y64" s="88" t="str">
        <f t="shared" si="1"/>
        <v>16H&lt;T&lt;24H</v>
      </c>
      <c r="Z64" s="101">
        <f t="shared" si="2"/>
        <v>1</v>
      </c>
      <c r="AA64" s="61"/>
      <c r="AB64" s="84" t="s">
        <v>1554</v>
      </c>
      <c r="AC64" s="105" t="s">
        <v>2680</v>
      </c>
      <c r="AD64" s="106" t="s">
        <v>1994</v>
      </c>
      <c r="AE64" s="61"/>
    </row>
    <row r="65" spans="1:31" ht="87" hidden="1" x14ac:dyDescent="0.35">
      <c r="A65" s="61" t="s">
        <v>2554</v>
      </c>
      <c r="B65" s="61" t="s">
        <v>2555</v>
      </c>
      <c r="C65" s="65"/>
      <c r="D65" s="61"/>
      <c r="E65" s="61" t="s">
        <v>2562</v>
      </c>
      <c r="F65" s="70" t="s">
        <v>53</v>
      </c>
      <c r="G65" s="70" t="s">
        <v>2121</v>
      </c>
      <c r="H65" s="67">
        <v>46178.890717592592</v>
      </c>
      <c r="I65" s="75">
        <v>0.80750787036959082</v>
      </c>
      <c r="J65" s="61"/>
      <c r="K65" s="61"/>
      <c r="L65" s="61"/>
      <c r="M65" s="61" t="s">
        <v>41</v>
      </c>
      <c r="N65" s="61" t="s">
        <v>42</v>
      </c>
      <c r="O65" s="61"/>
      <c r="P65" s="61"/>
      <c r="Q65" s="61"/>
      <c r="R65" s="61" t="s">
        <v>2654</v>
      </c>
      <c r="S65" s="61" t="s">
        <v>71</v>
      </c>
      <c r="T65" s="61" t="s">
        <v>1902</v>
      </c>
      <c r="U65" s="61" t="s">
        <v>1896</v>
      </c>
      <c r="V65" s="101" t="str">
        <f>VLOOKUP(B65,[2]Overall!$A:$D,4,0)</f>
        <v xml:space="preserve">I-ENG </v>
      </c>
      <c r="W65" s="101" t="str">
        <f>VLOOKUP(B65,[3]Sheet1!$A:$B,2,0)</f>
        <v>Bangambi</v>
      </c>
      <c r="X65" s="88" t="str">
        <f t="shared" si="0"/>
        <v>OST</v>
      </c>
      <c r="Y65" s="88" t="str">
        <f t="shared" si="1"/>
        <v>16H&lt;T&lt;24H</v>
      </c>
      <c r="Z65" s="101">
        <f t="shared" si="2"/>
        <v>1</v>
      </c>
      <c r="AA65" s="61"/>
      <c r="AB65" s="84" t="s">
        <v>1554</v>
      </c>
      <c r="AC65" s="105" t="s">
        <v>2680</v>
      </c>
      <c r="AD65" s="106" t="s">
        <v>1994</v>
      </c>
      <c r="AE65" s="61"/>
    </row>
    <row r="66" spans="1:31" ht="87" hidden="1" x14ac:dyDescent="0.35">
      <c r="A66" s="61" t="s">
        <v>2554</v>
      </c>
      <c r="B66" s="61" t="s">
        <v>2555</v>
      </c>
      <c r="C66" s="65"/>
      <c r="D66" s="61"/>
      <c r="E66" s="61" t="s">
        <v>2556</v>
      </c>
      <c r="F66" s="70" t="s">
        <v>53</v>
      </c>
      <c r="G66" s="70" t="s">
        <v>2121</v>
      </c>
      <c r="H66" s="67">
        <v>46178.890706018516</v>
      </c>
      <c r="I66" s="75">
        <v>0.80751944444637047</v>
      </c>
      <c r="J66" s="61"/>
      <c r="K66" s="61"/>
      <c r="L66" s="61"/>
      <c r="M66" s="61" t="s">
        <v>41</v>
      </c>
      <c r="N66" s="61" t="s">
        <v>42</v>
      </c>
      <c r="O66" s="61"/>
      <c r="P66" s="61"/>
      <c r="Q66" s="61"/>
      <c r="R66" s="61" t="s">
        <v>2654</v>
      </c>
      <c r="S66" s="61" t="s">
        <v>71</v>
      </c>
      <c r="T66" s="61" t="s">
        <v>1902</v>
      </c>
      <c r="U66" s="61" t="s">
        <v>1896</v>
      </c>
      <c r="V66" s="101" t="str">
        <f>VLOOKUP(B66,[2]Overall!$A:$D,4,0)</f>
        <v xml:space="preserve">I-ENG </v>
      </c>
      <c r="W66" s="101" t="str">
        <f>VLOOKUP(B66,[3]Sheet1!$A:$B,2,0)</f>
        <v>Bangambi</v>
      </c>
      <c r="X66" s="88" t="str">
        <f t="shared" ref="X66:X92" si="3">LEFT(B66,3)</f>
        <v>OST</v>
      </c>
      <c r="Y66" s="88" t="str">
        <f t="shared" ref="Y66:Y92" si="4">IF(I66 &lt; 1/24, "T&lt;1H", IF(AND(I66&lt;2/24, I66&gt;1/24), "1H&lt;T&lt;2H", IF(AND(I66&lt;4/24, I66&gt;2/24), "2H&lt;T&lt;4H", IF(AND(I66&lt;8/24, I66&gt;4/24), "4H&lt;T&lt;8H", IF(AND(I66&lt;16/24, I66&gt;8/24), "8H&lt;T&lt;16H",IF(AND(I66&lt;24/24, I66&gt;16/24),"16H&lt;T&lt;24H", IF(AND(I66&lt;48/24, I66&gt;24/24),"24H&lt;T&lt;48H",IF(AND(I66&lt;72/24, I66&gt;24/24),"48H&lt;T&lt;72H", "T&gt;72H"))))))))</f>
        <v>16H&lt;T&lt;24H</v>
      </c>
      <c r="Z66" s="101">
        <f t="shared" ref="Z66:Z92" si="5">IF(OR(E66="", E66="affected_cells=unknown"), "", LEN(E66)-LEN(SUBSTITUTE(E66, ",", "")) + LEN(E66)-LEN(SUBSTITUTE(E66, ";", "")) + 1)</f>
        <v>1</v>
      </c>
      <c r="AA66" s="61"/>
      <c r="AB66" s="84" t="s">
        <v>1554</v>
      </c>
      <c r="AC66" s="105" t="s">
        <v>2680</v>
      </c>
      <c r="AD66" s="106" t="s">
        <v>1994</v>
      </c>
      <c r="AE66" s="61"/>
    </row>
    <row r="67" spans="1:31" ht="87" hidden="1" x14ac:dyDescent="0.35">
      <c r="A67" s="61" t="s">
        <v>2554</v>
      </c>
      <c r="B67" s="61" t="s">
        <v>2555</v>
      </c>
      <c r="C67" s="65"/>
      <c r="D67" s="61"/>
      <c r="E67" s="61" t="s">
        <v>2561</v>
      </c>
      <c r="F67" s="70" t="s">
        <v>53</v>
      </c>
      <c r="G67" s="70" t="s">
        <v>2121</v>
      </c>
      <c r="H67" s="67">
        <v>46178.890717592592</v>
      </c>
      <c r="I67" s="75">
        <v>0.80750787036959082</v>
      </c>
      <c r="J67" s="61"/>
      <c r="K67" s="61"/>
      <c r="L67" s="61"/>
      <c r="M67" s="61" t="s">
        <v>41</v>
      </c>
      <c r="N67" s="61" t="s">
        <v>42</v>
      </c>
      <c r="O67" s="61"/>
      <c r="P67" s="61"/>
      <c r="Q67" s="61"/>
      <c r="R67" s="61" t="s">
        <v>2654</v>
      </c>
      <c r="S67" s="61" t="s">
        <v>71</v>
      </c>
      <c r="T67" s="61" t="s">
        <v>1902</v>
      </c>
      <c r="U67" s="61" t="s">
        <v>1896</v>
      </c>
      <c r="V67" s="101" t="str">
        <f>VLOOKUP(B67,[2]Overall!$A:$D,4,0)</f>
        <v xml:space="preserve">I-ENG </v>
      </c>
      <c r="W67" s="101" t="str">
        <f>VLOOKUP(B67,[3]Sheet1!$A:$B,2,0)</f>
        <v>Bangambi</v>
      </c>
      <c r="X67" s="88" t="str">
        <f t="shared" si="3"/>
        <v>OST</v>
      </c>
      <c r="Y67" s="88" t="str">
        <f t="shared" si="4"/>
        <v>16H&lt;T&lt;24H</v>
      </c>
      <c r="Z67" s="101">
        <f t="shared" si="5"/>
        <v>1</v>
      </c>
      <c r="AA67" s="61"/>
      <c r="AB67" s="84" t="s">
        <v>1554</v>
      </c>
      <c r="AC67" s="105" t="s">
        <v>2680</v>
      </c>
      <c r="AD67" s="106" t="s">
        <v>1994</v>
      </c>
      <c r="AE67" s="61"/>
    </row>
    <row r="68" spans="1:31" ht="87" hidden="1" x14ac:dyDescent="0.35">
      <c r="A68" s="61" t="s">
        <v>2554</v>
      </c>
      <c r="B68" s="61" t="s">
        <v>2555</v>
      </c>
      <c r="C68" s="65"/>
      <c r="D68" s="61"/>
      <c r="E68" s="61" t="s">
        <v>2563</v>
      </c>
      <c r="F68" s="70" t="s">
        <v>53</v>
      </c>
      <c r="G68" s="70" t="s">
        <v>2121</v>
      </c>
      <c r="H68" s="67">
        <v>46178.890717592592</v>
      </c>
      <c r="I68" s="75">
        <v>0.80750787036959082</v>
      </c>
      <c r="J68" s="61"/>
      <c r="K68" s="61"/>
      <c r="L68" s="61"/>
      <c r="M68" s="61" t="s">
        <v>41</v>
      </c>
      <c r="N68" s="61" t="s">
        <v>42</v>
      </c>
      <c r="O68" s="61"/>
      <c r="P68" s="61"/>
      <c r="Q68" s="61"/>
      <c r="R68" s="61" t="s">
        <v>2654</v>
      </c>
      <c r="S68" s="61" t="s">
        <v>71</v>
      </c>
      <c r="T68" s="61" t="s">
        <v>1902</v>
      </c>
      <c r="U68" s="61" t="s">
        <v>1896</v>
      </c>
      <c r="V68" s="101" t="str">
        <f>VLOOKUP(B68,[2]Overall!$A:$D,4,0)</f>
        <v xml:space="preserve">I-ENG </v>
      </c>
      <c r="W68" s="101" t="str">
        <f>VLOOKUP(B68,[3]Sheet1!$A:$B,2,0)</f>
        <v>Bangambi</v>
      </c>
      <c r="X68" s="88" t="str">
        <f t="shared" si="3"/>
        <v>OST</v>
      </c>
      <c r="Y68" s="88" t="str">
        <f t="shared" si="4"/>
        <v>16H&lt;T&lt;24H</v>
      </c>
      <c r="Z68" s="101">
        <f t="shared" si="5"/>
        <v>1</v>
      </c>
      <c r="AA68" s="61"/>
      <c r="AB68" s="84" t="s">
        <v>1554</v>
      </c>
      <c r="AC68" s="105" t="s">
        <v>2680</v>
      </c>
      <c r="AD68" s="106" t="s">
        <v>1994</v>
      </c>
      <c r="AE68" s="61"/>
    </row>
    <row r="69" spans="1:31" ht="87" hidden="1" x14ac:dyDescent="0.35">
      <c r="A69" s="61" t="s">
        <v>2554</v>
      </c>
      <c r="B69" s="61" t="s">
        <v>2555</v>
      </c>
      <c r="C69" s="65"/>
      <c r="D69" s="61"/>
      <c r="E69" s="61" t="s">
        <v>2559</v>
      </c>
      <c r="F69" s="70" t="s">
        <v>53</v>
      </c>
      <c r="G69" s="70" t="s">
        <v>2121</v>
      </c>
      <c r="H69" s="67">
        <v>46178.890717592592</v>
      </c>
      <c r="I69" s="75">
        <v>0.80750787036959082</v>
      </c>
      <c r="J69" s="61"/>
      <c r="K69" s="61"/>
      <c r="L69" s="61"/>
      <c r="M69" s="61" t="s">
        <v>41</v>
      </c>
      <c r="N69" s="61" t="s">
        <v>42</v>
      </c>
      <c r="O69" s="61"/>
      <c r="P69" s="61"/>
      <c r="Q69" s="61"/>
      <c r="R69" s="61" t="s">
        <v>2654</v>
      </c>
      <c r="S69" s="61" t="s">
        <v>71</v>
      </c>
      <c r="T69" s="61" t="s">
        <v>1902</v>
      </c>
      <c r="U69" s="61" t="s">
        <v>1896</v>
      </c>
      <c r="V69" s="101" t="str">
        <f>VLOOKUP(B69,[2]Overall!$A:$D,4,0)</f>
        <v xml:space="preserve">I-ENG </v>
      </c>
      <c r="W69" s="101" t="str">
        <f>VLOOKUP(B69,[3]Sheet1!$A:$B,2,0)</f>
        <v>Bangambi</v>
      </c>
      <c r="X69" s="88" t="str">
        <f t="shared" si="3"/>
        <v>OST</v>
      </c>
      <c r="Y69" s="88" t="str">
        <f t="shared" si="4"/>
        <v>16H&lt;T&lt;24H</v>
      </c>
      <c r="Z69" s="101">
        <f t="shared" si="5"/>
        <v>1</v>
      </c>
      <c r="AA69" s="61"/>
      <c r="AB69" s="84" t="s">
        <v>1554</v>
      </c>
      <c r="AC69" s="105" t="s">
        <v>2680</v>
      </c>
      <c r="AD69" s="106" t="s">
        <v>1994</v>
      </c>
      <c r="AE69" s="61"/>
    </row>
    <row r="70" spans="1:31" ht="87" hidden="1" x14ac:dyDescent="0.35">
      <c r="A70" s="61" t="s">
        <v>2554</v>
      </c>
      <c r="B70" s="61" t="s">
        <v>2555</v>
      </c>
      <c r="C70" s="65"/>
      <c r="D70" s="61"/>
      <c r="E70" s="61" t="s">
        <v>2557</v>
      </c>
      <c r="F70" s="70" t="s">
        <v>53</v>
      </c>
      <c r="G70" s="70" t="s">
        <v>2121</v>
      </c>
      <c r="H70" s="67">
        <v>46178.890717592592</v>
      </c>
      <c r="I70" s="75">
        <v>0.80750787036959082</v>
      </c>
      <c r="J70" s="61"/>
      <c r="K70" s="61"/>
      <c r="L70" s="61"/>
      <c r="M70" s="61" t="s">
        <v>41</v>
      </c>
      <c r="N70" s="61" t="s">
        <v>42</v>
      </c>
      <c r="O70" s="61"/>
      <c r="P70" s="61"/>
      <c r="Q70" s="61"/>
      <c r="R70" s="61" t="s">
        <v>2654</v>
      </c>
      <c r="S70" s="61" t="s">
        <v>71</v>
      </c>
      <c r="T70" s="61" t="s">
        <v>1902</v>
      </c>
      <c r="U70" s="61" t="s">
        <v>1896</v>
      </c>
      <c r="V70" s="101" t="str">
        <f>VLOOKUP(B70,[2]Overall!$A:$D,4,0)</f>
        <v xml:space="preserve">I-ENG </v>
      </c>
      <c r="W70" s="101" t="str">
        <f>VLOOKUP(B70,[3]Sheet1!$A:$B,2,0)</f>
        <v>Bangambi</v>
      </c>
      <c r="X70" s="88" t="str">
        <f t="shared" si="3"/>
        <v>OST</v>
      </c>
      <c r="Y70" s="88" t="str">
        <f t="shared" si="4"/>
        <v>16H&lt;T&lt;24H</v>
      </c>
      <c r="Z70" s="101">
        <f t="shared" si="5"/>
        <v>1</v>
      </c>
      <c r="AA70" s="61"/>
      <c r="AB70" s="84" t="s">
        <v>1554</v>
      </c>
      <c r="AC70" s="105" t="s">
        <v>2680</v>
      </c>
      <c r="AD70" s="106" t="s">
        <v>1994</v>
      </c>
      <c r="AE70" s="61"/>
    </row>
    <row r="71" spans="1:31" ht="116" hidden="1" x14ac:dyDescent="0.35">
      <c r="A71" s="61" t="s">
        <v>2576</v>
      </c>
      <c r="B71" s="61" t="s">
        <v>2577</v>
      </c>
      <c r="C71" s="65"/>
      <c r="D71" s="61"/>
      <c r="E71" s="61" t="s">
        <v>1641</v>
      </c>
      <c r="F71" s="70" t="s">
        <v>53</v>
      </c>
      <c r="G71" s="70" t="s">
        <v>2121</v>
      </c>
      <c r="H71" s="67">
        <v>46179.268483796295</v>
      </c>
      <c r="I71" s="75">
        <v>0.42974166666681413</v>
      </c>
      <c r="J71" s="61"/>
      <c r="K71" s="61"/>
      <c r="L71" s="61"/>
      <c r="M71" s="61" t="s">
        <v>41</v>
      </c>
      <c r="N71" s="61" t="s">
        <v>2349</v>
      </c>
      <c r="O71" s="61"/>
      <c r="P71" s="61"/>
      <c r="Q71" s="61"/>
      <c r="R71" s="61" t="s">
        <v>2634</v>
      </c>
      <c r="S71" s="61" t="s">
        <v>40</v>
      </c>
      <c r="T71" s="61" t="s">
        <v>1840</v>
      </c>
      <c r="U71" s="61" t="s">
        <v>1840</v>
      </c>
      <c r="V71" s="101" t="str">
        <f>VLOOKUP(B71,[2]Overall!$A:$D,4,0)</f>
        <v>TELEINFRA NORD</v>
      </c>
      <c r="W71" s="101" t="str">
        <f>VLOOKUP(B71,[3]Sheet1!$A:$B,2,0)</f>
        <v>Tchevi</v>
      </c>
      <c r="X71" s="88" t="str">
        <f t="shared" si="3"/>
        <v>EXN</v>
      </c>
      <c r="Y71" s="88" t="str">
        <f t="shared" si="4"/>
        <v>8H&lt;T&lt;16H</v>
      </c>
      <c r="Z71" s="101">
        <f t="shared" si="5"/>
        <v>1</v>
      </c>
      <c r="AA71" s="61"/>
      <c r="AB71" s="84" t="s">
        <v>1554</v>
      </c>
      <c r="AC71" s="105" t="s">
        <v>2680</v>
      </c>
      <c r="AD71" s="106" t="s">
        <v>1994</v>
      </c>
      <c r="AE71" s="61"/>
    </row>
    <row r="72" spans="1:31" ht="116" hidden="1" x14ac:dyDescent="0.35">
      <c r="A72" s="61" t="s">
        <v>2576</v>
      </c>
      <c r="B72" s="61" t="s">
        <v>2577</v>
      </c>
      <c r="C72" s="65"/>
      <c r="D72" s="61"/>
      <c r="E72" s="61" t="s">
        <v>1636</v>
      </c>
      <c r="F72" s="70" t="s">
        <v>53</v>
      </c>
      <c r="G72" s="70" t="s">
        <v>2121</v>
      </c>
      <c r="H72" s="67">
        <v>46179.268483796295</v>
      </c>
      <c r="I72" s="75">
        <v>0.42974166666681413</v>
      </c>
      <c r="J72" s="61"/>
      <c r="K72" s="61"/>
      <c r="L72" s="61"/>
      <c r="M72" s="61" t="s">
        <v>41</v>
      </c>
      <c r="N72" s="61" t="s">
        <v>2348</v>
      </c>
      <c r="O72" s="61"/>
      <c r="P72" s="61"/>
      <c r="Q72" s="61"/>
      <c r="R72" s="61" t="s">
        <v>2634</v>
      </c>
      <c r="S72" s="61" t="s">
        <v>40</v>
      </c>
      <c r="T72" s="61" t="s">
        <v>1840</v>
      </c>
      <c r="U72" s="61" t="s">
        <v>1840</v>
      </c>
      <c r="V72" s="101" t="str">
        <f>VLOOKUP(B72,[2]Overall!$A:$D,4,0)</f>
        <v>TELEINFRA NORD</v>
      </c>
      <c r="W72" s="101" t="str">
        <f>VLOOKUP(B72,[3]Sheet1!$A:$B,2,0)</f>
        <v>Tchevi</v>
      </c>
      <c r="X72" s="88" t="str">
        <f t="shared" si="3"/>
        <v>EXN</v>
      </c>
      <c r="Y72" s="88" t="str">
        <f t="shared" si="4"/>
        <v>8H&lt;T&lt;16H</v>
      </c>
      <c r="Z72" s="101">
        <f t="shared" si="5"/>
        <v>1</v>
      </c>
      <c r="AA72" s="61"/>
      <c r="AB72" s="84" t="s">
        <v>1554</v>
      </c>
      <c r="AC72" s="105" t="s">
        <v>2680</v>
      </c>
      <c r="AD72" s="106" t="s">
        <v>1994</v>
      </c>
      <c r="AE72" s="61"/>
    </row>
    <row r="73" spans="1:31" ht="116" hidden="1" x14ac:dyDescent="0.35">
      <c r="A73" s="61" t="s">
        <v>2576</v>
      </c>
      <c r="B73" s="61" t="s">
        <v>2577</v>
      </c>
      <c r="C73" s="65"/>
      <c r="D73" s="61"/>
      <c r="E73" s="61" t="s">
        <v>49</v>
      </c>
      <c r="F73" s="70" t="s">
        <v>53</v>
      </c>
      <c r="G73" s="70" t="s">
        <v>2121</v>
      </c>
      <c r="H73" s="67">
        <v>46179.268483796295</v>
      </c>
      <c r="I73" s="75">
        <v>0.42974166666681413</v>
      </c>
      <c r="J73" s="61"/>
      <c r="K73" s="61"/>
      <c r="L73" s="61"/>
      <c r="M73" s="61" t="s">
        <v>41</v>
      </c>
      <c r="N73" s="61" t="s">
        <v>2347</v>
      </c>
      <c r="O73" s="61"/>
      <c r="P73" s="61"/>
      <c r="Q73" s="61"/>
      <c r="R73" s="61" t="s">
        <v>2634</v>
      </c>
      <c r="S73" s="61" t="s">
        <v>40</v>
      </c>
      <c r="T73" s="61" t="s">
        <v>1840</v>
      </c>
      <c r="U73" s="61" t="s">
        <v>1840</v>
      </c>
      <c r="V73" s="101" t="str">
        <f>VLOOKUP(B73,[2]Overall!$A:$D,4,0)</f>
        <v>TELEINFRA NORD</v>
      </c>
      <c r="W73" s="101" t="str">
        <f>VLOOKUP(B73,[3]Sheet1!$A:$B,2,0)</f>
        <v>Tchevi</v>
      </c>
      <c r="X73" s="88" t="str">
        <f t="shared" si="3"/>
        <v>EXN</v>
      </c>
      <c r="Y73" s="88" t="str">
        <f t="shared" si="4"/>
        <v>8H&lt;T&lt;16H</v>
      </c>
      <c r="Z73" s="101">
        <f t="shared" si="5"/>
        <v>1</v>
      </c>
      <c r="AA73" s="61"/>
      <c r="AB73" s="84" t="s">
        <v>1554</v>
      </c>
      <c r="AC73" s="105" t="s">
        <v>2680</v>
      </c>
      <c r="AD73" s="106" t="s">
        <v>1994</v>
      </c>
      <c r="AE73" s="61"/>
    </row>
    <row r="74" spans="1:31" ht="261" hidden="1" x14ac:dyDescent="0.35">
      <c r="A74" s="61" t="s">
        <v>1779</v>
      </c>
      <c r="B74" s="61" t="s">
        <v>1780</v>
      </c>
      <c r="C74" s="65"/>
      <c r="D74" s="61"/>
      <c r="E74" s="61" t="s">
        <v>37</v>
      </c>
      <c r="F74" s="70" t="s">
        <v>53</v>
      </c>
      <c r="G74" s="70" t="s">
        <v>2121</v>
      </c>
      <c r="H74" s="67">
        <v>46179.27957175926</v>
      </c>
      <c r="I74" s="75">
        <v>0.41865370370214805</v>
      </c>
      <c r="J74" s="61"/>
      <c r="K74" s="61"/>
      <c r="L74" s="61"/>
      <c r="M74" s="61" t="s">
        <v>41</v>
      </c>
      <c r="N74" s="61" t="s">
        <v>1781</v>
      </c>
      <c r="O74" s="61"/>
      <c r="P74" s="61"/>
      <c r="Q74" s="61"/>
      <c r="R74" s="61" t="s">
        <v>2379</v>
      </c>
      <c r="S74" s="61" t="s">
        <v>75</v>
      </c>
      <c r="T74" s="61" t="s">
        <v>1840</v>
      </c>
      <c r="U74" s="61" t="s">
        <v>1840</v>
      </c>
      <c r="V74" s="101" t="str">
        <f>VLOOKUP(B74,[2]Overall!$A:$D,4,0)</f>
        <v>TELEINFRA NORD</v>
      </c>
      <c r="W74" s="101" t="str">
        <f>VLOOKUP(B74,[3]Sheet1!$A:$B,2,0)</f>
        <v>Badjonre</v>
      </c>
      <c r="X74" s="88" t="str">
        <f t="shared" si="3"/>
        <v>EXN</v>
      </c>
      <c r="Y74" s="88" t="str">
        <f t="shared" si="4"/>
        <v>8H&lt;T&lt;16H</v>
      </c>
      <c r="Z74" s="101">
        <f t="shared" si="5"/>
        <v>1</v>
      </c>
      <c r="AA74" s="61"/>
      <c r="AB74" s="84" t="s">
        <v>1554</v>
      </c>
      <c r="AC74" s="105" t="s">
        <v>2680</v>
      </c>
      <c r="AD74" s="106" t="s">
        <v>1994</v>
      </c>
      <c r="AE74" s="61"/>
    </row>
    <row r="75" spans="1:31" ht="130.5" hidden="1" x14ac:dyDescent="0.35">
      <c r="A75" s="61" t="s">
        <v>2436</v>
      </c>
      <c r="B75" s="61" t="s">
        <v>2437</v>
      </c>
      <c r="C75" s="65"/>
      <c r="D75" s="61"/>
      <c r="E75" s="61" t="s">
        <v>34</v>
      </c>
      <c r="F75" s="70" t="s">
        <v>53</v>
      </c>
      <c r="G75" s="70" t="s">
        <v>2121</v>
      </c>
      <c r="H75" s="67">
        <v>46179.286550925928</v>
      </c>
      <c r="I75" s="75">
        <v>0.41167453703383217</v>
      </c>
      <c r="J75" s="61"/>
      <c r="K75" s="61"/>
      <c r="L75" s="61"/>
      <c r="M75" s="61" t="s">
        <v>31</v>
      </c>
      <c r="N75" s="61" t="s">
        <v>2438</v>
      </c>
      <c r="O75" s="61"/>
      <c r="P75" s="61"/>
      <c r="Q75" s="61"/>
      <c r="R75" s="61" t="s">
        <v>2653</v>
      </c>
      <c r="S75" s="61" t="s">
        <v>45</v>
      </c>
      <c r="T75" s="61" t="s">
        <v>1898</v>
      </c>
      <c r="U75" s="61" t="s">
        <v>1898</v>
      </c>
      <c r="V75" s="101" t="str">
        <f>VLOOKUP(B75,[2]Overall!$A:$D,4,0)</f>
        <v>TELEINFRA CENTRE</v>
      </c>
      <c r="W75" s="101" t="str">
        <f>VLOOKUP(B75,[3]Sheet1!$A:$B,2,0)</f>
        <v>Ngola</v>
      </c>
      <c r="X75" s="88" t="str">
        <f t="shared" si="3"/>
        <v>EST</v>
      </c>
      <c r="Y75" s="88" t="str">
        <f t="shared" si="4"/>
        <v>8H&lt;T&lt;16H</v>
      </c>
      <c r="Z75" s="101">
        <f t="shared" si="5"/>
        <v>1</v>
      </c>
      <c r="AA75" s="61"/>
      <c r="AB75" s="84" t="s">
        <v>1554</v>
      </c>
      <c r="AC75" s="105" t="s">
        <v>2680</v>
      </c>
      <c r="AD75" s="106" t="s">
        <v>1994</v>
      </c>
      <c r="AE75" s="61"/>
    </row>
    <row r="76" spans="1:31" ht="145" hidden="1" x14ac:dyDescent="0.35">
      <c r="A76" s="61" t="s">
        <v>2218</v>
      </c>
      <c r="B76" s="61" t="s">
        <v>2219</v>
      </c>
      <c r="C76" s="65"/>
      <c r="D76" s="61"/>
      <c r="E76" s="61" t="s">
        <v>2223</v>
      </c>
      <c r="F76" s="70" t="s">
        <v>53</v>
      </c>
      <c r="G76" s="70" t="s">
        <v>2121</v>
      </c>
      <c r="H76" s="67">
        <v>46179.321331018517</v>
      </c>
      <c r="I76" s="75">
        <v>0.37689444444549736</v>
      </c>
      <c r="J76" s="61"/>
      <c r="K76" s="61"/>
      <c r="L76" s="61"/>
      <c r="M76" s="61" t="s">
        <v>1730</v>
      </c>
      <c r="N76" s="61" t="s">
        <v>2224</v>
      </c>
      <c r="O76" s="61"/>
      <c r="P76" s="61"/>
      <c r="Q76" s="61"/>
      <c r="R76" s="61" t="s">
        <v>2650</v>
      </c>
      <c r="S76" s="61" t="s">
        <v>45</v>
      </c>
      <c r="T76" s="61" t="s">
        <v>1898</v>
      </c>
      <c r="U76" s="61" t="s">
        <v>1898</v>
      </c>
      <c r="V76" s="101" t="str">
        <f>VLOOKUP(B76,[2]Overall!$A:$D,4,0)</f>
        <v>TELEINFRA CENTRE</v>
      </c>
      <c r="W76" s="101" t="str">
        <f>VLOOKUP(B76,[3]Sheet1!$A:$B,2,0)</f>
        <v>Evodoula</v>
      </c>
      <c r="X76" s="88" t="str">
        <f t="shared" si="3"/>
        <v>CTR</v>
      </c>
      <c r="Y76" s="88" t="str">
        <f t="shared" si="4"/>
        <v>8H&lt;T&lt;16H</v>
      </c>
      <c r="Z76" s="101">
        <f t="shared" si="5"/>
        <v>2</v>
      </c>
      <c r="AA76" s="61"/>
      <c r="AB76" s="84" t="s">
        <v>1554</v>
      </c>
      <c r="AC76" s="105" t="s">
        <v>2680</v>
      </c>
      <c r="AD76" s="106" t="s">
        <v>1994</v>
      </c>
      <c r="AE76" s="61"/>
    </row>
    <row r="77" spans="1:31" ht="72.5" hidden="1" x14ac:dyDescent="0.35">
      <c r="A77" s="61" t="s">
        <v>2637</v>
      </c>
      <c r="B77" s="61" t="s">
        <v>2638</v>
      </c>
      <c r="C77" s="65"/>
      <c r="D77" s="61"/>
      <c r="E77" s="61" t="s">
        <v>47</v>
      </c>
      <c r="F77" s="70" t="s">
        <v>53</v>
      </c>
      <c r="G77" s="70" t="s">
        <v>2121</v>
      </c>
      <c r="H77" s="67">
        <v>46179.473391203705</v>
      </c>
      <c r="I77" s="75">
        <v>0.22483425925747724</v>
      </c>
      <c r="J77" s="61"/>
      <c r="K77" s="61"/>
      <c r="L77" s="61"/>
      <c r="M77" s="61" t="s">
        <v>31</v>
      </c>
      <c r="N77" s="61" t="s">
        <v>2639</v>
      </c>
      <c r="O77" s="61"/>
      <c r="P77" s="61"/>
      <c r="Q77" s="61"/>
      <c r="R77" s="61" t="s">
        <v>2651</v>
      </c>
      <c r="S77" s="61" t="s">
        <v>32</v>
      </c>
      <c r="T77" s="61" t="s">
        <v>1898</v>
      </c>
      <c r="U77" s="61" t="s">
        <v>1898</v>
      </c>
      <c r="V77" s="101" t="str">
        <f>VLOOKUP(B77,[2]Overall!$A:$D,4,0)</f>
        <v xml:space="preserve">I-ENG </v>
      </c>
      <c r="W77" s="101" t="str">
        <f>VLOOKUP(B77,[3]Sheet1!$A:$B,2,0)</f>
        <v>Nkambe</v>
      </c>
      <c r="X77" s="88" t="str">
        <f t="shared" si="3"/>
        <v>NRO</v>
      </c>
      <c r="Y77" s="88" t="str">
        <f t="shared" si="4"/>
        <v>4H&lt;T&lt;8H</v>
      </c>
      <c r="Z77" s="101">
        <f t="shared" si="5"/>
        <v>3</v>
      </c>
      <c r="AA77" s="61"/>
      <c r="AB77" s="84" t="s">
        <v>1554</v>
      </c>
      <c r="AC77" s="105" t="s">
        <v>2680</v>
      </c>
      <c r="AD77" s="106" t="s">
        <v>1994</v>
      </c>
      <c r="AE77" s="61"/>
    </row>
    <row r="78" spans="1:31" ht="58" x14ac:dyDescent="0.35">
      <c r="A78" s="61" t="s">
        <v>1859</v>
      </c>
      <c r="B78" s="61" t="s">
        <v>1858</v>
      </c>
      <c r="C78" s="65"/>
      <c r="D78" s="61"/>
      <c r="E78" s="61" t="s">
        <v>1861</v>
      </c>
      <c r="F78" s="70" t="s">
        <v>53</v>
      </c>
      <c r="G78" s="70" t="s">
        <v>2121</v>
      </c>
      <c r="H78" s="67">
        <v>46179.4925</v>
      </c>
      <c r="I78" s="75">
        <v>0.20572546296170913</v>
      </c>
      <c r="J78" s="61"/>
      <c r="K78" s="61"/>
      <c r="L78" s="61"/>
      <c r="M78" s="61" t="s">
        <v>33</v>
      </c>
      <c r="N78" s="61" t="s">
        <v>1860</v>
      </c>
      <c r="O78" s="61"/>
      <c r="P78" s="61"/>
      <c r="Q78" s="61"/>
      <c r="R78" s="61" t="s">
        <v>1909</v>
      </c>
      <c r="S78" s="61" t="s">
        <v>1903</v>
      </c>
      <c r="T78" s="61" t="s">
        <v>1865</v>
      </c>
      <c r="U78" s="61" t="s">
        <v>1865</v>
      </c>
      <c r="V78" s="101" t="e">
        <f>VLOOKUP(B78,[2]Overall!$A:$D,4,0)</f>
        <v>#N/A</v>
      </c>
      <c r="W78" s="101" t="e">
        <f>VLOOKUP(B78,[3]Sheet1!$A:$B,2,0)</f>
        <v>#N/A</v>
      </c>
      <c r="X78" s="88" t="str">
        <f t="shared" si="3"/>
        <v>SUD</v>
      </c>
      <c r="Y78" s="88" t="str">
        <f t="shared" si="4"/>
        <v>4H&lt;T&lt;8H</v>
      </c>
      <c r="Z78" s="101">
        <f t="shared" si="5"/>
        <v>2</v>
      </c>
      <c r="AA78" s="61"/>
      <c r="AB78" s="84" t="s">
        <v>1554</v>
      </c>
      <c r="AC78" s="105" t="s">
        <v>2680</v>
      </c>
      <c r="AD78" s="106" t="s">
        <v>1994</v>
      </c>
      <c r="AE78" s="61"/>
    </row>
    <row r="79" spans="1:31" ht="72.5" hidden="1" x14ac:dyDescent="0.35">
      <c r="A79" s="61" t="s">
        <v>2604</v>
      </c>
      <c r="B79" s="61" t="s">
        <v>2605</v>
      </c>
      <c r="C79" s="65"/>
      <c r="D79" s="61"/>
      <c r="E79" s="61" t="s">
        <v>2640</v>
      </c>
      <c r="F79" s="70" t="s">
        <v>53</v>
      </c>
      <c r="G79" s="70" t="s">
        <v>2121</v>
      </c>
      <c r="H79" s="67">
        <v>46179.521782407406</v>
      </c>
      <c r="I79" s="75">
        <v>0.1764430555558647</v>
      </c>
      <c r="J79" s="61"/>
      <c r="K79" s="61"/>
      <c r="L79" s="61"/>
      <c r="M79" s="61" t="s">
        <v>1627</v>
      </c>
      <c r="N79" s="61" t="s">
        <v>2641</v>
      </c>
      <c r="O79" s="61"/>
      <c r="P79" s="61"/>
      <c r="Q79" s="61"/>
      <c r="R79" s="61" t="s">
        <v>2658</v>
      </c>
      <c r="S79" s="61" t="s">
        <v>40</v>
      </c>
      <c r="T79" s="61" t="s">
        <v>1898</v>
      </c>
      <c r="U79" s="61" t="s">
        <v>1898</v>
      </c>
      <c r="V79" s="101" t="str">
        <f>VLOOKUP(B79,[2]Overall!$A:$D,4,0)</f>
        <v>TELEINFRA NORD</v>
      </c>
      <c r="W79" s="101" t="str">
        <f>VLOOKUP(B79,[3]Sheet1!$A:$B,2,0)</f>
        <v>Nganha</v>
      </c>
      <c r="X79" s="88" t="str">
        <f t="shared" si="3"/>
        <v>ADM</v>
      </c>
      <c r="Y79" s="88" t="str">
        <f t="shared" si="4"/>
        <v>4H&lt;T&lt;8H</v>
      </c>
      <c r="Z79" s="101">
        <f t="shared" si="5"/>
        <v>1</v>
      </c>
      <c r="AA79" s="61"/>
      <c r="AB79" s="84" t="s">
        <v>1554</v>
      </c>
      <c r="AC79" s="105" t="s">
        <v>2680</v>
      </c>
      <c r="AD79" s="106" t="s">
        <v>1994</v>
      </c>
      <c r="AE79" s="61"/>
    </row>
    <row r="80" spans="1:31" ht="72.5" hidden="1" x14ac:dyDescent="0.35">
      <c r="A80" s="61" t="s">
        <v>2644</v>
      </c>
      <c r="B80" s="61" t="s">
        <v>2645</v>
      </c>
      <c r="C80" s="65"/>
      <c r="D80" s="61"/>
      <c r="E80" s="61" t="s">
        <v>2646</v>
      </c>
      <c r="F80" s="70" t="s">
        <v>53</v>
      </c>
      <c r="G80" s="70" t="s">
        <v>2121</v>
      </c>
      <c r="H80" s="67">
        <v>46179.531886574077</v>
      </c>
      <c r="I80" s="75">
        <v>0.16633888888463844</v>
      </c>
      <c r="J80" s="61"/>
      <c r="K80" s="61"/>
      <c r="L80" s="61"/>
      <c r="M80" s="61" t="s">
        <v>38</v>
      </c>
      <c r="N80" s="61" t="s">
        <v>2647</v>
      </c>
      <c r="O80" s="61"/>
      <c r="P80" s="61"/>
      <c r="Q80" s="61"/>
      <c r="R80" s="61" t="s">
        <v>2618</v>
      </c>
      <c r="S80" s="61" t="s">
        <v>51</v>
      </c>
      <c r="T80" s="61" t="s">
        <v>1898</v>
      </c>
      <c r="U80" s="61" t="s">
        <v>1898</v>
      </c>
      <c r="V80" s="101" t="str">
        <f>VLOOKUP(B80,[2]Overall!$A:$D,4,0)</f>
        <v>H-TELI</v>
      </c>
      <c r="W80" s="101" t="str">
        <f>VLOOKUP(B80,[3]Sheet1!$A:$B,2,0)</f>
        <v>Sodibanga</v>
      </c>
      <c r="X80" s="88" t="str">
        <f t="shared" si="3"/>
        <v>LIT</v>
      </c>
      <c r="Y80" s="88" t="str">
        <f t="shared" si="4"/>
        <v>2H&lt;T&lt;4H</v>
      </c>
      <c r="Z80" s="101">
        <f t="shared" si="5"/>
        <v>2</v>
      </c>
      <c r="AA80" s="61"/>
      <c r="AB80" s="84" t="s">
        <v>1554</v>
      </c>
      <c r="AC80" s="105" t="s">
        <v>2680</v>
      </c>
      <c r="AD80" s="106" t="s">
        <v>1994</v>
      </c>
      <c r="AE80" s="61"/>
    </row>
    <row r="81" spans="1:31" ht="72.5" hidden="1" x14ac:dyDescent="0.35">
      <c r="A81" s="61" t="s">
        <v>2604</v>
      </c>
      <c r="B81" s="61" t="s">
        <v>2605</v>
      </c>
      <c r="C81" s="65"/>
      <c r="D81" s="61"/>
      <c r="E81" s="61" t="s">
        <v>2606</v>
      </c>
      <c r="F81" s="70" t="s">
        <v>53</v>
      </c>
      <c r="G81" s="70" t="s">
        <v>2121</v>
      </c>
      <c r="H81" s="67">
        <v>46179.53533564815</v>
      </c>
      <c r="I81" s="75">
        <v>0.16288981481193332</v>
      </c>
      <c r="J81" s="61"/>
      <c r="K81" s="61"/>
      <c r="L81" s="61"/>
      <c r="M81" s="61" t="s">
        <v>38</v>
      </c>
      <c r="N81" s="61" t="s">
        <v>2607</v>
      </c>
      <c r="O81" s="61"/>
      <c r="P81" s="61"/>
      <c r="Q81" s="61"/>
      <c r="R81" s="61" t="s">
        <v>2658</v>
      </c>
      <c r="S81" s="61" t="s">
        <v>40</v>
      </c>
      <c r="T81" s="61" t="s">
        <v>1898</v>
      </c>
      <c r="U81" s="61" t="s">
        <v>1898</v>
      </c>
      <c r="V81" s="101" t="str">
        <f>VLOOKUP(B81,[2]Overall!$A:$D,4,0)</f>
        <v>TELEINFRA NORD</v>
      </c>
      <c r="W81" s="101" t="str">
        <f>VLOOKUP(B81,[3]Sheet1!$A:$B,2,0)</f>
        <v>Nganha</v>
      </c>
      <c r="X81" s="88" t="str">
        <f t="shared" si="3"/>
        <v>ADM</v>
      </c>
      <c r="Y81" s="88" t="str">
        <f t="shared" si="4"/>
        <v>2H&lt;T&lt;4H</v>
      </c>
      <c r="Z81" s="101">
        <f t="shared" si="5"/>
        <v>2</v>
      </c>
      <c r="AA81" s="61"/>
      <c r="AB81" s="84" t="s">
        <v>1554</v>
      </c>
      <c r="AC81" s="105" t="s">
        <v>2680</v>
      </c>
      <c r="AD81" s="106" t="s">
        <v>1994</v>
      </c>
      <c r="AE81" s="61"/>
    </row>
    <row r="82" spans="1:31" ht="72.5" hidden="1" x14ac:dyDescent="0.35">
      <c r="A82" s="61" t="s">
        <v>2664</v>
      </c>
      <c r="B82" s="61" t="s">
        <v>2665</v>
      </c>
      <c r="C82" s="65"/>
      <c r="D82" s="61"/>
      <c r="E82" s="61" t="s">
        <v>2666</v>
      </c>
      <c r="F82" s="70" t="s">
        <v>53</v>
      </c>
      <c r="G82" s="70" t="s">
        <v>2121</v>
      </c>
      <c r="H82" s="67">
        <v>46179.560277777775</v>
      </c>
      <c r="I82" s="75">
        <v>0.13794768518710043</v>
      </c>
      <c r="J82" s="61"/>
      <c r="K82" s="61"/>
      <c r="L82" s="61"/>
      <c r="M82" s="61" t="s">
        <v>1686</v>
      </c>
      <c r="N82" s="61" t="s">
        <v>2667</v>
      </c>
      <c r="O82" s="61"/>
      <c r="P82" s="61"/>
      <c r="Q82" s="61"/>
      <c r="R82" s="84" t="s">
        <v>2618</v>
      </c>
      <c r="S82" s="61" t="s">
        <v>51</v>
      </c>
      <c r="T82" s="61" t="s">
        <v>1898</v>
      </c>
      <c r="U82" s="61" t="s">
        <v>1898</v>
      </c>
      <c r="V82" s="101" t="str">
        <f>VLOOKUP(B82,[2]Overall!$A:$D,4,0)</f>
        <v>TELEINFRA CENTRE</v>
      </c>
      <c r="W82" s="101" t="str">
        <f>VLOOKUP(B82,[3]Sheet1!$A:$B,2,0)</f>
        <v>Ndjore-Luxe</v>
      </c>
      <c r="X82" s="88" t="str">
        <f t="shared" si="3"/>
        <v>CTR</v>
      </c>
      <c r="Y82" s="88" t="str">
        <f t="shared" si="4"/>
        <v>2H&lt;T&lt;4H</v>
      </c>
      <c r="Z82" s="101">
        <f t="shared" si="5"/>
        <v>4</v>
      </c>
      <c r="AA82" s="61"/>
      <c r="AB82" s="84" t="s">
        <v>1555</v>
      </c>
      <c r="AC82" s="105" t="s">
        <v>2680</v>
      </c>
      <c r="AD82" s="106" t="s">
        <v>1994</v>
      </c>
      <c r="AE82" s="61"/>
    </row>
    <row r="83" spans="1:31" ht="275.5" hidden="1" x14ac:dyDescent="0.35">
      <c r="A83" s="61" t="s">
        <v>1581</v>
      </c>
      <c r="B83" s="61" t="s">
        <v>1582</v>
      </c>
      <c r="C83" s="65"/>
      <c r="D83" s="61"/>
      <c r="E83" s="61" t="s">
        <v>1937</v>
      </c>
      <c r="F83" s="70" t="s">
        <v>53</v>
      </c>
      <c r="G83" s="70" t="s">
        <v>2121</v>
      </c>
      <c r="H83" s="67">
        <v>46179.600486111114</v>
      </c>
      <c r="I83" s="75">
        <v>9.7739351847849321E-2</v>
      </c>
      <c r="J83" s="61"/>
      <c r="K83" s="61"/>
      <c r="L83" s="61"/>
      <c r="M83" s="61" t="s">
        <v>41</v>
      </c>
      <c r="N83" s="61" t="s">
        <v>1938</v>
      </c>
      <c r="O83" s="61"/>
      <c r="P83" s="61"/>
      <c r="Q83" s="61"/>
      <c r="R83" s="61" t="s">
        <v>2659</v>
      </c>
      <c r="S83" s="61" t="s">
        <v>32</v>
      </c>
      <c r="T83" s="61" t="s">
        <v>1840</v>
      </c>
      <c r="U83" s="61" t="s">
        <v>1840</v>
      </c>
      <c r="V83" s="101" t="str">
        <f>VLOOKUP(B83,[2]Overall!$A:$D,4,0)</f>
        <v xml:space="preserve">I-ENG </v>
      </c>
      <c r="W83" s="101" t="str">
        <f>VLOOKUP(B83,[3]Sheet1!$A:$B,2,0)</f>
        <v>Batibo</v>
      </c>
      <c r="X83" s="88" t="str">
        <f t="shared" si="3"/>
        <v>NRO</v>
      </c>
      <c r="Y83" s="88" t="str">
        <f t="shared" si="4"/>
        <v>2H&lt;T&lt;4H</v>
      </c>
      <c r="Z83" s="101">
        <f t="shared" si="5"/>
        <v>1</v>
      </c>
      <c r="AA83" s="61"/>
      <c r="AB83" s="84" t="s">
        <v>1554</v>
      </c>
      <c r="AC83" s="105" t="s">
        <v>2680</v>
      </c>
      <c r="AD83" s="106" t="s">
        <v>1994</v>
      </c>
      <c r="AE83" s="61"/>
    </row>
    <row r="84" spans="1:31" ht="188.5" hidden="1" x14ac:dyDescent="0.35">
      <c r="A84" s="61" t="s">
        <v>2273</v>
      </c>
      <c r="B84" s="61" t="s">
        <v>2268</v>
      </c>
      <c r="C84" s="65"/>
      <c r="D84" s="61"/>
      <c r="E84" s="61" t="s">
        <v>37</v>
      </c>
      <c r="F84" s="70" t="s">
        <v>53</v>
      </c>
      <c r="G84" s="70" t="s">
        <v>2121</v>
      </c>
      <c r="H84" s="67">
        <v>46179.610868055555</v>
      </c>
      <c r="I84" s="75">
        <v>8.7357407406670973E-2</v>
      </c>
      <c r="J84" s="61"/>
      <c r="K84" s="61"/>
      <c r="L84" s="61"/>
      <c r="M84" s="61" t="s">
        <v>41</v>
      </c>
      <c r="N84" s="61" t="s">
        <v>2668</v>
      </c>
      <c r="O84" s="61"/>
      <c r="P84" s="61"/>
      <c r="Q84" s="61"/>
      <c r="R84" s="61" t="s">
        <v>2657</v>
      </c>
      <c r="S84" s="61" t="s">
        <v>40</v>
      </c>
      <c r="T84" s="61" t="s">
        <v>1840</v>
      </c>
      <c r="U84" s="61" t="s">
        <v>1840</v>
      </c>
      <c r="V84" s="101" t="str">
        <f>VLOOKUP(B84,[2]Overall!$A:$D,4,0)</f>
        <v>TELEINFRA NORD</v>
      </c>
      <c r="W84" s="101" t="str">
        <f>VLOOKUP(B84,[3]Sheet1!$A:$B,2,0)</f>
        <v>Dabanga</v>
      </c>
      <c r="X84" s="88" t="str">
        <f t="shared" si="3"/>
        <v>EXN</v>
      </c>
      <c r="Y84" s="88" t="str">
        <f t="shared" si="4"/>
        <v>2H&lt;T&lt;4H</v>
      </c>
      <c r="Z84" s="101">
        <f t="shared" si="5"/>
        <v>1</v>
      </c>
      <c r="AA84" s="61"/>
      <c r="AB84" s="84" t="s">
        <v>1555</v>
      </c>
      <c r="AC84" s="105" t="s">
        <v>2680</v>
      </c>
      <c r="AD84" s="106" t="s">
        <v>1994</v>
      </c>
      <c r="AE84" s="61"/>
    </row>
    <row r="85" spans="1:31" ht="391.5" hidden="1" x14ac:dyDescent="0.35">
      <c r="A85" s="61" t="s">
        <v>1919</v>
      </c>
      <c r="B85" s="61" t="s">
        <v>1914</v>
      </c>
      <c r="C85" s="65"/>
      <c r="D85" s="61"/>
      <c r="E85" s="61" t="s">
        <v>1948</v>
      </c>
      <c r="F85" s="70" t="s">
        <v>53</v>
      </c>
      <c r="G85" s="70" t="s">
        <v>2121</v>
      </c>
      <c r="H85" s="67">
        <v>46179.667372685188</v>
      </c>
      <c r="I85" s="75">
        <v>3.085277777427109E-2</v>
      </c>
      <c r="J85" s="61"/>
      <c r="K85" s="61"/>
      <c r="L85" s="61"/>
      <c r="M85" s="61" t="s">
        <v>31</v>
      </c>
      <c r="N85" s="61" t="s">
        <v>2669</v>
      </c>
      <c r="O85" s="61"/>
      <c r="P85" s="61"/>
      <c r="Q85" s="61"/>
      <c r="R85" s="61" t="s">
        <v>2628</v>
      </c>
      <c r="S85" s="61" t="s">
        <v>40</v>
      </c>
      <c r="T85" s="61" t="s">
        <v>2129</v>
      </c>
      <c r="U85" s="61" t="s">
        <v>2129</v>
      </c>
      <c r="V85" s="101" t="str">
        <f>VLOOKUP(B85,[2]Overall!$A:$D,4,0)</f>
        <v>TELEINFRA NORD</v>
      </c>
      <c r="W85" s="101" t="str">
        <f>VLOOKUP(B85,[3]Sheet1!$A:$B,2,0)</f>
        <v>Dogba</v>
      </c>
      <c r="X85" s="88" t="str">
        <f t="shared" si="3"/>
        <v>EXN</v>
      </c>
      <c r="Y85" s="88" t="str">
        <f t="shared" si="4"/>
        <v>T&lt;1H</v>
      </c>
      <c r="Z85" s="101">
        <f t="shared" si="5"/>
        <v>4</v>
      </c>
      <c r="AA85" s="61"/>
      <c r="AB85" s="84" t="s">
        <v>1555</v>
      </c>
      <c r="AC85" s="105" t="s">
        <v>2680</v>
      </c>
      <c r="AD85" s="106" t="s">
        <v>1994</v>
      </c>
      <c r="AE85" s="61"/>
    </row>
    <row r="86" spans="1:31" ht="391.5" hidden="1" x14ac:dyDescent="0.35">
      <c r="A86" s="61" t="s">
        <v>1919</v>
      </c>
      <c r="B86" s="61" t="s">
        <v>1914</v>
      </c>
      <c r="C86" s="65"/>
      <c r="D86" s="61"/>
      <c r="E86" s="61" t="s">
        <v>2670</v>
      </c>
      <c r="F86" s="70" t="s">
        <v>53</v>
      </c>
      <c r="G86" s="70" t="s">
        <v>2121</v>
      </c>
      <c r="H86" s="67">
        <v>46179.667361111111</v>
      </c>
      <c r="I86" s="75">
        <v>3.0864351851050742E-2</v>
      </c>
      <c r="J86" s="61"/>
      <c r="K86" s="61"/>
      <c r="L86" s="61"/>
      <c r="M86" s="61" t="s">
        <v>31</v>
      </c>
      <c r="N86" s="61" t="s">
        <v>2671</v>
      </c>
      <c r="O86" s="61"/>
      <c r="P86" s="61"/>
      <c r="Q86" s="61"/>
      <c r="R86" s="61" t="s">
        <v>2628</v>
      </c>
      <c r="S86" s="61" t="s">
        <v>40</v>
      </c>
      <c r="T86" s="61" t="s">
        <v>2129</v>
      </c>
      <c r="U86" s="61" t="s">
        <v>2129</v>
      </c>
      <c r="V86" s="101" t="str">
        <f>VLOOKUP(B86,[2]Overall!$A:$D,4,0)</f>
        <v>TELEINFRA NORD</v>
      </c>
      <c r="W86" s="101" t="str">
        <f>VLOOKUP(B86,[3]Sheet1!$A:$B,2,0)</f>
        <v>Dogba</v>
      </c>
      <c r="X86" s="88" t="str">
        <f t="shared" si="3"/>
        <v>EXN</v>
      </c>
      <c r="Y86" s="88" t="str">
        <f t="shared" si="4"/>
        <v>T&lt;1H</v>
      </c>
      <c r="Z86" s="101">
        <f t="shared" si="5"/>
        <v>9</v>
      </c>
      <c r="AA86" s="61"/>
      <c r="AB86" s="84" t="s">
        <v>1555</v>
      </c>
      <c r="AC86" s="105" t="s">
        <v>2680</v>
      </c>
      <c r="AD86" s="106" t="s">
        <v>1994</v>
      </c>
      <c r="AE86" s="61"/>
    </row>
    <row r="87" spans="1:31" ht="43.5" hidden="1" x14ac:dyDescent="0.35">
      <c r="A87" s="61" t="s">
        <v>2672</v>
      </c>
      <c r="B87" s="61" t="s">
        <v>2673</v>
      </c>
      <c r="C87" s="65"/>
      <c r="D87" s="61"/>
      <c r="E87" s="61" t="s">
        <v>2674</v>
      </c>
      <c r="F87" s="70" t="s">
        <v>53</v>
      </c>
      <c r="G87" s="70" t="s">
        <v>2121</v>
      </c>
      <c r="H87" s="67">
        <v>46179.676296296297</v>
      </c>
      <c r="I87" s="75">
        <v>2.1929166665358935E-2</v>
      </c>
      <c r="J87" s="61"/>
      <c r="K87" s="61"/>
      <c r="L87" s="61"/>
      <c r="M87" s="61" t="s">
        <v>2053</v>
      </c>
      <c r="N87" s="61" t="s">
        <v>2054</v>
      </c>
      <c r="O87" s="61"/>
      <c r="P87" s="61"/>
      <c r="Q87" s="61"/>
      <c r="R87" s="84" t="s">
        <v>2618</v>
      </c>
      <c r="S87" s="61" t="s">
        <v>51</v>
      </c>
      <c r="T87" s="61" t="s">
        <v>1898</v>
      </c>
      <c r="U87" s="61" t="s">
        <v>1898</v>
      </c>
      <c r="V87" s="101" t="str">
        <f>VLOOKUP(B87,[2]Overall!$A:$D,4,0)</f>
        <v xml:space="preserve">I-ENG </v>
      </c>
      <c r="W87" s="101" t="str">
        <f>VLOOKUP(B87,[3]Sheet1!$A:$B,2,0)</f>
        <v>Kiiki</v>
      </c>
      <c r="X87" s="88" t="str">
        <f t="shared" si="3"/>
        <v>CTR</v>
      </c>
      <c r="Y87" s="88" t="str">
        <f t="shared" si="4"/>
        <v>T&lt;1H</v>
      </c>
      <c r="Z87" s="101">
        <f t="shared" si="5"/>
        <v>1</v>
      </c>
      <c r="AA87" s="61"/>
      <c r="AB87" s="84" t="s">
        <v>1555</v>
      </c>
      <c r="AC87" s="105" t="s">
        <v>2680</v>
      </c>
      <c r="AD87" s="106" t="s">
        <v>1994</v>
      </c>
      <c r="AE87" s="61"/>
    </row>
    <row r="88" spans="1:31" ht="43.5" hidden="1" x14ac:dyDescent="0.35">
      <c r="A88" s="61" t="s">
        <v>2672</v>
      </c>
      <c r="B88" s="61" t="s">
        <v>2673</v>
      </c>
      <c r="C88" s="65"/>
      <c r="D88" s="61"/>
      <c r="E88" s="61" t="s">
        <v>2675</v>
      </c>
      <c r="F88" s="70" t="s">
        <v>53</v>
      </c>
      <c r="G88" s="70" t="s">
        <v>2121</v>
      </c>
      <c r="H88" s="67">
        <v>46179.67628472222</v>
      </c>
      <c r="I88" s="75">
        <v>2.1940740742138587E-2</v>
      </c>
      <c r="J88" s="61"/>
      <c r="K88" s="61"/>
      <c r="L88" s="61"/>
      <c r="M88" s="61" t="s">
        <v>2053</v>
      </c>
      <c r="N88" s="61" t="s">
        <v>2054</v>
      </c>
      <c r="O88" s="61"/>
      <c r="P88" s="61"/>
      <c r="Q88" s="61"/>
      <c r="R88" s="84" t="s">
        <v>2618</v>
      </c>
      <c r="S88" s="61" t="s">
        <v>51</v>
      </c>
      <c r="T88" s="61" t="s">
        <v>1898</v>
      </c>
      <c r="U88" s="61" t="s">
        <v>1898</v>
      </c>
      <c r="V88" s="101" t="str">
        <f>VLOOKUP(B88,[2]Overall!$A:$D,4,0)</f>
        <v xml:space="preserve">I-ENG </v>
      </c>
      <c r="W88" s="101" t="str">
        <f>VLOOKUP(B88,[3]Sheet1!$A:$B,2,0)</f>
        <v>Kiiki</v>
      </c>
      <c r="X88" s="88" t="str">
        <f t="shared" si="3"/>
        <v>CTR</v>
      </c>
      <c r="Y88" s="88" t="str">
        <f t="shared" si="4"/>
        <v>T&lt;1H</v>
      </c>
      <c r="Z88" s="101">
        <f t="shared" si="5"/>
        <v>1</v>
      </c>
      <c r="AA88" s="61"/>
      <c r="AB88" s="84" t="s">
        <v>1555</v>
      </c>
      <c r="AC88" s="105" t="s">
        <v>2680</v>
      </c>
      <c r="AD88" s="106" t="s">
        <v>1994</v>
      </c>
      <c r="AE88" s="61"/>
    </row>
    <row r="89" spans="1:31" ht="43.5" hidden="1" x14ac:dyDescent="0.35">
      <c r="A89" s="61" t="s">
        <v>2676</v>
      </c>
      <c r="B89" s="61" t="s">
        <v>2673</v>
      </c>
      <c r="C89" s="65"/>
      <c r="D89" s="61"/>
      <c r="E89" s="61" t="s">
        <v>49</v>
      </c>
      <c r="F89" s="70" t="s">
        <v>53</v>
      </c>
      <c r="G89" s="70" t="s">
        <v>2121</v>
      </c>
      <c r="H89" s="67">
        <v>46179.677199074074</v>
      </c>
      <c r="I89" s="75">
        <v>2.1026388887548819E-2</v>
      </c>
      <c r="J89" s="61"/>
      <c r="K89" s="61"/>
      <c r="L89" s="61"/>
      <c r="M89" s="61" t="s">
        <v>2053</v>
      </c>
      <c r="N89" s="61" t="s">
        <v>2677</v>
      </c>
      <c r="O89" s="61"/>
      <c r="P89" s="61"/>
      <c r="Q89" s="61"/>
      <c r="R89" s="84" t="s">
        <v>2618</v>
      </c>
      <c r="S89" s="61" t="s">
        <v>51</v>
      </c>
      <c r="T89" s="61" t="s">
        <v>1898</v>
      </c>
      <c r="U89" s="61" t="s">
        <v>1898</v>
      </c>
      <c r="V89" s="101" t="str">
        <f>VLOOKUP(B89,[2]Overall!$A:$D,4,0)</f>
        <v xml:space="preserve">I-ENG </v>
      </c>
      <c r="W89" s="101" t="str">
        <f>VLOOKUP(B89,[3]Sheet1!$A:$B,2,0)</f>
        <v>Kiiki</v>
      </c>
      <c r="X89" s="88" t="str">
        <f t="shared" si="3"/>
        <v>CTR</v>
      </c>
      <c r="Y89" s="88" t="str">
        <f t="shared" si="4"/>
        <v>T&lt;1H</v>
      </c>
      <c r="Z89" s="101">
        <f t="shared" si="5"/>
        <v>1</v>
      </c>
      <c r="AA89" s="61"/>
      <c r="AB89" s="84" t="s">
        <v>1555</v>
      </c>
      <c r="AC89" s="105" t="s">
        <v>2680</v>
      </c>
      <c r="AD89" s="106" t="s">
        <v>1994</v>
      </c>
      <c r="AE89" s="61"/>
    </row>
    <row r="90" spans="1:31" ht="43.5" hidden="1" x14ac:dyDescent="0.35">
      <c r="A90" s="61" t="s">
        <v>2676</v>
      </c>
      <c r="B90" s="61" t="s">
        <v>2673</v>
      </c>
      <c r="C90" s="65"/>
      <c r="D90" s="61"/>
      <c r="E90" s="61" t="s">
        <v>1636</v>
      </c>
      <c r="F90" s="70" t="s">
        <v>53</v>
      </c>
      <c r="G90" s="70" t="s">
        <v>2121</v>
      </c>
      <c r="H90" s="67">
        <v>46179.677199074074</v>
      </c>
      <c r="I90" s="75">
        <v>2.1026388887548819E-2</v>
      </c>
      <c r="J90" s="61"/>
      <c r="K90" s="61"/>
      <c r="L90" s="61"/>
      <c r="M90" s="61" t="s">
        <v>2053</v>
      </c>
      <c r="N90" s="61" t="s">
        <v>2678</v>
      </c>
      <c r="O90" s="61"/>
      <c r="P90" s="61"/>
      <c r="Q90" s="61"/>
      <c r="R90" s="84" t="s">
        <v>2618</v>
      </c>
      <c r="S90" s="61" t="s">
        <v>51</v>
      </c>
      <c r="T90" s="61" t="s">
        <v>1898</v>
      </c>
      <c r="U90" s="61" t="s">
        <v>1898</v>
      </c>
      <c r="V90" s="101" t="str">
        <f>VLOOKUP(B90,[2]Overall!$A:$D,4,0)</f>
        <v xml:space="preserve">I-ENG </v>
      </c>
      <c r="W90" s="101" t="str">
        <f>VLOOKUP(B90,[3]Sheet1!$A:$B,2,0)</f>
        <v>Kiiki</v>
      </c>
      <c r="X90" s="88" t="str">
        <f t="shared" si="3"/>
        <v>CTR</v>
      </c>
      <c r="Y90" s="88" t="str">
        <f t="shared" si="4"/>
        <v>T&lt;1H</v>
      </c>
      <c r="Z90" s="101">
        <f t="shared" si="5"/>
        <v>1</v>
      </c>
      <c r="AA90" s="61"/>
      <c r="AB90" s="84" t="s">
        <v>1555</v>
      </c>
      <c r="AC90" s="105" t="s">
        <v>2680</v>
      </c>
      <c r="AD90" s="106" t="s">
        <v>1994</v>
      </c>
      <c r="AE90" s="61"/>
    </row>
    <row r="91" spans="1:31" ht="72.5" hidden="1" x14ac:dyDescent="0.35">
      <c r="A91" s="61" t="s">
        <v>2676</v>
      </c>
      <c r="B91" s="61" t="s">
        <v>2673</v>
      </c>
      <c r="C91" s="65"/>
      <c r="D91" s="61"/>
      <c r="E91" s="61" t="s">
        <v>47</v>
      </c>
      <c r="F91" s="70" t="s">
        <v>53</v>
      </c>
      <c r="G91" s="70" t="s">
        <v>2121</v>
      </c>
      <c r="H91" s="67">
        <v>46179.689884259256</v>
      </c>
      <c r="I91" s="75">
        <v>8.3412037056405097E-3</v>
      </c>
      <c r="J91" s="61"/>
      <c r="K91" s="61"/>
      <c r="L91" s="61"/>
      <c r="M91" s="61" t="s">
        <v>31</v>
      </c>
      <c r="N91" s="61" t="s">
        <v>2679</v>
      </c>
      <c r="O91" s="61"/>
      <c r="P91" s="61"/>
      <c r="Q91" s="61"/>
      <c r="R91" s="84" t="s">
        <v>2618</v>
      </c>
      <c r="S91" s="61" t="s">
        <v>51</v>
      </c>
      <c r="T91" s="61" t="s">
        <v>1898</v>
      </c>
      <c r="U91" s="61" t="s">
        <v>1898</v>
      </c>
      <c r="V91" s="101" t="str">
        <f>VLOOKUP(B91,[2]Overall!$A:$D,4,0)</f>
        <v xml:space="preserve">I-ENG </v>
      </c>
      <c r="W91" s="101" t="str">
        <f>VLOOKUP(B91,[3]Sheet1!$A:$B,2,0)</f>
        <v>Kiiki</v>
      </c>
      <c r="X91" s="88" t="str">
        <f t="shared" si="3"/>
        <v>CTR</v>
      </c>
      <c r="Y91" s="88" t="str">
        <f t="shared" si="4"/>
        <v>T&lt;1H</v>
      </c>
      <c r="Z91" s="101">
        <f t="shared" si="5"/>
        <v>3</v>
      </c>
      <c r="AA91" s="61"/>
      <c r="AB91" s="84" t="s">
        <v>1555</v>
      </c>
      <c r="AC91" s="105" t="s">
        <v>2680</v>
      </c>
      <c r="AD91" s="106" t="s">
        <v>1994</v>
      </c>
      <c r="AE91" s="61"/>
    </row>
    <row r="92" spans="1:31" ht="72.5" hidden="1" x14ac:dyDescent="0.35">
      <c r="A92" s="61" t="s">
        <v>1797</v>
      </c>
      <c r="B92" s="61" t="s">
        <v>1798</v>
      </c>
      <c r="C92" s="65"/>
      <c r="D92" s="61"/>
      <c r="E92" s="61" t="s">
        <v>1799</v>
      </c>
      <c r="F92" s="70" t="s">
        <v>53</v>
      </c>
      <c r="G92" s="70" t="s">
        <v>2121</v>
      </c>
      <c r="H92" s="67">
        <v>46179.690162037034</v>
      </c>
      <c r="I92" s="75">
        <v>8.063425928412471E-3</v>
      </c>
      <c r="J92" s="61"/>
      <c r="K92" s="61"/>
      <c r="L92" s="61"/>
      <c r="M92" s="61" t="s">
        <v>31</v>
      </c>
      <c r="N92" s="61" t="s">
        <v>1800</v>
      </c>
      <c r="O92" s="61"/>
      <c r="P92" s="61"/>
      <c r="Q92" s="61"/>
      <c r="R92" s="84" t="s">
        <v>2682</v>
      </c>
      <c r="S92" s="84" t="s">
        <v>40</v>
      </c>
      <c r="T92" s="84" t="s">
        <v>1898</v>
      </c>
      <c r="U92" s="84" t="s">
        <v>1898</v>
      </c>
      <c r="V92" s="101" t="str">
        <f>VLOOKUP(B92,[2]Overall!$A:$D,4,0)</f>
        <v>TELEINFRA CENTRE</v>
      </c>
      <c r="W92" s="101" t="str">
        <f>VLOOKUP(B92,[3]Sheet1!$A:$B,2,0)</f>
        <v>Bonga</v>
      </c>
      <c r="X92" s="88" t="str">
        <f t="shared" si="3"/>
        <v>EST</v>
      </c>
      <c r="Y92" s="88" t="str">
        <f t="shared" si="4"/>
        <v>T&lt;1H</v>
      </c>
      <c r="Z92" s="101">
        <f t="shared" si="5"/>
        <v>4</v>
      </c>
      <c r="AA92" s="61"/>
      <c r="AB92" s="84" t="s">
        <v>1555</v>
      </c>
      <c r="AC92" s="105" t="s">
        <v>2680</v>
      </c>
      <c r="AD92" s="106" t="s">
        <v>1994</v>
      </c>
      <c r="AE92" s="61"/>
    </row>
  </sheetData>
  <autoFilter ref="A1:AE92" xr:uid="{7E61290C-0E78-4A5C-A054-830D6C09B6EC}">
    <filterColumn colId="18">
      <filters>
        <filter val="FAKE"/>
        <filter val="HW PJT"/>
        <filter val="ZTE"/>
      </filters>
    </filterColumn>
  </autoFilter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EC2-5730-4425-A53D-78925B65D321}">
  <sheetPr codeName="Sheet54"/>
  <dimension ref="A1:AE96"/>
  <sheetViews>
    <sheetView zoomScale="55" zoomScaleNormal="55" workbookViewId="0">
      <pane xSplit="6" topLeftCell="Q1" activePane="topRight" state="frozen"/>
      <selection activeCell="AB4" sqref="AB4"/>
      <selection pane="topRight" activeCell="R100" sqref="R100"/>
    </sheetView>
  </sheetViews>
  <sheetFormatPr defaultColWidth="9.08984375" defaultRowHeight="14.5" x14ac:dyDescent="0.35"/>
  <cols>
    <col min="1" max="1" width="42.36328125" style="62" bestFit="1" customWidth="1"/>
    <col min="2" max="2" width="9.81640625" style="62" customWidth="1"/>
    <col min="3" max="3" width="10" style="66" bestFit="1" customWidth="1"/>
    <col min="4" max="4" width="9.81640625" style="62" customWidth="1"/>
    <col min="5" max="5" width="21.90625" style="62" customWidth="1"/>
    <col min="6" max="6" width="10.81640625" style="62" customWidth="1"/>
    <col min="7" max="7" width="19.54296875" style="62" bestFit="1" customWidth="1"/>
    <col min="8" max="8" width="18" style="73" customWidth="1"/>
    <col min="9" max="9" width="16.6328125" style="76" customWidth="1"/>
    <col min="10" max="10" width="14.1796875" style="62" bestFit="1" customWidth="1"/>
    <col min="11" max="12" width="10.81640625" style="62" customWidth="1"/>
    <col min="13" max="13" width="18.81640625" style="62" customWidth="1"/>
    <col min="14" max="16" width="25.81640625" style="62" customWidth="1"/>
    <col min="17" max="17" width="19.81640625" style="62" customWidth="1"/>
    <col min="18" max="18" width="45.81640625" style="62" customWidth="1"/>
    <col min="19" max="19" width="15.54296875" style="62" bestFit="1" customWidth="1"/>
    <col min="20" max="20" width="23.36328125" style="62" bestFit="1" customWidth="1"/>
    <col min="21" max="23" width="16.6328125" style="62" customWidth="1"/>
    <col min="24" max="25" width="14.6328125" style="62" customWidth="1"/>
    <col min="26" max="26" width="17" style="62" customWidth="1"/>
    <col min="27" max="28" width="16.6328125" style="62" customWidth="1"/>
    <col min="29" max="29" width="18.453125" style="62" customWidth="1"/>
    <col min="30" max="31" width="16.6328125" style="62" customWidth="1"/>
    <col min="32" max="16384" width="9.08984375" style="62"/>
  </cols>
  <sheetData>
    <row r="1" spans="1:31" s="60" customFormat="1" ht="29" x14ac:dyDescent="0.35">
      <c r="A1" s="92" t="s">
        <v>0</v>
      </c>
      <c r="B1" s="93" t="s">
        <v>1</v>
      </c>
      <c r="C1" s="93" t="s">
        <v>2</v>
      </c>
      <c r="D1" s="93" t="s">
        <v>3</v>
      </c>
      <c r="E1" s="92" t="s">
        <v>4</v>
      </c>
      <c r="F1" s="93" t="s">
        <v>5</v>
      </c>
      <c r="G1" s="93" t="s">
        <v>6</v>
      </c>
      <c r="H1" s="94" t="s">
        <v>7</v>
      </c>
      <c r="I1" s="95" t="s">
        <v>8</v>
      </c>
      <c r="J1" s="96" t="s">
        <v>9</v>
      </c>
      <c r="K1" s="93" t="s">
        <v>10</v>
      </c>
      <c r="L1" s="97" t="s">
        <v>11</v>
      </c>
      <c r="M1" s="97" t="s">
        <v>12</v>
      </c>
      <c r="N1" s="97" t="s">
        <v>13</v>
      </c>
      <c r="O1" s="93" t="s">
        <v>14</v>
      </c>
      <c r="P1" s="98" t="s">
        <v>15</v>
      </c>
      <c r="Q1" s="98" t="s">
        <v>16</v>
      </c>
      <c r="R1" s="99" t="s">
        <v>17</v>
      </c>
      <c r="S1" s="99" t="s">
        <v>1691</v>
      </c>
      <c r="T1" s="112" t="s">
        <v>18</v>
      </c>
      <c r="U1" s="98" t="s">
        <v>19</v>
      </c>
      <c r="V1" s="93" t="s">
        <v>20</v>
      </c>
      <c r="W1" s="93" t="s">
        <v>21</v>
      </c>
      <c r="X1" s="93" t="s">
        <v>22</v>
      </c>
      <c r="Y1" s="93" t="s">
        <v>23</v>
      </c>
      <c r="Z1" s="93" t="s">
        <v>24</v>
      </c>
      <c r="AA1" s="100" t="s">
        <v>25</v>
      </c>
      <c r="AB1" s="100" t="s">
        <v>26</v>
      </c>
      <c r="AC1" s="100" t="s">
        <v>27</v>
      </c>
      <c r="AD1" s="100" t="s">
        <v>28</v>
      </c>
      <c r="AE1" s="100" t="s">
        <v>29</v>
      </c>
    </row>
    <row r="2" spans="1:31" ht="72.5" x14ac:dyDescent="0.35">
      <c r="A2" s="61" t="s">
        <v>1820</v>
      </c>
      <c r="B2" s="61" t="s">
        <v>1821</v>
      </c>
      <c r="C2" s="65"/>
      <c r="D2" s="61"/>
      <c r="E2" s="61" t="s">
        <v>30</v>
      </c>
      <c r="F2" s="70" t="s">
        <v>53</v>
      </c>
      <c r="G2" s="70" t="s">
        <v>2121</v>
      </c>
      <c r="H2" s="67">
        <v>46142.294664351852</v>
      </c>
      <c r="I2" s="75">
        <v>38.271250347221212</v>
      </c>
      <c r="J2" s="61"/>
      <c r="K2" s="61"/>
      <c r="L2" s="61"/>
      <c r="M2" s="61" t="s">
        <v>31</v>
      </c>
      <c r="N2" s="61" t="s">
        <v>1822</v>
      </c>
      <c r="O2" s="61"/>
      <c r="P2" s="61"/>
      <c r="Q2" s="61"/>
      <c r="R2" s="61" t="s">
        <v>1924</v>
      </c>
      <c r="S2" s="61" t="s">
        <v>1924</v>
      </c>
      <c r="T2" s="61" t="s">
        <v>1898</v>
      </c>
      <c r="U2" s="61" t="s">
        <v>1898</v>
      </c>
      <c r="V2" s="101" t="str">
        <f>VLOOKUP(B2,[2]Overall!$A:$D,4,0)</f>
        <v>TELEINFRA NORD</v>
      </c>
      <c r="W2" s="101" t="str">
        <f>VLOOKUP(B2,[3]Sheet1!$A:$B,2,0)</f>
        <v>Nganha</v>
      </c>
      <c r="X2" s="88" t="str">
        <f t="shared" ref="X2:X65" si="0">LEFT(B2,3)</f>
        <v>ADM</v>
      </c>
      <c r="Y2" s="88" t="str">
        <f t="shared" ref="Y2:Y65" si="1">IF(I2 &lt; 1/24, "T&lt;1H", IF(AND(I2&lt;2/24, I2&gt;1/24), "1H&lt;T&lt;2H", IF(AND(I2&lt;4/24, I2&gt;2/24), "2H&lt;T&lt;4H", IF(AND(I2&lt;8/24, I2&gt;4/24), "4H&lt;T&lt;8H", IF(AND(I2&lt;16/24, I2&gt;8/24), "8H&lt;T&lt;16H",IF(AND(I2&lt;24/24, I2&gt;16/24),"16H&lt;T&lt;24H", IF(AND(I2&lt;48/24, I2&gt;24/24),"24H&lt;T&lt;48H",IF(AND(I2&lt;72/24, I2&gt;24/24),"48H&lt;T&lt;72H", "T&gt;72H"))))))))</f>
        <v>T&gt;72H</v>
      </c>
      <c r="Z2" s="101">
        <f t="shared" ref="Z2:Z65" si="2">IF(OR(E2="", E2="affected_cells=unknown"), "", LEN(E2)-LEN(SUBSTITUTE(E2, ",", "")) + LEN(E2)-LEN(SUBSTITUTE(E2, ";", "")) + 1)</f>
        <v>1</v>
      </c>
      <c r="AA2" s="61"/>
      <c r="AB2" s="84" t="s">
        <v>1554</v>
      </c>
      <c r="AC2" s="105" t="s">
        <v>2730</v>
      </c>
      <c r="AD2" s="106" t="s">
        <v>1994</v>
      </c>
      <c r="AE2" s="61"/>
    </row>
    <row r="3" spans="1:31" ht="58" x14ac:dyDescent="0.35">
      <c r="A3" s="61" t="s">
        <v>1873</v>
      </c>
      <c r="B3" s="61" t="s">
        <v>1872</v>
      </c>
      <c r="C3" s="65"/>
      <c r="D3" s="61"/>
      <c r="E3" s="61" t="s">
        <v>49</v>
      </c>
      <c r="F3" s="70" t="s">
        <v>53</v>
      </c>
      <c r="G3" s="70" t="s">
        <v>2121</v>
      </c>
      <c r="H3" s="67">
        <v>46163.635960648149</v>
      </c>
      <c r="I3" s="75">
        <v>16.929954050923698</v>
      </c>
      <c r="J3" s="61"/>
      <c r="K3" s="61"/>
      <c r="L3" s="61"/>
      <c r="M3" s="61" t="s">
        <v>33</v>
      </c>
      <c r="N3" s="61" t="s">
        <v>2424</v>
      </c>
      <c r="O3" s="61"/>
      <c r="P3" s="61"/>
      <c r="Q3" s="61"/>
      <c r="R3" s="84" t="s">
        <v>1909</v>
      </c>
      <c r="S3" s="61" t="s">
        <v>1908</v>
      </c>
      <c r="T3" s="61" t="s">
        <v>1865</v>
      </c>
      <c r="U3" s="61" t="s">
        <v>1865</v>
      </c>
      <c r="V3" s="101" t="e">
        <f>VLOOKUP(B3,[2]Overall!$A:$D,4,0)</f>
        <v>#N/A</v>
      </c>
      <c r="W3" s="101" t="e">
        <f>VLOOKUP(B3,[3]Sheet1!$A:$B,2,0)</f>
        <v>#N/A</v>
      </c>
      <c r="X3" s="88" t="str">
        <f t="shared" si="0"/>
        <v>EST</v>
      </c>
      <c r="Y3" s="88" t="str">
        <f t="shared" si="1"/>
        <v>T&gt;72H</v>
      </c>
      <c r="Z3" s="101">
        <f t="shared" si="2"/>
        <v>1</v>
      </c>
      <c r="AA3" s="61"/>
      <c r="AB3" s="84" t="s">
        <v>1554</v>
      </c>
      <c r="AC3" s="105" t="s">
        <v>2730</v>
      </c>
      <c r="AD3" s="106" t="s">
        <v>1994</v>
      </c>
      <c r="AE3" s="61"/>
    </row>
    <row r="4" spans="1:31" ht="58" x14ac:dyDescent="0.35">
      <c r="A4" s="61" t="s">
        <v>1873</v>
      </c>
      <c r="B4" s="61" t="s">
        <v>1872</v>
      </c>
      <c r="C4" s="65"/>
      <c r="D4" s="61"/>
      <c r="E4" s="61" t="s">
        <v>2425</v>
      </c>
      <c r="F4" s="70" t="s">
        <v>53</v>
      </c>
      <c r="G4" s="70" t="s">
        <v>2121</v>
      </c>
      <c r="H4" s="67">
        <v>46163.635925925926</v>
      </c>
      <c r="I4" s="75">
        <v>16.929988773146761</v>
      </c>
      <c r="J4" s="61"/>
      <c r="K4" s="61"/>
      <c r="L4" s="61"/>
      <c r="M4" s="61" t="s">
        <v>33</v>
      </c>
      <c r="N4" s="61" t="s">
        <v>1856</v>
      </c>
      <c r="O4" s="61"/>
      <c r="P4" s="61"/>
      <c r="Q4" s="61"/>
      <c r="R4" s="61" t="s">
        <v>1909</v>
      </c>
      <c r="S4" s="61" t="s">
        <v>1908</v>
      </c>
      <c r="T4" s="61" t="s">
        <v>1865</v>
      </c>
      <c r="U4" s="61" t="s">
        <v>1865</v>
      </c>
      <c r="V4" s="101" t="e">
        <f>VLOOKUP(B4,[2]Overall!$A:$D,4,0)</f>
        <v>#N/A</v>
      </c>
      <c r="W4" s="101" t="e">
        <f>VLOOKUP(B4,[3]Sheet1!$A:$B,2,0)</f>
        <v>#N/A</v>
      </c>
      <c r="X4" s="88" t="str">
        <f t="shared" si="0"/>
        <v>EST</v>
      </c>
      <c r="Y4" s="88" t="str">
        <f t="shared" si="1"/>
        <v>T&gt;72H</v>
      </c>
      <c r="Z4" s="101">
        <f t="shared" si="2"/>
        <v>2</v>
      </c>
      <c r="AA4" s="61"/>
      <c r="AB4" s="84" t="s">
        <v>1554</v>
      </c>
      <c r="AC4" s="105" t="s">
        <v>2730</v>
      </c>
      <c r="AD4" s="106" t="s">
        <v>1994</v>
      </c>
      <c r="AE4" s="61"/>
    </row>
    <row r="5" spans="1:31" ht="58" x14ac:dyDescent="0.35">
      <c r="A5" s="61" t="s">
        <v>1873</v>
      </c>
      <c r="B5" s="61" t="s">
        <v>1872</v>
      </c>
      <c r="C5" s="65"/>
      <c r="D5" s="61"/>
      <c r="E5" s="61" t="s">
        <v>2426</v>
      </c>
      <c r="F5" s="70" t="s">
        <v>53</v>
      </c>
      <c r="G5" s="70" t="s">
        <v>2121</v>
      </c>
      <c r="H5" s="67">
        <v>46163.63616898148</v>
      </c>
      <c r="I5" s="75">
        <v>16.929745717592596</v>
      </c>
      <c r="J5" s="61"/>
      <c r="K5" s="61"/>
      <c r="L5" s="61"/>
      <c r="M5" s="61" t="s">
        <v>33</v>
      </c>
      <c r="N5" s="61" t="s">
        <v>2427</v>
      </c>
      <c r="O5" s="61"/>
      <c r="P5" s="61"/>
      <c r="Q5" s="61"/>
      <c r="R5" s="61" t="s">
        <v>1909</v>
      </c>
      <c r="S5" s="61" t="s">
        <v>1908</v>
      </c>
      <c r="T5" s="61" t="s">
        <v>1865</v>
      </c>
      <c r="U5" s="61" t="s">
        <v>1865</v>
      </c>
      <c r="V5" s="101" t="e">
        <f>VLOOKUP(B5,[2]Overall!$A:$D,4,0)</f>
        <v>#N/A</v>
      </c>
      <c r="W5" s="101" t="e">
        <f>VLOOKUP(B5,[3]Sheet1!$A:$B,2,0)</f>
        <v>#N/A</v>
      </c>
      <c r="X5" s="88" t="str">
        <f t="shared" si="0"/>
        <v>EST</v>
      </c>
      <c r="Y5" s="88" t="str">
        <f t="shared" si="1"/>
        <v>T&gt;72H</v>
      </c>
      <c r="Z5" s="101">
        <f t="shared" si="2"/>
        <v>2</v>
      </c>
      <c r="AA5" s="61"/>
      <c r="AB5" s="84" t="s">
        <v>1554</v>
      </c>
      <c r="AC5" s="105" t="s">
        <v>2730</v>
      </c>
      <c r="AD5" s="106" t="s">
        <v>1994</v>
      </c>
      <c r="AE5" s="61"/>
    </row>
    <row r="6" spans="1:31" ht="58" x14ac:dyDescent="0.35">
      <c r="A6" s="61" t="s">
        <v>1873</v>
      </c>
      <c r="B6" s="61" t="s">
        <v>1872</v>
      </c>
      <c r="C6" s="65"/>
      <c r="D6" s="61"/>
      <c r="E6" s="61" t="s">
        <v>2428</v>
      </c>
      <c r="F6" s="70" t="s">
        <v>53</v>
      </c>
      <c r="G6" s="70" t="s">
        <v>2121</v>
      </c>
      <c r="H6" s="67">
        <v>46163.636145833334</v>
      </c>
      <c r="I6" s="75">
        <v>16.929768865738879</v>
      </c>
      <c r="J6" s="61"/>
      <c r="K6" s="61"/>
      <c r="L6" s="61"/>
      <c r="M6" s="61" t="s">
        <v>33</v>
      </c>
      <c r="N6" s="61" t="s">
        <v>2429</v>
      </c>
      <c r="O6" s="61"/>
      <c r="P6" s="61"/>
      <c r="Q6" s="61"/>
      <c r="R6" s="61" t="s">
        <v>1909</v>
      </c>
      <c r="S6" s="61" t="s">
        <v>1908</v>
      </c>
      <c r="T6" s="61" t="s">
        <v>1865</v>
      </c>
      <c r="U6" s="61" t="s">
        <v>1865</v>
      </c>
      <c r="V6" s="101" t="e">
        <f>VLOOKUP(B6,[2]Overall!$A:$D,4,0)</f>
        <v>#N/A</v>
      </c>
      <c r="W6" s="101" t="e">
        <f>VLOOKUP(B6,[3]Sheet1!$A:$B,2,0)</f>
        <v>#N/A</v>
      </c>
      <c r="X6" s="88" t="str">
        <f t="shared" si="0"/>
        <v>EST</v>
      </c>
      <c r="Y6" s="88" t="str">
        <f t="shared" si="1"/>
        <v>T&gt;72H</v>
      </c>
      <c r="Z6" s="101">
        <f t="shared" si="2"/>
        <v>2</v>
      </c>
      <c r="AA6" s="61"/>
      <c r="AB6" s="84" t="s">
        <v>1554</v>
      </c>
      <c r="AC6" s="105" t="s">
        <v>2730</v>
      </c>
      <c r="AD6" s="106" t="s">
        <v>1994</v>
      </c>
      <c r="AE6" s="61"/>
    </row>
    <row r="7" spans="1:31" ht="58" x14ac:dyDescent="0.35">
      <c r="A7" s="61" t="s">
        <v>1873</v>
      </c>
      <c r="B7" s="61" t="s">
        <v>1872</v>
      </c>
      <c r="C7" s="65"/>
      <c r="D7" s="61"/>
      <c r="E7" s="61" t="s">
        <v>1641</v>
      </c>
      <c r="F7" s="70" t="s">
        <v>53</v>
      </c>
      <c r="G7" s="70" t="s">
        <v>2121</v>
      </c>
      <c r="H7" s="67">
        <v>46163.636331018519</v>
      </c>
      <c r="I7" s="75">
        <v>16.92958368055406</v>
      </c>
      <c r="J7" s="61"/>
      <c r="K7" s="61"/>
      <c r="L7" s="61"/>
      <c r="M7" s="61" t="s">
        <v>33</v>
      </c>
      <c r="N7" s="61" t="s">
        <v>2430</v>
      </c>
      <c r="O7" s="61"/>
      <c r="P7" s="61"/>
      <c r="Q7" s="61"/>
      <c r="R7" s="61" t="s">
        <v>1909</v>
      </c>
      <c r="S7" s="61" t="s">
        <v>1908</v>
      </c>
      <c r="T7" s="61" t="s">
        <v>1865</v>
      </c>
      <c r="U7" s="61" t="s">
        <v>1865</v>
      </c>
      <c r="V7" s="101" t="e">
        <f>VLOOKUP(B7,[2]Overall!$A:$D,4,0)</f>
        <v>#N/A</v>
      </c>
      <c r="W7" s="101" t="e">
        <f>VLOOKUP(B7,[3]Sheet1!$A:$B,2,0)</f>
        <v>#N/A</v>
      </c>
      <c r="X7" s="88" t="str">
        <f t="shared" si="0"/>
        <v>EST</v>
      </c>
      <c r="Y7" s="88" t="str">
        <f t="shared" si="1"/>
        <v>T&gt;72H</v>
      </c>
      <c r="Z7" s="101">
        <f t="shared" si="2"/>
        <v>1</v>
      </c>
      <c r="AA7" s="61"/>
      <c r="AB7" s="84" t="s">
        <v>1554</v>
      </c>
      <c r="AC7" s="105" t="s">
        <v>2730</v>
      </c>
      <c r="AD7" s="106" t="s">
        <v>1994</v>
      </c>
      <c r="AE7" s="61"/>
    </row>
    <row r="8" spans="1:31" ht="58" x14ac:dyDescent="0.35">
      <c r="A8" s="61" t="s">
        <v>1869</v>
      </c>
      <c r="B8" s="61" t="s">
        <v>1912</v>
      </c>
      <c r="C8" s="65"/>
      <c r="D8" s="61"/>
      <c r="E8" s="61" t="s">
        <v>1871</v>
      </c>
      <c r="F8" s="70" t="s">
        <v>53</v>
      </c>
      <c r="G8" s="70" t="s">
        <v>2121</v>
      </c>
      <c r="H8" s="67">
        <v>46163.714907407404</v>
      </c>
      <c r="I8" s="75">
        <v>16.851007291668793</v>
      </c>
      <c r="J8" s="61"/>
      <c r="K8" s="61"/>
      <c r="L8" s="61"/>
      <c r="M8" s="61" t="s">
        <v>33</v>
      </c>
      <c r="N8" s="61" t="s">
        <v>1870</v>
      </c>
      <c r="O8" s="61"/>
      <c r="P8" s="61"/>
      <c r="Q8" s="61"/>
      <c r="R8" s="61" t="s">
        <v>1909</v>
      </c>
      <c r="S8" s="61" t="s">
        <v>1908</v>
      </c>
      <c r="T8" s="61" t="s">
        <v>1865</v>
      </c>
      <c r="U8" s="61" t="s">
        <v>1865</v>
      </c>
      <c r="V8" s="101" t="e">
        <f>VLOOKUP(B8,[2]Overall!$A:$D,4,0)</f>
        <v>#N/A</v>
      </c>
      <c r="W8" s="101" t="e">
        <f>VLOOKUP(B8,[3]Sheet1!$A:$B,2,0)</f>
        <v>#N/A</v>
      </c>
      <c r="X8" s="88" t="str">
        <f t="shared" si="0"/>
        <v>TR_</v>
      </c>
      <c r="Y8" s="88" t="str">
        <f t="shared" si="1"/>
        <v>T&gt;72H</v>
      </c>
      <c r="Z8" s="101">
        <f t="shared" si="2"/>
        <v>2</v>
      </c>
      <c r="AA8" s="61"/>
      <c r="AB8" s="84" t="s">
        <v>1554</v>
      </c>
      <c r="AC8" s="105" t="s">
        <v>2730</v>
      </c>
      <c r="AD8" s="106" t="s">
        <v>1994</v>
      </c>
      <c r="AE8" s="61"/>
    </row>
    <row r="9" spans="1:31" ht="72.5" x14ac:dyDescent="0.35">
      <c r="A9" s="61" t="s">
        <v>1863</v>
      </c>
      <c r="B9" s="61" t="s">
        <v>1862</v>
      </c>
      <c r="C9" s="65"/>
      <c r="D9" s="61"/>
      <c r="E9" s="61" t="s">
        <v>1864</v>
      </c>
      <c r="F9" s="70" t="s">
        <v>53</v>
      </c>
      <c r="G9" s="70" t="s">
        <v>2121</v>
      </c>
      <c r="H9" s="67">
        <v>46164.926620370374</v>
      </c>
      <c r="I9" s="75">
        <v>15.639294328699179</v>
      </c>
      <c r="J9" s="61"/>
      <c r="K9" s="61"/>
      <c r="L9" s="61"/>
      <c r="M9" s="61" t="s">
        <v>1769</v>
      </c>
      <c r="N9" s="61" t="s">
        <v>1770</v>
      </c>
      <c r="O9" s="61"/>
      <c r="P9" s="61"/>
      <c r="Q9" s="61"/>
      <c r="R9" s="61" t="s">
        <v>1909</v>
      </c>
      <c r="S9" s="61" t="s">
        <v>1903</v>
      </c>
      <c r="T9" s="61" t="s">
        <v>1865</v>
      </c>
      <c r="U9" s="61" t="s">
        <v>1865</v>
      </c>
      <c r="V9" s="101" t="e">
        <f>VLOOKUP(B9,[2]Overall!$A:$D,4,0)</f>
        <v>#N/A</v>
      </c>
      <c r="W9" s="101" t="e">
        <f>VLOOKUP(B9,[3]Sheet1!$A:$B,2,0)</f>
        <v>#N/A</v>
      </c>
      <c r="X9" s="88" t="str">
        <f t="shared" si="0"/>
        <v>ADM</v>
      </c>
      <c r="Y9" s="88" t="str">
        <f t="shared" si="1"/>
        <v>T&gt;72H</v>
      </c>
      <c r="Z9" s="101">
        <f t="shared" si="2"/>
        <v>1</v>
      </c>
      <c r="AA9" s="61"/>
      <c r="AB9" s="84" t="s">
        <v>1554</v>
      </c>
      <c r="AC9" s="105" t="s">
        <v>2730</v>
      </c>
      <c r="AD9" s="106" t="s">
        <v>1994</v>
      </c>
      <c r="AE9" s="61"/>
    </row>
    <row r="10" spans="1:31" ht="58" x14ac:dyDescent="0.35">
      <c r="A10" s="61" t="s">
        <v>1859</v>
      </c>
      <c r="B10" s="61" t="s">
        <v>1858</v>
      </c>
      <c r="C10" s="65"/>
      <c r="D10" s="61"/>
      <c r="E10" s="61" t="s">
        <v>1857</v>
      </c>
      <c r="F10" s="70" t="s">
        <v>53</v>
      </c>
      <c r="G10" s="70" t="s">
        <v>2121</v>
      </c>
      <c r="H10" s="67">
        <v>46166.377986111111</v>
      </c>
      <c r="I10" s="75">
        <v>14.187928587962233</v>
      </c>
      <c r="J10" s="61"/>
      <c r="K10" s="61"/>
      <c r="L10" s="61"/>
      <c r="M10" s="61" t="s">
        <v>33</v>
      </c>
      <c r="N10" s="61" t="s">
        <v>1856</v>
      </c>
      <c r="O10" s="61"/>
      <c r="P10" s="61"/>
      <c r="Q10" s="61"/>
      <c r="R10" s="61" t="s">
        <v>1909</v>
      </c>
      <c r="S10" s="61" t="s">
        <v>1903</v>
      </c>
      <c r="T10" s="61" t="s">
        <v>1865</v>
      </c>
      <c r="U10" s="61" t="s">
        <v>1865</v>
      </c>
      <c r="V10" s="101" t="e">
        <f>VLOOKUP(B10,[2]Overall!$A:$D,4,0)</f>
        <v>#N/A</v>
      </c>
      <c r="W10" s="101" t="e">
        <f>VLOOKUP(B10,[3]Sheet1!$A:$B,2,0)</f>
        <v>#N/A</v>
      </c>
      <c r="X10" s="88" t="str">
        <f t="shared" si="0"/>
        <v>SUD</v>
      </c>
      <c r="Y10" s="88" t="str">
        <f t="shared" si="1"/>
        <v>T&gt;72H</v>
      </c>
      <c r="Z10" s="101">
        <f t="shared" si="2"/>
        <v>2</v>
      </c>
      <c r="AA10" s="61"/>
      <c r="AB10" s="84" t="s">
        <v>1554</v>
      </c>
      <c r="AC10" s="105" t="s">
        <v>2730</v>
      </c>
      <c r="AD10" s="106" t="s">
        <v>1994</v>
      </c>
      <c r="AE10" s="61"/>
    </row>
    <row r="11" spans="1:31" ht="406" x14ac:dyDescent="0.35">
      <c r="A11" s="61" t="s">
        <v>1913</v>
      </c>
      <c r="B11" s="61" t="s">
        <v>1914</v>
      </c>
      <c r="C11" s="65"/>
      <c r="D11" s="61"/>
      <c r="E11" s="61" t="s">
        <v>43</v>
      </c>
      <c r="F11" s="70" t="s">
        <v>53</v>
      </c>
      <c r="G11" s="70" t="s">
        <v>2121</v>
      </c>
      <c r="H11" s="67">
        <v>46168.171053240738</v>
      </c>
      <c r="I11" s="75">
        <v>12.394861458335072</v>
      </c>
      <c r="J11" s="61"/>
      <c r="K11" s="61"/>
      <c r="L11" s="61"/>
      <c r="M11" s="61" t="s">
        <v>31</v>
      </c>
      <c r="N11" s="61" t="s">
        <v>1915</v>
      </c>
      <c r="O11" s="61"/>
      <c r="P11" s="61"/>
      <c r="Q11" s="61"/>
      <c r="R11" s="61" t="s">
        <v>2707</v>
      </c>
      <c r="S11" s="61" t="s">
        <v>40</v>
      </c>
      <c r="T11" s="61" t="s">
        <v>1840</v>
      </c>
      <c r="U11" s="61" t="s">
        <v>1840</v>
      </c>
      <c r="V11" s="101" t="str">
        <f>VLOOKUP(B11,[2]Overall!$A:$D,4,0)</f>
        <v>TELEINFRA NORD</v>
      </c>
      <c r="W11" s="101" t="str">
        <f>VLOOKUP(B11,[3]Sheet1!$A:$B,2,0)</f>
        <v>Dogba</v>
      </c>
      <c r="X11" s="88" t="str">
        <f t="shared" si="0"/>
        <v>EXN</v>
      </c>
      <c r="Y11" s="88" t="str">
        <f t="shared" si="1"/>
        <v>T&gt;72H</v>
      </c>
      <c r="Z11" s="101">
        <f t="shared" si="2"/>
        <v>4</v>
      </c>
      <c r="AA11" s="61"/>
      <c r="AB11" s="84" t="s">
        <v>1554</v>
      </c>
      <c r="AC11" s="105" t="s">
        <v>2730</v>
      </c>
      <c r="AD11" s="106" t="s">
        <v>1994</v>
      </c>
      <c r="AE11" s="61"/>
    </row>
    <row r="12" spans="1:31" ht="406" x14ac:dyDescent="0.35">
      <c r="A12" s="61" t="s">
        <v>1913</v>
      </c>
      <c r="B12" s="61" t="s">
        <v>1914</v>
      </c>
      <c r="C12" s="65"/>
      <c r="D12" s="61"/>
      <c r="E12" s="61" t="s">
        <v>35</v>
      </c>
      <c r="F12" s="70" t="s">
        <v>53</v>
      </c>
      <c r="G12" s="70" t="s">
        <v>2121</v>
      </c>
      <c r="H12" s="67">
        <v>46168.171064814815</v>
      </c>
      <c r="I12" s="75">
        <v>12.394849884258292</v>
      </c>
      <c r="J12" s="61"/>
      <c r="K12" s="61"/>
      <c r="L12" s="61"/>
      <c r="M12" s="61" t="s">
        <v>31</v>
      </c>
      <c r="N12" s="61" t="s">
        <v>1916</v>
      </c>
      <c r="O12" s="61"/>
      <c r="P12" s="61"/>
      <c r="Q12" s="61"/>
      <c r="R12" s="61" t="s">
        <v>2707</v>
      </c>
      <c r="S12" s="61" t="s">
        <v>40</v>
      </c>
      <c r="T12" s="61" t="s">
        <v>1840</v>
      </c>
      <c r="U12" s="61" t="s">
        <v>1840</v>
      </c>
      <c r="V12" s="101" t="str">
        <f>VLOOKUP(B12,[2]Overall!$A:$D,4,0)</f>
        <v>TELEINFRA NORD</v>
      </c>
      <c r="W12" s="101" t="str">
        <f>VLOOKUP(B12,[3]Sheet1!$A:$B,2,0)</f>
        <v>Dogba</v>
      </c>
      <c r="X12" s="88" t="str">
        <f t="shared" si="0"/>
        <v>EXN</v>
      </c>
      <c r="Y12" s="88" t="str">
        <f t="shared" si="1"/>
        <v>T&gt;72H</v>
      </c>
      <c r="Z12" s="101">
        <f t="shared" si="2"/>
        <v>3</v>
      </c>
      <c r="AA12" s="61"/>
      <c r="AB12" s="84" t="s">
        <v>1554</v>
      </c>
      <c r="AC12" s="105" t="s">
        <v>2730</v>
      </c>
      <c r="AD12" s="106" t="s">
        <v>1994</v>
      </c>
      <c r="AE12" s="61"/>
    </row>
    <row r="13" spans="1:31" ht="203" x14ac:dyDescent="0.35">
      <c r="A13" s="61" t="s">
        <v>1855</v>
      </c>
      <c r="B13" s="61" t="s">
        <v>1851</v>
      </c>
      <c r="C13" s="65"/>
      <c r="D13" s="61"/>
      <c r="E13" s="61" t="s">
        <v>1854</v>
      </c>
      <c r="F13" s="70" t="s">
        <v>53</v>
      </c>
      <c r="G13" s="70" t="s">
        <v>2121</v>
      </c>
      <c r="H13" s="67">
        <v>46169.479988425926</v>
      </c>
      <c r="I13" s="75">
        <v>11.08592627314647</v>
      </c>
      <c r="J13" s="61"/>
      <c r="K13" s="61"/>
      <c r="L13" s="61"/>
      <c r="M13" s="61" t="s">
        <v>38</v>
      </c>
      <c r="N13" s="61" t="s">
        <v>1853</v>
      </c>
      <c r="O13" s="61"/>
      <c r="P13" s="61"/>
      <c r="Q13" s="61"/>
      <c r="R13" s="61" t="s">
        <v>2337</v>
      </c>
      <c r="S13" s="61" t="s">
        <v>1903</v>
      </c>
      <c r="T13" s="61" t="s">
        <v>1907</v>
      </c>
      <c r="U13" s="61" t="s">
        <v>1907</v>
      </c>
      <c r="V13" s="101" t="str">
        <f>VLOOKUP(B13,[2]Overall!$A:$D,4,0)</f>
        <v xml:space="preserve">I-ENG </v>
      </c>
      <c r="W13" s="101" t="str">
        <f>VLOOKUP(B13,[3]Sheet1!$A:$B,2,0)</f>
        <v>Mendji</v>
      </c>
      <c r="X13" s="88" t="str">
        <f t="shared" si="0"/>
        <v>NRO</v>
      </c>
      <c r="Y13" s="88" t="str">
        <f t="shared" si="1"/>
        <v>T&gt;72H</v>
      </c>
      <c r="Z13" s="101">
        <f t="shared" si="2"/>
        <v>5</v>
      </c>
      <c r="AA13" s="61"/>
      <c r="AB13" s="84" t="s">
        <v>1554</v>
      </c>
      <c r="AC13" s="105" t="s">
        <v>2730</v>
      </c>
      <c r="AD13" s="106" t="s">
        <v>1994</v>
      </c>
      <c r="AE13" s="61"/>
    </row>
    <row r="14" spans="1:31" ht="203" x14ac:dyDescent="0.35">
      <c r="A14" s="61" t="s">
        <v>1852</v>
      </c>
      <c r="B14" s="61" t="s">
        <v>1851</v>
      </c>
      <c r="C14" s="65"/>
      <c r="D14" s="61"/>
      <c r="E14" s="61" t="s">
        <v>30</v>
      </c>
      <c r="F14" s="70" t="s">
        <v>53</v>
      </c>
      <c r="G14" s="70" t="s">
        <v>2121</v>
      </c>
      <c r="H14" s="67">
        <v>46169.484270833331</v>
      </c>
      <c r="I14" s="75">
        <v>11.08164386574208</v>
      </c>
      <c r="J14" s="61"/>
      <c r="K14" s="61"/>
      <c r="L14" s="61"/>
      <c r="M14" s="61" t="s">
        <v>31</v>
      </c>
      <c r="N14" s="61" t="s">
        <v>1850</v>
      </c>
      <c r="O14" s="61"/>
      <c r="P14" s="61"/>
      <c r="Q14" s="61"/>
      <c r="R14" s="61" t="s">
        <v>2337</v>
      </c>
      <c r="S14" s="61" t="s">
        <v>1903</v>
      </c>
      <c r="T14" s="61" t="s">
        <v>1907</v>
      </c>
      <c r="U14" s="61" t="s">
        <v>1907</v>
      </c>
      <c r="V14" s="101" t="str">
        <f>VLOOKUP(B14,[2]Overall!$A:$D,4,0)</f>
        <v xml:space="preserve">I-ENG </v>
      </c>
      <c r="W14" s="101" t="str">
        <f>VLOOKUP(B14,[3]Sheet1!$A:$B,2,0)</f>
        <v>Mendji</v>
      </c>
      <c r="X14" s="88" t="str">
        <f t="shared" si="0"/>
        <v>NRO</v>
      </c>
      <c r="Y14" s="88" t="str">
        <f t="shared" si="1"/>
        <v>T&gt;72H</v>
      </c>
      <c r="Z14" s="101">
        <f t="shared" si="2"/>
        <v>1</v>
      </c>
      <c r="AA14" s="61"/>
      <c r="AB14" s="84" t="s">
        <v>1554</v>
      </c>
      <c r="AC14" s="105" t="s">
        <v>2730</v>
      </c>
      <c r="AD14" s="106" t="s">
        <v>1994</v>
      </c>
      <c r="AE14" s="61"/>
    </row>
    <row r="15" spans="1:31" ht="58" x14ac:dyDescent="0.35">
      <c r="A15" s="61" t="s">
        <v>1888</v>
      </c>
      <c r="B15" s="61" t="s">
        <v>1889</v>
      </c>
      <c r="C15" s="65"/>
      <c r="D15" s="61"/>
      <c r="E15" s="61" t="s">
        <v>1890</v>
      </c>
      <c r="F15" s="70" t="s">
        <v>53</v>
      </c>
      <c r="G15" s="70" t="s">
        <v>2121</v>
      </c>
      <c r="H15" s="67">
        <v>46170.793344907404</v>
      </c>
      <c r="I15" s="75">
        <v>9.7725697916685021</v>
      </c>
      <c r="J15" s="61"/>
      <c r="K15" s="61"/>
      <c r="L15" s="61"/>
      <c r="M15" s="61" t="s">
        <v>33</v>
      </c>
      <c r="N15" s="61" t="s">
        <v>1891</v>
      </c>
      <c r="O15" s="61"/>
      <c r="P15" s="61"/>
      <c r="Q15" s="61"/>
      <c r="R15" s="61" t="s">
        <v>1910</v>
      </c>
      <c r="S15" s="61" t="s">
        <v>1908</v>
      </c>
      <c r="T15" s="61" t="s">
        <v>1907</v>
      </c>
      <c r="U15" s="61" t="s">
        <v>1907</v>
      </c>
      <c r="V15" s="101" t="str">
        <f>VLOOKUP(B15,[2]Overall!$A:$D,4,0)</f>
        <v>H-TELI</v>
      </c>
      <c r="W15" s="101" t="str">
        <f>VLOOKUP(B15,[3]Sheet1!$A:$B,2,0)</f>
        <v>Muyengue</v>
      </c>
      <c r="X15" s="88" t="str">
        <f t="shared" si="0"/>
        <v>LIT</v>
      </c>
      <c r="Y15" s="88" t="str">
        <f t="shared" si="1"/>
        <v>T&gt;72H</v>
      </c>
      <c r="Z15" s="101">
        <f t="shared" si="2"/>
        <v>2</v>
      </c>
      <c r="AA15" s="61"/>
      <c r="AB15" s="84" t="s">
        <v>1554</v>
      </c>
      <c r="AC15" s="105" t="s">
        <v>2730</v>
      </c>
      <c r="AD15" s="106" t="s">
        <v>1994</v>
      </c>
      <c r="AE15" s="61"/>
    </row>
    <row r="16" spans="1:31" ht="409.5" x14ac:dyDescent="0.35">
      <c r="A16" s="61" t="s">
        <v>1773</v>
      </c>
      <c r="B16" s="61" t="s">
        <v>1774</v>
      </c>
      <c r="C16" s="65"/>
      <c r="D16" s="61"/>
      <c r="E16" s="61" t="s">
        <v>1956</v>
      </c>
      <c r="F16" s="70" t="s">
        <v>53</v>
      </c>
      <c r="G16" s="70" t="s">
        <v>2121</v>
      </c>
      <c r="H16" s="67">
        <v>46172.719837962963</v>
      </c>
      <c r="I16" s="75">
        <v>7.8460767361102626</v>
      </c>
      <c r="J16" s="61"/>
      <c r="K16" s="61"/>
      <c r="L16" s="61"/>
      <c r="M16" s="61" t="s">
        <v>31</v>
      </c>
      <c r="N16" s="61" t="s">
        <v>1957</v>
      </c>
      <c r="O16" s="61"/>
      <c r="P16" s="61"/>
      <c r="Q16" s="61"/>
      <c r="R16" s="61" t="s">
        <v>2492</v>
      </c>
      <c r="S16" s="61" t="s">
        <v>40</v>
      </c>
      <c r="T16" s="61" t="s">
        <v>1898</v>
      </c>
      <c r="U16" s="61" t="s">
        <v>1898</v>
      </c>
      <c r="V16" s="101" t="str">
        <f>VLOOKUP(B16,[2]Overall!$A:$D,4,0)</f>
        <v>TELEINFRA NORD</v>
      </c>
      <c r="W16" s="101" t="str">
        <f>VLOOKUP(B16,[3]Sheet1!$A:$B,2,0)</f>
        <v>Hamalade</v>
      </c>
      <c r="X16" s="88" t="str">
        <f t="shared" si="0"/>
        <v>NRD</v>
      </c>
      <c r="Y16" s="88" t="str">
        <f t="shared" si="1"/>
        <v>T&gt;72H</v>
      </c>
      <c r="Z16" s="101">
        <f t="shared" si="2"/>
        <v>3</v>
      </c>
      <c r="AA16" s="61"/>
      <c r="AB16" s="84" t="s">
        <v>1554</v>
      </c>
      <c r="AC16" s="105" t="s">
        <v>2730</v>
      </c>
      <c r="AD16" s="106" t="s">
        <v>1994</v>
      </c>
      <c r="AE16" s="61"/>
    </row>
    <row r="17" spans="1:31" ht="409.5" x14ac:dyDescent="0.35">
      <c r="A17" s="61" t="s">
        <v>1773</v>
      </c>
      <c r="B17" s="61" t="s">
        <v>1774</v>
      </c>
      <c r="C17" s="65"/>
      <c r="D17" s="61"/>
      <c r="E17" s="61" t="s">
        <v>35</v>
      </c>
      <c r="F17" s="70" t="s">
        <v>53</v>
      </c>
      <c r="G17" s="70" t="s">
        <v>2121</v>
      </c>
      <c r="H17" s="67">
        <v>46172.719837962963</v>
      </c>
      <c r="I17" s="75">
        <v>7.8460767361102626</v>
      </c>
      <c r="J17" s="61"/>
      <c r="K17" s="61"/>
      <c r="L17" s="61"/>
      <c r="M17" s="61" t="s">
        <v>31</v>
      </c>
      <c r="N17" s="61" t="s">
        <v>1775</v>
      </c>
      <c r="O17" s="61"/>
      <c r="P17" s="61"/>
      <c r="Q17" s="61"/>
      <c r="R17" s="61" t="s">
        <v>2492</v>
      </c>
      <c r="S17" s="61" t="s">
        <v>40</v>
      </c>
      <c r="T17" s="61" t="s">
        <v>1898</v>
      </c>
      <c r="U17" s="61" t="s">
        <v>1898</v>
      </c>
      <c r="V17" s="101" t="str">
        <f>VLOOKUP(B17,[2]Overall!$A:$D,4,0)</f>
        <v>TELEINFRA NORD</v>
      </c>
      <c r="W17" s="101" t="str">
        <f>VLOOKUP(B17,[3]Sheet1!$A:$B,2,0)</f>
        <v>Hamalade</v>
      </c>
      <c r="X17" s="88" t="str">
        <f t="shared" si="0"/>
        <v>NRD</v>
      </c>
      <c r="Y17" s="88" t="str">
        <f t="shared" si="1"/>
        <v>T&gt;72H</v>
      </c>
      <c r="Z17" s="101">
        <f t="shared" si="2"/>
        <v>3</v>
      </c>
      <c r="AA17" s="61"/>
      <c r="AB17" s="84" t="s">
        <v>1554</v>
      </c>
      <c r="AC17" s="105" t="s">
        <v>2730</v>
      </c>
      <c r="AD17" s="106" t="s">
        <v>1994</v>
      </c>
      <c r="AE17" s="61"/>
    </row>
    <row r="18" spans="1:31" ht="409.5" x14ac:dyDescent="0.35">
      <c r="A18" s="61" t="s">
        <v>1773</v>
      </c>
      <c r="B18" s="61" t="s">
        <v>1774</v>
      </c>
      <c r="C18" s="65"/>
      <c r="D18" s="61"/>
      <c r="E18" s="61" t="s">
        <v>1954</v>
      </c>
      <c r="F18" s="70" t="s">
        <v>53</v>
      </c>
      <c r="G18" s="70" t="s">
        <v>2121</v>
      </c>
      <c r="H18" s="67">
        <v>46172.724965277775</v>
      </c>
      <c r="I18" s="75">
        <v>7.8409494212974096</v>
      </c>
      <c r="J18" s="61"/>
      <c r="K18" s="61"/>
      <c r="L18" s="61"/>
      <c r="M18" s="61" t="s">
        <v>1750</v>
      </c>
      <c r="N18" s="61" t="s">
        <v>1751</v>
      </c>
      <c r="O18" s="61"/>
      <c r="P18" s="61"/>
      <c r="Q18" s="61"/>
      <c r="R18" s="61" t="s">
        <v>2492</v>
      </c>
      <c r="S18" s="61" t="s">
        <v>40</v>
      </c>
      <c r="T18" s="61" t="s">
        <v>1898</v>
      </c>
      <c r="U18" s="61" t="s">
        <v>1898</v>
      </c>
      <c r="V18" s="101" t="str">
        <f>VLOOKUP(B18,[2]Overall!$A:$D,4,0)</f>
        <v>TELEINFRA NORD</v>
      </c>
      <c r="W18" s="101" t="str">
        <f>VLOOKUP(B18,[3]Sheet1!$A:$B,2,0)</f>
        <v>Hamalade</v>
      </c>
      <c r="X18" s="88" t="str">
        <f t="shared" si="0"/>
        <v>NRD</v>
      </c>
      <c r="Y18" s="88" t="str">
        <f t="shared" si="1"/>
        <v>T&gt;72H</v>
      </c>
      <c r="Z18" s="101">
        <f t="shared" si="2"/>
        <v>1</v>
      </c>
      <c r="AA18" s="61"/>
      <c r="AB18" s="84" t="s">
        <v>1554</v>
      </c>
      <c r="AC18" s="105" t="s">
        <v>2730</v>
      </c>
      <c r="AD18" s="106" t="s">
        <v>1994</v>
      </c>
      <c r="AE18" s="61"/>
    </row>
    <row r="19" spans="1:31" ht="409.5" x14ac:dyDescent="0.35">
      <c r="A19" s="61" t="s">
        <v>1773</v>
      </c>
      <c r="B19" s="61" t="s">
        <v>1774</v>
      </c>
      <c r="C19" s="65"/>
      <c r="D19" s="61"/>
      <c r="E19" s="61" t="s">
        <v>1955</v>
      </c>
      <c r="F19" s="70" t="s">
        <v>53</v>
      </c>
      <c r="G19" s="70" t="s">
        <v>2121</v>
      </c>
      <c r="H19" s="67">
        <v>46172.724965277775</v>
      </c>
      <c r="I19" s="75">
        <v>7.8409494212974096</v>
      </c>
      <c r="J19" s="61"/>
      <c r="K19" s="61"/>
      <c r="L19" s="61"/>
      <c r="M19" s="61" t="s">
        <v>1750</v>
      </c>
      <c r="N19" s="61" t="s">
        <v>1751</v>
      </c>
      <c r="O19" s="61"/>
      <c r="P19" s="61"/>
      <c r="Q19" s="61"/>
      <c r="R19" s="61" t="s">
        <v>2492</v>
      </c>
      <c r="S19" s="61" t="s">
        <v>40</v>
      </c>
      <c r="T19" s="61" t="s">
        <v>1898</v>
      </c>
      <c r="U19" s="61" t="s">
        <v>1898</v>
      </c>
      <c r="V19" s="101" t="str">
        <f>VLOOKUP(B19,[2]Overall!$A:$D,4,0)</f>
        <v>TELEINFRA NORD</v>
      </c>
      <c r="W19" s="101" t="str">
        <f>VLOOKUP(B19,[3]Sheet1!$A:$B,2,0)</f>
        <v>Hamalade</v>
      </c>
      <c r="X19" s="88" t="str">
        <f t="shared" si="0"/>
        <v>NRD</v>
      </c>
      <c r="Y19" s="88" t="str">
        <f t="shared" si="1"/>
        <v>T&gt;72H</v>
      </c>
      <c r="Z19" s="101">
        <f t="shared" si="2"/>
        <v>1</v>
      </c>
      <c r="AA19" s="61"/>
      <c r="AB19" s="84" t="s">
        <v>1554</v>
      </c>
      <c r="AC19" s="105" t="s">
        <v>2730</v>
      </c>
      <c r="AD19" s="106" t="s">
        <v>1994</v>
      </c>
      <c r="AE19" s="61"/>
    </row>
    <row r="20" spans="1:31" ht="409.5" x14ac:dyDescent="0.35">
      <c r="A20" s="61" t="s">
        <v>1773</v>
      </c>
      <c r="B20" s="61" t="s">
        <v>1774</v>
      </c>
      <c r="C20" s="65"/>
      <c r="D20" s="61"/>
      <c r="E20" s="61" t="s">
        <v>1953</v>
      </c>
      <c r="F20" s="70" t="s">
        <v>53</v>
      </c>
      <c r="G20" s="70" t="s">
        <v>2121</v>
      </c>
      <c r="H20" s="67">
        <v>46172.724965277775</v>
      </c>
      <c r="I20" s="75">
        <v>7.8409494212974096</v>
      </c>
      <c r="J20" s="61"/>
      <c r="K20" s="61"/>
      <c r="L20" s="61"/>
      <c r="M20" s="61" t="s">
        <v>1750</v>
      </c>
      <c r="N20" s="61" t="s">
        <v>1751</v>
      </c>
      <c r="O20" s="61"/>
      <c r="P20" s="61"/>
      <c r="Q20" s="61"/>
      <c r="R20" s="61" t="s">
        <v>2492</v>
      </c>
      <c r="S20" s="61" t="s">
        <v>40</v>
      </c>
      <c r="T20" s="61" t="s">
        <v>1898</v>
      </c>
      <c r="U20" s="61" t="s">
        <v>1898</v>
      </c>
      <c r="V20" s="101" t="str">
        <f>VLOOKUP(B20,[2]Overall!$A:$D,4,0)</f>
        <v>TELEINFRA NORD</v>
      </c>
      <c r="W20" s="101" t="str">
        <f>VLOOKUP(B20,[3]Sheet1!$A:$B,2,0)</f>
        <v>Hamalade</v>
      </c>
      <c r="X20" s="88" t="str">
        <f t="shared" si="0"/>
        <v>NRD</v>
      </c>
      <c r="Y20" s="88" t="str">
        <f t="shared" si="1"/>
        <v>T&gt;72H</v>
      </c>
      <c r="Z20" s="101">
        <f t="shared" si="2"/>
        <v>1</v>
      </c>
      <c r="AA20" s="61"/>
      <c r="AB20" s="84" t="s">
        <v>1554</v>
      </c>
      <c r="AC20" s="105" t="s">
        <v>2730</v>
      </c>
      <c r="AD20" s="106" t="s">
        <v>1994</v>
      </c>
      <c r="AE20" s="61"/>
    </row>
    <row r="21" spans="1:31" ht="409.5" x14ac:dyDescent="0.35">
      <c r="A21" s="61" t="s">
        <v>1724</v>
      </c>
      <c r="B21" s="61" t="s">
        <v>1725</v>
      </c>
      <c r="C21" s="65"/>
      <c r="D21" s="61"/>
      <c r="E21" s="61" t="s">
        <v>1726</v>
      </c>
      <c r="F21" s="70" t="s">
        <v>53</v>
      </c>
      <c r="G21" s="70" t="s">
        <v>2121</v>
      </c>
      <c r="H21" s="67">
        <v>46172.76761574074</v>
      </c>
      <c r="I21" s="75">
        <v>7.7982989583324525</v>
      </c>
      <c r="J21" s="61"/>
      <c r="K21" s="61"/>
      <c r="L21" s="61"/>
      <c r="M21" s="61" t="s">
        <v>33</v>
      </c>
      <c r="N21" s="61" t="s">
        <v>1635</v>
      </c>
      <c r="O21" s="61"/>
      <c r="P21" s="61"/>
      <c r="Q21" s="61"/>
      <c r="R21" s="61" t="s">
        <v>2626</v>
      </c>
      <c r="S21" s="61" t="s">
        <v>32</v>
      </c>
      <c r="T21" s="61" t="s">
        <v>1898</v>
      </c>
      <c r="U21" s="61" t="s">
        <v>1898</v>
      </c>
      <c r="V21" s="101" t="str">
        <f>VLOOKUP(B21,[2]Overall!$A:$D,4,0)</f>
        <v xml:space="preserve">I-ENG </v>
      </c>
      <c r="W21" s="101" t="str">
        <f>VLOOKUP(B21,[3]Sheet1!$A:$B,2,0)</f>
        <v>Mbakong</v>
      </c>
      <c r="X21" s="88" t="str">
        <f t="shared" si="0"/>
        <v>NRO</v>
      </c>
      <c r="Y21" s="88" t="str">
        <f t="shared" si="1"/>
        <v>T&gt;72H</v>
      </c>
      <c r="Z21" s="101">
        <f t="shared" si="2"/>
        <v>2</v>
      </c>
      <c r="AA21" s="61"/>
      <c r="AB21" s="84" t="s">
        <v>1554</v>
      </c>
      <c r="AC21" s="105" t="s">
        <v>2730</v>
      </c>
      <c r="AD21" s="106" t="s">
        <v>1994</v>
      </c>
      <c r="AE21" s="61"/>
    </row>
    <row r="22" spans="1:31" ht="72.5" x14ac:dyDescent="0.35">
      <c r="A22" s="61" t="s">
        <v>1944</v>
      </c>
      <c r="B22" s="61" t="s">
        <v>1945</v>
      </c>
      <c r="C22" s="65"/>
      <c r="D22" s="61"/>
      <c r="E22" s="61" t="s">
        <v>1946</v>
      </c>
      <c r="F22" s="70" t="s">
        <v>53</v>
      </c>
      <c r="G22" s="70" t="s">
        <v>2121</v>
      </c>
      <c r="H22" s="67">
        <v>46174.445416666669</v>
      </c>
      <c r="I22" s="75">
        <v>6.1204980324037024</v>
      </c>
      <c r="J22" s="61"/>
      <c r="K22" s="61"/>
      <c r="L22" s="61"/>
      <c r="M22" s="61" t="s">
        <v>31</v>
      </c>
      <c r="N22" s="61" t="s">
        <v>1947</v>
      </c>
      <c r="O22" s="61"/>
      <c r="P22" s="61"/>
      <c r="Q22" s="61"/>
      <c r="R22" s="61" t="s">
        <v>1910</v>
      </c>
      <c r="S22" s="61" t="s">
        <v>1903</v>
      </c>
      <c r="T22" s="61" t="s">
        <v>1907</v>
      </c>
      <c r="U22" s="61" t="s">
        <v>1907</v>
      </c>
      <c r="V22" s="101" t="str">
        <f>VLOOKUP(B22,[2]Overall!$A:$D,4,0)</f>
        <v>H-TELI</v>
      </c>
      <c r="W22" s="101" t="str">
        <f>VLOOKUP(B22,[3]Sheet1!$A:$B,2,0)</f>
        <v>Ebodje</v>
      </c>
      <c r="X22" s="88" t="str">
        <f t="shared" si="0"/>
        <v>LIT</v>
      </c>
      <c r="Y22" s="88" t="str">
        <f t="shared" si="1"/>
        <v>T&gt;72H</v>
      </c>
      <c r="Z22" s="101">
        <f t="shared" si="2"/>
        <v>6</v>
      </c>
      <c r="AA22" s="61"/>
      <c r="AB22" s="84" t="s">
        <v>1554</v>
      </c>
      <c r="AC22" s="105" t="s">
        <v>2730</v>
      </c>
      <c r="AD22" s="106" t="s">
        <v>1994</v>
      </c>
      <c r="AE22" s="61"/>
    </row>
    <row r="23" spans="1:31" ht="130.5" x14ac:dyDescent="0.35">
      <c r="A23" s="61" t="s">
        <v>1843</v>
      </c>
      <c r="B23" s="61" t="s">
        <v>1844</v>
      </c>
      <c r="C23" s="65"/>
      <c r="D23" s="61"/>
      <c r="E23" s="61" t="s">
        <v>1879</v>
      </c>
      <c r="F23" s="70" t="s">
        <v>53</v>
      </c>
      <c r="G23" s="70" t="s">
        <v>2121</v>
      </c>
      <c r="H23" s="67">
        <v>46175.448993055557</v>
      </c>
      <c r="I23" s="75">
        <v>5.1169216435155249</v>
      </c>
      <c r="J23" s="61"/>
      <c r="K23" s="61"/>
      <c r="L23" s="61"/>
      <c r="M23" s="61" t="s">
        <v>38</v>
      </c>
      <c r="N23" s="61" t="s">
        <v>1845</v>
      </c>
      <c r="O23" s="61"/>
      <c r="P23" s="61"/>
      <c r="Q23" s="61"/>
      <c r="R23" s="61" t="s">
        <v>2380</v>
      </c>
      <c r="S23" s="61" t="s">
        <v>75</v>
      </c>
      <c r="T23" s="61" t="s">
        <v>1901</v>
      </c>
      <c r="U23" s="61" t="s">
        <v>1901</v>
      </c>
      <c r="V23" s="101" t="str">
        <f>VLOOKUP(B23,[2]Overall!$A:$D,4,0)</f>
        <v>TELEINFRA NORD</v>
      </c>
      <c r="W23" s="101" t="str">
        <f>VLOOKUP(B23,[3]Sheet1!$A:$B,2,0)</f>
        <v>Mayo-Nonde</v>
      </c>
      <c r="X23" s="88" t="str">
        <f t="shared" si="0"/>
        <v>NRD</v>
      </c>
      <c r="Y23" s="88" t="str">
        <f t="shared" si="1"/>
        <v>T&gt;72H</v>
      </c>
      <c r="Z23" s="101">
        <f t="shared" si="2"/>
        <v>3</v>
      </c>
      <c r="AA23" s="61"/>
      <c r="AB23" s="84" t="s">
        <v>1554</v>
      </c>
      <c r="AC23" s="105" t="s">
        <v>2730</v>
      </c>
      <c r="AD23" s="106" t="s">
        <v>1994</v>
      </c>
      <c r="AE23" s="61"/>
    </row>
    <row r="24" spans="1:31" ht="116" x14ac:dyDescent="0.35">
      <c r="A24" s="61" t="s">
        <v>1892</v>
      </c>
      <c r="B24" s="61" t="s">
        <v>1893</v>
      </c>
      <c r="C24" s="65"/>
      <c r="D24" s="61"/>
      <c r="E24" s="61" t="s">
        <v>2199</v>
      </c>
      <c r="F24" s="70" t="s">
        <v>53</v>
      </c>
      <c r="G24" s="70" t="s">
        <v>2121</v>
      </c>
      <c r="H24" s="67">
        <v>46175.837418981479</v>
      </c>
      <c r="I24" s="75">
        <v>4.7284957175943418</v>
      </c>
      <c r="J24" s="61"/>
      <c r="K24" s="61"/>
      <c r="L24" s="61"/>
      <c r="M24" s="61" t="s">
        <v>41</v>
      </c>
      <c r="N24" s="61" t="s">
        <v>42</v>
      </c>
      <c r="O24" s="61"/>
      <c r="P24" s="61"/>
      <c r="Q24" s="61"/>
      <c r="R24" s="61" t="s">
        <v>2378</v>
      </c>
      <c r="S24" s="61" t="s">
        <v>75</v>
      </c>
      <c r="T24" s="61" t="s">
        <v>1688</v>
      </c>
      <c r="U24" s="61" t="s">
        <v>1688</v>
      </c>
      <c r="V24" s="101" t="str">
        <f>VLOOKUP(B24,[2]Overall!$A:$D,4,0)</f>
        <v>H-TELI</v>
      </c>
      <c r="W24" s="101" t="str">
        <f>VLOOKUP(B24,[3]Sheet1!$A:$B,2,0)</f>
        <v>Santchou</v>
      </c>
      <c r="X24" s="88" t="str">
        <f t="shared" si="0"/>
        <v>OST</v>
      </c>
      <c r="Y24" s="88" t="str">
        <f t="shared" si="1"/>
        <v>T&gt;72H</v>
      </c>
      <c r="Z24" s="101">
        <f t="shared" si="2"/>
        <v>1</v>
      </c>
      <c r="AA24" s="61"/>
      <c r="AB24" s="84" t="s">
        <v>1554</v>
      </c>
      <c r="AC24" s="105" t="s">
        <v>2730</v>
      </c>
      <c r="AD24" s="106" t="s">
        <v>1994</v>
      </c>
      <c r="AE24" s="61"/>
    </row>
    <row r="25" spans="1:31" ht="116" x14ac:dyDescent="0.35">
      <c r="A25" s="61" t="s">
        <v>1892</v>
      </c>
      <c r="B25" s="61" t="s">
        <v>1893</v>
      </c>
      <c r="C25" s="65"/>
      <c r="D25" s="61"/>
      <c r="E25" s="61" t="s">
        <v>2200</v>
      </c>
      <c r="F25" s="70" t="s">
        <v>53</v>
      </c>
      <c r="G25" s="70" t="s">
        <v>2121</v>
      </c>
      <c r="H25" s="67">
        <v>46175.837430555555</v>
      </c>
      <c r="I25" s="75">
        <v>4.7284841435175622</v>
      </c>
      <c r="J25" s="61"/>
      <c r="K25" s="61"/>
      <c r="L25" s="61"/>
      <c r="M25" s="61" t="s">
        <v>41</v>
      </c>
      <c r="N25" s="61" t="s">
        <v>42</v>
      </c>
      <c r="O25" s="61"/>
      <c r="P25" s="61"/>
      <c r="Q25" s="61"/>
      <c r="R25" s="61" t="s">
        <v>2378</v>
      </c>
      <c r="S25" s="61" t="s">
        <v>75</v>
      </c>
      <c r="T25" s="61" t="s">
        <v>1688</v>
      </c>
      <c r="U25" s="61" t="s">
        <v>1688</v>
      </c>
      <c r="V25" s="101" t="str">
        <f>VLOOKUP(B25,[2]Overall!$A:$D,4,0)</f>
        <v>H-TELI</v>
      </c>
      <c r="W25" s="101" t="str">
        <f>VLOOKUP(B25,[3]Sheet1!$A:$B,2,0)</f>
        <v>Santchou</v>
      </c>
      <c r="X25" s="88" t="str">
        <f t="shared" si="0"/>
        <v>OST</v>
      </c>
      <c r="Y25" s="88" t="str">
        <f t="shared" si="1"/>
        <v>T&gt;72H</v>
      </c>
      <c r="Z25" s="101">
        <f t="shared" si="2"/>
        <v>1</v>
      </c>
      <c r="AA25" s="61"/>
      <c r="AB25" s="84" t="s">
        <v>1554</v>
      </c>
      <c r="AC25" s="105" t="s">
        <v>2730</v>
      </c>
      <c r="AD25" s="106" t="s">
        <v>1994</v>
      </c>
      <c r="AE25" s="61"/>
    </row>
    <row r="26" spans="1:31" ht="116" x14ac:dyDescent="0.35">
      <c r="A26" s="61" t="s">
        <v>1892</v>
      </c>
      <c r="B26" s="61" t="s">
        <v>1893</v>
      </c>
      <c r="C26" s="65"/>
      <c r="D26" s="61"/>
      <c r="E26" s="61" t="s">
        <v>2201</v>
      </c>
      <c r="F26" s="70" t="s">
        <v>53</v>
      </c>
      <c r="G26" s="70" t="s">
        <v>2121</v>
      </c>
      <c r="H26" s="67">
        <v>46175.837407407409</v>
      </c>
      <c r="I26" s="75">
        <v>4.7285072916638455</v>
      </c>
      <c r="J26" s="61"/>
      <c r="K26" s="61"/>
      <c r="L26" s="61"/>
      <c r="M26" s="61" t="s">
        <v>41</v>
      </c>
      <c r="N26" s="61" t="s">
        <v>42</v>
      </c>
      <c r="O26" s="61"/>
      <c r="P26" s="61"/>
      <c r="Q26" s="61"/>
      <c r="R26" s="61" t="s">
        <v>2378</v>
      </c>
      <c r="S26" s="61" t="s">
        <v>75</v>
      </c>
      <c r="T26" s="61" t="s">
        <v>1688</v>
      </c>
      <c r="U26" s="61" t="s">
        <v>1688</v>
      </c>
      <c r="V26" s="101" t="str">
        <f>VLOOKUP(B26,[2]Overall!$A:$D,4,0)</f>
        <v>H-TELI</v>
      </c>
      <c r="W26" s="101" t="str">
        <f>VLOOKUP(B26,[3]Sheet1!$A:$B,2,0)</f>
        <v>Santchou</v>
      </c>
      <c r="X26" s="88" t="str">
        <f t="shared" si="0"/>
        <v>OST</v>
      </c>
      <c r="Y26" s="88" t="str">
        <f t="shared" si="1"/>
        <v>T&gt;72H</v>
      </c>
      <c r="Z26" s="101">
        <f t="shared" si="2"/>
        <v>1</v>
      </c>
      <c r="AA26" s="61"/>
      <c r="AB26" s="84" t="s">
        <v>1554</v>
      </c>
      <c r="AC26" s="105" t="s">
        <v>2730</v>
      </c>
      <c r="AD26" s="106" t="s">
        <v>1994</v>
      </c>
      <c r="AE26" s="61"/>
    </row>
    <row r="27" spans="1:31" ht="116" x14ac:dyDescent="0.35">
      <c r="A27" s="61" t="s">
        <v>1892</v>
      </c>
      <c r="B27" s="61" t="s">
        <v>1893</v>
      </c>
      <c r="C27" s="65"/>
      <c r="D27" s="61"/>
      <c r="E27" s="61" t="s">
        <v>2202</v>
      </c>
      <c r="F27" s="70" t="s">
        <v>53</v>
      </c>
      <c r="G27" s="70" t="s">
        <v>2121</v>
      </c>
      <c r="H27" s="67">
        <v>46175.837430555555</v>
      </c>
      <c r="I27" s="75">
        <v>4.7284841435175622</v>
      </c>
      <c r="J27" s="61"/>
      <c r="K27" s="61"/>
      <c r="L27" s="61"/>
      <c r="M27" s="61" t="s">
        <v>41</v>
      </c>
      <c r="N27" s="61" t="s">
        <v>42</v>
      </c>
      <c r="O27" s="61"/>
      <c r="P27" s="61"/>
      <c r="Q27" s="61"/>
      <c r="R27" s="61" t="s">
        <v>2378</v>
      </c>
      <c r="S27" s="61" t="s">
        <v>75</v>
      </c>
      <c r="T27" s="61" t="s">
        <v>1688</v>
      </c>
      <c r="U27" s="61" t="s">
        <v>1688</v>
      </c>
      <c r="V27" s="101" t="str">
        <f>VLOOKUP(B27,[2]Overall!$A:$D,4,0)</f>
        <v>H-TELI</v>
      </c>
      <c r="W27" s="101" t="str">
        <f>VLOOKUP(B27,[3]Sheet1!$A:$B,2,0)</f>
        <v>Santchou</v>
      </c>
      <c r="X27" s="88" t="str">
        <f t="shared" si="0"/>
        <v>OST</v>
      </c>
      <c r="Y27" s="88" t="str">
        <f t="shared" si="1"/>
        <v>T&gt;72H</v>
      </c>
      <c r="Z27" s="101">
        <f t="shared" si="2"/>
        <v>1</v>
      </c>
      <c r="AA27" s="61"/>
      <c r="AB27" s="84" t="s">
        <v>1554</v>
      </c>
      <c r="AC27" s="105" t="s">
        <v>2730</v>
      </c>
      <c r="AD27" s="106" t="s">
        <v>1994</v>
      </c>
      <c r="AE27" s="61"/>
    </row>
    <row r="28" spans="1:31" ht="116" x14ac:dyDescent="0.35">
      <c r="A28" s="61" t="s">
        <v>1892</v>
      </c>
      <c r="B28" s="61" t="s">
        <v>1893</v>
      </c>
      <c r="C28" s="65"/>
      <c r="D28" s="61"/>
      <c r="E28" s="61" t="s">
        <v>2203</v>
      </c>
      <c r="F28" s="70" t="s">
        <v>53</v>
      </c>
      <c r="G28" s="70" t="s">
        <v>2121</v>
      </c>
      <c r="H28" s="67">
        <v>46175.837430555555</v>
      </c>
      <c r="I28" s="75">
        <v>4.7284841435175622</v>
      </c>
      <c r="J28" s="61"/>
      <c r="K28" s="61"/>
      <c r="L28" s="61"/>
      <c r="M28" s="61" t="s">
        <v>41</v>
      </c>
      <c r="N28" s="61" t="s">
        <v>42</v>
      </c>
      <c r="O28" s="61"/>
      <c r="P28" s="61"/>
      <c r="Q28" s="61"/>
      <c r="R28" s="61" t="s">
        <v>2378</v>
      </c>
      <c r="S28" s="61" t="s">
        <v>75</v>
      </c>
      <c r="T28" s="61" t="s">
        <v>1688</v>
      </c>
      <c r="U28" s="61" t="s">
        <v>1688</v>
      </c>
      <c r="V28" s="101" t="str">
        <f>VLOOKUP(B28,[2]Overall!$A:$D,4,0)</f>
        <v>H-TELI</v>
      </c>
      <c r="W28" s="101" t="str">
        <f>VLOOKUP(B28,[3]Sheet1!$A:$B,2,0)</f>
        <v>Santchou</v>
      </c>
      <c r="X28" s="88" t="str">
        <f t="shared" si="0"/>
        <v>OST</v>
      </c>
      <c r="Y28" s="88" t="str">
        <f t="shared" si="1"/>
        <v>T&gt;72H</v>
      </c>
      <c r="Z28" s="101">
        <f t="shared" si="2"/>
        <v>1</v>
      </c>
      <c r="AA28" s="61"/>
      <c r="AB28" s="84" t="s">
        <v>1554</v>
      </c>
      <c r="AC28" s="105" t="s">
        <v>2730</v>
      </c>
      <c r="AD28" s="106" t="s">
        <v>1994</v>
      </c>
      <c r="AE28" s="61"/>
    </row>
    <row r="29" spans="1:31" ht="116" x14ac:dyDescent="0.35">
      <c r="A29" s="61" t="s">
        <v>1892</v>
      </c>
      <c r="B29" s="61" t="s">
        <v>1893</v>
      </c>
      <c r="C29" s="65"/>
      <c r="D29" s="61"/>
      <c r="E29" s="61" t="s">
        <v>2204</v>
      </c>
      <c r="F29" s="70" t="s">
        <v>53</v>
      </c>
      <c r="G29" s="70" t="s">
        <v>2121</v>
      </c>
      <c r="H29" s="67">
        <v>46175.837430555555</v>
      </c>
      <c r="I29" s="75">
        <v>4.7284841435175622</v>
      </c>
      <c r="J29" s="61"/>
      <c r="K29" s="61"/>
      <c r="L29" s="61"/>
      <c r="M29" s="61" t="s">
        <v>41</v>
      </c>
      <c r="N29" s="61" t="s">
        <v>42</v>
      </c>
      <c r="O29" s="61"/>
      <c r="P29" s="61"/>
      <c r="Q29" s="61"/>
      <c r="R29" s="61" t="s">
        <v>2378</v>
      </c>
      <c r="S29" s="61" t="s">
        <v>75</v>
      </c>
      <c r="T29" s="61" t="s">
        <v>1688</v>
      </c>
      <c r="U29" s="61" t="s">
        <v>1688</v>
      </c>
      <c r="V29" s="101" t="str">
        <f>VLOOKUP(B29,[2]Overall!$A:$D,4,0)</f>
        <v>H-TELI</v>
      </c>
      <c r="W29" s="101" t="str">
        <f>VLOOKUP(B29,[3]Sheet1!$A:$B,2,0)</f>
        <v>Santchou</v>
      </c>
      <c r="X29" s="88" t="str">
        <f t="shared" si="0"/>
        <v>OST</v>
      </c>
      <c r="Y29" s="88" t="str">
        <f t="shared" si="1"/>
        <v>T&gt;72H</v>
      </c>
      <c r="Z29" s="101">
        <f t="shared" si="2"/>
        <v>1</v>
      </c>
      <c r="AA29" s="61"/>
      <c r="AB29" s="84" t="s">
        <v>1554</v>
      </c>
      <c r="AC29" s="105" t="s">
        <v>2730</v>
      </c>
      <c r="AD29" s="106" t="s">
        <v>1994</v>
      </c>
      <c r="AE29" s="61"/>
    </row>
    <row r="30" spans="1:31" ht="188.5" x14ac:dyDescent="0.35">
      <c r="A30" s="61" t="s">
        <v>2262</v>
      </c>
      <c r="B30" s="61" t="s">
        <v>2263</v>
      </c>
      <c r="C30" s="65"/>
      <c r="D30" s="61"/>
      <c r="E30" s="61" t="s">
        <v>2264</v>
      </c>
      <c r="F30" s="70" t="s">
        <v>53</v>
      </c>
      <c r="G30" s="70" t="s">
        <v>2121</v>
      </c>
      <c r="H30" s="67">
        <v>46176.41369212963</v>
      </c>
      <c r="I30" s="75">
        <v>4.1522225694425288</v>
      </c>
      <c r="J30" s="61"/>
      <c r="K30" s="61"/>
      <c r="L30" s="61"/>
      <c r="M30" s="61" t="s">
        <v>31</v>
      </c>
      <c r="N30" s="61" t="s">
        <v>2265</v>
      </c>
      <c r="O30" s="61"/>
      <c r="P30" s="61"/>
      <c r="Q30" s="61"/>
      <c r="R30" s="61" t="s">
        <v>2636</v>
      </c>
      <c r="S30" s="61" t="s">
        <v>40</v>
      </c>
      <c r="T30" s="61" t="s">
        <v>1898</v>
      </c>
      <c r="U30" s="61" t="s">
        <v>1898</v>
      </c>
      <c r="V30" s="101" t="str">
        <f>VLOOKUP(B30,[2]Overall!$A:$D,4,0)</f>
        <v>TELEINFRA NORD</v>
      </c>
      <c r="W30" s="101" t="str">
        <f>VLOOKUP(B30,[3]Sheet1!$A:$B,2,0)</f>
        <v>Ndiam-badji</v>
      </c>
      <c r="X30" s="88" t="str">
        <f t="shared" si="0"/>
        <v>NRD</v>
      </c>
      <c r="Y30" s="88" t="str">
        <f t="shared" si="1"/>
        <v>T&gt;72H</v>
      </c>
      <c r="Z30" s="101">
        <f t="shared" si="2"/>
        <v>6</v>
      </c>
      <c r="AA30" s="61"/>
      <c r="AB30" s="84" t="s">
        <v>1554</v>
      </c>
      <c r="AC30" s="105" t="s">
        <v>2730</v>
      </c>
      <c r="AD30" s="106" t="s">
        <v>1994</v>
      </c>
      <c r="AE30" s="61"/>
    </row>
    <row r="31" spans="1:31" ht="188.5" x14ac:dyDescent="0.35">
      <c r="A31" s="61" t="s">
        <v>2262</v>
      </c>
      <c r="B31" s="61" t="s">
        <v>2263</v>
      </c>
      <c r="C31" s="65"/>
      <c r="D31" s="61"/>
      <c r="E31" s="61" t="s">
        <v>2264</v>
      </c>
      <c r="F31" s="70" t="s">
        <v>53</v>
      </c>
      <c r="G31" s="70" t="s">
        <v>2121</v>
      </c>
      <c r="H31" s="67">
        <v>46176.450185185182</v>
      </c>
      <c r="I31" s="75">
        <v>4.1157295138909831</v>
      </c>
      <c r="J31" s="61"/>
      <c r="K31" s="61"/>
      <c r="L31" s="61"/>
      <c r="M31" s="61" t="s">
        <v>1713</v>
      </c>
      <c r="N31" s="61" t="s">
        <v>2266</v>
      </c>
      <c r="O31" s="61"/>
      <c r="P31" s="61"/>
      <c r="Q31" s="61"/>
      <c r="R31" s="61" t="s">
        <v>2636</v>
      </c>
      <c r="S31" s="61" t="s">
        <v>40</v>
      </c>
      <c r="T31" s="61" t="s">
        <v>1898</v>
      </c>
      <c r="U31" s="61" t="s">
        <v>1898</v>
      </c>
      <c r="V31" s="101" t="str">
        <f>VLOOKUP(B31,[2]Overall!$A:$D,4,0)</f>
        <v>TELEINFRA NORD</v>
      </c>
      <c r="W31" s="101" t="str">
        <f>VLOOKUP(B31,[3]Sheet1!$A:$B,2,0)</f>
        <v>Ndiam-badji</v>
      </c>
      <c r="X31" s="88" t="str">
        <f t="shared" si="0"/>
        <v>NRD</v>
      </c>
      <c r="Y31" s="88" t="str">
        <f t="shared" si="1"/>
        <v>T&gt;72H</v>
      </c>
      <c r="Z31" s="101">
        <f t="shared" si="2"/>
        <v>6</v>
      </c>
      <c r="AA31" s="61"/>
      <c r="AB31" s="84" t="s">
        <v>1554</v>
      </c>
      <c r="AC31" s="105" t="s">
        <v>2730</v>
      </c>
      <c r="AD31" s="106" t="s">
        <v>1994</v>
      </c>
      <c r="AE31" s="61"/>
    </row>
    <row r="32" spans="1:31" ht="58" x14ac:dyDescent="0.35">
      <c r="A32" s="61" t="s">
        <v>1820</v>
      </c>
      <c r="B32" s="61" t="s">
        <v>1821</v>
      </c>
      <c r="C32" s="65"/>
      <c r="D32" s="61"/>
      <c r="E32" s="61" t="s">
        <v>2358</v>
      </c>
      <c r="F32" s="70" t="s">
        <v>53</v>
      </c>
      <c r="G32" s="70" t="s">
        <v>2121</v>
      </c>
      <c r="H32" s="67">
        <v>46176.940011574072</v>
      </c>
      <c r="I32" s="75">
        <v>3.6259031250010594</v>
      </c>
      <c r="J32" s="61"/>
      <c r="K32" s="61"/>
      <c r="L32" s="61"/>
      <c r="M32" s="61" t="s">
        <v>33</v>
      </c>
      <c r="N32" s="61" t="s">
        <v>2359</v>
      </c>
      <c r="O32" s="61"/>
      <c r="P32" s="61"/>
      <c r="Q32" s="61"/>
      <c r="R32" s="61" t="s">
        <v>1924</v>
      </c>
      <c r="S32" s="61" t="s">
        <v>1924</v>
      </c>
      <c r="T32" s="61" t="s">
        <v>1898</v>
      </c>
      <c r="U32" s="61" t="s">
        <v>1898</v>
      </c>
      <c r="V32" s="101" t="str">
        <f>VLOOKUP(B32,[2]Overall!$A:$D,4,0)</f>
        <v>TELEINFRA NORD</v>
      </c>
      <c r="W32" s="101" t="str">
        <f>VLOOKUP(B32,[3]Sheet1!$A:$B,2,0)</f>
        <v>Nganha</v>
      </c>
      <c r="X32" s="88" t="str">
        <f t="shared" si="0"/>
        <v>ADM</v>
      </c>
      <c r="Y32" s="88" t="str">
        <f t="shared" si="1"/>
        <v>T&gt;72H</v>
      </c>
      <c r="Z32" s="101">
        <f t="shared" si="2"/>
        <v>2</v>
      </c>
      <c r="AA32" s="61"/>
      <c r="AB32" s="84" t="s">
        <v>1554</v>
      </c>
      <c r="AC32" s="105" t="s">
        <v>2730</v>
      </c>
      <c r="AD32" s="106" t="s">
        <v>1994</v>
      </c>
      <c r="AE32" s="61"/>
    </row>
    <row r="33" spans="1:31" ht="87" x14ac:dyDescent="0.35">
      <c r="A33" s="61" t="s">
        <v>1705</v>
      </c>
      <c r="B33" s="61" t="s">
        <v>1706</v>
      </c>
      <c r="C33" s="65"/>
      <c r="D33" s="61"/>
      <c r="E33" s="61" t="s">
        <v>48</v>
      </c>
      <c r="F33" s="70" t="s">
        <v>53</v>
      </c>
      <c r="G33" s="70" t="s">
        <v>2121</v>
      </c>
      <c r="H33" s="67">
        <v>46177.386990740742</v>
      </c>
      <c r="I33" s="75">
        <v>3.1789239583304152</v>
      </c>
      <c r="J33" s="61"/>
      <c r="K33" s="61"/>
      <c r="L33" s="61"/>
      <c r="M33" s="61" t="s">
        <v>1707</v>
      </c>
      <c r="N33" s="61" t="s">
        <v>1708</v>
      </c>
      <c r="O33" s="61"/>
      <c r="P33" s="61"/>
      <c r="Q33" s="61"/>
      <c r="R33" s="61" t="s">
        <v>2414</v>
      </c>
      <c r="S33" s="61" t="s">
        <v>71</v>
      </c>
      <c r="T33" s="61" t="s">
        <v>1902</v>
      </c>
      <c r="U33" s="61" t="s">
        <v>1896</v>
      </c>
      <c r="V33" s="101" t="str">
        <f>VLOOKUP(B33,[2]Overall!$A:$D,4,0)</f>
        <v xml:space="preserve">I-ENG </v>
      </c>
      <c r="W33" s="101" t="str">
        <f>VLOOKUP(B33,[3]Sheet1!$A:$B,2,0)</f>
        <v>Laising</v>
      </c>
      <c r="X33" s="88" t="str">
        <f t="shared" si="0"/>
        <v>NRO</v>
      </c>
      <c r="Y33" s="88" t="str">
        <f t="shared" si="1"/>
        <v>T&gt;72H</v>
      </c>
      <c r="Z33" s="101">
        <f t="shared" si="2"/>
        <v>1</v>
      </c>
      <c r="AA33" s="61"/>
      <c r="AB33" s="84" t="s">
        <v>1554</v>
      </c>
      <c r="AC33" s="105" t="s">
        <v>2730</v>
      </c>
      <c r="AD33" s="106" t="s">
        <v>1994</v>
      </c>
      <c r="AE33" s="61"/>
    </row>
    <row r="34" spans="1:31" ht="72.5" x14ac:dyDescent="0.35">
      <c r="A34" s="61" t="s">
        <v>1849</v>
      </c>
      <c r="B34" s="61" t="s">
        <v>1848</v>
      </c>
      <c r="C34" s="65"/>
      <c r="D34" s="61"/>
      <c r="E34" s="61" t="s">
        <v>2255</v>
      </c>
      <c r="F34" s="70" t="s">
        <v>53</v>
      </c>
      <c r="G34" s="70" t="s">
        <v>2121</v>
      </c>
      <c r="H34" s="67">
        <v>46177.491493055553</v>
      </c>
      <c r="I34" s="75">
        <v>3.0744216435195995</v>
      </c>
      <c r="J34" s="61"/>
      <c r="K34" s="61"/>
      <c r="L34" s="61"/>
      <c r="M34" s="61" t="s">
        <v>46</v>
      </c>
      <c r="N34" s="61" t="s">
        <v>2256</v>
      </c>
      <c r="O34" s="61"/>
      <c r="P34" s="61"/>
      <c r="Q34" s="61"/>
      <c r="R34" s="61" t="s">
        <v>1910</v>
      </c>
      <c r="S34" s="61" t="s">
        <v>1903</v>
      </c>
      <c r="T34" s="61" t="s">
        <v>1907</v>
      </c>
      <c r="U34" s="61" t="s">
        <v>1907</v>
      </c>
      <c r="V34" s="101" t="str">
        <f>VLOOKUP(B34,[2]Overall!$A:$D,4,0)</f>
        <v>TELEINFRA NORD</v>
      </c>
      <c r="W34" s="101" t="str">
        <f>VLOOKUP(B34,[3]Sheet1!$A:$B,2,0)</f>
        <v>Dir</v>
      </c>
      <c r="X34" s="88" t="str">
        <f t="shared" si="0"/>
        <v>ADM</v>
      </c>
      <c r="Y34" s="88" t="str">
        <f t="shared" si="1"/>
        <v>T&gt;72H</v>
      </c>
      <c r="Z34" s="101">
        <f t="shared" si="2"/>
        <v>1</v>
      </c>
      <c r="AA34" s="61"/>
      <c r="AB34" s="84" t="s">
        <v>1554</v>
      </c>
      <c r="AC34" s="105" t="s">
        <v>2730</v>
      </c>
      <c r="AD34" s="106" t="s">
        <v>1994</v>
      </c>
      <c r="AE34" s="61"/>
    </row>
    <row r="35" spans="1:31" ht="174" x14ac:dyDescent="0.35">
      <c r="A35" s="61" t="s">
        <v>2257</v>
      </c>
      <c r="B35" s="61" t="s">
        <v>1796</v>
      </c>
      <c r="C35" s="65"/>
      <c r="D35" s="61"/>
      <c r="E35" s="61" t="s">
        <v>35</v>
      </c>
      <c r="F35" s="70" t="s">
        <v>53</v>
      </c>
      <c r="G35" s="70" t="s">
        <v>2121</v>
      </c>
      <c r="H35" s="67">
        <v>46177.521458333336</v>
      </c>
      <c r="I35" s="75">
        <v>3.0444563657365507</v>
      </c>
      <c r="J35" s="61"/>
      <c r="K35" s="61"/>
      <c r="L35" s="61"/>
      <c r="M35" s="61" t="s">
        <v>31</v>
      </c>
      <c r="N35" s="61" t="s">
        <v>2400</v>
      </c>
      <c r="O35" s="61"/>
      <c r="P35" s="61"/>
      <c r="Q35" s="61"/>
      <c r="R35" s="61" t="s">
        <v>2655</v>
      </c>
      <c r="S35" s="61" t="s">
        <v>40</v>
      </c>
      <c r="T35" s="61" t="s">
        <v>1899</v>
      </c>
      <c r="U35" s="61" t="s">
        <v>1899</v>
      </c>
      <c r="V35" s="101" t="str">
        <f>VLOOKUP(B35,[2]Overall!$A:$D,4,0)</f>
        <v>TELEINFRA NORD</v>
      </c>
      <c r="W35" s="101" t="str">
        <f>VLOOKUP(B35,[3]Sheet1!$A:$B,2,0)</f>
        <v>Bagarao</v>
      </c>
      <c r="X35" s="88" t="str">
        <f t="shared" si="0"/>
        <v>EXN</v>
      </c>
      <c r="Y35" s="88" t="str">
        <f t="shared" si="1"/>
        <v>T&gt;72H</v>
      </c>
      <c r="Z35" s="101">
        <f t="shared" si="2"/>
        <v>3</v>
      </c>
      <c r="AA35" s="61"/>
      <c r="AB35" s="84" t="s">
        <v>1554</v>
      </c>
      <c r="AC35" s="105" t="s">
        <v>2730</v>
      </c>
      <c r="AD35" s="106" t="s">
        <v>1994</v>
      </c>
      <c r="AE35" s="61"/>
    </row>
    <row r="36" spans="1:31" ht="87" x14ac:dyDescent="0.35">
      <c r="A36" s="61" t="s">
        <v>2276</v>
      </c>
      <c r="B36" s="61" t="s">
        <v>2277</v>
      </c>
      <c r="C36" s="65"/>
      <c r="D36" s="61"/>
      <c r="E36" s="61" t="s">
        <v>2278</v>
      </c>
      <c r="F36" s="70" t="s">
        <v>53</v>
      </c>
      <c r="G36" s="70" t="s">
        <v>2121</v>
      </c>
      <c r="H36" s="67">
        <v>46177.591168981482</v>
      </c>
      <c r="I36" s="75">
        <v>2.9747457175908494</v>
      </c>
      <c r="J36" s="61"/>
      <c r="K36" s="61"/>
      <c r="L36" s="61"/>
      <c r="M36" s="61" t="s">
        <v>38</v>
      </c>
      <c r="N36" s="61" t="s">
        <v>2279</v>
      </c>
      <c r="O36" s="61"/>
      <c r="P36" s="61"/>
      <c r="Q36" s="61"/>
      <c r="R36" s="61" t="s">
        <v>2624</v>
      </c>
      <c r="S36" s="61" t="s">
        <v>32</v>
      </c>
      <c r="T36" s="61" t="s">
        <v>1898</v>
      </c>
      <c r="U36" s="61" t="s">
        <v>1898</v>
      </c>
      <c r="V36" s="101" t="str">
        <f>VLOOKUP(B36,[2]Overall!$A:$D,4,0)</f>
        <v xml:space="preserve">I-ENG </v>
      </c>
      <c r="W36" s="101" t="str">
        <f>VLOOKUP(B36,[3]Sheet1!$A:$B,2,0)</f>
        <v>Babanki</v>
      </c>
      <c r="X36" s="88" t="str">
        <f t="shared" si="0"/>
        <v>NRO</v>
      </c>
      <c r="Y36" s="88" t="str">
        <f t="shared" si="1"/>
        <v>48H&lt;T&lt;72H</v>
      </c>
      <c r="Z36" s="101">
        <f t="shared" si="2"/>
        <v>2</v>
      </c>
      <c r="AA36" s="61"/>
      <c r="AB36" s="84" t="s">
        <v>1554</v>
      </c>
      <c r="AC36" s="105" t="s">
        <v>2730</v>
      </c>
      <c r="AD36" s="106" t="s">
        <v>1994</v>
      </c>
      <c r="AE36" s="61"/>
    </row>
    <row r="37" spans="1:31" ht="87" x14ac:dyDescent="0.35">
      <c r="A37" s="61" t="s">
        <v>1684</v>
      </c>
      <c r="B37" s="61" t="s">
        <v>1620</v>
      </c>
      <c r="C37" s="65"/>
      <c r="D37" s="61"/>
      <c r="E37" s="61" t="s">
        <v>1793</v>
      </c>
      <c r="F37" s="70" t="s">
        <v>53</v>
      </c>
      <c r="G37" s="70" t="s">
        <v>2121</v>
      </c>
      <c r="H37" s="67">
        <v>46177.706493055557</v>
      </c>
      <c r="I37" s="75">
        <v>2.859421643515816</v>
      </c>
      <c r="J37" s="61"/>
      <c r="K37" s="61"/>
      <c r="L37" s="61"/>
      <c r="M37" s="61" t="s">
        <v>33</v>
      </c>
      <c r="N37" s="61" t="s">
        <v>1653</v>
      </c>
      <c r="O37" s="61"/>
      <c r="P37" s="61"/>
      <c r="Q37" s="61"/>
      <c r="R37" s="61" t="s">
        <v>2497</v>
      </c>
      <c r="S37" s="61" t="s">
        <v>75</v>
      </c>
      <c r="T37" s="61" t="s">
        <v>1898</v>
      </c>
      <c r="U37" s="61" t="s">
        <v>1898</v>
      </c>
      <c r="V37" s="101" t="str">
        <f>VLOOKUP(B37,[2]Overall!$A:$D,4,0)</f>
        <v>TELEINFRA NORD</v>
      </c>
      <c r="W37" s="101" t="str">
        <f>VLOOKUP(B37,[3]Sheet1!$A:$B,2,0)</f>
        <v>Batoua-Godole</v>
      </c>
      <c r="X37" s="88" t="str">
        <f t="shared" si="0"/>
        <v>ADM</v>
      </c>
      <c r="Y37" s="88" t="str">
        <f t="shared" si="1"/>
        <v>48H&lt;T&lt;72H</v>
      </c>
      <c r="Z37" s="101">
        <f t="shared" si="2"/>
        <v>2</v>
      </c>
      <c r="AA37" s="61"/>
      <c r="AB37" s="84" t="s">
        <v>1554</v>
      </c>
      <c r="AC37" s="105" t="s">
        <v>2730</v>
      </c>
      <c r="AD37" s="106" t="s">
        <v>1994</v>
      </c>
      <c r="AE37" s="61"/>
    </row>
    <row r="38" spans="1:31" ht="145" x14ac:dyDescent="0.35">
      <c r="A38" s="61" t="s">
        <v>1807</v>
      </c>
      <c r="B38" s="61" t="s">
        <v>1808</v>
      </c>
      <c r="C38" s="65"/>
      <c r="D38" s="61"/>
      <c r="E38" s="61" t="s">
        <v>1810</v>
      </c>
      <c r="F38" s="70" t="s">
        <v>53</v>
      </c>
      <c r="G38" s="70" t="s">
        <v>2121</v>
      </c>
      <c r="H38" s="67">
        <v>46177.733206018522</v>
      </c>
      <c r="I38" s="75">
        <v>2.8327086805511499</v>
      </c>
      <c r="J38" s="61"/>
      <c r="K38" s="61"/>
      <c r="L38" s="61"/>
      <c r="M38" s="61" t="s">
        <v>2053</v>
      </c>
      <c r="N38" s="61" t="s">
        <v>2054</v>
      </c>
      <c r="O38" s="61"/>
      <c r="P38" s="61"/>
      <c r="Q38" s="61"/>
      <c r="R38" s="61" t="s">
        <v>2622</v>
      </c>
      <c r="S38" s="61" t="s">
        <v>85</v>
      </c>
      <c r="T38" s="61" t="s">
        <v>1898</v>
      </c>
      <c r="U38" s="61" t="s">
        <v>1898</v>
      </c>
      <c r="V38" s="101" t="str">
        <f>VLOOKUP(B38,[2]Overall!$A:$D,4,0)</f>
        <v>H-TELI</v>
      </c>
      <c r="W38" s="101" t="str">
        <f>VLOOKUP(B38,[3]Sheet1!$A:$B,2,0)</f>
        <v>Songloulou</v>
      </c>
      <c r="X38" s="88" t="str">
        <f t="shared" si="0"/>
        <v>LIT</v>
      </c>
      <c r="Y38" s="88" t="str">
        <f t="shared" si="1"/>
        <v>48H&lt;T&lt;72H</v>
      </c>
      <c r="Z38" s="101">
        <f t="shared" si="2"/>
        <v>1</v>
      </c>
      <c r="AA38" s="61"/>
      <c r="AB38" s="84" t="s">
        <v>1554</v>
      </c>
      <c r="AC38" s="105" t="s">
        <v>2730</v>
      </c>
      <c r="AD38" s="106" t="s">
        <v>1994</v>
      </c>
      <c r="AE38" s="61"/>
    </row>
    <row r="39" spans="1:31" ht="72.5" x14ac:dyDescent="0.35">
      <c r="A39" s="61" t="s">
        <v>1869</v>
      </c>
      <c r="B39" s="61" t="s">
        <v>1912</v>
      </c>
      <c r="C39" s="65"/>
      <c r="D39" s="61"/>
      <c r="E39" s="61" t="s">
        <v>1868</v>
      </c>
      <c r="F39" s="70" t="s">
        <v>53</v>
      </c>
      <c r="G39" s="70" t="s">
        <v>2121</v>
      </c>
      <c r="H39" s="67">
        <v>46177.734270833331</v>
      </c>
      <c r="I39" s="75">
        <v>2.8316438657420804</v>
      </c>
      <c r="J39" s="61"/>
      <c r="K39" s="61"/>
      <c r="L39" s="61"/>
      <c r="M39" s="61" t="s">
        <v>31</v>
      </c>
      <c r="N39" s="61" t="s">
        <v>1867</v>
      </c>
      <c r="O39" s="61"/>
      <c r="P39" s="61"/>
      <c r="Q39" s="61"/>
      <c r="R39" s="61" t="s">
        <v>1909</v>
      </c>
      <c r="S39" s="61" t="s">
        <v>1908</v>
      </c>
      <c r="T39" s="61" t="s">
        <v>1865</v>
      </c>
      <c r="U39" s="61" t="s">
        <v>1865</v>
      </c>
      <c r="V39" s="101" t="e">
        <f>VLOOKUP(B39,[2]Overall!$A:$D,4,0)</f>
        <v>#N/A</v>
      </c>
      <c r="W39" s="101" t="e">
        <f>VLOOKUP(B39,[3]Sheet1!$A:$B,2,0)</f>
        <v>#N/A</v>
      </c>
      <c r="X39" s="88" t="str">
        <f t="shared" si="0"/>
        <v>TR_</v>
      </c>
      <c r="Y39" s="88" t="str">
        <f t="shared" si="1"/>
        <v>48H&lt;T&lt;72H</v>
      </c>
      <c r="Z39" s="101">
        <f t="shared" si="2"/>
        <v>4</v>
      </c>
      <c r="AA39" s="61"/>
      <c r="AB39" s="84" t="s">
        <v>1554</v>
      </c>
      <c r="AC39" s="105" t="s">
        <v>2730</v>
      </c>
      <c r="AD39" s="106" t="s">
        <v>1994</v>
      </c>
      <c r="AE39" s="61"/>
    </row>
    <row r="40" spans="1:31" ht="217.5" x14ac:dyDescent="0.35">
      <c r="A40" s="61" t="s">
        <v>2147</v>
      </c>
      <c r="B40" s="61" t="s">
        <v>2148</v>
      </c>
      <c r="C40" s="65"/>
      <c r="D40" s="61"/>
      <c r="E40" s="61" t="s">
        <v>2149</v>
      </c>
      <c r="F40" s="70" t="s">
        <v>53</v>
      </c>
      <c r="G40" s="70" t="s">
        <v>2121</v>
      </c>
      <c r="H40" s="67">
        <v>46177.806562500002</v>
      </c>
      <c r="I40" s="75">
        <v>2.7593521990711452</v>
      </c>
      <c r="J40" s="61"/>
      <c r="K40" s="61"/>
      <c r="L40" s="61"/>
      <c r="M40" s="61" t="s">
        <v>33</v>
      </c>
      <c r="N40" s="61" t="s">
        <v>1626</v>
      </c>
      <c r="O40" s="61"/>
      <c r="P40" s="61"/>
      <c r="Q40" s="61"/>
      <c r="R40" s="61" t="s">
        <v>2685</v>
      </c>
      <c r="S40" s="61" t="s">
        <v>40</v>
      </c>
      <c r="T40" s="61" t="s">
        <v>1898</v>
      </c>
      <c r="U40" s="61" t="s">
        <v>1898</v>
      </c>
      <c r="V40" s="101" t="str">
        <f>VLOOKUP(B40,[2]Overall!$A:$D,4,0)</f>
        <v>TELEINFRA NORD</v>
      </c>
      <c r="W40" s="101" t="str">
        <f>VLOOKUP(B40,[3]Sheet1!$A:$B,2,0)</f>
        <v>Mboulai</v>
      </c>
      <c r="X40" s="88" t="str">
        <f t="shared" si="0"/>
        <v>ADM</v>
      </c>
      <c r="Y40" s="88" t="str">
        <f t="shared" si="1"/>
        <v>48H&lt;T&lt;72H</v>
      </c>
      <c r="Z40" s="101">
        <f t="shared" si="2"/>
        <v>1</v>
      </c>
      <c r="AA40" s="61"/>
      <c r="AB40" s="84" t="s">
        <v>1554</v>
      </c>
      <c r="AC40" s="105" t="s">
        <v>2730</v>
      </c>
      <c r="AD40" s="106" t="s">
        <v>1994</v>
      </c>
      <c r="AE40" s="61"/>
    </row>
    <row r="41" spans="1:31" ht="72.5" x14ac:dyDescent="0.35">
      <c r="A41" s="61" t="s">
        <v>2350</v>
      </c>
      <c r="B41" s="61" t="s">
        <v>2351</v>
      </c>
      <c r="C41" s="65"/>
      <c r="D41" s="61"/>
      <c r="E41" s="61" t="s">
        <v>2352</v>
      </c>
      <c r="F41" s="70" t="s">
        <v>53</v>
      </c>
      <c r="G41" s="70" t="s">
        <v>2121</v>
      </c>
      <c r="H41" s="67">
        <v>46177.830648148149</v>
      </c>
      <c r="I41" s="75">
        <v>2.7352665509242797</v>
      </c>
      <c r="J41" s="61"/>
      <c r="K41" s="61"/>
      <c r="L41" s="61"/>
      <c r="M41" s="61" t="s">
        <v>38</v>
      </c>
      <c r="N41" s="61" t="s">
        <v>2353</v>
      </c>
      <c r="O41" s="61"/>
      <c r="P41" s="61"/>
      <c r="Q41" s="61"/>
      <c r="R41" s="61" t="s">
        <v>2590</v>
      </c>
      <c r="S41" s="61" t="s">
        <v>75</v>
      </c>
      <c r="T41" s="61" t="s">
        <v>1754</v>
      </c>
      <c r="U41" s="61" t="s">
        <v>1754</v>
      </c>
      <c r="V41" s="101" t="str">
        <f>VLOOKUP(B41,[2]Overall!$A:$D,4,0)</f>
        <v>TELEINFRA NORD</v>
      </c>
      <c r="W41" s="101" t="str">
        <f>VLOOKUP(B41,[3]Sheet1!$A:$B,2,0)</f>
        <v>Guidjiba</v>
      </c>
      <c r="X41" s="88" t="str">
        <f t="shared" si="0"/>
        <v>NRD</v>
      </c>
      <c r="Y41" s="88" t="str">
        <f t="shared" si="1"/>
        <v>48H&lt;T&lt;72H</v>
      </c>
      <c r="Z41" s="101">
        <f t="shared" si="2"/>
        <v>2</v>
      </c>
      <c r="AA41" s="61"/>
      <c r="AB41" s="84" t="s">
        <v>1554</v>
      </c>
      <c r="AC41" s="105" t="s">
        <v>2730</v>
      </c>
      <c r="AD41" s="106" t="s">
        <v>1994</v>
      </c>
      <c r="AE41" s="61"/>
    </row>
    <row r="42" spans="1:31" ht="159.5" x14ac:dyDescent="0.35">
      <c r="A42" s="61" t="s">
        <v>1733</v>
      </c>
      <c r="B42" s="61" t="s">
        <v>1734</v>
      </c>
      <c r="C42" s="65"/>
      <c r="D42" s="61"/>
      <c r="E42" s="61" t="s">
        <v>2472</v>
      </c>
      <c r="F42" s="70" t="s">
        <v>53</v>
      </c>
      <c r="G42" s="70" t="s">
        <v>2121</v>
      </c>
      <c r="H42" s="67">
        <v>46177.893877314818</v>
      </c>
      <c r="I42" s="75">
        <v>2.6720373842545087</v>
      </c>
      <c r="J42" s="61"/>
      <c r="K42" s="61"/>
      <c r="L42" s="61"/>
      <c r="M42" s="61" t="s">
        <v>31</v>
      </c>
      <c r="N42" s="61" t="s">
        <v>2473</v>
      </c>
      <c r="O42" s="61"/>
      <c r="P42" s="61"/>
      <c r="Q42" s="61"/>
      <c r="R42" s="61" t="s">
        <v>2092</v>
      </c>
      <c r="S42" s="61" t="s">
        <v>1903</v>
      </c>
      <c r="T42" s="61" t="s">
        <v>1898</v>
      </c>
      <c r="U42" s="61" t="s">
        <v>1898</v>
      </c>
      <c r="V42" s="101" t="str">
        <f>VLOOKUP(B42,[2]Overall!$A:$D,4,0)</f>
        <v>TELEINFRA CENTRE</v>
      </c>
      <c r="W42" s="101" t="str">
        <f>VLOOKUP(B42,[3]Sheet1!$A:$B,2,0)</f>
        <v>Batchenga</v>
      </c>
      <c r="X42" s="88" t="str">
        <f t="shared" si="0"/>
        <v>CTR</v>
      </c>
      <c r="Y42" s="88" t="str">
        <f t="shared" si="1"/>
        <v>48H&lt;T&lt;72H</v>
      </c>
      <c r="Z42" s="101">
        <f t="shared" si="2"/>
        <v>9</v>
      </c>
      <c r="AA42" s="61"/>
      <c r="AB42" s="84" t="s">
        <v>1554</v>
      </c>
      <c r="AC42" s="105" t="s">
        <v>2730</v>
      </c>
      <c r="AD42" s="106" t="s">
        <v>1994</v>
      </c>
      <c r="AE42" s="61"/>
    </row>
    <row r="43" spans="1:31" ht="159.5" x14ac:dyDescent="0.35">
      <c r="A43" s="61" t="s">
        <v>1733</v>
      </c>
      <c r="B43" s="61" t="s">
        <v>1734</v>
      </c>
      <c r="C43" s="65"/>
      <c r="D43" s="61"/>
      <c r="E43" s="61" t="s">
        <v>2474</v>
      </c>
      <c r="F43" s="70" t="s">
        <v>53</v>
      </c>
      <c r="G43" s="70" t="s">
        <v>2121</v>
      </c>
      <c r="H43" s="67">
        <v>46177.905034722222</v>
      </c>
      <c r="I43" s="75">
        <v>2.6608799768509925</v>
      </c>
      <c r="J43" s="61"/>
      <c r="K43" s="61"/>
      <c r="L43" s="61"/>
      <c r="M43" s="61" t="s">
        <v>1750</v>
      </c>
      <c r="N43" s="61" t="s">
        <v>1751</v>
      </c>
      <c r="O43" s="61"/>
      <c r="P43" s="61"/>
      <c r="Q43" s="61"/>
      <c r="R43" s="61" t="s">
        <v>2092</v>
      </c>
      <c r="S43" s="61" t="s">
        <v>1903</v>
      </c>
      <c r="T43" s="61" t="s">
        <v>1898</v>
      </c>
      <c r="U43" s="61" t="s">
        <v>1898</v>
      </c>
      <c r="V43" s="101" t="str">
        <f>VLOOKUP(B43,[2]Overall!$A:$D,4,0)</f>
        <v>TELEINFRA CENTRE</v>
      </c>
      <c r="W43" s="101" t="str">
        <f>VLOOKUP(B43,[3]Sheet1!$A:$B,2,0)</f>
        <v>Batchenga</v>
      </c>
      <c r="X43" s="88" t="str">
        <f t="shared" si="0"/>
        <v>CTR</v>
      </c>
      <c r="Y43" s="88" t="str">
        <f t="shared" si="1"/>
        <v>48H&lt;T&lt;72H</v>
      </c>
      <c r="Z43" s="101">
        <f t="shared" si="2"/>
        <v>1</v>
      </c>
      <c r="AA43" s="61"/>
      <c r="AB43" s="84" t="s">
        <v>1554</v>
      </c>
      <c r="AC43" s="105" t="s">
        <v>2730</v>
      </c>
      <c r="AD43" s="106" t="s">
        <v>1994</v>
      </c>
      <c r="AE43" s="61"/>
    </row>
    <row r="44" spans="1:31" ht="159.5" x14ac:dyDescent="0.35">
      <c r="A44" s="61" t="s">
        <v>1733</v>
      </c>
      <c r="B44" s="61" t="s">
        <v>1734</v>
      </c>
      <c r="C44" s="65"/>
      <c r="D44" s="61"/>
      <c r="E44" s="61" t="s">
        <v>2475</v>
      </c>
      <c r="F44" s="70" t="s">
        <v>53</v>
      </c>
      <c r="G44" s="70" t="s">
        <v>2121</v>
      </c>
      <c r="H44" s="67">
        <v>46177.905034722222</v>
      </c>
      <c r="I44" s="75">
        <v>2.6608799768509925</v>
      </c>
      <c r="J44" s="61"/>
      <c r="K44" s="61"/>
      <c r="L44" s="61"/>
      <c r="M44" s="61" t="s">
        <v>1750</v>
      </c>
      <c r="N44" s="61" t="s">
        <v>1751</v>
      </c>
      <c r="O44" s="61"/>
      <c r="P44" s="61"/>
      <c r="Q44" s="61"/>
      <c r="R44" s="61" t="s">
        <v>2092</v>
      </c>
      <c r="S44" s="61" t="s">
        <v>1903</v>
      </c>
      <c r="T44" s="61" t="s">
        <v>1898</v>
      </c>
      <c r="U44" s="61" t="s">
        <v>1898</v>
      </c>
      <c r="V44" s="101" t="str">
        <f>VLOOKUP(B44,[2]Overall!$A:$D,4,0)</f>
        <v>TELEINFRA CENTRE</v>
      </c>
      <c r="W44" s="101" t="str">
        <f>VLOOKUP(B44,[3]Sheet1!$A:$B,2,0)</f>
        <v>Batchenga</v>
      </c>
      <c r="X44" s="88" t="str">
        <f t="shared" si="0"/>
        <v>CTR</v>
      </c>
      <c r="Y44" s="88" t="str">
        <f t="shared" si="1"/>
        <v>48H&lt;T&lt;72H</v>
      </c>
      <c r="Z44" s="101">
        <f t="shared" si="2"/>
        <v>1</v>
      </c>
      <c r="AA44" s="61"/>
      <c r="AB44" s="84" t="s">
        <v>1554</v>
      </c>
      <c r="AC44" s="105" t="s">
        <v>2730</v>
      </c>
      <c r="AD44" s="106" t="s">
        <v>1994</v>
      </c>
      <c r="AE44" s="61"/>
    </row>
    <row r="45" spans="1:31" ht="159.5" x14ac:dyDescent="0.35">
      <c r="A45" s="61" t="s">
        <v>1733</v>
      </c>
      <c r="B45" s="61" t="s">
        <v>1734</v>
      </c>
      <c r="C45" s="65"/>
      <c r="D45" s="61"/>
      <c r="E45" s="61" t="s">
        <v>2476</v>
      </c>
      <c r="F45" s="70" t="s">
        <v>53</v>
      </c>
      <c r="G45" s="70" t="s">
        <v>2121</v>
      </c>
      <c r="H45" s="67">
        <v>46177.905034722222</v>
      </c>
      <c r="I45" s="75">
        <v>2.6608799768509925</v>
      </c>
      <c r="J45" s="61"/>
      <c r="K45" s="61"/>
      <c r="L45" s="61"/>
      <c r="M45" s="61" t="s">
        <v>1750</v>
      </c>
      <c r="N45" s="61" t="s">
        <v>1751</v>
      </c>
      <c r="O45" s="61"/>
      <c r="P45" s="61"/>
      <c r="Q45" s="61"/>
      <c r="R45" s="61" t="s">
        <v>2092</v>
      </c>
      <c r="S45" s="61" t="s">
        <v>1903</v>
      </c>
      <c r="T45" s="61" t="s">
        <v>1898</v>
      </c>
      <c r="U45" s="61" t="s">
        <v>1898</v>
      </c>
      <c r="V45" s="101" t="str">
        <f>VLOOKUP(B45,[2]Overall!$A:$D,4,0)</f>
        <v>TELEINFRA CENTRE</v>
      </c>
      <c r="W45" s="101" t="str">
        <f>VLOOKUP(B45,[3]Sheet1!$A:$B,2,0)</f>
        <v>Batchenga</v>
      </c>
      <c r="X45" s="88" t="str">
        <f t="shared" si="0"/>
        <v>CTR</v>
      </c>
      <c r="Y45" s="88" t="str">
        <f t="shared" si="1"/>
        <v>48H&lt;T&lt;72H</v>
      </c>
      <c r="Z45" s="101">
        <f t="shared" si="2"/>
        <v>1</v>
      </c>
      <c r="AA45" s="61"/>
      <c r="AB45" s="84" t="s">
        <v>1554</v>
      </c>
      <c r="AC45" s="105" t="s">
        <v>2730</v>
      </c>
      <c r="AD45" s="106" t="s">
        <v>1994</v>
      </c>
      <c r="AE45" s="61"/>
    </row>
    <row r="46" spans="1:31" ht="101.5" x14ac:dyDescent="0.35">
      <c r="A46" s="61" t="s">
        <v>1863</v>
      </c>
      <c r="B46" s="61" t="s">
        <v>1862</v>
      </c>
      <c r="C46" s="65"/>
      <c r="D46" s="61"/>
      <c r="E46" s="61" t="s">
        <v>1636</v>
      </c>
      <c r="F46" s="70" t="s">
        <v>53</v>
      </c>
      <c r="G46" s="70" t="s">
        <v>2121</v>
      </c>
      <c r="H46" s="67">
        <v>46178.136064814818</v>
      </c>
      <c r="I46" s="75">
        <v>2.4298498842545087</v>
      </c>
      <c r="J46" s="61"/>
      <c r="K46" s="61"/>
      <c r="L46" s="61"/>
      <c r="M46" s="61" t="s">
        <v>41</v>
      </c>
      <c r="N46" s="61" t="s">
        <v>1652</v>
      </c>
      <c r="O46" s="61"/>
      <c r="P46" s="61"/>
      <c r="Q46" s="61"/>
      <c r="R46" s="61" t="s">
        <v>1909</v>
      </c>
      <c r="S46" s="61" t="s">
        <v>1903</v>
      </c>
      <c r="T46" s="61" t="s">
        <v>1865</v>
      </c>
      <c r="U46" s="61" t="s">
        <v>1865</v>
      </c>
      <c r="V46" s="101" t="e">
        <f>VLOOKUP(B46,[2]Overall!$A:$D,4,0)</f>
        <v>#N/A</v>
      </c>
      <c r="W46" s="101" t="e">
        <f>VLOOKUP(B46,[3]Sheet1!$A:$B,2,0)</f>
        <v>#N/A</v>
      </c>
      <c r="X46" s="88" t="str">
        <f t="shared" si="0"/>
        <v>ADM</v>
      </c>
      <c r="Y46" s="88" t="str">
        <f t="shared" si="1"/>
        <v>48H&lt;T&lt;72H</v>
      </c>
      <c r="Z46" s="101">
        <f t="shared" si="2"/>
        <v>1</v>
      </c>
      <c r="AA46" s="61"/>
      <c r="AB46" s="84" t="s">
        <v>1554</v>
      </c>
      <c r="AC46" s="105" t="s">
        <v>2730</v>
      </c>
      <c r="AD46" s="106" t="s">
        <v>1994</v>
      </c>
      <c r="AE46" s="61"/>
    </row>
    <row r="47" spans="1:31" ht="72.5" x14ac:dyDescent="0.35">
      <c r="A47" s="61" t="s">
        <v>2208</v>
      </c>
      <c r="B47" s="61" t="s">
        <v>2209</v>
      </c>
      <c r="C47" s="65"/>
      <c r="D47" s="61"/>
      <c r="E47" s="61" t="s">
        <v>2210</v>
      </c>
      <c r="F47" s="70" t="s">
        <v>53</v>
      </c>
      <c r="G47" s="70" t="s">
        <v>2121</v>
      </c>
      <c r="H47" s="67">
        <v>46178.137129629627</v>
      </c>
      <c r="I47" s="75">
        <v>2.4287850694454391</v>
      </c>
      <c r="J47" s="61"/>
      <c r="K47" s="61"/>
      <c r="L47" s="61"/>
      <c r="M47" s="61" t="s">
        <v>1627</v>
      </c>
      <c r="N47" s="61" t="s">
        <v>2211</v>
      </c>
      <c r="O47" s="61"/>
      <c r="P47" s="61"/>
      <c r="Q47" s="61"/>
      <c r="R47" s="61" t="s">
        <v>2601</v>
      </c>
      <c r="S47" s="61" t="s">
        <v>45</v>
      </c>
      <c r="T47" s="61" t="s">
        <v>1754</v>
      </c>
      <c r="U47" s="61" t="s">
        <v>1754</v>
      </c>
      <c r="V47" s="101" t="str">
        <f>VLOOKUP(B47,[2]Overall!$A:$D,4,0)</f>
        <v>TELEINFRA CENTRE</v>
      </c>
      <c r="W47" s="101" t="str">
        <f>VLOOKUP(B47,[3]Sheet1!$A:$B,2,0)</f>
        <v>Mvangan</v>
      </c>
      <c r="X47" s="88" t="str">
        <f t="shared" si="0"/>
        <v>SUD</v>
      </c>
      <c r="Y47" s="88" t="str">
        <f t="shared" si="1"/>
        <v>48H&lt;T&lt;72H</v>
      </c>
      <c r="Z47" s="101">
        <f t="shared" si="2"/>
        <v>1</v>
      </c>
      <c r="AA47" s="61"/>
      <c r="AB47" s="84" t="s">
        <v>1554</v>
      </c>
      <c r="AC47" s="105" t="s">
        <v>2730</v>
      </c>
      <c r="AD47" s="106" t="s">
        <v>1994</v>
      </c>
      <c r="AE47" s="61"/>
    </row>
    <row r="48" spans="1:31" ht="87" x14ac:dyDescent="0.35">
      <c r="A48" s="61" t="s">
        <v>2441</v>
      </c>
      <c r="B48" s="61" t="s">
        <v>2442</v>
      </c>
      <c r="C48" s="65"/>
      <c r="D48" s="61"/>
      <c r="E48" s="61" t="s">
        <v>2471</v>
      </c>
      <c r="F48" s="70" t="s">
        <v>53</v>
      </c>
      <c r="G48" s="70" t="s">
        <v>2121</v>
      </c>
      <c r="H48" s="67">
        <v>46178.441736111112</v>
      </c>
      <c r="I48" s="75">
        <v>2.1241785879610688</v>
      </c>
      <c r="J48" s="61"/>
      <c r="K48" s="61"/>
      <c r="L48" s="61"/>
      <c r="M48" s="61" t="s">
        <v>33</v>
      </c>
      <c r="N48" s="61" t="s">
        <v>2444</v>
      </c>
      <c r="O48" s="61"/>
      <c r="P48" s="61"/>
      <c r="Q48" s="61"/>
      <c r="R48" s="61" t="s">
        <v>2652</v>
      </c>
      <c r="S48" s="61" t="s">
        <v>45</v>
      </c>
      <c r="T48" s="61" t="s">
        <v>1898</v>
      </c>
      <c r="U48" s="61" t="s">
        <v>1898</v>
      </c>
      <c r="V48" s="101" t="str">
        <f>VLOOKUP(B48,[2]Overall!$A:$D,4,0)</f>
        <v>TELEINFRA CENTRE</v>
      </c>
      <c r="W48" s="101" t="str">
        <f>VLOOKUP(B48,[3]Sheet1!$A:$B,2,0)</f>
        <v>Yola</v>
      </c>
      <c r="X48" s="88" t="str">
        <f t="shared" si="0"/>
        <v>EST</v>
      </c>
      <c r="Y48" s="88" t="str">
        <f t="shared" si="1"/>
        <v>48H&lt;T&lt;72H</v>
      </c>
      <c r="Z48" s="101">
        <f t="shared" si="2"/>
        <v>2</v>
      </c>
      <c r="AA48" s="61"/>
      <c r="AB48" s="84" t="s">
        <v>1554</v>
      </c>
      <c r="AC48" s="105" t="s">
        <v>2730</v>
      </c>
      <c r="AD48" s="106" t="s">
        <v>1994</v>
      </c>
      <c r="AE48" s="61"/>
    </row>
    <row r="49" spans="1:31" ht="101.5" x14ac:dyDescent="0.35">
      <c r="A49" s="61" t="s">
        <v>2481</v>
      </c>
      <c r="B49" s="61" t="s">
        <v>2482</v>
      </c>
      <c r="C49" s="65"/>
      <c r="D49" s="61"/>
      <c r="E49" s="61" t="s">
        <v>2483</v>
      </c>
      <c r="F49" s="70" t="s">
        <v>53</v>
      </c>
      <c r="G49" s="70" t="s">
        <v>2121</v>
      </c>
      <c r="H49" s="67">
        <v>46178.506608796299</v>
      </c>
      <c r="I49" s="75">
        <v>2.0593059027742129</v>
      </c>
      <c r="J49" s="61"/>
      <c r="K49" s="61"/>
      <c r="L49" s="61"/>
      <c r="M49" s="61" t="s">
        <v>46</v>
      </c>
      <c r="N49" s="61" t="s">
        <v>2484</v>
      </c>
      <c r="O49" s="61"/>
      <c r="P49" s="61"/>
      <c r="Q49" s="61"/>
      <c r="R49" s="61" t="s">
        <v>2623</v>
      </c>
      <c r="S49" s="61" t="s">
        <v>85</v>
      </c>
      <c r="T49" s="61" t="s">
        <v>1898</v>
      </c>
      <c r="U49" s="61" t="s">
        <v>1898</v>
      </c>
      <c r="V49" s="101" t="str">
        <f>VLOOKUP(B49,[2]Overall!$A:$D,4,0)</f>
        <v>H-TELI</v>
      </c>
      <c r="W49" s="101" t="str">
        <f>VLOOKUP(B49,[3]Sheet1!$A:$B,2,0)</f>
        <v>Banguem</v>
      </c>
      <c r="X49" s="88" t="str">
        <f t="shared" si="0"/>
        <v>SUO</v>
      </c>
      <c r="Y49" s="88" t="str">
        <f t="shared" si="1"/>
        <v>48H&lt;T&lt;72H</v>
      </c>
      <c r="Z49" s="101">
        <f t="shared" si="2"/>
        <v>1</v>
      </c>
      <c r="AA49" s="61"/>
      <c r="AB49" s="84" t="s">
        <v>1554</v>
      </c>
      <c r="AC49" s="105" t="s">
        <v>2730</v>
      </c>
      <c r="AD49" s="106" t="s">
        <v>1994</v>
      </c>
      <c r="AE49" s="61"/>
    </row>
    <row r="50" spans="1:31" ht="87" x14ac:dyDescent="0.35">
      <c r="A50" s="61" t="s">
        <v>2520</v>
      </c>
      <c r="B50" s="61" t="s">
        <v>2521</v>
      </c>
      <c r="C50" s="65"/>
      <c r="D50" s="61"/>
      <c r="E50" s="61" t="s">
        <v>2522</v>
      </c>
      <c r="F50" s="70" t="s">
        <v>53</v>
      </c>
      <c r="G50" s="70" t="s">
        <v>2121</v>
      </c>
      <c r="H50" s="67">
        <v>46178.632245370369</v>
      </c>
      <c r="I50" s="75">
        <v>1.9336693287041271</v>
      </c>
      <c r="J50" s="61"/>
      <c r="K50" s="61"/>
      <c r="L50" s="61"/>
      <c r="M50" s="61" t="s">
        <v>33</v>
      </c>
      <c r="N50" s="61" t="s">
        <v>2523</v>
      </c>
      <c r="O50" s="61"/>
      <c r="P50" s="61"/>
      <c r="Q50" s="61"/>
      <c r="R50" s="61" t="s">
        <v>2660</v>
      </c>
      <c r="S50" s="61" t="s">
        <v>32</v>
      </c>
      <c r="T50" s="61" t="s">
        <v>1898</v>
      </c>
      <c r="U50" s="61" t="s">
        <v>1898</v>
      </c>
      <c r="V50" s="101" t="str">
        <f>VLOOKUP(B50,[2]Overall!$A:$D,4,0)</f>
        <v xml:space="preserve">I-ENG </v>
      </c>
      <c r="W50" s="101" t="str">
        <f>VLOOKUP(B50,[3]Sheet1!$A:$B,2,0)</f>
        <v>Nyanon</v>
      </c>
      <c r="X50" s="88" t="str">
        <f t="shared" si="0"/>
        <v>LIT</v>
      </c>
      <c r="Y50" s="88" t="str">
        <f t="shared" si="1"/>
        <v>24H&lt;T&lt;48H</v>
      </c>
      <c r="Z50" s="101">
        <f t="shared" si="2"/>
        <v>2</v>
      </c>
      <c r="AA50" s="61"/>
      <c r="AB50" s="84" t="s">
        <v>1554</v>
      </c>
      <c r="AC50" s="105" t="s">
        <v>2730</v>
      </c>
      <c r="AD50" s="106" t="s">
        <v>1994</v>
      </c>
      <c r="AE50" s="61"/>
    </row>
    <row r="51" spans="1:31" ht="409.5" x14ac:dyDescent="0.35">
      <c r="A51" s="61" t="s">
        <v>1624</v>
      </c>
      <c r="B51" s="61" t="s">
        <v>1625</v>
      </c>
      <c r="C51" s="65"/>
      <c r="D51" s="61"/>
      <c r="E51" s="61" t="s">
        <v>2582</v>
      </c>
      <c r="F51" s="70" t="s">
        <v>53</v>
      </c>
      <c r="G51" s="70" t="s">
        <v>2121</v>
      </c>
      <c r="H51" s="67">
        <v>46178.691365740742</v>
      </c>
      <c r="I51" s="75">
        <v>1.8745489583307062</v>
      </c>
      <c r="J51" s="61"/>
      <c r="K51" s="61"/>
      <c r="L51" s="61"/>
      <c r="M51" s="61" t="s">
        <v>33</v>
      </c>
      <c r="N51" s="61" t="s">
        <v>2470</v>
      </c>
      <c r="O51" s="61"/>
      <c r="P51" s="61"/>
      <c r="Q51" s="61"/>
      <c r="R51" s="61" t="s">
        <v>2681</v>
      </c>
      <c r="S51" s="61" t="s">
        <v>32</v>
      </c>
      <c r="T51" s="61" t="s">
        <v>1900</v>
      </c>
      <c r="U51" s="61" t="s">
        <v>1900</v>
      </c>
      <c r="V51" s="101" t="str">
        <f>VLOOKUP(B51,[2]Overall!$A:$D,4,0)</f>
        <v xml:space="preserve">I-ENG </v>
      </c>
      <c r="W51" s="101" t="str">
        <f>VLOOKUP(B51,[3]Sheet1!$A:$B,2,0)</f>
        <v>Kembong</v>
      </c>
      <c r="X51" s="88" t="str">
        <f t="shared" si="0"/>
        <v>NRO</v>
      </c>
      <c r="Y51" s="88" t="str">
        <f t="shared" si="1"/>
        <v>24H&lt;T&lt;48H</v>
      </c>
      <c r="Z51" s="101">
        <f t="shared" si="2"/>
        <v>2</v>
      </c>
      <c r="AA51" s="61"/>
      <c r="AB51" s="84" t="s">
        <v>1554</v>
      </c>
      <c r="AC51" s="105" t="s">
        <v>2730</v>
      </c>
      <c r="AD51" s="106" t="s">
        <v>1994</v>
      </c>
      <c r="AE51" s="61"/>
    </row>
    <row r="52" spans="1:31" ht="87" x14ac:dyDescent="0.35">
      <c r="A52" s="61" t="s">
        <v>2554</v>
      </c>
      <c r="B52" s="61" t="s">
        <v>2555</v>
      </c>
      <c r="C52" s="65"/>
      <c r="D52" s="61"/>
      <c r="E52" s="61" t="s">
        <v>2564</v>
      </c>
      <c r="F52" s="70" t="s">
        <v>53</v>
      </c>
      <c r="G52" s="70" t="s">
        <v>2121</v>
      </c>
      <c r="H52" s="67">
        <v>46178.890717592592</v>
      </c>
      <c r="I52" s="75">
        <v>1.675197106480482</v>
      </c>
      <c r="J52" s="61"/>
      <c r="K52" s="61"/>
      <c r="L52" s="61"/>
      <c r="M52" s="61" t="s">
        <v>41</v>
      </c>
      <c r="N52" s="61" t="s">
        <v>42</v>
      </c>
      <c r="O52" s="61"/>
      <c r="P52" s="61"/>
      <c r="Q52" s="61"/>
      <c r="R52" s="61" t="s">
        <v>2654</v>
      </c>
      <c r="S52" s="61" t="s">
        <v>71</v>
      </c>
      <c r="T52" s="61" t="s">
        <v>1902</v>
      </c>
      <c r="U52" s="61" t="s">
        <v>1896</v>
      </c>
      <c r="V52" s="101" t="str">
        <f>VLOOKUP(B52,[2]Overall!$A:$D,4,0)</f>
        <v xml:space="preserve">I-ENG </v>
      </c>
      <c r="W52" s="101" t="str">
        <f>VLOOKUP(B52,[3]Sheet1!$A:$B,2,0)</f>
        <v>Bangambi</v>
      </c>
      <c r="X52" s="88" t="str">
        <f t="shared" si="0"/>
        <v>OST</v>
      </c>
      <c r="Y52" s="88" t="str">
        <f t="shared" si="1"/>
        <v>24H&lt;T&lt;48H</v>
      </c>
      <c r="Z52" s="101">
        <f t="shared" si="2"/>
        <v>1</v>
      </c>
      <c r="AA52" s="61"/>
      <c r="AB52" s="84" t="s">
        <v>1554</v>
      </c>
      <c r="AC52" s="105" t="s">
        <v>2730</v>
      </c>
      <c r="AD52" s="106" t="s">
        <v>1994</v>
      </c>
      <c r="AE52" s="61"/>
    </row>
    <row r="53" spans="1:31" ht="87" x14ac:dyDescent="0.35">
      <c r="A53" s="61" t="s">
        <v>2554</v>
      </c>
      <c r="B53" s="61" t="s">
        <v>2555</v>
      </c>
      <c r="C53" s="65"/>
      <c r="D53" s="61"/>
      <c r="E53" s="61" t="s">
        <v>2558</v>
      </c>
      <c r="F53" s="70" t="s">
        <v>53</v>
      </c>
      <c r="G53" s="70" t="s">
        <v>2121</v>
      </c>
      <c r="H53" s="67">
        <v>46178.890717592592</v>
      </c>
      <c r="I53" s="75">
        <v>1.675197106480482</v>
      </c>
      <c r="J53" s="61"/>
      <c r="K53" s="61"/>
      <c r="L53" s="61"/>
      <c r="M53" s="61" t="s">
        <v>41</v>
      </c>
      <c r="N53" s="61" t="s">
        <v>42</v>
      </c>
      <c r="O53" s="61"/>
      <c r="P53" s="61"/>
      <c r="Q53" s="61"/>
      <c r="R53" s="61" t="s">
        <v>2654</v>
      </c>
      <c r="S53" s="61" t="s">
        <v>71</v>
      </c>
      <c r="T53" s="61" t="s">
        <v>1902</v>
      </c>
      <c r="U53" s="61" t="s">
        <v>1896</v>
      </c>
      <c r="V53" s="101" t="str">
        <f>VLOOKUP(B53,[2]Overall!$A:$D,4,0)</f>
        <v xml:space="preserve">I-ENG </v>
      </c>
      <c r="W53" s="101" t="str">
        <f>VLOOKUP(B53,[3]Sheet1!$A:$B,2,0)</f>
        <v>Bangambi</v>
      </c>
      <c r="X53" s="88" t="str">
        <f t="shared" si="0"/>
        <v>OST</v>
      </c>
      <c r="Y53" s="88" t="str">
        <f t="shared" si="1"/>
        <v>24H&lt;T&lt;48H</v>
      </c>
      <c r="Z53" s="101">
        <f t="shared" si="2"/>
        <v>1</v>
      </c>
      <c r="AA53" s="61"/>
      <c r="AB53" s="84" t="s">
        <v>1554</v>
      </c>
      <c r="AC53" s="105" t="s">
        <v>2730</v>
      </c>
      <c r="AD53" s="106" t="s">
        <v>1994</v>
      </c>
      <c r="AE53" s="61"/>
    </row>
    <row r="54" spans="1:31" ht="87" x14ac:dyDescent="0.35">
      <c r="A54" s="61" t="s">
        <v>2554</v>
      </c>
      <c r="B54" s="61" t="s">
        <v>2555</v>
      </c>
      <c r="C54" s="65"/>
      <c r="D54" s="61"/>
      <c r="E54" s="61" t="s">
        <v>2560</v>
      </c>
      <c r="F54" s="70" t="s">
        <v>53</v>
      </c>
      <c r="G54" s="70" t="s">
        <v>2121</v>
      </c>
      <c r="H54" s="67">
        <v>46178.890717592592</v>
      </c>
      <c r="I54" s="75">
        <v>1.675197106480482</v>
      </c>
      <c r="J54" s="61"/>
      <c r="K54" s="61"/>
      <c r="L54" s="61"/>
      <c r="M54" s="61" t="s">
        <v>41</v>
      </c>
      <c r="N54" s="61" t="s">
        <v>42</v>
      </c>
      <c r="O54" s="61"/>
      <c r="P54" s="61"/>
      <c r="Q54" s="61"/>
      <c r="R54" s="61" t="s">
        <v>2654</v>
      </c>
      <c r="S54" s="61" t="s">
        <v>71</v>
      </c>
      <c r="T54" s="61" t="s">
        <v>1902</v>
      </c>
      <c r="U54" s="61" t="s">
        <v>1896</v>
      </c>
      <c r="V54" s="101" t="str">
        <f>VLOOKUP(B54,[2]Overall!$A:$D,4,0)</f>
        <v xml:space="preserve">I-ENG </v>
      </c>
      <c r="W54" s="101" t="str">
        <f>VLOOKUP(B54,[3]Sheet1!$A:$B,2,0)</f>
        <v>Bangambi</v>
      </c>
      <c r="X54" s="88" t="str">
        <f t="shared" si="0"/>
        <v>OST</v>
      </c>
      <c r="Y54" s="88" t="str">
        <f t="shared" si="1"/>
        <v>24H&lt;T&lt;48H</v>
      </c>
      <c r="Z54" s="101">
        <f t="shared" si="2"/>
        <v>1</v>
      </c>
      <c r="AA54" s="61"/>
      <c r="AB54" s="84" t="s">
        <v>1554</v>
      </c>
      <c r="AC54" s="105" t="s">
        <v>2730</v>
      </c>
      <c r="AD54" s="106" t="s">
        <v>1994</v>
      </c>
      <c r="AE54" s="61"/>
    </row>
    <row r="55" spans="1:31" ht="87" x14ac:dyDescent="0.35">
      <c r="A55" s="61" t="s">
        <v>2554</v>
      </c>
      <c r="B55" s="61" t="s">
        <v>2555</v>
      </c>
      <c r="C55" s="65"/>
      <c r="D55" s="61"/>
      <c r="E55" s="61" t="s">
        <v>2562</v>
      </c>
      <c r="F55" s="70" t="s">
        <v>53</v>
      </c>
      <c r="G55" s="70" t="s">
        <v>2121</v>
      </c>
      <c r="H55" s="67">
        <v>46178.890717592592</v>
      </c>
      <c r="I55" s="75">
        <v>1.675197106480482</v>
      </c>
      <c r="J55" s="61"/>
      <c r="K55" s="61"/>
      <c r="L55" s="61"/>
      <c r="M55" s="61" t="s">
        <v>41</v>
      </c>
      <c r="N55" s="61" t="s">
        <v>42</v>
      </c>
      <c r="O55" s="61"/>
      <c r="P55" s="61"/>
      <c r="Q55" s="61"/>
      <c r="R55" s="61" t="s">
        <v>2654</v>
      </c>
      <c r="S55" s="61" t="s">
        <v>71</v>
      </c>
      <c r="T55" s="61" t="s">
        <v>1902</v>
      </c>
      <c r="U55" s="61" t="s">
        <v>1896</v>
      </c>
      <c r="V55" s="101" t="str">
        <f>VLOOKUP(B55,[2]Overall!$A:$D,4,0)</f>
        <v xml:space="preserve">I-ENG </v>
      </c>
      <c r="W55" s="101" t="str">
        <f>VLOOKUP(B55,[3]Sheet1!$A:$B,2,0)</f>
        <v>Bangambi</v>
      </c>
      <c r="X55" s="88" t="str">
        <f t="shared" si="0"/>
        <v>OST</v>
      </c>
      <c r="Y55" s="88" t="str">
        <f t="shared" si="1"/>
        <v>24H&lt;T&lt;48H</v>
      </c>
      <c r="Z55" s="101">
        <f t="shared" si="2"/>
        <v>1</v>
      </c>
      <c r="AA55" s="61"/>
      <c r="AB55" s="84" t="s">
        <v>1554</v>
      </c>
      <c r="AC55" s="105" t="s">
        <v>2730</v>
      </c>
      <c r="AD55" s="106" t="s">
        <v>1994</v>
      </c>
      <c r="AE55" s="61"/>
    </row>
    <row r="56" spans="1:31" ht="87" x14ac:dyDescent="0.35">
      <c r="A56" s="61" t="s">
        <v>2554</v>
      </c>
      <c r="B56" s="61" t="s">
        <v>2555</v>
      </c>
      <c r="C56" s="65"/>
      <c r="D56" s="61"/>
      <c r="E56" s="61" t="s">
        <v>2556</v>
      </c>
      <c r="F56" s="70" t="s">
        <v>53</v>
      </c>
      <c r="G56" s="70" t="s">
        <v>2121</v>
      </c>
      <c r="H56" s="67">
        <v>46178.890706018516</v>
      </c>
      <c r="I56" s="75">
        <v>1.6752086805572617</v>
      </c>
      <c r="J56" s="61"/>
      <c r="K56" s="61"/>
      <c r="L56" s="61"/>
      <c r="M56" s="61" t="s">
        <v>41</v>
      </c>
      <c r="N56" s="61" t="s">
        <v>42</v>
      </c>
      <c r="O56" s="61"/>
      <c r="P56" s="61"/>
      <c r="Q56" s="61"/>
      <c r="R56" s="61" t="s">
        <v>2654</v>
      </c>
      <c r="S56" s="61" t="s">
        <v>71</v>
      </c>
      <c r="T56" s="61" t="s">
        <v>1902</v>
      </c>
      <c r="U56" s="61" t="s">
        <v>1896</v>
      </c>
      <c r="V56" s="101" t="str">
        <f>VLOOKUP(B56,[2]Overall!$A:$D,4,0)</f>
        <v xml:space="preserve">I-ENG </v>
      </c>
      <c r="W56" s="101" t="str">
        <f>VLOOKUP(B56,[3]Sheet1!$A:$B,2,0)</f>
        <v>Bangambi</v>
      </c>
      <c r="X56" s="88" t="str">
        <f t="shared" si="0"/>
        <v>OST</v>
      </c>
      <c r="Y56" s="88" t="str">
        <f t="shared" si="1"/>
        <v>24H&lt;T&lt;48H</v>
      </c>
      <c r="Z56" s="101">
        <f t="shared" si="2"/>
        <v>1</v>
      </c>
      <c r="AA56" s="61"/>
      <c r="AB56" s="84" t="s">
        <v>1554</v>
      </c>
      <c r="AC56" s="105" t="s">
        <v>2730</v>
      </c>
      <c r="AD56" s="106" t="s">
        <v>1994</v>
      </c>
      <c r="AE56" s="61"/>
    </row>
    <row r="57" spans="1:31" ht="87" x14ac:dyDescent="0.35">
      <c r="A57" s="61" t="s">
        <v>2554</v>
      </c>
      <c r="B57" s="61" t="s">
        <v>2555</v>
      </c>
      <c r="C57" s="65"/>
      <c r="D57" s="61"/>
      <c r="E57" s="61" t="s">
        <v>2561</v>
      </c>
      <c r="F57" s="70" t="s">
        <v>53</v>
      </c>
      <c r="G57" s="70" t="s">
        <v>2121</v>
      </c>
      <c r="H57" s="67">
        <v>46178.890717592592</v>
      </c>
      <c r="I57" s="75">
        <v>1.675197106480482</v>
      </c>
      <c r="J57" s="61"/>
      <c r="K57" s="61"/>
      <c r="L57" s="61"/>
      <c r="M57" s="61" t="s">
        <v>41</v>
      </c>
      <c r="N57" s="61" t="s">
        <v>42</v>
      </c>
      <c r="O57" s="61"/>
      <c r="P57" s="61"/>
      <c r="Q57" s="61"/>
      <c r="R57" s="61" t="s">
        <v>2654</v>
      </c>
      <c r="S57" s="61" t="s">
        <v>71</v>
      </c>
      <c r="T57" s="61" t="s">
        <v>1902</v>
      </c>
      <c r="U57" s="61" t="s">
        <v>1896</v>
      </c>
      <c r="V57" s="101" t="str">
        <f>VLOOKUP(B57,[2]Overall!$A:$D,4,0)</f>
        <v xml:space="preserve">I-ENG </v>
      </c>
      <c r="W57" s="101" t="str">
        <f>VLOOKUP(B57,[3]Sheet1!$A:$B,2,0)</f>
        <v>Bangambi</v>
      </c>
      <c r="X57" s="88" t="str">
        <f t="shared" si="0"/>
        <v>OST</v>
      </c>
      <c r="Y57" s="88" t="str">
        <f t="shared" si="1"/>
        <v>24H&lt;T&lt;48H</v>
      </c>
      <c r="Z57" s="101">
        <f t="shared" si="2"/>
        <v>1</v>
      </c>
      <c r="AA57" s="61"/>
      <c r="AB57" s="84" t="s">
        <v>1554</v>
      </c>
      <c r="AC57" s="105" t="s">
        <v>2730</v>
      </c>
      <c r="AD57" s="106" t="s">
        <v>1994</v>
      </c>
      <c r="AE57" s="61"/>
    </row>
    <row r="58" spans="1:31" ht="87" x14ac:dyDescent="0.35">
      <c r="A58" s="61" t="s">
        <v>2554</v>
      </c>
      <c r="B58" s="61" t="s">
        <v>2555</v>
      </c>
      <c r="C58" s="65"/>
      <c r="D58" s="61"/>
      <c r="E58" s="61" t="s">
        <v>2563</v>
      </c>
      <c r="F58" s="70" t="s">
        <v>53</v>
      </c>
      <c r="G58" s="70" t="s">
        <v>2121</v>
      </c>
      <c r="H58" s="67">
        <v>46178.890717592592</v>
      </c>
      <c r="I58" s="75">
        <v>1.675197106480482</v>
      </c>
      <c r="J58" s="61"/>
      <c r="K58" s="61"/>
      <c r="L58" s="61"/>
      <c r="M58" s="61" t="s">
        <v>41</v>
      </c>
      <c r="N58" s="61" t="s">
        <v>42</v>
      </c>
      <c r="O58" s="61"/>
      <c r="P58" s="61"/>
      <c r="Q58" s="61"/>
      <c r="R58" s="61" t="s">
        <v>2654</v>
      </c>
      <c r="S58" s="61" t="s">
        <v>71</v>
      </c>
      <c r="T58" s="61" t="s">
        <v>1902</v>
      </c>
      <c r="U58" s="61" t="s">
        <v>1896</v>
      </c>
      <c r="V58" s="101" t="str">
        <f>VLOOKUP(B58,[2]Overall!$A:$D,4,0)</f>
        <v xml:space="preserve">I-ENG </v>
      </c>
      <c r="W58" s="101" t="str">
        <f>VLOOKUP(B58,[3]Sheet1!$A:$B,2,0)</f>
        <v>Bangambi</v>
      </c>
      <c r="X58" s="88" t="str">
        <f t="shared" si="0"/>
        <v>OST</v>
      </c>
      <c r="Y58" s="88" t="str">
        <f t="shared" si="1"/>
        <v>24H&lt;T&lt;48H</v>
      </c>
      <c r="Z58" s="101">
        <f t="shared" si="2"/>
        <v>1</v>
      </c>
      <c r="AA58" s="61"/>
      <c r="AB58" s="84" t="s">
        <v>1554</v>
      </c>
      <c r="AC58" s="105" t="s">
        <v>2730</v>
      </c>
      <c r="AD58" s="106" t="s">
        <v>1994</v>
      </c>
      <c r="AE58" s="61"/>
    </row>
    <row r="59" spans="1:31" ht="87" x14ac:dyDescent="0.35">
      <c r="A59" s="61" t="s">
        <v>2554</v>
      </c>
      <c r="B59" s="61" t="s">
        <v>2555</v>
      </c>
      <c r="C59" s="65"/>
      <c r="D59" s="61"/>
      <c r="E59" s="61" t="s">
        <v>2559</v>
      </c>
      <c r="F59" s="70" t="s">
        <v>53</v>
      </c>
      <c r="G59" s="70" t="s">
        <v>2121</v>
      </c>
      <c r="H59" s="67">
        <v>46178.890717592592</v>
      </c>
      <c r="I59" s="75">
        <v>1.675197106480482</v>
      </c>
      <c r="J59" s="61"/>
      <c r="K59" s="61"/>
      <c r="L59" s="61"/>
      <c r="M59" s="61" t="s">
        <v>41</v>
      </c>
      <c r="N59" s="61" t="s">
        <v>42</v>
      </c>
      <c r="O59" s="61"/>
      <c r="P59" s="61"/>
      <c r="Q59" s="61"/>
      <c r="R59" s="61" t="s">
        <v>2654</v>
      </c>
      <c r="S59" s="61" t="s">
        <v>71</v>
      </c>
      <c r="T59" s="61" t="s">
        <v>1902</v>
      </c>
      <c r="U59" s="61" t="s">
        <v>1896</v>
      </c>
      <c r="V59" s="101" t="str">
        <f>VLOOKUP(B59,[2]Overall!$A:$D,4,0)</f>
        <v xml:space="preserve">I-ENG </v>
      </c>
      <c r="W59" s="101" t="str">
        <f>VLOOKUP(B59,[3]Sheet1!$A:$B,2,0)</f>
        <v>Bangambi</v>
      </c>
      <c r="X59" s="88" t="str">
        <f t="shared" si="0"/>
        <v>OST</v>
      </c>
      <c r="Y59" s="88" t="str">
        <f t="shared" si="1"/>
        <v>24H&lt;T&lt;48H</v>
      </c>
      <c r="Z59" s="101">
        <f t="shared" si="2"/>
        <v>1</v>
      </c>
      <c r="AA59" s="61"/>
      <c r="AB59" s="84" t="s">
        <v>1554</v>
      </c>
      <c r="AC59" s="105" t="s">
        <v>2730</v>
      </c>
      <c r="AD59" s="106" t="s">
        <v>1994</v>
      </c>
      <c r="AE59" s="61"/>
    </row>
    <row r="60" spans="1:31" ht="87" x14ac:dyDescent="0.35">
      <c r="A60" s="61" t="s">
        <v>2554</v>
      </c>
      <c r="B60" s="61" t="s">
        <v>2555</v>
      </c>
      <c r="C60" s="65"/>
      <c r="D60" s="61"/>
      <c r="E60" s="61" t="s">
        <v>2557</v>
      </c>
      <c r="F60" s="70" t="s">
        <v>53</v>
      </c>
      <c r="G60" s="70" t="s">
        <v>2121</v>
      </c>
      <c r="H60" s="67">
        <v>46178.890717592592</v>
      </c>
      <c r="I60" s="75">
        <v>1.675197106480482</v>
      </c>
      <c r="J60" s="61"/>
      <c r="K60" s="61"/>
      <c r="L60" s="61"/>
      <c r="M60" s="61" t="s">
        <v>41</v>
      </c>
      <c r="N60" s="61" t="s">
        <v>42</v>
      </c>
      <c r="O60" s="61"/>
      <c r="P60" s="61"/>
      <c r="Q60" s="61"/>
      <c r="R60" s="61" t="s">
        <v>2654</v>
      </c>
      <c r="S60" s="61" t="s">
        <v>71</v>
      </c>
      <c r="T60" s="61" t="s">
        <v>1902</v>
      </c>
      <c r="U60" s="61" t="s">
        <v>1896</v>
      </c>
      <c r="V60" s="101" t="str">
        <f>VLOOKUP(B60,[2]Overall!$A:$D,4,0)</f>
        <v xml:space="preserve">I-ENG </v>
      </c>
      <c r="W60" s="101" t="str">
        <f>VLOOKUP(B60,[3]Sheet1!$A:$B,2,0)</f>
        <v>Bangambi</v>
      </c>
      <c r="X60" s="88" t="str">
        <f t="shared" si="0"/>
        <v>OST</v>
      </c>
      <c r="Y60" s="88" t="str">
        <f t="shared" si="1"/>
        <v>24H&lt;T&lt;48H</v>
      </c>
      <c r="Z60" s="101">
        <f t="shared" si="2"/>
        <v>1</v>
      </c>
      <c r="AA60" s="61"/>
      <c r="AB60" s="84" t="s">
        <v>1554</v>
      </c>
      <c r="AC60" s="105" t="s">
        <v>2730</v>
      </c>
      <c r="AD60" s="106" t="s">
        <v>1994</v>
      </c>
      <c r="AE60" s="61"/>
    </row>
    <row r="61" spans="1:31" ht="116" x14ac:dyDescent="0.35">
      <c r="A61" s="61" t="s">
        <v>2576</v>
      </c>
      <c r="B61" s="61" t="s">
        <v>2577</v>
      </c>
      <c r="C61" s="65"/>
      <c r="D61" s="61"/>
      <c r="E61" s="61" t="s">
        <v>1641</v>
      </c>
      <c r="F61" s="70" t="s">
        <v>53</v>
      </c>
      <c r="G61" s="70" t="s">
        <v>2121</v>
      </c>
      <c r="H61" s="67">
        <v>46179.268483796295</v>
      </c>
      <c r="I61" s="75">
        <v>1.2974309027777053</v>
      </c>
      <c r="J61" s="61"/>
      <c r="K61" s="61"/>
      <c r="L61" s="61"/>
      <c r="M61" s="61" t="s">
        <v>41</v>
      </c>
      <c r="N61" s="61" t="s">
        <v>2349</v>
      </c>
      <c r="O61" s="61"/>
      <c r="P61" s="61"/>
      <c r="Q61" s="61"/>
      <c r="R61" s="61" t="s">
        <v>2634</v>
      </c>
      <c r="S61" s="61" t="s">
        <v>40</v>
      </c>
      <c r="T61" s="61" t="s">
        <v>1840</v>
      </c>
      <c r="U61" s="61" t="s">
        <v>1840</v>
      </c>
      <c r="V61" s="101" t="str">
        <f>VLOOKUP(B61,[2]Overall!$A:$D,4,0)</f>
        <v>TELEINFRA NORD</v>
      </c>
      <c r="W61" s="101" t="str">
        <f>VLOOKUP(B61,[3]Sheet1!$A:$B,2,0)</f>
        <v>Tchevi</v>
      </c>
      <c r="X61" s="88" t="str">
        <f t="shared" si="0"/>
        <v>EXN</v>
      </c>
      <c r="Y61" s="88" t="str">
        <f t="shared" si="1"/>
        <v>24H&lt;T&lt;48H</v>
      </c>
      <c r="Z61" s="101">
        <f t="shared" si="2"/>
        <v>1</v>
      </c>
      <c r="AA61" s="61"/>
      <c r="AB61" s="84" t="s">
        <v>1554</v>
      </c>
      <c r="AC61" s="105" t="s">
        <v>2730</v>
      </c>
      <c r="AD61" s="106" t="s">
        <v>1994</v>
      </c>
      <c r="AE61" s="61"/>
    </row>
    <row r="62" spans="1:31" ht="116" x14ac:dyDescent="0.35">
      <c r="A62" s="61" t="s">
        <v>2576</v>
      </c>
      <c r="B62" s="61" t="s">
        <v>2577</v>
      </c>
      <c r="C62" s="65"/>
      <c r="D62" s="61"/>
      <c r="E62" s="61" t="s">
        <v>1636</v>
      </c>
      <c r="F62" s="70" t="s">
        <v>53</v>
      </c>
      <c r="G62" s="70" t="s">
        <v>2121</v>
      </c>
      <c r="H62" s="67">
        <v>46179.268483796295</v>
      </c>
      <c r="I62" s="75">
        <v>1.2974309027777053</v>
      </c>
      <c r="J62" s="61"/>
      <c r="K62" s="61"/>
      <c r="L62" s="61"/>
      <c r="M62" s="61" t="s">
        <v>41</v>
      </c>
      <c r="N62" s="61" t="s">
        <v>2348</v>
      </c>
      <c r="O62" s="61"/>
      <c r="P62" s="61"/>
      <c r="Q62" s="61"/>
      <c r="R62" s="61" t="s">
        <v>2634</v>
      </c>
      <c r="S62" s="61" t="s">
        <v>40</v>
      </c>
      <c r="T62" s="61" t="s">
        <v>1840</v>
      </c>
      <c r="U62" s="61" t="s">
        <v>1840</v>
      </c>
      <c r="V62" s="101" t="str">
        <f>VLOOKUP(B62,[2]Overall!$A:$D,4,0)</f>
        <v>TELEINFRA NORD</v>
      </c>
      <c r="W62" s="101" t="str">
        <f>VLOOKUP(B62,[3]Sheet1!$A:$B,2,0)</f>
        <v>Tchevi</v>
      </c>
      <c r="X62" s="88" t="str">
        <f t="shared" si="0"/>
        <v>EXN</v>
      </c>
      <c r="Y62" s="88" t="str">
        <f t="shared" si="1"/>
        <v>24H&lt;T&lt;48H</v>
      </c>
      <c r="Z62" s="101">
        <f t="shared" si="2"/>
        <v>1</v>
      </c>
      <c r="AA62" s="61"/>
      <c r="AB62" s="84" t="s">
        <v>1554</v>
      </c>
      <c r="AC62" s="105" t="s">
        <v>2730</v>
      </c>
      <c r="AD62" s="106" t="s">
        <v>1994</v>
      </c>
      <c r="AE62" s="61"/>
    </row>
    <row r="63" spans="1:31" ht="116" x14ac:dyDescent="0.35">
      <c r="A63" s="61" t="s">
        <v>2576</v>
      </c>
      <c r="B63" s="61" t="s">
        <v>2577</v>
      </c>
      <c r="C63" s="65"/>
      <c r="D63" s="61"/>
      <c r="E63" s="61" t="s">
        <v>49</v>
      </c>
      <c r="F63" s="70" t="s">
        <v>53</v>
      </c>
      <c r="G63" s="70" t="s">
        <v>2121</v>
      </c>
      <c r="H63" s="67">
        <v>46179.268483796295</v>
      </c>
      <c r="I63" s="75">
        <v>1.2974309027777053</v>
      </c>
      <c r="J63" s="61"/>
      <c r="K63" s="61"/>
      <c r="L63" s="61"/>
      <c r="M63" s="61" t="s">
        <v>41</v>
      </c>
      <c r="N63" s="61" t="s">
        <v>2347</v>
      </c>
      <c r="O63" s="61"/>
      <c r="P63" s="61"/>
      <c r="Q63" s="61"/>
      <c r="R63" s="61" t="s">
        <v>2634</v>
      </c>
      <c r="S63" s="61" t="s">
        <v>40</v>
      </c>
      <c r="T63" s="61" t="s">
        <v>1840</v>
      </c>
      <c r="U63" s="61" t="s">
        <v>1840</v>
      </c>
      <c r="V63" s="101" t="str">
        <f>VLOOKUP(B63,[2]Overall!$A:$D,4,0)</f>
        <v>TELEINFRA NORD</v>
      </c>
      <c r="W63" s="101" t="str">
        <f>VLOOKUP(B63,[3]Sheet1!$A:$B,2,0)</f>
        <v>Tchevi</v>
      </c>
      <c r="X63" s="88" t="str">
        <f t="shared" si="0"/>
        <v>EXN</v>
      </c>
      <c r="Y63" s="88" t="str">
        <f t="shared" si="1"/>
        <v>24H&lt;T&lt;48H</v>
      </c>
      <c r="Z63" s="101">
        <f t="shared" si="2"/>
        <v>1</v>
      </c>
      <c r="AA63" s="61"/>
      <c r="AB63" s="84" t="s">
        <v>1554</v>
      </c>
      <c r="AC63" s="105" t="s">
        <v>2730</v>
      </c>
      <c r="AD63" s="106" t="s">
        <v>1994</v>
      </c>
      <c r="AE63" s="61"/>
    </row>
    <row r="64" spans="1:31" ht="261" x14ac:dyDescent="0.35">
      <c r="A64" s="61" t="s">
        <v>1779</v>
      </c>
      <c r="B64" s="61" t="s">
        <v>1780</v>
      </c>
      <c r="C64" s="65"/>
      <c r="D64" s="61"/>
      <c r="E64" s="61" t="s">
        <v>37</v>
      </c>
      <c r="F64" s="70" t="s">
        <v>53</v>
      </c>
      <c r="G64" s="70" t="s">
        <v>2121</v>
      </c>
      <c r="H64" s="67">
        <v>46179.27957175926</v>
      </c>
      <c r="I64" s="75">
        <v>1.2863429398130393</v>
      </c>
      <c r="J64" s="61"/>
      <c r="K64" s="61"/>
      <c r="L64" s="61"/>
      <c r="M64" s="61" t="s">
        <v>41</v>
      </c>
      <c r="N64" s="61" t="s">
        <v>1781</v>
      </c>
      <c r="O64" s="61"/>
      <c r="P64" s="61"/>
      <c r="Q64" s="61"/>
      <c r="R64" s="61" t="s">
        <v>2379</v>
      </c>
      <c r="S64" s="61" t="s">
        <v>75</v>
      </c>
      <c r="T64" s="61" t="s">
        <v>1840</v>
      </c>
      <c r="U64" s="61" t="s">
        <v>1840</v>
      </c>
      <c r="V64" s="101" t="str">
        <f>VLOOKUP(B64,[2]Overall!$A:$D,4,0)</f>
        <v>TELEINFRA NORD</v>
      </c>
      <c r="W64" s="101" t="str">
        <f>VLOOKUP(B64,[3]Sheet1!$A:$B,2,0)</f>
        <v>Badjonre</v>
      </c>
      <c r="X64" s="88" t="str">
        <f t="shared" si="0"/>
        <v>EXN</v>
      </c>
      <c r="Y64" s="88" t="str">
        <f t="shared" si="1"/>
        <v>24H&lt;T&lt;48H</v>
      </c>
      <c r="Z64" s="101">
        <f t="shared" si="2"/>
        <v>1</v>
      </c>
      <c r="AA64" s="61"/>
      <c r="AB64" s="84" t="s">
        <v>1554</v>
      </c>
      <c r="AC64" s="105" t="s">
        <v>2730</v>
      </c>
      <c r="AD64" s="106" t="s">
        <v>1994</v>
      </c>
      <c r="AE64" s="61"/>
    </row>
    <row r="65" spans="1:31" ht="130.5" x14ac:dyDescent="0.35">
      <c r="A65" s="61" t="s">
        <v>2436</v>
      </c>
      <c r="B65" s="61" t="s">
        <v>2437</v>
      </c>
      <c r="C65" s="65"/>
      <c r="D65" s="61"/>
      <c r="E65" s="61" t="s">
        <v>34</v>
      </c>
      <c r="F65" s="70" t="s">
        <v>53</v>
      </c>
      <c r="G65" s="70" t="s">
        <v>2121</v>
      </c>
      <c r="H65" s="67">
        <v>46179.286550925928</v>
      </c>
      <c r="I65" s="75">
        <v>1.2793637731447234</v>
      </c>
      <c r="J65" s="61"/>
      <c r="K65" s="61"/>
      <c r="L65" s="61"/>
      <c r="M65" s="61" t="s">
        <v>31</v>
      </c>
      <c r="N65" s="61" t="s">
        <v>2438</v>
      </c>
      <c r="O65" s="61"/>
      <c r="P65" s="61"/>
      <c r="Q65" s="61"/>
      <c r="R65" s="61" t="s">
        <v>2653</v>
      </c>
      <c r="S65" s="61" t="s">
        <v>45</v>
      </c>
      <c r="T65" s="61" t="s">
        <v>1898</v>
      </c>
      <c r="U65" s="61" t="s">
        <v>1898</v>
      </c>
      <c r="V65" s="101" t="str">
        <f>VLOOKUP(B65,[2]Overall!$A:$D,4,0)</f>
        <v>TELEINFRA CENTRE</v>
      </c>
      <c r="W65" s="101" t="str">
        <f>VLOOKUP(B65,[3]Sheet1!$A:$B,2,0)</f>
        <v>Ngola</v>
      </c>
      <c r="X65" s="88" t="str">
        <f t="shared" si="0"/>
        <v>EST</v>
      </c>
      <c r="Y65" s="88" t="str">
        <f t="shared" si="1"/>
        <v>24H&lt;T&lt;48H</v>
      </c>
      <c r="Z65" s="101">
        <f t="shared" si="2"/>
        <v>1</v>
      </c>
      <c r="AA65" s="61"/>
      <c r="AB65" s="84" t="s">
        <v>1554</v>
      </c>
      <c r="AC65" s="105" t="s">
        <v>2730</v>
      </c>
      <c r="AD65" s="106" t="s">
        <v>1994</v>
      </c>
      <c r="AE65" s="61"/>
    </row>
    <row r="66" spans="1:31" ht="72.5" x14ac:dyDescent="0.35">
      <c r="A66" s="61" t="s">
        <v>2637</v>
      </c>
      <c r="B66" s="61" t="s">
        <v>2638</v>
      </c>
      <c r="C66" s="65"/>
      <c r="D66" s="61"/>
      <c r="E66" s="61" t="s">
        <v>47</v>
      </c>
      <c r="F66" s="70" t="s">
        <v>53</v>
      </c>
      <c r="G66" s="70" t="s">
        <v>2121</v>
      </c>
      <c r="H66" s="67">
        <v>46179.473391203705</v>
      </c>
      <c r="I66" s="75">
        <v>1.0925234953683685</v>
      </c>
      <c r="J66" s="61"/>
      <c r="K66" s="61"/>
      <c r="L66" s="61"/>
      <c r="M66" s="61" t="s">
        <v>31</v>
      </c>
      <c r="N66" s="61" t="s">
        <v>2639</v>
      </c>
      <c r="O66" s="61"/>
      <c r="P66" s="61"/>
      <c r="Q66" s="61"/>
      <c r="R66" s="61" t="s">
        <v>2651</v>
      </c>
      <c r="S66" s="61" t="s">
        <v>32</v>
      </c>
      <c r="T66" s="61" t="s">
        <v>1898</v>
      </c>
      <c r="U66" s="61" t="s">
        <v>1898</v>
      </c>
      <c r="V66" s="101" t="str">
        <f>VLOOKUP(B66,[2]Overall!$A:$D,4,0)</f>
        <v xml:space="preserve">I-ENG </v>
      </c>
      <c r="W66" s="101" t="str">
        <f>VLOOKUP(B66,[3]Sheet1!$A:$B,2,0)</f>
        <v>Nkambe</v>
      </c>
      <c r="X66" s="88" t="str">
        <f t="shared" ref="X66:X115" si="3">LEFT(B66,3)</f>
        <v>NRO</v>
      </c>
      <c r="Y66" s="88" t="str">
        <f t="shared" ref="Y66:Y115" si="4">IF(I66 &lt; 1/24, "T&lt;1H", IF(AND(I66&lt;2/24, I66&gt;1/24), "1H&lt;T&lt;2H", IF(AND(I66&lt;4/24, I66&gt;2/24), "2H&lt;T&lt;4H", IF(AND(I66&lt;8/24, I66&gt;4/24), "4H&lt;T&lt;8H", IF(AND(I66&lt;16/24, I66&gt;8/24), "8H&lt;T&lt;16H",IF(AND(I66&lt;24/24, I66&gt;16/24),"16H&lt;T&lt;24H", IF(AND(I66&lt;48/24, I66&gt;24/24),"24H&lt;T&lt;48H",IF(AND(I66&lt;72/24, I66&gt;24/24),"48H&lt;T&lt;72H", "T&gt;72H"))))))))</f>
        <v>24H&lt;T&lt;48H</v>
      </c>
      <c r="Z66" s="101">
        <f t="shared" ref="Z66:Z115" si="5">IF(OR(E66="", E66="affected_cells=unknown"), "", LEN(E66)-LEN(SUBSTITUTE(E66, ",", "")) + LEN(E66)-LEN(SUBSTITUTE(E66, ";", "")) + 1)</f>
        <v>3</v>
      </c>
      <c r="AA66" s="61"/>
      <c r="AB66" s="84" t="s">
        <v>1554</v>
      </c>
      <c r="AC66" s="105" t="s">
        <v>2730</v>
      </c>
      <c r="AD66" s="106" t="s">
        <v>1994</v>
      </c>
      <c r="AE66" s="61"/>
    </row>
    <row r="67" spans="1:31" ht="58" x14ac:dyDescent="0.35">
      <c r="A67" s="61" t="s">
        <v>1859</v>
      </c>
      <c r="B67" s="61" t="s">
        <v>1858</v>
      </c>
      <c r="C67" s="65"/>
      <c r="D67" s="61"/>
      <c r="E67" s="61" t="s">
        <v>1861</v>
      </c>
      <c r="F67" s="70" t="s">
        <v>53</v>
      </c>
      <c r="G67" s="70" t="s">
        <v>2121</v>
      </c>
      <c r="H67" s="67">
        <v>46179.4925</v>
      </c>
      <c r="I67" s="75">
        <v>1.0734146990726003</v>
      </c>
      <c r="J67" s="61"/>
      <c r="K67" s="61"/>
      <c r="L67" s="61"/>
      <c r="M67" s="61" t="s">
        <v>33</v>
      </c>
      <c r="N67" s="61" t="s">
        <v>1860</v>
      </c>
      <c r="O67" s="61"/>
      <c r="P67" s="61"/>
      <c r="Q67" s="61"/>
      <c r="R67" s="61" t="s">
        <v>1909</v>
      </c>
      <c r="S67" s="61" t="s">
        <v>1903</v>
      </c>
      <c r="T67" s="61" t="s">
        <v>1865</v>
      </c>
      <c r="U67" s="61" t="s">
        <v>1865</v>
      </c>
      <c r="V67" s="101" t="e">
        <f>VLOOKUP(B67,[2]Overall!$A:$D,4,0)</f>
        <v>#N/A</v>
      </c>
      <c r="W67" s="101" t="e">
        <f>VLOOKUP(B67,[3]Sheet1!$A:$B,2,0)</f>
        <v>#N/A</v>
      </c>
      <c r="X67" s="88" t="str">
        <f t="shared" si="3"/>
        <v>SUD</v>
      </c>
      <c r="Y67" s="88" t="str">
        <f t="shared" si="4"/>
        <v>24H&lt;T&lt;48H</v>
      </c>
      <c r="Z67" s="101">
        <f t="shared" si="5"/>
        <v>2</v>
      </c>
      <c r="AA67" s="61"/>
      <c r="AB67" s="84" t="s">
        <v>1554</v>
      </c>
      <c r="AC67" s="105" t="s">
        <v>2730</v>
      </c>
      <c r="AD67" s="106" t="s">
        <v>1994</v>
      </c>
      <c r="AE67" s="61"/>
    </row>
    <row r="68" spans="1:31" ht="275.5" x14ac:dyDescent="0.35">
      <c r="A68" s="61" t="s">
        <v>1581</v>
      </c>
      <c r="B68" s="61" t="s">
        <v>1582</v>
      </c>
      <c r="C68" s="65"/>
      <c r="D68" s="61"/>
      <c r="E68" s="61" t="s">
        <v>1937</v>
      </c>
      <c r="F68" s="70" t="s">
        <v>53</v>
      </c>
      <c r="G68" s="70" t="s">
        <v>2121</v>
      </c>
      <c r="H68" s="67">
        <v>46179.600486111114</v>
      </c>
      <c r="I68" s="75">
        <v>0.96542858795874054</v>
      </c>
      <c r="J68" s="61"/>
      <c r="K68" s="61"/>
      <c r="L68" s="61"/>
      <c r="M68" s="61" t="s">
        <v>41</v>
      </c>
      <c r="N68" s="61" t="s">
        <v>1938</v>
      </c>
      <c r="O68" s="61"/>
      <c r="P68" s="61"/>
      <c r="Q68" s="61"/>
      <c r="R68" s="61" t="s">
        <v>2659</v>
      </c>
      <c r="S68" s="61" t="s">
        <v>32</v>
      </c>
      <c r="T68" s="61" t="s">
        <v>1840</v>
      </c>
      <c r="U68" s="61" t="s">
        <v>1840</v>
      </c>
      <c r="V68" s="101" t="str">
        <f>VLOOKUP(B68,[2]Overall!$A:$D,4,0)</f>
        <v xml:space="preserve">I-ENG </v>
      </c>
      <c r="W68" s="101" t="str">
        <f>VLOOKUP(B68,[3]Sheet1!$A:$B,2,0)</f>
        <v>Batibo</v>
      </c>
      <c r="X68" s="88" t="str">
        <f t="shared" si="3"/>
        <v>NRO</v>
      </c>
      <c r="Y68" s="88" t="str">
        <f t="shared" si="4"/>
        <v>16H&lt;T&lt;24H</v>
      </c>
      <c r="Z68" s="101">
        <f t="shared" si="5"/>
        <v>1</v>
      </c>
      <c r="AA68" s="61"/>
      <c r="AB68" s="84" t="s">
        <v>1554</v>
      </c>
      <c r="AC68" s="105" t="s">
        <v>2730</v>
      </c>
      <c r="AD68" s="106" t="s">
        <v>1994</v>
      </c>
      <c r="AE68" s="61"/>
    </row>
    <row r="69" spans="1:31" ht="188.5" x14ac:dyDescent="0.35">
      <c r="A69" s="61" t="s">
        <v>2273</v>
      </c>
      <c r="B69" s="61" t="s">
        <v>2268</v>
      </c>
      <c r="C69" s="65"/>
      <c r="D69" s="61"/>
      <c r="E69" s="61" t="s">
        <v>37</v>
      </c>
      <c r="F69" s="70" t="s">
        <v>53</v>
      </c>
      <c r="G69" s="70" t="s">
        <v>2121</v>
      </c>
      <c r="H69" s="67">
        <v>46179.610868055555</v>
      </c>
      <c r="I69" s="75">
        <v>0.95504664351756219</v>
      </c>
      <c r="J69" s="61"/>
      <c r="K69" s="61"/>
      <c r="L69" s="61"/>
      <c r="M69" s="61" t="s">
        <v>41</v>
      </c>
      <c r="N69" s="61" t="s">
        <v>2668</v>
      </c>
      <c r="O69" s="61"/>
      <c r="P69" s="61"/>
      <c r="Q69" s="61"/>
      <c r="R69" s="61" t="s">
        <v>2657</v>
      </c>
      <c r="S69" s="61" t="s">
        <v>40</v>
      </c>
      <c r="T69" s="61" t="s">
        <v>1840</v>
      </c>
      <c r="U69" s="61" t="s">
        <v>1840</v>
      </c>
      <c r="V69" s="101" t="str">
        <f>VLOOKUP(B69,[2]Overall!$A:$D,4,0)</f>
        <v>TELEINFRA NORD</v>
      </c>
      <c r="W69" s="101" t="str">
        <f>VLOOKUP(B69,[3]Sheet1!$A:$B,2,0)</f>
        <v>Dabanga</v>
      </c>
      <c r="X69" s="88" t="str">
        <f t="shared" si="3"/>
        <v>EXN</v>
      </c>
      <c r="Y69" s="88" t="str">
        <f t="shared" si="4"/>
        <v>16H&lt;T&lt;24H</v>
      </c>
      <c r="Z69" s="101">
        <f t="shared" si="5"/>
        <v>1</v>
      </c>
      <c r="AA69" s="61"/>
      <c r="AB69" s="84" t="s">
        <v>1554</v>
      </c>
      <c r="AC69" s="105" t="s">
        <v>2730</v>
      </c>
      <c r="AD69" s="106" t="s">
        <v>1994</v>
      </c>
      <c r="AE69" s="61"/>
    </row>
    <row r="70" spans="1:31" ht="130.5" x14ac:dyDescent="0.35">
      <c r="A70" s="61" t="s">
        <v>2316</v>
      </c>
      <c r="B70" s="61" t="s">
        <v>2317</v>
      </c>
      <c r="C70" s="65"/>
      <c r="D70" s="61"/>
      <c r="E70" s="61" t="s">
        <v>2694</v>
      </c>
      <c r="F70" s="70" t="s">
        <v>53</v>
      </c>
      <c r="G70" s="70" t="s">
        <v>2121</v>
      </c>
      <c r="H70" s="67">
        <v>46179.757233796299</v>
      </c>
      <c r="I70" s="75">
        <v>0.80868090277363081</v>
      </c>
      <c r="J70" s="61"/>
      <c r="K70" s="61"/>
      <c r="L70" s="61"/>
      <c r="M70" s="61" t="s">
        <v>38</v>
      </c>
      <c r="N70" s="61" t="s">
        <v>2319</v>
      </c>
      <c r="O70" s="61"/>
      <c r="P70" s="61"/>
      <c r="Q70" s="61"/>
      <c r="R70" s="84" t="s">
        <v>2737</v>
      </c>
      <c r="S70" s="61" t="s">
        <v>85</v>
      </c>
      <c r="T70" s="61" t="s">
        <v>1898</v>
      </c>
      <c r="U70" s="61" t="s">
        <v>1898</v>
      </c>
      <c r="V70" s="101" t="str">
        <f>VLOOKUP(B70,[2]Overall!$A:$D,4,0)</f>
        <v>H-TELI</v>
      </c>
      <c r="W70" s="101" t="str">
        <f>VLOOKUP(B70,[3]Sheet1!$A:$B,2,0)</f>
        <v>Logbong</v>
      </c>
      <c r="X70" s="88" t="str">
        <f t="shared" si="3"/>
        <v>LIT</v>
      </c>
      <c r="Y70" s="88" t="str">
        <f t="shared" si="4"/>
        <v>16H&lt;T&lt;24H</v>
      </c>
      <c r="Z70" s="101">
        <f t="shared" si="5"/>
        <v>6</v>
      </c>
      <c r="AA70" s="61"/>
      <c r="AB70" s="84" t="s">
        <v>1554</v>
      </c>
      <c r="AC70" s="105" t="s">
        <v>2730</v>
      </c>
      <c r="AD70" s="106" t="s">
        <v>1994</v>
      </c>
      <c r="AE70" s="61"/>
    </row>
    <row r="71" spans="1:31" ht="130.5" x14ac:dyDescent="0.35">
      <c r="A71" s="61" t="s">
        <v>2320</v>
      </c>
      <c r="B71" s="61" t="s">
        <v>2317</v>
      </c>
      <c r="C71" s="65"/>
      <c r="D71" s="61"/>
      <c r="E71" s="61" t="s">
        <v>1787</v>
      </c>
      <c r="F71" s="70" t="s">
        <v>53</v>
      </c>
      <c r="G71" s="70" t="s">
        <v>2121</v>
      </c>
      <c r="H71" s="67">
        <v>46179.757870370369</v>
      </c>
      <c r="I71" s="75">
        <v>0.80804432870354503</v>
      </c>
      <c r="J71" s="61"/>
      <c r="K71" s="61"/>
      <c r="L71" s="61"/>
      <c r="M71" s="61" t="s">
        <v>38</v>
      </c>
      <c r="N71" s="61" t="s">
        <v>2321</v>
      </c>
      <c r="O71" s="61"/>
      <c r="P71" s="61"/>
      <c r="Q71" s="61"/>
      <c r="R71" s="84" t="s">
        <v>2737</v>
      </c>
      <c r="S71" s="61" t="s">
        <v>85</v>
      </c>
      <c r="T71" s="61" t="s">
        <v>1898</v>
      </c>
      <c r="U71" s="61" t="s">
        <v>1898</v>
      </c>
      <c r="V71" s="101" t="str">
        <f>VLOOKUP(B71,[2]Overall!$A:$D,4,0)</f>
        <v>H-TELI</v>
      </c>
      <c r="W71" s="101" t="str">
        <f>VLOOKUP(B71,[3]Sheet1!$A:$B,2,0)</f>
        <v>Logbong</v>
      </c>
      <c r="X71" s="88" t="str">
        <f t="shared" si="3"/>
        <v>LIT</v>
      </c>
      <c r="Y71" s="88" t="str">
        <f t="shared" si="4"/>
        <v>16H&lt;T&lt;24H</v>
      </c>
      <c r="Z71" s="101">
        <f t="shared" si="5"/>
        <v>2</v>
      </c>
      <c r="AA71" s="61"/>
      <c r="AB71" s="84" t="s">
        <v>1554</v>
      </c>
      <c r="AC71" s="105" t="s">
        <v>2730</v>
      </c>
      <c r="AD71" s="106" t="s">
        <v>1994</v>
      </c>
      <c r="AE71" s="61"/>
    </row>
    <row r="72" spans="1:31" ht="87" x14ac:dyDescent="0.35">
      <c r="A72" s="61" t="s">
        <v>2676</v>
      </c>
      <c r="B72" s="61" t="s">
        <v>2673</v>
      </c>
      <c r="C72" s="65"/>
      <c r="D72" s="61"/>
      <c r="E72" s="61" t="s">
        <v>2695</v>
      </c>
      <c r="F72" s="70" t="s">
        <v>53</v>
      </c>
      <c r="G72" s="70" t="s">
        <v>2121</v>
      </c>
      <c r="H72" s="67">
        <v>46179.78361111111</v>
      </c>
      <c r="I72" s="75">
        <v>0.78230358796281507</v>
      </c>
      <c r="J72" s="61"/>
      <c r="K72" s="61"/>
      <c r="L72" s="61"/>
      <c r="M72" s="61" t="s">
        <v>2696</v>
      </c>
      <c r="N72" s="61" t="s">
        <v>2697</v>
      </c>
      <c r="O72" s="61"/>
      <c r="P72" s="61"/>
      <c r="Q72" s="61"/>
      <c r="R72" s="61" t="s">
        <v>2705</v>
      </c>
      <c r="S72" s="61" t="s">
        <v>51</v>
      </c>
      <c r="T72" s="61" t="s">
        <v>1898</v>
      </c>
      <c r="U72" s="61" t="s">
        <v>1898</v>
      </c>
      <c r="V72" s="101" t="str">
        <f>VLOOKUP(B72,[2]Overall!$A:$D,4,0)</f>
        <v xml:space="preserve">I-ENG </v>
      </c>
      <c r="W72" s="101" t="str">
        <f>VLOOKUP(B72,[3]Sheet1!$A:$B,2,0)</f>
        <v>Kiiki</v>
      </c>
      <c r="X72" s="88" t="str">
        <f t="shared" si="3"/>
        <v>CTR</v>
      </c>
      <c r="Y72" s="88" t="str">
        <f t="shared" si="4"/>
        <v>16H&lt;T&lt;24H</v>
      </c>
      <c r="Z72" s="101">
        <f t="shared" si="5"/>
        <v>2</v>
      </c>
      <c r="AA72" s="61"/>
      <c r="AB72" s="84" t="s">
        <v>1554</v>
      </c>
      <c r="AC72" s="105" t="s">
        <v>2730</v>
      </c>
      <c r="AD72" s="106" t="s">
        <v>1994</v>
      </c>
      <c r="AE72" s="61"/>
    </row>
    <row r="73" spans="1:31" ht="159.5" x14ac:dyDescent="0.35">
      <c r="A73" s="61" t="s">
        <v>2218</v>
      </c>
      <c r="B73" s="61" t="s">
        <v>2219</v>
      </c>
      <c r="C73" s="65"/>
      <c r="D73" s="61"/>
      <c r="E73" s="61" t="s">
        <v>2223</v>
      </c>
      <c r="F73" s="70" t="s">
        <v>53</v>
      </c>
      <c r="G73" s="70" t="s">
        <v>2121</v>
      </c>
      <c r="H73" s="67">
        <v>46179.860775462963</v>
      </c>
      <c r="I73" s="75">
        <v>0.70513923610997153</v>
      </c>
      <c r="J73" s="61"/>
      <c r="K73" s="61"/>
      <c r="L73" s="61"/>
      <c r="M73" s="61" t="s">
        <v>1730</v>
      </c>
      <c r="N73" s="61" t="s">
        <v>2224</v>
      </c>
      <c r="O73" s="61"/>
      <c r="P73" s="61"/>
      <c r="Q73" s="61"/>
      <c r="R73" s="61" t="s">
        <v>2706</v>
      </c>
      <c r="S73" s="61" t="s">
        <v>45</v>
      </c>
      <c r="T73" s="61" t="s">
        <v>1898</v>
      </c>
      <c r="U73" s="61" t="s">
        <v>1898</v>
      </c>
      <c r="V73" s="101" t="str">
        <f>VLOOKUP(B73,[2]Overall!$A:$D,4,0)</f>
        <v>TELEINFRA CENTRE</v>
      </c>
      <c r="W73" s="101" t="str">
        <f>VLOOKUP(B73,[3]Sheet1!$A:$B,2,0)</f>
        <v>Evodoula</v>
      </c>
      <c r="X73" s="88" t="str">
        <f t="shared" si="3"/>
        <v>CTR</v>
      </c>
      <c r="Y73" s="88" t="str">
        <f t="shared" si="4"/>
        <v>16H&lt;T&lt;24H</v>
      </c>
      <c r="Z73" s="101">
        <f t="shared" si="5"/>
        <v>2</v>
      </c>
      <c r="AA73" s="61"/>
      <c r="AB73" s="84" t="s">
        <v>1554</v>
      </c>
      <c r="AC73" s="105" t="s">
        <v>2730</v>
      </c>
      <c r="AD73" s="106" t="s">
        <v>1994</v>
      </c>
      <c r="AE73" s="61"/>
    </row>
    <row r="74" spans="1:31" ht="72.5" x14ac:dyDescent="0.35">
      <c r="A74" s="61" t="s">
        <v>2551</v>
      </c>
      <c r="B74" s="61" t="s">
        <v>2552</v>
      </c>
      <c r="C74" s="65"/>
      <c r="D74" s="61"/>
      <c r="E74" s="61" t="s">
        <v>1823</v>
      </c>
      <c r="F74" s="70" t="s">
        <v>53</v>
      </c>
      <c r="G74" s="70" t="s">
        <v>2121</v>
      </c>
      <c r="H74" s="67">
        <v>46180.005370370367</v>
      </c>
      <c r="I74" s="75">
        <v>0.56054432870587334</v>
      </c>
      <c r="J74" s="61"/>
      <c r="K74" s="61"/>
      <c r="L74" s="61"/>
      <c r="M74" s="61" t="s">
        <v>31</v>
      </c>
      <c r="N74" s="61" t="s">
        <v>2553</v>
      </c>
      <c r="O74" s="61"/>
      <c r="P74" s="61"/>
      <c r="Q74" s="61"/>
      <c r="R74" s="61" t="s">
        <v>2703</v>
      </c>
      <c r="S74" s="61" t="s">
        <v>40</v>
      </c>
      <c r="T74" s="61" t="s">
        <v>1898</v>
      </c>
      <c r="U74" s="61" t="s">
        <v>1898</v>
      </c>
      <c r="V74" s="101" t="str">
        <f>VLOOKUP(B74,[2]Overall!$A:$D,4,0)</f>
        <v>TELEINFRA NORD</v>
      </c>
      <c r="W74" s="101" t="str">
        <f>VLOOKUP(B74,[3]Sheet1!$A:$B,2,0)</f>
        <v>Bardake</v>
      </c>
      <c r="X74" s="88" t="str">
        <f t="shared" si="3"/>
        <v>NRD</v>
      </c>
      <c r="Y74" s="88" t="str">
        <f t="shared" si="4"/>
        <v>8H&lt;T&lt;16H</v>
      </c>
      <c r="Z74" s="101">
        <f t="shared" si="5"/>
        <v>2</v>
      </c>
      <c r="AA74" s="61"/>
      <c r="AB74" s="84" t="s">
        <v>1554</v>
      </c>
      <c r="AC74" s="105" t="s">
        <v>2730</v>
      </c>
      <c r="AD74" s="106" t="s">
        <v>1994</v>
      </c>
      <c r="AE74" s="61"/>
    </row>
    <row r="75" spans="1:31" ht="72.5" x14ac:dyDescent="0.35">
      <c r="A75" s="61" t="s">
        <v>2604</v>
      </c>
      <c r="B75" s="61" t="s">
        <v>2605</v>
      </c>
      <c r="C75" s="65"/>
      <c r="D75" s="61"/>
      <c r="E75" s="61" t="s">
        <v>2606</v>
      </c>
      <c r="F75" s="70" t="s">
        <v>53</v>
      </c>
      <c r="G75" s="70" t="s">
        <v>2121</v>
      </c>
      <c r="H75" s="67">
        <v>46180.25408564815</v>
      </c>
      <c r="I75" s="75">
        <v>0.31182905092282454</v>
      </c>
      <c r="J75" s="61"/>
      <c r="K75" s="61"/>
      <c r="L75" s="61"/>
      <c r="M75" s="61" t="s">
        <v>38</v>
      </c>
      <c r="N75" s="61" t="s">
        <v>2607</v>
      </c>
      <c r="O75" s="61"/>
      <c r="P75" s="61"/>
      <c r="Q75" s="61"/>
      <c r="R75" s="61" t="s">
        <v>2658</v>
      </c>
      <c r="S75" s="61" t="s">
        <v>40</v>
      </c>
      <c r="T75" s="61" t="s">
        <v>1898</v>
      </c>
      <c r="U75" s="61" t="s">
        <v>1898</v>
      </c>
      <c r="V75" s="101" t="str">
        <f>VLOOKUP(B75,[2]Overall!$A:$D,4,0)</f>
        <v>TELEINFRA NORD</v>
      </c>
      <c r="W75" s="101" t="str">
        <f>VLOOKUP(B75,[3]Sheet1!$A:$B,2,0)</f>
        <v>Nganha</v>
      </c>
      <c r="X75" s="88" t="str">
        <f t="shared" si="3"/>
        <v>ADM</v>
      </c>
      <c r="Y75" s="88" t="str">
        <f t="shared" si="4"/>
        <v>4H&lt;T&lt;8H</v>
      </c>
      <c r="Z75" s="101">
        <f t="shared" si="5"/>
        <v>2</v>
      </c>
      <c r="AA75" s="61"/>
      <c r="AB75" s="84" t="s">
        <v>1554</v>
      </c>
      <c r="AC75" s="105" t="s">
        <v>2730</v>
      </c>
      <c r="AD75" s="106" t="s">
        <v>1994</v>
      </c>
      <c r="AE75" s="61"/>
    </row>
    <row r="76" spans="1:31" ht="188.5" x14ac:dyDescent="0.35">
      <c r="A76" s="61" t="s">
        <v>1877</v>
      </c>
      <c r="B76" s="61" t="s">
        <v>1878</v>
      </c>
      <c r="C76" s="65"/>
      <c r="D76" s="61"/>
      <c r="E76" s="61" t="s">
        <v>49</v>
      </c>
      <c r="F76" s="70" t="s">
        <v>53</v>
      </c>
      <c r="G76" s="70" t="s">
        <v>2121</v>
      </c>
      <c r="H76" s="67">
        <v>46180.314571759256</v>
      </c>
      <c r="I76" s="75">
        <v>0.25134293981682276</v>
      </c>
      <c r="J76" s="61"/>
      <c r="K76" s="61"/>
      <c r="L76" s="61"/>
      <c r="M76" s="61" t="s">
        <v>38</v>
      </c>
      <c r="N76" s="61" t="s">
        <v>1943</v>
      </c>
      <c r="O76" s="61"/>
      <c r="P76" s="61"/>
      <c r="Q76" s="61"/>
      <c r="R76" s="61" t="s">
        <v>2627</v>
      </c>
      <c r="S76" s="61" t="s">
        <v>85</v>
      </c>
      <c r="T76" s="61" t="s">
        <v>1688</v>
      </c>
      <c r="U76" s="61" t="s">
        <v>1688</v>
      </c>
      <c r="V76" s="101" t="str">
        <f>VLOOKUP(B76,[2]Overall!$A:$D,4,0)</f>
        <v>H-TELI</v>
      </c>
      <c r="W76" s="101" t="str">
        <f>VLOOKUP(B76,[3]Sheet1!$A:$B,2,0)</f>
        <v>Massock-Songloulou</v>
      </c>
      <c r="X76" s="88" t="str">
        <f t="shared" si="3"/>
        <v>LIT</v>
      </c>
      <c r="Y76" s="88" t="str">
        <f t="shared" si="4"/>
        <v>4H&lt;T&lt;8H</v>
      </c>
      <c r="Z76" s="101">
        <f t="shared" si="5"/>
        <v>1</v>
      </c>
      <c r="AA76" s="61"/>
      <c r="AB76" s="84" t="s">
        <v>1554</v>
      </c>
      <c r="AC76" s="105" t="s">
        <v>2730</v>
      </c>
      <c r="AD76" s="106" t="s">
        <v>1994</v>
      </c>
      <c r="AE76" s="61"/>
    </row>
    <row r="77" spans="1:31" ht="145" x14ac:dyDescent="0.35">
      <c r="A77" s="61" t="s">
        <v>1807</v>
      </c>
      <c r="B77" s="61" t="s">
        <v>1808</v>
      </c>
      <c r="C77" s="65"/>
      <c r="D77" s="61"/>
      <c r="E77" s="61" t="s">
        <v>2446</v>
      </c>
      <c r="F77" s="70" t="s">
        <v>53</v>
      </c>
      <c r="G77" s="70" t="s">
        <v>2121</v>
      </c>
      <c r="H77" s="67">
        <v>46180.315520833334</v>
      </c>
      <c r="I77" s="75">
        <v>0.25039386573917</v>
      </c>
      <c r="J77" s="61"/>
      <c r="K77" s="61"/>
      <c r="L77" s="61"/>
      <c r="M77" s="61" t="s">
        <v>2053</v>
      </c>
      <c r="N77" s="61" t="s">
        <v>2054</v>
      </c>
      <c r="O77" s="61"/>
      <c r="P77" s="61"/>
      <c r="Q77" s="61"/>
      <c r="R77" s="61" t="s">
        <v>2622</v>
      </c>
      <c r="S77" s="61" t="s">
        <v>85</v>
      </c>
      <c r="T77" s="61" t="s">
        <v>1898</v>
      </c>
      <c r="U77" s="61" t="s">
        <v>1898</v>
      </c>
      <c r="V77" s="101" t="str">
        <f>VLOOKUP(B77,[2]Overall!$A:$D,4,0)</f>
        <v>H-TELI</v>
      </c>
      <c r="W77" s="101" t="str">
        <f>VLOOKUP(B77,[3]Sheet1!$A:$B,2,0)</f>
        <v>Songloulou</v>
      </c>
      <c r="X77" s="88" t="str">
        <f t="shared" si="3"/>
        <v>LIT</v>
      </c>
      <c r="Y77" s="88" t="str">
        <f t="shared" si="4"/>
        <v>4H&lt;T&lt;8H</v>
      </c>
      <c r="Z77" s="101">
        <f t="shared" si="5"/>
        <v>1</v>
      </c>
      <c r="AA77" s="61"/>
      <c r="AB77" s="84" t="s">
        <v>1554</v>
      </c>
      <c r="AC77" s="105" t="s">
        <v>2730</v>
      </c>
      <c r="AD77" s="106" t="s">
        <v>1994</v>
      </c>
      <c r="AE77" s="61"/>
    </row>
    <row r="78" spans="1:31" ht="145" x14ac:dyDescent="0.35">
      <c r="A78" s="61" t="s">
        <v>1807</v>
      </c>
      <c r="B78" s="61" t="s">
        <v>1808</v>
      </c>
      <c r="C78" s="65"/>
      <c r="D78" s="61"/>
      <c r="E78" s="61" t="s">
        <v>1812</v>
      </c>
      <c r="F78" s="70" t="s">
        <v>53</v>
      </c>
      <c r="G78" s="70" t="s">
        <v>2121</v>
      </c>
      <c r="H78" s="67">
        <v>46180.329953703702</v>
      </c>
      <c r="I78" s="75">
        <v>0.2359609953709878</v>
      </c>
      <c r="J78" s="61"/>
      <c r="K78" s="61"/>
      <c r="L78" s="61"/>
      <c r="M78" s="61" t="s">
        <v>41</v>
      </c>
      <c r="N78" s="61" t="s">
        <v>42</v>
      </c>
      <c r="O78" s="61"/>
      <c r="P78" s="61"/>
      <c r="Q78" s="61"/>
      <c r="R78" s="61" t="s">
        <v>2622</v>
      </c>
      <c r="S78" s="61" t="s">
        <v>85</v>
      </c>
      <c r="T78" s="61" t="s">
        <v>1898</v>
      </c>
      <c r="U78" s="61" t="s">
        <v>1898</v>
      </c>
      <c r="V78" s="101" t="str">
        <f>VLOOKUP(B78,[2]Overall!$A:$D,4,0)</f>
        <v>H-TELI</v>
      </c>
      <c r="W78" s="101" t="str">
        <f>VLOOKUP(B78,[3]Sheet1!$A:$B,2,0)</f>
        <v>Songloulou</v>
      </c>
      <c r="X78" s="88" t="str">
        <f t="shared" si="3"/>
        <v>LIT</v>
      </c>
      <c r="Y78" s="88" t="str">
        <f t="shared" si="4"/>
        <v>4H&lt;T&lt;8H</v>
      </c>
      <c r="Z78" s="101">
        <f t="shared" si="5"/>
        <v>1</v>
      </c>
      <c r="AA78" s="61"/>
      <c r="AB78" s="84" t="s">
        <v>1554</v>
      </c>
      <c r="AC78" s="105" t="s">
        <v>2730</v>
      </c>
      <c r="AD78" s="106" t="s">
        <v>1994</v>
      </c>
      <c r="AE78" s="61"/>
    </row>
    <row r="79" spans="1:31" ht="145" x14ac:dyDescent="0.35">
      <c r="A79" s="61" t="s">
        <v>1807</v>
      </c>
      <c r="B79" s="61" t="s">
        <v>1808</v>
      </c>
      <c r="C79" s="65"/>
      <c r="D79" s="61"/>
      <c r="E79" s="61" t="s">
        <v>1813</v>
      </c>
      <c r="F79" s="70" t="s">
        <v>53</v>
      </c>
      <c r="G79" s="70" t="s">
        <v>2121</v>
      </c>
      <c r="H79" s="67">
        <v>46180.329965277779</v>
      </c>
      <c r="I79" s="75">
        <v>0.23594942129420815</v>
      </c>
      <c r="J79" s="61"/>
      <c r="K79" s="61"/>
      <c r="L79" s="61"/>
      <c r="M79" s="61" t="s">
        <v>41</v>
      </c>
      <c r="N79" s="61" t="s">
        <v>42</v>
      </c>
      <c r="O79" s="61"/>
      <c r="P79" s="61"/>
      <c r="Q79" s="61"/>
      <c r="R79" s="61" t="s">
        <v>2622</v>
      </c>
      <c r="S79" s="61" t="s">
        <v>85</v>
      </c>
      <c r="T79" s="61" t="s">
        <v>1898</v>
      </c>
      <c r="U79" s="61" t="s">
        <v>1898</v>
      </c>
      <c r="V79" s="101" t="str">
        <f>VLOOKUP(B79,[2]Overall!$A:$D,4,0)</f>
        <v>H-TELI</v>
      </c>
      <c r="W79" s="101" t="str">
        <f>VLOOKUP(B79,[3]Sheet1!$A:$B,2,0)</f>
        <v>Songloulou</v>
      </c>
      <c r="X79" s="88" t="str">
        <f t="shared" si="3"/>
        <v>LIT</v>
      </c>
      <c r="Y79" s="88" t="str">
        <f t="shared" si="4"/>
        <v>4H&lt;T&lt;8H</v>
      </c>
      <c r="Z79" s="101">
        <f t="shared" si="5"/>
        <v>1</v>
      </c>
      <c r="AA79" s="61"/>
      <c r="AB79" s="84" t="s">
        <v>1554</v>
      </c>
      <c r="AC79" s="105" t="s">
        <v>2730</v>
      </c>
      <c r="AD79" s="106" t="s">
        <v>1994</v>
      </c>
      <c r="AE79" s="61"/>
    </row>
    <row r="80" spans="1:31" ht="145" x14ac:dyDescent="0.35">
      <c r="A80" s="61" t="s">
        <v>1807</v>
      </c>
      <c r="B80" s="61" t="s">
        <v>1808</v>
      </c>
      <c r="C80" s="65"/>
      <c r="D80" s="61"/>
      <c r="E80" s="61" t="s">
        <v>2700</v>
      </c>
      <c r="F80" s="70" t="s">
        <v>53</v>
      </c>
      <c r="G80" s="70" t="s">
        <v>2121</v>
      </c>
      <c r="H80" s="67">
        <v>46180.330787037034</v>
      </c>
      <c r="I80" s="75">
        <v>0.23512766203930369</v>
      </c>
      <c r="J80" s="61"/>
      <c r="K80" s="61"/>
      <c r="L80" s="61"/>
      <c r="M80" s="61" t="s">
        <v>1686</v>
      </c>
      <c r="N80" s="61" t="s">
        <v>2701</v>
      </c>
      <c r="O80" s="61"/>
      <c r="P80" s="61"/>
      <c r="Q80" s="61"/>
      <c r="R80" s="61" t="s">
        <v>2622</v>
      </c>
      <c r="S80" s="61" t="s">
        <v>85</v>
      </c>
      <c r="T80" s="61" t="s">
        <v>1898</v>
      </c>
      <c r="U80" s="61" t="s">
        <v>1898</v>
      </c>
      <c r="V80" s="101" t="str">
        <f>VLOOKUP(B80,[2]Overall!$A:$D,4,0)</f>
        <v>H-TELI</v>
      </c>
      <c r="W80" s="101" t="str">
        <f>VLOOKUP(B80,[3]Sheet1!$A:$B,2,0)</f>
        <v>Songloulou</v>
      </c>
      <c r="X80" s="88" t="str">
        <f t="shared" si="3"/>
        <v>LIT</v>
      </c>
      <c r="Y80" s="88" t="str">
        <f t="shared" si="4"/>
        <v>4H&lt;T&lt;8H</v>
      </c>
      <c r="Z80" s="101">
        <f t="shared" si="5"/>
        <v>6</v>
      </c>
      <c r="AA80" s="61"/>
      <c r="AB80" s="84" t="s">
        <v>1554</v>
      </c>
      <c r="AC80" s="105" t="s">
        <v>2730</v>
      </c>
      <c r="AD80" s="106" t="s">
        <v>1994</v>
      </c>
      <c r="AE80" s="61"/>
    </row>
    <row r="81" spans="1:31" ht="159.5" x14ac:dyDescent="0.35">
      <c r="A81" s="61" t="s">
        <v>2710</v>
      </c>
      <c r="B81" s="61" t="s">
        <v>2711</v>
      </c>
      <c r="C81" s="65"/>
      <c r="D81" s="61"/>
      <c r="E81" s="61" t="s">
        <v>39</v>
      </c>
      <c r="F81" s="70" t="s">
        <v>53</v>
      </c>
      <c r="G81" s="70" t="s">
        <v>2121</v>
      </c>
      <c r="H81" s="67">
        <v>46180.433206018519</v>
      </c>
      <c r="I81" s="75">
        <v>0.13270868055406027</v>
      </c>
      <c r="J81" s="61"/>
      <c r="K81" s="61"/>
      <c r="L81" s="61"/>
      <c r="M81" s="61" t="s">
        <v>1707</v>
      </c>
      <c r="N81" s="61" t="s">
        <v>2712</v>
      </c>
      <c r="O81" s="61"/>
      <c r="P81" s="61"/>
      <c r="Q81" s="61"/>
      <c r="R81" s="84" t="s">
        <v>2731</v>
      </c>
      <c r="S81" s="61" t="s">
        <v>51</v>
      </c>
      <c r="T81" s="61" t="s">
        <v>1898</v>
      </c>
      <c r="U81" s="61" t="s">
        <v>1898</v>
      </c>
      <c r="V81" s="101" t="str">
        <f>VLOOKUP(B81,[2]Overall!$A:$D,4,0)</f>
        <v>TELEINFRA NORD</v>
      </c>
      <c r="W81" s="101" t="str">
        <f>VLOOKUP(B81,[3]Sheet1!$A:$B,2,0)</f>
        <v>Matafal</v>
      </c>
      <c r="X81" s="88" t="str">
        <f t="shared" si="3"/>
        <v>EXN</v>
      </c>
      <c r="Y81" s="88" t="str">
        <f t="shared" si="4"/>
        <v>2H&lt;T&lt;4H</v>
      </c>
      <c r="Z81" s="101">
        <f t="shared" si="5"/>
        <v>1</v>
      </c>
      <c r="AA81" s="61"/>
      <c r="AB81" s="84" t="s">
        <v>1555</v>
      </c>
      <c r="AC81" s="105" t="s">
        <v>2730</v>
      </c>
      <c r="AD81" s="106" t="s">
        <v>1994</v>
      </c>
      <c r="AE81" s="61"/>
    </row>
    <row r="82" spans="1:31" ht="101.5" x14ac:dyDescent="0.35">
      <c r="A82" s="61" t="s">
        <v>2710</v>
      </c>
      <c r="B82" s="61" t="s">
        <v>2711</v>
      </c>
      <c r="C82" s="65"/>
      <c r="D82" s="61"/>
      <c r="E82" s="61" t="s">
        <v>2713</v>
      </c>
      <c r="F82" s="70" t="s">
        <v>53</v>
      </c>
      <c r="G82" s="70" t="s">
        <v>2121</v>
      </c>
      <c r="H82" s="67">
        <v>46180.435312499998</v>
      </c>
      <c r="I82" s="75">
        <v>0.13060219907492865</v>
      </c>
      <c r="J82" s="61"/>
      <c r="K82" s="61"/>
      <c r="L82" s="61"/>
      <c r="M82" s="61" t="s">
        <v>31</v>
      </c>
      <c r="N82" s="61" t="s">
        <v>2714</v>
      </c>
      <c r="O82" s="61"/>
      <c r="P82" s="61"/>
      <c r="Q82" s="61"/>
      <c r="R82" s="84" t="s">
        <v>2731</v>
      </c>
      <c r="S82" s="61" t="s">
        <v>51</v>
      </c>
      <c r="T82" s="61" t="s">
        <v>1898</v>
      </c>
      <c r="U82" s="61" t="s">
        <v>1898</v>
      </c>
      <c r="V82" s="101" t="str">
        <f>VLOOKUP(B82,[2]Overall!$A:$D,4,0)</f>
        <v>TELEINFRA NORD</v>
      </c>
      <c r="W82" s="101" t="str">
        <f>VLOOKUP(B82,[3]Sheet1!$A:$B,2,0)</f>
        <v>Matafal</v>
      </c>
      <c r="X82" s="88" t="str">
        <f t="shared" si="3"/>
        <v>EXN</v>
      </c>
      <c r="Y82" s="88" t="str">
        <f t="shared" si="4"/>
        <v>2H&lt;T&lt;4H</v>
      </c>
      <c r="Z82" s="101">
        <f t="shared" si="5"/>
        <v>9</v>
      </c>
      <c r="AA82" s="61"/>
      <c r="AB82" s="84" t="s">
        <v>1555</v>
      </c>
      <c r="AC82" s="105" t="s">
        <v>2730</v>
      </c>
      <c r="AD82" s="106" t="s">
        <v>1994</v>
      </c>
      <c r="AE82" s="61"/>
    </row>
    <row r="83" spans="1:31" ht="130.5" x14ac:dyDescent="0.35">
      <c r="A83" s="61" t="s">
        <v>2710</v>
      </c>
      <c r="B83" s="61" t="s">
        <v>2711</v>
      </c>
      <c r="C83" s="65"/>
      <c r="D83" s="61"/>
      <c r="E83" s="61" t="s">
        <v>39</v>
      </c>
      <c r="F83" s="70" t="s">
        <v>53</v>
      </c>
      <c r="G83" s="70" t="s">
        <v>2121</v>
      </c>
      <c r="H83" s="67">
        <v>46180.435636574075</v>
      </c>
      <c r="I83" s="75">
        <v>0.13027812499785796</v>
      </c>
      <c r="J83" s="61"/>
      <c r="K83" s="61"/>
      <c r="L83" s="61"/>
      <c r="M83" s="61" t="s">
        <v>1769</v>
      </c>
      <c r="N83" s="61" t="s">
        <v>2715</v>
      </c>
      <c r="O83" s="61"/>
      <c r="P83" s="61"/>
      <c r="Q83" s="61"/>
      <c r="R83" s="84" t="s">
        <v>2731</v>
      </c>
      <c r="S83" s="61" t="s">
        <v>51</v>
      </c>
      <c r="T83" s="61" t="s">
        <v>1898</v>
      </c>
      <c r="U83" s="61" t="s">
        <v>1898</v>
      </c>
      <c r="V83" s="101" t="str">
        <f>VLOOKUP(B83,[2]Overall!$A:$D,4,0)</f>
        <v>TELEINFRA NORD</v>
      </c>
      <c r="W83" s="101" t="str">
        <f>VLOOKUP(B83,[3]Sheet1!$A:$B,2,0)</f>
        <v>Matafal</v>
      </c>
      <c r="X83" s="88" t="str">
        <f t="shared" si="3"/>
        <v>EXN</v>
      </c>
      <c r="Y83" s="88" t="str">
        <f t="shared" si="4"/>
        <v>2H&lt;T&lt;4H</v>
      </c>
      <c r="Z83" s="101">
        <f t="shared" si="5"/>
        <v>1</v>
      </c>
      <c r="AA83" s="61"/>
      <c r="AB83" s="84" t="s">
        <v>1555</v>
      </c>
      <c r="AC83" s="105" t="s">
        <v>2730</v>
      </c>
      <c r="AD83" s="106" t="s">
        <v>1994</v>
      </c>
      <c r="AE83" s="61"/>
    </row>
    <row r="84" spans="1:31" ht="174" x14ac:dyDescent="0.35">
      <c r="A84" s="61" t="s">
        <v>1795</v>
      </c>
      <c r="B84" s="61" t="s">
        <v>1796</v>
      </c>
      <c r="C84" s="65"/>
      <c r="D84" s="61"/>
      <c r="E84" s="61" t="s">
        <v>2698</v>
      </c>
      <c r="F84" s="70" t="s">
        <v>53</v>
      </c>
      <c r="G84" s="70" t="s">
        <v>2121</v>
      </c>
      <c r="H84" s="67">
        <v>46180.505752314813</v>
      </c>
      <c r="I84" s="75">
        <v>6.0162384259456303E-2</v>
      </c>
      <c r="J84" s="61"/>
      <c r="K84" s="61"/>
      <c r="L84" s="61"/>
      <c r="M84" s="61" t="s">
        <v>46</v>
      </c>
      <c r="N84" s="61" t="s">
        <v>2699</v>
      </c>
      <c r="O84" s="61"/>
      <c r="P84" s="61"/>
      <c r="Q84" s="61"/>
      <c r="R84" s="61" t="s">
        <v>2655</v>
      </c>
      <c r="S84" s="61" t="s">
        <v>40</v>
      </c>
      <c r="T84" s="61" t="s">
        <v>1899</v>
      </c>
      <c r="U84" s="61" t="s">
        <v>1899</v>
      </c>
      <c r="V84" s="101" t="str">
        <f>VLOOKUP(B84,[2]Overall!$A:$D,4,0)</f>
        <v>TELEINFRA NORD</v>
      </c>
      <c r="W84" s="101" t="str">
        <f>VLOOKUP(B84,[3]Sheet1!$A:$B,2,0)</f>
        <v>Bagarao</v>
      </c>
      <c r="X84" s="88" t="str">
        <f t="shared" si="3"/>
        <v>EXN</v>
      </c>
      <c r="Y84" s="88" t="str">
        <f t="shared" si="4"/>
        <v>1H&lt;T&lt;2H</v>
      </c>
      <c r="Z84" s="101">
        <f t="shared" si="5"/>
        <v>1</v>
      </c>
      <c r="AA84" s="61"/>
      <c r="AB84" s="84" t="s">
        <v>1554</v>
      </c>
      <c r="AC84" s="105" t="s">
        <v>2730</v>
      </c>
      <c r="AD84" s="106" t="s">
        <v>1994</v>
      </c>
      <c r="AE84" s="61"/>
    </row>
    <row r="85" spans="1:31" ht="87" x14ac:dyDescent="0.35">
      <c r="A85" s="61" t="s">
        <v>2716</v>
      </c>
      <c r="B85" s="61" t="s">
        <v>2717</v>
      </c>
      <c r="C85" s="65"/>
      <c r="D85" s="61"/>
      <c r="E85" s="61" t="s">
        <v>2718</v>
      </c>
      <c r="F85" s="70" t="s">
        <v>53</v>
      </c>
      <c r="G85" s="70" t="s">
        <v>2121</v>
      </c>
      <c r="H85" s="67">
        <v>46180.530543981484</v>
      </c>
      <c r="I85" s="75">
        <v>3.5370717589103151E-2</v>
      </c>
      <c r="J85" s="61"/>
      <c r="K85" s="61"/>
      <c r="L85" s="61"/>
      <c r="M85" s="61" t="s">
        <v>41</v>
      </c>
      <c r="N85" s="61" t="s">
        <v>42</v>
      </c>
      <c r="O85" s="61"/>
      <c r="P85" s="61"/>
      <c r="Q85" s="61"/>
      <c r="R85" s="84" t="s">
        <v>2731</v>
      </c>
      <c r="S85" s="61" t="s">
        <v>51</v>
      </c>
      <c r="T85" s="61" t="s">
        <v>1898</v>
      </c>
      <c r="U85" s="61" t="s">
        <v>1898</v>
      </c>
      <c r="V85" s="101" t="str">
        <f>VLOOKUP(B85,[2]Overall!$A:$D,4,0)</f>
        <v xml:space="preserve">I-ENG </v>
      </c>
      <c r="W85" s="101" t="str">
        <f>VLOOKUP(B85,[3]Sheet1!$A:$B,2,0)</f>
        <v>Mbonso</v>
      </c>
      <c r="X85" s="88" t="str">
        <f t="shared" si="3"/>
        <v>NRO</v>
      </c>
      <c r="Y85" s="88" t="str">
        <f t="shared" si="4"/>
        <v>T&lt;1H</v>
      </c>
      <c r="Z85" s="101">
        <f t="shared" si="5"/>
        <v>1</v>
      </c>
      <c r="AA85" s="61"/>
      <c r="AB85" s="84" t="s">
        <v>1555</v>
      </c>
      <c r="AC85" s="105" t="s">
        <v>2730</v>
      </c>
      <c r="AD85" s="106" t="s">
        <v>1994</v>
      </c>
      <c r="AE85" s="61"/>
    </row>
    <row r="86" spans="1:31" ht="87" x14ac:dyDescent="0.35">
      <c r="A86" s="61" t="s">
        <v>2716</v>
      </c>
      <c r="B86" s="61" t="s">
        <v>2717</v>
      </c>
      <c r="C86" s="65"/>
      <c r="D86" s="61"/>
      <c r="E86" s="61" t="s">
        <v>2719</v>
      </c>
      <c r="F86" s="70" t="s">
        <v>53</v>
      </c>
      <c r="G86" s="70" t="s">
        <v>2121</v>
      </c>
      <c r="H86" s="67">
        <v>46180.530543981484</v>
      </c>
      <c r="I86" s="75">
        <v>3.5370717589103151E-2</v>
      </c>
      <c r="J86" s="61"/>
      <c r="K86" s="61"/>
      <c r="L86" s="61"/>
      <c r="M86" s="61" t="s">
        <v>41</v>
      </c>
      <c r="N86" s="61" t="s">
        <v>42</v>
      </c>
      <c r="O86" s="61"/>
      <c r="P86" s="61"/>
      <c r="Q86" s="61"/>
      <c r="R86" s="84" t="s">
        <v>2731</v>
      </c>
      <c r="S86" s="61" t="s">
        <v>51</v>
      </c>
      <c r="T86" s="61" t="s">
        <v>1898</v>
      </c>
      <c r="U86" s="61" t="s">
        <v>1898</v>
      </c>
      <c r="V86" s="101" t="str">
        <f>VLOOKUP(B86,[2]Overall!$A:$D,4,0)</f>
        <v xml:space="preserve">I-ENG </v>
      </c>
      <c r="W86" s="101" t="str">
        <f>VLOOKUP(B86,[3]Sheet1!$A:$B,2,0)</f>
        <v>Mbonso</v>
      </c>
      <c r="X86" s="88" t="str">
        <f t="shared" si="3"/>
        <v>NRO</v>
      </c>
      <c r="Y86" s="88" t="str">
        <f t="shared" si="4"/>
        <v>T&lt;1H</v>
      </c>
      <c r="Z86" s="101">
        <f t="shared" si="5"/>
        <v>1</v>
      </c>
      <c r="AA86" s="61"/>
      <c r="AB86" s="84" t="s">
        <v>1555</v>
      </c>
      <c r="AC86" s="105" t="s">
        <v>2730</v>
      </c>
      <c r="AD86" s="106" t="s">
        <v>1994</v>
      </c>
      <c r="AE86" s="61"/>
    </row>
    <row r="87" spans="1:31" ht="87" x14ac:dyDescent="0.35">
      <c r="A87" s="61" t="s">
        <v>2716</v>
      </c>
      <c r="B87" s="61" t="s">
        <v>2717</v>
      </c>
      <c r="C87" s="65"/>
      <c r="D87" s="61"/>
      <c r="E87" s="61" t="s">
        <v>2720</v>
      </c>
      <c r="F87" s="70" t="s">
        <v>53</v>
      </c>
      <c r="G87" s="70" t="s">
        <v>2121</v>
      </c>
      <c r="H87" s="67">
        <v>46180.530543981484</v>
      </c>
      <c r="I87" s="75">
        <v>3.5370717589103151E-2</v>
      </c>
      <c r="J87" s="61"/>
      <c r="K87" s="61"/>
      <c r="L87" s="61"/>
      <c r="M87" s="61" t="s">
        <v>41</v>
      </c>
      <c r="N87" s="61" t="s">
        <v>42</v>
      </c>
      <c r="O87" s="61"/>
      <c r="P87" s="61"/>
      <c r="Q87" s="61"/>
      <c r="R87" s="84" t="s">
        <v>2731</v>
      </c>
      <c r="S87" s="61" t="s">
        <v>51</v>
      </c>
      <c r="T87" s="61" t="s">
        <v>1898</v>
      </c>
      <c r="U87" s="61" t="s">
        <v>1898</v>
      </c>
      <c r="V87" s="101" t="str">
        <f>VLOOKUP(B87,[2]Overall!$A:$D,4,0)</f>
        <v xml:space="preserve">I-ENG </v>
      </c>
      <c r="W87" s="101" t="str">
        <f>VLOOKUP(B87,[3]Sheet1!$A:$B,2,0)</f>
        <v>Mbonso</v>
      </c>
      <c r="X87" s="88" t="str">
        <f t="shared" si="3"/>
        <v>NRO</v>
      </c>
      <c r="Y87" s="88" t="str">
        <f t="shared" si="4"/>
        <v>T&lt;1H</v>
      </c>
      <c r="Z87" s="101">
        <f t="shared" si="5"/>
        <v>1</v>
      </c>
      <c r="AA87" s="61"/>
      <c r="AB87" s="84" t="s">
        <v>1555</v>
      </c>
      <c r="AC87" s="105" t="s">
        <v>2730</v>
      </c>
      <c r="AD87" s="106" t="s">
        <v>1994</v>
      </c>
      <c r="AE87" s="61"/>
    </row>
    <row r="88" spans="1:31" ht="87" x14ac:dyDescent="0.35">
      <c r="A88" s="61" t="s">
        <v>2716</v>
      </c>
      <c r="B88" s="61" t="s">
        <v>2717</v>
      </c>
      <c r="C88" s="65"/>
      <c r="D88" s="61"/>
      <c r="E88" s="61" t="s">
        <v>2721</v>
      </c>
      <c r="F88" s="70" t="s">
        <v>53</v>
      </c>
      <c r="G88" s="70" t="s">
        <v>2121</v>
      </c>
      <c r="H88" s="67">
        <v>46180.530543981484</v>
      </c>
      <c r="I88" s="75">
        <v>3.5370717589103151E-2</v>
      </c>
      <c r="J88" s="61"/>
      <c r="K88" s="61"/>
      <c r="L88" s="61"/>
      <c r="M88" s="61" t="s">
        <v>41</v>
      </c>
      <c r="N88" s="61" t="s">
        <v>42</v>
      </c>
      <c r="O88" s="61"/>
      <c r="P88" s="61"/>
      <c r="Q88" s="61"/>
      <c r="R88" s="84" t="s">
        <v>2731</v>
      </c>
      <c r="S88" s="61" t="s">
        <v>51</v>
      </c>
      <c r="T88" s="61" t="s">
        <v>1898</v>
      </c>
      <c r="U88" s="61" t="s">
        <v>1898</v>
      </c>
      <c r="V88" s="101" t="str">
        <f>VLOOKUP(B88,[2]Overall!$A:$D,4,0)</f>
        <v xml:space="preserve">I-ENG </v>
      </c>
      <c r="W88" s="101" t="str">
        <f>VLOOKUP(B88,[3]Sheet1!$A:$B,2,0)</f>
        <v>Mbonso</v>
      </c>
      <c r="X88" s="88" t="str">
        <f t="shared" si="3"/>
        <v>NRO</v>
      </c>
      <c r="Y88" s="88" t="str">
        <f t="shared" si="4"/>
        <v>T&lt;1H</v>
      </c>
      <c r="Z88" s="101">
        <f t="shared" si="5"/>
        <v>1</v>
      </c>
      <c r="AA88" s="61"/>
      <c r="AB88" s="84" t="s">
        <v>1555</v>
      </c>
      <c r="AC88" s="105" t="s">
        <v>2730</v>
      </c>
      <c r="AD88" s="106" t="s">
        <v>1994</v>
      </c>
      <c r="AE88" s="61"/>
    </row>
    <row r="89" spans="1:31" ht="87" x14ac:dyDescent="0.35">
      <c r="A89" s="61" t="s">
        <v>2716</v>
      </c>
      <c r="B89" s="61" t="s">
        <v>2717</v>
      </c>
      <c r="C89" s="65"/>
      <c r="D89" s="61"/>
      <c r="E89" s="61" t="s">
        <v>2722</v>
      </c>
      <c r="F89" s="70" t="s">
        <v>53</v>
      </c>
      <c r="G89" s="70" t="s">
        <v>2121</v>
      </c>
      <c r="H89" s="67">
        <v>46180.530543981484</v>
      </c>
      <c r="I89" s="75">
        <v>3.5370717589103151E-2</v>
      </c>
      <c r="J89" s="61"/>
      <c r="K89" s="61"/>
      <c r="L89" s="61"/>
      <c r="M89" s="61" t="s">
        <v>41</v>
      </c>
      <c r="N89" s="61" t="s">
        <v>42</v>
      </c>
      <c r="O89" s="61"/>
      <c r="P89" s="61"/>
      <c r="Q89" s="61"/>
      <c r="R89" s="84" t="s">
        <v>2731</v>
      </c>
      <c r="S89" s="61" t="s">
        <v>51</v>
      </c>
      <c r="T89" s="61" t="s">
        <v>1898</v>
      </c>
      <c r="U89" s="61" t="s">
        <v>1898</v>
      </c>
      <c r="V89" s="101" t="str">
        <f>VLOOKUP(B89,[2]Overall!$A:$D,4,0)</f>
        <v xml:space="preserve">I-ENG </v>
      </c>
      <c r="W89" s="101" t="str">
        <f>VLOOKUP(B89,[3]Sheet1!$A:$B,2,0)</f>
        <v>Mbonso</v>
      </c>
      <c r="X89" s="88" t="str">
        <f t="shared" si="3"/>
        <v>NRO</v>
      </c>
      <c r="Y89" s="88" t="str">
        <f t="shared" si="4"/>
        <v>T&lt;1H</v>
      </c>
      <c r="Z89" s="101">
        <f t="shared" si="5"/>
        <v>1</v>
      </c>
      <c r="AA89" s="61"/>
      <c r="AB89" s="84" t="s">
        <v>1555</v>
      </c>
      <c r="AC89" s="105" t="s">
        <v>2730</v>
      </c>
      <c r="AD89" s="106" t="s">
        <v>1994</v>
      </c>
      <c r="AE89" s="61"/>
    </row>
    <row r="90" spans="1:31" ht="87" x14ac:dyDescent="0.35">
      <c r="A90" s="61" t="s">
        <v>2716</v>
      </c>
      <c r="B90" s="61" t="s">
        <v>2717</v>
      </c>
      <c r="C90" s="65"/>
      <c r="D90" s="61"/>
      <c r="E90" s="61" t="s">
        <v>2723</v>
      </c>
      <c r="F90" s="70" t="s">
        <v>53</v>
      </c>
      <c r="G90" s="70" t="s">
        <v>2121</v>
      </c>
      <c r="H90" s="67">
        <v>46180.530543981484</v>
      </c>
      <c r="I90" s="75">
        <v>3.5370717589103151E-2</v>
      </c>
      <c r="J90" s="61"/>
      <c r="K90" s="61"/>
      <c r="L90" s="61"/>
      <c r="M90" s="61" t="s">
        <v>41</v>
      </c>
      <c r="N90" s="61" t="s">
        <v>42</v>
      </c>
      <c r="O90" s="61"/>
      <c r="P90" s="61"/>
      <c r="Q90" s="61"/>
      <c r="R90" s="84" t="s">
        <v>2731</v>
      </c>
      <c r="S90" s="61" t="s">
        <v>51</v>
      </c>
      <c r="T90" s="61" t="s">
        <v>1898</v>
      </c>
      <c r="U90" s="61" t="s">
        <v>1898</v>
      </c>
      <c r="V90" s="101" t="str">
        <f>VLOOKUP(B90,[2]Overall!$A:$D,4,0)</f>
        <v xml:space="preserve">I-ENG </v>
      </c>
      <c r="W90" s="101" t="str">
        <f>VLOOKUP(B90,[3]Sheet1!$A:$B,2,0)</f>
        <v>Mbonso</v>
      </c>
      <c r="X90" s="88" t="str">
        <f t="shared" si="3"/>
        <v>NRO</v>
      </c>
      <c r="Y90" s="88" t="str">
        <f t="shared" si="4"/>
        <v>T&lt;1H</v>
      </c>
      <c r="Z90" s="101">
        <f t="shared" si="5"/>
        <v>1</v>
      </c>
      <c r="AA90" s="61"/>
      <c r="AB90" s="84" t="s">
        <v>1555</v>
      </c>
      <c r="AC90" s="105" t="s">
        <v>2730</v>
      </c>
      <c r="AD90" s="106" t="s">
        <v>1994</v>
      </c>
      <c r="AE90" s="61"/>
    </row>
    <row r="91" spans="1:31" ht="87" x14ac:dyDescent="0.35">
      <c r="A91" s="61" t="s">
        <v>2716</v>
      </c>
      <c r="B91" s="61" t="s">
        <v>2717</v>
      </c>
      <c r="C91" s="65"/>
      <c r="D91" s="61"/>
      <c r="E91" s="61" t="s">
        <v>2724</v>
      </c>
      <c r="F91" s="70" t="s">
        <v>53</v>
      </c>
      <c r="G91" s="70" t="s">
        <v>2121</v>
      </c>
      <c r="H91" s="67">
        <v>46180.530543981484</v>
      </c>
      <c r="I91" s="75">
        <v>3.5370717589103151E-2</v>
      </c>
      <c r="J91" s="61"/>
      <c r="K91" s="61"/>
      <c r="L91" s="61"/>
      <c r="M91" s="61" t="s">
        <v>41</v>
      </c>
      <c r="N91" s="61" t="s">
        <v>42</v>
      </c>
      <c r="O91" s="61"/>
      <c r="P91" s="61"/>
      <c r="Q91" s="61"/>
      <c r="R91" s="84" t="s">
        <v>2731</v>
      </c>
      <c r="S91" s="61" t="s">
        <v>51</v>
      </c>
      <c r="T91" s="61" t="s">
        <v>1898</v>
      </c>
      <c r="U91" s="61" t="s">
        <v>1898</v>
      </c>
      <c r="V91" s="101" t="str">
        <f>VLOOKUP(B91,[2]Overall!$A:$D,4,0)</f>
        <v xml:space="preserve">I-ENG </v>
      </c>
      <c r="W91" s="101" t="str">
        <f>VLOOKUP(B91,[3]Sheet1!$A:$B,2,0)</f>
        <v>Mbonso</v>
      </c>
      <c r="X91" s="88" t="str">
        <f t="shared" si="3"/>
        <v>NRO</v>
      </c>
      <c r="Y91" s="88" t="str">
        <f t="shared" si="4"/>
        <v>T&lt;1H</v>
      </c>
      <c r="Z91" s="101">
        <f t="shared" si="5"/>
        <v>1</v>
      </c>
      <c r="AA91" s="61"/>
      <c r="AB91" s="84" t="s">
        <v>1555</v>
      </c>
      <c r="AC91" s="105" t="s">
        <v>2730</v>
      </c>
      <c r="AD91" s="106" t="s">
        <v>1994</v>
      </c>
      <c r="AE91" s="61"/>
    </row>
    <row r="92" spans="1:31" ht="87" x14ac:dyDescent="0.35">
      <c r="A92" s="61" t="s">
        <v>2716</v>
      </c>
      <c r="B92" s="61" t="s">
        <v>2717</v>
      </c>
      <c r="C92" s="65"/>
      <c r="D92" s="61"/>
      <c r="E92" s="61" t="s">
        <v>2725</v>
      </c>
      <c r="F92" s="70" t="s">
        <v>53</v>
      </c>
      <c r="G92" s="70" t="s">
        <v>2121</v>
      </c>
      <c r="H92" s="67">
        <v>46180.530532407407</v>
      </c>
      <c r="I92" s="75">
        <v>3.5382291665882803E-2</v>
      </c>
      <c r="J92" s="61"/>
      <c r="K92" s="61"/>
      <c r="L92" s="61"/>
      <c r="M92" s="61" t="s">
        <v>41</v>
      </c>
      <c r="N92" s="61" t="s">
        <v>42</v>
      </c>
      <c r="O92" s="61"/>
      <c r="P92" s="61"/>
      <c r="Q92" s="61"/>
      <c r="R92" s="84" t="s">
        <v>2731</v>
      </c>
      <c r="S92" s="61" t="s">
        <v>51</v>
      </c>
      <c r="T92" s="61" t="s">
        <v>1898</v>
      </c>
      <c r="U92" s="61" t="s">
        <v>1898</v>
      </c>
      <c r="V92" s="101" t="str">
        <f>VLOOKUP(B92,[2]Overall!$A:$D,4,0)</f>
        <v xml:space="preserve">I-ENG </v>
      </c>
      <c r="W92" s="101" t="str">
        <f>VLOOKUP(B92,[3]Sheet1!$A:$B,2,0)</f>
        <v>Mbonso</v>
      </c>
      <c r="X92" s="88" t="str">
        <f t="shared" si="3"/>
        <v>NRO</v>
      </c>
      <c r="Y92" s="88" t="str">
        <f t="shared" si="4"/>
        <v>T&lt;1H</v>
      </c>
      <c r="Z92" s="101">
        <f t="shared" si="5"/>
        <v>1</v>
      </c>
      <c r="AA92" s="61"/>
      <c r="AB92" s="84" t="s">
        <v>1555</v>
      </c>
      <c r="AC92" s="105" t="s">
        <v>2730</v>
      </c>
      <c r="AD92" s="106" t="s">
        <v>1994</v>
      </c>
      <c r="AE92" s="61"/>
    </row>
    <row r="93" spans="1:31" ht="87" x14ac:dyDescent="0.35">
      <c r="A93" s="61" t="s">
        <v>2716</v>
      </c>
      <c r="B93" s="61" t="s">
        <v>2717</v>
      </c>
      <c r="C93" s="65"/>
      <c r="D93" s="61"/>
      <c r="E93" s="61" t="s">
        <v>2726</v>
      </c>
      <c r="F93" s="70" t="s">
        <v>53</v>
      </c>
      <c r="G93" s="70" t="s">
        <v>2121</v>
      </c>
      <c r="H93" s="67">
        <v>46180.530543981484</v>
      </c>
      <c r="I93" s="75">
        <v>3.5370717589103151E-2</v>
      </c>
      <c r="J93" s="61"/>
      <c r="K93" s="61"/>
      <c r="L93" s="61"/>
      <c r="M93" s="61" t="s">
        <v>41</v>
      </c>
      <c r="N93" s="61" t="s">
        <v>42</v>
      </c>
      <c r="O93" s="61"/>
      <c r="P93" s="61"/>
      <c r="Q93" s="61"/>
      <c r="R93" s="84" t="s">
        <v>2731</v>
      </c>
      <c r="S93" s="61" t="s">
        <v>51</v>
      </c>
      <c r="T93" s="61" t="s">
        <v>1898</v>
      </c>
      <c r="U93" s="61" t="s">
        <v>1898</v>
      </c>
      <c r="V93" s="101" t="str">
        <f>VLOOKUP(B93,[2]Overall!$A:$D,4,0)</f>
        <v xml:space="preserve">I-ENG </v>
      </c>
      <c r="W93" s="101" t="str">
        <f>VLOOKUP(B93,[3]Sheet1!$A:$B,2,0)</f>
        <v>Mbonso</v>
      </c>
      <c r="X93" s="88" t="str">
        <f t="shared" si="3"/>
        <v>NRO</v>
      </c>
      <c r="Y93" s="88" t="str">
        <f t="shared" si="4"/>
        <v>T&lt;1H</v>
      </c>
      <c r="Z93" s="101">
        <f t="shared" si="5"/>
        <v>1</v>
      </c>
      <c r="AA93" s="61"/>
      <c r="AB93" s="84" t="s">
        <v>1555</v>
      </c>
      <c r="AC93" s="105" t="s">
        <v>2730</v>
      </c>
      <c r="AD93" s="106" t="s">
        <v>1994</v>
      </c>
      <c r="AE93" s="61"/>
    </row>
    <row r="94" spans="1:31" ht="101.5" x14ac:dyDescent="0.35">
      <c r="A94" s="61" t="s">
        <v>2225</v>
      </c>
      <c r="B94" s="61" t="s">
        <v>2226</v>
      </c>
      <c r="C94" s="65"/>
      <c r="D94" s="61"/>
      <c r="E94" s="61" t="s">
        <v>39</v>
      </c>
      <c r="F94" s="70" t="s">
        <v>53</v>
      </c>
      <c r="G94" s="70" t="s">
        <v>2121</v>
      </c>
      <c r="H94" s="67">
        <v>46180.55265046296</v>
      </c>
      <c r="I94" s="75">
        <v>1.3264236113172956E-2</v>
      </c>
      <c r="J94" s="61"/>
      <c r="K94" s="61"/>
      <c r="L94" s="61"/>
      <c r="M94" s="61" t="s">
        <v>1712</v>
      </c>
      <c r="N94" s="61" t="s">
        <v>2227</v>
      </c>
      <c r="O94" s="61"/>
      <c r="P94" s="61"/>
      <c r="Q94" s="61"/>
      <c r="R94" s="61" t="s">
        <v>2708</v>
      </c>
      <c r="S94" s="61" t="s">
        <v>32</v>
      </c>
      <c r="T94" s="61" t="s">
        <v>1899</v>
      </c>
      <c r="U94" s="61" t="s">
        <v>1899</v>
      </c>
      <c r="V94" s="101" t="str">
        <f>VLOOKUP(B94,[2]Overall!$A:$D,4,0)</f>
        <v xml:space="preserve">I-ENG </v>
      </c>
      <c r="W94" s="101" t="str">
        <f>VLOOKUP(B94,[3]Sheet1!$A:$B,2,0)</f>
        <v>Matsari</v>
      </c>
      <c r="X94" s="88" t="str">
        <f t="shared" si="3"/>
        <v>CTR</v>
      </c>
      <c r="Y94" s="88" t="str">
        <f t="shared" si="4"/>
        <v>T&lt;1H</v>
      </c>
      <c r="Z94" s="101">
        <f t="shared" si="5"/>
        <v>1</v>
      </c>
      <c r="AA94" s="61"/>
      <c r="AB94" s="84" t="s">
        <v>1554</v>
      </c>
      <c r="AC94" s="105" t="s">
        <v>2730</v>
      </c>
      <c r="AD94" s="106" t="s">
        <v>1994</v>
      </c>
      <c r="AE94" s="61"/>
    </row>
    <row r="95" spans="1:31" ht="87" x14ac:dyDescent="0.35">
      <c r="A95" s="61" t="s">
        <v>2727</v>
      </c>
      <c r="B95" s="61" t="s">
        <v>2555</v>
      </c>
      <c r="C95" s="65"/>
      <c r="D95" s="61"/>
      <c r="E95" s="61" t="s">
        <v>37</v>
      </c>
      <c r="F95" s="70" t="s">
        <v>53</v>
      </c>
      <c r="G95" s="70" t="s">
        <v>2121</v>
      </c>
      <c r="H95" s="67">
        <v>46180.558842592596</v>
      </c>
      <c r="I95" s="75">
        <v>7.0721064766985364E-3</v>
      </c>
      <c r="J95" s="61"/>
      <c r="K95" s="61"/>
      <c r="L95" s="61"/>
      <c r="M95" s="61" t="s">
        <v>1686</v>
      </c>
      <c r="N95" s="61" t="s">
        <v>2728</v>
      </c>
      <c r="O95" s="61"/>
      <c r="P95" s="61"/>
      <c r="Q95" s="61"/>
      <c r="R95" s="61" t="s">
        <v>2654</v>
      </c>
      <c r="S95" s="61" t="s">
        <v>71</v>
      </c>
      <c r="T95" s="61" t="s">
        <v>1902</v>
      </c>
      <c r="U95" s="61" t="s">
        <v>1896</v>
      </c>
      <c r="V95" s="101" t="str">
        <f>VLOOKUP(B95,[2]Overall!$A:$D,4,0)</f>
        <v xml:space="preserve">I-ENG </v>
      </c>
      <c r="W95" s="101" t="str">
        <f>VLOOKUP(B95,[3]Sheet1!$A:$B,2,0)</f>
        <v>Bangambi</v>
      </c>
      <c r="X95" s="88" t="str">
        <f t="shared" si="3"/>
        <v>OST</v>
      </c>
      <c r="Y95" s="88" t="str">
        <f t="shared" si="4"/>
        <v>T&lt;1H</v>
      </c>
      <c r="Z95" s="101">
        <f t="shared" si="5"/>
        <v>1</v>
      </c>
      <c r="AA95" s="61"/>
      <c r="AB95" s="84" t="s">
        <v>1555</v>
      </c>
      <c r="AC95" s="105" t="s">
        <v>2730</v>
      </c>
      <c r="AD95" s="106" t="s">
        <v>1994</v>
      </c>
      <c r="AE95" s="61"/>
    </row>
    <row r="96" spans="1:31" ht="87" x14ac:dyDescent="0.35">
      <c r="A96" s="61" t="s">
        <v>2727</v>
      </c>
      <c r="B96" s="61" t="s">
        <v>2555</v>
      </c>
      <c r="C96" s="65"/>
      <c r="D96" s="61"/>
      <c r="E96" s="61" t="s">
        <v>47</v>
      </c>
      <c r="F96" s="70" t="s">
        <v>53</v>
      </c>
      <c r="G96" s="70" t="s">
        <v>2121</v>
      </c>
      <c r="H96" s="67">
        <v>46180.559467592589</v>
      </c>
      <c r="I96" s="75">
        <v>6.4471064833924174E-3</v>
      </c>
      <c r="J96" s="61"/>
      <c r="K96" s="61"/>
      <c r="L96" s="61"/>
      <c r="M96" s="61" t="s">
        <v>31</v>
      </c>
      <c r="N96" s="61" t="s">
        <v>2729</v>
      </c>
      <c r="O96" s="61"/>
      <c r="P96" s="61"/>
      <c r="Q96" s="61"/>
      <c r="R96" s="61" t="s">
        <v>2654</v>
      </c>
      <c r="S96" s="61" t="s">
        <v>71</v>
      </c>
      <c r="T96" s="61" t="s">
        <v>1902</v>
      </c>
      <c r="U96" s="61" t="s">
        <v>1896</v>
      </c>
      <c r="V96" s="101" t="str">
        <f>VLOOKUP(B96,[2]Overall!$A:$D,4,0)</f>
        <v xml:space="preserve">I-ENG </v>
      </c>
      <c r="W96" s="101" t="str">
        <f>VLOOKUP(B96,[3]Sheet1!$A:$B,2,0)</f>
        <v>Bangambi</v>
      </c>
      <c r="X96" s="88" t="str">
        <f t="shared" si="3"/>
        <v>OST</v>
      </c>
      <c r="Y96" s="88" t="str">
        <f t="shared" si="4"/>
        <v>T&lt;1H</v>
      </c>
      <c r="Z96" s="101">
        <f t="shared" si="5"/>
        <v>3</v>
      </c>
      <c r="AA96" s="61"/>
      <c r="AB96" s="84" t="s">
        <v>1555</v>
      </c>
      <c r="AC96" s="105" t="s">
        <v>2730</v>
      </c>
      <c r="AD96" s="106" t="s">
        <v>1994</v>
      </c>
      <c r="AE96" s="61"/>
    </row>
  </sheetData>
  <autoFilter ref="A1:AE96" xr:uid="{7E61290C-0E78-4A5C-A054-830D6C09B6E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cell downs 01062026 8h16</vt:lpstr>
      <vt:lpstr>cell downs 01062026 13h</vt:lpstr>
      <vt:lpstr>cell downs 01062026 17h03</vt:lpstr>
      <vt:lpstr>cell downs 02062026 8h14</vt:lpstr>
      <vt:lpstr>cell downs 02062026 13h25</vt:lpstr>
      <vt:lpstr>cell downs 03062026 8h20</vt:lpstr>
      <vt:lpstr>cell downs 02062026 17h07</vt:lpstr>
      <vt:lpstr>cell downs 03062026 13h</vt:lpstr>
      <vt:lpstr>cell downs 03062026 16h27</vt:lpstr>
      <vt:lpstr>cell downs 04062026 8h37</vt:lpstr>
      <vt:lpstr>cell downs 04062026 12h46</vt:lpstr>
      <vt:lpstr>cell downs 04062026 17h04</vt:lpstr>
      <vt:lpstr>cell downs 05062026 8h40</vt:lpstr>
      <vt:lpstr>cell downs 05062026 13h02</vt:lpstr>
      <vt:lpstr>cell downs 05062026 17h38</vt:lpstr>
      <vt:lpstr>cell downs 06062026 8h45</vt:lpstr>
      <vt:lpstr>cell downs 06062026 13h15</vt:lpstr>
      <vt:lpstr>cell downs 06062026 16h35</vt:lpstr>
      <vt:lpstr>cell downs 07062026 9h35</vt:lpstr>
      <vt:lpstr>cell downs 07062026 13h27</vt:lpstr>
      <vt:lpstr>Sheet2</vt:lpstr>
      <vt:lpstr>Rapport</vt:lpstr>
      <vt:lpstr>Breackdown-Global</vt:lpstr>
      <vt:lpstr>New</vt:lpstr>
      <vt:lpstr>UP</vt:lpstr>
      <vt:lpstr>TREND Cell Nokia</vt:lpstr>
      <vt:lpstr>cell downs 06062026 16h35 (2)</vt:lpstr>
      <vt:lpstr>cell downs 07062026 13h27 (2)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Ndamou Epiphanie Merveille</dc:creator>
  <cp:lastModifiedBy>Kakom Takam Wilfrid</cp:lastModifiedBy>
  <dcterms:created xsi:type="dcterms:W3CDTF">2026-03-30T12:10:46Z</dcterms:created>
  <dcterms:modified xsi:type="dcterms:W3CDTF">2026-06-07T15:02:55Z</dcterms:modified>
</cp:coreProperties>
</file>